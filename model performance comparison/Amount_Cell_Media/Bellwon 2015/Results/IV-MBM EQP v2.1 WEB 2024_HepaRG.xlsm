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Bellwon 2015\Results\"/>
    </mc:Choice>
  </mc:AlternateContent>
  <xr:revisionPtr revIDLastSave="0" documentId="13_ncr:1_{E359F8F7-D8E5-48AC-BA34-C33FDC21BCC2}" xr6:coauthVersionLast="47" xr6:coauthVersionMax="47" xr10:uidLastSave="{00000000-0000-0000-0000-000000000000}"/>
  <bookViews>
    <workbookView xWindow="3135" yWindow="3128" windowWidth="16320" windowHeight="10050" tabRatio="841" firstSheet="6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QA-QC" sheetId="17" r:id="rId4"/>
    <sheet name="Well Plate Characteristics" sheetId="18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2" l="1"/>
  <c r="H7" i="12"/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<sst xmlns="http://schemas.openxmlformats.org/spreadsheetml/2006/main" count="398" uniqueCount="282">
  <si>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</si>
  <si>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</si>
  <si>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</si>
  <si>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</si>
  <si>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</si>
  <si>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</si>
  <si>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</si>
  <si>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</si>
  <si>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</si>
  <si>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</si>
  <si>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</si>
  <si>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</si>
  <si>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</si>
  <si>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</si>
  <si>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</si>
  <si>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</si>
  <si>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</si>
  <si>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</si>
  <si>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</si>
  <si>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</si>
  <si>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</si>
  <si>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</si>
  <si>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</si>
  <si>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</si>
  <si>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</si>
  <si>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</si>
  <si>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</si>
  <si>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</si>
  <si>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</si>
  <si>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</si>
  <si>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</si>
  <si>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</si>
  <si>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</si>
  <si>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</si>
  <si>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</si>
  <si>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</si>
  <si>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</si>
  <si>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</si>
  <si>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</si>
  <si>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</si>
  <si>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</si>
  <si>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</si>
  <si>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</si>
  <si>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</si>
  <si>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</si>
  <si>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</si>
  <si>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</si>
  <si>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</si>
  <si>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</si>
  <si>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</si>
  <si>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</si>
  <si>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</si>
  <si>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</si>
  <si>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</si>
  <si>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</si>
  <si>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</si>
  <si>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</si>
  <si>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</si>
  <si>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</si>
  <si>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</si>
  <si>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</si>
  <si>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</si>
  <si>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</si>
  <si>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</si>
  <si>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</si>
  <si>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</si>
  <si>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</si>
  <si>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</si>
  <si>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</si>
  <si>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</si>
  <si>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</si>
  <si>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</si>
  <si>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</si>
  <si>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</si>
  <si>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</si>
  <si>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</si>
  <si>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</si>
  <si>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</si>
  <si>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</si>
  <si>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</si>
  <si>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</si>
  <si>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</si>
  <si>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</si>
  <si>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</si>
  <si>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</si>
  <si>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</si>
  <si>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</si>
  <si>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</si>
  <si>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</si>
  <si>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</si>
  <si>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</si>
  <si>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</si>
  <si>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</si>
  <si>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</si>
  <si>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</si>
  <si>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</si>
  <si>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</si>
  <si>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</si>
  <si>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</si>
  <si>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</si>
  <si>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</si>
  <si>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</si>
  <si>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</si>
  <si>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</si>
  <si>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</si>
  <si>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</si>
  <si>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</si>
  <si>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</si>
  <si>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</si>
  <si>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</si>
  <si>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</si>
  <si>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</si>
  <si>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</si>
  <si>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</si>
  <si>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</si>
  <si>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</si>
  <si>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</si>
  <si>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</si>
  <si>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</si>
  <si>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</si>
  <si>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</si>
  <si>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</si>
  <si>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</si>
  <si>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</si>
  <si>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</si>
  <si>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</si>
  <si>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</si>
  <si>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</si>
  <si>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</si>
  <si>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</si>
  <si>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</si>
  <si>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</si>
  <si>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</si>
  <si>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</si>
  <si>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</si>
  <si>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</si>
  <si>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</si>
  <si>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</si>
  <si>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</si>
  <si>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</si>
  <si>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</si>
  <si>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</si>
  <si>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</si>
  <si>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</si>
  <si>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</si>
  <si>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</si>
  <si>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</si>
  <si>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</si>
  <si>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</si>
  <si>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</si>
  <si>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</si>
  <si>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</si>
  <si>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</si>
  <si>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</si>
  <si>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</si>
  <si>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</si>
  <si>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</si>
  <si>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</si>
  <si>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</si>
  <si>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</si>
  <si>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</si>
  <si>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</si>
  <si>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</si>
  <si>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</si>
  <si>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</si>
  <si>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</si>
  <si>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</si>
  <si>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</si>
  <si>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</si>
  <si>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</si>
  <si>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</si>
  <si>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</si>
  <si>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</si>
  <si>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</si>
  <si>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</si>
  <si>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</si>
  <si>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</si>
  <si>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</si>
  <si>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</si>
  <si>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</si>
  <si>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</si>
  <si>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</si>
  <si>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</si>
  <si>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</si>
  <si>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</si>
  <si>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</si>
  <si>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</si>
  <si>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</si>
  <si>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</si>
  <si>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</si>
  <si>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</si>
  <si>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</si>
  <si>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</si>
  <si>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</si>
  <si>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</si>
  <si>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</si>
  <si>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</si>
  <si>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</si>
  <si>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</si>
  <si>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</si>
  <si>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</si>
  <si>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</si>
  <si>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</si>
  <si>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</si>
  <si>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</si>
  <si>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</si>
  <si>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</si>
  <si>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</si>
  <si>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</si>
  <si>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</si>
  <si>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</si>
  <si>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</si>
  <si>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</si>
  <si>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</si>
  <si>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</si>
  <si>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</si>
  <si>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</si>
  <si>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</si>
  <si>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</si>
  <si>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</si>
  <si>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</si>
  <si>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</si>
  <si>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</si>
  <si>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</si>
  <si>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</si>
  <si>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</si>
  <si>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</si>
  <si>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</si>
  <si>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</si>
  <si>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</si>
  <si>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</si>
  <si>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</si>
  <si>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</si>
  <si>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</si>
  <si>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</si>
  <si>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</si>
  <si>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</si>
  <si>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</si>
  <si>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</si>
  <si>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</si>
  <si>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</si>
  <si>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</si>
  <si>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</si>
  <si>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</si>
  <si>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</si>
  <si>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</si>
  <si>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</si>
  <si>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</si>
  <si>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</si>
  <si>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</si>
  <si>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</si>
  <si>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</si>
  <si>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</si>
  <si>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</si>
  <si>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</si>
  <si>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</si>
  <si>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</si>
  <si>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</si>
  <si>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</si>
  <si>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</si>
  <si>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</si>
  <si>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</si>
  <si>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</si>
  <si>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</si>
  <si>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</si>
  <si>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</si>
  <si>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</si>
  <si>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</si>
  <si>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</si>
  <si>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</si>
  <si>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</si>
  <si>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</si>
  <si>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</si>
  <si>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</si>
  <si>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</si>
  <si>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</si>
  <si>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Yes</t>
  </si>
  <si>
    <t>940 - 2500</t>
    <phoneticPr fontId="33" type="noConversion"/>
  </si>
  <si>
    <t>cyclosporine A</t>
    <phoneticPr fontId="1" type="noConversion"/>
  </si>
  <si>
    <t>59865-13-3</t>
    <phoneticPr fontId="1" type="noConversion"/>
  </si>
  <si>
    <t>cyclosporine A</t>
  </si>
  <si>
    <t>59865-13-3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</si>
</sst>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232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238</v>
      </c>
    </row>
    <row r="14" spans="1:15" ht="17.25">
      <c r="M14" s="1" t="s">
        <v>239</v>
      </c>
      <c r="N14" s="1" t="s">
        <v>243</v>
      </c>
    </row>
    <row r="15" spans="1:15" ht="17.25">
      <c r="M15" s="1" t="s">
        <v>240</v>
      </c>
      <c r="N15" s="1" t="s">
        <v>244</v>
      </c>
    </row>
    <row r="16" spans="1:15" ht="17.25">
      <c r="M16" s="1" t="s">
        <v>241</v>
      </c>
      <c r="N16" s="1" t="s">
        <v>245</v>
      </c>
    </row>
    <row r="17" spans="13:14" ht="17.25">
      <c r="M17" s="1" t="s">
        <v>242</v>
      </c>
      <c r="N17" s="1" t="s">
        <v>246</v>
      </c>
    </row>
    <row r="18" spans="13:14" ht="17.25">
      <c r="M18" s="1" t="s">
        <v>249</v>
      </c>
      <c r="N18" s="1" t="s">
        <v>247</v>
      </c>
    </row>
    <row r="19" spans="13:14" ht="17.25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topLeftCell="I1"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6.149999999999999">
      <c r="A2" s="169" t="s">
        <v>278</v>
      </c>
      <c r="B2" s="169" t="s">
        <v>279</v>
      </c>
      <c r="C2" s="124"/>
      <c r="D2" s="170">
        <v>1202.6099999999999</v>
      </c>
      <c r="E2" s="170">
        <v>150</v>
      </c>
      <c r="F2" s="100"/>
      <c r="G2" s="101" t="s">
        <v>175</v>
      </c>
      <c r="H2" s="104"/>
      <c r="I2" s="170">
        <v>2.92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-45.2</v>
      </c>
      <c r="U2" s="100"/>
      <c r="V2" s="170">
        <v>0.67706942999999997</v>
      </c>
      <c r="W2" s="112"/>
      <c r="X2" s="104"/>
      <c r="Y2" s="100"/>
      <c r="Z2" s="112">
        <v>0.5</v>
      </c>
    </row>
    <row r="3" spans="1:27" s="99" customFormat="1" ht="16.149999999999999">
      <c r="A3" s="169" t="s">
        <v>278</v>
      </c>
      <c r="B3" s="169" t="s">
        <v>279</v>
      </c>
      <c r="C3" s="124"/>
      <c r="D3" s="170">
        <v>1202.6099999999999</v>
      </c>
      <c r="E3" s="170">
        <v>150</v>
      </c>
      <c r="F3" s="100"/>
      <c r="G3" s="101" t="s">
        <v>175</v>
      </c>
      <c r="H3" s="104"/>
      <c r="I3" s="170">
        <v>2.92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-45.2</v>
      </c>
      <c r="U3" s="100"/>
      <c r="V3" s="170">
        <v>0.67706942999999997</v>
      </c>
      <c r="W3" s="112"/>
      <c r="X3" s="104"/>
      <c r="Y3" s="100"/>
      <c r="Z3" s="112">
        <v>5</v>
      </c>
      <c r="AA3" s="18"/>
    </row>
    <row r="4" spans="1:27" s="99" customFormat="1" ht="16.149999999999999">
      <c r="A4" s="169"/>
      <c r="B4" s="169"/>
      <c r="C4" s="124"/>
      <c r="D4" s="170"/>
      <c r="E4" s="170"/>
      <c r="F4" s="101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0"/>
      <c r="Y4" s="100"/>
      <c r="Z4" s="112"/>
    </row>
    <row r="5" spans="1:27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  <c r="AA5" s="109"/>
    </row>
    <row r="6" spans="1:27" s="99" customFormat="1" ht="16.149999999999999">
      <c r="A6" s="169"/>
      <c r="B6" s="169"/>
      <c r="C6" s="124"/>
      <c r="D6" s="170"/>
      <c r="E6" s="170"/>
      <c r="F6" s="100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4"/>
      <c r="Y6" s="100"/>
      <c r="Z6" s="112"/>
    </row>
    <row r="7" spans="1:27" s="99" customFormat="1" ht="16.149999999999999">
      <c r="A7" s="169"/>
      <c r="B7" s="169"/>
      <c r="C7" s="124"/>
      <c r="D7" s="170"/>
      <c r="E7" s="170"/>
      <c r="F7" s="101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0"/>
      <c r="Y7" s="100"/>
      <c r="Z7" s="112"/>
      <c r="AA7" s="24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  <c r="AA8" s="109"/>
    </row>
    <row r="9" spans="1:27" s="99" customFormat="1" ht="16.149999999999999">
      <c r="A9" s="169"/>
      <c r="B9" s="169"/>
      <c r="C9" s="124"/>
      <c r="D9" s="170"/>
      <c r="E9" s="170"/>
      <c r="F9" s="100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4"/>
      <c r="Y9" s="100"/>
      <c r="Z9" s="112"/>
    </row>
    <row r="10" spans="1:27" s="99" customFormat="1" ht="16.149999999999999">
      <c r="A10" s="169"/>
      <c r="B10" s="169"/>
      <c r="C10" s="124"/>
      <c r="D10" s="170"/>
      <c r="E10" s="170"/>
      <c r="F10" s="101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0"/>
      <c r="Y10" s="100"/>
      <c r="Z10" s="112"/>
    </row>
    <row r="11" spans="1:27" s="99" customFormat="1" ht="16.149999999999999">
      <c r="A11" s="169"/>
      <c r="B11" s="169"/>
      <c r="C11" s="124"/>
      <c r="D11" s="170"/>
      <c r="E11" s="170"/>
      <c r="F11" s="100"/>
      <c r="G11" s="101"/>
      <c r="H11" s="104"/>
      <c r="I11" s="170"/>
      <c r="K11" s="100"/>
      <c r="L11" s="100"/>
      <c r="M11" s="100"/>
      <c r="N11" s="100"/>
      <c r="O11" s="100"/>
      <c r="P11" s="100"/>
      <c r="Q11" s="100"/>
      <c r="R11" s="104"/>
      <c r="S11" s="104"/>
      <c r="T11" s="170"/>
      <c r="U11" s="100"/>
      <c r="V11" s="170"/>
      <c r="W11" s="112"/>
      <c r="X11" s="104"/>
      <c r="Y11" s="100"/>
      <c r="Z11" s="112"/>
    </row>
    <row r="12" spans="1:27" s="99" customFormat="1" ht="16.149999999999999">
      <c r="A12" s="169"/>
      <c r="B12" s="169"/>
      <c r="C12" s="124"/>
      <c r="D12" s="170"/>
      <c r="E12" s="170"/>
      <c r="F12" s="100"/>
      <c r="G12" s="101"/>
      <c r="H12" s="104"/>
      <c r="I12" s="170"/>
      <c r="K12" s="100"/>
      <c r="L12" s="100"/>
      <c r="M12" s="100"/>
      <c r="N12" s="100"/>
      <c r="O12" s="100"/>
      <c r="P12" s="100"/>
      <c r="Q12" s="100"/>
      <c r="R12" s="104"/>
      <c r="S12" s="104"/>
      <c r="T12" s="170"/>
      <c r="U12" s="100"/>
      <c r="V12" s="170"/>
      <c r="W12" s="112"/>
      <c r="X12" s="104"/>
      <c r="Y12" s="100"/>
      <c r="Z12" s="112"/>
      <c r="AA12" s="15"/>
    </row>
    <row r="13" spans="1:27" s="99" customFormat="1" ht="16.149999999999999">
      <c r="A13" s="169"/>
      <c r="B13" s="169"/>
      <c r="C13" s="124"/>
      <c r="D13" s="170"/>
      <c r="E13" s="170"/>
      <c r="F13" s="101"/>
      <c r="G13" s="101"/>
      <c r="H13" s="104"/>
      <c r="I13" s="170"/>
      <c r="K13" s="100"/>
      <c r="L13" s="100"/>
      <c r="M13" s="100"/>
      <c r="N13" s="100"/>
      <c r="O13" s="100"/>
      <c r="P13" s="100"/>
      <c r="Q13" s="100"/>
      <c r="R13" s="104"/>
      <c r="S13" s="104"/>
      <c r="T13" s="170"/>
      <c r="U13" s="100"/>
      <c r="V13" s="170"/>
      <c r="W13" s="112"/>
      <c r="X13" s="100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7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 ht="13.15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4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182</v>
      </c>
    </row>
    <row r="6" spans="1:10">
      <c r="A6" s="58"/>
    </row>
    <row r="7" spans="1:10" ht="15.4">
      <c r="A7" s="114" t="s">
        <v>214</v>
      </c>
      <c r="H7" s="115" t="s">
        <v>177</v>
      </c>
    </row>
    <row r="8" spans="1:10">
      <c r="A8" s="11" t="b">
        <v>1</v>
      </c>
    </row>
    <row r="9" spans="1:10" ht="13.15">
      <c r="A9" s="11"/>
      <c r="H9" s="102" t="s">
        <v>178</v>
      </c>
      <c r="I9" s="103" t="s">
        <v>179</v>
      </c>
      <c r="J9" s="103" t="s">
        <v>180</v>
      </c>
    </row>
    <row r="10" spans="1:10" ht="1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">
      <c r="D12" s="11" t="s">
        <v>53</v>
      </c>
      <c r="H12" s="99" t="s">
        <v>184</v>
      </c>
      <c r="I12" s="3">
        <v>1</v>
      </c>
      <c r="J12" s="3">
        <v>1</v>
      </c>
    </row>
    <row r="13" spans="1:10" ht="15">
      <c r="D13" s="2" t="s">
        <v>42</v>
      </c>
      <c r="H13" s="99" t="s">
        <v>185</v>
      </c>
      <c r="I13" s="3">
        <v>0</v>
      </c>
      <c r="J13" s="3">
        <v>1</v>
      </c>
    </row>
    <row r="14" spans="1:10" ht="15">
      <c r="D14" s="11" t="s">
        <v>54</v>
      </c>
      <c r="H14" s="99" t="s">
        <v>181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199</v>
      </c>
    </row>
    <row r="17" spans="1:11">
      <c r="A17" s="2" t="s">
        <v>50</v>
      </c>
    </row>
    <row r="18" spans="1:11" ht="13.15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280</v>
      </c>
      <c r="B2" s="66" t="s">
        <v>281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4.7735237109405901E-2</v>
      </c>
      <c r="J2" s="67" t="s">
        <v>276</v>
      </c>
      <c r="K2" s="68">
        <v>1.5190218528933961E-2</v>
      </c>
      <c r="L2" s="67" t="s">
        <v>230</v>
      </c>
      <c r="M2" s="68">
        <v>0.51207070279832367</v>
      </c>
      <c r="N2" s="67" t="s">
        <v>230</v>
      </c>
      <c r="P2" s="106" t="s">
        <v>187</v>
      </c>
    </row>
    <row r="3" spans="1:17">
      <c r="A3" s="65" t="s">
        <v>280</v>
      </c>
      <c r="B3" s="66" t="s">
        <v>281</v>
      </c>
      <c r="D3" s="66" t="s">
        <v>175</v>
      </c>
      <c r="F3" s="67" t="s">
        <v>276</v>
      </c>
      <c r="G3" s="67" t="s">
        <v>230</v>
      </c>
      <c r="H3" s="67" t="s">
        <v>230</v>
      </c>
      <c r="I3" s="68">
        <v>8.4093103188983026E-2</v>
      </c>
      <c r="J3" s="67" t="s">
        <v>276</v>
      </c>
      <c r="K3" s="68">
        <v>2.6759951171692074E-2</v>
      </c>
      <c r="L3" s="67" t="s">
        <v>230</v>
      </c>
      <c r="M3" s="68">
        <v>0.90209281566529587</v>
      </c>
      <c r="N3" s="67" t="s">
        <v>230</v>
      </c>
      <c r="P3" s="106" t="s">
        <v>188</v>
      </c>
    </row>
    <row r="5" spans="1:17">
      <c r="P5" s="106" t="s">
        <v>189</v>
      </c>
    </row>
    <row r="6" spans="1:17">
      <c r="P6" s="106" t="s">
        <v>190</v>
      </c>
    </row>
    <row r="7" spans="1:17">
      <c r="P7" s="106" t="s">
        <v>191</v>
      </c>
    </row>
    <row r="8" spans="1:17" ht="17.25">
      <c r="P8" s="106" t="s">
        <v>192</v>
      </c>
    </row>
    <row r="9" spans="1:17" ht="17.25">
      <c r="P9" s="106" t="s">
        <v>193</v>
      </c>
    </row>
    <row r="11" spans="1:17" ht="13.15">
      <c r="P11" s="15" t="s">
        <v>194</v>
      </c>
    </row>
    <row r="12" spans="1:17">
      <c r="P12" s="106" t="s">
        <v>195</v>
      </c>
      <c r="Q12" s="100">
        <f>COUNTIF(F2:F50000,"Yes")</f>
        <v>1</v>
      </c>
    </row>
    <row r="13" spans="1:17">
      <c r="P13" s="106" t="s">
        <v>191</v>
      </c>
      <c r="Q13" s="100">
        <f>COUNTIF(J2:J50000,"Yes")</f>
        <v>2</v>
      </c>
    </row>
    <row r="14" spans="1:17" ht="15">
      <c r="P14" s="106" t="s">
        <v>228</v>
      </c>
      <c r="Q14" s="100">
        <f>COUNTIF(N2:N50000,"Yes")</f>
        <v>0</v>
      </c>
    </row>
    <row r="15" spans="1:17" ht="15">
      <c r="P15" s="106" t="s">
        <v>229</v>
      </c>
      <c r="Q15" s="100">
        <f>COUNTIF(M2:M50000,"&gt;=60")</f>
        <v>0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H5" sqref="H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250000</v>
      </c>
      <c r="I5" s="49">
        <f>H5*$K$5/1000000</f>
        <v>0.85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277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227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0.70367999999999997</v>
      </c>
      <c r="C9" s="75" t="s">
        <v>99</v>
      </c>
      <c r="F9" s="99" t="s">
        <v>274</v>
      </c>
      <c r="G9" s="162">
        <v>9.5700000000000004E-3</v>
      </c>
      <c r="H9" s="75" t="s">
        <v>55</v>
      </c>
      <c r="I9" s="76"/>
      <c r="J9" s="76" t="s">
        <v>156</v>
      </c>
      <c r="K9" s="165">
        <v>0.02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7.5999999999999998E-2</v>
      </c>
      <c r="C10" s="75" t="s">
        <v>99</v>
      </c>
      <c r="F10" s="99" t="s">
        <v>275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0.85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0.85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273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4.2499999999999998E-4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1.3557499999999999E-5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3.8000000000000002E-5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3.5183999999999997E-4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267</v>
      </c>
      <c r="G28" s="75"/>
      <c r="H28" s="75"/>
      <c r="L28" s="76"/>
    </row>
    <row r="29" spans="1:13">
      <c r="B29" s="99"/>
      <c r="C29" s="152"/>
      <c r="F29" s="157" t="s">
        <v>269</v>
      </c>
      <c r="G29" s="158" t="s">
        <v>270</v>
      </c>
      <c r="H29" s="158" t="s">
        <v>271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>
      <c r="A2" s="99" t="s">
        <v>280</v>
      </c>
      <c r="B2" s="99" t="s">
        <v>281</v>
      </c>
      <c r="D2" s="104" t="s">
        <v>175</v>
      </c>
      <c r="F2" s="104">
        <v>2.8190771707711546</v>
      </c>
      <c r="H2" s="104">
        <v>2.8190771707711546</v>
      </c>
      <c r="I2" s="104">
        <v>2.8190771707711546</v>
      </c>
      <c r="K2" s="104">
        <v>2.8190771707711546</v>
      </c>
      <c r="L2" s="104">
        <v>3.1038199999999998</v>
      </c>
      <c r="N2" s="104">
        <v>3.1038199999999998</v>
      </c>
      <c r="O2" s="104">
        <v>2.4882200000000001</v>
      </c>
      <c r="Q2" s="104">
        <v>2.4882200000000001</v>
      </c>
      <c r="R2" s="104">
        <v>-44.758751512313466</v>
      </c>
      <c r="S2" s="104">
        <v>-44.758751512313466</v>
      </c>
      <c r="T2" s="104">
        <v>-3.1007228292288445</v>
      </c>
      <c r="V2" s="104">
        <v>-3.1007228292288445</v>
      </c>
      <c r="W2" s="109">
        <v>0.85419305261722644</v>
      </c>
    </row>
    <row r="3" spans="1:23">
      <c r="A3" s="99" t="s">
        <v>280</v>
      </c>
      <c r="B3" s="99" t="s">
        <v>281</v>
      </c>
      <c r="D3" s="104" t="s">
        <v>175</v>
      </c>
      <c r="F3" s="104">
        <v>2.8190771707711546</v>
      </c>
      <c r="H3" s="104">
        <v>2.8190771707711546</v>
      </c>
      <c r="I3" s="104">
        <v>2.8190771707711546</v>
      </c>
      <c r="K3" s="104">
        <v>2.8190771707711546</v>
      </c>
      <c r="L3" s="104">
        <v>3.1038199999999998</v>
      </c>
      <c r="N3" s="104">
        <v>3.1038199999999998</v>
      </c>
      <c r="O3" s="104">
        <v>2.4882200000000001</v>
      </c>
      <c r="Q3" s="104">
        <v>2.4882200000000001</v>
      </c>
      <c r="R3" s="104">
        <v>-44.758751512313466</v>
      </c>
      <c r="S3" s="104">
        <v>-44.758751512313466</v>
      </c>
      <c r="T3" s="104">
        <v>-3.1007228292288445</v>
      </c>
      <c r="V3" s="104">
        <v>-3.1007228292288445</v>
      </c>
      <c r="W3" s="109">
        <v>0.85419305261722644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6" t="s">
        <v>260</v>
      </c>
      <c r="L1" s="156" t="s">
        <v>261</v>
      </c>
      <c r="M1" s="155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280</v>
      </c>
      <c r="B2" s="16" t="s">
        <v>281</v>
      </c>
      <c r="D2" s="14">
        <v>0.5</v>
      </c>
      <c r="E2" s="14">
        <v>0.45679326827424299</v>
      </c>
      <c r="F2" s="14">
        <v>0.40319016437729399</v>
      </c>
      <c r="G2" s="14">
        <v>7.0268133359183534E-46</v>
      </c>
      <c r="H2" s="14">
        <v>124.08804123930852</v>
      </c>
      <c r="I2" s="14">
        <v>265.81966107872421</v>
      </c>
      <c r="J2" s="14">
        <v>0</v>
      </c>
      <c r="K2" s="14">
        <v>1.240109616196178</v>
      </c>
      <c r="L2" s="14">
        <v>0.80638032875458809</v>
      </c>
      <c r="M2" s="14">
        <v>0.66163505974313952</v>
      </c>
      <c r="N2" s="14">
        <v>15.190218528933961</v>
      </c>
      <c r="O2" s="14">
        <v>18267.90870508127</v>
      </c>
      <c r="P2" s="8">
        <v>30.380437057867923</v>
      </c>
      <c r="Q2" s="54">
        <v>0.31973273300335259</v>
      </c>
      <c r="S2" s="99"/>
    </row>
    <row r="3" spans="1:20">
      <c r="A3" s="2" t="s">
        <v>280</v>
      </c>
      <c r="B3" s="16" t="s">
        <v>281</v>
      </c>
      <c r="D3" s="14">
        <v>5</v>
      </c>
      <c r="E3" s="14">
        <v>0.80471294940838733</v>
      </c>
      <c r="F3" s="14">
        <v>0.71028267902081843</v>
      </c>
      <c r="G3" s="14">
        <v>1.2378833221102198E-45</v>
      </c>
      <c r="H3" s="14">
        <v>218.60053680135212</v>
      </c>
      <c r="I3" s="14">
        <v>468.28300313080513</v>
      </c>
      <c r="J3" s="14">
        <v>0</v>
      </c>
      <c r="K3" s="14">
        <v>7.0394508379296274</v>
      </c>
      <c r="L3" s="14">
        <v>0.14205653580416366</v>
      </c>
      <c r="M3" s="14">
        <v>0.11655738762731629</v>
      </c>
      <c r="N3" s="14">
        <v>26.759951171692073</v>
      </c>
      <c r="O3" s="14">
        <v>32181.784878588602</v>
      </c>
      <c r="P3" s="8">
        <v>5.3519902343384143</v>
      </c>
      <c r="Q3" s="54">
        <v>0.56325933079001145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280</v>
      </c>
      <c r="B2" s="3" t="s">
        <v>281</v>
      </c>
      <c r="D2" s="20">
        <v>5.1998418685795812E-43</v>
      </c>
      <c r="E2" s="20">
        <v>0.91358653654848587</v>
      </c>
      <c r="F2" s="20">
        <v>8.7318272859276624E-2</v>
      </c>
      <c r="G2" s="20">
        <v>2.0202294241983037E-2</v>
      </c>
      <c r="H2" s="20">
        <v>0</v>
      </c>
      <c r="I2" s="20">
        <v>0.80606596944722619</v>
      </c>
      <c r="J2" s="20">
        <v>1.2911685749593865E-2</v>
      </c>
      <c r="K2" s="20">
        <v>7.3501777701920151E-2</v>
      </c>
      <c r="L2" s="20">
        <v>0</v>
      </c>
      <c r="N2" s="99"/>
    </row>
    <row r="3" spans="1:14">
      <c r="A3" s="2" t="s">
        <v>280</v>
      </c>
      <c r="B3" s="3" t="s">
        <v>281</v>
      </c>
      <c r="D3" s="20">
        <v>9.1603365836156249E-44</v>
      </c>
      <c r="E3" s="20">
        <v>0.16094258988167745</v>
      </c>
      <c r="F3" s="20">
        <v>1.5382482573637547E-2</v>
      </c>
      <c r="G3" s="20">
        <v>3.5589508237941188E-3</v>
      </c>
      <c r="H3" s="20">
        <v>0</v>
      </c>
      <c r="I3" s="20">
        <v>0.14200115648424577</v>
      </c>
      <c r="J3" s="20">
        <v>2.2745958495938262E-3</v>
      </c>
      <c r="K3" s="20">
        <v>1.2948490362988771E-2</v>
      </c>
      <c r="L3" s="20">
        <v>0.82383432390573996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280</v>
      </c>
      <c r="B2" s="3" t="s">
        <v>281</v>
      </c>
      <c r="D2" s="14">
        <v>5.1998418685795815E-46</v>
      </c>
      <c r="E2" s="14">
        <v>8.0606596944722629E-4</v>
      </c>
      <c r="F2" s="14">
        <v>8.731827285927663E-5</v>
      </c>
      <c r="G2" s="14">
        <v>2.0202294241983037E-5</v>
      </c>
      <c r="H2" s="14">
        <v>0</v>
      </c>
      <c r="I2" s="14">
        <v>1.2911685749593866E-5</v>
      </c>
      <c r="J2" s="14">
        <v>7.3501777701920156E-5</v>
      </c>
      <c r="K2" s="14">
        <v>0</v>
      </c>
      <c r="L2" s="21"/>
      <c r="M2" s="168"/>
    </row>
    <row r="3" spans="1:23">
      <c r="A3" s="2" t="s">
        <v>280</v>
      </c>
      <c r="B3" s="3" t="s">
        <v>281</v>
      </c>
      <c r="D3" s="14">
        <v>9.1603365836156247E-46</v>
      </c>
      <c r="E3" s="14">
        <v>1.4200115648424578E-3</v>
      </c>
      <c r="F3" s="14">
        <v>1.5382482573637546E-4</v>
      </c>
      <c r="G3" s="14">
        <v>3.5589508237941188E-5</v>
      </c>
      <c r="H3" s="14">
        <v>0</v>
      </c>
      <c r="I3" s="14">
        <v>2.2745958495938265E-5</v>
      </c>
      <c r="J3" s="14">
        <v>1.2948490362988771E-4</v>
      </c>
      <c r="K3" s="14">
        <v>8.2383432390573993E-3</v>
      </c>
      <c r="L3" s="21"/>
      <c r="M3" s="99"/>
    </row>
    <row r="4" spans="1:23">
      <c r="L4" s="21"/>
      <c r="M4" s="22"/>
    </row>
    <row r="5" spans="1:23">
      <c r="L5" s="21"/>
    </row>
    <row r="6" spans="1:23">
      <c r="H6" s="14">
        <f>SUM(E2:H2)</f>
        <v>9.1358653654848596E-4</v>
      </c>
      <c r="J6" s="14">
        <v>9.1358653654848596E-4</v>
      </c>
      <c r="L6" s="21"/>
      <c r="M6" s="12"/>
    </row>
    <row r="7" spans="1:23">
      <c r="H7" s="14">
        <f>SUM(E3:H3)</f>
        <v>1.6094258988167745E-3</v>
      </c>
      <c r="J7" s="14">
        <v>1.6094258988167745E-3</v>
      </c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0" t="s">
        <v>217</v>
      </c>
      <c r="G1" s="140" t="s">
        <v>210</v>
      </c>
      <c r="H1" s="140" t="s">
        <v>218</v>
      </c>
      <c r="I1" s="140" t="s">
        <v>219</v>
      </c>
      <c r="J1" s="140" t="s">
        <v>220</v>
      </c>
      <c r="K1" s="141" t="s">
        <v>223</v>
      </c>
      <c r="L1" s="141" t="s">
        <v>226</v>
      </c>
      <c r="M1" s="141" t="s">
        <v>224</v>
      </c>
      <c r="N1" s="141" t="s">
        <v>225</v>
      </c>
      <c r="O1" s="141" t="s">
        <v>265</v>
      </c>
      <c r="P1" s="141" t="s">
        <v>266</v>
      </c>
      <c r="Q1" s="37" t="s">
        <v>221</v>
      </c>
      <c r="R1" s="37" t="s">
        <v>222</v>
      </c>
      <c r="S1" s="145"/>
      <c r="T1" s="37"/>
      <c r="U1" s="146"/>
      <c r="V1" s="147"/>
    </row>
    <row r="2" spans="1:22">
      <c r="A2" s="99" t="s">
        <v>280</v>
      </c>
      <c r="B2" s="99" t="s">
        <v>281</v>
      </c>
      <c r="D2" s="100" t="s">
        <v>175</v>
      </c>
      <c r="F2" s="104">
        <v>2.8190771707711546</v>
      </c>
      <c r="G2" s="104">
        <v>-44.758751512313466</v>
      </c>
      <c r="H2" s="104">
        <v>3.1038199999999998</v>
      </c>
      <c r="I2" s="104">
        <v>1.1271663952778412</v>
      </c>
      <c r="J2" s="104">
        <v>1.1001030152018811</v>
      </c>
      <c r="K2" s="112">
        <v>0.5</v>
      </c>
      <c r="L2" s="112">
        <v>0.40264597913463152</v>
      </c>
      <c r="M2" s="112">
        <v>15.190218528933961</v>
      </c>
      <c r="N2" s="112">
        <v>512.07070279832362</v>
      </c>
      <c r="O2" s="112">
        <v>5.4035145403056735</v>
      </c>
      <c r="P2" s="112">
        <v>5.077067581251562</v>
      </c>
      <c r="Q2" s="108">
        <v>10.807029080611349</v>
      </c>
      <c r="R2" s="68">
        <v>10.154135162503124</v>
      </c>
    </row>
    <row r="3" spans="1:22">
      <c r="A3" s="99" t="s">
        <v>280</v>
      </c>
      <c r="B3" s="99" t="s">
        <v>281</v>
      </c>
      <c r="D3" s="100" t="s">
        <v>175</v>
      </c>
      <c r="F3" s="104">
        <v>2.8190771707711546</v>
      </c>
      <c r="G3" s="104">
        <v>-44.758751512313466</v>
      </c>
      <c r="H3" s="104">
        <v>3.1038199999999998</v>
      </c>
      <c r="I3" s="104">
        <v>1.1271663952778412</v>
      </c>
      <c r="J3" s="104">
        <v>1.1001030152018811</v>
      </c>
      <c r="K3" s="112">
        <v>5</v>
      </c>
      <c r="L3" s="112">
        <v>0.70932401140887691</v>
      </c>
      <c r="M3" s="112">
        <v>26.759951171692073</v>
      </c>
      <c r="N3" s="112">
        <v>902.09281566529592</v>
      </c>
      <c r="O3" s="112">
        <v>9.5191379227811375</v>
      </c>
      <c r="P3" s="112">
        <v>8.9440504302743093</v>
      </c>
      <c r="Q3" s="108">
        <v>1.9038275845562276</v>
      </c>
      <c r="R3" s="68">
        <v>1.7888100860548617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QA-QC</vt:lpstr>
      <vt:lpstr>Well Plate Characteristics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2025-02-04T03:10:34Z</dcterms:modified>
</cp:coreProperties>
</file>