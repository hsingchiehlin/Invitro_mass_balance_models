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ellwon 2015\Results\"/>
    </mc:Choice>
  </mc:AlternateContent>
  <xr:revisionPtr revIDLastSave="0" documentId="13_ncr:1_{88E94E24-E331-4441-84FF-D3EB8BFE04B2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<sst xmlns="http://schemas.openxmlformats.org/spreadsheetml/2006/main" count="398" uniqueCount="282">
  <si>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</si>
  <si>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</si>
  <si>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</si>
  <si>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</si>
  <si>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</si>
  <si>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</si>
  <si>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</si>
  <si>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</si>
  <si>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</si>
  <si>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</si>
  <si>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</si>
  <si>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</si>
  <si>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</si>
  <si>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</si>
  <si>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</si>
  <si>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</si>
  <si>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</si>
  <si>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</si>
  <si>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</si>
  <si>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</si>
  <si>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</si>
  <si>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</si>
  <si>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</si>
  <si>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</si>
  <si>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</si>
  <si>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</si>
  <si>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</si>
  <si>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</si>
  <si>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</si>
  <si>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</si>
  <si>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</si>
  <si>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</si>
  <si>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</si>
  <si>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</si>
  <si>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</si>
  <si>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</si>
  <si>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</si>
  <si>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</si>
  <si>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</si>
  <si>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</si>
  <si>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</si>
  <si>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</si>
  <si>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</si>
  <si>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</si>
  <si>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</si>
  <si>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</si>
  <si>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</si>
  <si>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</si>
  <si>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</si>
  <si>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</si>
  <si>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</si>
  <si>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</si>
  <si>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</si>
  <si>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</si>
  <si>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</si>
  <si>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</si>
  <si>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</si>
  <si>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</si>
  <si>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</si>
  <si>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</si>
  <si>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</si>
  <si>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</si>
  <si>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</si>
  <si>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</si>
  <si>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</si>
  <si>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</si>
  <si>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</si>
  <si>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</si>
  <si>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</si>
  <si>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</si>
  <si>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</si>
  <si>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</si>
  <si>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</si>
  <si>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</si>
  <si>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</si>
  <si>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</si>
  <si>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</si>
  <si>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</si>
  <si>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</si>
  <si>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</si>
  <si>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</si>
  <si>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</si>
  <si>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</si>
  <si>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</si>
  <si>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</si>
  <si>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</si>
  <si>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</si>
  <si>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</si>
  <si>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</si>
  <si>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</si>
  <si>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</si>
  <si>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</si>
  <si>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</si>
  <si>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</si>
  <si>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</si>
  <si>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</si>
  <si>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</si>
  <si>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</si>
  <si>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</si>
  <si>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</si>
  <si>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</si>
  <si>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</si>
  <si>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</si>
  <si>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</si>
  <si>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</si>
  <si>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</si>
  <si>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</si>
  <si>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</si>
  <si>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</si>
  <si>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</si>
  <si>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</si>
  <si>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</si>
  <si>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</si>
  <si>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</si>
  <si>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</si>
  <si>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</si>
  <si>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</si>
  <si>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</si>
  <si>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</si>
  <si>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</si>
  <si>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</si>
  <si>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</si>
  <si>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</si>
  <si>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</si>
  <si>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</si>
  <si>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</si>
  <si>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</si>
  <si>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</si>
  <si>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</si>
  <si>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</si>
  <si>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</si>
  <si>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</si>
  <si>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</si>
  <si>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</si>
  <si>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</si>
  <si>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</si>
  <si>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</si>
  <si>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</si>
  <si>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</si>
  <si>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</si>
  <si>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</si>
  <si>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</si>
  <si>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</si>
  <si>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</si>
  <si>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</si>
  <si>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</si>
  <si>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</si>
  <si>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</si>
  <si>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</si>
  <si>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</si>
  <si>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</si>
  <si>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</si>
  <si>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</si>
  <si>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</si>
  <si>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</si>
  <si>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</si>
  <si>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</si>
  <si>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</si>
  <si>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</si>
  <si>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</si>
  <si>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</si>
  <si>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</si>
  <si>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</si>
  <si>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</si>
  <si>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</si>
  <si>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</si>
  <si>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</si>
  <si>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</si>
  <si>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</si>
  <si>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</si>
  <si>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</si>
  <si>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</si>
  <si>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</si>
  <si>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</si>
  <si>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</si>
  <si>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</si>
  <si>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</si>
  <si>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</si>
  <si>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</si>
  <si>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</si>
  <si>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</si>
  <si>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</si>
  <si>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</si>
  <si>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</si>
  <si>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</si>
  <si>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</si>
  <si>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</si>
  <si>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</si>
  <si>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</si>
  <si>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</si>
  <si>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</si>
  <si>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</si>
  <si>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</si>
  <si>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</si>
  <si>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</si>
  <si>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</si>
  <si>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</si>
  <si>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</si>
  <si>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</si>
  <si>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</si>
  <si>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</si>
  <si>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</si>
  <si>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</si>
  <si>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</si>
  <si>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</si>
  <si>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</si>
  <si>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</si>
  <si>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</si>
  <si>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</si>
  <si>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</si>
  <si>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</si>
  <si>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</si>
  <si>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</si>
  <si>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</si>
  <si>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</si>
  <si>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</si>
  <si>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</si>
  <si>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</si>
  <si>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</si>
  <si>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</si>
  <si>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</si>
  <si>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</si>
  <si>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</si>
  <si>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</si>
  <si>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</si>
  <si>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</si>
  <si>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</si>
  <si>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</si>
  <si>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</si>
  <si>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</si>
  <si>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</si>
  <si>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</si>
  <si>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</si>
  <si>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</si>
  <si>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</si>
  <si>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</si>
  <si>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</si>
  <si>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</si>
  <si>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</si>
  <si>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</si>
  <si>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</si>
  <si>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</si>
  <si>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</si>
  <si>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</si>
  <si>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</si>
  <si>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</si>
  <si>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</si>
  <si>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</si>
  <si>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</si>
  <si>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</si>
  <si>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</si>
  <si>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</si>
  <si>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</si>
  <si>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</si>
  <si>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</si>
  <si>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</si>
  <si>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</si>
  <si>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</si>
  <si>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</si>
  <si>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</si>
  <si>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</si>
  <si>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</si>
  <si>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</si>
  <si>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</si>
  <si>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</si>
  <si>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</si>
  <si>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</si>
  <si>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</si>
  <si>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</si>
  <si>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</si>
  <si>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</si>
  <si>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</si>
  <si>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</si>
  <si>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</si>
  <si>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</si>
  <si>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</si>
  <si>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Yes</t>
  </si>
  <si>
    <t>940 - 2500</t>
    <phoneticPr fontId="33" type="noConversion"/>
  </si>
  <si>
    <t>cyclosporine A</t>
    <phoneticPr fontId="1" type="noConversion"/>
  </si>
  <si>
    <t>59865-13-3</t>
    <phoneticPr fontId="1" type="noConversion"/>
  </si>
  <si>
    <t>cyclosporine A</t>
  </si>
  <si>
    <t>59865-13-3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</si>
</sst>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topLeftCell="D1"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278</v>
      </c>
      <c r="B2" s="169" t="s">
        <v>279</v>
      </c>
      <c r="C2" s="124"/>
      <c r="D2" s="170">
        <v>1202.6099999999999</v>
      </c>
      <c r="E2" s="170">
        <v>150</v>
      </c>
      <c r="F2" s="100"/>
      <c r="G2" s="101" t="s">
        <v>175</v>
      </c>
      <c r="H2" s="104"/>
      <c r="I2" s="170">
        <v>2.92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-45.2</v>
      </c>
      <c r="U2" s="100"/>
      <c r="V2" s="170">
        <v>0.67706942999999997</v>
      </c>
      <c r="W2" s="112"/>
      <c r="X2" s="104"/>
      <c r="Y2" s="100"/>
      <c r="Z2" s="112">
        <v>0.7</v>
      </c>
    </row>
    <row r="3" spans="1:27" s="99" customFormat="1" ht="16.149999999999999">
      <c r="A3" s="169" t="s">
        <v>278</v>
      </c>
      <c r="B3" s="169" t="s">
        <v>279</v>
      </c>
      <c r="C3" s="124"/>
      <c r="D3" s="170">
        <v>1202.6099999999999</v>
      </c>
      <c r="E3" s="170">
        <v>150</v>
      </c>
      <c r="F3" s="100"/>
      <c r="G3" s="101" t="s">
        <v>175</v>
      </c>
      <c r="H3" s="104"/>
      <c r="I3" s="170">
        <v>2.92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-45.2</v>
      </c>
      <c r="U3" s="100"/>
      <c r="V3" s="170">
        <v>0.67706942999999997</v>
      </c>
      <c r="W3" s="112"/>
      <c r="X3" s="104"/>
      <c r="Y3" s="100"/>
      <c r="Z3" s="112">
        <v>7</v>
      </c>
      <c r="AA3" s="18"/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  <c r="AA7" s="24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09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</row>
    <row r="12" spans="1:27" s="99" customFormat="1" ht="16.149999999999999">
      <c r="A12" s="169"/>
      <c r="B12" s="169"/>
      <c r="C12" s="124"/>
      <c r="D12" s="170"/>
      <c r="E12" s="170"/>
      <c r="F12" s="100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4"/>
      <c r="Y12" s="100"/>
      <c r="Z12" s="112"/>
      <c r="AA12" s="15"/>
    </row>
    <row r="13" spans="1:27" s="99" customFormat="1" ht="16.149999999999999">
      <c r="A13" s="169"/>
      <c r="B13" s="169"/>
      <c r="C13" s="124"/>
      <c r="D13" s="170"/>
      <c r="E13" s="170"/>
      <c r="F13" s="101"/>
      <c r="G13" s="101"/>
      <c r="H13" s="104"/>
      <c r="I13" s="170"/>
      <c r="K13" s="100"/>
      <c r="L13" s="100"/>
      <c r="M13" s="100"/>
      <c r="N13" s="100"/>
      <c r="O13" s="100"/>
      <c r="P13" s="100"/>
      <c r="Q13" s="100"/>
      <c r="R13" s="104"/>
      <c r="S13" s="104"/>
      <c r="T13" s="170"/>
      <c r="U13" s="100"/>
      <c r="V13" s="170"/>
      <c r="W13" s="112"/>
      <c r="X13" s="100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280</v>
      </c>
      <c r="B2" s="66" t="s">
        <v>281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6.7972936336237785E-2</v>
      </c>
      <c r="J2" s="67" t="s">
        <v>276</v>
      </c>
      <c r="K2" s="68">
        <v>2.163022160410126E-2</v>
      </c>
      <c r="L2" s="67" t="s">
        <v>230</v>
      </c>
      <c r="M2" s="68">
        <v>0.72916678304515059</v>
      </c>
      <c r="N2" s="67" t="s">
        <v>230</v>
      </c>
      <c r="P2" s="106" t="s">
        <v>187</v>
      </c>
    </row>
    <row r="3" spans="1:17">
      <c r="A3" s="65" t="s">
        <v>280</v>
      </c>
      <c r="B3" s="66" t="s">
        <v>281</v>
      </c>
      <c r="D3" s="66" t="s">
        <v>175</v>
      </c>
      <c r="F3" s="67" t="s">
        <v>276</v>
      </c>
      <c r="G3" s="67" t="s">
        <v>230</v>
      </c>
      <c r="H3" s="67" t="s">
        <v>230</v>
      </c>
      <c r="I3" s="68">
        <v>8.4093103188983026E-2</v>
      </c>
      <c r="J3" s="67" t="s">
        <v>276</v>
      </c>
      <c r="K3" s="68">
        <v>2.6759951171692074E-2</v>
      </c>
      <c r="L3" s="67" t="s">
        <v>230</v>
      </c>
      <c r="M3" s="68">
        <v>0.90209281566529587</v>
      </c>
      <c r="N3" s="67" t="s">
        <v>230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1</v>
      </c>
    </row>
    <row r="13" spans="1:17">
      <c r="P13" s="106" t="s">
        <v>191</v>
      </c>
      <c r="Q13" s="100">
        <f>COUNTIF(J2:J50000,"Yes")</f>
        <v>2</v>
      </c>
    </row>
    <row r="14" spans="1:17" ht="15">
      <c r="P14" s="106" t="s">
        <v>228</v>
      </c>
      <c r="Q14" s="100">
        <f>COUNTIF(N2:N50000,"Yes")</f>
        <v>0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277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280</v>
      </c>
      <c r="B2" s="99" t="s">
        <v>281</v>
      </c>
      <c r="D2" s="104" t="s">
        <v>175</v>
      </c>
      <c r="F2" s="104">
        <v>2.8190771707711546</v>
      </c>
      <c r="H2" s="104">
        <v>2.8190771707711546</v>
      </c>
      <c r="I2" s="104">
        <v>2.8190771707711546</v>
      </c>
      <c r="K2" s="104">
        <v>2.8190771707711546</v>
      </c>
      <c r="L2" s="104">
        <v>3.1038199999999998</v>
      </c>
      <c r="N2" s="104">
        <v>3.1038199999999998</v>
      </c>
      <c r="O2" s="104">
        <v>2.4882200000000001</v>
      </c>
      <c r="Q2" s="104">
        <v>2.4882200000000001</v>
      </c>
      <c r="R2" s="104">
        <v>-44.758751512313466</v>
      </c>
      <c r="S2" s="104">
        <v>-44.758751512313466</v>
      </c>
      <c r="T2" s="104">
        <v>-3.1007228292288445</v>
      </c>
      <c r="V2" s="104">
        <v>-3.1007228292288445</v>
      </c>
      <c r="W2" s="109">
        <v>0.85419305261722644</v>
      </c>
    </row>
    <row r="3" spans="1:23">
      <c r="A3" s="99" t="s">
        <v>280</v>
      </c>
      <c r="B3" s="99" t="s">
        <v>281</v>
      </c>
      <c r="D3" s="104" t="s">
        <v>175</v>
      </c>
      <c r="F3" s="104">
        <v>2.8190771707711546</v>
      </c>
      <c r="H3" s="104">
        <v>2.8190771707711546</v>
      </c>
      <c r="I3" s="104">
        <v>2.8190771707711546</v>
      </c>
      <c r="K3" s="104">
        <v>2.8190771707711546</v>
      </c>
      <c r="L3" s="104">
        <v>3.1038199999999998</v>
      </c>
      <c r="N3" s="104">
        <v>3.1038199999999998</v>
      </c>
      <c r="O3" s="104">
        <v>2.4882200000000001</v>
      </c>
      <c r="Q3" s="104">
        <v>2.4882200000000001</v>
      </c>
      <c r="R3" s="104">
        <v>-44.758751512313466</v>
      </c>
      <c r="S3" s="104">
        <v>-44.758751512313466</v>
      </c>
      <c r="T3" s="104">
        <v>-3.1007228292288445</v>
      </c>
      <c r="V3" s="104">
        <v>-3.1007228292288445</v>
      </c>
      <c r="W3" s="109">
        <v>0.85419305261722644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280</v>
      </c>
      <c r="B2" s="16" t="s">
        <v>281</v>
      </c>
      <c r="D2" s="14">
        <v>0.7</v>
      </c>
      <c r="E2" s="14">
        <v>0.57412555240486884</v>
      </c>
      <c r="F2" s="14">
        <v>0.57412555240486884</v>
      </c>
      <c r="G2" s="14">
        <v>1.0005881701902988E-45</v>
      </c>
      <c r="H2" s="14">
        <v>0</v>
      </c>
      <c r="I2" s="14">
        <v>0</v>
      </c>
      <c r="J2" s="14">
        <v>0</v>
      </c>
      <c r="K2" s="14">
        <v>1.2192455066106611</v>
      </c>
      <c r="L2" s="14">
        <v>0.82017936057838403</v>
      </c>
      <c r="M2" s="14">
        <v>0.67295716535456407</v>
      </c>
      <c r="N2" s="14">
        <v>21.630221604101262</v>
      </c>
      <c r="O2" s="14">
        <v>26012.720803308217</v>
      </c>
      <c r="P2" s="8">
        <v>30.900316577287516</v>
      </c>
      <c r="Q2" s="54">
        <v>0.4552857390283252</v>
      </c>
      <c r="S2" s="99"/>
    </row>
    <row r="3" spans="1:20">
      <c r="A3" s="2" t="s">
        <v>280</v>
      </c>
      <c r="B3" s="16" t="s">
        <v>281</v>
      </c>
      <c r="D3" s="14">
        <v>7</v>
      </c>
      <c r="E3" s="14">
        <v>0.71028267902081843</v>
      </c>
      <c r="F3" s="14">
        <v>0.71028267902081843</v>
      </c>
      <c r="G3" s="14">
        <v>1.2378833221102198E-45</v>
      </c>
      <c r="H3" s="14">
        <v>0</v>
      </c>
      <c r="I3" s="14">
        <v>0</v>
      </c>
      <c r="J3" s="14">
        <v>0</v>
      </c>
      <c r="K3" s="14">
        <v>9.8552311731014761</v>
      </c>
      <c r="L3" s="14">
        <v>0.10146895414583121</v>
      </c>
      <c r="M3" s="14">
        <v>8.3255276876654502E-2</v>
      </c>
      <c r="N3" s="14">
        <v>26.759951171692073</v>
      </c>
      <c r="O3" s="14">
        <v>32181.784878588602</v>
      </c>
      <c r="P3" s="8">
        <v>3.8228501673845821</v>
      </c>
      <c r="Q3" s="54">
        <v>0.56325933079001145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280</v>
      </c>
      <c r="B2" s="3" t="s">
        <v>281</v>
      </c>
      <c r="D2" s="20">
        <v>5.2888231852915793E-43</v>
      </c>
      <c r="E2" s="20">
        <v>0.82017936057838403</v>
      </c>
      <c r="F2" s="20">
        <v>0</v>
      </c>
      <c r="G2" s="20">
        <v>0</v>
      </c>
      <c r="H2" s="20">
        <v>0</v>
      </c>
      <c r="I2" s="20">
        <v>0.82017936057838403</v>
      </c>
      <c r="J2" s="20">
        <v>0.10506107636277756</v>
      </c>
      <c r="K2" s="20">
        <v>7.475956305883831E-2</v>
      </c>
      <c r="L2" s="20">
        <v>0</v>
      </c>
      <c r="N2" s="99"/>
    </row>
    <row r="3" spans="1:14">
      <c r="A3" s="2" t="s">
        <v>280</v>
      </c>
      <c r="B3" s="3" t="s">
        <v>281</v>
      </c>
      <c r="D3" s="20">
        <v>6.5430975597254465E-44</v>
      </c>
      <c r="E3" s="20">
        <v>0.10146895414583121</v>
      </c>
      <c r="F3" s="20">
        <v>0</v>
      </c>
      <c r="G3" s="20">
        <v>0</v>
      </c>
      <c r="H3" s="20">
        <v>0</v>
      </c>
      <c r="I3" s="20">
        <v>0.10146895414583121</v>
      </c>
      <c r="J3" s="20">
        <v>1.299769056910758E-2</v>
      </c>
      <c r="K3" s="20">
        <v>9.2489216878491234E-3</v>
      </c>
      <c r="L3" s="20">
        <v>0.87628443359721209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K3" sqref="K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280</v>
      </c>
      <c r="B2" s="3" t="s">
        <v>281</v>
      </c>
      <c r="D2" s="14">
        <v>7.4043524594082108E-46</v>
      </c>
      <c r="E2" s="14">
        <v>1.1482511048097376E-3</v>
      </c>
      <c r="F2" s="14">
        <v>0</v>
      </c>
      <c r="G2" s="14">
        <v>0</v>
      </c>
      <c r="H2" s="14">
        <v>0</v>
      </c>
      <c r="I2" s="14">
        <v>1.4708550690788858E-4</v>
      </c>
      <c r="J2" s="14">
        <v>1.0466338828237363E-4</v>
      </c>
      <c r="K2" s="14">
        <v>0</v>
      </c>
      <c r="L2" s="21"/>
      <c r="M2" s="168"/>
    </row>
    <row r="3" spans="1:23">
      <c r="A3" s="2" t="s">
        <v>280</v>
      </c>
      <c r="B3" s="3" t="s">
        <v>281</v>
      </c>
      <c r="D3" s="14">
        <v>9.1603365836156247E-46</v>
      </c>
      <c r="E3" s="14">
        <v>1.4205653580416369E-3</v>
      </c>
      <c r="F3" s="14">
        <v>0</v>
      </c>
      <c r="G3" s="14">
        <v>0</v>
      </c>
      <c r="H3" s="14">
        <v>0</v>
      </c>
      <c r="I3" s="14">
        <v>1.8196766796750612E-4</v>
      </c>
      <c r="J3" s="14">
        <v>1.2948490362988771E-4</v>
      </c>
      <c r="K3" s="14">
        <v>1.2267982070360969E-2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280</v>
      </c>
      <c r="B2" s="99" t="s">
        <v>281</v>
      </c>
      <c r="D2" s="100" t="s">
        <v>175</v>
      </c>
      <c r="F2" s="104">
        <v>2.8190771707711546</v>
      </c>
      <c r="G2" s="104">
        <v>-44.758751512313466</v>
      </c>
      <c r="H2" s="104">
        <v>3.1038199999999998</v>
      </c>
      <c r="I2" s="104">
        <v>1.1271663952778412</v>
      </c>
      <c r="J2" s="104">
        <v>1.1001030152018811</v>
      </c>
      <c r="K2" s="112">
        <v>0.7</v>
      </c>
      <c r="L2" s="112">
        <v>0.57335065589037493</v>
      </c>
      <c r="M2" s="112">
        <v>21.630221604101262</v>
      </c>
      <c r="N2" s="112">
        <v>729.16678304515062</v>
      </c>
      <c r="O2" s="112">
        <v>7.6943736342677607</v>
      </c>
      <c r="P2" s="112">
        <v>7.2295271244643926</v>
      </c>
      <c r="Q2" s="108">
        <v>10.99196233466823</v>
      </c>
      <c r="R2" s="68">
        <v>10.327895892091989</v>
      </c>
    </row>
    <row r="3" spans="1:22">
      <c r="A3" s="99" t="s">
        <v>280</v>
      </c>
      <c r="B3" s="99" t="s">
        <v>281</v>
      </c>
      <c r="D3" s="100" t="s">
        <v>175</v>
      </c>
      <c r="F3" s="104">
        <v>2.8190771707711546</v>
      </c>
      <c r="G3" s="104">
        <v>-44.758751512313466</v>
      </c>
      <c r="H3" s="104">
        <v>3.1038199999999998</v>
      </c>
      <c r="I3" s="104">
        <v>1.1271663952778412</v>
      </c>
      <c r="J3" s="104">
        <v>1.1001030152018811</v>
      </c>
      <c r="K3" s="112">
        <v>7</v>
      </c>
      <c r="L3" s="112">
        <v>0.70932401140887691</v>
      </c>
      <c r="M3" s="112">
        <v>26.759951171692073</v>
      </c>
      <c r="N3" s="112">
        <v>902.09281566529592</v>
      </c>
      <c r="O3" s="112">
        <v>9.5191379227811375</v>
      </c>
      <c r="P3" s="112">
        <v>8.9440504302743093</v>
      </c>
      <c r="Q3" s="108">
        <v>1.3598768461115911</v>
      </c>
      <c r="R3" s="68">
        <v>1.2777214900391871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2025-01-20T00:41:16Z</dcterms:modified>
</cp:coreProperties>
</file>