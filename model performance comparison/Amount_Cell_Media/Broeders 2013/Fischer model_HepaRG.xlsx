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roeders 2013\Results\"/>
    </mc:Choice>
  </mc:AlternateContent>
  <xr:revisionPtr revIDLastSave="0" documentId="13_ncr:1_{DC97547B-8B83-41B2-A526-0C193ED3D3AB}" xr6:coauthVersionLast="47" xr6:coauthVersionMax="47" xr10:uidLastSave="{00000000-0000-0000-0000-000000000000}"/>
  <bookViews>
    <workbookView xWindow="2955" yWindow="2977" windowWidth="16320" windowHeight="1005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8" i="4" l="1"/>
  <c r="T28" i="4"/>
  <c r="R29" i="4"/>
  <c r="S29" i="4"/>
  <c r="T29" i="4"/>
  <c r="R30" i="4"/>
  <c r="S30" i="4" s="1"/>
  <c r="R28" i="4"/>
  <c r="T30" i="4" l="1"/>
  <c r="N17" i="1" l="1"/>
  <c r="L17" i="1"/>
  <c r="M17" i="1"/>
  <c r="K27" i="1"/>
  <c r="L15" i="1"/>
  <c r="M15" i="1"/>
  <c r="K28" i="1"/>
  <c r="N15" i="1" s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J7" i="4" l="1"/>
  <c r="Q48" i="4" s="1"/>
  <c r="K21" i="4"/>
  <c r="K22" i="4"/>
  <c r="K20" i="4"/>
  <c r="J31" i="4"/>
  <c r="Q31" i="4"/>
  <c r="Q41" i="4"/>
  <c r="Q42" i="4"/>
  <c r="Q39" i="4"/>
  <c r="Q43" i="4"/>
  <c r="Q50" i="4"/>
  <c r="Q47" i="4"/>
  <c r="Q52" i="4"/>
  <c r="Q32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Q54" i="4"/>
  <c r="Q51" i="4"/>
  <c r="Q38" i="4"/>
  <c r="Q36" i="4"/>
  <c r="Q34" i="4"/>
  <c r="Q46" i="4"/>
  <c r="Q45" i="4"/>
  <c r="Q40" i="4"/>
  <c r="Q30" i="4"/>
  <c r="Q49" i="4"/>
  <c r="K9" i="4" l="1"/>
  <c r="Q28" i="4"/>
  <c r="K10" i="4"/>
  <c r="J29" i="4"/>
  <c r="L29" i="4" s="1"/>
  <c r="K7" i="4"/>
  <c r="K8" i="4"/>
  <c r="Q29" i="4"/>
  <c r="J28" i="4"/>
  <c r="K28" i="4" s="1"/>
  <c r="O28" i="4" s="1"/>
  <c r="P28" i="4" s="1"/>
  <c r="K31" i="4"/>
  <c r="O31" i="4" s="1"/>
  <c r="P31" i="4" s="1"/>
  <c r="L31" i="4"/>
  <c r="M31" i="4" s="1"/>
  <c r="L34" i="4"/>
  <c r="M34" i="4" s="1"/>
  <c r="K34" i="4"/>
  <c r="O34" i="4" s="1"/>
  <c r="P34" i="4" s="1"/>
  <c r="L32" i="4"/>
  <c r="M32" i="4" s="1"/>
  <c r="K32" i="4"/>
  <c r="O32" i="4" s="1"/>
  <c r="P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L42" i="4"/>
  <c r="M42" i="4" s="1"/>
  <c r="K42" i="4"/>
  <c r="O42" i="4" s="1"/>
  <c r="P42" i="4" s="1"/>
  <c r="M30" i="4" l="1"/>
  <c r="M29" i="4"/>
  <c r="K29" i="4"/>
  <c r="O29" i="4" s="1"/>
  <c r="P29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<sst xmlns="http://schemas.openxmlformats.org/spreadsheetml/2006/main" count="115" uniqueCount="89">
  <si>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</si>
  <si>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</si>
  <si>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</si>
  <si>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</si>
  <si>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</si>
  <si>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</si>
  <si>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</si>
  <si>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</si>
  <si>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</si>
  <si>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</si>
  <si>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</si>
  <si>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</si>
  <si>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</si>
  <si>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</si>
  <si>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</si>
  <si>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</si>
  <si>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</si>
  <si>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</si>
  <si>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</si>
  <si>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</si>
  <si>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</si>
  <si>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</si>
  <si>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</si>
  <si>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</si>
  <si>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</si>
  <si>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</si>
  <si>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</si>
  <si>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</si>
  <si>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</si>
  <si>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</si>
  <si>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</si>
  <si>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</si>
  <si>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</si>
  <si>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</si>
  <si>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</si>
  <si>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</si>
  <si>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</si>
  <si>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</si>
  <si>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</si>
  <si>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</si>
  <si>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</si>
  <si>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</si>
  <si>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</si>
  <si>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</si>
  <si>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</si>
  <si>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</si>
  <si>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</si>
  <si>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</si>
  <si>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</si>
  <si>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</si>
  <si>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</si>
  <si>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</si>
  <si>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</si>
  <si>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</si>
  <si>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</si>
  <si>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</si>
  <si>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</si>
  <si>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</si>
  <si>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</si>
  <si>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</si>
  <si>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</si>
  <si>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</si>
  <si>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</si>
  <si>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</si>
  <si>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</si>
  <si>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</si>
  <si>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</si>
  <si>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</si>
  <si>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</si>
  <si>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</si>
  <si>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</si>
  <si>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</si>
  <si>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</si>
  <si>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</si>
  <si>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</si>
  <si>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</si>
  <si>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OptiMEM</t>
    <phoneticPr fontId="18" type="noConversion"/>
  </si>
  <si>
    <t>cs-FBS</t>
    <phoneticPr fontId="18" type="noConversion"/>
  </si>
  <si>
    <t>HEK293T</t>
    <phoneticPr fontId="18" type="noConversion"/>
  </si>
  <si>
    <t>ng</t>
    <phoneticPr fontId="18" type="noConversion"/>
  </si>
  <si>
    <t>g = ml</t>
    <phoneticPr fontId="18" type="noConversion"/>
  </si>
  <si>
    <t>chlorpromazine</t>
  </si>
  <si>
    <t>50-53-3</t>
  </si>
  <si>
    <t>5 ng/cell</t>
    <phoneticPr fontId="18" type="noConversion"/>
  </si>
  <si>
    <t>FBS</t>
    <phoneticPr fontId="18" type="noConversion"/>
  </si>
  <si>
    <t>HepRG</t>
  </si>
  <si>
    <t>HepG2</t>
  </si>
  <si>
    <t>umold</t>
    <phoneticPr fontId="18" type="noConversion"/>
  </si>
  <si>
    <t>umole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</si>
</sst>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89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K17" sqref="K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4" t="s">
        <v>57</v>
      </c>
      <c r="C2" s="115"/>
      <c r="D2" s="115"/>
      <c r="E2" s="115"/>
      <c r="F2" s="115"/>
      <c r="G2" s="115"/>
      <c r="H2" s="116"/>
      <c r="I2" s="7"/>
      <c r="J2" s="105" t="s">
        <v>56</v>
      </c>
      <c r="K2" s="106"/>
      <c r="L2" s="106"/>
      <c r="M2" s="106"/>
      <c r="N2" s="106"/>
      <c r="O2" s="107"/>
      <c r="P2" s="7"/>
      <c r="Q2" s="105" t="s">
        <v>58</v>
      </c>
      <c r="R2" s="106"/>
      <c r="S2" s="106"/>
      <c r="T2" s="106"/>
      <c r="U2" s="106"/>
      <c r="V2" s="10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8"/>
      <c r="K3" s="109"/>
      <c r="L3" s="109"/>
      <c r="M3" s="109"/>
      <c r="N3" s="109"/>
      <c r="O3" s="110"/>
      <c r="P3" s="7"/>
      <c r="Q3" s="108"/>
      <c r="R3" s="109"/>
      <c r="S3" s="109"/>
      <c r="T3" s="109"/>
      <c r="U3" s="109"/>
      <c r="V3" s="110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1"/>
      <c r="K4" s="112"/>
      <c r="L4" s="112"/>
      <c r="M4" s="112"/>
      <c r="N4" s="112"/>
      <c r="O4" s="113"/>
      <c r="P4" s="7"/>
      <c r="Q4" s="111"/>
      <c r="R4" s="112"/>
      <c r="S4" s="112"/>
      <c r="T4" s="112"/>
      <c r="U4" s="112"/>
      <c r="V4" s="11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3" t="s">
        <v>76</v>
      </c>
      <c r="L7" s="84">
        <v>0</v>
      </c>
      <c r="M7" s="85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3" t="s">
        <v>16</v>
      </c>
      <c r="L10" s="84">
        <v>24</v>
      </c>
      <c r="M10" s="84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77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78</v>
      </c>
      <c r="L15" s="59">
        <f>K28*(1-0.1-0.03)</f>
        <v>2.9580000000000001E-3</v>
      </c>
      <c r="M15" s="59">
        <f>K28*0.1</f>
        <v>3.4000000000000002E-4</v>
      </c>
      <c r="N15" s="59">
        <f>K28*0.03</f>
        <v>1.02E-4</v>
      </c>
      <c r="O15" s="104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4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32" t="s">
        <v>85</v>
      </c>
      <c r="K17" s="32" t="s">
        <v>75</v>
      </c>
      <c r="L17" s="59">
        <f>K28*(1-0.0946-0.0319)</f>
        <v>2.9699000000000001E-3</v>
      </c>
      <c r="M17" s="59">
        <f>K28*0.0946</f>
        <v>3.2164000000000004E-4</v>
      </c>
      <c r="N17" s="59">
        <f>K28*0.0319</f>
        <v>1.0846E-4</v>
      </c>
      <c r="O17" s="104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4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4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6"/>
      <c r="M23" s="87"/>
      <c r="N23" s="86"/>
      <c r="O23" s="86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0"/>
      <c r="M24" s="90"/>
      <c r="N24" s="90"/>
      <c r="O24" s="88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9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83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3.4*1000000</f>
        <v>3400000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3.4000000000000002E-3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3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I19" zoomScale="90" zoomScaleNormal="90" workbookViewId="0">
      <selection activeCell="S28" sqref="S28:S30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2"/>
      <c r="H1" s="14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2"/>
      <c r="H2" s="142"/>
      <c r="I2" s="155" t="s">
        <v>19</v>
      </c>
      <c r="J2" s="156"/>
      <c r="K2" s="156"/>
      <c r="L2" s="156"/>
      <c r="M2" s="156"/>
      <c r="N2" s="156"/>
      <c r="O2" s="156"/>
      <c r="P2" s="156"/>
      <c r="Q2" s="15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2"/>
      <c r="H3" s="142"/>
      <c r="I3" s="158"/>
      <c r="J3" s="159"/>
      <c r="K3" s="159"/>
      <c r="L3" s="159"/>
      <c r="M3" s="159"/>
      <c r="N3" s="159"/>
      <c r="O3" s="159"/>
      <c r="P3" s="159"/>
      <c r="Q3" s="16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2"/>
      <c r="H4" s="142"/>
      <c r="I4" s="161"/>
      <c r="J4" s="162"/>
      <c r="K4" s="162"/>
      <c r="L4" s="162"/>
      <c r="M4" s="162"/>
      <c r="N4" s="162"/>
      <c r="O4" s="162"/>
      <c r="P4" s="162"/>
      <c r="Q4" s="16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2"/>
      <c r="H5" s="142"/>
      <c r="I5" s="164" t="s">
        <v>38</v>
      </c>
      <c r="J5" s="165"/>
      <c r="K5" s="165"/>
      <c r="L5" s="165"/>
      <c r="M5" s="165"/>
      <c r="N5" s="165"/>
      <c r="O5" s="165"/>
      <c r="P5" s="165"/>
      <c r="Q5" s="16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2"/>
      <c r="H6" s="142"/>
      <c r="I6" s="50" t="s">
        <v>49</v>
      </c>
      <c r="J6" s="50" t="s">
        <v>50</v>
      </c>
      <c r="K6" s="50" t="s">
        <v>46</v>
      </c>
      <c r="L6" s="134" t="s">
        <v>39</v>
      </c>
      <c r="M6" s="135"/>
      <c r="N6" s="135"/>
      <c r="O6" s="135"/>
      <c r="P6" s="135"/>
      <c r="Q6" s="13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2"/>
      <c r="H7" s="142"/>
      <c r="I7" s="51" t="s">
        <v>20</v>
      </c>
      <c r="J7" s="38">
        <f>SUM(J13,J19)</f>
        <v>2000.34</v>
      </c>
      <c r="K7" s="39">
        <f>J7/J7</f>
        <v>1</v>
      </c>
      <c r="L7" s="117" t="s">
        <v>68</v>
      </c>
      <c r="M7" s="118"/>
      <c r="N7" s="118"/>
      <c r="O7" s="118"/>
      <c r="P7" s="118"/>
      <c r="Q7" s="119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0" t="s">
        <v>3</v>
      </c>
      <c r="C8" s="181"/>
      <c r="D8" s="181"/>
      <c r="E8" s="181"/>
      <c r="F8" s="182"/>
      <c r="G8" s="142"/>
      <c r="H8" s="142"/>
      <c r="I8" s="52" t="s">
        <v>6</v>
      </c>
      <c r="J8" s="38">
        <f>SUM(J14,J20)</f>
        <v>2000.2969900000001</v>
      </c>
      <c r="K8" s="40">
        <f>J8/J7</f>
        <v>0.9999784986552287</v>
      </c>
      <c r="L8" s="117" t="s">
        <v>69</v>
      </c>
      <c r="M8" s="118"/>
      <c r="N8" s="118"/>
      <c r="O8" s="118"/>
      <c r="P8" s="118"/>
      <c r="Q8" s="119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3"/>
      <c r="C9" s="184"/>
      <c r="D9" s="184"/>
      <c r="E9" s="184"/>
      <c r="F9" s="185"/>
      <c r="G9" s="142"/>
      <c r="H9" s="142"/>
      <c r="I9" s="51" t="s">
        <v>8</v>
      </c>
      <c r="J9" s="41">
        <f t="shared" ref="J9:J10" si="0">SUM(J15,J21)</f>
        <v>3.2164000000000005E-2</v>
      </c>
      <c r="K9" s="40">
        <f>J9/J7</f>
        <v>1.6079266524690806E-5</v>
      </c>
      <c r="L9" s="117" t="s">
        <v>69</v>
      </c>
      <c r="M9" s="118"/>
      <c r="N9" s="118"/>
      <c r="O9" s="118"/>
      <c r="P9" s="118"/>
      <c r="Q9" s="119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6"/>
      <c r="C10" s="187"/>
      <c r="D10" s="187"/>
      <c r="E10" s="187"/>
      <c r="F10" s="188"/>
      <c r="G10" s="142"/>
      <c r="H10" s="142"/>
      <c r="I10" s="52" t="s">
        <v>9</v>
      </c>
      <c r="J10" s="41">
        <f t="shared" si="0"/>
        <v>1.0846000000000001E-2</v>
      </c>
      <c r="K10" s="40">
        <f>J10/J7</f>
        <v>5.4220782466980621E-6</v>
      </c>
      <c r="L10" s="117" t="s">
        <v>69</v>
      </c>
      <c r="M10" s="118"/>
      <c r="N10" s="118"/>
      <c r="O10" s="118"/>
      <c r="P10" s="118"/>
      <c r="Q10" s="119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5" t="s">
        <v>36</v>
      </c>
      <c r="C11" s="146"/>
      <c r="D11" s="146"/>
      <c r="E11" s="146"/>
      <c r="F11" s="147"/>
      <c r="G11" s="142"/>
      <c r="H11" s="142"/>
      <c r="I11" s="133"/>
      <c r="J11" s="133"/>
      <c r="K11" s="133"/>
      <c r="L11" s="133"/>
      <c r="M11" s="133"/>
      <c r="N11" s="133"/>
      <c r="O11" s="133"/>
      <c r="P11" s="133"/>
      <c r="Q11" s="133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8"/>
      <c r="C12" s="149"/>
      <c r="D12" s="149"/>
      <c r="E12" s="149"/>
      <c r="F12" s="150"/>
      <c r="G12" s="142"/>
      <c r="H12" s="142"/>
      <c r="I12" s="50" t="s">
        <v>51</v>
      </c>
      <c r="J12" s="50" t="s">
        <v>50</v>
      </c>
      <c r="K12" s="50" t="s">
        <v>46</v>
      </c>
      <c r="L12" s="134" t="s">
        <v>39</v>
      </c>
      <c r="M12" s="135"/>
      <c r="N12" s="135"/>
      <c r="O12" s="135"/>
      <c r="P12" s="135"/>
      <c r="Q12" s="136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7" t="s">
        <v>4</v>
      </c>
      <c r="C13" s="138"/>
      <c r="D13" s="170" t="s">
        <v>39</v>
      </c>
      <c r="E13" s="170"/>
      <c r="F13" s="170"/>
      <c r="G13" s="142"/>
      <c r="H13" s="142"/>
      <c r="I13" s="51" t="s">
        <v>5</v>
      </c>
      <c r="J13" s="42">
        <f>SUM(J14:J16)</f>
        <v>2000</v>
      </c>
      <c r="K13" s="39">
        <f>J13/J13</f>
        <v>1</v>
      </c>
      <c r="L13" s="117" t="s">
        <v>71</v>
      </c>
      <c r="M13" s="118"/>
      <c r="N13" s="118"/>
      <c r="O13" s="118"/>
      <c r="P13" s="118"/>
      <c r="Q13" s="119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71" t="s">
        <v>17</v>
      </c>
      <c r="E14" s="171"/>
      <c r="F14" s="171"/>
      <c r="G14" s="142"/>
      <c r="H14" s="142"/>
      <c r="I14" s="52" t="s">
        <v>43</v>
      </c>
      <c r="J14" s="42">
        <f>C14-SUM(J15:J16)</f>
        <v>2000</v>
      </c>
      <c r="K14" s="40">
        <f>J14/J13</f>
        <v>1</v>
      </c>
      <c r="L14" s="139" t="s">
        <v>70</v>
      </c>
      <c r="M14" s="140"/>
      <c r="N14" s="140"/>
      <c r="O14" s="140"/>
      <c r="P14" s="140"/>
      <c r="Q14" s="141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72" t="s">
        <v>60</v>
      </c>
      <c r="E15" s="172"/>
      <c r="F15" s="172"/>
      <c r="G15" s="142"/>
      <c r="H15" s="142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17" t="s">
        <v>69</v>
      </c>
      <c r="M15" s="118"/>
      <c r="N15" s="118"/>
      <c r="O15" s="118"/>
      <c r="P15" s="118"/>
      <c r="Q15" s="119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73" t="s">
        <v>40</v>
      </c>
      <c r="E16" s="174"/>
      <c r="F16" s="175"/>
      <c r="G16" s="142"/>
      <c r="H16" s="142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17" t="s">
        <v>69</v>
      </c>
      <c r="M16" s="118"/>
      <c r="N16" s="118"/>
      <c r="O16" s="118"/>
      <c r="P16" s="118"/>
      <c r="Q16" s="119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84</v>
      </c>
      <c r="D17" s="176" t="s">
        <v>61</v>
      </c>
      <c r="E17" s="177"/>
      <c r="F17" s="178"/>
      <c r="G17" s="142"/>
      <c r="H17" s="142"/>
      <c r="I17" s="139"/>
      <c r="J17" s="140"/>
      <c r="K17" s="140"/>
      <c r="L17" s="140"/>
      <c r="M17" s="140"/>
      <c r="N17" s="140"/>
      <c r="O17" s="140"/>
      <c r="P17" s="140"/>
      <c r="Q17" s="141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73" t="s">
        <v>41</v>
      </c>
      <c r="E18" s="174"/>
      <c r="F18" s="175"/>
      <c r="G18" s="142"/>
      <c r="H18" s="142"/>
      <c r="I18" s="50" t="s">
        <v>29</v>
      </c>
      <c r="J18" s="50" t="s">
        <v>50</v>
      </c>
      <c r="K18" s="50" t="s">
        <v>46</v>
      </c>
      <c r="L18" s="134" t="s">
        <v>39</v>
      </c>
      <c r="M18" s="135"/>
      <c r="N18" s="135"/>
      <c r="O18" s="135"/>
      <c r="P18" s="135"/>
      <c r="Q18" s="136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2"/>
      <c r="C19" s="172"/>
      <c r="D19" s="172"/>
      <c r="E19" s="172"/>
      <c r="F19" s="172"/>
      <c r="G19" s="142"/>
      <c r="H19" s="142"/>
      <c r="I19" s="51" t="s">
        <v>5</v>
      </c>
      <c r="J19" s="42">
        <f>SUM(J20:J22)</f>
        <v>0.34000000000000008</v>
      </c>
      <c r="K19" s="39">
        <f>J19/J19</f>
        <v>1</v>
      </c>
      <c r="L19" s="117" t="s">
        <v>55</v>
      </c>
      <c r="M19" s="118"/>
      <c r="N19" s="118"/>
      <c r="O19" s="118"/>
      <c r="P19" s="118"/>
      <c r="Q19" s="119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7" t="s">
        <v>7</v>
      </c>
      <c r="C20" s="138"/>
      <c r="D20" s="170" t="s">
        <v>39</v>
      </c>
      <c r="E20" s="170"/>
      <c r="F20" s="170"/>
      <c r="G20" s="142"/>
      <c r="H20" s="142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0.29699000000000003</v>
      </c>
      <c r="K20" s="40">
        <f>J20/J19</f>
        <v>0.87349999999999994</v>
      </c>
      <c r="L20" s="117" t="s">
        <v>69</v>
      </c>
      <c r="M20" s="118"/>
      <c r="N20" s="118"/>
      <c r="O20" s="118"/>
      <c r="P20" s="118"/>
      <c r="Q20" s="11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86</v>
      </c>
      <c r="D21" s="176" t="s">
        <v>61</v>
      </c>
      <c r="E21" s="177"/>
      <c r="F21" s="178"/>
      <c r="G21" s="142"/>
      <c r="H21" s="142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3.2164000000000005E-2</v>
      </c>
      <c r="K21" s="40">
        <f>J21/J19</f>
        <v>9.459999999999999E-2</v>
      </c>
      <c r="L21" s="117" t="s">
        <v>69</v>
      </c>
      <c r="M21" s="118"/>
      <c r="N21" s="118"/>
      <c r="O21" s="118"/>
      <c r="P21" s="118"/>
      <c r="Q21" s="119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100000</v>
      </c>
      <c r="D22" s="179" t="s">
        <v>67</v>
      </c>
      <c r="E22" s="179"/>
      <c r="F22" s="179"/>
      <c r="G22" s="142"/>
      <c r="H22" s="142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1.0846000000000001E-2</v>
      </c>
      <c r="K22" s="40">
        <f>J22/J19</f>
        <v>3.1899999999999998E-2</v>
      </c>
      <c r="L22" s="117" t="s">
        <v>69</v>
      </c>
      <c r="M22" s="118"/>
      <c r="N22" s="118"/>
      <c r="O22" s="118"/>
      <c r="P22" s="118"/>
      <c r="Q22" s="119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7"/>
      <c r="C23" s="168"/>
      <c r="D23" s="168"/>
      <c r="E23" s="168"/>
      <c r="F23" s="169"/>
      <c r="G23" s="142"/>
      <c r="H23" s="142"/>
      <c r="I23" s="128"/>
      <c r="J23" s="129"/>
      <c r="K23" s="129"/>
      <c r="L23" s="129"/>
      <c r="M23" s="129"/>
      <c r="N23" s="129"/>
      <c r="O23" s="129"/>
      <c r="P23" s="129"/>
      <c r="Q23" s="130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5" t="s">
        <v>37</v>
      </c>
      <c r="C24" s="146"/>
      <c r="D24" s="146"/>
      <c r="E24" s="146"/>
      <c r="F24" s="147"/>
      <c r="G24" s="142"/>
      <c r="H24" s="142"/>
      <c r="I24" s="122" t="s">
        <v>42</v>
      </c>
      <c r="J24" s="123"/>
      <c r="K24" s="123"/>
      <c r="L24" s="123"/>
      <c r="M24" s="123"/>
      <c r="N24" s="123"/>
      <c r="O24" s="123"/>
      <c r="P24" s="123"/>
      <c r="Q24" s="12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8"/>
      <c r="C25" s="149"/>
      <c r="D25" s="149"/>
      <c r="E25" s="149"/>
      <c r="F25" s="150"/>
      <c r="G25" s="142"/>
      <c r="H25" s="142"/>
      <c r="I25" s="125"/>
      <c r="J25" s="126"/>
      <c r="K25" s="126"/>
      <c r="L25" s="126"/>
      <c r="M25" s="126"/>
      <c r="N25" s="126"/>
      <c r="O25" s="126"/>
      <c r="P25" s="126"/>
      <c r="Q25" s="12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3" t="s">
        <v>11</v>
      </c>
      <c r="C26" s="143" t="s">
        <v>12</v>
      </c>
      <c r="D26" s="151" t="s">
        <v>47</v>
      </c>
      <c r="E26" s="151" t="s">
        <v>48</v>
      </c>
      <c r="F26" s="153" t="s">
        <v>66</v>
      </c>
      <c r="G26" s="142"/>
      <c r="H26" s="142"/>
      <c r="I26" s="131" t="s">
        <v>53</v>
      </c>
      <c r="J26" s="131" t="s">
        <v>54</v>
      </c>
      <c r="K26" s="120" t="s">
        <v>74</v>
      </c>
      <c r="L26" s="120" t="s">
        <v>52</v>
      </c>
      <c r="M26" s="120" t="s">
        <v>59</v>
      </c>
      <c r="N26" s="120" t="s">
        <v>62</v>
      </c>
      <c r="O26" s="120" t="s">
        <v>73</v>
      </c>
      <c r="P26" s="120" t="s">
        <v>64</v>
      </c>
      <c r="Q26" s="120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4"/>
      <c r="C27" s="144"/>
      <c r="D27" s="152"/>
      <c r="E27" s="152"/>
      <c r="F27" s="154"/>
      <c r="G27" s="142"/>
      <c r="H27" s="142"/>
      <c r="I27" s="132"/>
      <c r="J27" s="132"/>
      <c r="K27" s="121"/>
      <c r="L27" s="121"/>
      <c r="M27" s="121"/>
      <c r="N27" s="121"/>
      <c r="O27" s="121"/>
      <c r="P27" s="121"/>
      <c r="Q27" s="121"/>
      <c r="R27" s="7" t="s">
        <v>87</v>
      </c>
      <c r="S27" s="7" t="s">
        <v>88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2"/>
      <c r="B28" s="47" t="s">
        <v>81</v>
      </c>
      <c r="C28" s="47" t="s">
        <v>82</v>
      </c>
      <c r="D28" s="48">
        <v>2.8380318246143235</v>
      </c>
      <c r="E28" s="48">
        <v>3.5597354124795313</v>
      </c>
      <c r="F28" s="102">
        <v>1.7E-6</v>
      </c>
      <c r="G28" s="142"/>
      <c r="H28" s="142"/>
      <c r="I28" s="98">
        <f t="shared" ref="I28:I47" si="1">IF(D28=0,"",LOG($K$15*10^D28+$K$16*10^E28+$K$14))</f>
        <v>0</v>
      </c>
      <c r="J28" s="98">
        <f t="shared" ref="J28:J47" si="2">IF(D28=0,"",LOG($K$21*10^D28+$K$22*10^E28+$K$20))</f>
        <v>2.259536875659184</v>
      </c>
      <c r="K28" s="99">
        <f t="shared" ref="K28:K47" si="3">IF(D28=0,"",1/(1+10^D28*$J$15/$J$14+10^E28*$J$16/$J$14+10^J28*$J$19/$J$14))</f>
        <v>0.97002436177888651</v>
      </c>
      <c r="L28" s="99">
        <f t="shared" ref="L28:L47" si="4">IF(D28=0,"",1/(1+10^I28/10^J28*$J$13/$J$19))</f>
        <v>2.9975638221113488E-2</v>
      </c>
      <c r="M28" s="99">
        <f t="shared" ref="M28:M47" si="5">IF(D28=0,"",1-L28)</f>
        <v>0.97002436177888651</v>
      </c>
      <c r="N28" s="99">
        <f t="shared" ref="N28:N47" si="6">IF(D28=0,"",1/(1/10^E28*$J$20/$J$22+10^D28/10^E28*$J$21/$J$22+10^I28/10^E28*$J$13/$J$22+1))</f>
        <v>1.9087878347514537E-2</v>
      </c>
      <c r="O28" s="41">
        <f t="shared" ref="O28:O47" si="7">IF(D28=0,"",F28*K28*$J$7/$J$14)</f>
        <v>1.6493217520646612E-6</v>
      </c>
      <c r="P28" s="41">
        <f t="shared" ref="P28:P47" si="8">IF(D28=0,"",O28*10^J28)</f>
        <v>2.998073407961107E-4</v>
      </c>
      <c r="Q28" s="41">
        <f t="shared" ref="Q28:Q47" si="9">IF(D28=0,"",F28*N28*$J$7/$J$22)</f>
        <v>5.9846781463428252E-3</v>
      </c>
      <c r="R28" s="9">
        <f>F28*0.002*1000000</f>
        <v>3.4000000000000002E-3</v>
      </c>
      <c r="S28" s="11">
        <f>R28*L28</f>
        <v>1.0191716995178586E-4</v>
      </c>
      <c r="T28" s="9">
        <f>R28*M28</f>
        <v>3.2980828300482145E-3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2"/>
      <c r="B29" s="47" t="s">
        <v>81</v>
      </c>
      <c r="C29" s="47" t="s">
        <v>82</v>
      </c>
      <c r="D29" s="48">
        <v>2.8380318246143235</v>
      </c>
      <c r="E29" s="48">
        <v>3.5597354124795313</v>
      </c>
      <c r="F29" s="102">
        <v>5.0000000000000004E-6</v>
      </c>
      <c r="G29" s="142"/>
      <c r="H29" s="142"/>
      <c r="I29" s="98">
        <f t="shared" si="1"/>
        <v>0</v>
      </c>
      <c r="J29" s="98">
        <f t="shared" si="2"/>
        <v>2.259536875659184</v>
      </c>
      <c r="K29" s="99">
        <f t="shared" si="3"/>
        <v>0.97002436177888651</v>
      </c>
      <c r="L29" s="99">
        <f t="shared" si="4"/>
        <v>2.9975638221113488E-2</v>
      </c>
      <c r="M29" s="99">
        <f t="shared" si="5"/>
        <v>0.97002436177888651</v>
      </c>
      <c r="N29" s="99">
        <f t="shared" si="6"/>
        <v>1.9087878347514537E-2</v>
      </c>
      <c r="O29" s="41">
        <f t="shared" si="7"/>
        <v>4.8509463296019451E-6</v>
      </c>
      <c r="P29" s="41">
        <f t="shared" si="8"/>
        <v>8.8178629645914929E-4</v>
      </c>
      <c r="Q29" s="41">
        <f t="shared" si="9"/>
        <v>1.7601994548067133E-2</v>
      </c>
      <c r="R29" s="9">
        <f t="shared" ref="R29:R30" si="10">F29*0.002*1000000</f>
        <v>0.01</v>
      </c>
      <c r="S29" s="11">
        <f t="shared" ref="S29:S30" si="11">R29*L29</f>
        <v>2.997563822111349E-4</v>
      </c>
      <c r="T29" s="9">
        <f t="shared" ref="T29:T30" si="12">R29*M29</f>
        <v>9.700243617788866E-3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3"/>
      <c r="B30" s="47" t="s">
        <v>81</v>
      </c>
      <c r="C30" s="47" t="s">
        <v>82</v>
      </c>
      <c r="D30" s="48">
        <v>2.8380318246143235</v>
      </c>
      <c r="E30" s="48">
        <v>3.5597354124795313</v>
      </c>
      <c r="F30" s="95">
        <v>1.5E-5</v>
      </c>
      <c r="G30" s="142"/>
      <c r="H30" s="142"/>
      <c r="I30" s="98">
        <f t="shared" si="1"/>
        <v>0</v>
      </c>
      <c r="J30" s="98">
        <f t="shared" si="2"/>
        <v>2.259536875659184</v>
      </c>
      <c r="K30" s="99">
        <f t="shared" si="3"/>
        <v>0.97002436177888651</v>
      </c>
      <c r="L30" s="99">
        <f t="shared" si="4"/>
        <v>2.9975638221113488E-2</v>
      </c>
      <c r="M30" s="99">
        <f t="shared" si="5"/>
        <v>0.97002436177888651</v>
      </c>
      <c r="N30" s="99">
        <f t="shared" si="6"/>
        <v>1.9087878347514537E-2</v>
      </c>
      <c r="O30" s="41">
        <f t="shared" si="7"/>
        <v>1.4552838988805832E-5</v>
      </c>
      <c r="P30" s="41">
        <f t="shared" si="8"/>
        <v>2.6453588893774471E-3</v>
      </c>
      <c r="Q30" s="41">
        <f t="shared" si="9"/>
        <v>5.2805983644201401E-2</v>
      </c>
      <c r="R30" s="9">
        <f t="shared" si="10"/>
        <v>3.0000000000000002E-2</v>
      </c>
      <c r="S30" s="11">
        <f t="shared" si="11"/>
        <v>8.992691466334047E-4</v>
      </c>
      <c r="T30" s="9">
        <f t="shared" si="12"/>
        <v>2.9100730853366598E-2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3"/>
      <c r="B31" s="47"/>
      <c r="C31" s="47"/>
      <c r="D31" s="48"/>
      <c r="E31" s="48"/>
      <c r="F31" s="97"/>
      <c r="G31" s="142"/>
      <c r="H31" s="142"/>
      <c r="I31" s="98" t="str">
        <f t="shared" si="1"/>
        <v/>
      </c>
      <c r="J31" s="98" t="str">
        <f t="shared" si="2"/>
        <v/>
      </c>
      <c r="K31" s="99" t="str">
        <f t="shared" si="3"/>
        <v/>
      </c>
      <c r="L31" s="99" t="str">
        <f t="shared" si="4"/>
        <v/>
      </c>
      <c r="M31" s="99" t="str">
        <f t="shared" si="5"/>
        <v/>
      </c>
      <c r="N31" s="99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3"/>
      <c r="B32" s="100"/>
      <c r="C32" s="100"/>
      <c r="D32" s="101"/>
      <c r="E32" s="101"/>
      <c r="F32" s="97"/>
      <c r="G32" s="142"/>
      <c r="H32" s="142"/>
      <c r="I32" s="98" t="str">
        <f t="shared" si="1"/>
        <v/>
      </c>
      <c r="J32" s="98" t="str">
        <f t="shared" si="2"/>
        <v/>
      </c>
      <c r="K32" s="99" t="str">
        <f t="shared" si="3"/>
        <v/>
      </c>
      <c r="L32" s="99" t="str">
        <f t="shared" si="4"/>
        <v/>
      </c>
      <c r="M32" s="99" t="str">
        <f t="shared" si="5"/>
        <v/>
      </c>
      <c r="N32" s="99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3"/>
      <c r="B33" s="47"/>
      <c r="C33" s="47"/>
      <c r="D33" s="94"/>
      <c r="E33" s="94"/>
      <c r="F33" s="95"/>
      <c r="G33" s="142"/>
      <c r="H33" s="142"/>
      <c r="I33" s="98" t="str">
        <f t="shared" si="1"/>
        <v/>
      </c>
      <c r="J33" s="98" t="str">
        <f t="shared" si="2"/>
        <v/>
      </c>
      <c r="K33" s="99" t="str">
        <f t="shared" si="3"/>
        <v/>
      </c>
      <c r="L33" s="99" t="str">
        <f t="shared" si="4"/>
        <v/>
      </c>
      <c r="M33" s="99" t="str">
        <f t="shared" si="5"/>
        <v/>
      </c>
      <c r="N33" s="99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2"/>
      <c r="B34" s="47"/>
      <c r="C34" s="47"/>
      <c r="D34" s="96"/>
      <c r="E34" s="96"/>
      <c r="F34" s="97"/>
      <c r="G34" s="142"/>
      <c r="H34" s="142"/>
      <c r="I34" s="98" t="str">
        <f t="shared" si="1"/>
        <v/>
      </c>
      <c r="J34" s="98" t="str">
        <f t="shared" si="2"/>
        <v/>
      </c>
      <c r="K34" s="99" t="str">
        <f t="shared" si="3"/>
        <v/>
      </c>
      <c r="L34" s="99" t="str">
        <f t="shared" si="4"/>
        <v/>
      </c>
      <c r="M34" s="99" t="str">
        <f t="shared" si="5"/>
        <v/>
      </c>
      <c r="N34" s="99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2"/>
      <c r="B35" s="47"/>
      <c r="C35" s="47"/>
      <c r="D35" s="94"/>
      <c r="E35" s="94"/>
      <c r="F35" s="95"/>
      <c r="G35" s="142"/>
      <c r="H35" s="142"/>
      <c r="I35" s="98" t="str">
        <f t="shared" si="1"/>
        <v/>
      </c>
      <c r="J35" s="98" t="str">
        <f t="shared" si="2"/>
        <v/>
      </c>
      <c r="K35" s="99" t="str">
        <f t="shared" si="3"/>
        <v/>
      </c>
      <c r="L35" s="99" t="str">
        <f t="shared" si="4"/>
        <v/>
      </c>
      <c r="M35" s="99" t="str">
        <f t="shared" si="5"/>
        <v/>
      </c>
      <c r="N35" s="99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2"/>
      <c r="B36" s="47"/>
      <c r="C36" s="47"/>
      <c r="D36" s="94"/>
      <c r="E36" s="94"/>
      <c r="F36" s="95"/>
      <c r="G36" s="142"/>
      <c r="H36" s="142"/>
      <c r="I36" s="98" t="str">
        <f t="shared" si="1"/>
        <v/>
      </c>
      <c r="J36" s="98" t="str">
        <f t="shared" si="2"/>
        <v/>
      </c>
      <c r="K36" s="99" t="str">
        <f t="shared" si="3"/>
        <v/>
      </c>
      <c r="L36" s="99" t="str">
        <f t="shared" si="4"/>
        <v/>
      </c>
      <c r="M36" s="99" t="str">
        <f t="shared" si="5"/>
        <v/>
      </c>
      <c r="N36" s="99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2"/>
      <c r="B37" s="47"/>
      <c r="C37" s="47"/>
      <c r="D37" s="94"/>
      <c r="E37" s="94"/>
      <c r="F37" s="95"/>
      <c r="G37" s="142"/>
      <c r="H37" s="142"/>
      <c r="I37" s="98" t="str">
        <f t="shared" si="1"/>
        <v/>
      </c>
      <c r="J37" s="98" t="str">
        <f t="shared" si="2"/>
        <v/>
      </c>
      <c r="K37" s="99" t="str">
        <f t="shared" si="3"/>
        <v/>
      </c>
      <c r="L37" s="99" t="str">
        <f t="shared" si="4"/>
        <v/>
      </c>
      <c r="M37" s="99" t="str">
        <f t="shared" si="5"/>
        <v/>
      </c>
      <c r="N37" s="99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2"/>
      <c r="B38" s="47"/>
      <c r="C38" s="47"/>
      <c r="D38" s="94"/>
      <c r="E38" s="94"/>
      <c r="F38" s="95"/>
      <c r="G38" s="142"/>
      <c r="H38" s="142"/>
      <c r="I38" s="98" t="str">
        <f t="shared" si="1"/>
        <v/>
      </c>
      <c r="J38" s="98" t="str">
        <f t="shared" si="2"/>
        <v/>
      </c>
      <c r="K38" s="99" t="str">
        <f t="shared" si="3"/>
        <v/>
      </c>
      <c r="L38" s="99" t="str">
        <f t="shared" si="4"/>
        <v/>
      </c>
      <c r="M38" s="99" t="str">
        <f t="shared" si="5"/>
        <v/>
      </c>
      <c r="N38" s="99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2"/>
      <c r="B39" s="47"/>
      <c r="C39" s="47"/>
      <c r="D39" s="94"/>
      <c r="E39" s="94"/>
      <c r="F39" s="95"/>
      <c r="G39" s="142"/>
      <c r="H39" s="142"/>
      <c r="I39" s="98" t="str">
        <f t="shared" si="1"/>
        <v/>
      </c>
      <c r="J39" s="98" t="str">
        <f t="shared" si="2"/>
        <v/>
      </c>
      <c r="K39" s="99" t="str">
        <f t="shared" si="3"/>
        <v/>
      </c>
      <c r="L39" s="99" t="str">
        <f t="shared" si="4"/>
        <v/>
      </c>
      <c r="M39" s="99" t="str">
        <f t="shared" si="5"/>
        <v/>
      </c>
      <c r="N39" s="99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2"/>
      <c r="B40" s="47"/>
      <c r="C40" s="47"/>
      <c r="D40" s="94"/>
      <c r="E40" s="94"/>
      <c r="F40" s="95"/>
      <c r="G40" s="142"/>
      <c r="H40" s="142"/>
      <c r="I40" s="98" t="str">
        <f t="shared" si="1"/>
        <v/>
      </c>
      <c r="J40" s="98" t="str">
        <f t="shared" si="2"/>
        <v/>
      </c>
      <c r="K40" s="99" t="str">
        <f t="shared" si="3"/>
        <v/>
      </c>
      <c r="L40" s="99" t="str">
        <f t="shared" si="4"/>
        <v/>
      </c>
      <c r="M40" s="99" t="str">
        <f t="shared" si="5"/>
        <v/>
      </c>
      <c r="N40" s="99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2"/>
      <c r="B41" s="47"/>
      <c r="C41" s="47"/>
      <c r="D41" s="94"/>
      <c r="E41" s="94"/>
      <c r="F41" s="95"/>
      <c r="G41" s="142"/>
      <c r="H41" s="142"/>
      <c r="I41" s="98" t="str">
        <f t="shared" si="1"/>
        <v/>
      </c>
      <c r="J41" s="98" t="str">
        <f t="shared" si="2"/>
        <v/>
      </c>
      <c r="K41" s="99" t="str">
        <f t="shared" si="3"/>
        <v/>
      </c>
      <c r="L41" s="99" t="str">
        <f t="shared" si="4"/>
        <v/>
      </c>
      <c r="M41" s="99" t="str">
        <f t="shared" si="5"/>
        <v/>
      </c>
      <c r="N41" s="99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3"/>
      <c r="B42" s="47"/>
      <c r="C42" s="47"/>
      <c r="D42" s="94"/>
      <c r="E42" s="94"/>
      <c r="F42" s="95"/>
      <c r="G42" s="142"/>
      <c r="H42" s="142"/>
      <c r="I42" s="98" t="str">
        <f t="shared" si="1"/>
        <v/>
      </c>
      <c r="J42" s="98" t="str">
        <f t="shared" si="2"/>
        <v/>
      </c>
      <c r="K42" s="99" t="str">
        <f t="shared" si="3"/>
        <v/>
      </c>
      <c r="L42" s="99" t="str">
        <f t="shared" si="4"/>
        <v/>
      </c>
      <c r="M42" s="99" t="str">
        <f t="shared" si="5"/>
        <v/>
      </c>
      <c r="N42" s="99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3"/>
      <c r="B43" s="47"/>
      <c r="C43" s="47"/>
      <c r="D43" s="94"/>
      <c r="E43" s="94"/>
      <c r="F43" s="95"/>
      <c r="G43" s="142"/>
      <c r="H43" s="142"/>
      <c r="I43" s="98" t="str">
        <f t="shared" si="1"/>
        <v/>
      </c>
      <c r="J43" s="98" t="str">
        <f t="shared" si="2"/>
        <v/>
      </c>
      <c r="K43" s="99" t="str">
        <f t="shared" si="3"/>
        <v/>
      </c>
      <c r="L43" s="99" t="str">
        <f t="shared" si="4"/>
        <v/>
      </c>
      <c r="M43" s="99" t="str">
        <f t="shared" si="5"/>
        <v/>
      </c>
      <c r="N43" s="99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3"/>
      <c r="B44" s="47"/>
      <c r="C44" s="47"/>
      <c r="D44" s="94"/>
      <c r="E44" s="94"/>
      <c r="F44" s="95"/>
      <c r="G44" s="142"/>
      <c r="H44" s="142"/>
      <c r="I44" s="98" t="str">
        <f t="shared" si="1"/>
        <v/>
      </c>
      <c r="J44" s="98" t="str">
        <f t="shared" si="2"/>
        <v/>
      </c>
      <c r="K44" s="99" t="str">
        <f t="shared" si="3"/>
        <v/>
      </c>
      <c r="L44" s="99" t="str">
        <f t="shared" si="4"/>
        <v/>
      </c>
      <c r="M44" s="99" t="str">
        <f t="shared" si="5"/>
        <v/>
      </c>
      <c r="N44" s="99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3"/>
      <c r="B45" s="47"/>
      <c r="C45" s="47"/>
      <c r="D45" s="94"/>
      <c r="E45" s="94"/>
      <c r="F45" s="95"/>
      <c r="G45" s="142"/>
      <c r="H45" s="142"/>
      <c r="I45" s="98" t="str">
        <f t="shared" si="1"/>
        <v/>
      </c>
      <c r="J45" s="98" t="str">
        <f t="shared" si="2"/>
        <v/>
      </c>
      <c r="K45" s="99" t="str">
        <f t="shared" si="3"/>
        <v/>
      </c>
      <c r="L45" s="99" t="str">
        <f t="shared" si="4"/>
        <v/>
      </c>
      <c r="M45" s="99" t="str">
        <f t="shared" si="5"/>
        <v/>
      </c>
      <c r="N45" s="99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2"/>
      <c r="B46" s="47"/>
      <c r="C46" s="47"/>
      <c r="D46" s="96"/>
      <c r="E46" s="96"/>
      <c r="F46" s="95"/>
      <c r="G46" s="142"/>
      <c r="H46" s="142"/>
      <c r="I46" s="98" t="str">
        <f t="shared" si="1"/>
        <v/>
      </c>
      <c r="J46" s="98" t="str">
        <f t="shared" si="2"/>
        <v/>
      </c>
      <c r="K46" s="99" t="str">
        <f t="shared" si="3"/>
        <v/>
      </c>
      <c r="L46" s="99" t="str">
        <f t="shared" si="4"/>
        <v/>
      </c>
      <c r="M46" s="99" t="str">
        <f t="shared" si="5"/>
        <v/>
      </c>
      <c r="N46" s="99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2"/>
      <c r="B47" s="47"/>
      <c r="C47" s="47"/>
      <c r="D47" s="94"/>
      <c r="E47" s="94"/>
      <c r="F47" s="95"/>
      <c r="G47" s="142"/>
      <c r="H47" s="142"/>
      <c r="I47" s="98" t="str">
        <f t="shared" si="1"/>
        <v/>
      </c>
      <c r="J47" s="98" t="str">
        <f t="shared" si="2"/>
        <v/>
      </c>
      <c r="K47" s="99" t="str">
        <f t="shared" si="3"/>
        <v/>
      </c>
      <c r="L47" s="99" t="str">
        <f t="shared" si="4"/>
        <v/>
      </c>
      <c r="M47" s="99" t="str">
        <f t="shared" si="5"/>
        <v/>
      </c>
      <c r="N47" s="99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2"/>
      <c r="B48" s="47"/>
      <c r="C48" s="47"/>
      <c r="D48" s="94"/>
      <c r="E48" s="94"/>
      <c r="F48" s="95"/>
      <c r="G48" s="142"/>
      <c r="H48" s="142"/>
      <c r="I48" s="98" t="str">
        <f t="shared" ref="I48:I50" si="13">IF(D48=0,"",LOG($K$15*10^D48+$K$16*10^E48+$K$14))</f>
        <v/>
      </c>
      <c r="J48" s="98" t="str">
        <f t="shared" ref="J48:J50" si="14">IF(D48=0,"",LOG($K$21*10^D48+$K$22*10^E48+$K$20))</f>
        <v/>
      </c>
      <c r="K48" s="99" t="str">
        <f t="shared" ref="K48:K50" si="15">IF(D48=0,"",1/(1+10^D48*$J$15/$J$14+10^E48*$J$16/$J$14+10^J48*$J$19/$J$14))</f>
        <v/>
      </c>
      <c r="L48" s="99" t="str">
        <f t="shared" ref="L48:L50" si="16">IF(D48=0,"",1/(1+10^I48/10^J48*$J$13/$J$19))</f>
        <v/>
      </c>
      <c r="M48" s="99" t="str">
        <f t="shared" ref="M48:M92" si="17">IF(D48=0,"",1-L48)</f>
        <v/>
      </c>
      <c r="N48" s="99" t="str">
        <f t="shared" ref="N48:N50" si="18">IF(D48=0,"",1/(1/10^E48*$J$20/$J$22+10^D48/10^E48*$J$21/$J$22+10^I48/10^E48*$J$13/$J$22+1))</f>
        <v/>
      </c>
      <c r="O48" s="41" t="str">
        <f t="shared" ref="O48:O92" si="19">IF(D48=0,"",F48*K48*$J$7/$J$14)</f>
        <v/>
      </c>
      <c r="P48" s="41" t="str">
        <f t="shared" ref="P48:P50" si="20">IF(D48=0,"",O48*10^J48)</f>
        <v/>
      </c>
      <c r="Q48" s="41" t="str">
        <f t="shared" ref="Q48:Q50" si="21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2"/>
      <c r="B49" s="47"/>
      <c r="C49" s="47"/>
      <c r="D49" s="94"/>
      <c r="E49" s="94"/>
      <c r="F49" s="95"/>
      <c r="G49" s="142"/>
      <c r="H49" s="142"/>
      <c r="I49" s="98" t="str">
        <f t="shared" si="13"/>
        <v/>
      </c>
      <c r="J49" s="98" t="str">
        <f t="shared" si="14"/>
        <v/>
      </c>
      <c r="K49" s="99" t="str">
        <f t="shared" si="15"/>
        <v/>
      </c>
      <c r="L49" s="99" t="str">
        <f t="shared" si="16"/>
        <v/>
      </c>
      <c r="M49" s="99" t="str">
        <f t="shared" si="17"/>
        <v/>
      </c>
      <c r="N49" s="99" t="str">
        <f t="shared" si="18"/>
        <v/>
      </c>
      <c r="O49" s="41" t="str">
        <f t="shared" si="19"/>
        <v/>
      </c>
      <c r="P49" s="41" t="str">
        <f t="shared" si="20"/>
        <v/>
      </c>
      <c r="Q49" s="41" t="str">
        <f t="shared" si="21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2"/>
      <c r="B50" s="47"/>
      <c r="C50" s="47"/>
      <c r="D50" s="94"/>
      <c r="E50" s="94"/>
      <c r="F50" s="95"/>
      <c r="G50" s="142"/>
      <c r="H50" s="142"/>
      <c r="I50" s="98" t="str">
        <f t="shared" si="13"/>
        <v/>
      </c>
      <c r="J50" s="98" t="str">
        <f t="shared" si="14"/>
        <v/>
      </c>
      <c r="K50" s="99" t="str">
        <f t="shared" si="15"/>
        <v/>
      </c>
      <c r="L50" s="99" t="str">
        <f t="shared" si="16"/>
        <v/>
      </c>
      <c r="M50" s="99" t="str">
        <f t="shared" si="17"/>
        <v/>
      </c>
      <c r="N50" s="99" t="str">
        <f t="shared" si="18"/>
        <v/>
      </c>
      <c r="O50" s="41" t="str">
        <f t="shared" si="19"/>
        <v/>
      </c>
      <c r="P50" s="41" t="str">
        <f t="shared" si="20"/>
        <v/>
      </c>
      <c r="Q50" s="41" t="str">
        <f t="shared" si="21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2"/>
      <c r="B51" s="47"/>
      <c r="C51" s="47"/>
      <c r="D51" s="94"/>
      <c r="E51" s="94"/>
      <c r="F51" s="95"/>
      <c r="G51" s="142"/>
      <c r="H51" s="142"/>
      <c r="I51" s="98" t="str">
        <f t="shared" ref="I51:I70" si="22">IF(D51=0,"",LOG($K$15*10^D51+$K$16*10^E51+$K$14))</f>
        <v/>
      </c>
      <c r="J51" s="98" t="str">
        <f t="shared" ref="J51:J70" si="23">IF(D51=0,"",LOG($K$21*10^D51+$K$22*10^E51+$K$20))</f>
        <v/>
      </c>
      <c r="K51" s="99" t="str">
        <f t="shared" ref="K51:K70" si="24">IF(D51=0,"",1/(1+10^D51*$J$15/$J$14+10^E51*$J$16/$J$14+10^J51*$J$19/$J$14))</f>
        <v/>
      </c>
      <c r="L51" s="99" t="str">
        <f t="shared" ref="L51:L70" si="25">IF(D51=0,"",1/(1+10^I51/10^J51*$J$13/$J$19))</f>
        <v/>
      </c>
      <c r="M51" s="99" t="str">
        <f t="shared" ref="M51:M70" si="26">IF(D51=0,"",1-L51)</f>
        <v/>
      </c>
      <c r="N51" s="99" t="str">
        <f t="shared" ref="N51:N70" si="27">IF(D51=0,"",1/(1/10^E51*$J$20/$J$22+10^D51/10^E51*$J$21/$J$22+10^I51/10^E51*$J$13/$J$22+1))</f>
        <v/>
      </c>
      <c r="O51" s="41" t="str">
        <f t="shared" ref="O51:O70" si="28">IF(D51=0,"",F51*K51*$J$7/$J$14)</f>
        <v/>
      </c>
      <c r="P51" s="41" t="str">
        <f t="shared" ref="P51:P70" si="29">IF(D51=0,"",O51*10^J51)</f>
        <v/>
      </c>
      <c r="Q51" s="41" t="str">
        <f t="shared" ref="Q51:Q70" si="30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5"/>
      <c r="G52" s="142"/>
      <c r="H52" s="142"/>
      <c r="I52" s="98" t="str">
        <f t="shared" si="22"/>
        <v/>
      </c>
      <c r="J52" s="98" t="str">
        <f t="shared" si="23"/>
        <v/>
      </c>
      <c r="K52" s="99" t="str">
        <f t="shared" si="24"/>
        <v/>
      </c>
      <c r="L52" s="99" t="str">
        <f t="shared" si="25"/>
        <v/>
      </c>
      <c r="M52" s="99" t="str">
        <f t="shared" si="26"/>
        <v/>
      </c>
      <c r="N52" s="99" t="str">
        <f t="shared" si="27"/>
        <v/>
      </c>
      <c r="O52" s="41" t="str">
        <f t="shared" si="28"/>
        <v/>
      </c>
      <c r="P52" s="41" t="str">
        <f t="shared" si="29"/>
        <v/>
      </c>
      <c r="Q52" s="41" t="str">
        <f t="shared" si="30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5"/>
      <c r="G53" s="142"/>
      <c r="H53" s="142"/>
      <c r="I53" s="98" t="str">
        <f t="shared" si="22"/>
        <v/>
      </c>
      <c r="J53" s="98" t="str">
        <f t="shared" si="23"/>
        <v/>
      </c>
      <c r="K53" s="99" t="str">
        <f t="shared" si="24"/>
        <v/>
      </c>
      <c r="L53" s="99" t="str">
        <f t="shared" si="25"/>
        <v/>
      </c>
      <c r="M53" s="99" t="str">
        <f t="shared" si="26"/>
        <v/>
      </c>
      <c r="N53" s="99" t="str">
        <f t="shared" si="27"/>
        <v/>
      </c>
      <c r="O53" s="41" t="str">
        <f t="shared" si="28"/>
        <v/>
      </c>
      <c r="P53" s="41" t="str">
        <f t="shared" si="29"/>
        <v/>
      </c>
      <c r="Q53" s="41" t="str">
        <f t="shared" si="30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5"/>
      <c r="G54" s="142"/>
      <c r="H54" s="142"/>
      <c r="I54" s="98" t="str">
        <f t="shared" si="22"/>
        <v/>
      </c>
      <c r="J54" s="98" t="str">
        <f t="shared" si="23"/>
        <v/>
      </c>
      <c r="K54" s="99" t="str">
        <f t="shared" si="24"/>
        <v/>
      </c>
      <c r="L54" s="99" t="str">
        <f t="shared" si="25"/>
        <v/>
      </c>
      <c r="M54" s="99" t="str">
        <f t="shared" si="26"/>
        <v/>
      </c>
      <c r="N54" s="99" t="str">
        <f t="shared" si="27"/>
        <v/>
      </c>
      <c r="O54" s="41" t="str">
        <f t="shared" si="28"/>
        <v/>
      </c>
      <c r="P54" s="41" t="str">
        <f t="shared" si="29"/>
        <v/>
      </c>
      <c r="Q54" s="41" t="str">
        <f t="shared" si="30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2"/>
      <c r="H55" s="142"/>
      <c r="I55" s="55" t="str">
        <f t="shared" si="22"/>
        <v/>
      </c>
      <c r="J55" s="55" t="str">
        <f t="shared" si="23"/>
        <v/>
      </c>
      <c r="K55" s="56" t="str">
        <f t="shared" si="24"/>
        <v/>
      </c>
      <c r="L55" s="56" t="str">
        <f t="shared" si="25"/>
        <v/>
      </c>
      <c r="M55" s="56" t="str">
        <f t="shared" si="26"/>
        <v/>
      </c>
      <c r="N55" s="56" t="str">
        <f t="shared" si="27"/>
        <v/>
      </c>
      <c r="O55" s="57" t="str">
        <f t="shared" si="28"/>
        <v/>
      </c>
      <c r="P55" s="57" t="str">
        <f t="shared" si="29"/>
        <v/>
      </c>
      <c r="Q55" s="57" t="str">
        <f t="shared" si="30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2"/>
      <c r="H56" s="142"/>
      <c r="I56" s="55" t="str">
        <f t="shared" si="22"/>
        <v/>
      </c>
      <c r="J56" s="55" t="str">
        <f t="shared" si="23"/>
        <v/>
      </c>
      <c r="K56" s="56" t="str">
        <f t="shared" si="24"/>
        <v/>
      </c>
      <c r="L56" s="56" t="str">
        <f t="shared" si="25"/>
        <v/>
      </c>
      <c r="M56" s="56" t="str">
        <f t="shared" si="26"/>
        <v/>
      </c>
      <c r="N56" s="56" t="str">
        <f t="shared" si="27"/>
        <v/>
      </c>
      <c r="O56" s="57" t="str">
        <f t="shared" si="28"/>
        <v/>
      </c>
      <c r="P56" s="57" t="str">
        <f t="shared" si="29"/>
        <v/>
      </c>
      <c r="Q56" s="57" t="str">
        <f t="shared" si="30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1"/>
      <c r="C57" s="91"/>
      <c r="D57" s="94"/>
      <c r="E57" s="94"/>
      <c r="F57" s="95"/>
      <c r="G57" s="142"/>
      <c r="H57" s="142"/>
      <c r="I57" s="55" t="str">
        <f t="shared" si="22"/>
        <v/>
      </c>
      <c r="J57" s="55" t="str">
        <f t="shared" si="23"/>
        <v/>
      </c>
      <c r="K57" s="56" t="str">
        <f t="shared" si="24"/>
        <v/>
      </c>
      <c r="L57" s="56" t="str">
        <f t="shared" si="25"/>
        <v/>
      </c>
      <c r="M57" s="56" t="str">
        <f t="shared" si="26"/>
        <v/>
      </c>
      <c r="N57" s="56" t="str">
        <f t="shared" si="27"/>
        <v/>
      </c>
      <c r="O57" s="57" t="str">
        <f t="shared" si="28"/>
        <v/>
      </c>
      <c r="P57" s="57" t="str">
        <f t="shared" si="29"/>
        <v/>
      </c>
      <c r="Q57" s="57" t="str">
        <f t="shared" si="30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2"/>
      <c r="H58" s="142"/>
      <c r="I58" s="55" t="str">
        <f t="shared" si="22"/>
        <v/>
      </c>
      <c r="J58" s="55" t="str">
        <f t="shared" si="23"/>
        <v/>
      </c>
      <c r="K58" s="56" t="str">
        <f t="shared" si="24"/>
        <v/>
      </c>
      <c r="L58" s="56" t="str">
        <f t="shared" si="25"/>
        <v/>
      </c>
      <c r="M58" s="56" t="str">
        <f t="shared" si="26"/>
        <v/>
      </c>
      <c r="N58" s="56" t="str">
        <f t="shared" si="27"/>
        <v/>
      </c>
      <c r="O58" s="57" t="str">
        <f t="shared" si="28"/>
        <v/>
      </c>
      <c r="P58" s="57" t="str">
        <f t="shared" si="29"/>
        <v/>
      </c>
      <c r="Q58" s="57" t="str">
        <f t="shared" si="30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2"/>
      <c r="H59" s="142"/>
      <c r="I59" s="55" t="str">
        <f t="shared" si="22"/>
        <v/>
      </c>
      <c r="J59" s="55" t="str">
        <f t="shared" si="23"/>
        <v/>
      </c>
      <c r="K59" s="56" t="str">
        <f t="shared" si="24"/>
        <v/>
      </c>
      <c r="L59" s="56" t="str">
        <f t="shared" si="25"/>
        <v/>
      </c>
      <c r="M59" s="56" t="str">
        <f t="shared" si="26"/>
        <v/>
      </c>
      <c r="N59" s="56" t="str">
        <f t="shared" si="27"/>
        <v/>
      </c>
      <c r="O59" s="57" t="str">
        <f t="shared" si="28"/>
        <v/>
      </c>
      <c r="P59" s="57" t="str">
        <f t="shared" si="29"/>
        <v/>
      </c>
      <c r="Q59" s="57" t="str">
        <f t="shared" si="30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2"/>
      <c r="H60" s="142"/>
      <c r="I60" s="55" t="str">
        <f t="shared" si="22"/>
        <v/>
      </c>
      <c r="J60" s="55" t="str">
        <f t="shared" si="23"/>
        <v/>
      </c>
      <c r="K60" s="56" t="str">
        <f t="shared" si="24"/>
        <v/>
      </c>
      <c r="L60" s="56" t="str">
        <f t="shared" si="25"/>
        <v/>
      </c>
      <c r="M60" s="56" t="str">
        <f t="shared" si="26"/>
        <v/>
      </c>
      <c r="N60" s="56" t="str">
        <f t="shared" si="27"/>
        <v/>
      </c>
      <c r="O60" s="57" t="str">
        <f t="shared" si="28"/>
        <v/>
      </c>
      <c r="P60" s="57" t="str">
        <f t="shared" si="29"/>
        <v/>
      </c>
      <c r="Q60" s="57" t="str">
        <f t="shared" si="30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2"/>
      <c r="H61" s="142"/>
      <c r="I61" s="55" t="str">
        <f t="shared" si="22"/>
        <v/>
      </c>
      <c r="J61" s="55" t="str">
        <f t="shared" si="23"/>
        <v/>
      </c>
      <c r="K61" s="56" t="str">
        <f t="shared" si="24"/>
        <v/>
      </c>
      <c r="L61" s="56" t="str">
        <f t="shared" si="25"/>
        <v/>
      </c>
      <c r="M61" s="56" t="str">
        <f t="shared" si="26"/>
        <v/>
      </c>
      <c r="N61" s="56" t="str">
        <f t="shared" si="27"/>
        <v/>
      </c>
      <c r="O61" s="57" t="str">
        <f t="shared" si="28"/>
        <v/>
      </c>
      <c r="P61" s="57" t="str">
        <f t="shared" si="29"/>
        <v/>
      </c>
      <c r="Q61" s="57" t="str">
        <f t="shared" si="30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2"/>
      <c r="H62" s="142"/>
      <c r="I62" s="55" t="str">
        <f t="shared" si="22"/>
        <v/>
      </c>
      <c r="J62" s="55" t="str">
        <f t="shared" si="23"/>
        <v/>
      </c>
      <c r="K62" s="56" t="str">
        <f t="shared" si="24"/>
        <v/>
      </c>
      <c r="L62" s="56" t="str">
        <f t="shared" si="25"/>
        <v/>
      </c>
      <c r="M62" s="56" t="str">
        <f t="shared" si="26"/>
        <v/>
      </c>
      <c r="N62" s="56" t="str">
        <f t="shared" si="27"/>
        <v/>
      </c>
      <c r="O62" s="57" t="str">
        <f t="shared" si="28"/>
        <v/>
      </c>
      <c r="P62" s="57" t="str">
        <f t="shared" si="29"/>
        <v/>
      </c>
      <c r="Q62" s="57" t="str">
        <f t="shared" si="30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2"/>
      <c r="H63" s="142"/>
      <c r="I63" s="55" t="str">
        <f t="shared" si="22"/>
        <v/>
      </c>
      <c r="J63" s="55" t="str">
        <f t="shared" si="23"/>
        <v/>
      </c>
      <c r="K63" s="56" t="str">
        <f t="shared" si="24"/>
        <v/>
      </c>
      <c r="L63" s="56" t="str">
        <f t="shared" si="25"/>
        <v/>
      </c>
      <c r="M63" s="56" t="str">
        <f t="shared" si="26"/>
        <v/>
      </c>
      <c r="N63" s="56" t="str">
        <f t="shared" si="27"/>
        <v/>
      </c>
      <c r="O63" s="57" t="str">
        <f t="shared" si="28"/>
        <v/>
      </c>
      <c r="P63" s="57" t="str">
        <f t="shared" si="29"/>
        <v/>
      </c>
      <c r="Q63" s="57" t="str">
        <f t="shared" si="30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2"/>
      <c r="H64" s="142"/>
      <c r="I64" s="55" t="str">
        <f t="shared" si="22"/>
        <v/>
      </c>
      <c r="J64" s="55" t="str">
        <f t="shared" si="23"/>
        <v/>
      </c>
      <c r="K64" s="56" t="str">
        <f t="shared" si="24"/>
        <v/>
      </c>
      <c r="L64" s="56" t="str">
        <f t="shared" si="25"/>
        <v/>
      </c>
      <c r="M64" s="56" t="str">
        <f t="shared" si="26"/>
        <v/>
      </c>
      <c r="N64" s="56" t="str">
        <f t="shared" si="27"/>
        <v/>
      </c>
      <c r="O64" s="57" t="str">
        <f t="shared" si="28"/>
        <v/>
      </c>
      <c r="P64" s="57" t="str">
        <f t="shared" si="29"/>
        <v/>
      </c>
      <c r="Q64" s="57" t="str">
        <f t="shared" si="30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2"/>
      <c r="H65" s="142"/>
      <c r="I65" s="55" t="str">
        <f t="shared" si="22"/>
        <v/>
      </c>
      <c r="J65" s="55" t="str">
        <f t="shared" si="23"/>
        <v/>
      </c>
      <c r="K65" s="56" t="str">
        <f t="shared" si="24"/>
        <v/>
      </c>
      <c r="L65" s="56" t="str">
        <f t="shared" si="25"/>
        <v/>
      </c>
      <c r="M65" s="56" t="str">
        <f t="shared" si="26"/>
        <v/>
      </c>
      <c r="N65" s="56" t="str">
        <f t="shared" si="27"/>
        <v/>
      </c>
      <c r="O65" s="57" t="str">
        <f t="shared" si="28"/>
        <v/>
      </c>
      <c r="P65" s="57" t="str">
        <f t="shared" si="29"/>
        <v/>
      </c>
      <c r="Q65" s="57" t="str">
        <f t="shared" si="30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2"/>
      <c r="H66" s="142"/>
      <c r="I66" s="55" t="str">
        <f t="shared" si="22"/>
        <v/>
      </c>
      <c r="J66" s="55" t="str">
        <f t="shared" si="23"/>
        <v/>
      </c>
      <c r="K66" s="56" t="str">
        <f t="shared" si="24"/>
        <v/>
      </c>
      <c r="L66" s="56" t="str">
        <f t="shared" si="25"/>
        <v/>
      </c>
      <c r="M66" s="56" t="str">
        <f t="shared" si="26"/>
        <v/>
      </c>
      <c r="N66" s="56" t="str">
        <f t="shared" si="27"/>
        <v/>
      </c>
      <c r="O66" s="57" t="str">
        <f t="shared" si="28"/>
        <v/>
      </c>
      <c r="P66" s="57" t="str">
        <f t="shared" si="29"/>
        <v/>
      </c>
      <c r="Q66" s="57" t="str">
        <f t="shared" si="30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2"/>
      <c r="H67" s="142"/>
      <c r="I67" s="55" t="str">
        <f t="shared" si="22"/>
        <v/>
      </c>
      <c r="J67" s="55" t="str">
        <f t="shared" si="23"/>
        <v/>
      </c>
      <c r="K67" s="56" t="str">
        <f t="shared" si="24"/>
        <v/>
      </c>
      <c r="L67" s="56" t="str">
        <f t="shared" si="25"/>
        <v/>
      </c>
      <c r="M67" s="56" t="str">
        <f t="shared" si="26"/>
        <v/>
      </c>
      <c r="N67" s="56" t="str">
        <f t="shared" si="27"/>
        <v/>
      </c>
      <c r="O67" s="57" t="str">
        <f t="shared" si="28"/>
        <v/>
      </c>
      <c r="P67" s="57" t="str">
        <f t="shared" si="29"/>
        <v/>
      </c>
      <c r="Q67" s="57" t="str">
        <f t="shared" si="30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2"/>
      <c r="H68" s="142"/>
      <c r="I68" s="55" t="str">
        <f t="shared" si="22"/>
        <v/>
      </c>
      <c r="J68" s="55" t="str">
        <f t="shared" si="23"/>
        <v/>
      </c>
      <c r="K68" s="56" t="str">
        <f t="shared" si="24"/>
        <v/>
      </c>
      <c r="L68" s="56" t="str">
        <f t="shared" si="25"/>
        <v/>
      </c>
      <c r="M68" s="56" t="str">
        <f t="shared" si="26"/>
        <v/>
      </c>
      <c r="N68" s="56" t="str">
        <f t="shared" si="27"/>
        <v/>
      </c>
      <c r="O68" s="57" t="str">
        <f t="shared" si="28"/>
        <v/>
      </c>
      <c r="P68" s="57" t="str">
        <f t="shared" si="29"/>
        <v/>
      </c>
      <c r="Q68" s="57" t="str">
        <f t="shared" si="30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2"/>
      <c r="H69" s="142"/>
      <c r="I69" s="55" t="str">
        <f t="shared" si="22"/>
        <v/>
      </c>
      <c r="J69" s="55" t="str">
        <f t="shared" si="23"/>
        <v/>
      </c>
      <c r="K69" s="56" t="str">
        <f t="shared" si="24"/>
        <v/>
      </c>
      <c r="L69" s="56" t="str">
        <f t="shared" si="25"/>
        <v/>
      </c>
      <c r="M69" s="56" t="str">
        <f t="shared" si="26"/>
        <v/>
      </c>
      <c r="N69" s="56" t="str">
        <f t="shared" si="27"/>
        <v/>
      </c>
      <c r="O69" s="57" t="str">
        <f t="shared" si="28"/>
        <v/>
      </c>
      <c r="P69" s="57" t="str">
        <f t="shared" si="29"/>
        <v/>
      </c>
      <c r="Q69" s="57" t="str">
        <f t="shared" si="30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2"/>
      <c r="H70" s="142"/>
      <c r="I70" s="55" t="str">
        <f t="shared" si="22"/>
        <v/>
      </c>
      <c r="J70" s="55" t="str">
        <f t="shared" si="23"/>
        <v/>
      </c>
      <c r="K70" s="56" t="str">
        <f t="shared" si="24"/>
        <v/>
      </c>
      <c r="L70" s="56" t="str">
        <f t="shared" si="25"/>
        <v/>
      </c>
      <c r="M70" s="56" t="str">
        <f t="shared" si="26"/>
        <v/>
      </c>
      <c r="N70" s="56" t="str">
        <f t="shared" si="27"/>
        <v/>
      </c>
      <c r="O70" s="57" t="str">
        <f t="shared" si="28"/>
        <v/>
      </c>
      <c r="P70" s="57" t="str">
        <f t="shared" si="29"/>
        <v/>
      </c>
      <c r="Q70" s="57" t="str">
        <f t="shared" si="30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2"/>
      <c r="H71" s="142"/>
      <c r="I71" s="55" t="str">
        <f t="shared" ref="I71:I122" si="31">IF(D71=0,"",LOG($K$15*10^D71+$K$16*10^E71+$K$14))</f>
        <v/>
      </c>
      <c r="J71" s="55" t="str">
        <f t="shared" ref="J71:J122" si="32">IF(D71=0,"",LOG($K$21*10^D71+$K$22*10^E71+$K$20))</f>
        <v/>
      </c>
      <c r="K71" s="56" t="str">
        <f t="shared" ref="K71:K122" si="33">IF(D71=0,"",1/(1+10^D71*$J$15/$J$14+10^E71*$J$16/$J$14+10^J71*$J$19/$J$14))</f>
        <v/>
      </c>
      <c r="L71" s="56" t="str">
        <f t="shared" ref="L71:L122" si="34">IF(D71=0,"",1/(1+10^I71/10^J71*$J$13/$J$19))</f>
        <v/>
      </c>
      <c r="M71" s="56" t="str">
        <f t="shared" si="17"/>
        <v/>
      </c>
      <c r="N71" s="56" t="str">
        <f t="shared" ref="N71:N122" si="35">IF(D71=0,"",1/(1/10^E71*$J$20/$J$22+10^D71/10^E71*$J$21/$J$22+10^I71/10^E71*$J$13/$J$22+1))</f>
        <v/>
      </c>
      <c r="O71" s="57" t="str">
        <f t="shared" si="19"/>
        <v/>
      </c>
      <c r="P71" s="57" t="str">
        <f t="shared" ref="P71:P122" si="36">IF(D71=0,"",O71*10^J71)</f>
        <v/>
      </c>
      <c r="Q71" s="57" t="str">
        <f t="shared" ref="Q71:Q122" si="37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2"/>
      <c r="H72" s="142"/>
      <c r="I72" s="55" t="str">
        <f t="shared" si="31"/>
        <v/>
      </c>
      <c r="J72" s="55" t="str">
        <f t="shared" si="32"/>
        <v/>
      </c>
      <c r="K72" s="56" t="str">
        <f t="shared" si="33"/>
        <v/>
      </c>
      <c r="L72" s="56" t="str">
        <f t="shared" si="34"/>
        <v/>
      </c>
      <c r="M72" s="56" t="str">
        <f t="shared" si="17"/>
        <v/>
      </c>
      <c r="N72" s="56" t="str">
        <f t="shared" si="35"/>
        <v/>
      </c>
      <c r="O72" s="57" t="str">
        <f t="shared" si="19"/>
        <v/>
      </c>
      <c r="P72" s="57" t="str">
        <f t="shared" si="36"/>
        <v/>
      </c>
      <c r="Q72" s="57" t="str">
        <f t="shared" si="37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2"/>
      <c r="H73" s="142"/>
      <c r="I73" s="55" t="str">
        <f t="shared" si="31"/>
        <v/>
      </c>
      <c r="J73" s="55" t="str">
        <f t="shared" si="32"/>
        <v/>
      </c>
      <c r="K73" s="56" t="str">
        <f t="shared" si="33"/>
        <v/>
      </c>
      <c r="L73" s="56" t="str">
        <f t="shared" si="34"/>
        <v/>
      </c>
      <c r="M73" s="56" t="str">
        <f t="shared" si="17"/>
        <v/>
      </c>
      <c r="N73" s="56" t="str">
        <f t="shared" si="35"/>
        <v/>
      </c>
      <c r="O73" s="57" t="str">
        <f t="shared" si="19"/>
        <v/>
      </c>
      <c r="P73" s="57" t="str">
        <f t="shared" si="36"/>
        <v/>
      </c>
      <c r="Q73" s="57" t="str">
        <f t="shared" si="37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2"/>
      <c r="H74" s="142"/>
      <c r="I74" s="55" t="str">
        <f t="shared" si="31"/>
        <v/>
      </c>
      <c r="J74" s="55" t="str">
        <f t="shared" si="32"/>
        <v/>
      </c>
      <c r="K74" s="56" t="str">
        <f t="shared" si="33"/>
        <v/>
      </c>
      <c r="L74" s="56" t="str">
        <f t="shared" si="34"/>
        <v/>
      </c>
      <c r="M74" s="56" t="str">
        <f t="shared" si="17"/>
        <v/>
      </c>
      <c r="N74" s="56" t="str">
        <f t="shared" si="35"/>
        <v/>
      </c>
      <c r="O74" s="57" t="str">
        <f t="shared" si="19"/>
        <v/>
      </c>
      <c r="P74" s="57" t="str">
        <f t="shared" si="36"/>
        <v/>
      </c>
      <c r="Q74" s="57" t="str">
        <f t="shared" si="37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2"/>
      <c r="H75" s="142"/>
      <c r="I75" s="55" t="str">
        <f t="shared" si="31"/>
        <v/>
      </c>
      <c r="J75" s="55" t="str">
        <f t="shared" si="32"/>
        <v/>
      </c>
      <c r="K75" s="56" t="str">
        <f t="shared" si="33"/>
        <v/>
      </c>
      <c r="L75" s="56" t="str">
        <f t="shared" si="34"/>
        <v/>
      </c>
      <c r="M75" s="56" t="str">
        <f t="shared" si="17"/>
        <v/>
      </c>
      <c r="N75" s="56" t="str">
        <f t="shared" si="35"/>
        <v/>
      </c>
      <c r="O75" s="57" t="str">
        <f t="shared" si="19"/>
        <v/>
      </c>
      <c r="P75" s="57" t="str">
        <f t="shared" si="36"/>
        <v/>
      </c>
      <c r="Q75" s="57" t="str">
        <f t="shared" si="37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2"/>
      <c r="H76" s="142"/>
      <c r="I76" s="55" t="str">
        <f t="shared" si="31"/>
        <v/>
      </c>
      <c r="J76" s="55" t="str">
        <f t="shared" si="32"/>
        <v/>
      </c>
      <c r="K76" s="56" t="str">
        <f t="shared" si="33"/>
        <v/>
      </c>
      <c r="L76" s="56" t="str">
        <f t="shared" si="34"/>
        <v/>
      </c>
      <c r="M76" s="56" t="str">
        <f t="shared" si="17"/>
        <v/>
      </c>
      <c r="N76" s="56" t="str">
        <f t="shared" si="35"/>
        <v/>
      </c>
      <c r="O76" s="57" t="str">
        <f t="shared" si="19"/>
        <v/>
      </c>
      <c r="P76" s="57" t="str">
        <f t="shared" si="36"/>
        <v/>
      </c>
      <c r="Q76" s="57" t="str">
        <f t="shared" si="37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2"/>
      <c r="H77" s="142"/>
      <c r="I77" s="55" t="str">
        <f t="shared" si="31"/>
        <v/>
      </c>
      <c r="J77" s="55" t="str">
        <f t="shared" si="32"/>
        <v/>
      </c>
      <c r="K77" s="56" t="str">
        <f t="shared" si="33"/>
        <v/>
      </c>
      <c r="L77" s="56" t="str">
        <f t="shared" si="34"/>
        <v/>
      </c>
      <c r="M77" s="56" t="str">
        <f t="shared" si="17"/>
        <v/>
      </c>
      <c r="N77" s="56" t="str">
        <f t="shared" si="35"/>
        <v/>
      </c>
      <c r="O77" s="57" t="str">
        <f t="shared" si="19"/>
        <v/>
      </c>
      <c r="P77" s="57" t="str">
        <f t="shared" si="36"/>
        <v/>
      </c>
      <c r="Q77" s="57" t="str">
        <f t="shared" si="37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1"/>
        <v/>
      </c>
      <c r="J78" s="55" t="str">
        <f t="shared" si="32"/>
        <v/>
      </c>
      <c r="K78" s="56" t="str">
        <f t="shared" si="33"/>
        <v/>
      </c>
      <c r="L78" s="56" t="str">
        <f t="shared" si="34"/>
        <v/>
      </c>
      <c r="M78" s="56" t="str">
        <f t="shared" si="17"/>
        <v/>
      </c>
      <c r="N78" s="56" t="str">
        <f t="shared" si="35"/>
        <v/>
      </c>
      <c r="O78" s="57" t="str">
        <f t="shared" si="19"/>
        <v/>
      </c>
      <c r="P78" s="57" t="str">
        <f t="shared" si="36"/>
        <v/>
      </c>
      <c r="Q78" s="57" t="str">
        <f t="shared" si="37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1"/>
        <v/>
      </c>
      <c r="J79" s="55" t="str">
        <f t="shared" si="32"/>
        <v/>
      </c>
      <c r="K79" s="56" t="str">
        <f t="shared" si="33"/>
        <v/>
      </c>
      <c r="L79" s="56" t="str">
        <f t="shared" si="34"/>
        <v/>
      </c>
      <c r="M79" s="56" t="str">
        <f t="shared" si="17"/>
        <v/>
      </c>
      <c r="N79" s="56" t="str">
        <f t="shared" si="35"/>
        <v/>
      </c>
      <c r="O79" s="57" t="str">
        <f t="shared" si="19"/>
        <v/>
      </c>
      <c r="P79" s="57" t="str">
        <f t="shared" si="36"/>
        <v/>
      </c>
      <c r="Q79" s="57" t="str">
        <f t="shared" si="37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1"/>
        <v/>
      </c>
      <c r="J80" s="55" t="str">
        <f t="shared" si="32"/>
        <v/>
      </c>
      <c r="K80" s="56" t="str">
        <f t="shared" si="33"/>
        <v/>
      </c>
      <c r="L80" s="56" t="str">
        <f t="shared" si="34"/>
        <v/>
      </c>
      <c r="M80" s="56" t="str">
        <f t="shared" si="17"/>
        <v/>
      </c>
      <c r="N80" s="56" t="str">
        <f t="shared" si="35"/>
        <v/>
      </c>
      <c r="O80" s="57" t="str">
        <f t="shared" si="19"/>
        <v/>
      </c>
      <c r="P80" s="57" t="str">
        <f t="shared" si="36"/>
        <v/>
      </c>
      <c r="Q80" s="57" t="str">
        <f t="shared" si="37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1"/>
        <v/>
      </c>
      <c r="J81" s="55" t="str">
        <f t="shared" si="32"/>
        <v/>
      </c>
      <c r="K81" s="56" t="str">
        <f t="shared" si="33"/>
        <v/>
      </c>
      <c r="L81" s="56" t="str">
        <f t="shared" si="34"/>
        <v/>
      </c>
      <c r="M81" s="56" t="str">
        <f t="shared" si="17"/>
        <v/>
      </c>
      <c r="N81" s="56" t="str">
        <f t="shared" si="35"/>
        <v/>
      </c>
      <c r="O81" s="57" t="str">
        <f t="shared" si="19"/>
        <v/>
      </c>
      <c r="P81" s="57" t="str">
        <f t="shared" si="36"/>
        <v/>
      </c>
      <c r="Q81" s="57" t="str">
        <f t="shared" si="37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1"/>
        <v/>
      </c>
      <c r="J82" s="55" t="str">
        <f t="shared" si="32"/>
        <v/>
      </c>
      <c r="K82" s="56" t="str">
        <f t="shared" si="33"/>
        <v/>
      </c>
      <c r="L82" s="56" t="str">
        <f t="shared" si="34"/>
        <v/>
      </c>
      <c r="M82" s="56" t="str">
        <f t="shared" si="17"/>
        <v/>
      </c>
      <c r="N82" s="56" t="str">
        <f t="shared" si="35"/>
        <v/>
      </c>
      <c r="O82" s="57" t="str">
        <f t="shared" si="19"/>
        <v/>
      </c>
      <c r="P82" s="57" t="str">
        <f t="shared" si="36"/>
        <v/>
      </c>
      <c r="Q82" s="57" t="str">
        <f t="shared" si="37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1"/>
        <v/>
      </c>
      <c r="J83" s="55" t="str">
        <f t="shared" si="32"/>
        <v/>
      </c>
      <c r="K83" s="56" t="str">
        <f t="shared" si="33"/>
        <v/>
      </c>
      <c r="L83" s="56" t="str">
        <f t="shared" si="34"/>
        <v/>
      </c>
      <c r="M83" s="56" t="str">
        <f t="shared" si="17"/>
        <v/>
      </c>
      <c r="N83" s="56" t="str">
        <f t="shared" si="35"/>
        <v/>
      </c>
      <c r="O83" s="57" t="str">
        <f t="shared" si="19"/>
        <v/>
      </c>
      <c r="P83" s="57" t="str">
        <f t="shared" si="36"/>
        <v/>
      </c>
      <c r="Q83" s="57" t="str">
        <f t="shared" si="37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1"/>
        <v/>
      </c>
      <c r="J84" s="55" t="str">
        <f t="shared" si="32"/>
        <v/>
      </c>
      <c r="K84" s="56" t="str">
        <f t="shared" si="33"/>
        <v/>
      </c>
      <c r="L84" s="56" t="str">
        <f t="shared" si="34"/>
        <v/>
      </c>
      <c r="M84" s="56" t="str">
        <f t="shared" si="17"/>
        <v/>
      </c>
      <c r="N84" s="56" t="str">
        <f t="shared" si="35"/>
        <v/>
      </c>
      <c r="O84" s="57" t="str">
        <f t="shared" si="19"/>
        <v/>
      </c>
      <c r="P84" s="57" t="str">
        <f t="shared" si="36"/>
        <v/>
      </c>
      <c r="Q84" s="57" t="str">
        <f t="shared" si="37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1"/>
        <v/>
      </c>
      <c r="J85" s="55" t="str">
        <f t="shared" si="32"/>
        <v/>
      </c>
      <c r="K85" s="56" t="str">
        <f t="shared" si="33"/>
        <v/>
      </c>
      <c r="L85" s="56" t="str">
        <f t="shared" si="34"/>
        <v/>
      </c>
      <c r="M85" s="56" t="str">
        <f t="shared" si="17"/>
        <v/>
      </c>
      <c r="N85" s="56" t="str">
        <f t="shared" si="35"/>
        <v/>
      </c>
      <c r="O85" s="57" t="str">
        <f t="shared" si="19"/>
        <v/>
      </c>
      <c r="P85" s="57" t="str">
        <f t="shared" si="36"/>
        <v/>
      </c>
      <c r="Q85" s="57" t="str">
        <f t="shared" si="37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1"/>
        <v/>
      </c>
      <c r="J86" s="55" t="str">
        <f t="shared" si="32"/>
        <v/>
      </c>
      <c r="K86" s="56" t="str">
        <f t="shared" si="33"/>
        <v/>
      </c>
      <c r="L86" s="56" t="str">
        <f t="shared" si="34"/>
        <v/>
      </c>
      <c r="M86" s="56" t="str">
        <f t="shared" si="17"/>
        <v/>
      </c>
      <c r="N86" s="56" t="str">
        <f t="shared" si="35"/>
        <v/>
      </c>
      <c r="O86" s="57" t="str">
        <f t="shared" si="19"/>
        <v/>
      </c>
      <c r="P86" s="57" t="str">
        <f t="shared" si="36"/>
        <v/>
      </c>
      <c r="Q86" s="57" t="str">
        <f t="shared" si="37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1"/>
        <v/>
      </c>
      <c r="J87" s="55" t="str">
        <f t="shared" si="32"/>
        <v/>
      </c>
      <c r="K87" s="56" t="str">
        <f t="shared" si="33"/>
        <v/>
      </c>
      <c r="L87" s="56" t="str">
        <f t="shared" si="34"/>
        <v/>
      </c>
      <c r="M87" s="56" t="str">
        <f t="shared" si="17"/>
        <v/>
      </c>
      <c r="N87" s="56" t="str">
        <f t="shared" si="35"/>
        <v/>
      </c>
      <c r="O87" s="57" t="str">
        <f t="shared" si="19"/>
        <v/>
      </c>
      <c r="P87" s="57" t="str">
        <f t="shared" si="36"/>
        <v/>
      </c>
      <c r="Q87" s="57" t="str">
        <f t="shared" si="37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1"/>
        <v/>
      </c>
      <c r="J88" s="55" t="str">
        <f t="shared" si="32"/>
        <v/>
      </c>
      <c r="K88" s="56" t="str">
        <f t="shared" si="33"/>
        <v/>
      </c>
      <c r="L88" s="56" t="str">
        <f t="shared" si="34"/>
        <v/>
      </c>
      <c r="M88" s="56" t="str">
        <f t="shared" si="17"/>
        <v/>
      </c>
      <c r="N88" s="56" t="str">
        <f t="shared" si="35"/>
        <v/>
      </c>
      <c r="O88" s="57" t="str">
        <f t="shared" si="19"/>
        <v/>
      </c>
      <c r="P88" s="57" t="str">
        <f t="shared" si="36"/>
        <v/>
      </c>
      <c r="Q88" s="57" t="str">
        <f t="shared" si="37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1"/>
        <v/>
      </c>
      <c r="J89" s="55" t="str">
        <f t="shared" si="32"/>
        <v/>
      </c>
      <c r="K89" s="56" t="str">
        <f t="shared" si="33"/>
        <v/>
      </c>
      <c r="L89" s="56" t="str">
        <f t="shared" si="34"/>
        <v/>
      </c>
      <c r="M89" s="56" t="str">
        <f t="shared" si="17"/>
        <v/>
      </c>
      <c r="N89" s="56" t="str">
        <f t="shared" si="35"/>
        <v/>
      </c>
      <c r="O89" s="57" t="str">
        <f t="shared" si="19"/>
        <v/>
      </c>
      <c r="P89" s="57" t="str">
        <f t="shared" si="36"/>
        <v/>
      </c>
      <c r="Q89" s="57" t="str">
        <f t="shared" si="37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1"/>
        <v/>
      </c>
      <c r="J90" s="55" t="str">
        <f t="shared" si="32"/>
        <v/>
      </c>
      <c r="K90" s="56" t="str">
        <f t="shared" si="33"/>
        <v/>
      </c>
      <c r="L90" s="56" t="str">
        <f t="shared" si="34"/>
        <v/>
      </c>
      <c r="M90" s="56" t="str">
        <f t="shared" si="17"/>
        <v/>
      </c>
      <c r="N90" s="56" t="str">
        <f t="shared" si="35"/>
        <v/>
      </c>
      <c r="O90" s="57" t="str">
        <f t="shared" si="19"/>
        <v/>
      </c>
      <c r="P90" s="57" t="str">
        <f t="shared" si="36"/>
        <v/>
      </c>
      <c r="Q90" s="57" t="str">
        <f t="shared" si="37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1"/>
        <v/>
      </c>
      <c r="J91" s="55" t="str">
        <f t="shared" si="32"/>
        <v/>
      </c>
      <c r="K91" s="56" t="str">
        <f t="shared" si="33"/>
        <v/>
      </c>
      <c r="L91" s="56" t="str">
        <f t="shared" si="34"/>
        <v/>
      </c>
      <c r="M91" s="56" t="str">
        <f t="shared" si="17"/>
        <v/>
      </c>
      <c r="N91" s="56" t="str">
        <f t="shared" si="35"/>
        <v/>
      </c>
      <c r="O91" s="57" t="str">
        <f t="shared" si="19"/>
        <v/>
      </c>
      <c r="P91" s="57" t="str">
        <f t="shared" si="36"/>
        <v/>
      </c>
      <c r="Q91" s="57" t="str">
        <f t="shared" si="37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1"/>
        <v/>
      </c>
      <c r="J92" s="55" t="str">
        <f t="shared" si="32"/>
        <v/>
      </c>
      <c r="K92" s="56" t="str">
        <f t="shared" si="33"/>
        <v/>
      </c>
      <c r="L92" s="56" t="str">
        <f t="shared" si="34"/>
        <v/>
      </c>
      <c r="M92" s="56" t="str">
        <f t="shared" si="17"/>
        <v/>
      </c>
      <c r="N92" s="56" t="str">
        <f t="shared" si="35"/>
        <v/>
      </c>
      <c r="O92" s="57" t="str">
        <f t="shared" si="19"/>
        <v/>
      </c>
      <c r="P92" s="57" t="str">
        <f t="shared" si="36"/>
        <v/>
      </c>
      <c r="Q92" s="57" t="str">
        <f t="shared" si="37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1"/>
        <v/>
      </c>
      <c r="J93" s="55" t="str">
        <f t="shared" si="32"/>
        <v/>
      </c>
      <c r="K93" s="56" t="str">
        <f t="shared" si="33"/>
        <v/>
      </c>
      <c r="L93" s="56" t="str">
        <f t="shared" si="34"/>
        <v/>
      </c>
      <c r="M93" s="56" t="str">
        <f t="shared" ref="M93:M127" si="38">IF(D93=0,"",1-L93)</f>
        <v/>
      </c>
      <c r="N93" s="56" t="str">
        <f t="shared" si="35"/>
        <v/>
      </c>
      <c r="O93" s="57" t="str">
        <f t="shared" ref="O93:O127" si="39">IF(D93=0,"",F93*K93*$J$7/$J$14)</f>
        <v/>
      </c>
      <c r="P93" s="57" t="str">
        <f t="shared" si="36"/>
        <v/>
      </c>
      <c r="Q93" s="57" t="str">
        <f t="shared" si="37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1"/>
        <v/>
      </c>
      <c r="J94" s="55" t="str">
        <f t="shared" si="32"/>
        <v/>
      </c>
      <c r="K94" s="56" t="str">
        <f t="shared" si="33"/>
        <v/>
      </c>
      <c r="L94" s="56" t="str">
        <f t="shared" si="34"/>
        <v/>
      </c>
      <c r="M94" s="56" t="str">
        <f t="shared" si="38"/>
        <v/>
      </c>
      <c r="N94" s="56" t="str">
        <f t="shared" si="35"/>
        <v/>
      </c>
      <c r="O94" s="57" t="str">
        <f t="shared" si="39"/>
        <v/>
      </c>
      <c r="P94" s="57" t="str">
        <f t="shared" si="36"/>
        <v/>
      </c>
      <c r="Q94" s="57" t="str">
        <f t="shared" si="37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1"/>
        <v/>
      </c>
      <c r="J95" s="55" t="str">
        <f t="shared" si="32"/>
        <v/>
      </c>
      <c r="K95" s="56" t="str">
        <f t="shared" si="33"/>
        <v/>
      </c>
      <c r="L95" s="56" t="str">
        <f t="shared" si="34"/>
        <v/>
      </c>
      <c r="M95" s="56" t="str">
        <f t="shared" si="38"/>
        <v/>
      </c>
      <c r="N95" s="56" t="str">
        <f t="shared" si="35"/>
        <v/>
      </c>
      <c r="O95" s="57" t="str">
        <f t="shared" si="39"/>
        <v/>
      </c>
      <c r="P95" s="57" t="str">
        <f t="shared" si="36"/>
        <v/>
      </c>
      <c r="Q95" s="57" t="str">
        <f t="shared" si="37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1"/>
        <v/>
      </c>
      <c r="J96" s="55" t="str">
        <f t="shared" si="32"/>
        <v/>
      </c>
      <c r="K96" s="56" t="str">
        <f t="shared" si="33"/>
        <v/>
      </c>
      <c r="L96" s="56" t="str">
        <f t="shared" si="34"/>
        <v/>
      </c>
      <c r="M96" s="56" t="str">
        <f t="shared" si="38"/>
        <v/>
      </c>
      <c r="N96" s="56" t="str">
        <f t="shared" si="35"/>
        <v/>
      </c>
      <c r="O96" s="57" t="str">
        <f t="shared" si="39"/>
        <v/>
      </c>
      <c r="P96" s="57" t="str">
        <f t="shared" si="36"/>
        <v/>
      </c>
      <c r="Q96" s="57" t="str">
        <f t="shared" si="37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1"/>
        <v/>
      </c>
      <c r="J97" s="55" t="str">
        <f t="shared" si="32"/>
        <v/>
      </c>
      <c r="K97" s="56" t="str">
        <f t="shared" si="33"/>
        <v/>
      </c>
      <c r="L97" s="56" t="str">
        <f t="shared" si="34"/>
        <v/>
      </c>
      <c r="M97" s="56" t="str">
        <f t="shared" si="38"/>
        <v/>
      </c>
      <c r="N97" s="56" t="str">
        <f t="shared" si="35"/>
        <v/>
      </c>
      <c r="O97" s="57" t="str">
        <f t="shared" si="39"/>
        <v/>
      </c>
      <c r="P97" s="57" t="str">
        <f t="shared" si="36"/>
        <v/>
      </c>
      <c r="Q97" s="57" t="str">
        <f t="shared" si="37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1"/>
        <v/>
      </c>
      <c r="J98" s="55" t="str">
        <f t="shared" si="32"/>
        <v/>
      </c>
      <c r="K98" s="56" t="str">
        <f t="shared" si="33"/>
        <v/>
      </c>
      <c r="L98" s="56" t="str">
        <f t="shared" si="34"/>
        <v/>
      </c>
      <c r="M98" s="56" t="str">
        <f t="shared" si="38"/>
        <v/>
      </c>
      <c r="N98" s="56" t="str">
        <f t="shared" si="35"/>
        <v/>
      </c>
      <c r="O98" s="57" t="str">
        <f t="shared" si="39"/>
        <v/>
      </c>
      <c r="P98" s="57" t="str">
        <f t="shared" si="36"/>
        <v/>
      </c>
      <c r="Q98" s="57" t="str">
        <f t="shared" si="37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1"/>
        <v/>
      </c>
      <c r="J99" s="55" t="str">
        <f t="shared" si="32"/>
        <v/>
      </c>
      <c r="K99" s="56" t="str">
        <f t="shared" si="33"/>
        <v/>
      </c>
      <c r="L99" s="56" t="str">
        <f t="shared" si="34"/>
        <v/>
      </c>
      <c r="M99" s="56" t="str">
        <f t="shared" si="38"/>
        <v/>
      </c>
      <c r="N99" s="56" t="str">
        <f t="shared" si="35"/>
        <v/>
      </c>
      <c r="O99" s="57" t="str">
        <f t="shared" si="39"/>
        <v/>
      </c>
      <c r="P99" s="57" t="str">
        <f t="shared" si="36"/>
        <v/>
      </c>
      <c r="Q99" s="57" t="str">
        <f t="shared" si="37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1"/>
        <v/>
      </c>
      <c r="J100" s="55" t="str">
        <f t="shared" si="32"/>
        <v/>
      </c>
      <c r="K100" s="56" t="str">
        <f t="shared" si="33"/>
        <v/>
      </c>
      <c r="L100" s="56" t="str">
        <f t="shared" si="34"/>
        <v/>
      </c>
      <c r="M100" s="56" t="str">
        <f t="shared" si="38"/>
        <v/>
      </c>
      <c r="N100" s="56" t="str">
        <f t="shared" si="35"/>
        <v/>
      </c>
      <c r="O100" s="57" t="str">
        <f t="shared" si="39"/>
        <v/>
      </c>
      <c r="P100" s="57" t="str">
        <f t="shared" si="36"/>
        <v/>
      </c>
      <c r="Q100" s="57" t="str">
        <f t="shared" si="37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1"/>
        <v/>
      </c>
      <c r="J101" s="55" t="str">
        <f t="shared" si="32"/>
        <v/>
      </c>
      <c r="K101" s="56" t="str">
        <f t="shared" si="33"/>
        <v/>
      </c>
      <c r="L101" s="56" t="str">
        <f t="shared" si="34"/>
        <v/>
      </c>
      <c r="M101" s="56" t="str">
        <f t="shared" si="38"/>
        <v/>
      </c>
      <c r="N101" s="56" t="str">
        <f t="shared" si="35"/>
        <v/>
      </c>
      <c r="O101" s="57" t="str">
        <f t="shared" si="39"/>
        <v/>
      </c>
      <c r="P101" s="57" t="str">
        <f t="shared" si="36"/>
        <v/>
      </c>
      <c r="Q101" s="57" t="str">
        <f t="shared" si="37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1"/>
        <v/>
      </c>
      <c r="J102" s="55" t="str">
        <f t="shared" si="32"/>
        <v/>
      </c>
      <c r="K102" s="56" t="str">
        <f t="shared" si="33"/>
        <v/>
      </c>
      <c r="L102" s="56" t="str">
        <f t="shared" si="34"/>
        <v/>
      </c>
      <c r="M102" s="56" t="str">
        <f t="shared" si="38"/>
        <v/>
      </c>
      <c r="N102" s="56" t="str">
        <f t="shared" si="35"/>
        <v/>
      </c>
      <c r="O102" s="57" t="str">
        <f t="shared" si="39"/>
        <v/>
      </c>
      <c r="P102" s="57" t="str">
        <f t="shared" si="36"/>
        <v/>
      </c>
      <c r="Q102" s="57" t="str">
        <f t="shared" si="37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1"/>
        <v/>
      </c>
      <c r="J103" s="55" t="str">
        <f t="shared" si="32"/>
        <v/>
      </c>
      <c r="K103" s="56" t="str">
        <f t="shared" si="33"/>
        <v/>
      </c>
      <c r="L103" s="56" t="str">
        <f t="shared" si="34"/>
        <v/>
      </c>
      <c r="M103" s="56" t="str">
        <f t="shared" si="38"/>
        <v/>
      </c>
      <c r="N103" s="56" t="str">
        <f t="shared" si="35"/>
        <v/>
      </c>
      <c r="O103" s="57" t="str">
        <f t="shared" si="39"/>
        <v/>
      </c>
      <c r="P103" s="57" t="str">
        <f t="shared" si="36"/>
        <v/>
      </c>
      <c r="Q103" s="57" t="str">
        <f t="shared" si="37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1"/>
        <v/>
      </c>
      <c r="J104" s="55" t="str">
        <f t="shared" si="32"/>
        <v/>
      </c>
      <c r="K104" s="56" t="str">
        <f t="shared" si="33"/>
        <v/>
      </c>
      <c r="L104" s="56" t="str">
        <f t="shared" si="34"/>
        <v/>
      </c>
      <c r="M104" s="56" t="str">
        <f t="shared" si="38"/>
        <v/>
      </c>
      <c r="N104" s="56" t="str">
        <f t="shared" si="35"/>
        <v/>
      </c>
      <c r="O104" s="57" t="str">
        <f t="shared" si="39"/>
        <v/>
      </c>
      <c r="P104" s="57" t="str">
        <f t="shared" si="36"/>
        <v/>
      </c>
      <c r="Q104" s="57" t="str">
        <f t="shared" si="37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1"/>
        <v/>
      </c>
      <c r="J105" s="55" t="str">
        <f t="shared" si="32"/>
        <v/>
      </c>
      <c r="K105" s="56" t="str">
        <f t="shared" si="33"/>
        <v/>
      </c>
      <c r="L105" s="56" t="str">
        <f t="shared" si="34"/>
        <v/>
      </c>
      <c r="M105" s="56" t="str">
        <f t="shared" si="38"/>
        <v/>
      </c>
      <c r="N105" s="56" t="str">
        <f t="shared" si="35"/>
        <v/>
      </c>
      <c r="O105" s="57" t="str">
        <f t="shared" si="39"/>
        <v/>
      </c>
      <c r="P105" s="57" t="str">
        <f t="shared" si="36"/>
        <v/>
      </c>
      <c r="Q105" s="57" t="str">
        <f t="shared" si="37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1"/>
        <v/>
      </c>
      <c r="J106" s="55" t="str">
        <f t="shared" si="32"/>
        <v/>
      </c>
      <c r="K106" s="56" t="str">
        <f t="shared" si="33"/>
        <v/>
      </c>
      <c r="L106" s="56" t="str">
        <f t="shared" si="34"/>
        <v/>
      </c>
      <c r="M106" s="56" t="str">
        <f t="shared" si="38"/>
        <v/>
      </c>
      <c r="N106" s="56" t="str">
        <f t="shared" si="35"/>
        <v/>
      </c>
      <c r="O106" s="57" t="str">
        <f t="shared" si="39"/>
        <v/>
      </c>
      <c r="P106" s="57" t="str">
        <f t="shared" si="36"/>
        <v/>
      </c>
      <c r="Q106" s="57" t="str">
        <f t="shared" si="37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1"/>
        <v/>
      </c>
      <c r="J107" s="55" t="str">
        <f t="shared" si="32"/>
        <v/>
      </c>
      <c r="K107" s="56" t="str">
        <f t="shared" si="33"/>
        <v/>
      </c>
      <c r="L107" s="56" t="str">
        <f t="shared" si="34"/>
        <v/>
      </c>
      <c r="M107" s="56" t="str">
        <f t="shared" si="38"/>
        <v/>
      </c>
      <c r="N107" s="56" t="str">
        <f t="shared" si="35"/>
        <v/>
      </c>
      <c r="O107" s="57" t="str">
        <f t="shared" si="39"/>
        <v/>
      </c>
      <c r="P107" s="57" t="str">
        <f t="shared" si="36"/>
        <v/>
      </c>
      <c r="Q107" s="57" t="str">
        <f t="shared" si="37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1"/>
        <v/>
      </c>
      <c r="J108" s="55" t="str">
        <f t="shared" si="32"/>
        <v/>
      </c>
      <c r="K108" s="56" t="str">
        <f t="shared" si="33"/>
        <v/>
      </c>
      <c r="L108" s="56" t="str">
        <f t="shared" si="34"/>
        <v/>
      </c>
      <c r="M108" s="56" t="str">
        <f t="shared" si="38"/>
        <v/>
      </c>
      <c r="N108" s="56" t="str">
        <f t="shared" si="35"/>
        <v/>
      </c>
      <c r="O108" s="57" t="str">
        <f t="shared" si="39"/>
        <v/>
      </c>
      <c r="P108" s="57" t="str">
        <f t="shared" si="36"/>
        <v/>
      </c>
      <c r="Q108" s="57" t="str">
        <f t="shared" si="37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1"/>
        <v/>
      </c>
      <c r="J109" s="55" t="str">
        <f t="shared" si="32"/>
        <v/>
      </c>
      <c r="K109" s="56" t="str">
        <f t="shared" si="33"/>
        <v/>
      </c>
      <c r="L109" s="56" t="str">
        <f t="shared" si="34"/>
        <v/>
      </c>
      <c r="M109" s="56" t="str">
        <f t="shared" si="38"/>
        <v/>
      </c>
      <c r="N109" s="56" t="str">
        <f t="shared" si="35"/>
        <v/>
      </c>
      <c r="O109" s="57" t="str">
        <f t="shared" si="39"/>
        <v/>
      </c>
      <c r="P109" s="57" t="str">
        <f t="shared" si="36"/>
        <v/>
      </c>
      <c r="Q109" s="57" t="str">
        <f t="shared" si="37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1"/>
        <v/>
      </c>
      <c r="J110" s="55" t="str">
        <f t="shared" si="32"/>
        <v/>
      </c>
      <c r="K110" s="56" t="str">
        <f t="shared" si="33"/>
        <v/>
      </c>
      <c r="L110" s="56" t="str">
        <f t="shared" si="34"/>
        <v/>
      </c>
      <c r="M110" s="56" t="str">
        <f t="shared" si="38"/>
        <v/>
      </c>
      <c r="N110" s="56" t="str">
        <f t="shared" si="35"/>
        <v/>
      </c>
      <c r="O110" s="57" t="str">
        <f t="shared" si="39"/>
        <v/>
      </c>
      <c r="P110" s="57" t="str">
        <f t="shared" si="36"/>
        <v/>
      </c>
      <c r="Q110" s="57" t="str">
        <f t="shared" si="37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1"/>
        <v/>
      </c>
      <c r="J111" s="55" t="str">
        <f t="shared" si="32"/>
        <v/>
      </c>
      <c r="K111" s="56" t="str">
        <f t="shared" si="33"/>
        <v/>
      </c>
      <c r="L111" s="56" t="str">
        <f t="shared" si="34"/>
        <v/>
      </c>
      <c r="M111" s="56" t="str">
        <f t="shared" si="38"/>
        <v/>
      </c>
      <c r="N111" s="56" t="str">
        <f t="shared" si="35"/>
        <v/>
      </c>
      <c r="O111" s="57" t="str">
        <f t="shared" si="39"/>
        <v/>
      </c>
      <c r="P111" s="57" t="str">
        <f t="shared" si="36"/>
        <v/>
      </c>
      <c r="Q111" s="57" t="str">
        <f t="shared" si="37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1"/>
        <v/>
      </c>
      <c r="J112" s="55" t="str">
        <f t="shared" si="32"/>
        <v/>
      </c>
      <c r="K112" s="56" t="str">
        <f t="shared" si="33"/>
        <v/>
      </c>
      <c r="L112" s="56" t="str">
        <f t="shared" si="34"/>
        <v/>
      </c>
      <c r="M112" s="56" t="str">
        <f t="shared" si="38"/>
        <v/>
      </c>
      <c r="N112" s="56" t="str">
        <f t="shared" si="35"/>
        <v/>
      </c>
      <c r="O112" s="57" t="str">
        <f t="shared" si="39"/>
        <v/>
      </c>
      <c r="P112" s="57" t="str">
        <f t="shared" si="36"/>
        <v/>
      </c>
      <c r="Q112" s="57" t="str">
        <f t="shared" si="37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1"/>
        <v/>
      </c>
      <c r="J113" s="55" t="str">
        <f t="shared" si="32"/>
        <v/>
      </c>
      <c r="K113" s="56" t="str">
        <f t="shared" si="33"/>
        <v/>
      </c>
      <c r="L113" s="56" t="str">
        <f t="shared" si="34"/>
        <v/>
      </c>
      <c r="M113" s="56" t="str">
        <f t="shared" si="38"/>
        <v/>
      </c>
      <c r="N113" s="56" t="str">
        <f t="shared" si="35"/>
        <v/>
      </c>
      <c r="O113" s="57" t="str">
        <f t="shared" si="39"/>
        <v/>
      </c>
      <c r="P113" s="57" t="str">
        <f t="shared" si="36"/>
        <v/>
      </c>
      <c r="Q113" s="57" t="str">
        <f t="shared" si="37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1"/>
        <v/>
      </c>
      <c r="J114" s="55" t="str">
        <f t="shared" si="32"/>
        <v/>
      </c>
      <c r="K114" s="56" t="str">
        <f t="shared" si="33"/>
        <v/>
      </c>
      <c r="L114" s="56" t="str">
        <f t="shared" si="34"/>
        <v/>
      </c>
      <c r="M114" s="56" t="str">
        <f t="shared" si="38"/>
        <v/>
      </c>
      <c r="N114" s="56" t="str">
        <f t="shared" si="35"/>
        <v/>
      </c>
      <c r="O114" s="57" t="str">
        <f t="shared" si="39"/>
        <v/>
      </c>
      <c r="P114" s="57" t="str">
        <f t="shared" si="36"/>
        <v/>
      </c>
      <c r="Q114" s="57" t="str">
        <f t="shared" si="37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1"/>
        <v/>
      </c>
      <c r="J115" s="55" t="str">
        <f t="shared" si="32"/>
        <v/>
      </c>
      <c r="K115" s="56" t="str">
        <f t="shared" si="33"/>
        <v/>
      </c>
      <c r="L115" s="56" t="str">
        <f t="shared" si="34"/>
        <v/>
      </c>
      <c r="M115" s="56" t="str">
        <f t="shared" si="38"/>
        <v/>
      </c>
      <c r="N115" s="56" t="str">
        <f t="shared" si="35"/>
        <v/>
      </c>
      <c r="O115" s="57" t="str">
        <f t="shared" si="39"/>
        <v/>
      </c>
      <c r="P115" s="57" t="str">
        <f t="shared" si="36"/>
        <v/>
      </c>
      <c r="Q115" s="57" t="str">
        <f t="shared" si="37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1"/>
        <v/>
      </c>
      <c r="J116" s="55" t="str">
        <f t="shared" si="32"/>
        <v/>
      </c>
      <c r="K116" s="56" t="str">
        <f t="shared" si="33"/>
        <v/>
      </c>
      <c r="L116" s="56" t="str">
        <f t="shared" si="34"/>
        <v/>
      </c>
      <c r="M116" s="56" t="str">
        <f t="shared" si="38"/>
        <v/>
      </c>
      <c r="N116" s="56" t="str">
        <f t="shared" si="35"/>
        <v/>
      </c>
      <c r="O116" s="57" t="str">
        <f t="shared" si="39"/>
        <v/>
      </c>
      <c r="P116" s="57" t="str">
        <f t="shared" si="36"/>
        <v/>
      </c>
      <c r="Q116" s="57" t="str">
        <f t="shared" si="37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1"/>
        <v/>
      </c>
      <c r="J117" s="55" t="str">
        <f t="shared" si="32"/>
        <v/>
      </c>
      <c r="K117" s="56" t="str">
        <f t="shared" si="33"/>
        <v/>
      </c>
      <c r="L117" s="56" t="str">
        <f t="shared" si="34"/>
        <v/>
      </c>
      <c r="M117" s="56" t="str">
        <f t="shared" si="38"/>
        <v/>
      </c>
      <c r="N117" s="56" t="str">
        <f t="shared" si="35"/>
        <v/>
      </c>
      <c r="O117" s="57" t="str">
        <f t="shared" si="39"/>
        <v/>
      </c>
      <c r="P117" s="57" t="str">
        <f t="shared" si="36"/>
        <v/>
      </c>
      <c r="Q117" s="57" t="str">
        <f t="shared" si="37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1"/>
        <v/>
      </c>
      <c r="J118" s="55" t="str">
        <f t="shared" si="32"/>
        <v/>
      </c>
      <c r="K118" s="56" t="str">
        <f t="shared" si="33"/>
        <v/>
      </c>
      <c r="L118" s="56" t="str">
        <f t="shared" si="34"/>
        <v/>
      </c>
      <c r="M118" s="56" t="str">
        <f t="shared" si="38"/>
        <v/>
      </c>
      <c r="N118" s="56" t="str">
        <f t="shared" si="35"/>
        <v/>
      </c>
      <c r="O118" s="57" t="str">
        <f t="shared" si="39"/>
        <v/>
      </c>
      <c r="P118" s="57" t="str">
        <f t="shared" si="36"/>
        <v/>
      </c>
      <c r="Q118" s="57" t="str">
        <f t="shared" si="37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1"/>
        <v/>
      </c>
      <c r="J119" s="55" t="str">
        <f t="shared" si="32"/>
        <v/>
      </c>
      <c r="K119" s="56" t="str">
        <f t="shared" si="33"/>
        <v/>
      </c>
      <c r="L119" s="56" t="str">
        <f t="shared" si="34"/>
        <v/>
      </c>
      <c r="M119" s="56" t="str">
        <f t="shared" si="38"/>
        <v/>
      </c>
      <c r="N119" s="56" t="str">
        <f t="shared" si="35"/>
        <v/>
      </c>
      <c r="O119" s="57" t="str">
        <f t="shared" si="39"/>
        <v/>
      </c>
      <c r="P119" s="57" t="str">
        <f t="shared" si="36"/>
        <v/>
      </c>
      <c r="Q119" s="57" t="str">
        <f t="shared" si="37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1"/>
        <v/>
      </c>
      <c r="J120" s="55" t="str">
        <f t="shared" si="32"/>
        <v/>
      </c>
      <c r="K120" s="56" t="str">
        <f t="shared" si="33"/>
        <v/>
      </c>
      <c r="L120" s="56" t="str">
        <f t="shared" si="34"/>
        <v/>
      </c>
      <c r="M120" s="56" t="str">
        <f t="shared" si="38"/>
        <v/>
      </c>
      <c r="N120" s="56" t="str">
        <f t="shared" si="35"/>
        <v/>
      </c>
      <c r="O120" s="57" t="str">
        <f t="shared" si="39"/>
        <v/>
      </c>
      <c r="P120" s="57" t="str">
        <f t="shared" si="36"/>
        <v/>
      </c>
      <c r="Q120" s="57" t="str">
        <f t="shared" si="37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1"/>
        <v/>
      </c>
      <c r="J121" s="55" t="str">
        <f t="shared" si="32"/>
        <v/>
      </c>
      <c r="K121" s="56" t="str">
        <f t="shared" si="33"/>
        <v/>
      </c>
      <c r="L121" s="56" t="str">
        <f t="shared" si="34"/>
        <v/>
      </c>
      <c r="M121" s="56" t="str">
        <f t="shared" si="38"/>
        <v/>
      </c>
      <c r="N121" s="56" t="str">
        <f t="shared" si="35"/>
        <v/>
      </c>
      <c r="O121" s="57" t="str">
        <f t="shared" si="39"/>
        <v/>
      </c>
      <c r="P121" s="57" t="str">
        <f t="shared" si="36"/>
        <v/>
      </c>
      <c r="Q121" s="57" t="str">
        <f t="shared" si="37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1"/>
        <v/>
      </c>
      <c r="J122" s="55" t="str">
        <f t="shared" si="32"/>
        <v/>
      </c>
      <c r="K122" s="56" t="str">
        <f t="shared" si="33"/>
        <v/>
      </c>
      <c r="L122" s="56" t="str">
        <f t="shared" si="34"/>
        <v/>
      </c>
      <c r="M122" s="56" t="str">
        <f t="shared" si="38"/>
        <v/>
      </c>
      <c r="N122" s="56" t="str">
        <f t="shared" si="35"/>
        <v/>
      </c>
      <c r="O122" s="57" t="str">
        <f t="shared" si="39"/>
        <v/>
      </c>
      <c r="P122" s="57" t="str">
        <f t="shared" si="36"/>
        <v/>
      </c>
      <c r="Q122" s="57" t="str">
        <f t="shared" si="37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40">IF(D123=0,"",LOG($K$15*10^D123+$K$16*10^E123+$K$14))</f>
        <v/>
      </c>
      <c r="J123" s="55" t="str">
        <f t="shared" ref="J123:J127" si="41">IF(D123=0,"",LOG($K$21*10^D123+$K$22*10^E123+$K$20))</f>
        <v/>
      </c>
      <c r="K123" s="56" t="str">
        <f t="shared" ref="K123:K127" si="42">IF(D123=0,"",1/(1+10^D123*$J$15/$J$14+10^E123*$J$16/$J$14+10^J123*$J$19/$J$14))</f>
        <v/>
      </c>
      <c r="L123" s="56" t="str">
        <f t="shared" ref="L123:L127" si="43">IF(D123=0,"",1/(1+10^I123/10^J123*$J$13/$J$19))</f>
        <v/>
      </c>
      <c r="M123" s="56" t="str">
        <f t="shared" si="38"/>
        <v/>
      </c>
      <c r="N123" s="56" t="str">
        <f t="shared" ref="N123:N127" si="44">IF(D123=0,"",1/(1/10^E123*$J$20/$J$22+10^D123/10^E123*$J$21/$J$22+10^I123/10^E123*$J$13/$J$22+1))</f>
        <v/>
      </c>
      <c r="O123" s="57" t="str">
        <f t="shared" si="39"/>
        <v/>
      </c>
      <c r="P123" s="57" t="str">
        <f t="shared" ref="P123:P127" si="45">IF(D123=0,"",O123*10^J123)</f>
        <v/>
      </c>
      <c r="Q123" s="57" t="str">
        <f t="shared" ref="Q123:Q127" si="46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40"/>
        <v/>
      </c>
      <c r="J124" s="55" t="str">
        <f t="shared" si="41"/>
        <v/>
      </c>
      <c r="K124" s="56" t="str">
        <f t="shared" si="42"/>
        <v/>
      </c>
      <c r="L124" s="56" t="str">
        <f t="shared" si="43"/>
        <v/>
      </c>
      <c r="M124" s="56" t="str">
        <f t="shared" si="38"/>
        <v/>
      </c>
      <c r="N124" s="56" t="str">
        <f t="shared" si="44"/>
        <v/>
      </c>
      <c r="O124" s="57" t="str">
        <f t="shared" si="39"/>
        <v/>
      </c>
      <c r="P124" s="57" t="str">
        <f t="shared" si="45"/>
        <v/>
      </c>
      <c r="Q124" s="57" t="str">
        <f t="shared" si="46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40"/>
        <v/>
      </c>
      <c r="J125" s="55" t="str">
        <f t="shared" si="41"/>
        <v/>
      </c>
      <c r="K125" s="56" t="str">
        <f t="shared" si="42"/>
        <v/>
      </c>
      <c r="L125" s="56" t="str">
        <f t="shared" si="43"/>
        <v/>
      </c>
      <c r="M125" s="56" t="str">
        <f t="shared" si="38"/>
        <v/>
      </c>
      <c r="N125" s="56" t="str">
        <f t="shared" si="44"/>
        <v/>
      </c>
      <c r="O125" s="57" t="str">
        <f t="shared" si="39"/>
        <v/>
      </c>
      <c r="P125" s="57" t="str">
        <f t="shared" si="45"/>
        <v/>
      </c>
      <c r="Q125" s="57" t="str">
        <f t="shared" si="46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40"/>
        <v/>
      </c>
      <c r="J126" s="55" t="str">
        <f t="shared" si="41"/>
        <v/>
      </c>
      <c r="K126" s="56" t="str">
        <f t="shared" si="42"/>
        <v/>
      </c>
      <c r="L126" s="56" t="str">
        <f t="shared" si="43"/>
        <v/>
      </c>
      <c r="M126" s="56" t="str">
        <f t="shared" si="38"/>
        <v/>
      </c>
      <c r="N126" s="56" t="str">
        <f t="shared" si="44"/>
        <v/>
      </c>
      <c r="O126" s="57" t="str">
        <f t="shared" si="39"/>
        <v/>
      </c>
      <c r="P126" s="57" t="str">
        <f t="shared" si="45"/>
        <v/>
      </c>
      <c r="Q126" s="57" t="str">
        <f t="shared" si="46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40"/>
        <v/>
      </c>
      <c r="J127" s="55" t="str">
        <f t="shared" si="41"/>
        <v/>
      </c>
      <c r="K127" s="56" t="str">
        <f t="shared" si="42"/>
        <v/>
      </c>
      <c r="L127" s="56" t="str">
        <f t="shared" si="43"/>
        <v/>
      </c>
      <c r="M127" s="56" t="str">
        <f t="shared" si="38"/>
        <v/>
      </c>
      <c r="N127" s="56" t="str">
        <f t="shared" si="44"/>
        <v/>
      </c>
      <c r="O127" s="57" t="str">
        <f t="shared" si="39"/>
        <v/>
      </c>
      <c r="P127" s="57" t="str">
        <f t="shared" si="45"/>
        <v/>
      </c>
      <c r="Q127" s="57" t="str">
        <f t="shared" si="46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2025-02-04T03:22:03Z</dcterms:modified>
</cp:coreProperties>
</file>