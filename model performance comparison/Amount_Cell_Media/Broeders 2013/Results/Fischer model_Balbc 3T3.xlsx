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New dataset from SOT poster\Broeders 2013\"/>
    </mc:Choice>
  </mc:AlternateContent>
  <xr:revisionPtr revIDLastSave="0" documentId="13_ncr:1_{C0528FC4-C032-4A48-9B56-8BD1908BE290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M15" i="1"/>
  <c r="L15" i="1"/>
  <c r="K27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Q37" i="4" s="1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Q33" i="4" s="1"/>
  <c r="N35" i="4"/>
  <c r="Q35" i="4" s="1"/>
  <c r="N52" i="4"/>
  <c r="N47" i="4"/>
  <c r="J7" i="4" l="1"/>
  <c r="Q48" i="4" s="1"/>
  <c r="K21" i="4"/>
  <c r="J29" i="4" s="1"/>
  <c r="K22" i="4"/>
  <c r="K20" i="4"/>
  <c r="J31" i="4"/>
  <c r="Q29" i="4"/>
  <c r="Q31" i="4"/>
  <c r="Q41" i="4"/>
  <c r="Q28" i="4"/>
  <c r="Q42" i="4"/>
  <c r="Q39" i="4"/>
  <c r="Q43" i="4"/>
  <c r="K9" i="4"/>
  <c r="Q50" i="4"/>
  <c r="Q47" i="4"/>
  <c r="Q52" i="4"/>
  <c r="K7" i="4"/>
  <c r="Q32" i="4"/>
  <c r="K8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K10" i="4"/>
  <c r="Q54" i="4"/>
  <c r="Q51" i="4"/>
  <c r="Q38" i="4"/>
  <c r="Q36" i="4"/>
  <c r="Q34" i="4"/>
  <c r="Q46" i="4"/>
  <c r="Q45" i="4"/>
  <c r="Q40" i="4"/>
  <c r="Q30" i="4"/>
  <c r="Q49" i="4"/>
  <c r="J28" i="4" l="1"/>
  <c r="K28" i="4" s="1"/>
  <c r="O28" i="4" s="1"/>
  <c r="P28" i="4" s="1"/>
  <c r="K31" i="4"/>
  <c r="O31" i="4" s="1"/>
  <c r="P31" i="4" s="1"/>
  <c r="L31" i="4"/>
  <c r="M31" i="4" s="1"/>
  <c r="K29" i="4"/>
  <c r="O29" i="4" s="1"/>
  <c r="P29" i="4" s="1"/>
  <c r="L29" i="4"/>
  <c r="M29" i="4" s="1"/>
  <c r="L34" i="4"/>
  <c r="M34" i="4" s="1"/>
  <c r="K34" i="4"/>
  <c r="O34" i="4" s="1"/>
  <c r="P34" i="4" s="1"/>
  <c r="L32" i="4"/>
  <c r="M32" i="4" s="1"/>
  <c r="K32" i="4"/>
  <c r="O32" i="4" s="1"/>
  <c r="P32" i="4" s="1"/>
  <c r="L45" i="4"/>
  <c r="M45" i="4" s="1"/>
  <c r="K45" i="4"/>
  <c r="O45" i="4" s="1"/>
  <c r="P45" i="4" s="1"/>
  <c r="L47" i="4"/>
  <c r="M47" i="4" s="1"/>
  <c r="K47" i="4"/>
  <c r="O47" i="4" s="1"/>
  <c r="P47" i="4" s="1"/>
  <c r="L38" i="4"/>
  <c r="M38" i="4" s="1"/>
  <c r="K38" i="4"/>
  <c r="O38" i="4" s="1"/>
  <c r="P38" i="4" s="1"/>
  <c r="L37" i="4"/>
  <c r="M37" i="4" s="1"/>
  <c r="K37" i="4"/>
  <c r="O37" i="4" s="1"/>
  <c r="P37" i="4" s="1"/>
  <c r="K46" i="4"/>
  <c r="O46" i="4" s="1"/>
  <c r="P46" i="4" s="1"/>
  <c r="L46" i="4"/>
  <c r="M46" i="4" s="1"/>
  <c r="L40" i="4"/>
  <c r="M40" i="4" s="1"/>
  <c r="K40" i="4"/>
  <c r="O40" i="4" s="1"/>
  <c r="P40" i="4" s="1"/>
  <c r="L44" i="4"/>
  <c r="M44" i="4" s="1"/>
  <c r="K44" i="4"/>
  <c r="O44" i="4" s="1"/>
  <c r="P44" i="4" s="1"/>
  <c r="L36" i="4"/>
  <c r="M36" i="4" s="1"/>
  <c r="K36" i="4"/>
  <c r="O36" i="4" s="1"/>
  <c r="P36" i="4" s="1"/>
  <c r="K52" i="4"/>
  <c r="O52" i="4" s="1"/>
  <c r="P52" i="4" s="1"/>
  <c r="L52" i="4"/>
  <c r="M52" i="4" s="1"/>
  <c r="L41" i="4"/>
  <c r="M41" i="4" s="1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M33" i="4" s="1"/>
  <c r="K33" i="4"/>
  <c r="O33" i="4" s="1"/>
  <c r="P33" i="4" s="1"/>
  <c r="K30" i="4"/>
  <c r="O30" i="4" s="1"/>
  <c r="P30" i="4" s="1"/>
  <c r="L30" i="4"/>
  <c r="M30" i="4" s="1"/>
  <c r="L42" i="4"/>
  <c r="M42" i="4" s="1"/>
  <c r="K42" i="4"/>
  <c r="O42" i="4" s="1"/>
  <c r="P42" i="4" s="1"/>
  <c r="L28" i="4" l="1"/>
  <c r="M2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<sst xmlns="http://schemas.openxmlformats.org/spreadsheetml/2006/main" count="109" uniqueCount="87">
  <si>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</si>
  <si>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</si>
  <si>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</si>
  <si>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</si>
  <si>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</si>
  <si>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</si>
  <si>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</si>
  <si>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</si>
  <si>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</si>
  <si>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</si>
  <si>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</si>
  <si>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</si>
  <si>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</si>
  <si>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</si>
  <si>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</si>
  <si>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</si>
  <si>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</si>
  <si>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</si>
  <si>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</si>
  <si>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</si>
  <si>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</si>
  <si>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</si>
  <si>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</si>
  <si>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</si>
  <si>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</si>
  <si>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</si>
  <si>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</si>
  <si>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</si>
  <si>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</si>
  <si>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</si>
  <si>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</si>
  <si>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</si>
  <si>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</si>
  <si>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</si>
  <si>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</si>
  <si>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</si>
  <si>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</si>
  <si>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</si>
  <si>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</si>
  <si>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</si>
  <si>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</si>
  <si>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</si>
  <si>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</si>
  <si>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</si>
  <si>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</si>
  <si>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</si>
  <si>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</si>
  <si>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</si>
  <si>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</si>
  <si>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</si>
  <si>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</si>
  <si>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</si>
  <si>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</si>
  <si>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</si>
  <si>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</si>
  <si>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</si>
  <si>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</si>
  <si>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</si>
  <si>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</si>
  <si>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</si>
  <si>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</si>
  <si>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</si>
  <si>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</si>
  <si>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</si>
  <si>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</si>
  <si>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</si>
  <si>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</si>
  <si>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</si>
  <si>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</si>
  <si>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</si>
  <si>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</si>
  <si>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</si>
  <si>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</si>
  <si>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</si>
  <si>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</si>
  <si>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</si>
  <si>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</si>
  <si>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</si>
  <si>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OptiMEM</t>
    <phoneticPr fontId="18" type="noConversion"/>
  </si>
  <si>
    <t>cs-FBS</t>
    <phoneticPr fontId="18" type="noConversion"/>
  </si>
  <si>
    <t>HEK293T</t>
    <phoneticPr fontId="18" type="noConversion"/>
  </si>
  <si>
    <t>BALBC 3T3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</si>
  <si>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</si>
  <si>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</si>
  <si>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</si>
  <si>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chlorpromazine</t>
  </si>
  <si>
    <t>50-53-3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</si>
</sst>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3" zoomScale="90" zoomScaleNormal="90" workbookViewId="0">
      <selection activeCell="N16" sqref="N16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59</v>
      </c>
      <c r="C2" s="116"/>
      <c r="D2" s="116"/>
      <c r="E2" s="116"/>
      <c r="F2" s="116"/>
      <c r="G2" s="116"/>
      <c r="H2" s="117"/>
      <c r="I2" s="7"/>
      <c r="J2" s="106" t="s">
        <v>58</v>
      </c>
      <c r="K2" s="107"/>
      <c r="L2" s="107"/>
      <c r="M2" s="107"/>
      <c r="N2" s="107"/>
      <c r="O2" s="108"/>
      <c r="P2" s="7"/>
      <c r="Q2" s="106" t="s">
        <v>60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78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79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80</v>
      </c>
      <c r="L15" s="59">
        <f>K28*0.614</f>
        <v>1.4735999999999998E-3</v>
      </c>
      <c r="M15" s="59">
        <f>K28*0.244</f>
        <v>5.8559999999999992E-4</v>
      </c>
      <c r="N15" s="59">
        <f>K28*0.142</f>
        <v>3.4079999999999994E-4</v>
      </c>
      <c r="O15" s="10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83">
        <v>2.7039712999999996E-3</v>
      </c>
      <c r="M17" s="83">
        <v>1.8229019999999998E-4</v>
      </c>
      <c r="N17" s="83">
        <v>1.519085E-4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82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2.4*1000000</f>
        <v>2400000</v>
      </c>
      <c r="L27" s="7" t="s">
        <v>83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v>2.3999999999999998E-3</v>
      </c>
      <c r="L28" s="7" t="s">
        <v>84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" zoomScale="90" zoomScaleNormal="90" workbookViewId="0">
      <selection activeCell="P28" sqref="P28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3"/>
      <c r="H2" s="173"/>
      <c r="I2" s="118" t="s">
        <v>20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3"/>
      <c r="H5" s="173"/>
      <c r="I5" s="127" t="s">
        <v>40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3"/>
      <c r="H6" s="173"/>
      <c r="I6" s="50" t="s">
        <v>51</v>
      </c>
      <c r="J6" s="50" t="s">
        <v>52</v>
      </c>
      <c r="K6" s="50" t="s">
        <v>48</v>
      </c>
      <c r="L6" s="170" t="s">
        <v>41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3"/>
      <c r="H7" s="173"/>
      <c r="I7" s="51" t="s">
        <v>21</v>
      </c>
      <c r="J7" s="38">
        <f>SUM(J13,J19)</f>
        <v>2000.0360000000001</v>
      </c>
      <c r="K7" s="39">
        <f>J7/J7</f>
        <v>1</v>
      </c>
      <c r="L7" s="164" t="s">
        <v>70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1995.1851039999999</v>
      </c>
      <c r="K8" s="40">
        <f>J8/J7</f>
        <v>0.99757459565727813</v>
      </c>
      <c r="L8" s="164" t="s">
        <v>71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4.6857840000000008</v>
      </c>
      <c r="K9" s="40">
        <f>J9/J7</f>
        <v>2.3428498287030837E-3</v>
      </c>
      <c r="L9" s="164" t="s">
        <v>71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0.16511200000000004</v>
      </c>
      <c r="K10" s="40">
        <f>J10/J7</f>
        <v>8.2554514018747674E-5</v>
      </c>
      <c r="L10" s="164" t="s">
        <v>71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4" t="s">
        <v>38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7"/>
      <c r="C12" s="158"/>
      <c r="D12" s="158"/>
      <c r="E12" s="158"/>
      <c r="F12" s="159"/>
      <c r="G12" s="173"/>
      <c r="H12" s="173"/>
      <c r="I12" s="50" t="s">
        <v>53</v>
      </c>
      <c r="J12" s="50" t="s">
        <v>52</v>
      </c>
      <c r="K12" s="50" t="s">
        <v>48</v>
      </c>
      <c r="L12" s="170" t="s">
        <v>41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3" t="s">
        <v>4</v>
      </c>
      <c r="C13" s="144"/>
      <c r="D13" s="133" t="s">
        <v>41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73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2000</v>
      </c>
      <c r="D14" s="134" t="s">
        <v>18</v>
      </c>
      <c r="E14" s="134"/>
      <c r="F14" s="134"/>
      <c r="G14" s="173"/>
      <c r="H14" s="173"/>
      <c r="I14" s="52" t="s">
        <v>45</v>
      </c>
      <c r="J14" s="42">
        <f>C14-SUM(J15:J16)</f>
        <v>1995.163</v>
      </c>
      <c r="K14" s="40">
        <f>J14/J13</f>
        <v>0.99758150000000001</v>
      </c>
      <c r="L14" s="167" t="s">
        <v>72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 t="s">
        <v>14</v>
      </c>
      <c r="D15" s="135" t="s">
        <v>62</v>
      </c>
      <c r="E15" s="135"/>
      <c r="F15" s="135"/>
      <c r="G15" s="173"/>
      <c r="H15" s="173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4.6770000000000005</v>
      </c>
      <c r="K15" s="40">
        <f>J15/J13</f>
        <v>2.3385000000000003E-3</v>
      </c>
      <c r="L15" s="164" t="s">
        <v>71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v>0.95</v>
      </c>
      <c r="D16" s="136" t="s">
        <v>42</v>
      </c>
      <c r="E16" s="137"/>
      <c r="F16" s="138"/>
      <c r="G16" s="173"/>
      <c r="H16" s="173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0.16000000000000003</v>
      </c>
      <c r="K16" s="40">
        <f>J16/J13</f>
        <v>8.000000000000002E-5</v>
      </c>
      <c r="L16" s="164" t="s">
        <v>71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25</v>
      </c>
      <c r="D17" s="139" t="s">
        <v>63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0.05</v>
      </c>
      <c r="D18" s="136" t="s">
        <v>43</v>
      </c>
      <c r="E18" s="137"/>
      <c r="F18" s="138"/>
      <c r="G18" s="173"/>
      <c r="H18" s="173"/>
      <c r="I18" s="50" t="s">
        <v>31</v>
      </c>
      <c r="J18" s="50" t="s">
        <v>52</v>
      </c>
      <c r="K18" s="50" t="s">
        <v>48</v>
      </c>
      <c r="L18" s="170" t="s">
        <v>41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3.5999999999999997E-2</v>
      </c>
      <c r="K19" s="39">
        <f>J19/J19</f>
        <v>1</v>
      </c>
      <c r="L19" s="164" t="s">
        <v>57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3" t="s">
        <v>7</v>
      </c>
      <c r="C20" s="144"/>
      <c r="D20" s="133" t="s">
        <v>41</v>
      </c>
      <c r="E20" s="133"/>
      <c r="F20" s="133"/>
      <c r="G20" s="173"/>
      <c r="H20" s="173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2.2103999999999999E-2</v>
      </c>
      <c r="K20" s="40">
        <f>J20/J19</f>
        <v>0.61399999999999999</v>
      </c>
      <c r="L20" s="164" t="s">
        <v>71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13</v>
      </c>
      <c r="D21" s="139" t="s">
        <v>63</v>
      </c>
      <c r="E21" s="140"/>
      <c r="F21" s="141"/>
      <c r="G21" s="173"/>
      <c r="H21" s="173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8.7839999999999984E-3</v>
      </c>
      <c r="K21" s="40">
        <f>J21/J19</f>
        <v>0.24399999999999997</v>
      </c>
      <c r="L21" s="164" t="s">
        <v>71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15000</v>
      </c>
      <c r="D22" s="142" t="s">
        <v>69</v>
      </c>
      <c r="E22" s="142"/>
      <c r="F22" s="142"/>
      <c r="G22" s="173"/>
      <c r="H22" s="173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5.1119999999999985E-3</v>
      </c>
      <c r="K22" s="40">
        <f>J22/J19</f>
        <v>0.14199999999999996</v>
      </c>
      <c r="L22" s="164" t="s">
        <v>71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4" t="s">
        <v>39</v>
      </c>
      <c r="C24" s="155"/>
      <c r="D24" s="155"/>
      <c r="E24" s="155"/>
      <c r="F24" s="156"/>
      <c r="G24" s="173"/>
      <c r="H24" s="173"/>
      <c r="I24" s="178" t="s">
        <v>44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6" t="s">
        <v>11</v>
      </c>
      <c r="C26" s="176" t="s">
        <v>12</v>
      </c>
      <c r="D26" s="160" t="s">
        <v>49</v>
      </c>
      <c r="E26" s="160" t="s">
        <v>50</v>
      </c>
      <c r="F26" s="162" t="s">
        <v>68</v>
      </c>
      <c r="G26" s="173"/>
      <c r="H26" s="173"/>
      <c r="I26" s="187" t="s">
        <v>55</v>
      </c>
      <c r="J26" s="187" t="s">
        <v>56</v>
      </c>
      <c r="K26" s="174" t="s">
        <v>76</v>
      </c>
      <c r="L26" s="174" t="s">
        <v>54</v>
      </c>
      <c r="M26" s="174" t="s">
        <v>61</v>
      </c>
      <c r="N26" s="174" t="s">
        <v>64</v>
      </c>
      <c r="O26" s="174" t="s">
        <v>75</v>
      </c>
      <c r="P26" s="174" t="s">
        <v>66</v>
      </c>
      <c r="Q26" s="174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85</v>
      </c>
      <c r="C28" s="47" t="s">
        <v>86</v>
      </c>
      <c r="D28" s="48">
        <v>4.1575040000000012</v>
      </c>
      <c r="E28" s="48">
        <v>5.2456879999999995</v>
      </c>
      <c r="F28" s="103">
        <v>1.7E-6</v>
      </c>
      <c r="G28" s="173"/>
      <c r="H28" s="173"/>
      <c r="I28" s="99">
        <f t="shared" ref="I28:I47" si="1">IF(D28=0,"",LOG($K$15*10^D28+$K$16*10^E28+$K$14))</f>
        <v>1.6874501820432908</v>
      </c>
      <c r="J28" s="99">
        <f t="shared" ref="J28:J47" si="2">IF(D28=0,"",LOG($K$21*10^D28+$K$22*10^E28+$K$20))</f>
        <v>4.4549875759982553</v>
      </c>
      <c r="K28" s="100">
        <f t="shared" ref="K28:K47" si="3">IF(D28=0,"",1/(1+10^D28*$J$15/$J$14+10^E28*$J$16/$J$14+10^J28*$J$19/$J$14))</f>
        <v>2.0274260208209691E-2</v>
      </c>
      <c r="L28" s="100">
        <f t="shared" ref="L28:L47" si="4">IF(D28=0,"",1/(1+10^I28/10^J28*$J$13/$J$19))</f>
        <v>1.0429337232483777E-2</v>
      </c>
      <c r="M28" s="100">
        <f t="shared" ref="M28:M47" si="5">IF(D28=0,"",1-L28)</f>
        <v>0.98957066276751626</v>
      </c>
      <c r="N28" s="100">
        <f t="shared" ref="N28:N47" si="6">IF(D28=0,"",1/(1/10^E28*$J$20/$J$22+10^D28/10^E28*$J$21/$J$22+10^I28/10^E28*$J$13/$J$22+1))</f>
        <v>9.1463007744719098E-3</v>
      </c>
      <c r="O28" s="41">
        <f t="shared" ref="O28:O47" si="7">IF(D28=0,"",F28*K28*$J$7/$J$14)</f>
        <v>3.4550422944209421E-8</v>
      </c>
      <c r="P28" s="41">
        <f t="shared" ref="P28:P47" si="8">IF(D28=0,"",O28*10^J28)</f>
        <v>9.8501069071898584E-4</v>
      </c>
      <c r="Q28" s="41">
        <f t="shared" ref="Q28:Q47" si="9">IF(D28=0,"",F28*N28*$J$7/$J$22)</f>
        <v>6.0833298878740037E-3</v>
      </c>
      <c r="R28" s="7"/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101"/>
      <c r="C29" s="101"/>
      <c r="D29" s="102"/>
      <c r="E29" s="102"/>
      <c r="F29" s="103"/>
      <c r="G29" s="173"/>
      <c r="H29" s="173"/>
      <c r="I29" s="99" t="str">
        <f t="shared" si="1"/>
        <v/>
      </c>
      <c r="J29" s="99" t="str">
        <f t="shared" si="2"/>
        <v/>
      </c>
      <c r="K29" s="100" t="str">
        <f t="shared" si="3"/>
        <v/>
      </c>
      <c r="L29" s="100" t="str">
        <f t="shared" si="4"/>
        <v/>
      </c>
      <c r="M29" s="100" t="str">
        <f t="shared" si="5"/>
        <v/>
      </c>
      <c r="N29" s="100" t="str">
        <f t="shared" si="6"/>
        <v/>
      </c>
      <c r="O29" s="41" t="str">
        <f t="shared" si="7"/>
        <v/>
      </c>
      <c r="P29" s="41" t="str">
        <f t="shared" si="8"/>
        <v/>
      </c>
      <c r="Q29" s="41" t="str">
        <f t="shared" si="9"/>
        <v/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/>
      <c r="C30" s="47"/>
      <c r="D30" s="95"/>
      <c r="E30" s="95"/>
      <c r="F30" s="96"/>
      <c r="G30" s="173"/>
      <c r="H30" s="17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48"/>
      <c r="E31" s="48"/>
      <c r="F31" s="98"/>
      <c r="G31" s="173"/>
      <c r="H31" s="17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101"/>
      <c r="C32" s="101"/>
      <c r="D32" s="102"/>
      <c r="E32" s="102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47"/>
      <c r="C33" s="47"/>
      <c r="D33" s="95"/>
      <c r="E33" s="95"/>
      <c r="F33" s="96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7"/>
      <c r="E34" s="97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95"/>
      <c r="E36" s="95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47"/>
      <c r="C37" s="47"/>
      <c r="D37" s="95"/>
      <c r="E37" s="95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95"/>
      <c r="E40" s="95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47"/>
      <c r="C41" s="47"/>
      <c r="D41" s="95"/>
      <c r="E41" s="95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0">IF(D48=0,"",LOG($K$15*10^D48+$K$16*10^E48+$K$14))</f>
        <v/>
      </c>
      <c r="J48" s="99" t="str">
        <f t="shared" ref="J48:J50" si="11">IF(D48=0,"",LOG($K$21*10^D48+$K$22*10^E48+$K$20))</f>
        <v/>
      </c>
      <c r="K48" s="100" t="str">
        <f t="shared" ref="K48:K50" si="12">IF(D48=0,"",1/(1+10^D48*$J$15/$J$14+10^E48*$J$16/$J$14+10^J48*$J$19/$J$14))</f>
        <v/>
      </c>
      <c r="L48" s="100" t="str">
        <f t="shared" ref="L48:L50" si="13">IF(D48=0,"",1/(1+10^I48/10^J48*$J$13/$J$19))</f>
        <v/>
      </c>
      <c r="M48" s="100" t="str">
        <f t="shared" ref="M48:M92" si="14">IF(D48=0,"",1-L48)</f>
        <v/>
      </c>
      <c r="N48" s="100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73"/>
      <c r="H49" s="173"/>
      <c r="I49" s="99" t="str">
        <f t="shared" si="10"/>
        <v/>
      </c>
      <c r="J49" s="99" t="str">
        <f t="shared" si="11"/>
        <v/>
      </c>
      <c r="K49" s="100" t="str">
        <f t="shared" si="12"/>
        <v/>
      </c>
      <c r="L49" s="100" t="str">
        <f t="shared" si="13"/>
        <v/>
      </c>
      <c r="M49" s="100" t="str">
        <f t="shared" si="14"/>
        <v/>
      </c>
      <c r="N49" s="100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73"/>
      <c r="H50" s="173"/>
      <c r="I50" s="99" t="str">
        <f t="shared" si="10"/>
        <v/>
      </c>
      <c r="J50" s="99" t="str">
        <f t="shared" si="11"/>
        <v/>
      </c>
      <c r="K50" s="100" t="str">
        <f t="shared" si="12"/>
        <v/>
      </c>
      <c r="L50" s="100" t="str">
        <f t="shared" si="13"/>
        <v/>
      </c>
      <c r="M50" s="100" t="str">
        <f t="shared" si="14"/>
        <v/>
      </c>
      <c r="N50" s="100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19">IF(D51=0,"",LOG($K$15*10^D51+$K$16*10^E51+$K$14))</f>
        <v/>
      </c>
      <c r="J51" s="99" t="str">
        <f t="shared" ref="J51:J70" si="20">IF(D51=0,"",LOG($K$21*10^D51+$K$22*10^E51+$K$20))</f>
        <v/>
      </c>
      <c r="K51" s="100" t="str">
        <f t="shared" ref="K51:K70" si="21">IF(D51=0,"",1/(1+10^D51*$J$15/$J$14+10^E51*$J$16/$J$14+10^J51*$J$19/$J$14))</f>
        <v/>
      </c>
      <c r="L51" s="100" t="str">
        <f t="shared" ref="L51:L70" si="22">IF(D51=0,"",1/(1+10^I51/10^J51*$J$13/$J$19))</f>
        <v/>
      </c>
      <c r="M51" s="100" t="str">
        <f t="shared" ref="M51:M70" si="23">IF(D51=0,"",1-L51)</f>
        <v/>
      </c>
      <c r="N51" s="100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73"/>
      <c r="H52" s="173"/>
      <c r="I52" s="99" t="str">
        <f t="shared" si="19"/>
        <v/>
      </c>
      <c r="J52" s="99" t="str">
        <f t="shared" si="20"/>
        <v/>
      </c>
      <c r="K52" s="100" t="str">
        <f t="shared" si="21"/>
        <v/>
      </c>
      <c r="L52" s="100" t="str">
        <f t="shared" si="22"/>
        <v/>
      </c>
      <c r="M52" s="100" t="str">
        <f t="shared" si="23"/>
        <v/>
      </c>
      <c r="N52" s="100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73"/>
      <c r="H53" s="173"/>
      <c r="I53" s="99" t="str">
        <f t="shared" si="19"/>
        <v/>
      </c>
      <c r="J53" s="99" t="str">
        <f t="shared" si="20"/>
        <v/>
      </c>
      <c r="K53" s="100" t="str">
        <f t="shared" si="21"/>
        <v/>
      </c>
      <c r="L53" s="100" t="str">
        <f t="shared" si="22"/>
        <v/>
      </c>
      <c r="M53" s="100" t="str">
        <f t="shared" si="23"/>
        <v/>
      </c>
      <c r="N53" s="100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73"/>
      <c r="H54" s="173"/>
      <c r="I54" s="99" t="str">
        <f t="shared" si="19"/>
        <v/>
      </c>
      <c r="J54" s="99" t="str">
        <f t="shared" si="20"/>
        <v/>
      </c>
      <c r="K54" s="100" t="str">
        <f t="shared" si="21"/>
        <v/>
      </c>
      <c r="L54" s="100" t="str">
        <f t="shared" si="22"/>
        <v/>
      </c>
      <c r="M54" s="100" t="str">
        <f t="shared" si="23"/>
        <v/>
      </c>
      <c r="N54" s="100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3"/>
      <c r="H55" s="173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3"/>
      <c r="H56" s="173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3"/>
      <c r="H57" s="173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3"/>
      <c r="H58" s="173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3"/>
      <c r="H59" s="173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3"/>
      <c r="H60" s="173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3"/>
      <c r="H61" s="173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3"/>
      <c r="H62" s="173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3"/>
      <c r="H63" s="173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3"/>
      <c r="H64" s="173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3"/>
      <c r="H65" s="173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3"/>
      <c r="H66" s="173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3"/>
      <c r="H67" s="173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3"/>
      <c r="H68" s="173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3"/>
      <c r="H69" s="173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3"/>
      <c r="H70" s="173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3"/>
      <c r="H72" s="173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3"/>
      <c r="H73" s="173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3"/>
      <c r="H74" s="173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3"/>
      <c r="H75" s="173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3"/>
      <c r="H76" s="173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3"/>
      <c r="H77" s="173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2024-03-26T23:40:22Z</dcterms:modified>
</cp:coreProperties>
</file>