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New dataset from SOT poster\Broeders 2013\Results\"/>
    </mc:Choice>
  </mc:AlternateContent>
  <xr:revisionPtr revIDLastSave="0" documentId="13_ncr:1_{66A2BA7B-1F8C-4CF2-BC5D-C14E0587BBD2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M15" i="1"/>
  <c r="N15" i="1"/>
  <c r="K27" i="1"/>
  <c r="K28" i="1" s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Q37" i="4" s="1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Q33" i="4" s="1"/>
  <c r="N35" i="4"/>
  <c r="Q35" i="4" s="1"/>
  <c r="N52" i="4"/>
  <c r="N47" i="4"/>
  <c r="J7" i="4" l="1"/>
  <c r="Q48" i="4" s="1"/>
  <c r="K21" i="4"/>
  <c r="K22" i="4"/>
  <c r="K20" i="4"/>
  <c r="J31" i="4"/>
  <c r="Q31" i="4"/>
  <c r="Q41" i="4"/>
  <c r="Q28" i="4"/>
  <c r="Q42" i="4"/>
  <c r="Q39" i="4"/>
  <c r="Q43" i="4"/>
  <c r="K9" i="4"/>
  <c r="Q50" i="4"/>
  <c r="Q47" i="4"/>
  <c r="Q52" i="4"/>
  <c r="Q32" i="4"/>
  <c r="J33" i="4"/>
  <c r="J52" i="4"/>
  <c r="J49" i="4"/>
  <c r="J40" i="4"/>
  <c r="J37" i="4"/>
  <c r="J38" i="4"/>
  <c r="J45" i="4"/>
  <c r="J32" i="4"/>
  <c r="J42" i="4"/>
  <c r="J39" i="4"/>
  <c r="J53" i="4"/>
  <c r="J54" i="4"/>
  <c r="J41" i="4"/>
  <c r="J36" i="4"/>
  <c r="J44" i="4"/>
  <c r="J46" i="4"/>
  <c r="J35" i="4"/>
  <c r="J47" i="4"/>
  <c r="J50" i="4"/>
  <c r="J34" i="4"/>
  <c r="J30" i="4"/>
  <c r="J48" i="4"/>
  <c r="J51" i="4"/>
  <c r="J43" i="4"/>
  <c r="K10" i="4"/>
  <c r="Q54" i="4"/>
  <c r="Q51" i="4"/>
  <c r="Q38" i="4"/>
  <c r="Q36" i="4"/>
  <c r="Q34" i="4"/>
  <c r="Q46" i="4"/>
  <c r="Q45" i="4"/>
  <c r="Q40" i="4"/>
  <c r="Q30" i="4"/>
  <c r="Q49" i="4"/>
  <c r="J29" i="4" l="1"/>
  <c r="L29" i="4" s="1"/>
  <c r="M29" i="4" s="1"/>
  <c r="K7" i="4"/>
  <c r="K8" i="4"/>
  <c r="Q29" i="4"/>
  <c r="J28" i="4"/>
  <c r="K28" i="4" s="1"/>
  <c r="O28" i="4" s="1"/>
  <c r="P28" i="4" s="1"/>
  <c r="K31" i="4"/>
  <c r="O31" i="4" s="1"/>
  <c r="P31" i="4" s="1"/>
  <c r="L31" i="4"/>
  <c r="M31" i="4" s="1"/>
  <c r="L34" i="4"/>
  <c r="M34" i="4" s="1"/>
  <c r="K34" i="4"/>
  <c r="O34" i="4" s="1"/>
  <c r="P34" i="4" s="1"/>
  <c r="L32" i="4"/>
  <c r="M32" i="4" s="1"/>
  <c r="K32" i="4"/>
  <c r="O32" i="4" s="1"/>
  <c r="P32" i="4" s="1"/>
  <c r="L45" i="4"/>
  <c r="M45" i="4" s="1"/>
  <c r="K45" i="4"/>
  <c r="O45" i="4" s="1"/>
  <c r="P45" i="4" s="1"/>
  <c r="L47" i="4"/>
  <c r="M47" i="4" s="1"/>
  <c r="K47" i="4"/>
  <c r="O47" i="4" s="1"/>
  <c r="P47" i="4" s="1"/>
  <c r="L38" i="4"/>
  <c r="M38" i="4" s="1"/>
  <c r="K38" i="4"/>
  <c r="O38" i="4" s="1"/>
  <c r="P38" i="4" s="1"/>
  <c r="L37" i="4"/>
  <c r="M37" i="4" s="1"/>
  <c r="K37" i="4"/>
  <c r="O37" i="4" s="1"/>
  <c r="P37" i="4" s="1"/>
  <c r="K46" i="4"/>
  <c r="O46" i="4" s="1"/>
  <c r="P46" i="4" s="1"/>
  <c r="L46" i="4"/>
  <c r="M46" i="4" s="1"/>
  <c r="L40" i="4"/>
  <c r="M40" i="4" s="1"/>
  <c r="K40" i="4"/>
  <c r="O40" i="4" s="1"/>
  <c r="P40" i="4" s="1"/>
  <c r="L44" i="4"/>
  <c r="M44" i="4" s="1"/>
  <c r="K44" i="4"/>
  <c r="O44" i="4" s="1"/>
  <c r="P44" i="4" s="1"/>
  <c r="L36" i="4"/>
  <c r="M36" i="4" s="1"/>
  <c r="K36" i="4"/>
  <c r="O36" i="4" s="1"/>
  <c r="P36" i="4" s="1"/>
  <c r="K52" i="4"/>
  <c r="O52" i="4" s="1"/>
  <c r="P52" i="4" s="1"/>
  <c r="L52" i="4"/>
  <c r="M52" i="4" s="1"/>
  <c r="L41" i="4"/>
  <c r="M41" i="4" s="1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M33" i="4" s="1"/>
  <c r="K33" i="4"/>
  <c r="O33" i="4" s="1"/>
  <c r="P33" i="4" s="1"/>
  <c r="K30" i="4"/>
  <c r="O30" i="4" s="1"/>
  <c r="P30" i="4" s="1"/>
  <c r="L30" i="4"/>
  <c r="M30" i="4" s="1"/>
  <c r="L42" i="4"/>
  <c r="M42" i="4" s="1"/>
  <c r="K42" i="4"/>
  <c r="O42" i="4" s="1"/>
  <c r="P42" i="4" s="1"/>
  <c r="K29" i="4" l="1"/>
  <c r="O29" i="4" s="1"/>
  <c r="P29" i="4" s="1"/>
  <c r="L28" i="4"/>
  <c r="M2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<sst xmlns="http://schemas.openxmlformats.org/spreadsheetml/2006/main" count="111" uniqueCount="87">
  <si>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</si>
  <si>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</si>
  <si>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</si>
  <si>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</si>
  <si>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</si>
  <si>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</si>
  <si>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</si>
  <si>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</si>
  <si>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</si>
  <si>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</si>
  <si>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</si>
  <si>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</si>
  <si>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</si>
  <si>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</si>
  <si>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</si>
  <si>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</si>
  <si>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</si>
  <si>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</si>
  <si>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</si>
  <si>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</si>
  <si>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</si>
  <si>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</si>
  <si>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</si>
  <si>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</si>
  <si>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</si>
  <si>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</si>
  <si>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</si>
  <si>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</si>
  <si>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</si>
  <si>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</si>
  <si>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</si>
  <si>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</si>
  <si>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</si>
  <si>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</si>
  <si>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</si>
  <si>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</si>
  <si>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</si>
  <si>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</si>
  <si>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</si>
  <si>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</si>
  <si>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</si>
  <si>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</si>
  <si>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</si>
  <si>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</si>
  <si>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</si>
  <si>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</si>
  <si>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</si>
  <si>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</si>
  <si>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</si>
  <si>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</si>
  <si>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</si>
  <si>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</si>
  <si>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</si>
  <si>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</si>
  <si>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</si>
  <si>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</si>
  <si>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</si>
  <si>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</si>
  <si>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</si>
  <si>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</si>
  <si>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</si>
  <si>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</si>
  <si>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</si>
  <si>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</si>
  <si>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</si>
  <si>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</si>
  <si>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</si>
  <si>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</si>
  <si>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</si>
  <si>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</si>
  <si>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</si>
  <si>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</si>
  <si>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</si>
  <si>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</si>
  <si>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</si>
  <si>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</si>
  <si>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</si>
  <si>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OptiMEM</t>
    <phoneticPr fontId="18" type="noConversion"/>
  </si>
  <si>
    <t>cs-FBS</t>
    <phoneticPr fontId="18" type="noConversion"/>
  </si>
  <si>
    <t>HEK293T</t>
    <phoneticPr fontId="18" type="noConversion"/>
  </si>
  <si>
    <t>ng</t>
    <phoneticPr fontId="18" type="noConversion"/>
  </si>
  <si>
    <t>g = ml</t>
    <phoneticPr fontId="18" type="noConversion"/>
  </si>
  <si>
    <t>chlorpromazine</t>
  </si>
  <si>
    <t>50-53-3</t>
  </si>
  <si>
    <t>5 ng/cell</t>
    <phoneticPr fontId="18" type="noConversion"/>
  </si>
  <si>
    <t>Caco-2</t>
    <phoneticPr fontId="18" type="noConversion"/>
  </si>
  <si>
    <t>FBS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</si>
</sst>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6" sqref="L16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58</v>
      </c>
      <c r="C2" s="116"/>
      <c r="D2" s="116"/>
      <c r="E2" s="116"/>
      <c r="F2" s="116"/>
      <c r="G2" s="116"/>
      <c r="H2" s="117"/>
      <c r="I2" s="7"/>
      <c r="J2" s="106" t="s">
        <v>57</v>
      </c>
      <c r="K2" s="107"/>
      <c r="L2" s="107"/>
      <c r="M2" s="107"/>
      <c r="N2" s="107"/>
      <c r="O2" s="108"/>
      <c r="P2" s="7"/>
      <c r="Q2" s="106" t="s">
        <v>59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26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77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64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17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78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25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30</v>
      </c>
      <c r="L14" s="36" t="s">
        <v>27</v>
      </c>
      <c r="M14" s="36" t="s">
        <v>28</v>
      </c>
      <c r="N14" s="36" t="s">
        <v>29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85</v>
      </c>
      <c r="K15" s="32" t="s">
        <v>79</v>
      </c>
      <c r="L15" s="59">
        <f>K28*(1-0.1-0.03)</f>
        <v>4.3499999999999997E-3</v>
      </c>
      <c r="M15" s="59">
        <f>K28*0.1</f>
        <v>5.0000000000000001E-4</v>
      </c>
      <c r="N15" s="59">
        <f>K28*0.03</f>
        <v>1.4999999999999999E-4</v>
      </c>
      <c r="O15" s="10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31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76</v>
      </c>
      <c r="L17" s="83">
        <v>2.7039712999999996E-3</v>
      </c>
      <c r="M17" s="83">
        <v>1.8229019999999998E-4</v>
      </c>
      <c r="N17" s="83">
        <v>1.519085E-4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32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33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84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5*1000000</f>
        <v>5000000</v>
      </c>
      <c r="L27" s="7" t="s">
        <v>80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5.0000000000000001E-3</v>
      </c>
      <c r="L28" s="7" t="s">
        <v>81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4" zoomScale="90" zoomScaleNormal="90" workbookViewId="0">
      <selection activeCell="J19" sqref="J19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3"/>
      <c r="H1" s="14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3"/>
      <c r="H2" s="143"/>
      <c r="I2" s="156" t="s">
        <v>20</v>
      </c>
      <c r="J2" s="157"/>
      <c r="K2" s="157"/>
      <c r="L2" s="157"/>
      <c r="M2" s="157"/>
      <c r="N2" s="157"/>
      <c r="O2" s="157"/>
      <c r="P2" s="157"/>
      <c r="Q2" s="158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3"/>
      <c r="H3" s="143"/>
      <c r="I3" s="159"/>
      <c r="J3" s="160"/>
      <c r="K3" s="160"/>
      <c r="L3" s="160"/>
      <c r="M3" s="160"/>
      <c r="N3" s="160"/>
      <c r="O3" s="160"/>
      <c r="P3" s="160"/>
      <c r="Q3" s="161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3"/>
      <c r="H4" s="143"/>
      <c r="I4" s="162"/>
      <c r="J4" s="163"/>
      <c r="K4" s="163"/>
      <c r="L4" s="163"/>
      <c r="M4" s="163"/>
      <c r="N4" s="163"/>
      <c r="O4" s="163"/>
      <c r="P4" s="163"/>
      <c r="Q4" s="164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3"/>
      <c r="H5" s="143"/>
      <c r="I5" s="165" t="s">
        <v>39</v>
      </c>
      <c r="J5" s="166"/>
      <c r="K5" s="166"/>
      <c r="L5" s="166"/>
      <c r="M5" s="166"/>
      <c r="N5" s="166"/>
      <c r="O5" s="166"/>
      <c r="P5" s="166"/>
      <c r="Q5" s="16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3"/>
      <c r="H6" s="143"/>
      <c r="I6" s="50" t="s">
        <v>50</v>
      </c>
      <c r="J6" s="50" t="s">
        <v>51</v>
      </c>
      <c r="K6" s="50" t="s">
        <v>47</v>
      </c>
      <c r="L6" s="135" t="s">
        <v>40</v>
      </c>
      <c r="M6" s="136"/>
      <c r="N6" s="136"/>
      <c r="O6" s="136"/>
      <c r="P6" s="136"/>
      <c r="Q6" s="13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3"/>
      <c r="H7" s="143"/>
      <c r="I7" s="51" t="s">
        <v>21</v>
      </c>
      <c r="J7" s="38">
        <f>SUM(J13,J19)</f>
        <v>2000.13</v>
      </c>
      <c r="K7" s="39">
        <f>J7/J7</f>
        <v>1</v>
      </c>
      <c r="L7" s="118" t="s">
        <v>69</v>
      </c>
      <c r="M7" s="119"/>
      <c r="N7" s="119"/>
      <c r="O7" s="119"/>
      <c r="P7" s="119"/>
      <c r="Q7" s="120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81" t="s">
        <v>3</v>
      </c>
      <c r="C8" s="182"/>
      <c r="D8" s="182"/>
      <c r="E8" s="182"/>
      <c r="F8" s="183"/>
      <c r="G8" s="143"/>
      <c r="H8" s="143"/>
      <c r="I8" s="52" t="s">
        <v>6</v>
      </c>
      <c r="J8" s="38">
        <f>SUM(J14,J20)</f>
        <v>1994.9331</v>
      </c>
      <c r="K8" s="40">
        <f>J8/J7</f>
        <v>0.99740171888827223</v>
      </c>
      <c r="L8" s="118" t="s">
        <v>70</v>
      </c>
      <c r="M8" s="119"/>
      <c r="N8" s="119"/>
      <c r="O8" s="119"/>
      <c r="P8" s="119"/>
      <c r="Q8" s="120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4"/>
      <c r="C9" s="185"/>
      <c r="D9" s="185"/>
      <c r="E9" s="185"/>
      <c r="F9" s="186"/>
      <c r="G9" s="143"/>
      <c r="H9" s="143"/>
      <c r="I9" s="51" t="s">
        <v>8</v>
      </c>
      <c r="J9" s="41">
        <f t="shared" ref="J9:J10" si="0">SUM(J15,J21)</f>
        <v>4.8130000000000006</v>
      </c>
      <c r="K9" s="40">
        <f>J9/J7</f>
        <v>2.406343587666802E-3</v>
      </c>
      <c r="L9" s="118" t="s">
        <v>70</v>
      </c>
      <c r="M9" s="119"/>
      <c r="N9" s="119"/>
      <c r="O9" s="119"/>
      <c r="P9" s="119"/>
      <c r="Q9" s="120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7"/>
      <c r="C10" s="188"/>
      <c r="D10" s="188"/>
      <c r="E10" s="188"/>
      <c r="F10" s="189"/>
      <c r="G10" s="143"/>
      <c r="H10" s="143"/>
      <c r="I10" s="52" t="s">
        <v>9</v>
      </c>
      <c r="J10" s="41">
        <f t="shared" si="0"/>
        <v>0.38390000000000002</v>
      </c>
      <c r="K10" s="40">
        <f>J10/J7</f>
        <v>1.9193752406093605E-4</v>
      </c>
      <c r="L10" s="118" t="s">
        <v>70</v>
      </c>
      <c r="M10" s="119"/>
      <c r="N10" s="119"/>
      <c r="O10" s="119"/>
      <c r="P10" s="119"/>
      <c r="Q10" s="120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6" t="s">
        <v>37</v>
      </c>
      <c r="C11" s="147"/>
      <c r="D11" s="147"/>
      <c r="E11" s="147"/>
      <c r="F11" s="148"/>
      <c r="G11" s="143"/>
      <c r="H11" s="143"/>
      <c r="I11" s="134"/>
      <c r="J11" s="134"/>
      <c r="K11" s="134"/>
      <c r="L11" s="134"/>
      <c r="M11" s="134"/>
      <c r="N11" s="134"/>
      <c r="O11" s="134"/>
      <c r="P11" s="134"/>
      <c r="Q11" s="13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9"/>
      <c r="C12" s="150"/>
      <c r="D12" s="150"/>
      <c r="E12" s="150"/>
      <c r="F12" s="151"/>
      <c r="G12" s="143"/>
      <c r="H12" s="143"/>
      <c r="I12" s="50" t="s">
        <v>52</v>
      </c>
      <c r="J12" s="50" t="s">
        <v>51</v>
      </c>
      <c r="K12" s="50" t="s">
        <v>47</v>
      </c>
      <c r="L12" s="135" t="s">
        <v>40</v>
      </c>
      <c r="M12" s="136"/>
      <c r="N12" s="136"/>
      <c r="O12" s="136"/>
      <c r="P12" s="136"/>
      <c r="Q12" s="13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71" t="s">
        <v>40</v>
      </c>
      <c r="E13" s="171"/>
      <c r="F13" s="171"/>
      <c r="G13" s="143"/>
      <c r="H13" s="143"/>
      <c r="I13" s="51" t="s">
        <v>5</v>
      </c>
      <c r="J13" s="42">
        <f>SUM(J14:J16)</f>
        <v>2000</v>
      </c>
      <c r="K13" s="39">
        <f>J13/J13</f>
        <v>1</v>
      </c>
      <c r="L13" s="118" t="s">
        <v>72</v>
      </c>
      <c r="M13" s="119"/>
      <c r="N13" s="119"/>
      <c r="O13" s="119"/>
      <c r="P13" s="119"/>
      <c r="Q13" s="120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34</v>
      </c>
      <c r="C14" s="44">
        <v>2000</v>
      </c>
      <c r="D14" s="172" t="s">
        <v>18</v>
      </c>
      <c r="E14" s="172"/>
      <c r="F14" s="172"/>
      <c r="G14" s="143"/>
      <c r="H14" s="143"/>
      <c r="I14" s="52" t="s">
        <v>44</v>
      </c>
      <c r="J14" s="42">
        <f>C14-SUM(J15:J16)</f>
        <v>1994.82</v>
      </c>
      <c r="K14" s="40">
        <f>J14/J13</f>
        <v>0.99741000000000002</v>
      </c>
      <c r="L14" s="140" t="s">
        <v>71</v>
      </c>
      <c r="M14" s="141"/>
      <c r="N14" s="141"/>
      <c r="O14" s="141"/>
      <c r="P14" s="141"/>
      <c r="Q14" s="14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44" t="s">
        <v>14</v>
      </c>
      <c r="D15" s="173" t="s">
        <v>61</v>
      </c>
      <c r="E15" s="173"/>
      <c r="F15" s="173"/>
      <c r="G15" s="143"/>
      <c r="H15" s="143"/>
      <c r="I15" s="51" t="s">
        <v>45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4.8000000000000007</v>
      </c>
      <c r="K15" s="40">
        <f>J15/J13</f>
        <v>2.4000000000000002E-3</v>
      </c>
      <c r="L15" s="118" t="s">
        <v>70</v>
      </c>
      <c r="M15" s="119"/>
      <c r="N15" s="119"/>
      <c r="O15" s="119"/>
      <c r="P15" s="119"/>
      <c r="Q15" s="120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35</v>
      </c>
      <c r="C16" s="45">
        <v>0.9</v>
      </c>
      <c r="D16" s="174" t="s">
        <v>41</v>
      </c>
      <c r="E16" s="175"/>
      <c r="F16" s="176"/>
      <c r="G16" s="143"/>
      <c r="H16" s="143"/>
      <c r="I16" s="52" t="s">
        <v>46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0.38</v>
      </c>
      <c r="K16" s="40">
        <f>J16/J13</f>
        <v>1.9000000000000001E-4</v>
      </c>
      <c r="L16" s="118" t="s">
        <v>70</v>
      </c>
      <c r="M16" s="119"/>
      <c r="N16" s="119"/>
      <c r="O16" s="119"/>
      <c r="P16" s="119"/>
      <c r="Q16" s="120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86</v>
      </c>
      <c r="D17" s="177" t="s">
        <v>62</v>
      </c>
      <c r="E17" s="178"/>
      <c r="F17" s="179"/>
      <c r="G17" s="143"/>
      <c r="H17" s="143"/>
      <c r="I17" s="140"/>
      <c r="J17" s="141"/>
      <c r="K17" s="141"/>
      <c r="L17" s="141"/>
      <c r="M17" s="141"/>
      <c r="N17" s="141"/>
      <c r="O17" s="141"/>
      <c r="P17" s="141"/>
      <c r="Q17" s="142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36</v>
      </c>
      <c r="C18" s="45">
        <v>0.1</v>
      </c>
      <c r="D18" s="174" t="s">
        <v>42</v>
      </c>
      <c r="E18" s="175"/>
      <c r="F18" s="176"/>
      <c r="G18" s="143"/>
      <c r="H18" s="143"/>
      <c r="I18" s="50" t="s">
        <v>30</v>
      </c>
      <c r="J18" s="50" t="s">
        <v>51</v>
      </c>
      <c r="K18" s="50" t="s">
        <v>47</v>
      </c>
      <c r="L18" s="135" t="s">
        <v>40</v>
      </c>
      <c r="M18" s="136"/>
      <c r="N18" s="136"/>
      <c r="O18" s="136"/>
      <c r="P18" s="136"/>
      <c r="Q18" s="13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3"/>
      <c r="C19" s="173"/>
      <c r="D19" s="173"/>
      <c r="E19" s="173"/>
      <c r="F19" s="173"/>
      <c r="G19" s="143"/>
      <c r="H19" s="143"/>
      <c r="I19" s="51" t="s">
        <v>5</v>
      </c>
      <c r="J19" s="42">
        <f>SUM(J20:J22)</f>
        <v>0.12999999999999998</v>
      </c>
      <c r="K19" s="39">
        <f>J19/J19</f>
        <v>1</v>
      </c>
      <c r="L19" s="118" t="s">
        <v>56</v>
      </c>
      <c r="M19" s="119"/>
      <c r="N19" s="119"/>
      <c r="O19" s="119"/>
      <c r="P19" s="119"/>
      <c r="Q19" s="120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71" t="s">
        <v>40</v>
      </c>
      <c r="E20" s="171"/>
      <c r="F20" s="171"/>
      <c r="G20" s="143"/>
      <c r="H20" s="143"/>
      <c r="I20" s="52" t="s">
        <v>44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0.11309999999999998</v>
      </c>
      <c r="K20" s="40">
        <f>J20/J19</f>
        <v>0.87</v>
      </c>
      <c r="L20" s="118" t="s">
        <v>70</v>
      </c>
      <c r="M20" s="119"/>
      <c r="N20" s="119"/>
      <c r="O20" s="119"/>
      <c r="P20" s="119"/>
      <c r="Q20" s="120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13</v>
      </c>
      <c r="D21" s="177" t="s">
        <v>62</v>
      </c>
      <c r="E21" s="178"/>
      <c r="F21" s="179"/>
      <c r="G21" s="143"/>
      <c r="H21" s="143"/>
      <c r="I21" s="51" t="s">
        <v>45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1.2999999999999999E-2</v>
      </c>
      <c r="K21" s="40">
        <f>J21/J19</f>
        <v>0.10000000000000002</v>
      </c>
      <c r="L21" s="118" t="s">
        <v>70</v>
      </c>
      <c r="M21" s="119"/>
      <c r="N21" s="119"/>
      <c r="O21" s="119"/>
      <c r="P21" s="119"/>
      <c r="Q21" s="120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26000</v>
      </c>
      <c r="D22" s="180" t="s">
        <v>68</v>
      </c>
      <c r="E22" s="180"/>
      <c r="F22" s="180"/>
      <c r="G22" s="143"/>
      <c r="H22" s="143"/>
      <c r="I22" s="53" t="s">
        <v>46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3.899999999999999E-3</v>
      </c>
      <c r="K22" s="40">
        <f>J22/J19</f>
        <v>0.03</v>
      </c>
      <c r="L22" s="118" t="s">
        <v>70</v>
      </c>
      <c r="M22" s="119"/>
      <c r="N22" s="119"/>
      <c r="O22" s="119"/>
      <c r="P22" s="119"/>
      <c r="Q22" s="120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8"/>
      <c r="C23" s="169"/>
      <c r="D23" s="169"/>
      <c r="E23" s="169"/>
      <c r="F23" s="170"/>
      <c r="G23" s="143"/>
      <c r="H23" s="143"/>
      <c r="I23" s="129"/>
      <c r="J23" s="130"/>
      <c r="K23" s="130"/>
      <c r="L23" s="130"/>
      <c r="M23" s="130"/>
      <c r="N23" s="130"/>
      <c r="O23" s="130"/>
      <c r="P23" s="130"/>
      <c r="Q23" s="13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6" t="s">
        <v>38</v>
      </c>
      <c r="C24" s="147"/>
      <c r="D24" s="147"/>
      <c r="E24" s="147"/>
      <c r="F24" s="148"/>
      <c r="G24" s="143"/>
      <c r="H24" s="143"/>
      <c r="I24" s="123" t="s">
        <v>43</v>
      </c>
      <c r="J24" s="124"/>
      <c r="K24" s="124"/>
      <c r="L24" s="124"/>
      <c r="M24" s="124"/>
      <c r="N24" s="124"/>
      <c r="O24" s="124"/>
      <c r="P24" s="124"/>
      <c r="Q24" s="12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9"/>
      <c r="C25" s="150"/>
      <c r="D25" s="150"/>
      <c r="E25" s="150"/>
      <c r="F25" s="151"/>
      <c r="G25" s="143"/>
      <c r="H25" s="143"/>
      <c r="I25" s="126"/>
      <c r="J25" s="127"/>
      <c r="K25" s="127"/>
      <c r="L25" s="127"/>
      <c r="M25" s="127"/>
      <c r="N25" s="127"/>
      <c r="O25" s="127"/>
      <c r="P25" s="127"/>
      <c r="Q25" s="12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4" t="s">
        <v>11</v>
      </c>
      <c r="C26" s="144" t="s">
        <v>12</v>
      </c>
      <c r="D26" s="152" t="s">
        <v>48</v>
      </c>
      <c r="E26" s="152" t="s">
        <v>49</v>
      </c>
      <c r="F26" s="154" t="s">
        <v>67</v>
      </c>
      <c r="G26" s="143"/>
      <c r="H26" s="143"/>
      <c r="I26" s="132" t="s">
        <v>54</v>
      </c>
      <c r="J26" s="132" t="s">
        <v>55</v>
      </c>
      <c r="K26" s="121" t="s">
        <v>75</v>
      </c>
      <c r="L26" s="121" t="s">
        <v>53</v>
      </c>
      <c r="M26" s="121" t="s">
        <v>60</v>
      </c>
      <c r="N26" s="121" t="s">
        <v>63</v>
      </c>
      <c r="O26" s="121" t="s">
        <v>74</v>
      </c>
      <c r="P26" s="121" t="s">
        <v>65</v>
      </c>
      <c r="Q26" s="121" t="s">
        <v>66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5"/>
      <c r="C27" s="145"/>
      <c r="D27" s="153"/>
      <c r="E27" s="153"/>
      <c r="F27" s="155"/>
      <c r="G27" s="143"/>
      <c r="H27" s="143"/>
      <c r="I27" s="133"/>
      <c r="J27" s="133"/>
      <c r="K27" s="122"/>
      <c r="L27" s="122"/>
      <c r="M27" s="122"/>
      <c r="N27" s="122"/>
      <c r="O27" s="122"/>
      <c r="P27" s="122"/>
      <c r="Q27" s="122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82</v>
      </c>
      <c r="C28" s="47" t="s">
        <v>83</v>
      </c>
      <c r="D28" s="48">
        <v>4.1575040000000012</v>
      </c>
      <c r="E28" s="48">
        <v>5.2456879999999995</v>
      </c>
      <c r="F28" s="103">
        <v>5.0000000000000004E-6</v>
      </c>
      <c r="G28" s="143"/>
      <c r="H28" s="143"/>
      <c r="I28" s="99">
        <f t="shared" ref="I28:I47" si="1">IF(D28=0,"",LOG($K$15*10^D28+$K$16*10^E28+$K$14))</f>
        <v>1.8384880608284828</v>
      </c>
      <c r="J28" s="99">
        <f t="shared" ref="J28:J47" si="2">IF(D28=0,"",LOG($K$21*10^D28+$K$22*10^E28+$K$20))</f>
        <v>3.8273795064858471</v>
      </c>
      <c r="K28" s="100">
        <f t="shared" ref="K28:K47" si="3">IF(D28=0,"",1/(1+10^D28*$J$15/$J$14+10^E28*$J$16/$J$14+10^J28*$J$19/$J$14))</f>
        <v>1.4376153902825737E-2</v>
      </c>
      <c r="L28" s="100">
        <f t="shared" ref="L28:L47" si="4">IF(D28=0,"",1/(1+10^I28/10^J28*$J$13/$J$19))</f>
        <v>6.2959585252166453E-3</v>
      </c>
      <c r="M28" s="100">
        <f t="shared" ref="M28:M47" si="5">IF(D28=0,"",1-L28)</f>
        <v>0.99370404147478331</v>
      </c>
      <c r="N28" s="100">
        <f t="shared" ref="N28:N47" si="6">IF(D28=0,"",1/(1/10^E28*$J$20/$J$22+10^D28/10^E28*$J$21/$J$22+10^I28/10^E28*$J$13/$J$22+1))</f>
        <v>4.9487054678158306E-3</v>
      </c>
      <c r="O28" s="41">
        <f t="shared" ref="O28:O47" si="7">IF(D28=0,"",F28*K28*$J$7/$J$14)</f>
        <v>7.2072108525227455E-8</v>
      </c>
      <c r="P28" s="41">
        <f t="shared" ref="P28:P47" si="8">IF(D28=0,"",O28*10^J28)</f>
        <v>4.8433598173236843E-4</v>
      </c>
      <c r="Q28" s="41">
        <f t="shared" ref="Q28:Q47" si="9">IF(D28=0,"",F28*N28*$J$7/$J$22)</f>
        <v>1.2689813163259591E-2</v>
      </c>
      <c r="R28" s="7"/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47" t="s">
        <v>82</v>
      </c>
      <c r="C29" s="47" t="s">
        <v>83</v>
      </c>
      <c r="D29" s="48">
        <v>4.1575040000000012</v>
      </c>
      <c r="E29" s="48">
        <v>5.2456879999999995</v>
      </c>
      <c r="F29" s="103">
        <v>1.5E-5</v>
      </c>
      <c r="G29" s="143"/>
      <c r="H29" s="143"/>
      <c r="I29" s="99">
        <f t="shared" si="1"/>
        <v>1.8384880608284828</v>
      </c>
      <c r="J29" s="99">
        <f t="shared" si="2"/>
        <v>3.8273795064858471</v>
      </c>
      <c r="K29" s="100">
        <f t="shared" si="3"/>
        <v>1.4376153902825737E-2</v>
      </c>
      <c r="L29" s="100">
        <f t="shared" si="4"/>
        <v>6.2959585252166453E-3</v>
      </c>
      <c r="M29" s="100">
        <f t="shared" si="5"/>
        <v>0.99370404147478331</v>
      </c>
      <c r="N29" s="100">
        <f t="shared" si="6"/>
        <v>4.9487054678158306E-3</v>
      </c>
      <c r="O29" s="41">
        <f t="shared" si="7"/>
        <v>2.1621632557568237E-7</v>
      </c>
      <c r="P29" s="41">
        <f t="shared" si="8"/>
        <v>1.4530079451971053E-3</v>
      </c>
      <c r="Q29" s="41">
        <f t="shared" si="9"/>
        <v>3.8069439489778763E-2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/>
      <c r="C30" s="47"/>
      <c r="D30" s="95"/>
      <c r="E30" s="95"/>
      <c r="F30" s="96"/>
      <c r="G30" s="143"/>
      <c r="H30" s="143"/>
      <c r="I30" s="99" t="str">
        <f t="shared" si="1"/>
        <v/>
      </c>
      <c r="J30" s="99" t="str">
        <f t="shared" si="2"/>
        <v/>
      </c>
      <c r="K30" s="100" t="str">
        <f t="shared" si="3"/>
        <v/>
      </c>
      <c r="L30" s="100" t="str">
        <f t="shared" si="4"/>
        <v/>
      </c>
      <c r="M30" s="100" t="str">
        <f t="shared" si="5"/>
        <v/>
      </c>
      <c r="N30" s="100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/>
      <c r="C31" s="47"/>
      <c r="D31" s="48"/>
      <c r="E31" s="48"/>
      <c r="F31" s="98"/>
      <c r="G31" s="143"/>
      <c r="H31" s="143"/>
      <c r="I31" s="99" t="str">
        <f t="shared" si="1"/>
        <v/>
      </c>
      <c r="J31" s="99" t="str">
        <f t="shared" si="2"/>
        <v/>
      </c>
      <c r="K31" s="100" t="str">
        <f t="shared" si="3"/>
        <v/>
      </c>
      <c r="L31" s="100" t="str">
        <f t="shared" si="4"/>
        <v/>
      </c>
      <c r="M31" s="100" t="str">
        <f t="shared" si="5"/>
        <v/>
      </c>
      <c r="N31" s="100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101"/>
      <c r="C32" s="101"/>
      <c r="D32" s="102"/>
      <c r="E32" s="102"/>
      <c r="F32" s="98"/>
      <c r="G32" s="143"/>
      <c r="H32" s="14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47"/>
      <c r="C33" s="47"/>
      <c r="D33" s="95"/>
      <c r="E33" s="95"/>
      <c r="F33" s="96"/>
      <c r="G33" s="143"/>
      <c r="H33" s="14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7"/>
      <c r="E34" s="97"/>
      <c r="F34" s="98"/>
      <c r="G34" s="143"/>
      <c r="H34" s="14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43"/>
      <c r="H35" s="14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95"/>
      <c r="E36" s="95"/>
      <c r="F36" s="96"/>
      <c r="G36" s="143"/>
      <c r="H36" s="14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47"/>
      <c r="C37" s="47"/>
      <c r="D37" s="95"/>
      <c r="E37" s="95"/>
      <c r="F37" s="96"/>
      <c r="G37" s="143"/>
      <c r="H37" s="14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43"/>
      <c r="H38" s="14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43"/>
      <c r="H39" s="14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95"/>
      <c r="E40" s="95"/>
      <c r="F40" s="96"/>
      <c r="G40" s="143"/>
      <c r="H40" s="14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47"/>
      <c r="C41" s="47"/>
      <c r="D41" s="95"/>
      <c r="E41" s="95"/>
      <c r="F41" s="96"/>
      <c r="G41" s="143"/>
      <c r="H41" s="14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43"/>
      <c r="H42" s="14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43"/>
      <c r="H43" s="14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43"/>
      <c r="H44" s="14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43"/>
      <c r="H45" s="14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43"/>
      <c r="H46" s="14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43"/>
      <c r="H47" s="14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43"/>
      <c r="H48" s="143"/>
      <c r="I48" s="99" t="str">
        <f t="shared" ref="I48:I50" si="10">IF(D48=0,"",LOG($K$15*10^D48+$K$16*10^E48+$K$14))</f>
        <v/>
      </c>
      <c r="J48" s="99" t="str">
        <f t="shared" ref="J48:J50" si="11">IF(D48=0,"",LOG($K$21*10^D48+$K$22*10^E48+$K$20))</f>
        <v/>
      </c>
      <c r="K48" s="100" t="str">
        <f t="shared" ref="K48:K50" si="12">IF(D48=0,"",1/(1+10^D48*$J$15/$J$14+10^E48*$J$16/$J$14+10^J48*$J$19/$J$14))</f>
        <v/>
      </c>
      <c r="L48" s="100" t="str">
        <f t="shared" ref="L48:L50" si="13">IF(D48=0,"",1/(1+10^I48/10^J48*$J$13/$J$19))</f>
        <v/>
      </c>
      <c r="M48" s="100" t="str">
        <f t="shared" ref="M48:M92" si="14">IF(D48=0,"",1-L48)</f>
        <v/>
      </c>
      <c r="N48" s="100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43"/>
      <c r="H49" s="143"/>
      <c r="I49" s="99" t="str">
        <f t="shared" si="10"/>
        <v/>
      </c>
      <c r="J49" s="99" t="str">
        <f t="shared" si="11"/>
        <v/>
      </c>
      <c r="K49" s="100" t="str">
        <f t="shared" si="12"/>
        <v/>
      </c>
      <c r="L49" s="100" t="str">
        <f t="shared" si="13"/>
        <v/>
      </c>
      <c r="M49" s="100" t="str">
        <f t="shared" si="14"/>
        <v/>
      </c>
      <c r="N49" s="100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43"/>
      <c r="H50" s="143"/>
      <c r="I50" s="99" t="str">
        <f t="shared" si="10"/>
        <v/>
      </c>
      <c r="J50" s="99" t="str">
        <f t="shared" si="11"/>
        <v/>
      </c>
      <c r="K50" s="100" t="str">
        <f t="shared" si="12"/>
        <v/>
      </c>
      <c r="L50" s="100" t="str">
        <f t="shared" si="13"/>
        <v/>
      </c>
      <c r="M50" s="100" t="str">
        <f t="shared" si="14"/>
        <v/>
      </c>
      <c r="N50" s="100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43"/>
      <c r="H51" s="143"/>
      <c r="I51" s="99" t="str">
        <f t="shared" ref="I51:I70" si="19">IF(D51=0,"",LOG($K$15*10^D51+$K$16*10^E51+$K$14))</f>
        <v/>
      </c>
      <c r="J51" s="99" t="str">
        <f t="shared" ref="J51:J70" si="20">IF(D51=0,"",LOG($K$21*10^D51+$K$22*10^E51+$K$20))</f>
        <v/>
      </c>
      <c r="K51" s="100" t="str">
        <f t="shared" ref="K51:K70" si="21">IF(D51=0,"",1/(1+10^D51*$J$15/$J$14+10^E51*$J$16/$J$14+10^J51*$J$19/$J$14))</f>
        <v/>
      </c>
      <c r="L51" s="100" t="str">
        <f t="shared" ref="L51:L70" si="22">IF(D51=0,"",1/(1+10^I51/10^J51*$J$13/$J$19))</f>
        <v/>
      </c>
      <c r="M51" s="100" t="str">
        <f t="shared" ref="M51:M70" si="23">IF(D51=0,"",1-L51)</f>
        <v/>
      </c>
      <c r="N51" s="100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43"/>
      <c r="H52" s="143"/>
      <c r="I52" s="99" t="str">
        <f t="shared" si="19"/>
        <v/>
      </c>
      <c r="J52" s="99" t="str">
        <f t="shared" si="20"/>
        <v/>
      </c>
      <c r="K52" s="100" t="str">
        <f t="shared" si="21"/>
        <v/>
      </c>
      <c r="L52" s="100" t="str">
        <f t="shared" si="22"/>
        <v/>
      </c>
      <c r="M52" s="100" t="str">
        <f t="shared" si="23"/>
        <v/>
      </c>
      <c r="N52" s="100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43"/>
      <c r="H53" s="143"/>
      <c r="I53" s="99" t="str">
        <f t="shared" si="19"/>
        <v/>
      </c>
      <c r="J53" s="99" t="str">
        <f t="shared" si="20"/>
        <v/>
      </c>
      <c r="K53" s="100" t="str">
        <f t="shared" si="21"/>
        <v/>
      </c>
      <c r="L53" s="100" t="str">
        <f t="shared" si="22"/>
        <v/>
      </c>
      <c r="M53" s="100" t="str">
        <f t="shared" si="23"/>
        <v/>
      </c>
      <c r="N53" s="100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43"/>
      <c r="H54" s="143"/>
      <c r="I54" s="99" t="str">
        <f t="shared" si="19"/>
        <v/>
      </c>
      <c r="J54" s="99" t="str">
        <f t="shared" si="20"/>
        <v/>
      </c>
      <c r="K54" s="100" t="str">
        <f t="shared" si="21"/>
        <v/>
      </c>
      <c r="L54" s="100" t="str">
        <f t="shared" si="22"/>
        <v/>
      </c>
      <c r="M54" s="100" t="str">
        <f t="shared" si="23"/>
        <v/>
      </c>
      <c r="N54" s="100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43"/>
      <c r="H55" s="143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43"/>
      <c r="H56" s="143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43"/>
      <c r="H57" s="143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43"/>
      <c r="H58" s="143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43"/>
      <c r="H59" s="143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43"/>
      <c r="H60" s="143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43"/>
      <c r="H61" s="143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43"/>
      <c r="H62" s="143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43"/>
      <c r="H63" s="143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43"/>
      <c r="H64" s="143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43"/>
      <c r="H65" s="143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43"/>
      <c r="H66" s="143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43"/>
      <c r="H67" s="143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43"/>
      <c r="H68" s="143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43"/>
      <c r="H69" s="143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43"/>
      <c r="H70" s="143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43"/>
      <c r="H71" s="143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43"/>
      <c r="H72" s="143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43"/>
      <c r="H73" s="143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43"/>
      <c r="H74" s="143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43"/>
      <c r="H75" s="143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43"/>
      <c r="H76" s="143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43"/>
      <c r="H77" s="143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73</v>
      </c>
      <c r="C128" s="49"/>
      <c r="D128" s="49"/>
      <c r="E128" s="49"/>
      <c r="F128" s="49"/>
      <c r="G128" s="7"/>
      <c r="H128" s="7"/>
      <c r="I128" s="82" t="s">
        <v>73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2024-03-26T23:55:06Z</dcterms:modified>
</cp:coreProperties>
</file>