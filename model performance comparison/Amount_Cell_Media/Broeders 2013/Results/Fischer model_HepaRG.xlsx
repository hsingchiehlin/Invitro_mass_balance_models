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Broeders 2013\Results\"/>
    </mc:Choice>
  </mc:AlternateContent>
  <xr:revisionPtr revIDLastSave="0" documentId="13_ncr:1_{F28796AF-46F8-4A03-B5A6-58991470F40E}" xr6:coauthVersionLast="47" xr6:coauthVersionMax="47" xr10:uidLastSave="{00000000-0000-0000-0000-000000000000}"/>
  <bookViews>
    <workbookView xWindow="-28920" yWindow="-120" windowWidth="29040" windowHeight="1764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S29" i="4"/>
  <c r="R30" i="4"/>
  <c r="S30" i="4" s="1"/>
  <c r="S28" i="4"/>
  <c r="R28" i="4"/>
  <c r="N17" i="1" l="1"/>
  <c r="L17" i="1"/>
  <c r="M17" i="1"/>
  <c r="K27" i="1"/>
  <c r="L15" i="1"/>
  <c r="M15" i="1"/>
  <c r="K28" i="1"/>
  <c r="N15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7" i="4" l="1"/>
  <c r="Q48" i="4" s="1"/>
  <c r="K21" i="4"/>
  <c r="K22" i="4"/>
  <c r="K20" i="4"/>
  <c r="J31" i="4"/>
  <c r="Q31" i="4"/>
  <c r="Q41" i="4"/>
  <c r="Q42" i="4"/>
  <c r="Q39" i="4"/>
  <c r="Q43" i="4"/>
  <c r="Q50" i="4"/>
  <c r="Q47" i="4"/>
  <c r="Q52" i="4"/>
  <c r="Q32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Q54" i="4"/>
  <c r="Q51" i="4"/>
  <c r="Q38" i="4"/>
  <c r="Q36" i="4"/>
  <c r="Q34" i="4"/>
  <c r="Q46" i="4"/>
  <c r="Q45" i="4"/>
  <c r="Q40" i="4"/>
  <c r="Q30" i="4"/>
  <c r="Q49" i="4"/>
  <c r="K9" i="4" l="1"/>
  <c r="Q28" i="4"/>
  <c r="K10" i="4"/>
  <c r="J29" i="4"/>
  <c r="L29" i="4" s="1"/>
  <c r="M29" i="4" s="1"/>
  <c r="K7" i="4"/>
  <c r="K8" i="4"/>
  <c r="Q29" i="4"/>
  <c r="J28" i="4"/>
  <c r="K28" i="4" s="1"/>
  <c r="O28" i="4" s="1"/>
  <c r="P28" i="4" s="1"/>
  <c r="K31" i="4"/>
  <c r="O31" i="4" s="1"/>
  <c r="P31" i="4" s="1"/>
  <c r="L31" i="4"/>
  <c r="M31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K29" i="4" l="1"/>
  <c r="O29" i="4" s="1"/>
  <c r="P29" i="4" s="1"/>
  <c r="L28" i="4"/>
  <c r="M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<sst xmlns="http://schemas.openxmlformats.org/spreadsheetml/2006/main" count="115" uniqueCount="89">
  <si>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</si>
  <si>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</si>
  <si>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</si>
  <si>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</si>
  <si>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</si>
  <si>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</si>
  <si>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</si>
  <si>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</si>
  <si>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</si>
  <si>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</si>
  <si>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</si>
  <si>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</si>
  <si>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</si>
  <si>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</si>
  <si>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</si>
  <si>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</si>
  <si>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</si>
  <si>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</si>
  <si>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</si>
  <si>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</si>
  <si>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</si>
  <si>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</si>
  <si>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</si>
  <si>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</si>
  <si>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</si>
  <si>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</si>
  <si>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</si>
  <si>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</si>
  <si>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</si>
  <si>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</si>
  <si>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</si>
  <si>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</si>
  <si>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</si>
  <si>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</si>
  <si>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</si>
  <si>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</si>
  <si>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</si>
  <si>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</si>
  <si>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</si>
  <si>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</si>
  <si>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</si>
  <si>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</si>
  <si>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</si>
  <si>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</si>
  <si>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</si>
  <si>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</si>
  <si>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</si>
  <si>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</si>
  <si>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</si>
  <si>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</si>
  <si>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</si>
  <si>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</si>
  <si>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</si>
  <si>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</si>
  <si>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</si>
  <si>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</si>
  <si>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</si>
  <si>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</si>
  <si>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</si>
  <si>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</si>
  <si>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</si>
  <si>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</si>
  <si>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</si>
  <si>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</si>
  <si>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</si>
  <si>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</si>
  <si>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</si>
  <si>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</si>
  <si>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</si>
  <si>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</si>
  <si>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</si>
  <si>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</si>
  <si>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</si>
  <si>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</si>
  <si>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</si>
  <si>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</si>
  <si>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</si>
  <si>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</si>
  <si>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</si>
  <si>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</si>
  <si>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</si>
  <si>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chlorpromazine</t>
  </si>
  <si>
    <t>50-53-3</t>
  </si>
  <si>
    <t>5 ng/cell</t>
    <phoneticPr fontId="18" type="noConversion"/>
  </si>
  <si>
    <t>FBS</t>
    <phoneticPr fontId="18" type="noConversion"/>
  </si>
  <si>
    <t>HepRG</t>
  </si>
  <si>
    <t>HepG2</t>
  </si>
  <si>
    <t>umold</t>
    <phoneticPr fontId="18" type="noConversion"/>
  </si>
  <si>
    <t>umole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</si>
</sst>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0000"/>
    <numFmt numFmtId="166" formatCode="0.00000000000"/>
    <numFmt numFmtId="167" formatCode="0.0%"/>
    <numFmt numFmtId="168" formatCode="0.00_);[Red]\(0.00\)"/>
    <numFmt numFmtId="169" formatCode="0.00000_);[Red]\(0.00000\)"/>
    <numFmt numFmtId="170" formatCode="0.000000_);[Red]\(0.000000\)"/>
    <numFmt numFmtId="171" formatCode="0.0E+00"/>
  </numFmts>
  <fonts count="24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64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167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68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69" fontId="0" fillId="3" borderId="0" xfId="0" applyNumberFormat="1" applyFill="1"/>
    <xf numFmtId="170" fontId="0" fillId="3" borderId="0" xfId="0" applyNumberFormat="1" applyFill="1"/>
    <xf numFmtId="170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71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Normal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K17" sqref="K17"/>
    </sheetView>
  </sheetViews>
  <sheetFormatPr defaultColWidth="10.85546875" defaultRowHeight="1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75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8">
      <c r="A2" s="7"/>
      <c r="B2" s="114" t="s">
        <v>57</v>
      </c>
      <c r="C2" s="115"/>
      <c r="D2" s="115"/>
      <c r="E2" s="115"/>
      <c r="F2" s="115"/>
      <c r="G2" s="115"/>
      <c r="H2" s="116"/>
      <c r="I2" s="7"/>
      <c r="J2" s="105" t="s">
        <v>56</v>
      </c>
      <c r="K2" s="106"/>
      <c r="L2" s="106"/>
      <c r="M2" s="106"/>
      <c r="N2" s="106"/>
      <c r="O2" s="107"/>
      <c r="P2" s="7"/>
      <c r="Q2" s="105" t="s">
        <v>58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>
      <c r="A7" s="7"/>
      <c r="B7" s="12"/>
      <c r="C7" s="7"/>
      <c r="D7" s="7"/>
      <c r="E7" s="7"/>
      <c r="F7" s="7"/>
      <c r="G7" s="7"/>
      <c r="H7" s="15"/>
      <c r="I7" s="7"/>
      <c r="J7" s="12"/>
      <c r="K7" s="83" t="s">
        <v>76</v>
      </c>
      <c r="L7" s="84">
        <v>0</v>
      </c>
      <c r="M7" s="85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 thickBot="1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 thickBot="1">
      <c r="A10" s="7"/>
      <c r="B10" s="12"/>
      <c r="C10" s="7"/>
      <c r="D10" s="7"/>
      <c r="E10" s="7"/>
      <c r="F10" s="7"/>
      <c r="G10" s="7"/>
      <c r="H10" s="15"/>
      <c r="I10" s="7"/>
      <c r="J10" s="12"/>
      <c r="K10" s="83" t="s">
        <v>16</v>
      </c>
      <c r="L10" s="84">
        <v>24</v>
      </c>
      <c r="M10" s="84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77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 thickBot="1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78</v>
      </c>
      <c r="L15" s="59">
        <f>K28*(1-0.1-0.03)</f>
        <v>2.9580000000000001E-3</v>
      </c>
      <c r="M15" s="59">
        <f>K28*0.1</f>
        <v>3.4000000000000002E-4</v>
      </c>
      <c r="N15" s="59">
        <f>K28*0.03</f>
        <v>1.02E-4</v>
      </c>
      <c r="O15" s="104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thickBot="1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4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>
      <c r="A17" s="7"/>
      <c r="B17" s="12"/>
      <c r="C17" s="7"/>
      <c r="D17" s="7"/>
      <c r="E17" s="7"/>
      <c r="F17" s="7"/>
      <c r="G17" s="7"/>
      <c r="H17" s="15"/>
      <c r="I17" s="7"/>
      <c r="J17" s="32" t="s">
        <v>85</v>
      </c>
      <c r="K17" s="32" t="s">
        <v>75</v>
      </c>
      <c r="L17" s="59">
        <f>K28*(1-0.0946-0.0319)</f>
        <v>2.9699000000000001E-3</v>
      </c>
      <c r="M17" s="59">
        <f>K28*0.0946</f>
        <v>3.2164000000000004E-4</v>
      </c>
      <c r="N17" s="59">
        <f>K28*0.0319</f>
        <v>1.0846E-4</v>
      </c>
      <c r="O17" s="104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4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thickBot="1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4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 thickBot="1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 thickBot="1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6"/>
      <c r="M23" s="87"/>
      <c r="N23" s="86"/>
      <c r="O23" s="86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 thickBot="1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0"/>
      <c r="M24" s="90"/>
      <c r="N24" s="90"/>
      <c r="O24" s="88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9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83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thickBot="1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thickBo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3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S28" sqref="S28:S30"/>
    </sheetView>
  </sheetViews>
  <sheetFormatPr defaultColWidth="11.42578125" defaultRowHeight="1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75" thickBot="1">
      <c r="A1" s="7"/>
      <c r="B1" s="7"/>
      <c r="C1" s="7"/>
      <c r="D1" s="7"/>
      <c r="E1" s="7"/>
      <c r="F1" s="7"/>
      <c r="G1" s="172"/>
      <c r="H1" s="17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>
      <c r="A2" s="7"/>
      <c r="B2" s="7"/>
      <c r="C2" s="7"/>
      <c r="D2" s="7"/>
      <c r="E2" s="7"/>
      <c r="F2" s="7"/>
      <c r="G2" s="172"/>
      <c r="H2" s="172"/>
      <c r="I2" s="117" t="s">
        <v>19</v>
      </c>
      <c r="J2" s="118"/>
      <c r="K2" s="118"/>
      <c r="L2" s="118"/>
      <c r="M2" s="118"/>
      <c r="N2" s="118"/>
      <c r="O2" s="118"/>
      <c r="P2" s="118"/>
      <c r="Q2" s="11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>
      <c r="A3" s="7"/>
      <c r="B3" s="7"/>
      <c r="C3" s="7"/>
      <c r="D3" s="7"/>
      <c r="E3" s="7"/>
      <c r="F3" s="7"/>
      <c r="G3" s="172"/>
      <c r="H3" s="172"/>
      <c r="I3" s="120"/>
      <c r="J3" s="121"/>
      <c r="K3" s="121"/>
      <c r="L3" s="121"/>
      <c r="M3" s="121"/>
      <c r="N3" s="121"/>
      <c r="O3" s="121"/>
      <c r="P3" s="121"/>
      <c r="Q3" s="122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7"/>
      <c r="C4" s="7"/>
      <c r="D4" s="7"/>
      <c r="E4" s="7"/>
      <c r="F4" s="7"/>
      <c r="G4" s="172"/>
      <c r="H4" s="172"/>
      <c r="I4" s="123"/>
      <c r="J4" s="124"/>
      <c r="K4" s="124"/>
      <c r="L4" s="124"/>
      <c r="M4" s="124"/>
      <c r="N4" s="124"/>
      <c r="O4" s="124"/>
      <c r="P4" s="124"/>
      <c r="Q4" s="12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>
      <c r="A5" s="7"/>
      <c r="B5" s="7"/>
      <c r="C5" s="7"/>
      <c r="D5" s="7"/>
      <c r="E5" s="7"/>
      <c r="F5" s="7"/>
      <c r="G5" s="172"/>
      <c r="H5" s="172"/>
      <c r="I5" s="126" t="s">
        <v>38</v>
      </c>
      <c r="J5" s="127"/>
      <c r="K5" s="127"/>
      <c r="L5" s="127"/>
      <c r="M5" s="127"/>
      <c r="N5" s="127"/>
      <c r="O5" s="127"/>
      <c r="P5" s="127"/>
      <c r="Q5" s="128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>
      <c r="A6" s="7"/>
      <c r="B6" s="7"/>
      <c r="C6" s="7"/>
      <c r="D6" s="7"/>
      <c r="E6" s="7"/>
      <c r="F6" s="7"/>
      <c r="G6" s="172"/>
      <c r="H6" s="172"/>
      <c r="I6" s="50" t="s">
        <v>49</v>
      </c>
      <c r="J6" s="50" t="s">
        <v>50</v>
      </c>
      <c r="K6" s="50" t="s">
        <v>46</v>
      </c>
      <c r="L6" s="169" t="s">
        <v>39</v>
      </c>
      <c r="M6" s="170"/>
      <c r="N6" s="170"/>
      <c r="O6" s="170"/>
      <c r="P6" s="170"/>
      <c r="Q6" s="171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>
      <c r="A7" s="7"/>
      <c r="B7" s="7"/>
      <c r="C7" s="7"/>
      <c r="D7" s="7"/>
      <c r="E7" s="7"/>
      <c r="F7" s="7"/>
      <c r="G7" s="172"/>
      <c r="H7" s="172"/>
      <c r="I7" s="51" t="s">
        <v>20</v>
      </c>
      <c r="J7" s="38">
        <f>SUM(J13,J19)</f>
        <v>2000.34</v>
      </c>
      <c r="K7" s="39">
        <f>J7/J7</f>
        <v>1</v>
      </c>
      <c r="L7" s="163" t="s">
        <v>68</v>
      </c>
      <c r="M7" s="164"/>
      <c r="N7" s="164"/>
      <c r="O7" s="164"/>
      <c r="P7" s="164"/>
      <c r="Q7" s="16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>
      <c r="A8" s="7"/>
      <c r="B8" s="144" t="s">
        <v>3</v>
      </c>
      <c r="C8" s="145"/>
      <c r="D8" s="145"/>
      <c r="E8" s="145"/>
      <c r="F8" s="146"/>
      <c r="G8" s="172"/>
      <c r="H8" s="172"/>
      <c r="I8" s="52" t="s">
        <v>6</v>
      </c>
      <c r="J8" s="38">
        <f>SUM(J14,J20)</f>
        <v>2000.2969900000001</v>
      </c>
      <c r="K8" s="40">
        <f>J8/J7</f>
        <v>0.9999784986552287</v>
      </c>
      <c r="L8" s="163" t="s">
        <v>69</v>
      </c>
      <c r="M8" s="164"/>
      <c r="N8" s="164"/>
      <c r="O8" s="164"/>
      <c r="P8" s="164"/>
      <c r="Q8" s="16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>
      <c r="A9" s="7"/>
      <c r="B9" s="147"/>
      <c r="C9" s="148"/>
      <c r="D9" s="148"/>
      <c r="E9" s="148"/>
      <c r="F9" s="149"/>
      <c r="G9" s="172"/>
      <c r="H9" s="172"/>
      <c r="I9" s="51" t="s">
        <v>8</v>
      </c>
      <c r="J9" s="41">
        <f t="shared" ref="J9:J10" si="0">SUM(J15,J21)</f>
        <v>3.2164000000000005E-2</v>
      </c>
      <c r="K9" s="40">
        <f>J9/J7</f>
        <v>1.6079266524690806E-5</v>
      </c>
      <c r="L9" s="163" t="s">
        <v>69</v>
      </c>
      <c r="M9" s="164"/>
      <c r="N9" s="164"/>
      <c r="O9" s="164"/>
      <c r="P9" s="164"/>
      <c r="Q9" s="16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>
      <c r="A10" s="7"/>
      <c r="B10" s="150"/>
      <c r="C10" s="151"/>
      <c r="D10" s="151"/>
      <c r="E10" s="151"/>
      <c r="F10" s="152"/>
      <c r="G10" s="172"/>
      <c r="H10" s="172"/>
      <c r="I10" s="52" t="s">
        <v>9</v>
      </c>
      <c r="J10" s="41">
        <f t="shared" si="0"/>
        <v>1.0846000000000001E-2</v>
      </c>
      <c r="K10" s="40">
        <f>J10/J7</f>
        <v>5.4220782466980621E-6</v>
      </c>
      <c r="L10" s="163" t="s">
        <v>69</v>
      </c>
      <c r="M10" s="164"/>
      <c r="N10" s="164"/>
      <c r="O10" s="164"/>
      <c r="P10" s="164"/>
      <c r="Q10" s="16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>
      <c r="A11" s="7"/>
      <c r="B11" s="153" t="s">
        <v>36</v>
      </c>
      <c r="C11" s="154"/>
      <c r="D11" s="154"/>
      <c r="E11" s="154"/>
      <c r="F11" s="155"/>
      <c r="G11" s="172"/>
      <c r="H11" s="172"/>
      <c r="I11" s="188"/>
      <c r="J11" s="188"/>
      <c r="K11" s="188"/>
      <c r="L11" s="188"/>
      <c r="M11" s="188"/>
      <c r="N11" s="188"/>
      <c r="O11" s="188"/>
      <c r="P11" s="188"/>
      <c r="Q11" s="188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>
      <c r="A12" s="7"/>
      <c r="B12" s="156"/>
      <c r="C12" s="157"/>
      <c r="D12" s="157"/>
      <c r="E12" s="157"/>
      <c r="F12" s="158"/>
      <c r="G12" s="172"/>
      <c r="H12" s="172"/>
      <c r="I12" s="50" t="s">
        <v>51</v>
      </c>
      <c r="J12" s="50" t="s">
        <v>50</v>
      </c>
      <c r="K12" s="50" t="s">
        <v>46</v>
      </c>
      <c r="L12" s="169" t="s">
        <v>39</v>
      </c>
      <c r="M12" s="170"/>
      <c r="N12" s="170"/>
      <c r="O12" s="170"/>
      <c r="P12" s="170"/>
      <c r="Q12" s="171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>
      <c r="A13" s="8"/>
      <c r="B13" s="142" t="s">
        <v>4</v>
      </c>
      <c r="C13" s="143"/>
      <c r="D13" s="132" t="s">
        <v>39</v>
      </c>
      <c r="E13" s="132"/>
      <c r="F13" s="132"/>
      <c r="G13" s="172"/>
      <c r="H13" s="172"/>
      <c r="I13" s="51" t="s">
        <v>5</v>
      </c>
      <c r="J13" s="42">
        <f>SUM(J14:J16)</f>
        <v>2000</v>
      </c>
      <c r="K13" s="39">
        <f>J13/J13</f>
        <v>1</v>
      </c>
      <c r="L13" s="163" t="s">
        <v>71</v>
      </c>
      <c r="M13" s="164"/>
      <c r="N13" s="164"/>
      <c r="O13" s="164"/>
      <c r="P13" s="164"/>
      <c r="Q13" s="16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>
      <c r="A14" s="7"/>
      <c r="B14" s="4" t="s">
        <v>33</v>
      </c>
      <c r="C14" s="44">
        <v>2000</v>
      </c>
      <c r="D14" s="133" t="s">
        <v>17</v>
      </c>
      <c r="E14" s="133"/>
      <c r="F14" s="133"/>
      <c r="G14" s="172"/>
      <c r="H14" s="172"/>
      <c r="I14" s="52" t="s">
        <v>43</v>
      </c>
      <c r="J14" s="42">
        <f>C14-SUM(J15:J16)</f>
        <v>2000</v>
      </c>
      <c r="K14" s="40">
        <f>J14/J13</f>
        <v>1</v>
      </c>
      <c r="L14" s="166" t="s">
        <v>70</v>
      </c>
      <c r="M14" s="167"/>
      <c r="N14" s="167"/>
      <c r="O14" s="167"/>
      <c r="P14" s="167"/>
      <c r="Q14" s="16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>
      <c r="A15" s="7"/>
      <c r="B15" s="5" t="s">
        <v>14</v>
      </c>
      <c r="C15" s="44" t="s">
        <v>13</v>
      </c>
      <c r="D15" s="134" t="s">
        <v>60</v>
      </c>
      <c r="E15" s="134"/>
      <c r="F15" s="134"/>
      <c r="G15" s="172"/>
      <c r="H15" s="172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3" t="s">
        <v>69</v>
      </c>
      <c r="M15" s="164"/>
      <c r="N15" s="164"/>
      <c r="O15" s="164"/>
      <c r="P15" s="164"/>
      <c r="Q15" s="16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>
      <c r="A16" s="7"/>
      <c r="B16" s="4" t="s">
        <v>34</v>
      </c>
      <c r="C16" s="45">
        <v>1</v>
      </c>
      <c r="D16" s="135" t="s">
        <v>40</v>
      </c>
      <c r="E16" s="136"/>
      <c r="F16" s="137"/>
      <c r="G16" s="172"/>
      <c r="H16" s="172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3" t="s">
        <v>69</v>
      </c>
      <c r="M16" s="164"/>
      <c r="N16" s="164"/>
      <c r="O16" s="164"/>
      <c r="P16" s="164"/>
      <c r="Q16" s="16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>
      <c r="A17" s="7"/>
      <c r="B17" s="5" t="s">
        <v>15</v>
      </c>
      <c r="C17" s="44" t="s">
        <v>84</v>
      </c>
      <c r="D17" s="138" t="s">
        <v>61</v>
      </c>
      <c r="E17" s="139"/>
      <c r="F17" s="140"/>
      <c r="G17" s="172"/>
      <c r="H17" s="172"/>
      <c r="I17" s="166"/>
      <c r="J17" s="167"/>
      <c r="K17" s="167"/>
      <c r="L17" s="167"/>
      <c r="M17" s="167"/>
      <c r="N17" s="167"/>
      <c r="O17" s="167"/>
      <c r="P17" s="167"/>
      <c r="Q17" s="16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>
      <c r="A18" s="7"/>
      <c r="B18" s="4" t="s">
        <v>35</v>
      </c>
      <c r="C18" s="45">
        <v>0</v>
      </c>
      <c r="D18" s="135" t="s">
        <v>41</v>
      </c>
      <c r="E18" s="136"/>
      <c r="F18" s="137"/>
      <c r="G18" s="172"/>
      <c r="H18" s="172"/>
      <c r="I18" s="50" t="s">
        <v>29</v>
      </c>
      <c r="J18" s="50" t="s">
        <v>50</v>
      </c>
      <c r="K18" s="50" t="s">
        <v>46</v>
      </c>
      <c r="L18" s="169" t="s">
        <v>39</v>
      </c>
      <c r="M18" s="170"/>
      <c r="N18" s="170"/>
      <c r="O18" s="170"/>
      <c r="P18" s="170"/>
      <c r="Q18" s="171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>
      <c r="A19" s="7"/>
      <c r="B19" s="134"/>
      <c r="C19" s="134"/>
      <c r="D19" s="134"/>
      <c r="E19" s="134"/>
      <c r="F19" s="134"/>
      <c r="G19" s="172"/>
      <c r="H19" s="172"/>
      <c r="I19" s="51" t="s">
        <v>5</v>
      </c>
      <c r="J19" s="42">
        <f>SUM(J20:J22)</f>
        <v>0.34000000000000008</v>
      </c>
      <c r="K19" s="39">
        <f>J19/J19</f>
        <v>1</v>
      </c>
      <c r="L19" s="163" t="s">
        <v>55</v>
      </c>
      <c r="M19" s="164"/>
      <c r="N19" s="164"/>
      <c r="O19" s="164"/>
      <c r="P19" s="164"/>
      <c r="Q19" s="16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>
      <c r="A20" s="7"/>
      <c r="B20" s="142" t="s">
        <v>7</v>
      </c>
      <c r="C20" s="143"/>
      <c r="D20" s="132" t="s">
        <v>39</v>
      </c>
      <c r="E20" s="132"/>
      <c r="F20" s="132"/>
      <c r="G20" s="172"/>
      <c r="H20" s="172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0.29699000000000003</v>
      </c>
      <c r="K20" s="40">
        <f>J20/J19</f>
        <v>0.87349999999999994</v>
      </c>
      <c r="L20" s="163" t="s">
        <v>69</v>
      </c>
      <c r="M20" s="164"/>
      <c r="N20" s="164"/>
      <c r="O20" s="164"/>
      <c r="P20" s="164"/>
      <c r="Q20" s="16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>
      <c r="A21" s="7"/>
      <c r="B21" s="4" t="s">
        <v>10</v>
      </c>
      <c r="C21" s="44" t="s">
        <v>86</v>
      </c>
      <c r="D21" s="138" t="s">
        <v>61</v>
      </c>
      <c r="E21" s="139"/>
      <c r="F21" s="140"/>
      <c r="G21" s="172"/>
      <c r="H21" s="172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3.2164000000000005E-2</v>
      </c>
      <c r="K21" s="40">
        <f>J21/J19</f>
        <v>9.459999999999999E-2</v>
      </c>
      <c r="L21" s="163" t="s">
        <v>69</v>
      </c>
      <c r="M21" s="164"/>
      <c r="N21" s="164"/>
      <c r="O21" s="164"/>
      <c r="P21" s="164"/>
      <c r="Q21" s="16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>
      <c r="A22" s="7"/>
      <c r="B22" s="6" t="s">
        <v>18</v>
      </c>
      <c r="C22" s="46">
        <v>100000</v>
      </c>
      <c r="D22" s="141" t="s">
        <v>67</v>
      </c>
      <c r="E22" s="141"/>
      <c r="F22" s="141"/>
      <c r="G22" s="172"/>
      <c r="H22" s="172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1.0846000000000001E-2</v>
      </c>
      <c r="K22" s="40">
        <f>J22/J19</f>
        <v>3.1899999999999998E-2</v>
      </c>
      <c r="L22" s="163" t="s">
        <v>69</v>
      </c>
      <c r="M22" s="164"/>
      <c r="N22" s="164"/>
      <c r="O22" s="164"/>
      <c r="P22" s="164"/>
      <c r="Q22" s="16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>
      <c r="A23" s="7"/>
      <c r="B23" s="129"/>
      <c r="C23" s="130"/>
      <c r="D23" s="130"/>
      <c r="E23" s="130"/>
      <c r="F23" s="131"/>
      <c r="G23" s="172"/>
      <c r="H23" s="172"/>
      <c r="I23" s="183"/>
      <c r="J23" s="184"/>
      <c r="K23" s="184"/>
      <c r="L23" s="184"/>
      <c r="M23" s="184"/>
      <c r="N23" s="184"/>
      <c r="O23" s="184"/>
      <c r="P23" s="184"/>
      <c r="Q23" s="185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>
      <c r="A24" s="7"/>
      <c r="B24" s="153" t="s">
        <v>37</v>
      </c>
      <c r="C24" s="154"/>
      <c r="D24" s="154"/>
      <c r="E24" s="154"/>
      <c r="F24" s="155"/>
      <c r="G24" s="172"/>
      <c r="H24" s="172"/>
      <c r="I24" s="177" t="s">
        <v>42</v>
      </c>
      <c r="J24" s="178"/>
      <c r="K24" s="178"/>
      <c r="L24" s="178"/>
      <c r="M24" s="178"/>
      <c r="N24" s="178"/>
      <c r="O24" s="178"/>
      <c r="P24" s="178"/>
      <c r="Q24" s="17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>
      <c r="A25" s="7"/>
      <c r="B25" s="156"/>
      <c r="C25" s="157"/>
      <c r="D25" s="157"/>
      <c r="E25" s="157"/>
      <c r="F25" s="158"/>
      <c r="G25" s="172"/>
      <c r="H25" s="172"/>
      <c r="I25" s="180"/>
      <c r="J25" s="181"/>
      <c r="K25" s="181"/>
      <c r="L25" s="181"/>
      <c r="M25" s="181"/>
      <c r="N25" s="181"/>
      <c r="O25" s="181"/>
      <c r="P25" s="181"/>
      <c r="Q25" s="182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>
      <c r="A26" s="7"/>
      <c r="B26" s="175" t="s">
        <v>11</v>
      </c>
      <c r="C26" s="175" t="s">
        <v>12</v>
      </c>
      <c r="D26" s="159" t="s">
        <v>47</v>
      </c>
      <c r="E26" s="159" t="s">
        <v>48</v>
      </c>
      <c r="F26" s="161" t="s">
        <v>66</v>
      </c>
      <c r="G26" s="172"/>
      <c r="H26" s="172"/>
      <c r="I26" s="186" t="s">
        <v>53</v>
      </c>
      <c r="J26" s="186" t="s">
        <v>54</v>
      </c>
      <c r="K26" s="173" t="s">
        <v>74</v>
      </c>
      <c r="L26" s="173" t="s">
        <v>52</v>
      </c>
      <c r="M26" s="173" t="s">
        <v>59</v>
      </c>
      <c r="N26" s="173" t="s">
        <v>62</v>
      </c>
      <c r="O26" s="173" t="s">
        <v>73</v>
      </c>
      <c r="P26" s="173" t="s">
        <v>64</v>
      </c>
      <c r="Q26" s="173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>
      <c r="A27" s="7"/>
      <c r="B27" s="176"/>
      <c r="C27" s="176"/>
      <c r="D27" s="160"/>
      <c r="E27" s="160"/>
      <c r="F27" s="162"/>
      <c r="G27" s="172"/>
      <c r="H27" s="172"/>
      <c r="I27" s="187"/>
      <c r="J27" s="187"/>
      <c r="K27" s="174"/>
      <c r="L27" s="174"/>
      <c r="M27" s="174"/>
      <c r="N27" s="174"/>
      <c r="O27" s="174"/>
      <c r="P27" s="174"/>
      <c r="Q27" s="174"/>
      <c r="R27" s="7" t="s">
        <v>87</v>
      </c>
      <c r="S27" s="7" t="s">
        <v>88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92"/>
      <c r="B28" s="47" t="s">
        <v>81</v>
      </c>
      <c r="C28" s="47" t="s">
        <v>82</v>
      </c>
      <c r="D28" s="48">
        <v>4.1575040000000012</v>
      </c>
      <c r="E28" s="48">
        <v>5.2456879999999995</v>
      </c>
      <c r="F28" s="102">
        <v>1.7E-6</v>
      </c>
      <c r="G28" s="172"/>
      <c r="H28" s="172"/>
      <c r="I28" s="98">
        <f t="shared" ref="I28:I47" si="1">IF(D28=0,"",LOG($K$15*10^D28+$K$16*10^E28+$K$14))</f>
        <v>0</v>
      </c>
      <c r="J28" s="98">
        <f t="shared" ref="J28:J47" si="2">IF(D28=0,"",LOG($K$21*10^D28+$K$22*10^E28+$K$20))</f>
        <v>3.8436743524136028</v>
      </c>
      <c r="K28" s="99">
        <f t="shared" ref="K28:K47" si="3">IF(D28=0,"",1/(1+10^D28*$J$15/$J$14+10^E28*$J$16/$J$14+10^J28*$J$19/$J$14))</f>
        <v>0.45743449134061392</v>
      </c>
      <c r="L28" s="99">
        <f t="shared" ref="L28:L47" si="4">IF(D28=0,"",1/(1+10^I28/10^J28*$J$13/$J$19))</f>
        <v>0.54256550865938613</v>
      </c>
      <c r="M28" s="99">
        <f t="shared" ref="M28:M47" si="5">IF(D28=0,"",1-L28)</f>
        <v>0.45743449134061387</v>
      </c>
      <c r="N28" s="99">
        <f t="shared" ref="N28:N47" si="6">IF(D28=0,"",1/(1/10^E28*$J$20/$J$22+10^D28/10^E28*$J$21/$J$22+10^I28/10^E28*$J$13/$J$22+1))</f>
        <v>0.43677373290381044</v>
      </c>
      <c r="O28" s="41">
        <f t="shared" ref="O28:O47" si="7">IF(D28=0,"",F28*K28*$J$7/$J$14)</f>
        <v>7.7777083384704117E-7</v>
      </c>
      <c r="P28" s="41">
        <f t="shared" ref="P28:P47" si="8">IF(D28=0,"",O28*10^J28)</f>
        <v>5.4265774479585818E-3</v>
      </c>
      <c r="Q28" s="41">
        <f t="shared" ref="Q28:Q47" si="9">IF(D28=0,"",F28*N28*$J$7/$J$22)</f>
        <v>0.13694294183022071</v>
      </c>
      <c r="R28" s="9">
        <f>F28*0.002*1000000</f>
        <v>3.4000000000000002E-3</v>
      </c>
      <c r="S28" s="11">
        <f>R28*L28</f>
        <v>1.8447227294419129E-3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92"/>
      <c r="B29" s="47" t="s">
        <v>81</v>
      </c>
      <c r="C29" s="47" t="s">
        <v>82</v>
      </c>
      <c r="D29" s="48">
        <v>4.1575040000000012</v>
      </c>
      <c r="E29" s="48">
        <v>5.2456879999999995</v>
      </c>
      <c r="F29" s="102">
        <v>5.0000000000000004E-6</v>
      </c>
      <c r="G29" s="172"/>
      <c r="H29" s="172"/>
      <c r="I29" s="98">
        <f t="shared" si="1"/>
        <v>0</v>
      </c>
      <c r="J29" s="98">
        <f t="shared" si="2"/>
        <v>3.8436743524136028</v>
      </c>
      <c r="K29" s="99">
        <f t="shared" si="3"/>
        <v>0.45743449134061392</v>
      </c>
      <c r="L29" s="99">
        <f t="shared" si="4"/>
        <v>0.54256550865938613</v>
      </c>
      <c r="M29" s="99">
        <f t="shared" si="5"/>
        <v>0.45743449134061387</v>
      </c>
      <c r="N29" s="99">
        <f t="shared" si="6"/>
        <v>0.43677373290381044</v>
      </c>
      <c r="O29" s="41">
        <f t="shared" si="7"/>
        <v>2.2875612760207092E-6</v>
      </c>
      <c r="P29" s="41">
        <f t="shared" si="8"/>
        <v>1.5960521905760534E-2</v>
      </c>
      <c r="Q29" s="41">
        <f t="shared" si="9"/>
        <v>0.40277335832417849</v>
      </c>
      <c r="R29" s="9">
        <f t="shared" ref="R29:R30" si="10">F29*0.002*1000000</f>
        <v>0.01</v>
      </c>
      <c r="S29" s="11">
        <f t="shared" ref="S29:S30" si="11">R29*L29</f>
        <v>5.4256550865938611E-3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93"/>
      <c r="B30" s="47" t="s">
        <v>81</v>
      </c>
      <c r="C30" s="47" t="s">
        <v>82</v>
      </c>
      <c r="D30" s="48">
        <v>4.1575040000000012</v>
      </c>
      <c r="E30" s="48">
        <v>5.2456879999999995</v>
      </c>
      <c r="F30" s="95">
        <v>1.5E-5</v>
      </c>
      <c r="G30" s="172"/>
      <c r="H30" s="172"/>
      <c r="I30" s="98">
        <f t="shared" si="1"/>
        <v>0</v>
      </c>
      <c r="J30" s="98">
        <f t="shared" si="2"/>
        <v>3.8436743524136028</v>
      </c>
      <c r="K30" s="99">
        <f t="shared" si="3"/>
        <v>0.45743449134061392</v>
      </c>
      <c r="L30" s="99">
        <f t="shared" si="4"/>
        <v>0.54256550865938613</v>
      </c>
      <c r="M30" s="99">
        <f t="shared" si="5"/>
        <v>0.45743449134061387</v>
      </c>
      <c r="N30" s="99">
        <f t="shared" si="6"/>
        <v>0.43677373290381044</v>
      </c>
      <c r="O30" s="41">
        <f t="shared" si="7"/>
        <v>6.8626838280621271E-6</v>
      </c>
      <c r="P30" s="41">
        <f t="shared" si="8"/>
        <v>4.7881565717281596E-2</v>
      </c>
      <c r="Q30" s="41">
        <f t="shared" si="9"/>
        <v>1.2083200749725354</v>
      </c>
      <c r="R30" s="9">
        <f t="shared" si="10"/>
        <v>3.0000000000000002E-2</v>
      </c>
      <c r="S30" s="11">
        <f t="shared" si="11"/>
        <v>1.6276965259781586E-2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>
      <c r="A31" s="93"/>
      <c r="B31" s="47"/>
      <c r="C31" s="47"/>
      <c r="D31" s="48"/>
      <c r="E31" s="48"/>
      <c r="F31" s="97"/>
      <c r="G31" s="172"/>
      <c r="H31" s="172"/>
      <c r="I31" s="98" t="str">
        <f t="shared" si="1"/>
        <v/>
      </c>
      <c r="J31" s="98" t="str">
        <f t="shared" si="2"/>
        <v/>
      </c>
      <c r="K31" s="99" t="str">
        <f t="shared" si="3"/>
        <v/>
      </c>
      <c r="L31" s="99" t="str">
        <f t="shared" si="4"/>
        <v/>
      </c>
      <c r="M31" s="99" t="str">
        <f t="shared" si="5"/>
        <v/>
      </c>
      <c r="N31" s="99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93"/>
      <c r="B32" s="100"/>
      <c r="C32" s="100"/>
      <c r="D32" s="101"/>
      <c r="E32" s="101"/>
      <c r="F32" s="97"/>
      <c r="G32" s="172"/>
      <c r="H32" s="172"/>
      <c r="I32" s="98" t="str">
        <f t="shared" si="1"/>
        <v/>
      </c>
      <c r="J32" s="98" t="str">
        <f t="shared" si="2"/>
        <v/>
      </c>
      <c r="K32" s="99" t="str">
        <f t="shared" si="3"/>
        <v/>
      </c>
      <c r="L32" s="99" t="str">
        <f t="shared" si="4"/>
        <v/>
      </c>
      <c r="M32" s="99" t="str">
        <f t="shared" si="5"/>
        <v/>
      </c>
      <c r="N32" s="99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93"/>
      <c r="B33" s="47"/>
      <c r="C33" s="47"/>
      <c r="D33" s="94"/>
      <c r="E33" s="94"/>
      <c r="F33" s="95"/>
      <c r="G33" s="172"/>
      <c r="H33" s="172"/>
      <c r="I33" s="98" t="str">
        <f t="shared" si="1"/>
        <v/>
      </c>
      <c r="J33" s="98" t="str">
        <f t="shared" si="2"/>
        <v/>
      </c>
      <c r="K33" s="99" t="str">
        <f t="shared" si="3"/>
        <v/>
      </c>
      <c r="L33" s="99" t="str">
        <f t="shared" si="4"/>
        <v/>
      </c>
      <c r="M33" s="99" t="str">
        <f t="shared" si="5"/>
        <v/>
      </c>
      <c r="N33" s="99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92"/>
      <c r="B34" s="47"/>
      <c r="C34" s="47"/>
      <c r="D34" s="96"/>
      <c r="E34" s="96"/>
      <c r="F34" s="97"/>
      <c r="G34" s="172"/>
      <c r="H34" s="172"/>
      <c r="I34" s="98" t="str">
        <f t="shared" si="1"/>
        <v/>
      </c>
      <c r="J34" s="98" t="str">
        <f t="shared" si="2"/>
        <v/>
      </c>
      <c r="K34" s="99" t="str">
        <f t="shared" si="3"/>
        <v/>
      </c>
      <c r="L34" s="99" t="str">
        <f t="shared" si="4"/>
        <v/>
      </c>
      <c r="M34" s="99" t="str">
        <f t="shared" si="5"/>
        <v/>
      </c>
      <c r="N34" s="99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92"/>
      <c r="B35" s="47"/>
      <c r="C35" s="47"/>
      <c r="D35" s="94"/>
      <c r="E35" s="94"/>
      <c r="F35" s="95"/>
      <c r="G35" s="172"/>
      <c r="H35" s="172"/>
      <c r="I35" s="98" t="str">
        <f t="shared" si="1"/>
        <v/>
      </c>
      <c r="J35" s="98" t="str">
        <f t="shared" si="2"/>
        <v/>
      </c>
      <c r="K35" s="99" t="str">
        <f t="shared" si="3"/>
        <v/>
      </c>
      <c r="L35" s="99" t="str">
        <f t="shared" si="4"/>
        <v/>
      </c>
      <c r="M35" s="99" t="str">
        <f t="shared" si="5"/>
        <v/>
      </c>
      <c r="N35" s="99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92"/>
      <c r="B36" s="47"/>
      <c r="C36" s="47"/>
      <c r="D36" s="94"/>
      <c r="E36" s="94"/>
      <c r="F36" s="95"/>
      <c r="G36" s="172"/>
      <c r="H36" s="172"/>
      <c r="I36" s="98" t="str">
        <f t="shared" si="1"/>
        <v/>
      </c>
      <c r="J36" s="98" t="str">
        <f t="shared" si="2"/>
        <v/>
      </c>
      <c r="K36" s="99" t="str">
        <f t="shared" si="3"/>
        <v/>
      </c>
      <c r="L36" s="99" t="str">
        <f t="shared" si="4"/>
        <v/>
      </c>
      <c r="M36" s="99" t="str">
        <f t="shared" si="5"/>
        <v/>
      </c>
      <c r="N36" s="99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92"/>
      <c r="B37" s="47"/>
      <c r="C37" s="47"/>
      <c r="D37" s="94"/>
      <c r="E37" s="94"/>
      <c r="F37" s="95"/>
      <c r="G37" s="172"/>
      <c r="H37" s="172"/>
      <c r="I37" s="98" t="str">
        <f t="shared" si="1"/>
        <v/>
      </c>
      <c r="J37" s="98" t="str">
        <f t="shared" si="2"/>
        <v/>
      </c>
      <c r="K37" s="99" t="str">
        <f t="shared" si="3"/>
        <v/>
      </c>
      <c r="L37" s="99" t="str">
        <f t="shared" si="4"/>
        <v/>
      </c>
      <c r="M37" s="99" t="str">
        <f t="shared" si="5"/>
        <v/>
      </c>
      <c r="N37" s="99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92"/>
      <c r="B38" s="47"/>
      <c r="C38" s="47"/>
      <c r="D38" s="94"/>
      <c r="E38" s="94"/>
      <c r="F38" s="95"/>
      <c r="G38" s="172"/>
      <c r="H38" s="172"/>
      <c r="I38" s="98" t="str">
        <f t="shared" si="1"/>
        <v/>
      </c>
      <c r="J38" s="98" t="str">
        <f t="shared" si="2"/>
        <v/>
      </c>
      <c r="K38" s="99" t="str">
        <f t="shared" si="3"/>
        <v/>
      </c>
      <c r="L38" s="99" t="str">
        <f t="shared" si="4"/>
        <v/>
      </c>
      <c r="M38" s="99" t="str">
        <f t="shared" si="5"/>
        <v/>
      </c>
      <c r="N38" s="99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92"/>
      <c r="B39" s="47"/>
      <c r="C39" s="47"/>
      <c r="D39" s="94"/>
      <c r="E39" s="94"/>
      <c r="F39" s="95"/>
      <c r="G39" s="172"/>
      <c r="H39" s="172"/>
      <c r="I39" s="98" t="str">
        <f t="shared" si="1"/>
        <v/>
      </c>
      <c r="J39" s="98" t="str">
        <f t="shared" si="2"/>
        <v/>
      </c>
      <c r="K39" s="99" t="str">
        <f t="shared" si="3"/>
        <v/>
      </c>
      <c r="L39" s="99" t="str">
        <f t="shared" si="4"/>
        <v/>
      </c>
      <c r="M39" s="99" t="str">
        <f t="shared" si="5"/>
        <v/>
      </c>
      <c r="N39" s="99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92"/>
      <c r="B40" s="47"/>
      <c r="C40" s="47"/>
      <c r="D40" s="94"/>
      <c r="E40" s="94"/>
      <c r="F40" s="95"/>
      <c r="G40" s="172"/>
      <c r="H40" s="172"/>
      <c r="I40" s="98" t="str">
        <f t="shared" si="1"/>
        <v/>
      </c>
      <c r="J40" s="98" t="str">
        <f t="shared" si="2"/>
        <v/>
      </c>
      <c r="K40" s="99" t="str">
        <f t="shared" si="3"/>
        <v/>
      </c>
      <c r="L40" s="99" t="str">
        <f t="shared" si="4"/>
        <v/>
      </c>
      <c r="M40" s="99" t="str">
        <f t="shared" si="5"/>
        <v/>
      </c>
      <c r="N40" s="99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92"/>
      <c r="B41" s="47"/>
      <c r="C41" s="47"/>
      <c r="D41" s="94"/>
      <c r="E41" s="94"/>
      <c r="F41" s="95"/>
      <c r="G41" s="172"/>
      <c r="H41" s="172"/>
      <c r="I41" s="98" t="str">
        <f t="shared" si="1"/>
        <v/>
      </c>
      <c r="J41" s="98" t="str">
        <f t="shared" si="2"/>
        <v/>
      </c>
      <c r="K41" s="99" t="str">
        <f t="shared" si="3"/>
        <v/>
      </c>
      <c r="L41" s="99" t="str">
        <f t="shared" si="4"/>
        <v/>
      </c>
      <c r="M41" s="99" t="str">
        <f t="shared" si="5"/>
        <v/>
      </c>
      <c r="N41" s="99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93"/>
      <c r="B42" s="47"/>
      <c r="C42" s="47"/>
      <c r="D42" s="94"/>
      <c r="E42" s="94"/>
      <c r="F42" s="95"/>
      <c r="G42" s="172"/>
      <c r="H42" s="172"/>
      <c r="I42" s="98" t="str">
        <f t="shared" si="1"/>
        <v/>
      </c>
      <c r="J42" s="98" t="str">
        <f t="shared" si="2"/>
        <v/>
      </c>
      <c r="K42" s="99" t="str">
        <f t="shared" si="3"/>
        <v/>
      </c>
      <c r="L42" s="99" t="str">
        <f t="shared" si="4"/>
        <v/>
      </c>
      <c r="M42" s="99" t="str">
        <f t="shared" si="5"/>
        <v/>
      </c>
      <c r="N42" s="99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93"/>
      <c r="B43" s="47"/>
      <c r="C43" s="47"/>
      <c r="D43" s="94"/>
      <c r="E43" s="94"/>
      <c r="F43" s="95"/>
      <c r="G43" s="172"/>
      <c r="H43" s="172"/>
      <c r="I43" s="98" t="str">
        <f t="shared" si="1"/>
        <v/>
      </c>
      <c r="J43" s="98" t="str">
        <f t="shared" si="2"/>
        <v/>
      </c>
      <c r="K43" s="99" t="str">
        <f t="shared" si="3"/>
        <v/>
      </c>
      <c r="L43" s="99" t="str">
        <f t="shared" si="4"/>
        <v/>
      </c>
      <c r="M43" s="99" t="str">
        <f t="shared" si="5"/>
        <v/>
      </c>
      <c r="N43" s="99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93"/>
      <c r="B44" s="47"/>
      <c r="C44" s="47"/>
      <c r="D44" s="94"/>
      <c r="E44" s="94"/>
      <c r="F44" s="95"/>
      <c r="G44" s="172"/>
      <c r="H44" s="172"/>
      <c r="I44" s="98" t="str">
        <f t="shared" si="1"/>
        <v/>
      </c>
      <c r="J44" s="98" t="str">
        <f t="shared" si="2"/>
        <v/>
      </c>
      <c r="K44" s="99" t="str">
        <f t="shared" si="3"/>
        <v/>
      </c>
      <c r="L44" s="99" t="str">
        <f t="shared" si="4"/>
        <v/>
      </c>
      <c r="M44" s="99" t="str">
        <f t="shared" si="5"/>
        <v/>
      </c>
      <c r="N44" s="99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93"/>
      <c r="B45" s="47"/>
      <c r="C45" s="47"/>
      <c r="D45" s="94"/>
      <c r="E45" s="94"/>
      <c r="F45" s="95"/>
      <c r="G45" s="172"/>
      <c r="H45" s="172"/>
      <c r="I45" s="98" t="str">
        <f t="shared" si="1"/>
        <v/>
      </c>
      <c r="J45" s="98" t="str">
        <f t="shared" si="2"/>
        <v/>
      </c>
      <c r="K45" s="99" t="str">
        <f t="shared" si="3"/>
        <v/>
      </c>
      <c r="L45" s="99" t="str">
        <f t="shared" si="4"/>
        <v/>
      </c>
      <c r="M45" s="99" t="str">
        <f t="shared" si="5"/>
        <v/>
      </c>
      <c r="N45" s="99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92"/>
      <c r="B46" s="47"/>
      <c r="C46" s="47"/>
      <c r="D46" s="96"/>
      <c r="E46" s="96"/>
      <c r="F46" s="95"/>
      <c r="G46" s="172"/>
      <c r="H46" s="172"/>
      <c r="I46" s="98" t="str">
        <f t="shared" si="1"/>
        <v/>
      </c>
      <c r="J46" s="98" t="str">
        <f t="shared" si="2"/>
        <v/>
      </c>
      <c r="K46" s="99" t="str">
        <f t="shared" si="3"/>
        <v/>
      </c>
      <c r="L46" s="99" t="str">
        <f t="shared" si="4"/>
        <v/>
      </c>
      <c r="M46" s="99" t="str">
        <f t="shared" si="5"/>
        <v/>
      </c>
      <c r="N46" s="99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92"/>
      <c r="B47" s="47"/>
      <c r="C47" s="47"/>
      <c r="D47" s="94"/>
      <c r="E47" s="94"/>
      <c r="F47" s="95"/>
      <c r="G47" s="172"/>
      <c r="H47" s="172"/>
      <c r="I47" s="98" t="str">
        <f t="shared" si="1"/>
        <v/>
      </c>
      <c r="J47" s="98" t="str">
        <f t="shared" si="2"/>
        <v/>
      </c>
      <c r="K47" s="99" t="str">
        <f t="shared" si="3"/>
        <v/>
      </c>
      <c r="L47" s="99" t="str">
        <f t="shared" si="4"/>
        <v/>
      </c>
      <c r="M47" s="99" t="str">
        <f t="shared" si="5"/>
        <v/>
      </c>
      <c r="N47" s="99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92"/>
      <c r="B48" s="47"/>
      <c r="C48" s="47"/>
      <c r="D48" s="94"/>
      <c r="E48" s="94"/>
      <c r="F48" s="95"/>
      <c r="G48" s="172"/>
      <c r="H48" s="172"/>
      <c r="I48" s="98" t="str">
        <f t="shared" ref="I48:I50" si="12">IF(D48=0,"",LOG($K$15*10^D48+$K$16*10^E48+$K$14))</f>
        <v/>
      </c>
      <c r="J48" s="98" t="str">
        <f t="shared" ref="J48:J50" si="13">IF(D48=0,"",LOG($K$21*10^D48+$K$22*10^E48+$K$20))</f>
        <v/>
      </c>
      <c r="K48" s="99" t="str">
        <f t="shared" ref="K48:K50" si="14">IF(D48=0,"",1/(1+10^D48*$J$15/$J$14+10^E48*$J$16/$J$14+10^J48*$J$19/$J$14))</f>
        <v/>
      </c>
      <c r="L48" s="99" t="str">
        <f t="shared" ref="L48:L50" si="15">IF(D48=0,"",1/(1+10^I48/10^J48*$J$13/$J$19))</f>
        <v/>
      </c>
      <c r="M48" s="99" t="str">
        <f t="shared" ref="M48:M92" si="16">IF(D48=0,"",1-L48)</f>
        <v/>
      </c>
      <c r="N48" s="99" t="str">
        <f t="shared" ref="N48:N50" si="17">IF(D48=0,"",1/(1/10^E48*$J$20/$J$22+10^D48/10^E48*$J$21/$J$22+10^I48/10^E48*$J$13/$J$22+1))</f>
        <v/>
      </c>
      <c r="O48" s="41" t="str">
        <f t="shared" ref="O48:O92" si="18">IF(D48=0,"",F48*K48*$J$7/$J$14)</f>
        <v/>
      </c>
      <c r="P48" s="41" t="str">
        <f t="shared" ref="P48:P50" si="19">IF(D48=0,"",O48*10^J48)</f>
        <v/>
      </c>
      <c r="Q48" s="41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92"/>
      <c r="B49" s="47"/>
      <c r="C49" s="47"/>
      <c r="D49" s="94"/>
      <c r="E49" s="94"/>
      <c r="F49" s="95"/>
      <c r="G49" s="172"/>
      <c r="H49" s="172"/>
      <c r="I49" s="98" t="str">
        <f t="shared" si="12"/>
        <v/>
      </c>
      <c r="J49" s="98" t="str">
        <f t="shared" si="13"/>
        <v/>
      </c>
      <c r="K49" s="99" t="str">
        <f t="shared" si="14"/>
        <v/>
      </c>
      <c r="L49" s="99" t="str">
        <f t="shared" si="15"/>
        <v/>
      </c>
      <c r="M49" s="99" t="str">
        <f t="shared" si="16"/>
        <v/>
      </c>
      <c r="N49" s="99" t="str">
        <f t="shared" si="17"/>
        <v/>
      </c>
      <c r="O49" s="41" t="str">
        <f t="shared" si="18"/>
        <v/>
      </c>
      <c r="P49" s="41" t="str">
        <f t="shared" si="19"/>
        <v/>
      </c>
      <c r="Q49" s="41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92"/>
      <c r="B50" s="47"/>
      <c r="C50" s="47"/>
      <c r="D50" s="94"/>
      <c r="E50" s="94"/>
      <c r="F50" s="95"/>
      <c r="G50" s="172"/>
      <c r="H50" s="172"/>
      <c r="I50" s="98" t="str">
        <f t="shared" si="12"/>
        <v/>
      </c>
      <c r="J50" s="98" t="str">
        <f t="shared" si="13"/>
        <v/>
      </c>
      <c r="K50" s="99" t="str">
        <f t="shared" si="14"/>
        <v/>
      </c>
      <c r="L50" s="99" t="str">
        <f t="shared" si="15"/>
        <v/>
      </c>
      <c r="M50" s="99" t="str">
        <f t="shared" si="16"/>
        <v/>
      </c>
      <c r="N50" s="99" t="str">
        <f t="shared" si="17"/>
        <v/>
      </c>
      <c r="O50" s="41" t="str">
        <f t="shared" si="18"/>
        <v/>
      </c>
      <c r="P50" s="41" t="str">
        <f t="shared" si="19"/>
        <v/>
      </c>
      <c r="Q50" s="41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92"/>
      <c r="B51" s="47"/>
      <c r="C51" s="47"/>
      <c r="D51" s="94"/>
      <c r="E51" s="94"/>
      <c r="F51" s="95"/>
      <c r="G51" s="172"/>
      <c r="H51" s="172"/>
      <c r="I51" s="98" t="str">
        <f t="shared" ref="I51:I70" si="21">IF(D51=0,"",LOG($K$15*10^D51+$K$16*10^E51+$K$14))</f>
        <v/>
      </c>
      <c r="J51" s="98" t="str">
        <f t="shared" ref="J51:J70" si="22">IF(D51=0,"",LOG($K$21*10^D51+$K$22*10^E51+$K$20))</f>
        <v/>
      </c>
      <c r="K51" s="99" t="str">
        <f t="shared" ref="K51:K70" si="23">IF(D51=0,"",1/(1+10^D51*$J$15/$J$14+10^E51*$J$16/$J$14+10^J51*$J$19/$J$14))</f>
        <v/>
      </c>
      <c r="L51" s="99" t="str">
        <f t="shared" ref="L51:L70" si="24">IF(D51=0,"",1/(1+10^I51/10^J51*$J$13/$J$19))</f>
        <v/>
      </c>
      <c r="M51" s="99" t="str">
        <f t="shared" ref="M51:M70" si="25">IF(D51=0,"",1-L51)</f>
        <v/>
      </c>
      <c r="N51" s="99" t="str">
        <f t="shared" ref="N51:N70" si="26">IF(D51=0,"",1/(1/10^E51*$J$20/$J$22+10^D51/10^E51*$J$21/$J$22+10^I51/10^E51*$J$13/$J$22+1))</f>
        <v/>
      </c>
      <c r="O51" s="41" t="str">
        <f t="shared" ref="O51:O70" si="27">IF(D51=0,"",F51*K51*$J$7/$J$14)</f>
        <v/>
      </c>
      <c r="P51" s="41" t="str">
        <f t="shared" ref="P51:P70" si="28">IF(D51=0,"",O51*10^J51)</f>
        <v/>
      </c>
      <c r="Q51" s="41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47"/>
      <c r="C52" s="47"/>
      <c r="D52" s="48"/>
      <c r="E52" s="48"/>
      <c r="F52" s="95"/>
      <c r="G52" s="172"/>
      <c r="H52" s="172"/>
      <c r="I52" s="98" t="str">
        <f t="shared" si="21"/>
        <v/>
      </c>
      <c r="J52" s="98" t="str">
        <f t="shared" si="22"/>
        <v/>
      </c>
      <c r="K52" s="99" t="str">
        <f t="shared" si="23"/>
        <v/>
      </c>
      <c r="L52" s="99" t="str">
        <f t="shared" si="24"/>
        <v/>
      </c>
      <c r="M52" s="99" t="str">
        <f t="shared" si="25"/>
        <v/>
      </c>
      <c r="N52" s="99" t="str">
        <f t="shared" si="26"/>
        <v/>
      </c>
      <c r="O52" s="41" t="str">
        <f t="shared" si="27"/>
        <v/>
      </c>
      <c r="P52" s="41" t="str">
        <f t="shared" si="28"/>
        <v/>
      </c>
      <c r="Q52" s="41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47"/>
      <c r="C53" s="47"/>
      <c r="D53" s="48"/>
      <c r="E53" s="48"/>
      <c r="F53" s="95"/>
      <c r="G53" s="172"/>
      <c r="H53" s="172"/>
      <c r="I53" s="98" t="str">
        <f t="shared" si="21"/>
        <v/>
      </c>
      <c r="J53" s="98" t="str">
        <f t="shared" si="22"/>
        <v/>
      </c>
      <c r="K53" s="99" t="str">
        <f t="shared" si="23"/>
        <v/>
      </c>
      <c r="L53" s="99" t="str">
        <f t="shared" si="24"/>
        <v/>
      </c>
      <c r="M53" s="99" t="str">
        <f t="shared" si="25"/>
        <v/>
      </c>
      <c r="N53" s="99" t="str">
        <f t="shared" si="26"/>
        <v/>
      </c>
      <c r="O53" s="41" t="str">
        <f t="shared" si="27"/>
        <v/>
      </c>
      <c r="P53" s="41" t="str">
        <f t="shared" si="28"/>
        <v/>
      </c>
      <c r="Q53" s="41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47"/>
      <c r="C54" s="47"/>
      <c r="D54" s="48"/>
      <c r="E54" s="48"/>
      <c r="F54" s="95"/>
      <c r="G54" s="172"/>
      <c r="H54" s="172"/>
      <c r="I54" s="98" t="str">
        <f t="shared" si="21"/>
        <v/>
      </c>
      <c r="J54" s="98" t="str">
        <f t="shared" si="22"/>
        <v/>
      </c>
      <c r="K54" s="99" t="str">
        <f t="shared" si="23"/>
        <v/>
      </c>
      <c r="L54" s="99" t="str">
        <f t="shared" si="24"/>
        <v/>
      </c>
      <c r="M54" s="99" t="str">
        <f t="shared" si="25"/>
        <v/>
      </c>
      <c r="N54" s="99" t="str">
        <f t="shared" si="26"/>
        <v/>
      </c>
      <c r="O54" s="41" t="str">
        <f t="shared" si="27"/>
        <v/>
      </c>
      <c r="P54" s="41" t="str">
        <f t="shared" si="28"/>
        <v/>
      </c>
      <c r="Q54" s="41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47"/>
      <c r="C55" s="47"/>
      <c r="D55" s="48"/>
      <c r="E55" s="48"/>
      <c r="F55" s="58"/>
      <c r="G55" s="172"/>
      <c r="H55" s="172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47"/>
      <c r="C56" s="47"/>
      <c r="D56" s="48"/>
      <c r="E56" s="48"/>
      <c r="F56" s="58"/>
      <c r="G56" s="172"/>
      <c r="H56" s="172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91"/>
      <c r="C57" s="91"/>
      <c r="D57" s="94"/>
      <c r="E57" s="94"/>
      <c r="F57" s="95"/>
      <c r="G57" s="172"/>
      <c r="H57" s="172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47"/>
      <c r="C58" s="47"/>
      <c r="D58" s="48"/>
      <c r="E58" s="48"/>
      <c r="F58" s="58"/>
      <c r="G58" s="172"/>
      <c r="H58" s="172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47"/>
      <c r="C59" s="47"/>
      <c r="D59" s="48"/>
      <c r="E59" s="48"/>
      <c r="F59" s="58"/>
      <c r="G59" s="172"/>
      <c r="H59" s="172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47"/>
      <c r="C60" s="47"/>
      <c r="D60" s="48"/>
      <c r="E60" s="48"/>
      <c r="F60" s="58"/>
      <c r="G60" s="172"/>
      <c r="H60" s="172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47"/>
      <c r="C61" s="47"/>
      <c r="D61" s="48"/>
      <c r="E61" s="48"/>
      <c r="F61" s="58"/>
      <c r="G61" s="172"/>
      <c r="H61" s="172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47"/>
      <c r="C62" s="47"/>
      <c r="D62" s="48"/>
      <c r="E62" s="48"/>
      <c r="F62" s="58"/>
      <c r="G62" s="172"/>
      <c r="H62" s="172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47"/>
      <c r="C63" s="47"/>
      <c r="D63" s="48"/>
      <c r="E63" s="48"/>
      <c r="F63" s="58"/>
      <c r="G63" s="172"/>
      <c r="H63" s="172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47"/>
      <c r="C64" s="47"/>
      <c r="D64" s="48"/>
      <c r="E64" s="48"/>
      <c r="F64" s="58"/>
      <c r="G64" s="172"/>
      <c r="H64" s="172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47"/>
      <c r="C65" s="47"/>
      <c r="D65" s="48"/>
      <c r="E65" s="48"/>
      <c r="F65" s="58"/>
      <c r="G65" s="172"/>
      <c r="H65" s="172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47"/>
      <c r="C66" s="47"/>
      <c r="D66" s="48"/>
      <c r="E66" s="48"/>
      <c r="F66" s="58"/>
      <c r="G66" s="172"/>
      <c r="H66" s="172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47"/>
      <c r="C67" s="47"/>
      <c r="D67" s="48"/>
      <c r="E67" s="48"/>
      <c r="F67" s="58"/>
      <c r="G67" s="172"/>
      <c r="H67" s="172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47"/>
      <c r="C68" s="47"/>
      <c r="D68" s="48"/>
      <c r="E68" s="48"/>
      <c r="F68" s="58"/>
      <c r="G68" s="172"/>
      <c r="H68" s="172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47"/>
      <c r="C69" s="47"/>
      <c r="D69" s="48"/>
      <c r="E69" s="48"/>
      <c r="F69" s="58"/>
      <c r="G69" s="172"/>
      <c r="H69" s="172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47"/>
      <c r="C70" s="47"/>
      <c r="D70" s="48"/>
      <c r="E70" s="48"/>
      <c r="F70" s="58"/>
      <c r="G70" s="172"/>
      <c r="H70" s="172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47"/>
      <c r="C71" s="47"/>
      <c r="D71" s="48"/>
      <c r="E71" s="48"/>
      <c r="F71" s="58"/>
      <c r="G71" s="172"/>
      <c r="H71" s="172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47"/>
      <c r="C72" s="47"/>
      <c r="D72" s="48"/>
      <c r="E72" s="48"/>
      <c r="F72" s="58"/>
      <c r="G72" s="172"/>
      <c r="H72" s="172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47"/>
      <c r="C73" s="47"/>
      <c r="D73" s="48"/>
      <c r="E73" s="48"/>
      <c r="F73" s="58"/>
      <c r="G73" s="172"/>
      <c r="H73" s="172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47"/>
      <c r="C74" s="47"/>
      <c r="D74" s="48"/>
      <c r="E74" s="48"/>
      <c r="F74" s="58"/>
      <c r="G74" s="172"/>
      <c r="H74" s="172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47"/>
      <c r="C75" s="47"/>
      <c r="D75" s="48"/>
      <c r="E75" s="48"/>
      <c r="F75" s="58"/>
      <c r="G75" s="172"/>
      <c r="H75" s="172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47"/>
      <c r="C76" s="47"/>
      <c r="D76" s="48"/>
      <c r="E76" s="48"/>
      <c r="F76" s="58"/>
      <c r="G76" s="172"/>
      <c r="H76" s="172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47"/>
      <c r="C77" s="47"/>
      <c r="D77" s="48"/>
      <c r="E77" s="48"/>
      <c r="F77" s="58"/>
      <c r="G77" s="172"/>
      <c r="H77" s="172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Lin, Hsing-Chieh</cp:lastModifiedBy>
  <dcterms:created xsi:type="dcterms:W3CDTF">2016-11-02T11:21:18Z</dcterms:created>
  <dcterms:modified xsi:type="dcterms:W3CDTF">2024-03-29T20:04:49Z</dcterms:modified>
</cp:coreProperties>
</file>