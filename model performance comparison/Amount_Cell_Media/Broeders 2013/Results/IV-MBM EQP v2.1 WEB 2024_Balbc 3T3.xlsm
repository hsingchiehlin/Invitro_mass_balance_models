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3\"/>
    </mc:Choice>
  </mc:AlternateContent>
  <xr:revisionPtr revIDLastSave="0" documentId="13_ncr:1_{9F612DC3-6CD0-40B0-9A6F-503B8405F8E7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2" l="1"/>
  <c r="K29" i="2"/>
  <c r="K28" i="2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<sst xmlns="http://schemas.openxmlformats.org/spreadsheetml/2006/main" count="376" uniqueCount="284">
  <si>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</si>
  <si>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</si>
  <si>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</si>
  <si>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</si>
  <si>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</si>
  <si>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</si>
  <si>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</si>
  <si>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</si>
  <si>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</si>
  <si>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</si>
  <si>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</si>
  <si>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</si>
  <si>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</si>
  <si>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</si>
  <si>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</si>
  <si>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</si>
  <si>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</si>
  <si>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</si>
  <si>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</si>
  <si>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</si>
  <si>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</si>
  <si>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</si>
  <si>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</si>
  <si>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</si>
  <si>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</si>
  <si>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</si>
  <si>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</si>
  <si>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</si>
  <si>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</si>
  <si>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</si>
  <si>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</si>
  <si>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</si>
  <si>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</si>
  <si>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</si>
  <si>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</si>
  <si>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</si>
  <si>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</si>
  <si>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</si>
  <si>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</si>
  <si>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</si>
  <si>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</si>
  <si>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</si>
  <si>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</si>
  <si>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</si>
  <si>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</si>
  <si>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</si>
  <si>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</si>
  <si>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</si>
  <si>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</si>
  <si>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</si>
  <si>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</si>
  <si>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</si>
  <si>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</si>
  <si>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</si>
  <si>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</si>
  <si>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</si>
  <si>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</si>
  <si>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</si>
  <si>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</si>
  <si>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</si>
  <si>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</si>
  <si>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</si>
  <si>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</si>
  <si>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</si>
  <si>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</si>
  <si>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</si>
  <si>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</si>
  <si>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</si>
  <si>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</si>
  <si>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</si>
  <si>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</si>
  <si>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</si>
  <si>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</si>
  <si>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</si>
  <si>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</si>
  <si>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</si>
  <si>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</si>
  <si>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</si>
  <si>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</si>
  <si>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</si>
  <si>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</si>
  <si>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</si>
  <si>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</si>
  <si>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</si>
  <si>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</si>
  <si>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</si>
  <si>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</si>
  <si>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</si>
  <si>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</si>
  <si>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</si>
  <si>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</si>
  <si>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</si>
  <si>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</si>
  <si>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</si>
  <si>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</si>
  <si>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</si>
  <si>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</si>
  <si>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</si>
  <si>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</si>
  <si>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</si>
  <si>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</si>
  <si>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</si>
  <si>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</si>
  <si>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</si>
  <si>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</si>
  <si>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</si>
  <si>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</si>
  <si>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</si>
  <si>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</si>
  <si>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</si>
  <si>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</si>
  <si>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</si>
  <si>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</si>
  <si>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</si>
  <si>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</si>
  <si>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</si>
  <si>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</si>
  <si>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</si>
  <si>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</si>
  <si>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</si>
  <si>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</si>
  <si>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</si>
  <si>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</si>
  <si>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</si>
  <si>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</si>
  <si>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</si>
  <si>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</si>
  <si>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</si>
  <si>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</si>
  <si>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</si>
  <si>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</si>
  <si>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</si>
  <si>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</si>
  <si>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</si>
  <si>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</si>
  <si>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</si>
  <si>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</si>
  <si>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</si>
  <si>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</si>
  <si>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</si>
  <si>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</si>
  <si>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</si>
  <si>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</si>
  <si>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</si>
  <si>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</si>
  <si>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</si>
  <si>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</si>
  <si>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</si>
  <si>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</si>
  <si>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</si>
  <si>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</si>
  <si>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</si>
  <si>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</si>
  <si>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</si>
  <si>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</si>
  <si>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</si>
  <si>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</si>
  <si>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</si>
  <si>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</si>
  <si>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</si>
  <si>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</si>
  <si>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</si>
  <si>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</si>
  <si>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</si>
  <si>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</si>
  <si>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</si>
  <si>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</si>
  <si>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</si>
  <si>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</si>
  <si>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</si>
  <si>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</si>
  <si>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</si>
  <si>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</si>
  <si>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</si>
  <si>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</si>
  <si>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</si>
  <si>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</si>
  <si>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</si>
  <si>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</si>
  <si>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</si>
  <si>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</si>
  <si>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</si>
  <si>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</si>
  <si>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</si>
  <si>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</si>
  <si>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</si>
  <si>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</si>
  <si>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</si>
  <si>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</si>
  <si>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</si>
  <si>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</si>
  <si>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</si>
  <si>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</si>
  <si>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</si>
  <si>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</si>
  <si>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</si>
  <si>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</si>
  <si>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</si>
  <si>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</si>
  <si>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</si>
  <si>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</si>
  <si>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</si>
  <si>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</si>
  <si>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</si>
  <si>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</si>
  <si>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</si>
  <si>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</si>
  <si>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</si>
  <si>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</si>
  <si>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</si>
  <si>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</si>
  <si>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</si>
  <si>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</si>
  <si>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</si>
  <si>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</si>
  <si>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</si>
  <si>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</si>
  <si>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</si>
  <si>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</si>
  <si>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</si>
  <si>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</si>
  <si>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</si>
  <si>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</si>
  <si>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</si>
  <si>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</si>
  <si>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</si>
  <si>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</si>
  <si>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</si>
  <si>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</si>
  <si>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</si>
  <si>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</si>
  <si>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</si>
  <si>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</si>
  <si>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</si>
  <si>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</si>
  <si>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</si>
  <si>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</si>
  <si>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</si>
  <si>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</si>
  <si>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</si>
  <si>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</si>
  <si>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</si>
  <si>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</si>
  <si>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</si>
  <si>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</si>
  <si>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</si>
  <si>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</si>
  <si>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</si>
  <si>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</si>
  <si>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</si>
  <si>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</si>
  <si>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</si>
  <si>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</si>
  <si>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</si>
  <si>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</si>
  <si>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</si>
  <si>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</si>
  <si>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</si>
  <si>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</si>
  <si>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</si>
  <si>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</si>
  <si>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</si>
  <si>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</si>
  <si>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</si>
  <si>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</si>
  <si>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</si>
  <si>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</si>
  <si>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</si>
  <si>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</si>
  <si>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</si>
  <si>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</si>
  <si>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</si>
  <si>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</si>
  <si>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</si>
  <si>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</si>
  <si>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</si>
  <si>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*data from fischer model</t>
    <phoneticPr fontId="35" type="noConversion"/>
  </si>
  <si>
    <t>chlorpromazine</t>
  </si>
  <si>
    <t>As origibal ratio</t>
    <phoneticPr fontId="35" type="noConversion"/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</si>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</sst>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7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5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80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0" fontId="30" fillId="0" borderId="0" xfId="0" applyFont="1"/>
    <xf numFmtId="177" fontId="1" fillId="0" borderId="0" xfId="0" applyNumberFormat="1" applyFont="1"/>
    <xf numFmtId="177" fontId="30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topLeftCell="D1" zoomScale="85" zoomScaleNormal="85" workbookViewId="0">
      <pane ySplit="1" topLeftCell="A2" activePane="bottomLeft" state="frozen"/>
      <selection pane="bottomLeft" activeCell="Z2" sqref="Z2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73" t="s">
        <v>273</v>
      </c>
      <c r="B2" s="173" t="s">
        <v>279</v>
      </c>
      <c r="C2" s="124"/>
      <c r="D2" s="174">
        <v>318.86</v>
      </c>
      <c r="E2" s="174">
        <v>151</v>
      </c>
      <c r="F2" s="100"/>
      <c r="G2" s="101" t="s">
        <v>175</v>
      </c>
      <c r="H2" s="104"/>
      <c r="I2" s="174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4">
        <v>-6.97</v>
      </c>
      <c r="U2" s="100"/>
      <c r="V2" s="174">
        <v>2.2128884000000002</v>
      </c>
      <c r="W2" s="112"/>
      <c r="X2" s="104"/>
      <c r="Y2" s="100"/>
      <c r="Z2" s="112">
        <v>1.7</v>
      </c>
    </row>
    <row r="3" spans="1:27" s="99" customFormat="1">
      <c r="B3" s="100"/>
      <c r="C3" s="124"/>
      <c r="D3" s="101"/>
      <c r="E3" s="101"/>
      <c r="F3" s="100"/>
      <c r="G3" s="101"/>
      <c r="H3" s="104"/>
      <c r="I3" s="104"/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04"/>
      <c r="U3" s="100"/>
      <c r="V3" s="112"/>
      <c r="W3" s="112"/>
      <c r="X3" s="104"/>
      <c r="Y3" s="100"/>
      <c r="Z3" s="112"/>
      <c r="AA3" s="18"/>
    </row>
    <row r="4" spans="1:27" s="99" customFormat="1">
      <c r="B4" s="100"/>
      <c r="C4" s="124"/>
      <c r="D4" s="101"/>
      <c r="E4" s="101"/>
      <c r="F4" s="101"/>
      <c r="G4" s="101"/>
      <c r="H4" s="104"/>
      <c r="I4" s="104"/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04"/>
      <c r="U4" s="100"/>
      <c r="V4" s="112"/>
      <c r="W4" s="112"/>
      <c r="X4" s="100"/>
      <c r="Y4" s="100"/>
      <c r="Z4" s="112"/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 ht="13.15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 ht="13.15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2">
        <v>2.4</v>
      </c>
      <c r="L5" s="26" t="s">
        <v>120</v>
      </c>
      <c r="P5" s="99" t="s">
        <v>274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275</v>
      </c>
      <c r="G6" s="161">
        <v>2000</v>
      </c>
      <c r="H6" s="161">
        <v>15000</v>
      </c>
      <c r="I6" s="49">
        <f>H6*$K$5/1000000</f>
        <v>3.5999999999999997E-2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0.45600000000000002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0.22800000000000001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4.7999999999999996E-3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2.8800000000000002E-3</v>
      </c>
    </row>
    <row r="16" spans="1:17" ht="13.15" thickBot="1">
      <c r="A16" s="99" t="s">
        <v>227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4.8000000000000001E-2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4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3">
        <f>K9*B6*K16/(1/0.733)/1000</f>
        <v>3.4282409999999999</v>
      </c>
      <c r="C9" s="75" t="s">
        <v>99</v>
      </c>
      <c r="F9" s="99" t="s">
        <v>281</v>
      </c>
      <c r="G9" s="164">
        <v>2.3666666666666666E-2</v>
      </c>
      <c r="H9" s="75" t="s">
        <v>55</v>
      </c>
      <c r="I9" s="76"/>
      <c r="J9" s="76" t="s">
        <v>156</v>
      </c>
      <c r="K9" s="167">
        <v>0.05</v>
      </c>
      <c r="L9" s="76" t="s">
        <v>26</v>
      </c>
      <c r="M9" s="77" t="s">
        <v>146</v>
      </c>
    </row>
    <row r="10" spans="1:13" ht="17.25">
      <c r="A10" s="76" t="s">
        <v>114</v>
      </c>
      <c r="B10" s="133">
        <f>K9*B6*K17/1000</f>
        <v>0.16</v>
      </c>
      <c r="C10" s="75" t="s">
        <v>99</v>
      </c>
      <c r="F10" s="99" t="s">
        <v>282</v>
      </c>
      <c r="G10" s="165">
        <v>0.11833333333333333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0.24399999999999999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4">
        <f>G13/1000000/G12*1000000</f>
        <v>3.5999999999999997E-2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3.5999999999999997E-2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46.77</v>
      </c>
      <c r="L16" s="75" t="s">
        <v>29</v>
      </c>
      <c r="M16" s="99" t="s">
        <v>276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1.6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1.7999999999999997E-5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2.5559999999999998E-6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8.0000000000000007E-5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1.7141204999999999E-3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5" thickBot="1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J28" s="172" t="s">
        <v>278</v>
      </c>
      <c r="K28" s="170">
        <f>0.142/6</f>
        <v>2.3666666666666666E-2</v>
      </c>
      <c r="M28" s="164">
        <v>0.14199999999999999</v>
      </c>
    </row>
    <row r="29" spans="1:13">
      <c r="B29" s="99"/>
      <c r="C29" s="153"/>
      <c r="F29" s="158" t="s">
        <v>269</v>
      </c>
      <c r="G29" s="159" t="s">
        <v>270</v>
      </c>
      <c r="H29" s="159" t="s">
        <v>271</v>
      </c>
      <c r="J29" s="172"/>
      <c r="K29" s="170">
        <f>0.142*5/6</f>
        <v>0.11833333333333333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2" sqref="W2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277</v>
      </c>
      <c r="B2" s="99" t="s">
        <v>280</v>
      </c>
      <c r="D2" s="104" t="s">
        <v>175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W3" s="109"/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277</v>
      </c>
      <c r="B2" s="66" t="s">
        <v>280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1.7850899095317113E-4</v>
      </c>
      <c r="J2" s="67" t="s">
        <v>230</v>
      </c>
      <c r="K2" s="68">
        <v>1.053128252719399</v>
      </c>
      <c r="L2" s="67" t="s">
        <v>283</v>
      </c>
      <c r="M2" s="68">
        <v>7.8961867405302772</v>
      </c>
      <c r="N2" s="67" t="s">
        <v>230</v>
      </c>
      <c r="P2" s="106" t="s">
        <v>187</v>
      </c>
    </row>
    <row r="3" spans="1:17"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0</v>
      </c>
    </row>
    <row r="14" spans="1:17" ht="15">
      <c r="P14" s="106" t="s">
        <v>228</v>
      </c>
      <c r="Q14" s="100">
        <f>COUNTIF(N2:N50000,"Yes")</f>
        <v>0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1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2" sqref="Q2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7" t="s">
        <v>260</v>
      </c>
      <c r="L1" s="157" t="s">
        <v>261</v>
      </c>
      <c r="M1" s="156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277</v>
      </c>
      <c r="B2" s="16" t="s">
        <v>280</v>
      </c>
      <c r="D2" s="14">
        <v>1.7</v>
      </c>
      <c r="E2" s="14">
        <v>1.6134281199563172</v>
      </c>
      <c r="F2" s="14">
        <v>1.8355127712453997E-2</v>
      </c>
      <c r="G2" s="14">
        <v>5.6227127657364192E-9</v>
      </c>
      <c r="H2" s="14">
        <v>749.92427275535215</v>
      </c>
      <c r="I2" s="14">
        <v>3870.5669272153973</v>
      </c>
      <c r="J2" s="14">
        <v>0</v>
      </c>
      <c r="K2" s="14">
        <v>92.6171708871601</v>
      </c>
      <c r="L2" s="14">
        <v>1.0797133948502352E-2</v>
      </c>
      <c r="M2" s="14">
        <v>8.8590484047461806E-3</v>
      </c>
      <c r="N2" s="14">
        <v>1053.1282527193989</v>
      </c>
      <c r="O2" s="14">
        <v>335800.47466210759</v>
      </c>
      <c r="P2" s="8">
        <v>619.48720748199935</v>
      </c>
      <c r="Q2" s="54">
        <v>0.37357222698611997</v>
      </c>
      <c r="S2" s="99"/>
    </row>
    <row r="3" spans="1:20"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2" sqref="L2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277</v>
      </c>
      <c r="B2" s="3" t="s">
        <v>280</v>
      </c>
      <c r="D2" s="20">
        <v>4.0516606694277138E-7</v>
      </c>
      <c r="E2" s="20">
        <v>0.9490753646801865</v>
      </c>
      <c r="F2" s="20">
        <v>0.7561532761044355</v>
      </c>
      <c r="G2" s="20">
        <v>0.1821443259866069</v>
      </c>
      <c r="H2" s="20">
        <v>0</v>
      </c>
      <c r="I2" s="20">
        <v>1.0777762589144096E-2</v>
      </c>
      <c r="J2" s="20">
        <v>1.1150769734675988E-2</v>
      </c>
      <c r="K2" s="20">
        <v>3.9773460419070532E-2</v>
      </c>
      <c r="L2" s="20">
        <v>0</v>
      </c>
      <c r="N2" s="99"/>
    </row>
    <row r="3" spans="1:14">
      <c r="N3" s="99"/>
    </row>
    <row r="4" spans="1:14"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277</v>
      </c>
      <c r="B2" s="3" t="s">
        <v>280</v>
      </c>
      <c r="D2" s="14">
        <v>1.3775646276054229E-9</v>
      </c>
      <c r="E2" s="14">
        <v>3.6644392803089931E-5</v>
      </c>
      <c r="F2" s="14">
        <v>2.5709211387550811E-3</v>
      </c>
      <c r="G2" s="14">
        <v>6.1929070835446351E-4</v>
      </c>
      <c r="H2" s="14">
        <v>0</v>
      </c>
      <c r="I2" s="14">
        <v>3.7912617097898401E-5</v>
      </c>
      <c r="J2" s="14">
        <v>1.3522976542483983E-4</v>
      </c>
      <c r="K2" s="14">
        <v>0</v>
      </c>
      <c r="L2" s="21"/>
      <c r="M2" s="171"/>
    </row>
    <row r="3" spans="1:23"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" sqref="R2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1" t="s">
        <v>217</v>
      </c>
      <c r="G1" s="141" t="s">
        <v>210</v>
      </c>
      <c r="H1" s="141" t="s">
        <v>218</v>
      </c>
      <c r="I1" s="141" t="s">
        <v>219</v>
      </c>
      <c r="J1" s="141" t="s">
        <v>220</v>
      </c>
      <c r="K1" s="142" t="s">
        <v>223</v>
      </c>
      <c r="L1" s="142" t="s">
        <v>226</v>
      </c>
      <c r="M1" s="142" t="s">
        <v>224</v>
      </c>
      <c r="N1" s="142" t="s">
        <v>225</v>
      </c>
      <c r="O1" s="142" t="s">
        <v>265</v>
      </c>
      <c r="P1" s="142" t="s">
        <v>266</v>
      </c>
      <c r="Q1" s="37" t="s">
        <v>221</v>
      </c>
      <c r="R1" s="37" t="s">
        <v>222</v>
      </c>
      <c r="S1" s="146"/>
      <c r="T1" s="37"/>
      <c r="U1" s="147"/>
      <c r="V1" s="148"/>
    </row>
    <row r="2" spans="1:22">
      <c r="A2" s="99" t="s">
        <v>277</v>
      </c>
      <c r="B2" s="99" t="s">
        <v>280</v>
      </c>
      <c r="D2" s="100" t="s">
        <v>175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1.7</v>
      </c>
      <c r="L2" s="112">
        <v>1.8252469230783261E-2</v>
      </c>
      <c r="M2" s="112">
        <v>1053.1282527193989</v>
      </c>
      <c r="N2" s="112">
        <v>7896.1867405302773</v>
      </c>
      <c r="O2" s="112">
        <v>57.935445363681325</v>
      </c>
      <c r="P2" s="112">
        <v>38.046780450264713</v>
      </c>
      <c r="Q2" s="108">
        <v>34.079673743341957</v>
      </c>
      <c r="R2" s="68">
        <v>22.380459088391007</v>
      </c>
    </row>
    <row r="4" spans="1:22"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2024-03-26T23:41:01Z</dcterms:modified>
</cp:coreProperties>
</file>