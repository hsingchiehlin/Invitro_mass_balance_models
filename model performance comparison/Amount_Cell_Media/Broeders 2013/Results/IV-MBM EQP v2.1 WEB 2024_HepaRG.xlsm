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roeders 2013\Results\"/>
    </mc:Choice>
  </mc:AlternateContent>
  <xr:revisionPtr revIDLastSave="0" documentId="13_ncr:1_{3407D578-8E4F-4A78-9FA4-5FC56539DCA3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Output - Partitioning" sheetId="21" r:id="rId6"/>
    <sheet name="QA-QC" sheetId="17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2" l="1"/>
  <c r="L4" i="12"/>
  <c r="L2" i="12"/>
  <c r="I6" i="18"/>
  <c r="G13" i="2" s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<sst xmlns="http://schemas.openxmlformats.org/spreadsheetml/2006/main" count="422" uniqueCount="283">
  <si>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</si>
  <si>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</si>
  <si>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</si>
  <si>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</si>
  <si>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</si>
  <si>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</si>
  <si>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</si>
  <si>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</si>
  <si>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</si>
  <si>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</si>
  <si>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</si>
  <si>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</si>
  <si>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</si>
  <si>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</si>
  <si>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</si>
  <si>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</si>
  <si>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</si>
  <si>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</si>
  <si>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</si>
  <si>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</si>
  <si>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</si>
  <si>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</si>
  <si>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</si>
  <si>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</si>
  <si>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</si>
  <si>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</si>
  <si>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</si>
  <si>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</si>
  <si>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</si>
  <si>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</si>
  <si>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</si>
  <si>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</si>
  <si>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</si>
  <si>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</si>
  <si>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</si>
  <si>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</si>
  <si>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</si>
  <si>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</si>
  <si>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</si>
  <si>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</si>
  <si>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</si>
  <si>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</si>
  <si>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</si>
  <si>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</si>
  <si>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</si>
  <si>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</si>
  <si>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</si>
  <si>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</si>
  <si>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</si>
  <si>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</si>
  <si>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</si>
  <si>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</si>
  <si>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</si>
  <si>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</si>
  <si>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</si>
  <si>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</si>
  <si>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</si>
  <si>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</si>
  <si>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</si>
  <si>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</si>
  <si>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</si>
  <si>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</si>
  <si>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</si>
  <si>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</si>
  <si>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</si>
  <si>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</si>
  <si>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</si>
  <si>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</si>
  <si>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</si>
  <si>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</si>
  <si>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</si>
  <si>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</si>
  <si>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</si>
  <si>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</si>
  <si>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</si>
  <si>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</si>
  <si>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</si>
  <si>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</si>
  <si>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</si>
  <si>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</si>
  <si>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</si>
  <si>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</si>
  <si>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</si>
  <si>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</si>
  <si>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</si>
  <si>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</si>
  <si>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</si>
  <si>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</si>
  <si>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</si>
  <si>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</si>
  <si>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</si>
  <si>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</si>
  <si>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</si>
  <si>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</si>
  <si>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</si>
  <si>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</si>
  <si>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</si>
  <si>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</si>
  <si>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</si>
  <si>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</si>
  <si>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</si>
  <si>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</si>
  <si>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</si>
  <si>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</si>
  <si>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</si>
  <si>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</si>
  <si>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</si>
  <si>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</si>
  <si>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</si>
  <si>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</si>
  <si>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</si>
  <si>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</si>
  <si>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</si>
  <si>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</si>
  <si>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</si>
  <si>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</si>
  <si>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</si>
  <si>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</si>
  <si>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</si>
  <si>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</si>
  <si>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</si>
  <si>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</si>
  <si>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</si>
  <si>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</si>
  <si>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</si>
  <si>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</si>
  <si>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</si>
  <si>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</si>
  <si>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</si>
  <si>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</si>
  <si>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</si>
  <si>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</si>
  <si>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</si>
  <si>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</si>
  <si>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</si>
  <si>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</si>
  <si>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</si>
  <si>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</si>
  <si>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</si>
  <si>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</si>
  <si>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</si>
  <si>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</si>
  <si>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</si>
  <si>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</si>
  <si>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</si>
  <si>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</si>
  <si>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</si>
  <si>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</si>
  <si>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</si>
  <si>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</si>
  <si>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</si>
  <si>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</si>
  <si>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</si>
  <si>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</si>
  <si>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</si>
  <si>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</si>
  <si>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</si>
  <si>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</si>
  <si>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</si>
  <si>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</si>
  <si>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</si>
  <si>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</si>
  <si>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</si>
  <si>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</si>
  <si>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</si>
  <si>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</si>
  <si>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</si>
  <si>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</si>
  <si>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</si>
  <si>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</si>
  <si>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</si>
  <si>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</si>
  <si>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</si>
  <si>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</si>
  <si>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</si>
  <si>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</si>
  <si>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</si>
  <si>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</si>
  <si>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</si>
  <si>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</si>
  <si>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</si>
  <si>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</si>
  <si>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</si>
  <si>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</si>
  <si>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</si>
  <si>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</si>
  <si>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</si>
  <si>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</si>
  <si>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</si>
  <si>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</si>
  <si>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</si>
  <si>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</si>
  <si>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</si>
  <si>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</si>
  <si>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</si>
  <si>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</si>
  <si>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</si>
  <si>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</si>
  <si>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</si>
  <si>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</si>
  <si>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</si>
  <si>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</si>
  <si>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</si>
  <si>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</si>
  <si>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</si>
  <si>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</si>
  <si>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</si>
  <si>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</si>
  <si>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</si>
  <si>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</si>
  <si>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</si>
  <si>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</si>
  <si>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</si>
  <si>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</si>
  <si>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</si>
  <si>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</si>
  <si>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</si>
  <si>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</si>
  <si>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</si>
  <si>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</si>
  <si>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</si>
  <si>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</si>
  <si>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</si>
  <si>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</si>
  <si>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</si>
  <si>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</si>
  <si>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</si>
  <si>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</si>
  <si>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</si>
  <si>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</si>
  <si>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</si>
  <si>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</si>
  <si>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</si>
  <si>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</si>
  <si>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</si>
  <si>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</si>
  <si>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</si>
  <si>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</si>
  <si>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</si>
  <si>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</si>
  <si>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</si>
  <si>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</si>
  <si>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</si>
  <si>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</si>
  <si>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</si>
  <si>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</si>
  <si>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</si>
  <si>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</si>
  <si>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</si>
  <si>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</si>
  <si>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</si>
  <si>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</si>
  <si>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</si>
  <si>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</si>
  <si>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</si>
  <si>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</si>
  <si>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</si>
  <si>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</si>
  <si>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</si>
  <si>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</si>
  <si>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</si>
  <si>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</si>
  <si>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</si>
  <si>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</si>
  <si>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</si>
  <si>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</si>
  <si>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</si>
  <si>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</si>
  <si>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</si>
  <si>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</si>
  <si>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</si>
  <si>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</si>
  <si>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chlorpromazine</t>
    <phoneticPr fontId="34" type="noConversion"/>
  </si>
  <si>
    <t>radius (m)</t>
    <phoneticPr fontId="35" type="noConversion"/>
  </si>
  <si>
    <t>1140 - 2500</t>
    <phoneticPr fontId="35" type="noConversion"/>
  </si>
  <si>
    <t>chlorpromazine</t>
  </si>
  <si>
    <t>50-53-3</t>
    <phoneticPr fontId="34" type="noConversion"/>
  </si>
  <si>
    <t>50-53-3</t>
  </si>
  <si>
    <t>Storage lipids</t>
    <phoneticPr fontId="35" type="noConversion"/>
  </si>
  <si>
    <t>Membrane lipids</t>
    <phoneticPr fontId="35" type="noConversion"/>
  </si>
  <si>
    <t>Yes</t>
  </si>
  <si>
    <t>B</t>
  </si>
  <si>
    <t>B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</si>
</sst>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7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30" fillId="6" borderId="0" xfId="0" applyFont="1" applyFill="1" applyAlignment="1">
      <alignment horizontal="center"/>
    </xf>
    <xf numFmtId="11" fontId="5" fillId="0" borderId="0" xfId="0" applyNumberFormat="1" applyFont="1"/>
    <xf numFmtId="0" fontId="30" fillId="0" borderId="0" xfId="0" applyFont="1" applyAlignment="1">
      <alignment horizontal="center"/>
    </xf>
    <xf numFmtId="0" fontId="30" fillId="5" borderId="2" xfId="0" applyFont="1" applyFill="1" applyBorder="1" applyAlignment="1">
      <alignment horizontal="center"/>
    </xf>
    <xf numFmtId="0" fontId="30" fillId="5" borderId="3" xfId="0" applyFont="1" applyFill="1" applyBorder="1" applyAlignment="1">
      <alignment horizontal="center"/>
    </xf>
    <xf numFmtId="2" fontId="30" fillId="5" borderId="3" xfId="0" applyNumberFormat="1" applyFont="1" applyFill="1" applyBorder="1" applyAlignment="1">
      <alignment horizontal="center"/>
    </xf>
    <xf numFmtId="180" fontId="30" fillId="3" borderId="2" xfId="0" applyNumberFormat="1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6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4" sqref="Z4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71" t="s">
        <v>272</v>
      </c>
      <c r="B2" s="171" t="s">
        <v>276</v>
      </c>
      <c r="C2" s="124"/>
      <c r="D2" s="172">
        <v>318.86</v>
      </c>
      <c r="E2" s="172">
        <v>151</v>
      </c>
      <c r="F2" s="100"/>
      <c r="G2" s="101" t="s">
        <v>282</v>
      </c>
      <c r="H2" s="104">
        <v>9.4</v>
      </c>
      <c r="I2" s="172">
        <v>5.41</v>
      </c>
      <c r="J2" s="104"/>
      <c r="K2" s="100"/>
      <c r="L2" s="100"/>
      <c r="M2" s="100"/>
      <c r="N2" s="100"/>
      <c r="O2" s="100"/>
      <c r="P2" s="100"/>
      <c r="Q2" s="100"/>
      <c r="R2" s="104"/>
      <c r="S2" s="104"/>
      <c r="T2" s="172">
        <v>-6.97</v>
      </c>
      <c r="U2" s="100"/>
      <c r="V2" s="172">
        <v>2.2128884000000002</v>
      </c>
      <c r="W2" s="112"/>
      <c r="X2" s="104"/>
      <c r="Y2" s="100"/>
      <c r="Z2" s="112">
        <v>1.7</v>
      </c>
    </row>
    <row r="3" spans="1:27" s="99" customFormat="1" ht="16.149999999999999">
      <c r="A3" s="171" t="s">
        <v>272</v>
      </c>
      <c r="B3" s="171" t="s">
        <v>276</v>
      </c>
      <c r="C3" s="124"/>
      <c r="D3" s="172">
        <v>318.86</v>
      </c>
      <c r="E3" s="172">
        <v>151</v>
      </c>
      <c r="F3" s="100"/>
      <c r="G3" s="101" t="s">
        <v>282</v>
      </c>
      <c r="H3" s="104">
        <v>9.4</v>
      </c>
      <c r="I3" s="172">
        <v>5.41</v>
      </c>
      <c r="J3" s="104"/>
      <c r="K3" s="100"/>
      <c r="L3" s="100"/>
      <c r="M3" s="100"/>
      <c r="N3" s="100"/>
      <c r="O3" s="100"/>
      <c r="P3" s="100"/>
      <c r="Q3" s="100"/>
      <c r="R3" s="104"/>
      <c r="S3" s="104"/>
      <c r="T3" s="172">
        <v>-6.97</v>
      </c>
      <c r="U3" s="100"/>
      <c r="V3" s="172">
        <v>2.2128884000000002</v>
      </c>
      <c r="W3" s="112"/>
      <c r="X3" s="104"/>
      <c r="Y3" s="100"/>
      <c r="Z3" s="112">
        <v>5</v>
      </c>
      <c r="AA3" s="18"/>
    </row>
    <row r="4" spans="1:27" s="99" customFormat="1" ht="16.149999999999999">
      <c r="A4" s="171" t="s">
        <v>272</v>
      </c>
      <c r="B4" s="171" t="s">
        <v>276</v>
      </c>
      <c r="C4" s="124"/>
      <c r="D4" s="172">
        <v>318.86</v>
      </c>
      <c r="E4" s="172">
        <v>151</v>
      </c>
      <c r="F4" s="100"/>
      <c r="G4" s="101" t="s">
        <v>282</v>
      </c>
      <c r="H4" s="104">
        <v>9.4</v>
      </c>
      <c r="I4" s="172">
        <v>5.41</v>
      </c>
      <c r="J4" s="104"/>
      <c r="K4" s="100"/>
      <c r="L4" s="100"/>
      <c r="M4" s="100"/>
      <c r="N4" s="100"/>
      <c r="O4" s="100"/>
      <c r="P4" s="100"/>
      <c r="Q4" s="100"/>
      <c r="R4" s="104"/>
      <c r="S4" s="104"/>
      <c r="T4" s="172">
        <v>-6.97</v>
      </c>
      <c r="U4" s="100"/>
      <c r="V4" s="172">
        <v>2.2128884000000002</v>
      </c>
      <c r="W4" s="112"/>
      <c r="X4" s="100"/>
      <c r="Y4" s="100"/>
      <c r="Z4" s="112">
        <v>15</v>
      </c>
    </row>
    <row r="5" spans="1:27" s="99" customFormat="1">
      <c r="B5" s="100"/>
      <c r="C5" s="124"/>
      <c r="D5" s="101"/>
      <c r="E5" s="101"/>
      <c r="F5" s="100"/>
      <c r="G5" s="101"/>
      <c r="H5" s="104"/>
      <c r="I5" s="104"/>
      <c r="J5" s="104"/>
      <c r="K5" s="100"/>
      <c r="L5" s="100"/>
      <c r="M5" s="100"/>
      <c r="N5" s="100"/>
      <c r="O5" s="100"/>
      <c r="P5" s="100"/>
      <c r="Q5" s="100"/>
      <c r="R5" s="104"/>
      <c r="S5" s="104"/>
      <c r="T5" s="104"/>
      <c r="U5" s="100"/>
      <c r="V5" s="112"/>
      <c r="W5" s="112"/>
      <c r="X5" s="104"/>
      <c r="Y5" s="100"/>
      <c r="Z5" s="112"/>
      <c r="AA5" s="109"/>
    </row>
    <row r="6" spans="1:27" s="99" customFormat="1">
      <c r="B6" s="100"/>
      <c r="C6" s="125"/>
      <c r="D6" s="101"/>
      <c r="E6" s="101"/>
      <c r="F6" s="101"/>
      <c r="G6" s="101"/>
      <c r="H6" s="104"/>
      <c r="I6" s="104"/>
      <c r="J6" s="104"/>
      <c r="K6" s="100"/>
      <c r="L6" s="100"/>
      <c r="M6" s="100"/>
      <c r="N6" s="100"/>
      <c r="O6" s="100"/>
      <c r="P6" s="100"/>
      <c r="Q6" s="100"/>
      <c r="R6" s="104"/>
      <c r="S6" s="104"/>
      <c r="T6" s="104"/>
      <c r="U6" s="100"/>
      <c r="V6" s="112"/>
      <c r="W6" s="112"/>
      <c r="X6" s="104"/>
      <c r="Y6" s="126"/>
      <c r="Z6" s="112"/>
    </row>
    <row r="7" spans="1:27" s="99" customFormat="1" ht="13.15">
      <c r="B7" s="100"/>
      <c r="C7" s="124"/>
      <c r="D7" s="101"/>
      <c r="E7" s="101"/>
      <c r="F7" s="100"/>
      <c r="G7" s="101"/>
      <c r="H7" s="104"/>
      <c r="I7" s="104"/>
      <c r="J7" s="104"/>
      <c r="K7" s="100"/>
      <c r="L7" s="100"/>
      <c r="M7" s="100"/>
      <c r="N7" s="100"/>
      <c r="O7" s="100"/>
      <c r="P7" s="100"/>
      <c r="Q7" s="100"/>
      <c r="R7" s="104"/>
      <c r="S7" s="104"/>
      <c r="T7" s="104"/>
      <c r="U7" s="100"/>
      <c r="V7" s="112"/>
      <c r="W7" s="112"/>
      <c r="X7" s="104"/>
      <c r="Y7" s="100"/>
      <c r="Z7" s="112"/>
      <c r="AA7" s="24"/>
    </row>
    <row r="8" spans="1:27" s="99" customFormat="1">
      <c r="B8" s="100"/>
      <c r="C8" s="124"/>
      <c r="D8" s="101"/>
      <c r="E8" s="101"/>
      <c r="F8" s="101"/>
      <c r="G8" s="101"/>
      <c r="H8" s="104"/>
      <c r="I8" s="104"/>
      <c r="J8" s="104"/>
      <c r="K8" s="100"/>
      <c r="L8" s="100"/>
      <c r="M8" s="100"/>
      <c r="N8" s="100"/>
      <c r="O8" s="100"/>
      <c r="P8" s="100"/>
      <c r="Q8" s="100"/>
      <c r="R8" s="104"/>
      <c r="S8" s="104"/>
      <c r="T8" s="104"/>
      <c r="U8" s="100"/>
      <c r="V8" s="112"/>
      <c r="W8" s="112"/>
      <c r="X8" s="104"/>
      <c r="Y8" s="100"/>
      <c r="Z8" s="112"/>
      <c r="AA8" s="109"/>
    </row>
    <row r="9" spans="1:27" s="99" customFormat="1">
      <c r="B9" s="100"/>
      <c r="C9" s="124"/>
      <c r="D9" s="101"/>
      <c r="E9" s="101"/>
      <c r="F9" s="101"/>
      <c r="G9" s="101"/>
      <c r="H9" s="104"/>
      <c r="I9" s="104"/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/>
      <c r="U9" s="100"/>
      <c r="V9" s="112"/>
      <c r="W9" s="112"/>
      <c r="X9" s="104"/>
      <c r="Y9" s="100"/>
      <c r="Z9" s="112"/>
    </row>
    <row r="10" spans="1:27" s="99" customFormat="1">
      <c r="B10" s="100"/>
      <c r="C10" s="124"/>
      <c r="D10" s="101"/>
      <c r="E10" s="101"/>
      <c r="F10" s="100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4"/>
      <c r="Y10" s="100"/>
      <c r="Z10" s="112"/>
    </row>
    <row r="11" spans="1:27" s="99" customFormat="1">
      <c r="B11" s="100"/>
      <c r="C11" s="125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</row>
    <row r="12" spans="1:27" s="99" customFormat="1" ht="13.15">
      <c r="B12" s="100"/>
      <c r="C12" s="125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5"/>
    </row>
    <row r="13" spans="1:27" s="99" customFormat="1">
      <c r="B13" s="100"/>
      <c r="C13" s="124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8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5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5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5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5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5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5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5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6" sqref="C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3.23</v>
      </c>
      <c r="K5" s="132">
        <v>3.4</v>
      </c>
      <c r="L5" s="26" t="s">
        <v>120</v>
      </c>
      <c r="P5" s="99" t="s">
        <v>273</v>
      </c>
      <c r="Q5" s="162">
        <v>8.3000000000000002E-6</v>
      </c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63" t="s">
        <v>274</v>
      </c>
      <c r="G6" s="161">
        <v>2000</v>
      </c>
      <c r="H6" s="161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5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226</v>
      </c>
      <c r="B16" s="100">
        <v>12</v>
      </c>
      <c r="C16" s="150">
        <v>11</v>
      </c>
      <c r="D16" s="151">
        <v>95</v>
      </c>
      <c r="E16" s="151">
        <v>1700</v>
      </c>
      <c r="F16" s="149" t="s">
        <v>102</v>
      </c>
      <c r="G16" s="151">
        <v>1000</v>
      </c>
      <c r="H16" s="151">
        <v>20000</v>
      </c>
      <c r="I16" s="152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60" t="s">
        <v>82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2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6900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245000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3">
        <f>K9*B6*K16/(1/0.733)/1000</f>
        <v>0</v>
      </c>
      <c r="C9" s="75" t="s">
        <v>99</v>
      </c>
      <c r="F9" s="99" t="s">
        <v>278</v>
      </c>
      <c r="G9" s="164">
        <v>9.5700000000000004E-3</v>
      </c>
      <c r="H9" s="75" t="s">
        <v>55</v>
      </c>
      <c r="I9" s="76"/>
      <c r="J9" s="76" t="s">
        <v>156</v>
      </c>
      <c r="K9" s="167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3">
        <f>K9*B6*K17/1000</f>
        <v>0</v>
      </c>
      <c r="C10" s="75" t="s">
        <v>99</v>
      </c>
      <c r="F10" s="99" t="s">
        <v>279</v>
      </c>
      <c r="G10" s="165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3">
        <f>K10*B6/1000/1000/K11</f>
        <v>0</v>
      </c>
      <c r="C11" s="75" t="s">
        <v>99</v>
      </c>
      <c r="F11" s="76" t="s">
        <v>144</v>
      </c>
      <c r="G11" s="166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4">
        <f>G13/1000000/G12*1000000</f>
        <v>0.34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0.34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8">
        <v>24</v>
      </c>
      <c r="L16" s="75" t="s">
        <v>29</v>
      </c>
      <c r="M16" s="99"/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9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4">
        <v>0.15</v>
      </c>
      <c r="H21" s="76" t="s">
        <v>23</v>
      </c>
      <c r="J21" s="91">
        <f>B12/B6</f>
        <v>1.7000000000000001E-4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5.4229999999999996E-6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</row>
    <row r="29" spans="1:13">
      <c r="B29" s="99"/>
      <c r="C29" s="153"/>
      <c r="F29" s="158" t="s">
        <v>268</v>
      </c>
      <c r="G29" s="159" t="s">
        <v>269</v>
      </c>
      <c r="H29" s="159" t="s">
        <v>270</v>
      </c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4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4" sqref="W4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>
      <c r="A2" s="99" t="s">
        <v>275</v>
      </c>
      <c r="B2" s="99" t="s">
        <v>277</v>
      </c>
      <c r="D2" s="104" t="s">
        <v>281</v>
      </c>
      <c r="E2" s="104">
        <v>9.4</v>
      </c>
      <c r="F2" s="104">
        <v>5.3240171707711541</v>
      </c>
      <c r="G2" s="104">
        <v>1.824017170771155</v>
      </c>
      <c r="H2" s="104">
        <v>3.3332167190965496</v>
      </c>
      <c r="I2" s="104">
        <v>5.3240171707711541</v>
      </c>
      <c r="J2" s="104">
        <v>1.824017170771155</v>
      </c>
      <c r="K2" s="104">
        <v>3.3332167190965496</v>
      </c>
      <c r="L2" s="104">
        <v>5.6336599999999999</v>
      </c>
      <c r="M2" s="104">
        <v>4.6336599999999999</v>
      </c>
      <c r="N2" s="104">
        <v>4.6707313113755822</v>
      </c>
      <c r="O2" s="104">
        <v>4.6112599999999997</v>
      </c>
      <c r="P2" s="104">
        <v>3.6112599999999997</v>
      </c>
      <c r="Q2" s="104">
        <v>3.6483313113755824</v>
      </c>
      <c r="R2" s="104">
        <v>-6.5138115123134632</v>
      </c>
      <c r="S2" s="104">
        <v>-8.5181328860961045</v>
      </c>
      <c r="T2" s="104">
        <v>-1.6913828292288444</v>
      </c>
      <c r="U2" s="104">
        <v>-5.1913828292288446</v>
      </c>
      <c r="V2" s="104">
        <v>-3.6821832809034487</v>
      </c>
      <c r="W2" s="109">
        <v>272.43551072155509</v>
      </c>
    </row>
    <row r="3" spans="1:23">
      <c r="A3" s="99" t="s">
        <v>275</v>
      </c>
      <c r="B3" s="99" t="s">
        <v>277</v>
      </c>
      <c r="D3" s="104" t="s">
        <v>281</v>
      </c>
      <c r="E3" s="104">
        <v>9.4</v>
      </c>
      <c r="F3" s="104">
        <v>5.3240171707711541</v>
      </c>
      <c r="G3" s="104">
        <v>1.824017170771155</v>
      </c>
      <c r="H3" s="104">
        <v>3.3332167190965496</v>
      </c>
      <c r="I3" s="104">
        <v>5.3240171707711541</v>
      </c>
      <c r="J3" s="104">
        <v>1.824017170771155</v>
      </c>
      <c r="K3" s="104">
        <v>3.3332167190965496</v>
      </c>
      <c r="L3" s="104">
        <v>5.6336599999999999</v>
      </c>
      <c r="M3" s="104">
        <v>4.6336599999999999</v>
      </c>
      <c r="N3" s="104">
        <v>4.6707313113755822</v>
      </c>
      <c r="O3" s="104">
        <v>4.6112599999999997</v>
      </c>
      <c r="P3" s="104">
        <v>3.6112599999999997</v>
      </c>
      <c r="Q3" s="104">
        <v>3.6483313113755824</v>
      </c>
      <c r="R3" s="104">
        <v>-6.5138115123134632</v>
      </c>
      <c r="S3" s="104">
        <v>-8.5181328860961045</v>
      </c>
      <c r="T3" s="104">
        <v>-1.6913828292288444</v>
      </c>
      <c r="U3" s="104">
        <v>-5.1913828292288446</v>
      </c>
      <c r="V3" s="104">
        <v>-3.6821832809034487</v>
      </c>
      <c r="W3" s="109">
        <v>272.43551072155509</v>
      </c>
    </row>
    <row r="4" spans="1:23">
      <c r="A4" s="99" t="s">
        <v>275</v>
      </c>
      <c r="B4" s="99" t="s">
        <v>277</v>
      </c>
      <c r="D4" s="104" t="s">
        <v>281</v>
      </c>
      <c r="E4" s="104">
        <v>9.4</v>
      </c>
      <c r="F4" s="104">
        <v>5.3240171707711541</v>
      </c>
      <c r="G4" s="104">
        <v>1.824017170771155</v>
      </c>
      <c r="H4" s="104">
        <v>3.3332167190965496</v>
      </c>
      <c r="I4" s="104">
        <v>5.3240171707711541</v>
      </c>
      <c r="J4" s="104">
        <v>1.824017170771155</v>
      </c>
      <c r="K4" s="104">
        <v>3.3332167190965496</v>
      </c>
      <c r="L4" s="104">
        <v>5.6336599999999999</v>
      </c>
      <c r="M4" s="104">
        <v>4.6336599999999999</v>
      </c>
      <c r="N4" s="104">
        <v>4.6707313113755822</v>
      </c>
      <c r="O4" s="104">
        <v>4.6112599999999997</v>
      </c>
      <c r="P4" s="104">
        <v>3.6112599999999997</v>
      </c>
      <c r="Q4" s="104">
        <v>3.6483313113755824</v>
      </c>
      <c r="R4" s="104">
        <v>-6.5138115123134632</v>
      </c>
      <c r="S4" s="104">
        <v>-8.5181328860961045</v>
      </c>
      <c r="T4" s="104">
        <v>-1.6913828292288444</v>
      </c>
      <c r="U4" s="104">
        <v>-5.1913828292288446</v>
      </c>
      <c r="V4" s="104">
        <v>-3.6821832809034487</v>
      </c>
      <c r="W4" s="109">
        <v>272.43551072155509</v>
      </c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4" sqref="N4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275</v>
      </c>
      <c r="B2" s="66" t="s">
        <v>277</v>
      </c>
      <c r="D2" s="66" t="s">
        <v>281</v>
      </c>
      <c r="E2" s="129">
        <v>9.4</v>
      </c>
      <c r="F2" s="67" t="s">
        <v>229</v>
      </c>
      <c r="G2" s="67" t="s">
        <v>229</v>
      </c>
      <c r="H2" s="67" t="s">
        <v>229</v>
      </c>
      <c r="I2" s="68">
        <v>5.8927596702055239E-5</v>
      </c>
      <c r="J2" s="67" t="s">
        <v>229</v>
      </c>
      <c r="K2" s="68">
        <v>6.2646666356833656</v>
      </c>
      <c r="L2" s="67" t="s">
        <v>280</v>
      </c>
      <c r="M2" s="68">
        <v>115.34248923325988</v>
      </c>
      <c r="N2" s="67" t="s">
        <v>280</v>
      </c>
      <c r="P2" s="106" t="s">
        <v>186</v>
      </c>
    </row>
    <row r="3" spans="1:17">
      <c r="A3" s="65" t="s">
        <v>275</v>
      </c>
      <c r="B3" s="66" t="s">
        <v>277</v>
      </c>
      <c r="D3" s="66" t="s">
        <v>281</v>
      </c>
      <c r="E3" s="129">
        <v>9.4</v>
      </c>
      <c r="F3" s="67" t="s">
        <v>229</v>
      </c>
      <c r="G3" s="67" t="s">
        <v>229</v>
      </c>
      <c r="H3" s="67" t="s">
        <v>229</v>
      </c>
      <c r="I3" s="68">
        <v>1.7331646088839775E-4</v>
      </c>
      <c r="J3" s="67" t="s">
        <v>229</v>
      </c>
      <c r="K3" s="68">
        <v>18.425490104951074</v>
      </c>
      <c r="L3" s="67" t="s">
        <v>280</v>
      </c>
      <c r="M3" s="68">
        <v>339.24261539194083</v>
      </c>
      <c r="N3" s="67" t="s">
        <v>280</v>
      </c>
      <c r="P3" s="106" t="s">
        <v>187</v>
      </c>
    </row>
    <row r="4" spans="1:17">
      <c r="A4" s="65" t="s">
        <v>275</v>
      </c>
      <c r="B4" s="66" t="s">
        <v>277</v>
      </c>
      <c r="D4" s="66" t="s">
        <v>281</v>
      </c>
      <c r="E4" s="129">
        <v>9.4</v>
      </c>
      <c r="F4" s="67" t="s">
        <v>229</v>
      </c>
      <c r="G4" s="67" t="s">
        <v>229</v>
      </c>
      <c r="H4" s="67" t="s">
        <v>229</v>
      </c>
      <c r="I4" s="68">
        <v>5.1994938266519339E-4</v>
      </c>
      <c r="J4" s="67" t="s">
        <v>229</v>
      </c>
      <c r="K4" s="68">
        <v>55.276470314853235</v>
      </c>
      <c r="L4" s="67" t="s">
        <v>280</v>
      </c>
      <c r="M4" s="68">
        <v>1017.7278461758226</v>
      </c>
      <c r="N4" s="67" t="s">
        <v>280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">
      <c r="P14" s="106" t="s">
        <v>227</v>
      </c>
      <c r="Q14" s="100">
        <f>COUNTIF(N2:N50000,"Yes")</f>
        <v>3</v>
      </c>
    </row>
    <row r="15" spans="1:17" ht="15">
      <c r="P15" s="106" t="s">
        <v>228</v>
      </c>
      <c r="Q15" s="100">
        <f>COUNTIF(M2:M50000,"&gt;=60")</f>
        <v>3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3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6" customFormat="1">
      <c r="B47" s="137"/>
      <c r="C47" s="137"/>
      <c r="D47" s="137"/>
      <c r="E47" s="138"/>
      <c r="F47" s="139"/>
      <c r="G47" s="139"/>
      <c r="H47" s="139"/>
      <c r="I47" s="140"/>
      <c r="J47" s="139"/>
      <c r="K47" s="140"/>
      <c r="L47" s="139"/>
      <c r="M47" s="140"/>
      <c r="N47" s="139"/>
      <c r="P47" s="127"/>
      <c r="Q47" s="127"/>
      <c r="R47" s="127"/>
    </row>
    <row r="48" spans="2:18" s="136" customFormat="1">
      <c r="B48" s="137"/>
      <c r="C48" s="137"/>
      <c r="D48" s="137"/>
      <c r="E48" s="138"/>
      <c r="F48" s="139"/>
      <c r="G48" s="139"/>
      <c r="H48" s="139"/>
      <c r="I48" s="140"/>
      <c r="J48" s="139"/>
      <c r="K48" s="140"/>
      <c r="L48" s="139"/>
      <c r="M48" s="140"/>
      <c r="N48" s="139"/>
      <c r="P48" s="127"/>
      <c r="Q48" s="127"/>
      <c r="R48" s="127"/>
    </row>
    <row r="49" spans="2:18" s="136" customFormat="1">
      <c r="B49" s="137"/>
      <c r="C49" s="137"/>
      <c r="D49" s="137"/>
      <c r="E49" s="138"/>
      <c r="F49" s="139"/>
      <c r="G49" s="139"/>
      <c r="H49" s="139"/>
      <c r="I49" s="140"/>
      <c r="J49" s="139"/>
      <c r="K49" s="140"/>
      <c r="L49" s="139"/>
      <c r="M49" s="140"/>
      <c r="N49" s="139"/>
      <c r="P49" s="127"/>
      <c r="Q49" s="127"/>
      <c r="R49" s="127"/>
    </row>
    <row r="50" spans="2:18" s="136" customFormat="1">
      <c r="B50" s="137"/>
      <c r="C50" s="137"/>
      <c r="D50" s="137"/>
      <c r="E50" s="138"/>
      <c r="F50" s="139"/>
      <c r="G50" s="139"/>
      <c r="H50" s="139"/>
      <c r="I50" s="140"/>
      <c r="J50" s="139"/>
      <c r="K50" s="140"/>
      <c r="L50" s="139"/>
      <c r="M50" s="140"/>
      <c r="N50" s="139"/>
      <c r="P50" s="127"/>
      <c r="Q50" s="127"/>
      <c r="R50" s="127"/>
    </row>
    <row r="51" spans="2:18" s="136" customFormat="1">
      <c r="B51" s="137"/>
      <c r="C51" s="137"/>
      <c r="D51" s="137"/>
      <c r="E51" s="138"/>
      <c r="F51" s="139"/>
      <c r="G51" s="139"/>
      <c r="H51" s="139"/>
      <c r="I51" s="140"/>
      <c r="J51" s="139"/>
      <c r="K51" s="140"/>
      <c r="L51" s="139"/>
      <c r="M51" s="140"/>
      <c r="N51" s="139"/>
      <c r="P51" s="127"/>
      <c r="Q51" s="127"/>
      <c r="R51" s="127"/>
    </row>
    <row r="52" spans="2:18" s="136" customFormat="1">
      <c r="B52" s="137"/>
      <c r="C52" s="137"/>
      <c r="D52" s="137"/>
      <c r="E52" s="138"/>
      <c r="F52" s="139"/>
      <c r="G52" s="139"/>
      <c r="H52" s="139"/>
      <c r="I52" s="140"/>
      <c r="J52" s="139"/>
      <c r="K52" s="140"/>
      <c r="L52" s="139"/>
      <c r="M52" s="140"/>
      <c r="N52" s="139"/>
      <c r="P52" s="127"/>
      <c r="Q52" s="127"/>
      <c r="R52" s="127"/>
    </row>
    <row r="53" spans="2:18" s="136" customFormat="1">
      <c r="B53" s="137"/>
      <c r="C53" s="137"/>
      <c r="D53" s="137"/>
      <c r="E53" s="138"/>
      <c r="F53" s="139"/>
      <c r="G53" s="139"/>
      <c r="H53" s="139"/>
      <c r="I53" s="140"/>
      <c r="J53" s="139"/>
      <c r="K53" s="140"/>
      <c r="L53" s="139"/>
      <c r="M53" s="140"/>
      <c r="N53" s="139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4" sqref="Q4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7" t="s">
        <v>259</v>
      </c>
      <c r="L1" s="157" t="s">
        <v>260</v>
      </c>
      <c r="M1" s="156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275</v>
      </c>
      <c r="B2" s="16" t="s">
        <v>277</v>
      </c>
      <c r="D2" s="14">
        <v>1.7</v>
      </c>
      <c r="E2" s="14">
        <v>0.6119802666821037</v>
      </c>
      <c r="F2" s="14">
        <v>0.61198026668210381</v>
      </c>
      <c r="G2" s="14">
        <v>1.8561135126114355E-9</v>
      </c>
      <c r="H2" s="14">
        <v>0</v>
      </c>
      <c r="I2" s="14">
        <v>0</v>
      </c>
      <c r="J2" s="14">
        <v>0</v>
      </c>
      <c r="K2" s="14">
        <v>2.7778673472866626</v>
      </c>
      <c r="L2" s="14">
        <v>0.35998839216594342</v>
      </c>
      <c r="M2" s="14">
        <v>0.29537047577215658</v>
      </c>
      <c r="N2" s="14">
        <v>6264.6666356833657</v>
      </c>
      <c r="O2" s="14">
        <v>1997551.603453998</v>
      </c>
      <c r="P2" s="8">
        <v>3685.098020990215</v>
      </c>
      <c r="Q2" s="54">
        <v>0.1272196327749465</v>
      </c>
      <c r="S2" s="99"/>
    </row>
    <row r="3" spans="1:20">
      <c r="A3" s="2" t="s">
        <v>275</v>
      </c>
      <c r="B3" s="16" t="s">
        <v>277</v>
      </c>
      <c r="D3" s="14">
        <v>5</v>
      </c>
      <c r="E3" s="14">
        <v>1.7999419608297169</v>
      </c>
      <c r="F3" s="14">
        <v>1.7999419608297169</v>
      </c>
      <c r="G3" s="14">
        <v>5.4591573900336333E-9</v>
      </c>
      <c r="H3" s="14">
        <v>0</v>
      </c>
      <c r="I3" s="14">
        <v>0</v>
      </c>
      <c r="J3" s="14">
        <v>0</v>
      </c>
      <c r="K3" s="14">
        <v>2.7778673472866631</v>
      </c>
      <c r="L3" s="14">
        <v>0.35998839216594336</v>
      </c>
      <c r="M3" s="14">
        <v>0.29537047577215653</v>
      </c>
      <c r="N3" s="14">
        <v>18425.490104951074</v>
      </c>
      <c r="O3" s="14">
        <v>5875151.7748646997</v>
      </c>
      <c r="P3" s="8">
        <v>3685.0980209902145</v>
      </c>
      <c r="Q3" s="54">
        <v>0.37417539051454846</v>
      </c>
      <c r="S3" s="106"/>
      <c r="T3" s="22"/>
    </row>
    <row r="4" spans="1:20">
      <c r="A4" s="2" t="s">
        <v>275</v>
      </c>
      <c r="B4" s="16" t="s">
        <v>277</v>
      </c>
      <c r="D4" s="14">
        <v>15</v>
      </c>
      <c r="E4" s="14">
        <v>5.3998258824891519</v>
      </c>
      <c r="F4" s="14">
        <v>5.399825882489151</v>
      </c>
      <c r="G4" s="14">
        <v>1.6377472170100902E-8</v>
      </c>
      <c r="H4" s="14">
        <v>0</v>
      </c>
      <c r="I4" s="14">
        <v>0</v>
      </c>
      <c r="J4" s="14">
        <v>0</v>
      </c>
      <c r="K4" s="14">
        <v>2.7778673472866626</v>
      </c>
      <c r="L4" s="14">
        <v>0.35998839216594342</v>
      </c>
      <c r="M4" s="14">
        <v>0.29537047577215658</v>
      </c>
      <c r="N4" s="14">
        <v>55276.470314853235</v>
      </c>
      <c r="O4" s="14">
        <v>17625455.324594103</v>
      </c>
      <c r="P4" s="8">
        <v>3685.0980209902154</v>
      </c>
      <c r="Q4" s="54">
        <v>1.1225261715436454</v>
      </c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4" sqref="L4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275</v>
      </c>
      <c r="B2" s="3" t="s">
        <v>277</v>
      </c>
      <c r="D2" s="20">
        <v>1.3374935605582401E-7</v>
      </c>
      <c r="E2" s="20">
        <v>0.35998839216594336</v>
      </c>
      <c r="F2" s="20">
        <v>0</v>
      </c>
      <c r="G2" s="20">
        <v>0</v>
      </c>
      <c r="H2" s="20">
        <v>0</v>
      </c>
      <c r="I2" s="20">
        <v>0.35998839216594336</v>
      </c>
      <c r="J2" s="20">
        <v>0.62646666356833658</v>
      </c>
      <c r="K2" s="20">
        <v>1.3544810516363744E-2</v>
      </c>
      <c r="L2" s="20">
        <v>0</v>
      </c>
      <c r="N2" s="99"/>
    </row>
    <row r="3" spans="1:14">
      <c r="A3" s="2" t="s">
        <v>275</v>
      </c>
      <c r="B3" s="3" t="s">
        <v>277</v>
      </c>
      <c r="D3" s="20">
        <v>1.3374935605582403E-7</v>
      </c>
      <c r="E3" s="20">
        <v>0.35998839216594336</v>
      </c>
      <c r="F3" s="20">
        <v>0</v>
      </c>
      <c r="G3" s="20">
        <v>0</v>
      </c>
      <c r="H3" s="20">
        <v>0</v>
      </c>
      <c r="I3" s="20">
        <v>0.35998839216594336</v>
      </c>
      <c r="J3" s="20">
        <v>0.62646666356833658</v>
      </c>
      <c r="K3" s="20">
        <v>1.3544810516363746E-2</v>
      </c>
      <c r="L3" s="20">
        <v>0</v>
      </c>
      <c r="N3" s="99"/>
    </row>
    <row r="4" spans="1:14">
      <c r="A4" s="2" t="s">
        <v>275</v>
      </c>
      <c r="B4" s="3" t="s">
        <v>277</v>
      </c>
      <c r="D4" s="20">
        <v>1.3374935605582401E-7</v>
      </c>
      <c r="E4" s="20">
        <v>0.35998839216594342</v>
      </c>
      <c r="F4" s="20">
        <v>0</v>
      </c>
      <c r="G4" s="20">
        <v>0</v>
      </c>
      <c r="H4" s="20">
        <v>0</v>
      </c>
      <c r="I4" s="20">
        <v>0.35998839216594342</v>
      </c>
      <c r="J4" s="20">
        <v>0.62646666356833658</v>
      </c>
      <c r="K4" s="20">
        <v>1.3544810516363744E-2</v>
      </c>
      <c r="L4" s="20">
        <v>0</v>
      </c>
      <c r="N4" s="99"/>
    </row>
    <row r="5" spans="1:14">
      <c r="N5" s="99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4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275</v>
      </c>
      <c r="B2" s="3" t="s">
        <v>277</v>
      </c>
      <c r="D2" s="14">
        <v>4.5474781058980167E-10</v>
      </c>
      <c r="E2" s="14">
        <v>1.2239605333642075E-3</v>
      </c>
      <c r="F2" s="14">
        <v>0</v>
      </c>
      <c r="G2" s="14">
        <v>0</v>
      </c>
      <c r="H2" s="14">
        <v>0</v>
      </c>
      <c r="I2" s="14">
        <v>2.1299866561323446E-3</v>
      </c>
      <c r="J2" s="14">
        <v>4.6052355755636734E-5</v>
      </c>
      <c r="K2" s="14">
        <v>0</v>
      </c>
      <c r="L2" s="21">
        <f>SUM(E2:H2)</f>
        <v>1.2239605333642075E-3</v>
      </c>
      <c r="M2" s="170"/>
    </row>
    <row r="3" spans="1:23">
      <c r="A3" s="2" t="s">
        <v>275</v>
      </c>
      <c r="B3" s="3" t="s">
        <v>277</v>
      </c>
      <c r="D3" s="14">
        <v>1.3374935605582402E-9</v>
      </c>
      <c r="E3" s="14">
        <v>3.5998839216594336E-3</v>
      </c>
      <c r="F3" s="14">
        <v>0</v>
      </c>
      <c r="G3" s="14">
        <v>0</v>
      </c>
      <c r="H3" s="14">
        <v>0</v>
      </c>
      <c r="I3" s="14">
        <v>6.2646666356833665E-3</v>
      </c>
      <c r="J3" s="14">
        <v>1.3544810516363746E-4</v>
      </c>
      <c r="K3" s="14">
        <v>0</v>
      </c>
      <c r="L3" s="21">
        <f t="shared" ref="L3:L4" si="0">SUM(E3:H3)</f>
        <v>3.5998839216594336E-3</v>
      </c>
      <c r="M3" s="99"/>
    </row>
    <row r="4" spans="1:23">
      <c r="A4" s="2" t="s">
        <v>275</v>
      </c>
      <c r="B4" s="3" t="s">
        <v>277</v>
      </c>
      <c r="D4" s="14">
        <v>4.0124806816747209E-9</v>
      </c>
      <c r="E4" s="14">
        <v>1.0799651764978303E-2</v>
      </c>
      <c r="F4" s="14">
        <v>0</v>
      </c>
      <c r="G4" s="14">
        <v>0</v>
      </c>
      <c r="H4" s="14">
        <v>0</v>
      </c>
      <c r="I4" s="14">
        <v>1.87939999070501E-2</v>
      </c>
      <c r="J4" s="14">
        <v>4.0634431549091236E-4</v>
      </c>
      <c r="K4" s="14">
        <v>0</v>
      </c>
      <c r="L4" s="21">
        <f t="shared" si="0"/>
        <v>1.0799651764978303E-2</v>
      </c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4" sqref="R4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5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1" t="s">
        <v>216</v>
      </c>
      <c r="G1" s="141" t="s">
        <v>209</v>
      </c>
      <c r="H1" s="141" t="s">
        <v>217</v>
      </c>
      <c r="I1" s="141" t="s">
        <v>218</v>
      </c>
      <c r="J1" s="141" t="s">
        <v>219</v>
      </c>
      <c r="K1" s="142" t="s">
        <v>222</v>
      </c>
      <c r="L1" s="142" t="s">
        <v>225</v>
      </c>
      <c r="M1" s="142" t="s">
        <v>223</v>
      </c>
      <c r="N1" s="142" t="s">
        <v>224</v>
      </c>
      <c r="O1" s="142" t="s">
        <v>264</v>
      </c>
      <c r="P1" s="142" t="s">
        <v>265</v>
      </c>
      <c r="Q1" s="37" t="s">
        <v>220</v>
      </c>
      <c r="R1" s="37" t="s">
        <v>221</v>
      </c>
      <c r="S1" s="146"/>
      <c r="T1" s="37"/>
      <c r="U1" s="147"/>
      <c r="V1" s="148"/>
    </row>
    <row r="2" spans="1:22">
      <c r="A2" s="99" t="s">
        <v>275</v>
      </c>
      <c r="B2" s="99" t="s">
        <v>277</v>
      </c>
      <c r="D2" s="100" t="s">
        <v>281</v>
      </c>
      <c r="E2" s="104">
        <v>9.4</v>
      </c>
      <c r="F2" s="104">
        <v>3.3332167190965496</v>
      </c>
      <c r="G2" s="104">
        <v>-8.5181328860961045</v>
      </c>
      <c r="H2" s="104">
        <v>4.6707313113755822</v>
      </c>
      <c r="I2" s="104">
        <v>2.2722018043061869</v>
      </c>
      <c r="J2" s="104">
        <v>2.2268854887132661</v>
      </c>
      <c r="K2" s="112">
        <v>1.7</v>
      </c>
      <c r="L2" s="112">
        <v>1.4784759799588136</v>
      </c>
      <c r="M2" s="112">
        <v>6264.6666356833657</v>
      </c>
      <c r="N2" s="112">
        <v>115342.48923325988</v>
      </c>
      <c r="O2" s="112">
        <v>114.53526443366364</v>
      </c>
      <c r="P2" s="112">
        <v>103.18650604731666</v>
      </c>
      <c r="Q2" s="108">
        <v>67.373684960978608</v>
      </c>
      <c r="R2" s="68">
        <v>60.69794473371568</v>
      </c>
    </row>
    <row r="3" spans="1:22">
      <c r="A3" s="99" t="s">
        <v>275</v>
      </c>
      <c r="B3" s="99" t="s">
        <v>277</v>
      </c>
      <c r="D3" s="100" t="s">
        <v>281</v>
      </c>
      <c r="E3" s="104">
        <v>9.4</v>
      </c>
      <c r="F3" s="104">
        <v>3.3332167190965496</v>
      </c>
      <c r="G3" s="104">
        <v>-8.5181328860961045</v>
      </c>
      <c r="H3" s="104">
        <v>4.6707313113755822</v>
      </c>
      <c r="I3" s="104">
        <v>2.2722018043061869</v>
      </c>
      <c r="J3" s="104">
        <v>2.2268854887132661</v>
      </c>
      <c r="K3" s="112">
        <v>5</v>
      </c>
      <c r="L3" s="112">
        <v>4.3484587645847457</v>
      </c>
      <c r="M3" s="112">
        <v>18425.490104951074</v>
      </c>
      <c r="N3" s="112">
        <v>339242.61539194081</v>
      </c>
      <c r="O3" s="112">
        <v>336.86842480489304</v>
      </c>
      <c r="P3" s="112">
        <v>303.48972366857839</v>
      </c>
      <c r="Q3" s="108">
        <v>67.373684960978608</v>
      </c>
      <c r="R3" s="68">
        <v>60.697944733715673</v>
      </c>
    </row>
    <row r="4" spans="1:22">
      <c r="A4" s="99" t="s">
        <v>275</v>
      </c>
      <c r="B4" s="99" t="s">
        <v>277</v>
      </c>
      <c r="D4" s="100" t="s">
        <v>281</v>
      </c>
      <c r="E4" s="104">
        <v>9.4</v>
      </c>
      <c r="F4" s="104">
        <v>3.3332167190965496</v>
      </c>
      <c r="G4" s="104">
        <v>-8.5181328860961045</v>
      </c>
      <c r="H4" s="104">
        <v>4.6707313113755822</v>
      </c>
      <c r="I4" s="104">
        <v>2.2722018043061869</v>
      </c>
      <c r="J4" s="104">
        <v>2.2268854887132661</v>
      </c>
      <c r="K4" s="112">
        <v>15</v>
      </c>
      <c r="L4" s="112">
        <v>13.04537629375424</v>
      </c>
      <c r="M4" s="112">
        <v>55276.470314853235</v>
      </c>
      <c r="N4" s="112">
        <v>1017727.8461758227</v>
      </c>
      <c r="O4" s="112">
        <v>1010.6052744146793</v>
      </c>
      <c r="P4" s="112">
        <v>910.46917100573535</v>
      </c>
      <c r="Q4" s="108">
        <v>67.373684960978622</v>
      </c>
      <c r="R4" s="68">
        <v>60.697944733715687</v>
      </c>
      <c r="T4" s="143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Output - Partitioning</vt:lpstr>
      <vt:lpstr>QA-QC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2025-01-18T11:24:49Z</dcterms:modified>
</cp:coreProperties>
</file>