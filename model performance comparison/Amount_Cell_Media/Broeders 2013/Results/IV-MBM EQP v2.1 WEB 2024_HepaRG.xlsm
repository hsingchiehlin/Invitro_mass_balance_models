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3\Results\"/>
    </mc:Choice>
  </mc:AlternateContent>
  <xr:revisionPtr revIDLastSave="0" documentId="13_ncr:1_{A8447D32-78DF-4A18-A14D-A5A2FE118BFD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G13" i="2" s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<sst xmlns="http://schemas.openxmlformats.org/spreadsheetml/2006/main" count="422" uniqueCount="282">
  <si>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</si>
  <si>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</si>
  <si>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</si>
  <si>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</si>
  <si>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</si>
  <si>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</si>
  <si>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</si>
  <si>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</si>
  <si>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</si>
  <si>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</si>
  <si>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</si>
  <si>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</si>
  <si>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</si>
  <si>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</si>
  <si>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</si>
  <si>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</si>
  <si>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</si>
  <si>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</si>
  <si>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</si>
  <si>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</si>
  <si>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</si>
  <si>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</si>
  <si>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</si>
  <si>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</si>
  <si>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</si>
  <si>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</si>
  <si>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</si>
  <si>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</si>
  <si>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</si>
  <si>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</si>
  <si>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</si>
  <si>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</si>
  <si>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</si>
  <si>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</si>
  <si>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</si>
  <si>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</si>
  <si>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</si>
  <si>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</si>
  <si>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</si>
  <si>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</si>
  <si>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</si>
  <si>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</si>
  <si>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</si>
  <si>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</si>
  <si>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</si>
  <si>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</si>
  <si>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</si>
  <si>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</si>
  <si>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</si>
  <si>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</si>
  <si>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</si>
  <si>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</si>
  <si>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</si>
  <si>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</si>
  <si>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</si>
  <si>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</si>
  <si>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</si>
  <si>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</si>
  <si>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</si>
  <si>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</si>
  <si>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</si>
  <si>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</si>
  <si>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</si>
  <si>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</si>
  <si>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</si>
  <si>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</si>
  <si>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</si>
  <si>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</si>
  <si>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</si>
  <si>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</si>
  <si>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</si>
  <si>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</si>
  <si>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</si>
  <si>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</si>
  <si>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</si>
  <si>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</si>
  <si>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</si>
  <si>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</si>
  <si>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</si>
  <si>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</si>
  <si>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</si>
  <si>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</si>
  <si>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</si>
  <si>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</si>
  <si>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</si>
  <si>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</si>
  <si>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</si>
  <si>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</si>
  <si>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</si>
  <si>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</si>
  <si>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</si>
  <si>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</si>
  <si>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</si>
  <si>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</si>
  <si>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</si>
  <si>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</si>
  <si>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</si>
  <si>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</si>
  <si>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</si>
  <si>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</si>
  <si>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</si>
  <si>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</si>
  <si>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</si>
  <si>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</si>
  <si>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</si>
  <si>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</si>
  <si>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</si>
  <si>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</si>
  <si>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</si>
  <si>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</si>
  <si>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</si>
  <si>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</si>
  <si>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</si>
  <si>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</si>
  <si>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</si>
  <si>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</si>
  <si>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</si>
  <si>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</si>
  <si>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</si>
  <si>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</si>
  <si>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</si>
  <si>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</si>
  <si>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</si>
  <si>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</si>
  <si>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</si>
  <si>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</si>
  <si>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</si>
  <si>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</si>
  <si>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</si>
  <si>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</si>
  <si>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</si>
  <si>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</si>
  <si>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</si>
  <si>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</si>
  <si>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</si>
  <si>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</si>
  <si>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</si>
  <si>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</si>
  <si>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</si>
  <si>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</si>
  <si>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</si>
  <si>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</si>
  <si>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</si>
  <si>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</si>
  <si>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</si>
  <si>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</si>
  <si>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</si>
  <si>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</si>
  <si>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</si>
  <si>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</si>
  <si>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</si>
  <si>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</si>
  <si>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</si>
  <si>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</si>
  <si>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</si>
  <si>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</si>
  <si>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</si>
  <si>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</si>
  <si>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</si>
  <si>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</si>
  <si>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</si>
  <si>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</si>
  <si>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</si>
  <si>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</si>
  <si>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</si>
  <si>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</si>
  <si>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</si>
  <si>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</si>
  <si>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</si>
  <si>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</si>
  <si>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</si>
  <si>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</si>
  <si>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</si>
  <si>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</si>
  <si>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</si>
  <si>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</si>
  <si>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</si>
  <si>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</si>
  <si>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</si>
  <si>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</si>
  <si>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</si>
  <si>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</si>
  <si>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</si>
  <si>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</si>
  <si>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</si>
  <si>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</si>
  <si>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</si>
  <si>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</si>
  <si>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</si>
  <si>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</si>
  <si>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</si>
  <si>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</si>
  <si>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</si>
  <si>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</si>
  <si>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</si>
  <si>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</si>
  <si>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</si>
  <si>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</si>
  <si>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</si>
  <si>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</si>
  <si>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</si>
  <si>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</si>
  <si>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</si>
  <si>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</si>
  <si>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</si>
  <si>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</si>
  <si>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</si>
  <si>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</si>
  <si>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</si>
  <si>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</si>
  <si>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</si>
  <si>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</si>
  <si>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</si>
  <si>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</si>
  <si>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</si>
  <si>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</si>
  <si>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</si>
  <si>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</si>
  <si>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</si>
  <si>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</si>
  <si>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</si>
  <si>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</si>
  <si>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</si>
  <si>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</si>
  <si>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</si>
  <si>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</si>
  <si>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</si>
  <si>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</si>
  <si>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</si>
  <si>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</si>
  <si>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</si>
  <si>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</si>
  <si>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</si>
  <si>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</si>
  <si>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</si>
  <si>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</si>
  <si>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</si>
  <si>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</si>
  <si>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</si>
  <si>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</si>
  <si>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</si>
  <si>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</si>
  <si>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</si>
  <si>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</si>
  <si>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</si>
  <si>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</si>
  <si>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</si>
  <si>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</si>
  <si>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</si>
  <si>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</si>
  <si>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</si>
  <si>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</si>
  <si>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</si>
  <si>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</si>
  <si>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</si>
  <si>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</si>
  <si>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</si>
  <si>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</si>
  <si>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</si>
  <si>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</si>
  <si>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</si>
  <si>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</si>
  <si>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</si>
  <si>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</si>
  <si>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</si>
  <si>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</si>
  <si>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</si>
  <si>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</si>
  <si>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</si>
  <si>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</si>
  <si>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</si>
  <si>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</si>
  <si>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</si>
  <si>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</si>
  <si>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</si>
  <si>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</si>
  <si>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chlorpromazine</t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</si>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</sst>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65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65" fontId="22" fillId="4" borderId="2" xfId="0" applyNumberFormat="1" applyFont="1" applyFill="1" applyBorder="1" applyAlignment="1">
      <alignment horizontal="center"/>
    </xf>
    <xf numFmtId="165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65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65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70" fontId="1" fillId="0" borderId="0" xfId="0" applyNumberFormat="1" applyFont="1"/>
    <xf numFmtId="0" fontId="32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68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232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238</v>
      </c>
    </row>
    <row r="14" spans="1:15" ht="18">
      <c r="M14" s="1" t="s">
        <v>239</v>
      </c>
      <c r="N14" s="1" t="s">
        <v>243</v>
      </c>
    </row>
    <row r="15" spans="1:15" ht="18">
      <c r="M15" s="1" t="s">
        <v>240</v>
      </c>
      <c r="N15" s="1" t="s">
        <v>244</v>
      </c>
    </row>
    <row r="16" spans="1:15" ht="18">
      <c r="M16" s="1" t="s">
        <v>241</v>
      </c>
      <c r="N16" s="1" t="s">
        <v>245</v>
      </c>
    </row>
    <row r="17" spans="13:14" ht="18">
      <c r="M17" s="1" t="s">
        <v>242</v>
      </c>
      <c r="N17" s="1" t="s">
        <v>246</v>
      </c>
    </row>
    <row r="18" spans="13:14" ht="18">
      <c r="M18" s="1" t="s">
        <v>249</v>
      </c>
      <c r="N18" s="1" t="s">
        <v>247</v>
      </c>
    </row>
    <row r="19" spans="13:14" ht="18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4" sqref="Z4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5.75">
      <c r="A2" s="171" t="s">
        <v>273</v>
      </c>
      <c r="B2" s="171" t="s">
        <v>277</v>
      </c>
      <c r="C2" s="124"/>
      <c r="D2" s="172">
        <v>318.86</v>
      </c>
      <c r="E2" s="172">
        <v>151</v>
      </c>
      <c r="F2" s="100"/>
      <c r="G2" s="101" t="s">
        <v>175</v>
      </c>
      <c r="H2" s="104"/>
      <c r="I2" s="172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2">
        <v>-6.97</v>
      </c>
      <c r="U2" s="100"/>
      <c r="V2" s="172">
        <v>2.2128884000000002</v>
      </c>
      <c r="W2" s="112"/>
      <c r="X2" s="104"/>
      <c r="Y2" s="100"/>
      <c r="Z2" s="112">
        <v>1.7</v>
      </c>
    </row>
    <row r="3" spans="1:27" s="99" customFormat="1" ht="15.75">
      <c r="A3" s="171" t="s">
        <v>273</v>
      </c>
      <c r="B3" s="171" t="s">
        <v>277</v>
      </c>
      <c r="C3" s="124"/>
      <c r="D3" s="172">
        <v>318.86</v>
      </c>
      <c r="E3" s="172">
        <v>151</v>
      </c>
      <c r="F3" s="100"/>
      <c r="G3" s="101" t="s">
        <v>175</v>
      </c>
      <c r="H3" s="104"/>
      <c r="I3" s="172">
        <v>5.41</v>
      </c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72">
        <v>-6.97</v>
      </c>
      <c r="U3" s="100"/>
      <c r="V3" s="172">
        <v>2.2128884000000002</v>
      </c>
      <c r="W3" s="112"/>
      <c r="X3" s="104"/>
      <c r="Y3" s="100"/>
      <c r="Z3" s="112">
        <v>5</v>
      </c>
      <c r="AA3" s="18"/>
    </row>
    <row r="4" spans="1:27" s="99" customFormat="1" ht="15.75">
      <c r="A4" s="171" t="s">
        <v>273</v>
      </c>
      <c r="B4" s="171" t="s">
        <v>277</v>
      </c>
      <c r="C4" s="124"/>
      <c r="D4" s="172">
        <v>318.86</v>
      </c>
      <c r="E4" s="172">
        <v>151</v>
      </c>
      <c r="F4" s="100"/>
      <c r="G4" s="101" t="s">
        <v>175</v>
      </c>
      <c r="H4" s="104"/>
      <c r="I4" s="172">
        <v>5.41</v>
      </c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72">
        <v>-6.97</v>
      </c>
      <c r="U4" s="100"/>
      <c r="V4" s="172">
        <v>2.2128884000000002</v>
      </c>
      <c r="W4" s="112"/>
      <c r="X4" s="100"/>
      <c r="Y4" s="100"/>
      <c r="Z4" s="112">
        <v>15</v>
      </c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139</v>
      </c>
    </row>
    <row r="3" spans="1:10" ht="15.75">
      <c r="A3" s="57" t="s">
        <v>149</v>
      </c>
    </row>
    <row r="4" spans="1:10" ht="15.75">
      <c r="A4" s="98" t="s">
        <v>159</v>
      </c>
    </row>
    <row r="5" spans="1:10" ht="15.75">
      <c r="A5" s="98" t="s">
        <v>182</v>
      </c>
    </row>
    <row r="6" spans="1:10">
      <c r="A6" s="58"/>
    </row>
    <row r="7" spans="1:10" ht="16.5">
      <c r="A7" s="114" t="s">
        <v>214</v>
      </c>
      <c r="H7" s="115" t="s">
        <v>177</v>
      </c>
    </row>
    <row r="8" spans="1:10">
      <c r="A8" s="11" t="b">
        <v>1</v>
      </c>
    </row>
    <row r="9" spans="1:10">
      <c r="A9" s="11"/>
      <c r="H9" s="102" t="s">
        <v>178</v>
      </c>
      <c r="I9" s="103" t="s">
        <v>179</v>
      </c>
      <c r="J9" s="103" t="s">
        <v>180</v>
      </c>
    </row>
    <row r="10" spans="1:10" ht="15.7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184</v>
      </c>
      <c r="I12" s="3">
        <v>1</v>
      </c>
      <c r="J12" s="3">
        <v>1</v>
      </c>
    </row>
    <row r="13" spans="1:10" ht="15.75">
      <c r="D13" s="2" t="s">
        <v>42</v>
      </c>
      <c r="H13" s="99" t="s">
        <v>185</v>
      </c>
      <c r="I13" s="3">
        <v>0</v>
      </c>
      <c r="J13" s="3">
        <v>1</v>
      </c>
    </row>
    <row r="14" spans="1:10" ht="15.75">
      <c r="D14" s="11" t="s">
        <v>54</v>
      </c>
      <c r="H14" s="99" t="s">
        <v>181</v>
      </c>
      <c r="I14" s="3">
        <v>3.5</v>
      </c>
      <c r="J14" s="3">
        <v>3.5</v>
      </c>
    </row>
    <row r="16" spans="1:10" ht="15">
      <c r="A16" s="116" t="s">
        <v>49</v>
      </c>
      <c r="H16" s="115" t="s">
        <v>199</v>
      </c>
    </row>
    <row r="17" spans="1:11">
      <c r="A17" s="2" t="s">
        <v>50</v>
      </c>
    </row>
    <row r="18" spans="1:11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5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129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3.23</v>
      </c>
      <c r="K5" s="132">
        <v>3.4</v>
      </c>
      <c r="L5" s="26" t="s">
        <v>120</v>
      </c>
      <c r="P5" s="99" t="s">
        <v>274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275</v>
      </c>
      <c r="G6" s="161">
        <v>2000</v>
      </c>
      <c r="H6" s="161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5" thickBot="1">
      <c r="A16" s="99" t="s">
        <v>227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131</v>
      </c>
      <c r="B1" s="75"/>
      <c r="F1" s="74" t="s">
        <v>130</v>
      </c>
      <c r="I1" s="76"/>
    </row>
    <row r="2" spans="1:13" ht="13.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3">
        <f>K9*B6*K16/(1/0.733)/1000</f>
        <v>0</v>
      </c>
      <c r="C9" s="75" t="s">
        <v>99</v>
      </c>
      <c r="F9" s="99" t="s">
        <v>279</v>
      </c>
      <c r="G9" s="164">
        <v>9.5700000000000004E-3</v>
      </c>
      <c r="H9" s="75" t="s">
        <v>55</v>
      </c>
      <c r="I9" s="76"/>
      <c r="J9" s="76" t="s">
        <v>156</v>
      </c>
      <c r="K9" s="167">
        <v>0</v>
      </c>
      <c r="L9" s="76" t="s">
        <v>26</v>
      </c>
      <c r="M9" s="77" t="s">
        <v>146</v>
      </c>
    </row>
    <row r="10" spans="1:13" ht="18">
      <c r="A10" s="76" t="s">
        <v>114</v>
      </c>
      <c r="B10" s="133">
        <f>K9*B6*K17/1000</f>
        <v>0</v>
      </c>
      <c r="C10" s="75" t="s">
        <v>99</v>
      </c>
      <c r="F10" s="99" t="s">
        <v>280</v>
      </c>
      <c r="G10" s="165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4">
        <f>G13/1000000/G12*1000000</f>
        <v>0.34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0.34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163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24</v>
      </c>
      <c r="L16" s="75" t="s">
        <v>29</v>
      </c>
      <c r="M16" s="99"/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1.7000000000000001E-4</v>
      </c>
      <c r="K21" s="76" t="s">
        <v>124</v>
      </c>
      <c r="M21" s="75"/>
    </row>
    <row r="22" spans="1:13" ht="13.5" thickBot="1">
      <c r="A22" s="75"/>
      <c r="C22" s="76"/>
      <c r="F22" s="99" t="s">
        <v>163</v>
      </c>
      <c r="G22" s="87">
        <v>7.4</v>
      </c>
      <c r="J22" s="92">
        <f>B12*(G9+G10)/B6</f>
        <v>5.4229999999999996E-6</v>
      </c>
      <c r="K22" s="77" t="s">
        <v>125</v>
      </c>
      <c r="L22" s="93"/>
    </row>
    <row r="23" spans="1:13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267</v>
      </c>
      <c r="G28" s="75"/>
      <c r="H28" s="75"/>
    </row>
    <row r="29" spans="1:13">
      <c r="B29" s="99"/>
      <c r="C29" s="153"/>
      <c r="F29" s="158" t="s">
        <v>269</v>
      </c>
      <c r="G29" s="159" t="s">
        <v>270</v>
      </c>
      <c r="H29" s="159" t="s">
        <v>271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4" sqref="W4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276</v>
      </c>
      <c r="B2" s="99" t="s">
        <v>278</v>
      </c>
      <c r="D2" s="104" t="s">
        <v>175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A3" s="99" t="s">
        <v>276</v>
      </c>
      <c r="B3" s="99" t="s">
        <v>278</v>
      </c>
      <c r="D3" s="104" t="s">
        <v>175</v>
      </c>
      <c r="F3" s="104">
        <v>5.3240171707711541</v>
      </c>
      <c r="H3" s="104">
        <v>5.3240171707711541</v>
      </c>
      <c r="I3" s="104">
        <v>5.3240171707711541</v>
      </c>
      <c r="K3" s="104">
        <v>5.3240171707711541</v>
      </c>
      <c r="L3" s="104">
        <v>5.6336599999999999</v>
      </c>
      <c r="N3" s="104">
        <v>5.6336599999999999</v>
      </c>
      <c r="O3" s="104">
        <v>4.6112599999999997</v>
      </c>
      <c r="Q3" s="104">
        <v>4.6112599999999997</v>
      </c>
      <c r="R3" s="104">
        <v>-6.5138115123134632</v>
      </c>
      <c r="S3" s="104">
        <v>-6.5138115123134632</v>
      </c>
      <c r="T3" s="104">
        <v>-1.6913828292288444</v>
      </c>
      <c r="V3" s="104">
        <v>-1.6913828292288444</v>
      </c>
      <c r="W3" s="109">
        <v>2.6973812942728226</v>
      </c>
    </row>
    <row r="4" spans="1:23">
      <c r="A4" s="99" t="s">
        <v>276</v>
      </c>
      <c r="B4" s="99" t="s">
        <v>278</v>
      </c>
      <c r="D4" s="104" t="s">
        <v>175</v>
      </c>
      <c r="F4" s="104">
        <v>5.3240171707711541</v>
      </c>
      <c r="H4" s="104">
        <v>5.3240171707711541</v>
      </c>
      <c r="I4" s="104">
        <v>5.3240171707711541</v>
      </c>
      <c r="K4" s="104">
        <v>5.3240171707711541</v>
      </c>
      <c r="L4" s="104">
        <v>5.6336599999999999</v>
      </c>
      <c r="N4" s="104">
        <v>5.6336599999999999</v>
      </c>
      <c r="O4" s="104">
        <v>4.6112599999999997</v>
      </c>
      <c r="Q4" s="104">
        <v>4.6112599999999997</v>
      </c>
      <c r="R4" s="104">
        <v>-6.5138115123134632</v>
      </c>
      <c r="S4" s="104">
        <v>-6.5138115123134632</v>
      </c>
      <c r="T4" s="104">
        <v>-1.6913828292288444</v>
      </c>
      <c r="V4" s="104">
        <v>-1.6913828292288444</v>
      </c>
      <c r="W4" s="109">
        <v>2.6973812942728226</v>
      </c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4" sqref="N4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276</v>
      </c>
      <c r="B2" s="66" t="s">
        <v>278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2.4398309910955438E-3</v>
      </c>
      <c r="J2" s="67" t="s">
        <v>230</v>
      </c>
      <c r="K2" s="68">
        <v>3.0880404816572709</v>
      </c>
      <c r="L2" s="67" t="s">
        <v>281</v>
      </c>
      <c r="M2" s="68">
        <v>107.92375789114973</v>
      </c>
      <c r="N2" s="67" t="s">
        <v>281</v>
      </c>
      <c r="P2" s="106" t="s">
        <v>187</v>
      </c>
    </row>
    <row r="3" spans="1:17">
      <c r="A3" s="65" t="s">
        <v>276</v>
      </c>
      <c r="B3" s="66" t="s">
        <v>278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7.1759735032221866E-3</v>
      </c>
      <c r="J3" s="67" t="s">
        <v>230</v>
      </c>
      <c r="K3" s="68">
        <v>9.0824720048743242</v>
      </c>
      <c r="L3" s="67" t="s">
        <v>281</v>
      </c>
      <c r="M3" s="68">
        <v>317.42281732691094</v>
      </c>
      <c r="N3" s="67" t="s">
        <v>281</v>
      </c>
      <c r="P3" s="106" t="s">
        <v>188</v>
      </c>
    </row>
    <row r="4" spans="1:17">
      <c r="A4" s="65" t="s">
        <v>276</v>
      </c>
      <c r="B4" s="66" t="s">
        <v>278</v>
      </c>
      <c r="D4" s="66" t="s">
        <v>175</v>
      </c>
      <c r="F4" s="67" t="s">
        <v>230</v>
      </c>
      <c r="G4" s="67" t="s">
        <v>230</v>
      </c>
      <c r="H4" s="67" t="s">
        <v>230</v>
      </c>
      <c r="I4" s="68">
        <v>2.1527920509666561E-2</v>
      </c>
      <c r="J4" s="67" t="s">
        <v>281</v>
      </c>
      <c r="K4" s="68">
        <v>27.247416014622981</v>
      </c>
      <c r="L4" s="67" t="s">
        <v>281</v>
      </c>
      <c r="M4" s="68">
        <v>952.26845198073306</v>
      </c>
      <c r="N4" s="67" t="s">
        <v>281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8">
      <c r="P8" s="106" t="s">
        <v>192</v>
      </c>
    </row>
    <row r="9" spans="1:17" ht="18">
      <c r="P9" s="106" t="s">
        <v>193</v>
      </c>
    </row>
    <row r="11" spans="1:17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1</v>
      </c>
    </row>
    <row r="14" spans="1:17" ht="15.75">
      <c r="P14" s="106" t="s">
        <v>228</v>
      </c>
      <c r="Q14" s="100">
        <f>COUNTIF(N2:N50000,"Yes")</f>
        <v>3</v>
      </c>
    </row>
    <row r="15" spans="1:17" ht="15.75">
      <c r="P15" s="106" t="s">
        <v>229</v>
      </c>
      <c r="Q15" s="100">
        <f>COUNTIF(M2:M50000,"&gt;=60")</f>
        <v>3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3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4" sqref="Q4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7" t="s">
        <v>260</v>
      </c>
      <c r="L1" s="157" t="s">
        <v>261</v>
      </c>
      <c r="M1" s="156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276</v>
      </c>
      <c r="B2" s="16" t="s">
        <v>278</v>
      </c>
      <c r="D2" s="14">
        <v>1.7</v>
      </c>
      <c r="E2" s="14">
        <v>0.2508748113987721</v>
      </c>
      <c r="F2" s="14">
        <v>0.2508748113987721</v>
      </c>
      <c r="G2" s="14">
        <v>7.6850296372304681E-8</v>
      </c>
      <c r="H2" s="14">
        <v>0</v>
      </c>
      <c r="I2" s="14">
        <v>0</v>
      </c>
      <c r="J2" s="14">
        <v>0</v>
      </c>
      <c r="K2" s="14">
        <v>6.776288103702071</v>
      </c>
      <c r="L2" s="14">
        <v>0.14757341846986594</v>
      </c>
      <c r="M2" s="14">
        <v>0.12108398985452501</v>
      </c>
      <c r="N2" s="14">
        <v>3088.0404816572709</v>
      </c>
      <c r="O2" s="14">
        <v>984652.58798123733</v>
      </c>
      <c r="P2" s="8">
        <v>1816.4944009748651</v>
      </c>
      <c r="Q2" s="54">
        <v>5.1059226313839794</v>
      </c>
      <c r="S2" s="99"/>
    </row>
    <row r="3" spans="1:20">
      <c r="A3" s="2" t="s">
        <v>276</v>
      </c>
      <c r="B3" s="16" t="s">
        <v>278</v>
      </c>
      <c r="D3" s="14">
        <v>5</v>
      </c>
      <c r="E3" s="14">
        <v>0.73786709234932968</v>
      </c>
      <c r="F3" s="14">
        <v>0.73786709234932968</v>
      </c>
      <c r="G3" s="14">
        <v>2.260302834479549E-7</v>
      </c>
      <c r="H3" s="14">
        <v>0</v>
      </c>
      <c r="I3" s="14">
        <v>0</v>
      </c>
      <c r="J3" s="14">
        <v>0</v>
      </c>
      <c r="K3" s="14">
        <v>6.7762881037020719</v>
      </c>
      <c r="L3" s="14">
        <v>0.14757341846986591</v>
      </c>
      <c r="M3" s="14">
        <v>0.12108398985452498</v>
      </c>
      <c r="N3" s="14">
        <v>9082.4720048743238</v>
      </c>
      <c r="O3" s="14">
        <v>2896037.0234742272</v>
      </c>
      <c r="P3" s="8">
        <v>1816.4944009748647</v>
      </c>
      <c r="Q3" s="54">
        <v>15.017419504070528</v>
      </c>
      <c r="S3" s="106"/>
      <c r="T3" s="22"/>
    </row>
    <row r="4" spans="1:20">
      <c r="A4" s="2" t="s">
        <v>276</v>
      </c>
      <c r="B4" s="16" t="s">
        <v>278</v>
      </c>
      <c r="D4" s="14">
        <v>15</v>
      </c>
      <c r="E4" s="14">
        <v>2.2136012770479896</v>
      </c>
      <c r="F4" s="14">
        <v>2.2136012770479891</v>
      </c>
      <c r="G4" s="14">
        <v>6.7809085034386474E-7</v>
      </c>
      <c r="H4" s="14">
        <v>0</v>
      </c>
      <c r="I4" s="14">
        <v>0</v>
      </c>
      <c r="J4" s="14">
        <v>0</v>
      </c>
      <c r="K4" s="14">
        <v>6.776288103702071</v>
      </c>
      <c r="L4" s="14">
        <v>0.14757341846986594</v>
      </c>
      <c r="M4" s="14">
        <v>0.12108398985452501</v>
      </c>
      <c r="N4" s="14">
        <v>27247.416014622981</v>
      </c>
      <c r="O4" s="14">
        <v>8688111.0704226829</v>
      </c>
      <c r="P4" s="8">
        <v>1816.4944009748654</v>
      </c>
      <c r="Q4" s="54">
        <v>45.052258512211594</v>
      </c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4" sqref="L4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276</v>
      </c>
      <c r="B2" s="3" t="s">
        <v>278</v>
      </c>
      <c r="D2" s="20">
        <v>5.537741944474895E-6</v>
      </c>
      <c r="E2" s="20">
        <v>0.14757341846986594</v>
      </c>
      <c r="F2" s="20">
        <v>0</v>
      </c>
      <c r="G2" s="20">
        <v>0</v>
      </c>
      <c r="H2" s="20">
        <v>0</v>
      </c>
      <c r="I2" s="20">
        <v>0.14757341846986594</v>
      </c>
      <c r="J2" s="20">
        <v>0.3088040481657271</v>
      </c>
      <c r="K2" s="20">
        <v>0.54361699562246246</v>
      </c>
      <c r="L2" s="20">
        <v>0</v>
      </c>
      <c r="N2" s="99"/>
    </row>
    <row r="3" spans="1:14">
      <c r="A3" s="2" t="s">
        <v>276</v>
      </c>
      <c r="B3" s="3" t="s">
        <v>278</v>
      </c>
      <c r="D3" s="20">
        <v>5.537741944474895E-6</v>
      </c>
      <c r="E3" s="20">
        <v>0.14757341846986594</v>
      </c>
      <c r="F3" s="20">
        <v>0</v>
      </c>
      <c r="G3" s="20">
        <v>0</v>
      </c>
      <c r="H3" s="20">
        <v>0</v>
      </c>
      <c r="I3" s="20">
        <v>0.14757341846986594</v>
      </c>
      <c r="J3" s="20">
        <v>0.30880404816572704</v>
      </c>
      <c r="K3" s="20">
        <v>0.54361699562246257</v>
      </c>
      <c r="L3" s="20">
        <v>0</v>
      </c>
      <c r="N3" s="99"/>
    </row>
    <row r="4" spans="1:14">
      <c r="A4" s="2" t="s">
        <v>276</v>
      </c>
      <c r="B4" s="3" t="s">
        <v>278</v>
      </c>
      <c r="D4" s="20">
        <v>5.5377419444748941E-6</v>
      </c>
      <c r="E4" s="20">
        <v>0.14757341846986594</v>
      </c>
      <c r="F4" s="20">
        <v>0</v>
      </c>
      <c r="G4" s="20">
        <v>0</v>
      </c>
      <c r="H4" s="20">
        <v>0</v>
      </c>
      <c r="I4" s="20">
        <v>0.14757341846986594</v>
      </c>
      <c r="J4" s="20">
        <v>0.30880404816572704</v>
      </c>
      <c r="K4" s="20">
        <v>0.54361699562246257</v>
      </c>
      <c r="L4" s="20">
        <v>0</v>
      </c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4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276</v>
      </c>
      <c r="B2" s="3" t="s">
        <v>278</v>
      </c>
      <c r="D2" s="14">
        <v>1.8828322611214645E-8</v>
      </c>
      <c r="E2" s="14">
        <v>5.0174962279754423E-4</v>
      </c>
      <c r="F2" s="14">
        <v>0</v>
      </c>
      <c r="G2" s="14">
        <v>0</v>
      </c>
      <c r="H2" s="14">
        <v>0</v>
      </c>
      <c r="I2" s="14">
        <v>1.0499337637634722E-3</v>
      </c>
      <c r="J2" s="14">
        <v>1.8482977851163726E-3</v>
      </c>
      <c r="K2" s="14">
        <v>0</v>
      </c>
      <c r="L2" s="21"/>
      <c r="M2" s="170"/>
    </row>
    <row r="3" spans="1:23">
      <c r="A3" s="2" t="s">
        <v>276</v>
      </c>
      <c r="B3" s="3" t="s">
        <v>278</v>
      </c>
      <c r="D3" s="14">
        <v>5.5377419444748954E-8</v>
      </c>
      <c r="E3" s="14">
        <v>1.4757341846986594E-3</v>
      </c>
      <c r="F3" s="14">
        <v>0</v>
      </c>
      <c r="G3" s="14">
        <v>0</v>
      </c>
      <c r="H3" s="14">
        <v>0</v>
      </c>
      <c r="I3" s="14">
        <v>3.0880404816572707E-3</v>
      </c>
      <c r="J3" s="14">
        <v>5.4361699562246258E-3</v>
      </c>
      <c r="K3" s="14">
        <v>0</v>
      </c>
      <c r="L3" s="21"/>
      <c r="M3" s="99"/>
    </row>
    <row r="4" spans="1:23">
      <c r="A4" s="2" t="s">
        <v>276</v>
      </c>
      <c r="B4" s="3" t="s">
        <v>278</v>
      </c>
      <c r="D4" s="14">
        <v>1.6613225833424686E-7</v>
      </c>
      <c r="E4" s="14">
        <v>4.427202554095979E-3</v>
      </c>
      <c r="F4" s="14">
        <v>0</v>
      </c>
      <c r="G4" s="14">
        <v>0</v>
      </c>
      <c r="H4" s="14">
        <v>0</v>
      </c>
      <c r="I4" s="14">
        <v>9.264121444971813E-3</v>
      </c>
      <c r="J4" s="14">
        <v>1.6308509868673878E-2</v>
      </c>
      <c r="K4" s="14">
        <v>0</v>
      </c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4" sqref="R4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1" t="s">
        <v>217</v>
      </c>
      <c r="G1" s="141" t="s">
        <v>210</v>
      </c>
      <c r="H1" s="141" t="s">
        <v>218</v>
      </c>
      <c r="I1" s="141" t="s">
        <v>219</v>
      </c>
      <c r="J1" s="141" t="s">
        <v>220</v>
      </c>
      <c r="K1" s="142" t="s">
        <v>223</v>
      </c>
      <c r="L1" s="142" t="s">
        <v>226</v>
      </c>
      <c r="M1" s="142" t="s">
        <v>224</v>
      </c>
      <c r="N1" s="142" t="s">
        <v>225</v>
      </c>
      <c r="O1" s="142" t="s">
        <v>265</v>
      </c>
      <c r="P1" s="142" t="s">
        <v>266</v>
      </c>
      <c r="Q1" s="37" t="s">
        <v>221</v>
      </c>
      <c r="R1" s="37" t="s">
        <v>222</v>
      </c>
      <c r="S1" s="146"/>
      <c r="T1" s="37"/>
      <c r="U1" s="147"/>
      <c r="V1" s="148"/>
    </row>
    <row r="2" spans="1:22">
      <c r="A2" s="99" t="s">
        <v>276</v>
      </c>
      <c r="B2" s="99" t="s">
        <v>278</v>
      </c>
      <c r="D2" s="100" t="s">
        <v>175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1.7</v>
      </c>
      <c r="L2" s="112">
        <v>0.25058672250341629</v>
      </c>
      <c r="M2" s="112">
        <v>3088.0404816572709</v>
      </c>
      <c r="N2" s="112">
        <v>107923.75789114974</v>
      </c>
      <c r="O2" s="112">
        <v>791.85196401851749</v>
      </c>
      <c r="P2" s="112">
        <v>520.01702299866633</v>
      </c>
      <c r="Q2" s="108">
        <v>465.79527295206913</v>
      </c>
      <c r="R2" s="68">
        <v>305.89236646980373</v>
      </c>
    </row>
    <row r="3" spans="1:22">
      <c r="A3" s="99" t="s">
        <v>276</v>
      </c>
      <c r="B3" s="99" t="s">
        <v>278</v>
      </c>
      <c r="D3" s="100" t="s">
        <v>175</v>
      </c>
      <c r="F3" s="104">
        <v>5.3240171707711541</v>
      </c>
      <c r="G3" s="104">
        <v>-6.5138115123134632</v>
      </c>
      <c r="H3" s="104">
        <v>5.6336599999999999</v>
      </c>
      <c r="I3" s="104">
        <v>3.4991869392277986</v>
      </c>
      <c r="J3" s="104">
        <v>3.3165605016947399</v>
      </c>
      <c r="K3" s="112">
        <v>5</v>
      </c>
      <c r="L3" s="112">
        <v>0.73701977206887126</v>
      </c>
      <c r="M3" s="112">
        <v>9082.4720048743238</v>
      </c>
      <c r="N3" s="112">
        <v>317422.81732691097</v>
      </c>
      <c r="O3" s="112">
        <v>2328.9763647603454</v>
      </c>
      <c r="P3" s="112">
        <v>1529.4618323490186</v>
      </c>
      <c r="Q3" s="108">
        <v>465.79527295206901</v>
      </c>
      <c r="R3" s="68">
        <v>305.89236646980368</v>
      </c>
    </row>
    <row r="4" spans="1:22">
      <c r="A4" s="99" t="s">
        <v>276</v>
      </c>
      <c r="B4" s="99" t="s">
        <v>278</v>
      </c>
      <c r="D4" s="100" t="s">
        <v>175</v>
      </c>
      <c r="F4" s="104">
        <v>5.3240171707711541</v>
      </c>
      <c r="G4" s="104">
        <v>-6.5138115123134632</v>
      </c>
      <c r="H4" s="104">
        <v>5.6336599999999999</v>
      </c>
      <c r="I4" s="104">
        <v>3.4991869392277986</v>
      </c>
      <c r="J4" s="104">
        <v>3.3165605016947399</v>
      </c>
      <c r="K4" s="112">
        <v>15</v>
      </c>
      <c r="L4" s="112">
        <v>2.2110593162066143</v>
      </c>
      <c r="M4" s="112">
        <v>27247.416014622981</v>
      </c>
      <c r="N4" s="112">
        <v>952268.45198073308</v>
      </c>
      <c r="O4" s="112">
        <v>6986.9290942810376</v>
      </c>
      <c r="P4" s="112">
        <v>4588.3854970470566</v>
      </c>
      <c r="Q4" s="108">
        <v>465.79527295206918</v>
      </c>
      <c r="R4" s="68">
        <v>305.89236646980379</v>
      </c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2024-03-29T20:08:05Z</dcterms:modified>
</cp:coreProperties>
</file>