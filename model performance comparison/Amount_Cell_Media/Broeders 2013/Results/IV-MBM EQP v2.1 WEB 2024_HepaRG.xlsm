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roeders 2015\Results\"/>
    </mc:Choice>
  </mc:AlternateContent>
  <xr:revisionPtr revIDLastSave="0" documentId="13_ncr:1_{58B7A5CD-2DF2-45B2-88AD-E14BB0B02B00}" xr6:coauthVersionLast="47" xr6:coauthVersionMax="47" xr10:uidLastSave="{00000000-0000-0000-0000-000000000000}"/>
  <bookViews>
    <workbookView xWindow="735" yWindow="735" windowWidth="12630" windowHeight="12990" tabRatio="841" firstSheet="7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2" l="1"/>
  <c r="L2" i="12"/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<sst xmlns="http://schemas.openxmlformats.org/spreadsheetml/2006/main" count="398" uniqueCount="283">
  <si>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</si>
  <si>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</si>
  <si>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</si>
  <si>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</si>
  <si>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</si>
  <si>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</si>
  <si>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</si>
  <si>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</si>
  <si>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</si>
  <si>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</si>
  <si>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</si>
  <si>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</si>
  <si>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</si>
  <si>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</si>
  <si>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</si>
  <si>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</si>
  <si>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</si>
  <si>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</si>
  <si>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</si>
  <si>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</si>
  <si>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</si>
  <si>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</si>
  <si>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</si>
  <si>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</si>
  <si>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</si>
  <si>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</si>
  <si>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</si>
  <si>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</si>
  <si>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</si>
  <si>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</si>
  <si>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</si>
  <si>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</si>
  <si>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</si>
  <si>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</si>
  <si>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</si>
  <si>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</si>
  <si>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</si>
  <si>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</si>
  <si>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</si>
  <si>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</si>
  <si>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</si>
  <si>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</si>
  <si>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</si>
  <si>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</si>
  <si>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</si>
  <si>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</si>
  <si>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</si>
  <si>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</si>
  <si>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</si>
  <si>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</si>
  <si>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</si>
  <si>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</si>
  <si>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</si>
  <si>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</si>
  <si>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</si>
  <si>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</si>
  <si>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</si>
  <si>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</si>
  <si>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</si>
  <si>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</si>
  <si>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</si>
  <si>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</si>
  <si>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</si>
  <si>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</si>
  <si>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</si>
  <si>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</si>
  <si>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</si>
  <si>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</si>
  <si>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</si>
  <si>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</si>
  <si>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</si>
  <si>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</si>
  <si>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</si>
  <si>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</si>
  <si>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</si>
  <si>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</si>
  <si>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</si>
  <si>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</si>
  <si>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</si>
  <si>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</si>
  <si>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</si>
  <si>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</si>
  <si>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</si>
  <si>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</si>
  <si>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</si>
  <si>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</si>
  <si>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</si>
  <si>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</si>
  <si>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</si>
  <si>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</si>
  <si>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</si>
  <si>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</si>
  <si>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</si>
  <si>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</si>
  <si>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</si>
  <si>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</si>
  <si>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</si>
  <si>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</si>
  <si>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</si>
  <si>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</si>
  <si>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</si>
  <si>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</si>
  <si>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</si>
  <si>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</si>
  <si>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</si>
  <si>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</si>
  <si>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</si>
  <si>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</si>
  <si>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</si>
  <si>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</si>
  <si>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</si>
  <si>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</si>
  <si>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</si>
  <si>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</si>
  <si>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</si>
  <si>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</si>
  <si>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</si>
  <si>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</si>
  <si>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</si>
  <si>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</si>
  <si>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</si>
  <si>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</si>
  <si>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</si>
  <si>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</si>
  <si>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</si>
  <si>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</si>
  <si>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</si>
  <si>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</si>
  <si>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</si>
  <si>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</si>
  <si>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</si>
  <si>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</si>
  <si>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</si>
  <si>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</si>
  <si>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</si>
  <si>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</si>
  <si>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</si>
  <si>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</si>
  <si>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</si>
  <si>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</si>
  <si>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</si>
  <si>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</si>
  <si>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</si>
  <si>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</si>
  <si>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</si>
  <si>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</si>
  <si>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</si>
  <si>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</si>
  <si>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</si>
  <si>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</si>
  <si>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</si>
  <si>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</si>
  <si>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</si>
  <si>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</si>
  <si>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</si>
  <si>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</si>
  <si>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</si>
  <si>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</si>
  <si>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</si>
  <si>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</si>
  <si>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</si>
  <si>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</si>
  <si>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</si>
  <si>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</si>
  <si>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</si>
  <si>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</si>
  <si>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</si>
  <si>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</si>
  <si>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</si>
  <si>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</si>
  <si>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</si>
  <si>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</si>
  <si>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</si>
  <si>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</si>
  <si>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</si>
  <si>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</si>
  <si>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</si>
  <si>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</si>
  <si>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</si>
  <si>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</si>
  <si>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</si>
  <si>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</si>
  <si>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</si>
  <si>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</si>
  <si>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</si>
  <si>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</si>
  <si>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</si>
  <si>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</si>
  <si>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</si>
  <si>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</si>
  <si>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</si>
  <si>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</si>
  <si>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</si>
  <si>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</si>
  <si>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</si>
  <si>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</si>
  <si>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</si>
  <si>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</si>
  <si>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</si>
  <si>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</si>
  <si>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</si>
  <si>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</si>
  <si>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</si>
  <si>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</si>
  <si>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</si>
  <si>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</si>
  <si>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</si>
  <si>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</si>
  <si>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</si>
  <si>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</si>
  <si>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</si>
  <si>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</si>
  <si>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</si>
  <si>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</si>
  <si>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</si>
  <si>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</si>
  <si>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</si>
  <si>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</si>
  <si>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</si>
  <si>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</si>
  <si>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</si>
  <si>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</si>
  <si>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</si>
  <si>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</si>
  <si>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</si>
  <si>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</si>
  <si>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</si>
  <si>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</si>
  <si>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</si>
  <si>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</si>
  <si>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</si>
  <si>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</si>
  <si>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</si>
  <si>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</si>
  <si>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</si>
  <si>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</si>
  <si>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</si>
  <si>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</si>
  <si>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</si>
  <si>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</si>
  <si>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</si>
  <si>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</si>
  <si>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</si>
  <si>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</si>
  <si>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</si>
  <si>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</si>
  <si>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</si>
  <si>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</si>
  <si>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</si>
  <si>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</si>
  <si>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</si>
  <si>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</si>
  <si>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</si>
  <si>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</si>
  <si>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</si>
  <si>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</si>
  <si>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</si>
  <si>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</si>
  <si>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</si>
  <si>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</si>
  <si>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</si>
  <si>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</si>
  <si>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</si>
  <si>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</si>
  <si>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</si>
  <si>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</si>
  <si>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</si>
  <si>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</si>
  <si>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</si>
  <si>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</si>
  <si>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</si>
  <si>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</si>
  <si>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</si>
  <si>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</si>
  <si>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</si>
  <si>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</si>
  <si>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chlorpromazine</t>
    <phoneticPr fontId="1" type="noConversion"/>
  </si>
  <si>
    <t>50-53-3</t>
    <phoneticPr fontId="1" type="noConversion"/>
  </si>
  <si>
    <t>chlorpromazine</t>
  </si>
  <si>
    <t>50-53-3</t>
  </si>
  <si>
    <t>Yes</t>
  </si>
  <si>
    <t>B</t>
    <phoneticPr fontId="23" type="noConversion"/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</si>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</sst>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1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276</v>
      </c>
      <c r="B2" s="169" t="s">
        <v>277</v>
      </c>
      <c r="C2" s="124"/>
      <c r="D2" s="170">
        <v>318.86</v>
      </c>
      <c r="E2" s="170">
        <v>151</v>
      </c>
      <c r="F2" s="100"/>
      <c r="G2" s="101" t="s">
        <v>281</v>
      </c>
      <c r="H2" s="104">
        <v>9.4</v>
      </c>
      <c r="I2" s="170">
        <v>5.41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-6.97</v>
      </c>
      <c r="U2" s="100"/>
      <c r="V2" s="170">
        <v>2.2128884000000002</v>
      </c>
      <c r="W2" s="112"/>
      <c r="X2" s="104"/>
      <c r="Y2" s="100"/>
      <c r="Z2" s="112">
        <v>1.5</v>
      </c>
    </row>
    <row r="3" spans="1:27" s="99" customFormat="1" ht="16.149999999999999">
      <c r="A3" s="169" t="s">
        <v>276</v>
      </c>
      <c r="B3" s="169" t="s">
        <v>277</v>
      </c>
      <c r="C3" s="124"/>
      <c r="D3" s="170">
        <v>318.86</v>
      </c>
      <c r="E3" s="170">
        <v>151</v>
      </c>
      <c r="F3" s="100"/>
      <c r="G3" s="101" t="s">
        <v>281</v>
      </c>
      <c r="H3" s="104">
        <v>9.4</v>
      </c>
      <c r="I3" s="170">
        <v>5.41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-6.97</v>
      </c>
      <c r="U3" s="100"/>
      <c r="V3" s="170">
        <v>2.2128884000000002</v>
      </c>
      <c r="W3" s="112"/>
      <c r="X3" s="100"/>
      <c r="Y3" s="100"/>
      <c r="Z3" s="112">
        <v>15</v>
      </c>
    </row>
    <row r="4" spans="1:27" s="99" customFormat="1" ht="16.149999999999999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27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  <c r="AA6" s="24"/>
    </row>
    <row r="7" spans="1:27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  <c r="AA7" s="109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0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4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  <c r="AA11" s="15"/>
    </row>
    <row r="12" spans="1:27" s="99" customFormat="1" ht="16.149999999999999">
      <c r="A12" s="169"/>
      <c r="B12" s="169"/>
      <c r="C12" s="124"/>
      <c r="D12" s="170"/>
      <c r="E12" s="170"/>
      <c r="F12" s="101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0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4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  <c r="AA14" s="18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5"/>
      <c r="D16" s="101"/>
      <c r="E16" s="101"/>
      <c r="F16" s="100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0"/>
      <c r="Y17" s="100"/>
      <c r="Z17" s="112"/>
      <c r="AA17" s="98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0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1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D19" s="109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09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27"/>
    </row>
    <row r="23" spans="2:30" s="99" customFormat="1">
      <c r="B23" s="100"/>
      <c r="C23" s="124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8"/>
    </row>
    <row r="25" spans="2:30" s="99" customFormat="1">
      <c r="B25" s="100"/>
      <c r="C25" s="124"/>
      <c r="D25" s="101"/>
      <c r="E25" s="101"/>
      <c r="F25" s="101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  <c r="AD25" s="109"/>
    </row>
    <row r="26" spans="2:30" s="99" customFormat="1">
      <c r="B26" s="100"/>
      <c r="C26" s="125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 ht="13.15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24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1:29" s="99" customFormat="1">
      <c r="B41" s="100"/>
      <c r="C41" s="124"/>
      <c r="D41" s="101"/>
      <c r="E41" s="101"/>
      <c r="F41" s="101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4"/>
      <c r="D45" s="101"/>
      <c r="E45" s="101"/>
      <c r="F45" s="100"/>
      <c r="G45" s="101"/>
      <c r="H45" s="104"/>
      <c r="I45" s="104"/>
      <c r="J45" s="100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 s="99" customFormat="1">
      <c r="B46" s="100"/>
      <c r="C46" s="124"/>
      <c r="D46" s="101"/>
      <c r="E46" s="101"/>
      <c r="F46" s="100"/>
      <c r="G46" s="101"/>
      <c r="H46" s="104"/>
      <c r="I46" s="104"/>
      <c r="J46" s="104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1:29" s="99" customFormat="1">
      <c r="B47" s="100"/>
      <c r="C47" s="125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H71" s="3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0"/>
      <c r="F72" s="100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Y286" s="9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</sheetData>
  <sortState xmlns:xlrd2="http://schemas.microsoft.com/office/spreadsheetml/2017/richdata2" ref="A2:AD1301">
    <sortCondition ref="T2:T1301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250000</v>
      </c>
      <c r="I5" s="49">
        <f>H5*$K$5/1000000</f>
        <v>0.85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282</v>
      </c>
      <c r="E2" s="128">
        <v>9.4</v>
      </c>
      <c r="F2" s="67" t="s">
        <v>229</v>
      </c>
      <c r="G2" s="67" t="s">
        <v>229</v>
      </c>
      <c r="H2" s="67" t="s">
        <v>229</v>
      </c>
      <c r="I2" s="68">
        <v>2.0570279472312237E-5</v>
      </c>
      <c r="J2" s="67" t="s">
        <v>229</v>
      </c>
      <c r="K2" s="68">
        <v>2.1868521831704433</v>
      </c>
      <c r="L2" s="67" t="s">
        <v>280</v>
      </c>
      <c r="M2" s="68">
        <v>40.263431250329106</v>
      </c>
      <c r="N2" s="67" t="s">
        <v>280</v>
      </c>
      <c r="P2" s="106" t="s">
        <v>186</v>
      </c>
    </row>
    <row r="3" spans="1:17">
      <c r="A3" s="65" t="s">
        <v>278</v>
      </c>
      <c r="B3" s="66" t="s">
        <v>279</v>
      </c>
      <c r="D3" s="66" t="s">
        <v>282</v>
      </c>
      <c r="E3" s="128">
        <v>9.4</v>
      </c>
      <c r="F3" s="67" t="s">
        <v>229</v>
      </c>
      <c r="G3" s="67" t="s">
        <v>229</v>
      </c>
      <c r="H3" s="67" t="s">
        <v>229</v>
      </c>
      <c r="I3" s="68">
        <v>2.057027947231224E-4</v>
      </c>
      <c r="J3" s="67" t="s">
        <v>229</v>
      </c>
      <c r="K3" s="68">
        <v>21.868521831704435</v>
      </c>
      <c r="L3" s="67" t="s">
        <v>280</v>
      </c>
      <c r="M3" s="68">
        <v>402.63431250329103</v>
      </c>
      <c r="N3" s="67" t="s">
        <v>280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2</v>
      </c>
    </row>
    <row r="15" spans="1:17" ht="15">
      <c r="P15" s="106" t="s">
        <v>228</v>
      </c>
      <c r="Q15" s="100">
        <f>COUNTIF(M2:M50000,"&gt;=60")</f>
        <v>1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0.70367999999999997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7.5999999999999998E-2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0.85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0.85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4.2499999999999998E-4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1.3557499999999999E-5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6.149999999999999">
      <c r="A2" s="169" t="s">
        <v>278</v>
      </c>
      <c r="B2" s="169" t="s">
        <v>279</v>
      </c>
      <c r="D2" s="104" t="s">
        <v>282</v>
      </c>
      <c r="E2" s="104">
        <v>9.4</v>
      </c>
      <c r="F2" s="104">
        <v>5.3240171707711541</v>
      </c>
      <c r="G2" s="104">
        <v>1.824017170771155</v>
      </c>
      <c r="H2" s="104">
        <v>3.3332167190965496</v>
      </c>
      <c r="I2" s="104">
        <v>5.3240171707711541</v>
      </c>
      <c r="J2" s="104">
        <v>1.824017170771155</v>
      </c>
      <c r="K2" s="104">
        <v>3.3332167190965496</v>
      </c>
      <c r="L2" s="104">
        <v>5.6336599999999999</v>
      </c>
      <c r="M2" s="104">
        <v>4.6336599999999999</v>
      </c>
      <c r="N2" s="104">
        <v>4.6707313113755822</v>
      </c>
      <c r="O2" s="104">
        <v>4.6112599999999997</v>
      </c>
      <c r="P2" s="104">
        <v>3.6112599999999997</v>
      </c>
      <c r="Q2" s="104">
        <v>3.6483313113755824</v>
      </c>
      <c r="R2" s="104">
        <v>-6.5138115123134632</v>
      </c>
      <c r="S2" s="104">
        <v>-8.5181328860961045</v>
      </c>
      <c r="T2" s="104">
        <v>-1.6913828292288444</v>
      </c>
      <c r="U2" s="104">
        <v>-5.1913828292288446</v>
      </c>
      <c r="V2" s="104">
        <v>-3.6821832809034487</v>
      </c>
      <c r="W2" s="109">
        <v>272.43551072155509</v>
      </c>
    </row>
    <row r="3" spans="1:23">
      <c r="A3" s="99" t="s">
        <v>278</v>
      </c>
      <c r="B3" s="99" t="s">
        <v>279</v>
      </c>
      <c r="D3" s="104" t="s">
        <v>282</v>
      </c>
      <c r="E3" s="104">
        <v>9.4</v>
      </c>
      <c r="F3" s="104">
        <v>5.3240171707711541</v>
      </c>
      <c r="G3" s="104">
        <v>1.824017170771155</v>
      </c>
      <c r="H3" s="104">
        <v>3.3332167190965496</v>
      </c>
      <c r="I3" s="104">
        <v>5.3240171707711541</v>
      </c>
      <c r="J3" s="104">
        <v>1.824017170771155</v>
      </c>
      <c r="K3" s="104">
        <v>3.3332167190965496</v>
      </c>
      <c r="L3" s="104">
        <v>5.6336599999999999</v>
      </c>
      <c r="M3" s="104">
        <v>4.6336599999999999</v>
      </c>
      <c r="N3" s="104">
        <v>4.6707313113755822</v>
      </c>
      <c r="O3" s="104">
        <v>4.6112599999999997</v>
      </c>
      <c r="P3" s="104">
        <v>3.6112599999999997</v>
      </c>
      <c r="Q3" s="104">
        <v>3.6483313113755824</v>
      </c>
      <c r="R3" s="104">
        <v>-6.5138115123134632</v>
      </c>
      <c r="S3" s="104">
        <v>-8.5181328860961045</v>
      </c>
      <c r="T3" s="104">
        <v>-1.6913828292288444</v>
      </c>
      <c r="U3" s="104">
        <v>-5.1913828292288446</v>
      </c>
      <c r="V3" s="104">
        <v>-3.6821832809034487</v>
      </c>
      <c r="W3" s="109">
        <v>272.43551072155509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278</v>
      </c>
      <c r="B2" s="16" t="s">
        <v>279</v>
      </c>
      <c r="D2" s="14">
        <v>1.5</v>
      </c>
      <c r="E2" s="14">
        <v>0.56548304551583661</v>
      </c>
      <c r="F2" s="14">
        <v>0.21362834769658934</v>
      </c>
      <c r="G2" s="14">
        <v>6.479268767704678E-10</v>
      </c>
      <c r="H2" s="14">
        <v>950.58332750670206</v>
      </c>
      <c r="I2" s="14">
        <v>460.12475643040335</v>
      </c>
      <c r="J2" s="14">
        <v>0</v>
      </c>
      <c r="K2" s="14">
        <v>7.0215400538996366</v>
      </c>
      <c r="L2" s="14">
        <v>0.14241889846439287</v>
      </c>
      <c r="M2" s="14">
        <v>0.11685470619003437</v>
      </c>
      <c r="N2" s="14">
        <v>2186.8521831704434</v>
      </c>
      <c r="O2" s="14">
        <v>697299.68712572753</v>
      </c>
      <c r="P2" s="8">
        <v>1457.901455446962</v>
      </c>
      <c r="Q2" s="54">
        <v>4.4409471062890137E-2</v>
      </c>
      <c r="S2" s="99"/>
    </row>
    <row r="3" spans="1:20">
      <c r="A3" s="2" t="s">
        <v>278</v>
      </c>
      <c r="B3" s="16" t="s">
        <v>279</v>
      </c>
      <c r="D3" s="14">
        <v>15</v>
      </c>
      <c r="E3" s="14">
        <v>5.6548304551583675</v>
      </c>
      <c r="F3" s="14">
        <v>2.1362834769658936</v>
      </c>
      <c r="G3" s="14">
        <v>6.4792687677046795E-9</v>
      </c>
      <c r="H3" s="14">
        <v>9505.8332750670215</v>
      </c>
      <c r="I3" s="14">
        <v>4601.2475643040343</v>
      </c>
      <c r="J3" s="14">
        <v>0</v>
      </c>
      <c r="K3" s="14">
        <v>7.0215400538996349</v>
      </c>
      <c r="L3" s="14">
        <v>0.1424188984643929</v>
      </c>
      <c r="M3" s="14">
        <v>0.11685470619003438</v>
      </c>
      <c r="N3" s="14">
        <v>21868.521831704435</v>
      </c>
      <c r="O3" s="14">
        <v>6972996.8712572753</v>
      </c>
      <c r="P3" s="8">
        <v>1457.9014554469622</v>
      </c>
      <c r="Q3" s="54">
        <v>0.44409471062890149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1.5982196293671537E-7</v>
      </c>
      <c r="E2" s="20">
        <v>0.37698869701055776</v>
      </c>
      <c r="F2" s="20">
        <v>0.22296882529997203</v>
      </c>
      <c r="G2" s="20">
        <v>1.1656493829570217E-2</v>
      </c>
      <c r="H2" s="20">
        <v>0</v>
      </c>
      <c r="I2" s="20">
        <v>0.14236337788101552</v>
      </c>
      <c r="J2" s="20">
        <v>0.6196081185649589</v>
      </c>
      <c r="K2" s="20">
        <v>3.4030246025203181E-3</v>
      </c>
      <c r="L2" s="20">
        <v>0</v>
      </c>
      <c r="N2" s="99"/>
    </row>
    <row r="3" spans="1:14">
      <c r="A3" s="2" t="s">
        <v>278</v>
      </c>
      <c r="B3" s="3" t="s">
        <v>279</v>
      </c>
      <c r="D3" s="20">
        <v>1.598219629367154E-7</v>
      </c>
      <c r="E3" s="20">
        <v>0.37698869701055776</v>
      </c>
      <c r="F3" s="20">
        <v>0.222968825299972</v>
      </c>
      <c r="G3" s="20">
        <v>1.1656493829570217E-2</v>
      </c>
      <c r="H3" s="20">
        <v>0</v>
      </c>
      <c r="I3" s="20">
        <v>0.14236337788101552</v>
      </c>
      <c r="J3" s="20">
        <v>0.6196081185649589</v>
      </c>
      <c r="K3" s="20">
        <v>3.4030246025203176E-3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topLeftCell="B1" workbookViewId="0">
      <pane ySplit="1" topLeftCell="A2" activePane="bottomLeft" state="frozen"/>
      <selection pane="bottomLeft" activeCell="K16" sqref="K16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278</v>
      </c>
      <c r="B2" s="3" t="s">
        <v>279</v>
      </c>
      <c r="D2" s="14">
        <v>4.7946588881014618E-10</v>
      </c>
      <c r="E2" s="14">
        <v>4.2709013364304653E-4</v>
      </c>
      <c r="F2" s="14">
        <v>6.6890647589991608E-4</v>
      </c>
      <c r="G2" s="14">
        <v>3.4969481488710647E-5</v>
      </c>
      <c r="H2" s="14">
        <v>0</v>
      </c>
      <c r="I2" s="14">
        <v>1.8588243556948766E-3</v>
      </c>
      <c r="J2" s="14">
        <v>1.0209073807560954E-5</v>
      </c>
      <c r="K2" s="14">
        <v>0</v>
      </c>
      <c r="L2" s="21">
        <f>SUM(E2:H2)</f>
        <v>1.1309660910316733E-3</v>
      </c>
      <c r="M2" s="168"/>
    </row>
    <row r="3" spans="1:23">
      <c r="A3" s="2" t="s">
        <v>278</v>
      </c>
      <c r="B3" s="3" t="s">
        <v>279</v>
      </c>
      <c r="D3" s="14">
        <v>4.7946588881014624E-9</v>
      </c>
      <c r="E3" s="14">
        <v>4.2709013364304665E-3</v>
      </c>
      <c r="F3" s="14">
        <v>6.689064758999161E-3</v>
      </c>
      <c r="G3" s="14">
        <v>3.4969481488710653E-4</v>
      </c>
      <c r="H3" s="14">
        <v>0</v>
      </c>
      <c r="I3" s="14">
        <v>1.8588243556948769E-2</v>
      </c>
      <c r="J3" s="14">
        <v>1.0209073807560955E-4</v>
      </c>
      <c r="K3" s="14">
        <v>0</v>
      </c>
      <c r="L3" s="21">
        <f>SUM(E3:H3)</f>
        <v>1.1309660910316734E-2</v>
      </c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282</v>
      </c>
      <c r="E2" s="104">
        <v>9.4</v>
      </c>
      <c r="F2" s="104">
        <v>3.3332167190965496</v>
      </c>
      <c r="G2" s="104">
        <v>-8.5181328860961045</v>
      </c>
      <c r="H2" s="104">
        <v>4.6707313113755822</v>
      </c>
      <c r="I2" s="104">
        <v>2.2722018043061869</v>
      </c>
      <c r="J2" s="104">
        <v>2.2268854887132661</v>
      </c>
      <c r="K2" s="112">
        <v>1.5</v>
      </c>
      <c r="L2" s="112">
        <v>0.51610223058346427</v>
      </c>
      <c r="M2" s="112">
        <v>2186.8521831704434</v>
      </c>
      <c r="N2" s="112">
        <v>40263.4312503291</v>
      </c>
      <c r="O2" s="112">
        <v>39.981647491038323</v>
      </c>
      <c r="P2" s="112">
        <v>36.020054880173156</v>
      </c>
      <c r="Q2" s="108">
        <v>26.654431660692214</v>
      </c>
      <c r="R2" s="68">
        <v>24.013369920115437</v>
      </c>
    </row>
    <row r="3" spans="1:22">
      <c r="A3" s="99" t="s">
        <v>278</v>
      </c>
      <c r="B3" s="99" t="s">
        <v>279</v>
      </c>
      <c r="D3" s="100" t="s">
        <v>282</v>
      </c>
      <c r="E3" s="104">
        <v>9.4</v>
      </c>
      <c r="F3" s="104">
        <v>3.3332167190965496</v>
      </c>
      <c r="G3" s="104">
        <v>-8.5181328860961045</v>
      </c>
      <c r="H3" s="104">
        <v>4.6707313113755822</v>
      </c>
      <c r="I3" s="104">
        <v>2.2722018043061869</v>
      </c>
      <c r="J3" s="104">
        <v>2.2268854887132661</v>
      </c>
      <c r="K3" s="112">
        <v>15</v>
      </c>
      <c r="L3" s="112">
        <v>5.1610223058346438</v>
      </c>
      <c r="M3" s="112">
        <v>21868.521831704435</v>
      </c>
      <c r="N3" s="112">
        <v>402634.31250329106</v>
      </c>
      <c r="O3" s="112">
        <v>399.81647491038325</v>
      </c>
      <c r="P3" s="112">
        <v>360.2005488017316</v>
      </c>
      <c r="Q3" s="108">
        <v>26.654431660692218</v>
      </c>
      <c r="R3" s="68">
        <v>24.013369920115437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2025-01-18T11:49:10Z</dcterms:modified>
</cp:coreProperties>
</file>