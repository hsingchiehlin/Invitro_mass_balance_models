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Paper writing\R1\model comparison_update_based reviewer\New dataset from SOT poster\Broeders 2015\Results\"/>
    </mc:Choice>
  </mc:AlternateContent>
  <xr:revisionPtr revIDLastSave="0" documentId="13_ncr:1_{CC8C8AC3-5E1F-49DD-A714-E047D4D88036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8" i="4" l="1"/>
  <c r="T28" i="4"/>
  <c r="S28" i="4"/>
  <c r="T29" i="4"/>
  <c r="R29" i="4" l="1"/>
  <c r="L17" i="1" l="1"/>
  <c r="N17" i="1"/>
  <c r="M17" i="1"/>
  <c r="K28" i="1"/>
  <c r="K27" i="1"/>
  <c r="L22" i="1"/>
  <c r="O15" i="1"/>
  <c r="L15" i="1"/>
  <c r="N15" i="1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J16" i="4"/>
  <c r="J15" i="4"/>
  <c r="J87" i="4"/>
  <c r="K87" i="4"/>
  <c r="J122" i="4"/>
  <c r="K122" i="4"/>
  <c r="J117" i="4"/>
  <c r="K117" i="4"/>
  <c r="J120" i="4"/>
  <c r="K120" i="4"/>
  <c r="J101" i="4"/>
  <c r="K101" i="4"/>
  <c r="J86" i="4"/>
  <c r="K86" i="4"/>
  <c r="J85" i="4"/>
  <c r="K85" i="4"/>
  <c r="J88" i="4"/>
  <c r="K88" i="4"/>
  <c r="J119" i="4"/>
  <c r="K119" i="4"/>
  <c r="J72" i="4"/>
  <c r="K72" i="4"/>
  <c r="J103" i="4"/>
  <c r="K103" i="4"/>
  <c r="J118" i="4"/>
  <c r="K118" i="4"/>
  <c r="J104" i="4"/>
  <c r="K104" i="4"/>
  <c r="J90" i="4"/>
  <c r="K90" i="4"/>
  <c r="J71" i="4"/>
  <c r="K71" i="4"/>
  <c r="J110" i="4"/>
  <c r="K110" i="4"/>
  <c r="J82" i="4"/>
  <c r="K82" i="4"/>
  <c r="J113" i="4"/>
  <c r="K113" i="4"/>
  <c r="J97" i="4"/>
  <c r="K97" i="4"/>
  <c r="J81" i="4"/>
  <c r="K81" i="4"/>
  <c r="J116" i="4"/>
  <c r="K116" i="4"/>
  <c r="J100" i="4"/>
  <c r="K100" i="4"/>
  <c r="O100" i="4"/>
  <c r="J84" i="4"/>
  <c r="K84" i="4"/>
  <c r="J114" i="4"/>
  <c r="K114" i="4"/>
  <c r="J78" i="4"/>
  <c r="K78" i="4"/>
  <c r="J115" i="4"/>
  <c r="K115" i="4"/>
  <c r="O115" i="4"/>
  <c r="J99" i="4"/>
  <c r="K99" i="4"/>
  <c r="J83" i="4"/>
  <c r="K83" i="4"/>
  <c r="J102" i="4"/>
  <c r="K102" i="4"/>
  <c r="J74" i="4"/>
  <c r="K74" i="4"/>
  <c r="J125" i="4"/>
  <c r="K125" i="4"/>
  <c r="J109" i="4"/>
  <c r="K109" i="4"/>
  <c r="J93" i="4"/>
  <c r="K93" i="4"/>
  <c r="J77" i="4"/>
  <c r="K77" i="4"/>
  <c r="J112" i="4"/>
  <c r="K112" i="4"/>
  <c r="J96" i="4"/>
  <c r="K96" i="4"/>
  <c r="J80" i="4"/>
  <c r="K80" i="4"/>
  <c r="J106" i="4"/>
  <c r="K106" i="4"/>
  <c r="J127" i="4"/>
  <c r="K127" i="4"/>
  <c r="J111" i="4"/>
  <c r="K111" i="4"/>
  <c r="J95" i="4"/>
  <c r="K95" i="4"/>
  <c r="J79" i="4"/>
  <c r="K79" i="4"/>
  <c r="J126" i="4"/>
  <c r="K126" i="4"/>
  <c r="J94" i="4"/>
  <c r="K94" i="4"/>
  <c r="J121" i="4"/>
  <c r="K121" i="4"/>
  <c r="J105" i="4"/>
  <c r="K105" i="4"/>
  <c r="J89" i="4"/>
  <c r="K89" i="4"/>
  <c r="J73" i="4"/>
  <c r="K73" i="4"/>
  <c r="J124" i="4"/>
  <c r="K124" i="4"/>
  <c r="J108" i="4"/>
  <c r="K108" i="4"/>
  <c r="J92" i="4"/>
  <c r="K92" i="4"/>
  <c r="J76" i="4"/>
  <c r="K76" i="4"/>
  <c r="J98" i="4"/>
  <c r="K98" i="4"/>
  <c r="J123" i="4"/>
  <c r="K123" i="4"/>
  <c r="J107" i="4"/>
  <c r="K107" i="4"/>
  <c r="J91" i="4"/>
  <c r="K91" i="4"/>
  <c r="J75" i="4"/>
  <c r="K75" i="4"/>
  <c r="P100" i="4"/>
  <c r="P115" i="4"/>
  <c r="O107" i="4"/>
  <c r="P107" i="4"/>
  <c r="O73" i="4"/>
  <c r="P73" i="4"/>
  <c r="O79" i="4"/>
  <c r="P79" i="4"/>
  <c r="O112" i="4"/>
  <c r="P112" i="4"/>
  <c r="O83" i="4"/>
  <c r="P83" i="4"/>
  <c r="O75" i="4"/>
  <c r="P75" i="4"/>
  <c r="O98" i="4"/>
  <c r="P98" i="4"/>
  <c r="O108" i="4"/>
  <c r="P108" i="4"/>
  <c r="O105" i="4"/>
  <c r="P105" i="4"/>
  <c r="O126" i="4"/>
  <c r="P126" i="4"/>
  <c r="O111" i="4"/>
  <c r="P111" i="4"/>
  <c r="O80" i="4"/>
  <c r="P80" i="4"/>
  <c r="O77" i="4"/>
  <c r="P77" i="4"/>
  <c r="O74" i="4"/>
  <c r="P74" i="4"/>
  <c r="O84" i="4"/>
  <c r="P84" i="4"/>
  <c r="O81" i="4"/>
  <c r="P81" i="4"/>
  <c r="O82" i="4"/>
  <c r="P82" i="4"/>
  <c r="O104" i="4"/>
  <c r="P104" i="4"/>
  <c r="O85" i="4"/>
  <c r="P85" i="4"/>
  <c r="O120" i="4"/>
  <c r="P120" i="4"/>
  <c r="O91" i="4"/>
  <c r="P91" i="4"/>
  <c r="O124" i="4"/>
  <c r="P124" i="4"/>
  <c r="O121" i="4"/>
  <c r="P121" i="4"/>
  <c r="O127" i="4"/>
  <c r="P127" i="4"/>
  <c r="O96" i="4"/>
  <c r="P96" i="4"/>
  <c r="O93" i="4"/>
  <c r="P93" i="4"/>
  <c r="O102" i="4"/>
  <c r="P102" i="4"/>
  <c r="O78" i="4"/>
  <c r="P78" i="4"/>
  <c r="O97" i="4"/>
  <c r="P97" i="4"/>
  <c r="O110" i="4"/>
  <c r="P110" i="4"/>
  <c r="O118" i="4"/>
  <c r="P118" i="4"/>
  <c r="O86" i="4"/>
  <c r="P86" i="4"/>
  <c r="O117" i="4"/>
  <c r="P117" i="4"/>
  <c r="O76" i="4"/>
  <c r="P76" i="4"/>
  <c r="O106" i="4"/>
  <c r="P106" i="4"/>
  <c r="O109" i="4"/>
  <c r="P109" i="4"/>
  <c r="O114" i="4"/>
  <c r="P114" i="4"/>
  <c r="O116" i="4"/>
  <c r="P116" i="4"/>
  <c r="O113" i="4"/>
  <c r="P113" i="4"/>
  <c r="O71" i="4"/>
  <c r="P71" i="4"/>
  <c r="O103" i="4"/>
  <c r="P103" i="4"/>
  <c r="O119" i="4"/>
  <c r="P119" i="4"/>
  <c r="O122" i="4"/>
  <c r="P122" i="4"/>
  <c r="O123" i="4"/>
  <c r="P123" i="4"/>
  <c r="O92" i="4"/>
  <c r="P92" i="4"/>
  <c r="O89" i="4"/>
  <c r="P89" i="4"/>
  <c r="O94" i="4"/>
  <c r="P94" i="4"/>
  <c r="O95" i="4"/>
  <c r="P95" i="4"/>
  <c r="O125" i="4"/>
  <c r="P125" i="4"/>
  <c r="O99" i="4"/>
  <c r="P99" i="4"/>
  <c r="O90" i="4"/>
  <c r="P90" i="4"/>
  <c r="O72" i="4"/>
  <c r="P72" i="4"/>
  <c r="O88" i="4"/>
  <c r="P88" i="4"/>
  <c r="O101" i="4"/>
  <c r="P101" i="4"/>
  <c r="O87" i="4"/>
  <c r="P87" i="4"/>
  <c r="I76" i="4"/>
  <c r="I77" i="4"/>
  <c r="I81" i="4"/>
  <c r="I89" i="4"/>
  <c r="I90" i="4"/>
  <c r="I96" i="4"/>
  <c r="I99" i="4"/>
  <c r="I102" i="4"/>
  <c r="I104" i="4"/>
  <c r="I108" i="4"/>
  <c r="I111" i="4"/>
  <c r="I113" i="4"/>
  <c r="I115" i="4"/>
  <c r="I119" i="4"/>
  <c r="I120" i="4"/>
  <c r="I123" i="4"/>
  <c r="I125" i="4"/>
  <c r="I79" i="4"/>
  <c r="I92" i="4"/>
  <c r="I100" i="4"/>
  <c r="I103" i="4"/>
  <c r="I107" i="4"/>
  <c r="I109" i="4"/>
  <c r="I110" i="4"/>
  <c r="I117" i="4"/>
  <c r="I124" i="4"/>
  <c r="I72" i="4"/>
  <c r="I106" i="4"/>
  <c r="I71" i="4"/>
  <c r="I75" i="4"/>
  <c r="I80" i="4"/>
  <c r="I83" i="4"/>
  <c r="I86" i="4"/>
  <c r="I88" i="4"/>
  <c r="I94" i="4"/>
  <c r="I95" i="4"/>
  <c r="I98" i="4"/>
  <c r="I101" i="4"/>
  <c r="I118" i="4"/>
  <c r="I127" i="4"/>
  <c r="I73" i="4"/>
  <c r="I74" i="4"/>
  <c r="I78" i="4"/>
  <c r="I82" i="4"/>
  <c r="I85" i="4"/>
  <c r="I93" i="4"/>
  <c r="I112" i="4"/>
  <c r="I114" i="4"/>
  <c r="I121" i="4"/>
  <c r="I122" i="4"/>
  <c r="I84" i="4"/>
  <c r="I87" i="4"/>
  <c r="I91" i="4"/>
  <c r="I97" i="4"/>
  <c r="I105" i="4"/>
  <c r="I116" i="4"/>
  <c r="I126" i="4"/>
  <c r="L105" i="4"/>
  <c r="N105" i="4"/>
  <c r="Q105" i="4"/>
  <c r="L84" i="4"/>
  <c r="N84" i="4"/>
  <c r="Q84" i="4"/>
  <c r="N121" i="4"/>
  <c r="Q121" i="4"/>
  <c r="L121" i="4"/>
  <c r="N85" i="4"/>
  <c r="Q85" i="4"/>
  <c r="L85" i="4"/>
  <c r="L73" i="4"/>
  <c r="N73" i="4"/>
  <c r="Q73" i="4"/>
  <c r="N101" i="4"/>
  <c r="Q101" i="4"/>
  <c r="L101" i="4"/>
  <c r="N88" i="4"/>
  <c r="Q88" i="4"/>
  <c r="L88" i="4"/>
  <c r="N75" i="4"/>
  <c r="Q75" i="4"/>
  <c r="L75" i="4"/>
  <c r="L106" i="4"/>
  <c r="N106" i="4"/>
  <c r="Q106" i="4"/>
  <c r="L124" i="4"/>
  <c r="N124" i="4"/>
  <c r="Q124" i="4"/>
  <c r="N107" i="4"/>
  <c r="Q107" i="4"/>
  <c r="L107" i="4"/>
  <c r="N79" i="4"/>
  <c r="Q79" i="4"/>
  <c r="L79" i="4"/>
  <c r="N119" i="4"/>
  <c r="Q119" i="4"/>
  <c r="L119" i="4"/>
  <c r="N108" i="4"/>
  <c r="Q108" i="4"/>
  <c r="L108" i="4"/>
  <c r="L96" i="4"/>
  <c r="N96" i="4"/>
  <c r="Q96" i="4"/>
  <c r="N77" i="4"/>
  <c r="Q77" i="4"/>
  <c r="L77" i="4"/>
  <c r="L97" i="4"/>
  <c r="N97" i="4"/>
  <c r="Q97" i="4"/>
  <c r="N114" i="4"/>
  <c r="Q114" i="4"/>
  <c r="L114" i="4"/>
  <c r="L82" i="4"/>
  <c r="N82" i="4"/>
  <c r="Q82" i="4"/>
  <c r="N98" i="4"/>
  <c r="Q98" i="4"/>
  <c r="L98" i="4"/>
  <c r="N86" i="4"/>
  <c r="Q86" i="4"/>
  <c r="L86" i="4"/>
  <c r="N71" i="4"/>
  <c r="Q71" i="4"/>
  <c r="L71" i="4"/>
  <c r="L72" i="4"/>
  <c r="N72" i="4"/>
  <c r="Q72" i="4"/>
  <c r="N117" i="4"/>
  <c r="Q117" i="4"/>
  <c r="L117" i="4"/>
  <c r="N103" i="4"/>
  <c r="Q103" i="4"/>
  <c r="L103" i="4"/>
  <c r="L125" i="4"/>
  <c r="N125" i="4"/>
  <c r="Q125" i="4"/>
  <c r="N115" i="4"/>
  <c r="Q115" i="4"/>
  <c r="L115" i="4"/>
  <c r="L104" i="4"/>
  <c r="N104" i="4"/>
  <c r="Q104" i="4"/>
  <c r="N90" i="4"/>
  <c r="Q90" i="4"/>
  <c r="L90" i="4"/>
  <c r="N76" i="4"/>
  <c r="Q76" i="4"/>
  <c r="L76" i="4"/>
  <c r="N126" i="4"/>
  <c r="Q126" i="4"/>
  <c r="L126" i="4"/>
  <c r="N91" i="4"/>
  <c r="Q91" i="4"/>
  <c r="L91" i="4"/>
  <c r="L112" i="4"/>
  <c r="N112" i="4"/>
  <c r="Q112" i="4"/>
  <c r="L78" i="4"/>
  <c r="N78" i="4"/>
  <c r="Q78" i="4"/>
  <c r="L127" i="4"/>
  <c r="N127" i="4"/>
  <c r="Q127" i="4"/>
  <c r="N95" i="4"/>
  <c r="Q95" i="4"/>
  <c r="L95" i="4"/>
  <c r="N83" i="4"/>
  <c r="Q83" i="4"/>
  <c r="L83" i="4"/>
  <c r="N110" i="4"/>
  <c r="Q110" i="4"/>
  <c r="L110" i="4"/>
  <c r="L100" i="4"/>
  <c r="N100" i="4"/>
  <c r="Q100" i="4"/>
  <c r="L123" i="4"/>
  <c r="N123" i="4"/>
  <c r="Q123" i="4"/>
  <c r="N113" i="4"/>
  <c r="Q113" i="4"/>
  <c r="L113" i="4"/>
  <c r="L102" i="4"/>
  <c r="N102" i="4"/>
  <c r="Q102" i="4"/>
  <c r="N89" i="4"/>
  <c r="Q89" i="4"/>
  <c r="L89" i="4"/>
  <c r="N116" i="4"/>
  <c r="Q116" i="4"/>
  <c r="L116" i="4"/>
  <c r="N87" i="4"/>
  <c r="Q87" i="4"/>
  <c r="L87" i="4"/>
  <c r="N122" i="4"/>
  <c r="Q122" i="4"/>
  <c r="L122" i="4"/>
  <c r="N93" i="4"/>
  <c r="Q93" i="4"/>
  <c r="L93" i="4"/>
  <c r="N74" i="4"/>
  <c r="Q74" i="4"/>
  <c r="L74" i="4"/>
  <c r="N118" i="4"/>
  <c r="Q118" i="4"/>
  <c r="L118" i="4"/>
  <c r="L94" i="4"/>
  <c r="N94" i="4"/>
  <c r="Q94" i="4"/>
  <c r="L80" i="4"/>
  <c r="N80" i="4"/>
  <c r="Q80" i="4"/>
  <c r="N109" i="4"/>
  <c r="Q109" i="4"/>
  <c r="L109" i="4"/>
  <c r="L92" i="4"/>
  <c r="N92" i="4"/>
  <c r="Q92" i="4"/>
  <c r="N120" i="4"/>
  <c r="Q120" i="4"/>
  <c r="L120" i="4"/>
  <c r="N111" i="4"/>
  <c r="Q111" i="4"/>
  <c r="L111" i="4"/>
  <c r="N99" i="4"/>
  <c r="Q99" i="4"/>
  <c r="L99" i="4"/>
  <c r="L81" i="4"/>
  <c r="N81" i="4"/>
  <c r="Q81" i="4"/>
  <c r="J14" i="4" l="1"/>
  <c r="J13" i="4" s="1"/>
  <c r="K16" i="4" s="1"/>
  <c r="K14" i="4" l="1"/>
  <c r="K13" i="4"/>
  <c r="K15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O62" i="4" s="1"/>
  <c r="P62" i="4" s="1"/>
  <c r="J60" i="4"/>
  <c r="K60" i="4" s="1"/>
  <c r="O60" i="4" s="1"/>
  <c r="P60" i="4" s="1"/>
  <c r="J56" i="4"/>
  <c r="K56" i="4" s="1"/>
  <c r="O56" i="4" s="1"/>
  <c r="P56" i="4" s="1"/>
  <c r="J58" i="4"/>
  <c r="K58" i="4" s="1"/>
  <c r="O58" i="4" s="1"/>
  <c r="P58" i="4" s="1"/>
  <c r="J55" i="4"/>
  <c r="K55" i="4" s="1"/>
  <c r="O55" i="4" s="1"/>
  <c r="P55" i="4" s="1"/>
  <c r="J61" i="4"/>
  <c r="K61" i="4" s="1"/>
  <c r="O61" i="4" s="1"/>
  <c r="P61" i="4" s="1"/>
  <c r="J57" i="4"/>
  <c r="K57" i="4" s="1"/>
  <c r="O57" i="4" s="1"/>
  <c r="P57" i="4" s="1"/>
  <c r="J59" i="4"/>
  <c r="K59" i="4" s="1"/>
  <c r="O59" i="4" s="1"/>
  <c r="P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L66" i="4" l="1"/>
  <c r="M66" i="4" s="1"/>
  <c r="K66" i="4"/>
  <c r="O66" i="4" s="1"/>
  <c r="P66" i="4" s="1"/>
  <c r="K70" i="4"/>
  <c r="L70" i="4"/>
  <c r="M70" i="4" s="1"/>
  <c r="K64" i="4"/>
  <c r="O64" i="4" s="1"/>
  <c r="P64" i="4" s="1"/>
  <c r="L64" i="4"/>
  <c r="M64" i="4" s="1"/>
  <c r="O63" i="4"/>
  <c r="P63" i="4" s="1"/>
  <c r="L63" i="4"/>
  <c r="M63" i="4" s="1"/>
  <c r="K68" i="4"/>
  <c r="O68" i="4" s="1"/>
  <c r="P68" i="4" s="1"/>
  <c r="L68" i="4"/>
  <c r="M68" i="4" s="1"/>
  <c r="L67" i="4"/>
  <c r="M67" i="4" s="1"/>
  <c r="K67" i="4"/>
  <c r="O67" i="4" s="1"/>
  <c r="P67" i="4" s="1"/>
  <c r="L65" i="4"/>
  <c r="M65" i="4" s="1"/>
  <c r="K65" i="4"/>
  <c r="O65" i="4" s="1"/>
  <c r="P65" i="4" s="1"/>
  <c r="K69" i="4"/>
  <c r="O69" i="4" s="1"/>
  <c r="P69" i="4" s="1"/>
  <c r="L69" i="4"/>
  <c r="M69" i="4" s="1"/>
  <c r="N62" i="4"/>
  <c r="Q62" i="4" s="1"/>
  <c r="L62" i="4"/>
  <c r="M62" i="4" s="1"/>
  <c r="N55" i="4"/>
  <c r="Q55" i="4" s="1"/>
  <c r="L55" i="4"/>
  <c r="M55" i="4" s="1"/>
  <c r="L56" i="4"/>
  <c r="M56" i="4" s="1"/>
  <c r="N56" i="4"/>
  <c r="Q56" i="4" s="1"/>
  <c r="N59" i="4"/>
  <c r="Q59" i="4" s="1"/>
  <c r="L59" i="4"/>
  <c r="M59" i="4" s="1"/>
  <c r="N57" i="4"/>
  <c r="Q57" i="4" s="1"/>
  <c r="L57" i="4"/>
  <c r="M57" i="4" s="1"/>
  <c r="L58" i="4"/>
  <c r="M58" i="4" s="1"/>
  <c r="N58" i="4"/>
  <c r="Q58" i="4" s="1"/>
  <c r="N61" i="4"/>
  <c r="Q61" i="4" s="1"/>
  <c r="L61" i="4"/>
  <c r="M61" i="4" s="1"/>
  <c r="L60" i="4"/>
  <c r="M60" i="4" s="1"/>
  <c r="N60" i="4"/>
  <c r="Q60" i="4" s="1"/>
  <c r="O70" i="4" l="1"/>
  <c r="P70" i="4" s="1"/>
  <c r="J21" i="4" l="1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Q44" i="4" s="1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Q35" i="4" s="1"/>
  <c r="N52" i="4"/>
  <c r="N47" i="4"/>
  <c r="J7" i="4" l="1"/>
  <c r="Q48" i="4" s="1"/>
  <c r="K21" i="4"/>
  <c r="K22" i="4"/>
  <c r="K20" i="4"/>
  <c r="J33" i="4" s="1"/>
  <c r="J31" i="4"/>
  <c r="Q29" i="4"/>
  <c r="Q31" i="4"/>
  <c r="Q41" i="4"/>
  <c r="Q42" i="4"/>
  <c r="Q39" i="4"/>
  <c r="Q43" i="4"/>
  <c r="Q50" i="4"/>
  <c r="Q47" i="4"/>
  <c r="Q52" i="4"/>
  <c r="J52" i="4"/>
  <c r="J49" i="4"/>
  <c r="J45" i="4"/>
  <c r="J39" i="4"/>
  <c r="J53" i="4"/>
  <c r="J54" i="4"/>
  <c r="J36" i="4"/>
  <c r="J44" i="4"/>
  <c r="J46" i="4"/>
  <c r="J35" i="4"/>
  <c r="J47" i="4"/>
  <c r="J50" i="4"/>
  <c r="J30" i="4"/>
  <c r="J48" i="4"/>
  <c r="J51" i="4"/>
  <c r="J43" i="4"/>
  <c r="Q54" i="4"/>
  <c r="Q51" i="4"/>
  <c r="Q38" i="4"/>
  <c r="Q36" i="4"/>
  <c r="Q34" i="4"/>
  <c r="Q46" i="4"/>
  <c r="Q45" i="4"/>
  <c r="Q49" i="4"/>
  <c r="J34" i="4" l="1"/>
  <c r="J41" i="4"/>
  <c r="J42" i="4"/>
  <c r="L42" i="4" s="1"/>
  <c r="J32" i="4"/>
  <c r="L32" i="4" s="1"/>
  <c r="J37" i="4"/>
  <c r="J40" i="4"/>
  <c r="L40" i="4" s="1"/>
  <c r="J38" i="4"/>
  <c r="L38" i="4" s="1"/>
  <c r="J29" i="4"/>
  <c r="L29" i="4" s="1"/>
  <c r="S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O28" i="4" s="1"/>
  <c r="P28" i="4" s="1"/>
  <c r="K31" i="4"/>
  <c r="O31" i="4" s="1"/>
  <c r="P31" i="4" s="1"/>
  <c r="L31" i="4"/>
  <c r="M31" i="4" s="1"/>
  <c r="L34" i="4"/>
  <c r="K34" i="4"/>
  <c r="O34" i="4" s="1"/>
  <c r="P34" i="4" s="1"/>
  <c r="L45" i="4"/>
  <c r="M45" i="4" s="1"/>
  <c r="K45" i="4"/>
  <c r="O45" i="4" s="1"/>
  <c r="P45" i="4" s="1"/>
  <c r="L47" i="4"/>
  <c r="M47" i="4" s="1"/>
  <c r="K47" i="4"/>
  <c r="O47" i="4" s="1"/>
  <c r="P47" i="4" s="1"/>
  <c r="K38" i="4"/>
  <c r="O38" i="4" s="1"/>
  <c r="P38" i="4" s="1"/>
  <c r="L37" i="4"/>
  <c r="K37" i="4"/>
  <c r="O37" i="4" s="1"/>
  <c r="P37" i="4" s="1"/>
  <c r="K46" i="4"/>
  <c r="O46" i="4" s="1"/>
  <c r="P46" i="4" s="1"/>
  <c r="L46" i="4"/>
  <c r="M46" i="4" s="1"/>
  <c r="L44" i="4"/>
  <c r="M44" i="4" s="1"/>
  <c r="K44" i="4"/>
  <c r="O44" i="4" s="1"/>
  <c r="P44" i="4" s="1"/>
  <c r="L36" i="4"/>
  <c r="K36" i="4"/>
  <c r="O36" i="4" s="1"/>
  <c r="P36" i="4" s="1"/>
  <c r="K52" i="4"/>
  <c r="O52" i="4" s="1"/>
  <c r="P52" i="4" s="1"/>
  <c r="L52" i="4"/>
  <c r="M52" i="4" s="1"/>
  <c r="L41" i="4"/>
  <c r="K41" i="4"/>
  <c r="O41" i="4" s="1"/>
  <c r="P41" i="4" s="1"/>
  <c r="L43" i="4"/>
  <c r="M43" i="4" s="1"/>
  <c r="K43" i="4"/>
  <c r="O43" i="4" s="1"/>
  <c r="P43" i="4" s="1"/>
  <c r="L54" i="4"/>
  <c r="M54" i="4" s="1"/>
  <c r="K54" i="4"/>
  <c r="O54" i="4" s="1"/>
  <c r="P54" i="4" s="1"/>
  <c r="L51" i="4"/>
  <c r="M51" i="4" s="1"/>
  <c r="K51" i="4"/>
  <c r="O51" i="4" s="1"/>
  <c r="P51" i="4" s="1"/>
  <c r="L53" i="4"/>
  <c r="M53" i="4" s="1"/>
  <c r="K53" i="4"/>
  <c r="O53" i="4" s="1"/>
  <c r="P53" i="4" s="1"/>
  <c r="L48" i="4"/>
  <c r="M48" i="4" s="1"/>
  <c r="K48" i="4"/>
  <c r="O48" i="4" s="1"/>
  <c r="P48" i="4" s="1"/>
  <c r="L39" i="4"/>
  <c r="M39" i="4" s="1"/>
  <c r="K39" i="4"/>
  <c r="O39" i="4" s="1"/>
  <c r="P39" i="4" s="1"/>
  <c r="L50" i="4"/>
  <c r="M50" i="4" s="1"/>
  <c r="K50" i="4"/>
  <c r="O50" i="4" s="1"/>
  <c r="P50" i="4" s="1"/>
  <c r="L35" i="4"/>
  <c r="M35" i="4" s="1"/>
  <c r="K35" i="4"/>
  <c r="O35" i="4" s="1"/>
  <c r="P35" i="4" s="1"/>
  <c r="L49" i="4"/>
  <c r="M49" i="4" s="1"/>
  <c r="K49" i="4"/>
  <c r="O49" i="4" s="1"/>
  <c r="P49" i="4" s="1"/>
  <c r="L33" i="4"/>
  <c r="K33" i="4"/>
  <c r="O33" i="4" s="1"/>
  <c r="P33" i="4" s="1"/>
  <c r="K30" i="4"/>
  <c r="O30" i="4" s="1"/>
  <c r="P30" i="4" s="1"/>
  <c r="L30" i="4"/>
  <c r="K42" i="4"/>
  <c r="O42" i="4" s="1"/>
  <c r="P42" i="4" s="1"/>
  <c r="K29" i="4" l="1"/>
  <c r="O29" i="4" s="1"/>
  <c r="P29" i="4" s="1"/>
  <c r="M32" i="4"/>
  <c r="M40" i="4"/>
  <c r="M34" i="4"/>
  <c r="M29" i="4"/>
  <c r="M41" i="4"/>
  <c r="M37" i="4"/>
  <c r="M42" i="4"/>
  <c r="M38" i="4"/>
  <c r="M30" i="4"/>
  <c r="M33" i="4"/>
  <c r="M36" i="4"/>
  <c r="K40" i="4"/>
  <c r="O40" i="4" s="1"/>
  <c r="P40" i="4" s="1"/>
  <c r="K32" i="4"/>
  <c r="O32" i="4" s="1"/>
  <c r="P32" i="4" s="1"/>
  <c r="L28" i="4"/>
  <c r="M28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<sst xmlns="http://schemas.openxmlformats.org/spreadsheetml/2006/main" count="109" uniqueCount="86">
  <si>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</si>
  <si>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</si>
  <si>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</si>
  <si>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</si>
  <si>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</si>
  <si>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</si>
  <si>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</si>
  <si>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</si>
  <si>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</si>
  <si>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</si>
  <si>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</si>
  <si>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</si>
  <si>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</si>
  <si>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</si>
  <si>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</si>
  <si>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</si>
  <si>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</si>
  <si>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</si>
  <si>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</si>
  <si>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</si>
  <si>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</si>
  <si>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</si>
  <si>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</si>
  <si>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</si>
  <si>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</si>
  <si>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</si>
  <si>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</si>
  <si>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</si>
  <si>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</si>
  <si>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</si>
  <si>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</si>
  <si>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</si>
  <si>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</si>
  <si>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</si>
  <si>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</si>
  <si>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</si>
  <si>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</si>
  <si>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</si>
  <si>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</si>
  <si>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</si>
  <si>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</si>
  <si>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</si>
  <si>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</si>
  <si>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</si>
  <si>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</si>
  <si>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</si>
  <si>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</si>
  <si>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</si>
  <si>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</si>
  <si>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</si>
  <si>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</si>
  <si>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</si>
  <si>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</si>
  <si>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</si>
  <si>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</si>
  <si>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</si>
  <si>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</si>
  <si>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</si>
  <si>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</si>
  <si>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</si>
  <si>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</si>
  <si>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</si>
  <si>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</si>
  <si>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</si>
  <si>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</si>
  <si>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</si>
  <si>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</si>
  <si>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</si>
  <si>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</si>
  <si>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</si>
  <si>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</si>
  <si>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</si>
  <si>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t>Drag down to enlarge list size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</si>
  <si>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</si>
  <si>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</si>
  <si>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8" type="noConversion"/>
  </si>
  <si>
    <t>cs-FBS</t>
    <phoneticPr fontId="18" type="noConversion"/>
  </si>
  <si>
    <t>HEK293T</t>
    <phoneticPr fontId="18" type="noConversion"/>
  </si>
  <si>
    <t>2.4 ng/cell</t>
    <phoneticPr fontId="18" type="noConversion"/>
  </si>
  <si>
    <t>ng</t>
    <phoneticPr fontId="18" type="noConversion"/>
  </si>
  <si>
    <t>g = ml</t>
    <phoneticPr fontId="18" type="noConversion"/>
  </si>
  <si>
    <t>cerebellar granule cell</t>
  </si>
  <si>
    <t>FBS</t>
    <phoneticPr fontId="18" type="noConversion"/>
  </si>
  <si>
    <t>umole</t>
    <phoneticPr fontId="18" type="noConversion"/>
  </si>
  <si>
    <t>umold</t>
    <phoneticPr fontId="18" type="noConversion"/>
  </si>
  <si>
    <t>HepG2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</si>
</sst>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00"/>
    <numFmt numFmtId="177" formatCode="0.000000000"/>
    <numFmt numFmtId="178" formatCode="0.00000000000"/>
    <numFmt numFmtId="179" formatCode="0.0%"/>
    <numFmt numFmtId="180" formatCode="0.00_);[Red]\(0.00\)"/>
    <numFmt numFmtId="181" formatCode="0.00000_);[Red]\(0.00000\)"/>
    <numFmt numFmtId="182" formatCode="0.000000_);[Red]\(0.000000\)"/>
    <numFmt numFmtId="183" formatCode="0.0E+00"/>
  </numFmts>
  <fonts count="24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rgb="FFFF0000"/>
      <name val="新細明體"/>
      <family val="2"/>
      <scheme val="minor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8E4BC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9" fillId="0" borderId="0"/>
  </cellStyleXfs>
  <cellXfs count="190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178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9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0" fontId="17" fillId="3" borderId="0" xfId="0" applyFont="1" applyFill="1"/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80" fontId="0" fillId="3" borderId="0" xfId="0" applyNumberFormat="1" applyFill="1"/>
    <xf numFmtId="2" fontId="20" fillId="8" borderId="28" xfId="0" applyNumberFormat="1" applyFont="1" applyFill="1" applyBorder="1" applyAlignment="1">
      <alignment horizontal="center"/>
    </xf>
    <xf numFmtId="181" fontId="0" fillId="3" borderId="0" xfId="0" applyNumberFormat="1" applyFill="1"/>
    <xf numFmtId="182" fontId="0" fillId="3" borderId="0" xfId="0" applyNumberFormat="1" applyFill="1"/>
    <xf numFmtId="182" fontId="21" fillId="3" borderId="0" xfId="0" applyNumberFormat="1" applyFont="1" applyFill="1"/>
    <xf numFmtId="0" fontId="4" fillId="9" borderId="7" xfId="0" applyFont="1" applyFill="1" applyBorder="1" applyAlignment="1" applyProtection="1">
      <alignment horizontal="left" vertical="center"/>
      <protection locked="0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2" fontId="4" fillId="9" borderId="7" xfId="0" applyNumberFormat="1" applyFont="1" applyFill="1" applyBorder="1" applyAlignment="1" applyProtection="1">
      <alignment horizontal="center" vertical="center"/>
      <protection locked="0"/>
    </xf>
    <xf numFmtId="11" fontId="4" fillId="9" borderId="7" xfId="0" applyNumberFormat="1" applyFont="1" applyFill="1" applyBorder="1" applyAlignment="1" applyProtection="1">
      <alignment horizontal="center" vertical="center"/>
      <protection locked="0"/>
    </xf>
    <xf numFmtId="2" fontId="1" fillId="9" borderId="7" xfId="0" applyNumberFormat="1" applyFont="1" applyFill="1" applyBorder="1" applyAlignment="1" applyProtection="1">
      <alignment horizontal="center" vertical="center"/>
      <protection locked="0"/>
    </xf>
    <xf numFmtId="11" fontId="1" fillId="9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3" fontId="20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L18" sqref="L18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5" t="s">
        <v>57</v>
      </c>
      <c r="C2" s="116"/>
      <c r="D2" s="116"/>
      <c r="E2" s="116"/>
      <c r="F2" s="116"/>
      <c r="G2" s="116"/>
      <c r="H2" s="117"/>
      <c r="I2" s="7"/>
      <c r="J2" s="106" t="s">
        <v>56</v>
      </c>
      <c r="K2" s="107"/>
      <c r="L2" s="107"/>
      <c r="M2" s="107"/>
      <c r="N2" s="107"/>
      <c r="O2" s="108"/>
      <c r="P2" s="7"/>
      <c r="Q2" s="106" t="s">
        <v>58</v>
      </c>
      <c r="R2" s="107"/>
      <c r="S2" s="107"/>
      <c r="T2" s="107"/>
      <c r="U2" s="107"/>
      <c r="V2" s="108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5" t="s">
        <v>0</v>
      </c>
      <c r="C3" s="26" t="s">
        <v>1</v>
      </c>
      <c r="D3" s="26"/>
      <c r="E3" s="26"/>
      <c r="F3" s="26"/>
      <c r="G3" s="26"/>
      <c r="H3" s="27"/>
      <c r="I3" s="7"/>
      <c r="J3" s="109"/>
      <c r="K3" s="110"/>
      <c r="L3" s="110"/>
      <c r="M3" s="110"/>
      <c r="N3" s="110"/>
      <c r="O3" s="111"/>
      <c r="P3" s="7"/>
      <c r="Q3" s="109"/>
      <c r="R3" s="110"/>
      <c r="S3" s="110"/>
      <c r="T3" s="110"/>
      <c r="U3" s="110"/>
      <c r="V3" s="111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8"/>
      <c r="C4" s="29" t="s">
        <v>2</v>
      </c>
      <c r="D4" s="30"/>
      <c r="E4" s="30"/>
      <c r="F4" s="30"/>
      <c r="G4" s="29"/>
      <c r="H4" s="31"/>
      <c r="I4" s="7"/>
      <c r="J4" s="112"/>
      <c r="K4" s="113"/>
      <c r="L4" s="113"/>
      <c r="M4" s="113"/>
      <c r="N4" s="113"/>
      <c r="O4" s="114"/>
      <c r="P4" s="7"/>
      <c r="Q4" s="112"/>
      <c r="R4" s="113"/>
      <c r="S4" s="113"/>
      <c r="T4" s="113"/>
      <c r="U4" s="113"/>
      <c r="V4" s="114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20"/>
      <c r="C5" s="1"/>
      <c r="D5" s="21"/>
      <c r="E5" s="21"/>
      <c r="F5" s="21"/>
      <c r="G5" s="1"/>
      <c r="H5" s="2"/>
      <c r="I5" s="7"/>
      <c r="J5" s="17"/>
      <c r="K5" s="18"/>
      <c r="L5" s="18"/>
      <c r="M5" s="18"/>
      <c r="N5" s="18"/>
      <c r="O5" s="19"/>
      <c r="P5" s="7"/>
      <c r="Q5" s="60"/>
      <c r="R5" s="61"/>
      <c r="S5" s="61"/>
      <c r="T5" s="61"/>
      <c r="U5" s="61"/>
      <c r="V5" s="62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2"/>
      <c r="C6" s="23"/>
      <c r="D6" s="23"/>
      <c r="E6" s="23"/>
      <c r="F6" s="23"/>
      <c r="G6" s="7"/>
      <c r="H6" s="15"/>
      <c r="I6" s="7"/>
      <c r="J6" s="12"/>
      <c r="K6" s="35" t="s">
        <v>21</v>
      </c>
      <c r="L6" s="36" t="s">
        <v>22</v>
      </c>
      <c r="M6" s="36" t="s">
        <v>25</v>
      </c>
      <c r="N6" s="14"/>
      <c r="O6" s="15"/>
      <c r="P6" s="7"/>
      <c r="Q6" s="13"/>
      <c r="R6" s="70"/>
      <c r="S6" s="81"/>
      <c r="T6" s="81"/>
      <c r="U6" s="3"/>
      <c r="V6" s="16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2"/>
      <c r="C7" s="7"/>
      <c r="D7" s="7"/>
      <c r="E7" s="7"/>
      <c r="F7" s="7"/>
      <c r="G7" s="7"/>
      <c r="H7" s="15"/>
      <c r="I7" s="7"/>
      <c r="J7" s="12"/>
      <c r="K7" s="84" t="s">
        <v>75</v>
      </c>
      <c r="L7" s="85">
        <v>0</v>
      </c>
      <c r="M7" s="86">
        <v>0</v>
      </c>
      <c r="N7" s="14"/>
      <c r="O7" s="15"/>
      <c r="P7" s="7"/>
      <c r="Q7" s="12"/>
      <c r="R7" s="14"/>
      <c r="S7" s="63"/>
      <c r="T7" s="64"/>
      <c r="U7" s="14"/>
      <c r="V7" s="15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2"/>
      <c r="C8" s="7"/>
      <c r="D8" s="7"/>
      <c r="E8" s="7"/>
      <c r="F8" s="7"/>
      <c r="G8" s="7"/>
      <c r="H8" s="15"/>
      <c r="I8" s="7"/>
      <c r="J8" s="12"/>
      <c r="K8" s="32" t="s">
        <v>23</v>
      </c>
      <c r="L8" s="33">
        <v>0</v>
      </c>
      <c r="M8" s="34">
        <v>0</v>
      </c>
      <c r="N8" s="14"/>
      <c r="O8" s="15"/>
      <c r="P8" s="7"/>
      <c r="Q8" s="13"/>
      <c r="R8" s="3"/>
      <c r="S8" s="79"/>
      <c r="T8" s="80"/>
      <c r="U8" s="3"/>
      <c r="V8" s="16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2"/>
      <c r="C9" s="7"/>
      <c r="D9" s="7"/>
      <c r="E9" s="7"/>
      <c r="F9" s="7"/>
      <c r="G9" s="7"/>
      <c r="H9" s="15"/>
      <c r="I9" s="7"/>
      <c r="J9" s="12"/>
      <c r="K9" s="32" t="s">
        <v>63</v>
      </c>
      <c r="L9" s="33">
        <v>0</v>
      </c>
      <c r="M9" s="34">
        <v>0</v>
      </c>
      <c r="N9" s="14"/>
      <c r="O9" s="15"/>
      <c r="P9" s="7"/>
      <c r="Q9" s="66"/>
      <c r="R9" s="1"/>
      <c r="S9" s="77"/>
      <c r="T9" s="78"/>
      <c r="U9" s="1"/>
      <c r="V9" s="68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2"/>
      <c r="C10" s="7"/>
      <c r="D10" s="7"/>
      <c r="E10" s="7"/>
      <c r="F10" s="7"/>
      <c r="G10" s="7"/>
      <c r="H10" s="15"/>
      <c r="I10" s="7"/>
      <c r="J10" s="12"/>
      <c r="K10" s="84" t="s">
        <v>16</v>
      </c>
      <c r="L10" s="85">
        <v>24</v>
      </c>
      <c r="M10" s="85">
        <v>1.9</v>
      </c>
      <c r="N10" s="14"/>
      <c r="O10" s="15"/>
      <c r="P10" s="7"/>
      <c r="Q10" s="13"/>
      <c r="R10" s="3"/>
      <c r="S10" s="79"/>
      <c r="T10" s="70"/>
      <c r="U10" s="3"/>
      <c r="V10" s="16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2"/>
      <c r="C11" s="7"/>
      <c r="D11" s="7"/>
      <c r="E11" s="7"/>
      <c r="F11" s="7"/>
      <c r="G11" s="7"/>
      <c r="H11" s="15"/>
      <c r="I11" s="7"/>
      <c r="J11" s="12"/>
      <c r="K11" s="32" t="s">
        <v>76</v>
      </c>
      <c r="L11" s="33">
        <v>46.77</v>
      </c>
      <c r="M11" s="33">
        <v>1.6</v>
      </c>
      <c r="N11" s="14"/>
      <c r="O11" s="15"/>
      <c r="P11" s="7"/>
      <c r="Q11" s="66"/>
      <c r="R11" s="1"/>
      <c r="S11" s="77"/>
      <c r="T11" s="77"/>
      <c r="U11" s="1"/>
      <c r="V11" s="68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2"/>
      <c r="C12" s="7"/>
      <c r="D12" s="7"/>
      <c r="E12" s="7"/>
      <c r="F12" s="7"/>
      <c r="G12" s="7"/>
      <c r="H12" s="15"/>
      <c r="I12" s="7"/>
      <c r="J12" s="12"/>
      <c r="K12" s="32" t="s">
        <v>24</v>
      </c>
      <c r="L12" s="33">
        <v>37.69</v>
      </c>
      <c r="M12" s="33">
        <v>1.46</v>
      </c>
      <c r="N12" s="14"/>
      <c r="O12" s="15"/>
      <c r="P12" s="7"/>
      <c r="Q12" s="12"/>
      <c r="R12" s="14"/>
      <c r="S12" s="63"/>
      <c r="T12" s="63"/>
      <c r="U12" s="14"/>
      <c r="V12" s="15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2"/>
      <c r="C13" s="7"/>
      <c r="D13" s="7"/>
      <c r="E13" s="7"/>
      <c r="F13" s="7"/>
      <c r="G13" s="7"/>
      <c r="H13" s="15"/>
      <c r="I13" s="7"/>
      <c r="J13" s="12"/>
      <c r="K13" s="14"/>
      <c r="L13" s="14"/>
      <c r="M13" s="14"/>
      <c r="N13" s="14"/>
      <c r="O13" s="15"/>
      <c r="P13" s="7"/>
      <c r="Q13" s="13"/>
      <c r="R13" s="3"/>
      <c r="S13" s="3"/>
      <c r="T13" s="3"/>
      <c r="U13" s="3"/>
      <c r="V13" s="16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2"/>
      <c r="C14" s="7"/>
      <c r="D14" s="7"/>
      <c r="E14" s="7"/>
      <c r="F14" s="7"/>
      <c r="G14" s="7"/>
      <c r="H14" s="15"/>
      <c r="I14" s="7"/>
      <c r="J14" s="12"/>
      <c r="K14" s="37" t="s">
        <v>29</v>
      </c>
      <c r="L14" s="36" t="s">
        <v>26</v>
      </c>
      <c r="M14" s="36" t="s">
        <v>27</v>
      </c>
      <c r="N14" s="36" t="s">
        <v>28</v>
      </c>
      <c r="O14" s="15"/>
      <c r="P14" s="7"/>
      <c r="Q14" s="73"/>
      <c r="R14" s="74"/>
      <c r="S14" s="75"/>
      <c r="T14" s="75"/>
      <c r="U14" s="75"/>
      <c r="V14" s="76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2"/>
      <c r="C15" s="7"/>
      <c r="D15" s="7"/>
      <c r="E15" s="7"/>
      <c r="F15" s="7"/>
      <c r="G15" s="7"/>
      <c r="H15" s="15"/>
      <c r="I15" s="7"/>
      <c r="J15" s="12" t="s">
        <v>81</v>
      </c>
      <c r="K15" s="32" t="s">
        <v>77</v>
      </c>
      <c r="L15" s="59">
        <f>M15/0.029*(0.018)</f>
        <v>4.619905956112852E-5</v>
      </c>
      <c r="M15" s="59">
        <v>7.4431818181818174E-5</v>
      </c>
      <c r="N15" s="59">
        <f>M15/0.029*(0.953)</f>
        <v>2.4459835423197487E-3</v>
      </c>
      <c r="O15" s="105">
        <f>SUM(L15:N15)</f>
        <v>2.5666144200626952E-3</v>
      </c>
      <c r="P15" s="9"/>
      <c r="Q15" s="66"/>
      <c r="R15" s="1"/>
      <c r="S15" s="71"/>
      <c r="T15" s="71"/>
      <c r="U15" s="71"/>
      <c r="V15" s="68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2"/>
      <c r="C16" s="7"/>
      <c r="D16" s="7"/>
      <c r="E16" s="7"/>
      <c r="F16" s="7"/>
      <c r="G16" s="7"/>
      <c r="H16" s="15"/>
      <c r="I16" s="7"/>
      <c r="J16" s="12"/>
      <c r="K16" s="32" t="s">
        <v>30</v>
      </c>
      <c r="L16" s="59">
        <v>2.5484800000000001E-3</v>
      </c>
      <c r="M16" s="59">
        <v>2.2915000000000001E-4</v>
      </c>
      <c r="N16" s="59">
        <v>9.6669999999999994E-5</v>
      </c>
      <c r="O16" s="105"/>
      <c r="P16" s="9"/>
      <c r="Q16" s="13"/>
      <c r="R16" s="3"/>
      <c r="S16" s="72"/>
      <c r="T16" s="72"/>
      <c r="U16" s="72"/>
      <c r="V16" s="16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2"/>
      <c r="C17" s="7"/>
      <c r="D17" s="7"/>
      <c r="E17" s="7"/>
      <c r="F17" s="7"/>
      <c r="G17" s="7"/>
      <c r="H17" s="15"/>
      <c r="I17" s="7"/>
      <c r="J17" s="12"/>
      <c r="K17" s="32" t="s">
        <v>85</v>
      </c>
      <c r="L17" s="83">
        <f>K28*0.8735</f>
        <v>2.9699000000000006E-3</v>
      </c>
      <c r="M17" s="83">
        <f>K28*0.0946</f>
        <v>3.2164000000000004E-4</v>
      </c>
      <c r="N17" s="83">
        <f>K28*0.0319</f>
        <v>1.0846E-4</v>
      </c>
      <c r="O17" s="105"/>
      <c r="P17" s="9"/>
      <c r="Q17" s="66"/>
      <c r="R17" s="1"/>
      <c r="S17" s="71"/>
      <c r="T17" s="71"/>
      <c r="U17" s="71"/>
      <c r="V17" s="68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2"/>
      <c r="C18" s="7"/>
      <c r="D18" s="7"/>
      <c r="E18" s="7"/>
      <c r="F18" s="7"/>
      <c r="G18" s="7"/>
      <c r="H18" s="15"/>
      <c r="I18" s="7"/>
      <c r="J18" s="12"/>
      <c r="K18" s="32" t="s">
        <v>31</v>
      </c>
      <c r="L18" s="59">
        <v>2.2457100000000002E-3</v>
      </c>
      <c r="M18" s="59">
        <v>3.0027E-4</v>
      </c>
      <c r="N18" s="59">
        <v>6.6229999999999994E-5</v>
      </c>
      <c r="O18" s="105"/>
      <c r="P18" s="9"/>
      <c r="Q18" s="12"/>
      <c r="R18" s="14"/>
      <c r="S18" s="65"/>
      <c r="T18" s="65"/>
      <c r="U18" s="65"/>
      <c r="V18" s="15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2"/>
      <c r="C19" s="7"/>
      <c r="D19" s="7"/>
      <c r="E19" s="7"/>
      <c r="F19" s="7"/>
      <c r="G19" s="7"/>
      <c r="H19" s="15"/>
      <c r="I19" s="7"/>
      <c r="J19" s="12"/>
      <c r="K19" s="32" t="s">
        <v>32</v>
      </c>
      <c r="L19" s="59">
        <v>3.2730300000000001E-3</v>
      </c>
      <c r="M19" s="59">
        <v>3.9889999999999999E-4</v>
      </c>
      <c r="N19" s="59">
        <v>1.0728E-4</v>
      </c>
      <c r="O19" s="105"/>
      <c r="P19" s="9"/>
      <c r="Q19" s="13"/>
      <c r="R19" s="3"/>
      <c r="S19" s="72"/>
      <c r="T19" s="72"/>
      <c r="U19" s="72"/>
      <c r="V19" s="16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2"/>
      <c r="C20" s="7"/>
      <c r="D20" s="7"/>
      <c r="E20" s="7"/>
      <c r="F20" s="7"/>
      <c r="G20" s="7"/>
      <c r="H20" s="15"/>
      <c r="I20" s="7"/>
      <c r="J20" s="13"/>
      <c r="K20" s="3"/>
      <c r="L20" s="3"/>
      <c r="M20" s="3"/>
      <c r="N20" s="3"/>
      <c r="O20" s="16"/>
      <c r="P20" s="7"/>
      <c r="Q20" s="66"/>
      <c r="R20" s="1"/>
      <c r="S20" s="1"/>
      <c r="T20" s="1"/>
      <c r="U20" s="1"/>
      <c r="V20" s="68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2"/>
      <c r="C21" s="7"/>
      <c r="D21" s="7"/>
      <c r="E21" s="7"/>
      <c r="F21" s="7"/>
      <c r="G21" s="7"/>
      <c r="H21" s="15"/>
      <c r="I21" s="7"/>
      <c r="J21" s="7"/>
      <c r="K21" s="7"/>
      <c r="L21" s="7"/>
      <c r="M21" s="7"/>
      <c r="N21" s="7"/>
      <c r="O21" s="7"/>
      <c r="P21" s="7"/>
      <c r="Q21" s="12"/>
      <c r="R21" s="7"/>
      <c r="S21" s="7"/>
      <c r="T21" s="7"/>
      <c r="U21" s="7"/>
      <c r="V21" s="15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2"/>
      <c r="C22" s="7"/>
      <c r="D22" s="7"/>
      <c r="E22" s="7"/>
      <c r="F22" s="7"/>
      <c r="G22" s="7"/>
      <c r="H22" s="15"/>
      <c r="I22" s="7"/>
      <c r="J22" s="7"/>
      <c r="K22" s="7"/>
      <c r="L22" s="7">
        <f>K28*1000000</f>
        <v>3400.0000000000005</v>
      </c>
      <c r="M22" s="7"/>
      <c r="N22" s="7"/>
      <c r="O22" s="7"/>
      <c r="P22" s="7"/>
      <c r="Q22" s="13"/>
      <c r="R22" s="24"/>
      <c r="S22" s="24"/>
      <c r="T22" s="24"/>
      <c r="U22" s="24"/>
      <c r="V22" s="16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2"/>
      <c r="C23" s="7"/>
      <c r="D23" s="7"/>
      <c r="E23" s="7"/>
      <c r="F23" s="7"/>
      <c r="G23" s="7"/>
      <c r="H23" s="15"/>
      <c r="I23" s="7"/>
      <c r="J23" s="7"/>
      <c r="K23" s="7"/>
      <c r="L23" s="87"/>
      <c r="M23" s="88"/>
      <c r="N23" s="87"/>
      <c r="O23" s="87"/>
      <c r="P23" s="7"/>
      <c r="Q23" s="66"/>
      <c r="R23" s="67"/>
      <c r="S23" s="67"/>
      <c r="T23" s="67"/>
      <c r="U23" s="67"/>
      <c r="V23" s="68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3"/>
      <c r="C24" s="24"/>
      <c r="D24" s="24"/>
      <c r="E24" s="24"/>
      <c r="F24" s="24"/>
      <c r="G24" s="24"/>
      <c r="H24" s="16"/>
      <c r="I24" s="7"/>
      <c r="J24" s="7"/>
      <c r="K24" s="7"/>
      <c r="L24" s="91"/>
      <c r="M24" s="91"/>
      <c r="N24" s="91"/>
      <c r="O24" s="89"/>
      <c r="P24" s="7"/>
      <c r="Q24" s="12"/>
      <c r="R24" s="7"/>
      <c r="S24" s="7"/>
      <c r="T24" s="7"/>
      <c r="U24" s="7"/>
      <c r="V24" s="15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90"/>
      <c r="P25" s="7"/>
      <c r="Q25" s="13"/>
      <c r="R25" s="24"/>
      <c r="S25" s="24"/>
      <c r="T25" s="24"/>
      <c r="U25" s="24"/>
      <c r="V25" s="16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 t="s">
        <v>78</v>
      </c>
      <c r="L26" s="7"/>
      <c r="M26" s="7"/>
      <c r="N26" s="7"/>
      <c r="O26" s="7"/>
      <c r="P26" s="7"/>
      <c r="Q26" s="66"/>
      <c r="R26" s="67"/>
      <c r="S26" s="67"/>
      <c r="T26" s="67"/>
      <c r="U26" s="67"/>
      <c r="V26" s="68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>
        <f>3.4*1000000</f>
        <v>3400000</v>
      </c>
      <c r="L27" s="7" t="s">
        <v>79</v>
      </c>
      <c r="M27" s="7"/>
      <c r="N27" s="7"/>
      <c r="O27" s="7"/>
      <c r="P27" s="7"/>
      <c r="Q27" s="13"/>
      <c r="R27" s="24"/>
      <c r="S27" s="24"/>
      <c r="T27" s="24"/>
      <c r="U27" s="24"/>
      <c r="V27" s="16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>
        <f>K27*0.000000001</f>
        <v>3.4000000000000002E-3</v>
      </c>
      <c r="L28" s="7" t="s">
        <v>80</v>
      </c>
      <c r="M28" s="7"/>
      <c r="N28" s="7"/>
      <c r="O28" s="7"/>
      <c r="P28" s="7"/>
      <c r="Q28" s="66"/>
      <c r="R28" s="69"/>
      <c r="S28" s="67"/>
      <c r="T28" s="67"/>
      <c r="U28" s="67"/>
      <c r="V28" s="68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2"/>
      <c r="R29" s="7"/>
      <c r="T29" s="7"/>
      <c r="U29" s="7"/>
      <c r="V29" s="15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2"/>
      <c r="R30" s="7"/>
      <c r="S30" s="7"/>
      <c r="T30" s="7"/>
      <c r="U30" s="7"/>
      <c r="V30" s="15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3"/>
      <c r="R31" s="24"/>
      <c r="S31" s="24"/>
      <c r="T31" s="24"/>
      <c r="U31" s="24"/>
      <c r="V31" s="16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M32" s="7"/>
      <c r="N32" s="7"/>
      <c r="O32" s="7"/>
      <c r="P32" s="7"/>
      <c r="Q32" s="66"/>
      <c r="R32" s="67"/>
      <c r="S32" s="69"/>
      <c r="T32" s="67"/>
      <c r="U32" s="67"/>
      <c r="V32" s="68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N33" s="7"/>
      <c r="O33" s="7"/>
      <c r="Q33" s="12"/>
      <c r="S33" s="7"/>
      <c r="T33" s="7"/>
      <c r="U33" s="7"/>
      <c r="V33" s="15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2"/>
      <c r="R34" s="7"/>
      <c r="S34" s="7"/>
      <c r="U34" s="7"/>
      <c r="V34" s="15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104"/>
      <c r="M35" s="7"/>
      <c r="N35" s="7"/>
      <c r="O35" s="7"/>
      <c r="P35" s="7"/>
      <c r="Q35" s="13"/>
      <c r="R35" s="24"/>
      <c r="S35" s="70"/>
      <c r="T35" s="24"/>
      <c r="U35" s="24"/>
      <c r="V35" s="16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N36" s="7"/>
      <c r="P36" s="7"/>
      <c r="Q36" s="66"/>
      <c r="R36" s="67"/>
      <c r="S36" s="67"/>
      <c r="T36" s="67"/>
      <c r="U36" s="67"/>
      <c r="V36" s="68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2"/>
      <c r="S37" s="7"/>
      <c r="T37" s="7"/>
      <c r="U37" s="7"/>
      <c r="V37" s="15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2"/>
      <c r="R38" s="7"/>
      <c r="S38" s="7"/>
      <c r="T38" s="7"/>
      <c r="U38" s="7"/>
      <c r="V38" s="15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3"/>
      <c r="R39" s="24"/>
      <c r="S39" s="24"/>
      <c r="T39" s="24"/>
      <c r="U39" s="24"/>
      <c r="V39" s="16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6"/>
      <c r="R40" s="67"/>
      <c r="S40" s="67"/>
      <c r="T40" s="67"/>
      <c r="U40" s="67"/>
      <c r="V40" s="68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2"/>
      <c r="R41" s="7"/>
      <c r="S41" s="7"/>
      <c r="T41" s="7"/>
      <c r="U41" s="7"/>
      <c r="V41" s="15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3"/>
      <c r="R42" s="24"/>
      <c r="S42" s="24"/>
      <c r="T42" s="24"/>
      <c r="U42" s="24"/>
      <c r="V42" s="16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6"/>
      <c r="R43" s="67"/>
      <c r="S43" s="67"/>
      <c r="T43" s="67"/>
      <c r="U43" s="67"/>
      <c r="V43" s="68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2"/>
      <c r="R44" s="7"/>
      <c r="S44" s="7"/>
      <c r="T44" s="7"/>
      <c r="U44" s="7"/>
      <c r="V44" s="15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2"/>
      <c r="R45" s="7"/>
      <c r="S45" s="7"/>
      <c r="T45" s="7"/>
      <c r="U45" s="7"/>
      <c r="V45" s="15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3"/>
      <c r="R46" s="24"/>
      <c r="S46" s="24"/>
      <c r="T46" s="24"/>
      <c r="U46" s="24"/>
      <c r="V46" s="16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8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F7" zoomScale="90" zoomScaleNormal="90" workbookViewId="0">
      <selection activeCell="R29" sqref="R29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73"/>
      <c r="H1" s="173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73"/>
      <c r="H2" s="173"/>
      <c r="I2" s="118" t="s">
        <v>19</v>
      </c>
      <c r="J2" s="119"/>
      <c r="K2" s="119"/>
      <c r="L2" s="119"/>
      <c r="M2" s="119"/>
      <c r="N2" s="119"/>
      <c r="O2" s="119"/>
      <c r="P2" s="119"/>
      <c r="Q2" s="120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73"/>
      <c r="H3" s="173"/>
      <c r="I3" s="121"/>
      <c r="J3" s="122"/>
      <c r="K3" s="122"/>
      <c r="L3" s="122"/>
      <c r="M3" s="122"/>
      <c r="N3" s="122"/>
      <c r="O3" s="122"/>
      <c r="P3" s="122"/>
      <c r="Q3" s="123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73"/>
      <c r="H4" s="173"/>
      <c r="I4" s="124"/>
      <c r="J4" s="125"/>
      <c r="K4" s="125"/>
      <c r="L4" s="125"/>
      <c r="M4" s="125"/>
      <c r="N4" s="125"/>
      <c r="O4" s="125"/>
      <c r="P4" s="125"/>
      <c r="Q4" s="126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73"/>
      <c r="H5" s="173"/>
      <c r="I5" s="127" t="s">
        <v>38</v>
      </c>
      <c r="J5" s="128"/>
      <c r="K5" s="128"/>
      <c r="L5" s="128"/>
      <c r="M5" s="128"/>
      <c r="N5" s="128"/>
      <c r="O5" s="128"/>
      <c r="P5" s="128"/>
      <c r="Q5" s="129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73"/>
      <c r="H6" s="173"/>
      <c r="I6" s="50" t="s">
        <v>49</v>
      </c>
      <c r="J6" s="50" t="s">
        <v>50</v>
      </c>
      <c r="K6" s="50" t="s">
        <v>46</v>
      </c>
      <c r="L6" s="170" t="s">
        <v>39</v>
      </c>
      <c r="M6" s="171"/>
      <c r="N6" s="171"/>
      <c r="O6" s="171"/>
      <c r="P6" s="171"/>
      <c r="Q6" s="172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73"/>
      <c r="H7" s="173"/>
      <c r="I7" s="51" t="s">
        <v>20</v>
      </c>
      <c r="J7" s="38">
        <f>SUM(J13,J19)</f>
        <v>2000.85</v>
      </c>
      <c r="K7" s="39">
        <f>J7/J7</f>
        <v>1</v>
      </c>
      <c r="L7" s="164" t="s">
        <v>68</v>
      </c>
      <c r="M7" s="165"/>
      <c r="N7" s="165"/>
      <c r="O7" s="165"/>
      <c r="P7" s="165"/>
      <c r="Q7" s="166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45" t="s">
        <v>3</v>
      </c>
      <c r="C8" s="146"/>
      <c r="D8" s="146"/>
      <c r="E8" s="146"/>
      <c r="F8" s="147"/>
      <c r="G8" s="173"/>
      <c r="H8" s="173"/>
      <c r="I8" s="52" t="s">
        <v>6</v>
      </c>
      <c r="J8" s="38">
        <f>SUM(J14,J20)</f>
        <v>1999.706475</v>
      </c>
      <c r="K8" s="40">
        <f>J8/J7</f>
        <v>0.99942848039583176</v>
      </c>
      <c r="L8" s="164" t="s">
        <v>69</v>
      </c>
      <c r="M8" s="165"/>
      <c r="N8" s="165"/>
      <c r="O8" s="165"/>
      <c r="P8" s="165"/>
      <c r="Q8" s="166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48"/>
      <c r="C9" s="149"/>
      <c r="D9" s="149"/>
      <c r="E9" s="149"/>
      <c r="F9" s="150"/>
      <c r="G9" s="173"/>
      <c r="H9" s="173"/>
      <c r="I9" s="51" t="s">
        <v>8</v>
      </c>
      <c r="J9" s="41">
        <f t="shared" ref="J9:J10" si="0">SUM(J15,J21)</f>
        <v>1.0404100000000001</v>
      </c>
      <c r="K9" s="40">
        <f>J9/J7</f>
        <v>5.199840067971113E-4</v>
      </c>
      <c r="L9" s="164" t="s">
        <v>69</v>
      </c>
      <c r="M9" s="165"/>
      <c r="N9" s="165"/>
      <c r="O9" s="165"/>
      <c r="P9" s="165"/>
      <c r="Q9" s="166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51"/>
      <c r="C10" s="152"/>
      <c r="D10" s="152"/>
      <c r="E10" s="152"/>
      <c r="F10" s="153"/>
      <c r="G10" s="173"/>
      <c r="H10" s="173"/>
      <c r="I10" s="52" t="s">
        <v>9</v>
      </c>
      <c r="J10" s="41">
        <f t="shared" si="0"/>
        <v>0.103115</v>
      </c>
      <c r="K10" s="40">
        <f>J10/J7</f>
        <v>5.1535597371117274E-5</v>
      </c>
      <c r="L10" s="164" t="s">
        <v>69</v>
      </c>
      <c r="M10" s="165"/>
      <c r="N10" s="165"/>
      <c r="O10" s="165"/>
      <c r="P10" s="165"/>
      <c r="Q10" s="166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54" t="s">
        <v>36</v>
      </c>
      <c r="C11" s="155"/>
      <c r="D11" s="155"/>
      <c r="E11" s="155"/>
      <c r="F11" s="156"/>
      <c r="G11" s="173"/>
      <c r="H11" s="173"/>
      <c r="I11" s="189"/>
      <c r="J11" s="189"/>
      <c r="K11" s="189"/>
      <c r="L11" s="189"/>
      <c r="M11" s="189"/>
      <c r="N11" s="189"/>
      <c r="O11" s="189"/>
      <c r="P11" s="189"/>
      <c r="Q11" s="189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57"/>
      <c r="C12" s="158"/>
      <c r="D12" s="158"/>
      <c r="E12" s="158"/>
      <c r="F12" s="159"/>
      <c r="G12" s="173"/>
      <c r="H12" s="173"/>
      <c r="I12" s="50" t="s">
        <v>51</v>
      </c>
      <c r="J12" s="50" t="s">
        <v>50</v>
      </c>
      <c r="K12" s="50" t="s">
        <v>46</v>
      </c>
      <c r="L12" s="170" t="s">
        <v>39</v>
      </c>
      <c r="M12" s="171"/>
      <c r="N12" s="171"/>
      <c r="O12" s="171"/>
      <c r="P12" s="171"/>
      <c r="Q12" s="172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43" t="s">
        <v>4</v>
      </c>
      <c r="C13" s="144"/>
      <c r="D13" s="133" t="s">
        <v>39</v>
      </c>
      <c r="E13" s="133"/>
      <c r="F13" s="133"/>
      <c r="G13" s="173"/>
      <c r="H13" s="173"/>
      <c r="I13" s="51" t="s">
        <v>5</v>
      </c>
      <c r="J13" s="42">
        <f>SUM(J14:J16)</f>
        <v>2000</v>
      </c>
      <c r="K13" s="39">
        <f>J13/J13</f>
        <v>1</v>
      </c>
      <c r="L13" s="164" t="s">
        <v>71</v>
      </c>
      <c r="M13" s="165"/>
      <c r="N13" s="165"/>
      <c r="O13" s="165"/>
      <c r="P13" s="165"/>
      <c r="Q13" s="166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4">
        <v>2000</v>
      </c>
      <c r="D14" s="134" t="s">
        <v>17</v>
      </c>
      <c r="E14" s="134"/>
      <c r="F14" s="134"/>
      <c r="G14" s="173"/>
      <c r="H14" s="173"/>
      <c r="I14" s="52" t="s">
        <v>43</v>
      </c>
      <c r="J14" s="42">
        <f>C14-SUM(J15:J16)</f>
        <v>1998.9639999999999</v>
      </c>
      <c r="K14" s="40">
        <f>J14/J13</f>
        <v>0.99948199999999998</v>
      </c>
      <c r="L14" s="167" t="s">
        <v>70</v>
      </c>
      <c r="M14" s="168"/>
      <c r="N14" s="168"/>
      <c r="O14" s="168"/>
      <c r="P14" s="168"/>
      <c r="Q14" s="169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4" t="s">
        <v>13</v>
      </c>
      <c r="D15" s="135" t="s">
        <v>60</v>
      </c>
      <c r="E15" s="135"/>
      <c r="F15" s="135"/>
      <c r="G15" s="173"/>
      <c r="H15" s="173"/>
      <c r="I15" s="51" t="s">
        <v>44</v>
      </c>
      <c r="J15" s="43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0.96</v>
      </c>
      <c r="K15" s="40">
        <f>J15/J13</f>
        <v>4.7999999999999996E-4</v>
      </c>
      <c r="L15" s="164" t="s">
        <v>69</v>
      </c>
      <c r="M15" s="165"/>
      <c r="N15" s="165"/>
      <c r="O15" s="165"/>
      <c r="P15" s="165"/>
      <c r="Q15" s="166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5">
        <v>0.98</v>
      </c>
      <c r="D16" s="136" t="s">
        <v>40</v>
      </c>
      <c r="E16" s="137"/>
      <c r="F16" s="138"/>
      <c r="G16" s="173"/>
      <c r="H16" s="173"/>
      <c r="I16" s="52" t="s">
        <v>45</v>
      </c>
      <c r="J16" s="43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7.5999999999999998E-2</v>
      </c>
      <c r="K16" s="40">
        <f>J16/J13</f>
        <v>3.8000000000000002E-5</v>
      </c>
      <c r="L16" s="164" t="s">
        <v>69</v>
      </c>
      <c r="M16" s="165"/>
      <c r="N16" s="165"/>
      <c r="O16" s="165"/>
      <c r="P16" s="165"/>
      <c r="Q16" s="166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4" t="s">
        <v>82</v>
      </c>
      <c r="D17" s="139" t="s">
        <v>61</v>
      </c>
      <c r="E17" s="140"/>
      <c r="F17" s="141"/>
      <c r="G17" s="173"/>
      <c r="H17" s="173"/>
      <c r="I17" s="167"/>
      <c r="J17" s="168"/>
      <c r="K17" s="168"/>
      <c r="L17" s="168"/>
      <c r="M17" s="168"/>
      <c r="N17" s="168"/>
      <c r="O17" s="168"/>
      <c r="P17" s="168"/>
      <c r="Q17" s="169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5">
        <v>0.02</v>
      </c>
      <c r="D18" s="136" t="s">
        <v>41</v>
      </c>
      <c r="E18" s="137"/>
      <c r="F18" s="138"/>
      <c r="G18" s="173"/>
      <c r="H18" s="173"/>
      <c r="I18" s="50" t="s">
        <v>29</v>
      </c>
      <c r="J18" s="50" t="s">
        <v>50</v>
      </c>
      <c r="K18" s="50" t="s">
        <v>46</v>
      </c>
      <c r="L18" s="170" t="s">
        <v>39</v>
      </c>
      <c r="M18" s="171"/>
      <c r="N18" s="171"/>
      <c r="O18" s="171"/>
      <c r="P18" s="171"/>
      <c r="Q18" s="172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35"/>
      <c r="C19" s="135"/>
      <c r="D19" s="135"/>
      <c r="E19" s="135"/>
      <c r="F19" s="135"/>
      <c r="G19" s="173"/>
      <c r="H19" s="173"/>
      <c r="I19" s="51" t="s">
        <v>5</v>
      </c>
      <c r="J19" s="42">
        <f>SUM(J20:J22)</f>
        <v>0.85000000000000009</v>
      </c>
      <c r="K19" s="39">
        <f>J19/J19</f>
        <v>1</v>
      </c>
      <c r="L19" s="164" t="s">
        <v>55</v>
      </c>
      <c r="M19" s="165"/>
      <c r="N19" s="165"/>
      <c r="O19" s="165"/>
      <c r="P19" s="165"/>
      <c r="Q19" s="166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43" t="s">
        <v>7</v>
      </c>
      <c r="C20" s="144"/>
      <c r="D20" s="133" t="s">
        <v>39</v>
      </c>
      <c r="E20" s="133"/>
      <c r="F20" s="133"/>
      <c r="G20" s="173"/>
      <c r="H20" s="173"/>
      <c r="I20" s="52" t="s">
        <v>43</v>
      </c>
      <c r="J20" s="43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0.74247500000000011</v>
      </c>
      <c r="K20" s="40">
        <f>J20/J19</f>
        <v>0.87350000000000005</v>
      </c>
      <c r="L20" s="164" t="s">
        <v>69</v>
      </c>
      <c r="M20" s="165"/>
      <c r="N20" s="165"/>
      <c r="O20" s="165"/>
      <c r="P20" s="165"/>
      <c r="Q20" s="166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4" t="s">
        <v>85</v>
      </c>
      <c r="D21" s="139" t="s">
        <v>61</v>
      </c>
      <c r="E21" s="140"/>
      <c r="F21" s="141"/>
      <c r="G21" s="173"/>
      <c r="H21" s="173"/>
      <c r="I21" s="51" t="s">
        <v>44</v>
      </c>
      <c r="J21" s="43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8.0410000000000009E-2</v>
      </c>
      <c r="K21" s="40">
        <f>J21/J19</f>
        <v>9.4600000000000004E-2</v>
      </c>
      <c r="L21" s="164" t="s">
        <v>69</v>
      </c>
      <c r="M21" s="165"/>
      <c r="N21" s="165"/>
      <c r="O21" s="165"/>
      <c r="P21" s="165"/>
      <c r="Q21" s="166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6">
        <v>250000</v>
      </c>
      <c r="D22" s="142" t="s">
        <v>67</v>
      </c>
      <c r="E22" s="142"/>
      <c r="F22" s="142"/>
      <c r="G22" s="173"/>
      <c r="H22" s="173"/>
      <c r="I22" s="53" t="s">
        <v>45</v>
      </c>
      <c r="J22" s="54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2.7115E-2</v>
      </c>
      <c r="K22" s="40">
        <f>J22/J19</f>
        <v>3.1899999999999998E-2</v>
      </c>
      <c r="L22" s="164" t="s">
        <v>69</v>
      </c>
      <c r="M22" s="165"/>
      <c r="N22" s="165"/>
      <c r="O22" s="165"/>
      <c r="P22" s="165"/>
      <c r="Q22" s="166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30"/>
      <c r="C23" s="131"/>
      <c r="D23" s="131"/>
      <c r="E23" s="131"/>
      <c r="F23" s="132"/>
      <c r="G23" s="173"/>
      <c r="H23" s="173"/>
      <c r="I23" s="184"/>
      <c r="J23" s="185"/>
      <c r="K23" s="185"/>
      <c r="L23" s="185"/>
      <c r="M23" s="185"/>
      <c r="N23" s="185"/>
      <c r="O23" s="185"/>
      <c r="P23" s="185"/>
      <c r="Q23" s="186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54" t="s">
        <v>37</v>
      </c>
      <c r="C24" s="155"/>
      <c r="D24" s="155"/>
      <c r="E24" s="155"/>
      <c r="F24" s="156"/>
      <c r="G24" s="173"/>
      <c r="H24" s="173"/>
      <c r="I24" s="178" t="s">
        <v>42</v>
      </c>
      <c r="J24" s="179"/>
      <c r="K24" s="179"/>
      <c r="L24" s="179"/>
      <c r="M24" s="179"/>
      <c r="N24" s="179"/>
      <c r="O24" s="179"/>
      <c r="P24" s="179"/>
      <c r="Q24" s="180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57"/>
      <c r="C25" s="158"/>
      <c r="D25" s="158"/>
      <c r="E25" s="158"/>
      <c r="F25" s="159"/>
      <c r="G25" s="173"/>
      <c r="H25" s="173"/>
      <c r="I25" s="181"/>
      <c r="J25" s="182"/>
      <c r="K25" s="182"/>
      <c r="L25" s="182"/>
      <c r="M25" s="182"/>
      <c r="N25" s="182"/>
      <c r="O25" s="182"/>
      <c r="P25" s="182"/>
      <c r="Q25" s="183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76" t="s">
        <v>11</v>
      </c>
      <c r="C26" s="176" t="s">
        <v>12</v>
      </c>
      <c r="D26" s="160" t="s">
        <v>47</v>
      </c>
      <c r="E26" s="160" t="s">
        <v>48</v>
      </c>
      <c r="F26" s="162" t="s">
        <v>66</v>
      </c>
      <c r="G26" s="173"/>
      <c r="H26" s="173"/>
      <c r="I26" s="187" t="s">
        <v>53</v>
      </c>
      <c r="J26" s="187" t="s">
        <v>54</v>
      </c>
      <c r="K26" s="174" t="s">
        <v>74</v>
      </c>
      <c r="L26" s="174" t="s">
        <v>52</v>
      </c>
      <c r="M26" s="174" t="s">
        <v>59</v>
      </c>
      <c r="N26" s="174" t="s">
        <v>62</v>
      </c>
      <c r="O26" s="174" t="s">
        <v>73</v>
      </c>
      <c r="P26" s="174" t="s">
        <v>64</v>
      </c>
      <c r="Q26" s="174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77"/>
      <c r="C27" s="177"/>
      <c r="D27" s="161"/>
      <c r="E27" s="161"/>
      <c r="F27" s="163"/>
      <c r="G27" s="173"/>
      <c r="H27" s="173"/>
      <c r="I27" s="188"/>
      <c r="J27" s="188"/>
      <c r="K27" s="175"/>
      <c r="L27" s="175"/>
      <c r="M27" s="175"/>
      <c r="N27" s="175"/>
      <c r="O27" s="175"/>
      <c r="P27" s="175"/>
      <c r="Q27" s="175"/>
      <c r="R27" s="7" t="s">
        <v>84</v>
      </c>
      <c r="S27" s="7" t="s">
        <v>83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93"/>
      <c r="B28" s="47"/>
      <c r="C28" s="47"/>
      <c r="D28" s="48">
        <v>2.8380318246143235</v>
      </c>
      <c r="E28" s="48">
        <v>3.5597354124795313</v>
      </c>
      <c r="F28" s="103">
        <v>1.5E-6</v>
      </c>
      <c r="G28" s="173"/>
      <c r="H28" s="173"/>
      <c r="I28" s="99">
        <f t="shared" ref="I28:I47" si="1">IF(D28=0,"",LOG($K$15*10^D28+$K$16*10^E28+$K$14))</f>
        <v>0.16670977104284682</v>
      </c>
      <c r="J28" s="99">
        <f t="shared" ref="J28:J47" si="2">IF(D28=0,"",LOG($K$21*10^D28+$K$22*10^E28+$K$20))</f>
        <v>2.259536875659184</v>
      </c>
      <c r="K28" s="100">
        <f t="shared" ref="K28:K47" si="3">IF(D28=0,"",1/(1+10^D28*$J$15/$J$14+10^E28*$J$16/$J$14+10^J28*$J$19/$J$14))</f>
        <v>0.64683026107510377</v>
      </c>
      <c r="L28" s="100">
        <f t="shared" ref="L28:L47" si="4">IF(D28=0,"",1/(1+10^I28/10^J28*$J$13/$J$19))</f>
        <v>4.9996679067413508E-2</v>
      </c>
      <c r="M28" s="100">
        <f t="shared" ref="M28:M47" si="5">IF(D28=0,"",1-L28)</f>
        <v>0.95000332093258644</v>
      </c>
      <c r="N28" s="100">
        <f t="shared" ref="N28:N47" si="6">IF(D28=0,"",1/(1/10^E28*$J$20/$J$22+10^D28/10^E28*$J$21/$J$22+10^I28/10^E28*$J$13/$J$22+1))</f>
        <v>3.1836871021025615E-2</v>
      </c>
      <c r="O28" s="41">
        <f t="shared" ref="O28:O47" si="7">IF(D28=0,"",F28*K28*$J$7/$J$14)</f>
        <v>9.7116080720222185E-7</v>
      </c>
      <c r="P28" s="41">
        <f t="shared" ref="P28:P47" si="8">IF(D28=0,"",O28*10^J28)</f>
        <v>1.7653386231535471E-4</v>
      </c>
      <c r="Q28" s="41">
        <f t="shared" ref="Q28:Q47" si="9">IF(D28=0,"",F28*N28*$J$7/$J$22)</f>
        <v>3.5239242144063676E-3</v>
      </c>
      <c r="R28" s="9">
        <f>F28*0.002*1000000</f>
        <v>3.0000000000000001E-3</v>
      </c>
      <c r="S28" s="11">
        <f>R28*L28</f>
        <v>1.4999003720224052E-4</v>
      </c>
      <c r="T28" s="9">
        <f>R28*M28</f>
        <v>2.8500099627977592E-3</v>
      </c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93"/>
      <c r="B29" s="47"/>
      <c r="C29" s="47"/>
      <c r="D29" s="48">
        <v>2.8380318246143235</v>
      </c>
      <c r="E29" s="48">
        <v>3.5597354124795313</v>
      </c>
      <c r="F29" s="103">
        <v>1.5E-5</v>
      </c>
      <c r="G29" s="173"/>
      <c r="H29" s="173"/>
      <c r="I29" s="99">
        <f t="shared" si="1"/>
        <v>0.16670977104284682</v>
      </c>
      <c r="J29" s="99">
        <f t="shared" si="2"/>
        <v>2.259536875659184</v>
      </c>
      <c r="K29" s="100">
        <f t="shared" si="3"/>
        <v>0.64683026107510377</v>
      </c>
      <c r="L29" s="100">
        <f t="shared" si="4"/>
        <v>4.9996679067413508E-2</v>
      </c>
      <c r="M29" s="100">
        <f t="shared" si="5"/>
        <v>0.95000332093258644</v>
      </c>
      <c r="N29" s="100">
        <f t="shared" si="6"/>
        <v>3.1836871021025615E-2</v>
      </c>
      <c r="O29" s="41">
        <f t="shared" si="7"/>
        <v>9.7116080720222176E-6</v>
      </c>
      <c r="P29" s="41">
        <f t="shared" si="8"/>
        <v>1.765338623153547E-3</v>
      </c>
      <c r="Q29" s="41">
        <f t="shared" si="9"/>
        <v>3.5239242144063675E-2</v>
      </c>
      <c r="R29" s="9">
        <f>F29*0.002*1000000</f>
        <v>3.0000000000000002E-2</v>
      </c>
      <c r="S29" s="11">
        <f>R29*L29</f>
        <v>1.4999003720224053E-3</v>
      </c>
      <c r="T29" s="9">
        <f>R29*M29</f>
        <v>2.8500099627977594E-2</v>
      </c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94"/>
      <c r="B30" s="47"/>
      <c r="C30" s="47"/>
      <c r="D30" s="95"/>
      <c r="E30" s="95"/>
      <c r="F30" s="103"/>
      <c r="G30" s="173"/>
      <c r="H30" s="173"/>
      <c r="I30" s="99" t="str">
        <f t="shared" si="1"/>
        <v/>
      </c>
      <c r="J30" s="99" t="str">
        <f t="shared" si="2"/>
        <v/>
      </c>
      <c r="K30" s="100" t="str">
        <f t="shared" si="3"/>
        <v/>
      </c>
      <c r="L30" s="100" t="str">
        <f t="shared" si="4"/>
        <v/>
      </c>
      <c r="M30" s="100" t="str">
        <f t="shared" si="5"/>
        <v/>
      </c>
      <c r="N30" s="100" t="str">
        <f t="shared" si="6"/>
        <v/>
      </c>
      <c r="O30" s="41" t="str">
        <f t="shared" si="7"/>
        <v/>
      </c>
      <c r="P30" s="41" t="str">
        <f t="shared" si="8"/>
        <v/>
      </c>
      <c r="Q30" s="41" t="str">
        <f t="shared" si="9"/>
        <v/>
      </c>
      <c r="R30" s="9"/>
      <c r="S30" s="11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94"/>
      <c r="B31" s="47"/>
      <c r="C31" s="47"/>
      <c r="D31" s="48"/>
      <c r="E31" s="48"/>
      <c r="F31" s="98"/>
      <c r="G31" s="173"/>
      <c r="H31" s="173"/>
      <c r="I31" s="99" t="str">
        <f t="shared" si="1"/>
        <v/>
      </c>
      <c r="J31" s="99" t="str">
        <f t="shared" si="2"/>
        <v/>
      </c>
      <c r="K31" s="100" t="str">
        <f t="shared" si="3"/>
        <v/>
      </c>
      <c r="L31" s="100" t="str">
        <f t="shared" si="4"/>
        <v/>
      </c>
      <c r="M31" s="100" t="str">
        <f t="shared" si="5"/>
        <v/>
      </c>
      <c r="N31" s="100" t="str">
        <f t="shared" si="6"/>
        <v/>
      </c>
      <c r="O31" s="41" t="str">
        <f t="shared" si="7"/>
        <v/>
      </c>
      <c r="P31" s="41" t="str">
        <f t="shared" si="8"/>
        <v/>
      </c>
      <c r="Q31" s="41" t="str">
        <f t="shared" si="9"/>
        <v/>
      </c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94"/>
      <c r="B32" s="47"/>
      <c r="C32" s="47"/>
      <c r="D32" s="48"/>
      <c r="E32" s="48"/>
      <c r="F32" s="98"/>
      <c r="G32" s="173"/>
      <c r="H32" s="173"/>
      <c r="I32" s="99" t="str">
        <f t="shared" si="1"/>
        <v/>
      </c>
      <c r="J32" s="99" t="str">
        <f t="shared" si="2"/>
        <v/>
      </c>
      <c r="K32" s="100" t="str">
        <f t="shared" si="3"/>
        <v/>
      </c>
      <c r="L32" s="100" t="str">
        <f t="shared" si="4"/>
        <v/>
      </c>
      <c r="M32" s="100" t="str">
        <f t="shared" si="5"/>
        <v/>
      </c>
      <c r="N32" s="100" t="str">
        <f t="shared" si="6"/>
        <v/>
      </c>
      <c r="O32" s="41" t="str">
        <f t="shared" si="7"/>
        <v/>
      </c>
      <c r="P32" s="41" t="str">
        <f t="shared" si="8"/>
        <v/>
      </c>
      <c r="Q32" s="41" t="str">
        <f t="shared" si="9"/>
        <v/>
      </c>
      <c r="R32" s="9"/>
      <c r="S32" s="11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94"/>
      <c r="B33" s="101"/>
      <c r="C33" s="101"/>
      <c r="D33" s="102"/>
      <c r="E33" s="102"/>
      <c r="F33" s="98"/>
      <c r="G33" s="173"/>
      <c r="H33" s="173"/>
      <c r="I33" s="99" t="str">
        <f t="shared" si="1"/>
        <v/>
      </c>
      <c r="J33" s="99" t="str">
        <f t="shared" si="2"/>
        <v/>
      </c>
      <c r="K33" s="100" t="str">
        <f t="shared" si="3"/>
        <v/>
      </c>
      <c r="L33" s="100" t="str">
        <f t="shared" si="4"/>
        <v/>
      </c>
      <c r="M33" s="100" t="str">
        <f t="shared" si="5"/>
        <v/>
      </c>
      <c r="N33" s="100" t="str">
        <f t="shared" si="6"/>
        <v/>
      </c>
      <c r="O33" s="41" t="str">
        <f t="shared" si="7"/>
        <v/>
      </c>
      <c r="P33" s="41" t="str">
        <f t="shared" si="8"/>
        <v/>
      </c>
      <c r="Q33" s="41" t="str">
        <f t="shared" si="9"/>
        <v/>
      </c>
      <c r="R33" s="9"/>
      <c r="S33" s="11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93"/>
      <c r="B34" s="47"/>
      <c r="C34" s="47"/>
      <c r="D34" s="95"/>
      <c r="E34" s="95"/>
      <c r="F34" s="98"/>
      <c r="G34" s="173"/>
      <c r="H34" s="173"/>
      <c r="I34" s="99" t="str">
        <f t="shared" si="1"/>
        <v/>
      </c>
      <c r="J34" s="99" t="str">
        <f t="shared" si="2"/>
        <v/>
      </c>
      <c r="K34" s="100" t="str">
        <f t="shared" si="3"/>
        <v/>
      </c>
      <c r="L34" s="100" t="str">
        <f t="shared" si="4"/>
        <v/>
      </c>
      <c r="M34" s="100" t="str">
        <f t="shared" si="5"/>
        <v/>
      </c>
      <c r="N34" s="100" t="str">
        <f t="shared" si="6"/>
        <v/>
      </c>
      <c r="O34" s="41" t="str">
        <f t="shared" si="7"/>
        <v/>
      </c>
      <c r="P34" s="41" t="str">
        <f t="shared" si="8"/>
        <v/>
      </c>
      <c r="Q34" s="41" t="str">
        <f t="shared" si="9"/>
        <v/>
      </c>
      <c r="R34" s="9"/>
      <c r="S34" s="11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93"/>
      <c r="B35" s="47"/>
      <c r="C35" s="47"/>
      <c r="D35" s="95"/>
      <c r="E35" s="95"/>
      <c r="F35" s="96"/>
      <c r="G35" s="173"/>
      <c r="H35" s="173"/>
      <c r="I35" s="99" t="str">
        <f t="shared" si="1"/>
        <v/>
      </c>
      <c r="J35" s="99" t="str">
        <f t="shared" si="2"/>
        <v/>
      </c>
      <c r="K35" s="100" t="str">
        <f t="shared" si="3"/>
        <v/>
      </c>
      <c r="L35" s="100" t="str">
        <f t="shared" si="4"/>
        <v/>
      </c>
      <c r="M35" s="100" t="str">
        <f t="shared" si="5"/>
        <v/>
      </c>
      <c r="N35" s="100" t="str">
        <f t="shared" si="6"/>
        <v/>
      </c>
      <c r="O35" s="41" t="str">
        <f t="shared" si="7"/>
        <v/>
      </c>
      <c r="P35" s="41" t="str">
        <f t="shared" si="8"/>
        <v/>
      </c>
      <c r="Q35" s="41" t="str">
        <f t="shared" si="9"/>
        <v/>
      </c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93"/>
      <c r="B36" s="47"/>
      <c r="C36" s="47"/>
      <c r="D36" s="48"/>
      <c r="E36" s="48"/>
      <c r="F36" s="96"/>
      <c r="G36" s="173"/>
      <c r="H36" s="173"/>
      <c r="I36" s="99" t="str">
        <f t="shared" si="1"/>
        <v/>
      </c>
      <c r="J36" s="99" t="str">
        <f t="shared" si="2"/>
        <v/>
      </c>
      <c r="K36" s="100" t="str">
        <f t="shared" si="3"/>
        <v/>
      </c>
      <c r="L36" s="100" t="str">
        <f t="shared" si="4"/>
        <v/>
      </c>
      <c r="M36" s="100" t="str">
        <f t="shared" si="5"/>
        <v/>
      </c>
      <c r="N36" s="100" t="str">
        <f t="shared" si="6"/>
        <v/>
      </c>
      <c r="O36" s="41" t="str">
        <f t="shared" si="7"/>
        <v/>
      </c>
      <c r="P36" s="41" t="str">
        <f t="shared" si="8"/>
        <v/>
      </c>
      <c r="Q36" s="41" t="str">
        <f t="shared" si="9"/>
        <v/>
      </c>
      <c r="R36" s="9"/>
      <c r="S36" s="11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93"/>
      <c r="B37" s="101"/>
      <c r="C37" s="101"/>
      <c r="D37" s="102"/>
      <c r="E37" s="102"/>
      <c r="F37" s="96"/>
      <c r="G37" s="173"/>
      <c r="H37" s="173"/>
      <c r="I37" s="99" t="str">
        <f t="shared" si="1"/>
        <v/>
      </c>
      <c r="J37" s="99" t="str">
        <f t="shared" si="2"/>
        <v/>
      </c>
      <c r="K37" s="100" t="str">
        <f t="shared" si="3"/>
        <v/>
      </c>
      <c r="L37" s="100" t="str">
        <f t="shared" si="4"/>
        <v/>
      </c>
      <c r="M37" s="100" t="str">
        <f t="shared" si="5"/>
        <v/>
      </c>
      <c r="N37" s="100" t="str">
        <f t="shared" si="6"/>
        <v/>
      </c>
      <c r="O37" s="41" t="str">
        <f t="shared" si="7"/>
        <v/>
      </c>
      <c r="P37" s="41" t="str">
        <f t="shared" si="8"/>
        <v/>
      </c>
      <c r="Q37" s="41" t="str">
        <f t="shared" si="9"/>
        <v/>
      </c>
      <c r="R37" s="9"/>
      <c r="S37" s="11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93"/>
      <c r="B38" s="47"/>
      <c r="C38" s="47"/>
      <c r="D38" s="95"/>
      <c r="E38" s="95"/>
      <c r="F38" s="96"/>
      <c r="G38" s="173"/>
      <c r="H38" s="173"/>
      <c r="I38" s="99" t="str">
        <f t="shared" si="1"/>
        <v/>
      </c>
      <c r="J38" s="99" t="str">
        <f t="shared" si="2"/>
        <v/>
      </c>
      <c r="K38" s="100" t="str">
        <f t="shared" si="3"/>
        <v/>
      </c>
      <c r="L38" s="100" t="str">
        <f t="shared" si="4"/>
        <v/>
      </c>
      <c r="M38" s="100" t="str">
        <f t="shared" si="5"/>
        <v/>
      </c>
      <c r="N38" s="100" t="str">
        <f t="shared" si="6"/>
        <v/>
      </c>
      <c r="O38" s="41" t="str">
        <f t="shared" si="7"/>
        <v/>
      </c>
      <c r="P38" s="41" t="str">
        <f t="shared" si="8"/>
        <v/>
      </c>
      <c r="Q38" s="41" t="str">
        <f t="shared" si="9"/>
        <v/>
      </c>
      <c r="R38" s="9"/>
      <c r="S38" s="11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93"/>
      <c r="B39" s="47"/>
      <c r="C39" s="47"/>
      <c r="D39" s="95"/>
      <c r="E39" s="95"/>
      <c r="F39" s="96"/>
      <c r="G39" s="173"/>
      <c r="H39" s="173"/>
      <c r="I39" s="99" t="str">
        <f t="shared" si="1"/>
        <v/>
      </c>
      <c r="J39" s="99" t="str">
        <f t="shared" si="2"/>
        <v/>
      </c>
      <c r="K39" s="100" t="str">
        <f t="shared" si="3"/>
        <v/>
      </c>
      <c r="L39" s="100" t="str">
        <f t="shared" si="4"/>
        <v/>
      </c>
      <c r="M39" s="100" t="str">
        <f t="shared" si="5"/>
        <v/>
      </c>
      <c r="N39" s="100" t="str">
        <f t="shared" si="6"/>
        <v/>
      </c>
      <c r="O39" s="41" t="str">
        <f t="shared" si="7"/>
        <v/>
      </c>
      <c r="P39" s="41" t="str">
        <f t="shared" si="8"/>
        <v/>
      </c>
      <c r="Q39" s="41" t="str">
        <f t="shared" si="9"/>
        <v/>
      </c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93"/>
      <c r="B40" s="47"/>
      <c r="C40" s="47"/>
      <c r="D40" s="48"/>
      <c r="E40" s="48"/>
      <c r="F40" s="96"/>
      <c r="G40" s="173"/>
      <c r="H40" s="173"/>
      <c r="I40" s="99" t="str">
        <f t="shared" si="1"/>
        <v/>
      </c>
      <c r="J40" s="99" t="str">
        <f t="shared" si="2"/>
        <v/>
      </c>
      <c r="K40" s="100" t="str">
        <f t="shared" si="3"/>
        <v/>
      </c>
      <c r="L40" s="100" t="str">
        <f t="shared" si="4"/>
        <v/>
      </c>
      <c r="M40" s="100" t="str">
        <f t="shared" si="5"/>
        <v/>
      </c>
      <c r="N40" s="100" t="str">
        <f t="shared" si="6"/>
        <v/>
      </c>
      <c r="O40" s="41" t="str">
        <f t="shared" si="7"/>
        <v/>
      </c>
      <c r="P40" s="41" t="str">
        <f t="shared" si="8"/>
        <v/>
      </c>
      <c r="Q40" s="41" t="str">
        <f t="shared" si="9"/>
        <v/>
      </c>
      <c r="R40" s="9"/>
      <c r="S40" s="11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93"/>
      <c r="B41" s="101"/>
      <c r="C41" s="101"/>
      <c r="D41" s="102"/>
      <c r="E41" s="102"/>
      <c r="F41" s="96"/>
      <c r="G41" s="173"/>
      <c r="H41" s="173"/>
      <c r="I41" s="99" t="str">
        <f t="shared" si="1"/>
        <v/>
      </c>
      <c r="J41" s="99" t="str">
        <f t="shared" si="2"/>
        <v/>
      </c>
      <c r="K41" s="100" t="str">
        <f t="shared" si="3"/>
        <v/>
      </c>
      <c r="L41" s="100" t="str">
        <f t="shared" si="4"/>
        <v/>
      </c>
      <c r="M41" s="100" t="str">
        <f t="shared" si="5"/>
        <v/>
      </c>
      <c r="N41" s="100" t="str">
        <f t="shared" si="6"/>
        <v/>
      </c>
      <c r="O41" s="41" t="str">
        <f t="shared" si="7"/>
        <v/>
      </c>
      <c r="P41" s="41" t="str">
        <f t="shared" si="8"/>
        <v/>
      </c>
      <c r="Q41" s="41" t="str">
        <f t="shared" si="9"/>
        <v/>
      </c>
      <c r="R41" s="9"/>
      <c r="S41" s="11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94"/>
      <c r="B42" s="47"/>
      <c r="C42" s="47"/>
      <c r="D42" s="95"/>
      <c r="E42" s="95"/>
      <c r="F42" s="96"/>
      <c r="G42" s="173"/>
      <c r="H42" s="173"/>
      <c r="I42" s="99" t="str">
        <f t="shared" si="1"/>
        <v/>
      </c>
      <c r="J42" s="99" t="str">
        <f t="shared" si="2"/>
        <v/>
      </c>
      <c r="K42" s="100" t="str">
        <f t="shared" si="3"/>
        <v/>
      </c>
      <c r="L42" s="100" t="str">
        <f t="shared" si="4"/>
        <v/>
      </c>
      <c r="M42" s="100" t="str">
        <f t="shared" si="5"/>
        <v/>
      </c>
      <c r="N42" s="100" t="str">
        <f t="shared" si="6"/>
        <v/>
      </c>
      <c r="O42" s="41" t="str">
        <f t="shared" si="7"/>
        <v/>
      </c>
      <c r="P42" s="41" t="str">
        <f t="shared" si="8"/>
        <v/>
      </c>
      <c r="Q42" s="41" t="str">
        <f t="shared" si="9"/>
        <v/>
      </c>
      <c r="R42" s="9"/>
      <c r="S42" s="11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94"/>
      <c r="B43" s="47"/>
      <c r="C43" s="47"/>
      <c r="D43" s="95"/>
      <c r="E43" s="95"/>
      <c r="F43" s="96"/>
      <c r="G43" s="173"/>
      <c r="H43" s="173"/>
      <c r="I43" s="99" t="str">
        <f t="shared" si="1"/>
        <v/>
      </c>
      <c r="J43" s="99" t="str">
        <f t="shared" si="2"/>
        <v/>
      </c>
      <c r="K43" s="100" t="str">
        <f t="shared" si="3"/>
        <v/>
      </c>
      <c r="L43" s="100" t="str">
        <f t="shared" si="4"/>
        <v/>
      </c>
      <c r="M43" s="100" t="str">
        <f t="shared" si="5"/>
        <v/>
      </c>
      <c r="N43" s="100" t="str">
        <f t="shared" si="6"/>
        <v/>
      </c>
      <c r="O43" s="41" t="str">
        <f t="shared" si="7"/>
        <v/>
      </c>
      <c r="P43" s="41" t="str">
        <f t="shared" si="8"/>
        <v/>
      </c>
      <c r="Q43" s="41" t="str">
        <f t="shared" si="9"/>
        <v/>
      </c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94"/>
      <c r="B44" s="47"/>
      <c r="C44" s="47"/>
      <c r="D44" s="95"/>
      <c r="E44" s="95"/>
      <c r="F44" s="96"/>
      <c r="G44" s="173"/>
      <c r="H44" s="173"/>
      <c r="I44" s="99" t="str">
        <f t="shared" si="1"/>
        <v/>
      </c>
      <c r="J44" s="99" t="str">
        <f t="shared" si="2"/>
        <v/>
      </c>
      <c r="K44" s="100" t="str">
        <f t="shared" si="3"/>
        <v/>
      </c>
      <c r="L44" s="100" t="str">
        <f t="shared" si="4"/>
        <v/>
      </c>
      <c r="M44" s="100" t="str">
        <f t="shared" si="5"/>
        <v/>
      </c>
      <c r="N44" s="100" t="str">
        <f t="shared" si="6"/>
        <v/>
      </c>
      <c r="O44" s="41" t="str">
        <f t="shared" si="7"/>
        <v/>
      </c>
      <c r="P44" s="41" t="str">
        <f t="shared" si="8"/>
        <v/>
      </c>
      <c r="Q44" s="41" t="str">
        <f t="shared" si="9"/>
        <v/>
      </c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94"/>
      <c r="B45" s="47"/>
      <c r="C45" s="47"/>
      <c r="D45" s="95"/>
      <c r="E45" s="95"/>
      <c r="F45" s="96"/>
      <c r="G45" s="173"/>
      <c r="H45" s="173"/>
      <c r="I45" s="99" t="str">
        <f t="shared" si="1"/>
        <v/>
      </c>
      <c r="J45" s="99" t="str">
        <f t="shared" si="2"/>
        <v/>
      </c>
      <c r="K45" s="100" t="str">
        <f t="shared" si="3"/>
        <v/>
      </c>
      <c r="L45" s="100" t="str">
        <f t="shared" si="4"/>
        <v/>
      </c>
      <c r="M45" s="100" t="str">
        <f t="shared" si="5"/>
        <v/>
      </c>
      <c r="N45" s="100" t="str">
        <f t="shared" si="6"/>
        <v/>
      </c>
      <c r="O45" s="41" t="str">
        <f t="shared" si="7"/>
        <v/>
      </c>
      <c r="P45" s="41" t="str">
        <f t="shared" si="8"/>
        <v/>
      </c>
      <c r="Q45" s="41" t="str">
        <f t="shared" si="9"/>
        <v/>
      </c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93"/>
      <c r="B46" s="47"/>
      <c r="C46" s="47"/>
      <c r="D46" s="97"/>
      <c r="E46" s="97"/>
      <c r="F46" s="96"/>
      <c r="G46" s="173"/>
      <c r="H46" s="173"/>
      <c r="I46" s="99" t="str">
        <f t="shared" si="1"/>
        <v/>
      </c>
      <c r="J46" s="99" t="str">
        <f t="shared" si="2"/>
        <v/>
      </c>
      <c r="K46" s="100" t="str">
        <f t="shared" si="3"/>
        <v/>
      </c>
      <c r="L46" s="100" t="str">
        <f t="shared" si="4"/>
        <v/>
      </c>
      <c r="M46" s="100" t="str">
        <f t="shared" si="5"/>
        <v/>
      </c>
      <c r="N46" s="100" t="str">
        <f t="shared" si="6"/>
        <v/>
      </c>
      <c r="O46" s="41" t="str">
        <f t="shared" si="7"/>
        <v/>
      </c>
      <c r="P46" s="41" t="str">
        <f t="shared" si="8"/>
        <v/>
      </c>
      <c r="Q46" s="41" t="str">
        <f t="shared" si="9"/>
        <v/>
      </c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93"/>
      <c r="B47" s="47"/>
      <c r="C47" s="47"/>
      <c r="D47" s="95"/>
      <c r="E47" s="95"/>
      <c r="F47" s="96"/>
      <c r="G47" s="173"/>
      <c r="H47" s="173"/>
      <c r="I47" s="99" t="str">
        <f t="shared" si="1"/>
        <v/>
      </c>
      <c r="J47" s="99" t="str">
        <f t="shared" si="2"/>
        <v/>
      </c>
      <c r="K47" s="100" t="str">
        <f t="shared" si="3"/>
        <v/>
      </c>
      <c r="L47" s="100" t="str">
        <f t="shared" si="4"/>
        <v/>
      </c>
      <c r="M47" s="100" t="str">
        <f t="shared" si="5"/>
        <v/>
      </c>
      <c r="N47" s="100" t="str">
        <f t="shared" si="6"/>
        <v/>
      </c>
      <c r="O47" s="41" t="str">
        <f t="shared" si="7"/>
        <v/>
      </c>
      <c r="P47" s="41" t="str">
        <f t="shared" si="8"/>
        <v/>
      </c>
      <c r="Q47" s="41" t="str">
        <f t="shared" si="9"/>
        <v/>
      </c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93"/>
      <c r="B48" s="47"/>
      <c r="C48" s="47"/>
      <c r="D48" s="95"/>
      <c r="E48" s="95"/>
      <c r="F48" s="96"/>
      <c r="G48" s="173"/>
      <c r="H48" s="173"/>
      <c r="I48" s="99" t="str">
        <f t="shared" ref="I48:I50" si="10">IF(D48=0,"",LOG($K$15*10^D48+$K$16*10^E48+$K$14))</f>
        <v/>
      </c>
      <c r="J48" s="99" t="str">
        <f t="shared" ref="J48:J50" si="11">IF(D48=0,"",LOG($K$21*10^D48+$K$22*10^E48+$K$20))</f>
        <v/>
      </c>
      <c r="K48" s="100" t="str">
        <f t="shared" ref="K48:K50" si="12">IF(D48=0,"",1/(1+10^D48*$J$15/$J$14+10^E48*$J$16/$J$14+10^J48*$J$19/$J$14))</f>
        <v/>
      </c>
      <c r="L48" s="100" t="str">
        <f t="shared" ref="L48:L50" si="13">IF(D48=0,"",1/(1+10^I48/10^J48*$J$13/$J$19))</f>
        <v/>
      </c>
      <c r="M48" s="100" t="str">
        <f t="shared" ref="M48:M92" si="14">IF(D48=0,"",1-L48)</f>
        <v/>
      </c>
      <c r="N48" s="100" t="str">
        <f t="shared" ref="N48:N50" si="15">IF(D48=0,"",1/(1/10^E48*$J$20/$J$22+10^D48/10^E48*$J$21/$J$22+10^I48/10^E48*$J$13/$J$22+1))</f>
        <v/>
      </c>
      <c r="O48" s="41" t="str">
        <f t="shared" ref="O48:O92" si="16">IF(D48=0,"",F48*K48*$J$7/$J$14)</f>
        <v/>
      </c>
      <c r="P48" s="41" t="str">
        <f t="shared" ref="P48:P50" si="17">IF(D48=0,"",O48*10^J48)</f>
        <v/>
      </c>
      <c r="Q48" s="41" t="str">
        <f t="shared" ref="Q48:Q50" si="18">IF(D48=0,"",F48*N48*$J$7/$J$22)</f>
        <v/>
      </c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93"/>
      <c r="B49" s="47"/>
      <c r="C49" s="47"/>
      <c r="D49" s="95"/>
      <c r="E49" s="95"/>
      <c r="F49" s="96"/>
      <c r="G49" s="173"/>
      <c r="H49" s="173"/>
      <c r="I49" s="99" t="str">
        <f t="shared" si="10"/>
        <v/>
      </c>
      <c r="J49" s="99" t="str">
        <f t="shared" si="11"/>
        <v/>
      </c>
      <c r="K49" s="100" t="str">
        <f t="shared" si="12"/>
        <v/>
      </c>
      <c r="L49" s="100" t="str">
        <f t="shared" si="13"/>
        <v/>
      </c>
      <c r="M49" s="100" t="str">
        <f t="shared" si="14"/>
        <v/>
      </c>
      <c r="N49" s="100" t="str">
        <f t="shared" si="15"/>
        <v/>
      </c>
      <c r="O49" s="41" t="str">
        <f t="shared" si="16"/>
        <v/>
      </c>
      <c r="P49" s="41" t="str">
        <f t="shared" si="17"/>
        <v/>
      </c>
      <c r="Q49" s="41" t="str">
        <f t="shared" si="18"/>
        <v/>
      </c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93"/>
      <c r="B50" s="47"/>
      <c r="C50" s="47"/>
      <c r="D50" s="95"/>
      <c r="E50" s="95"/>
      <c r="F50" s="96"/>
      <c r="G50" s="173"/>
      <c r="H50" s="173"/>
      <c r="I50" s="99" t="str">
        <f t="shared" si="10"/>
        <v/>
      </c>
      <c r="J50" s="99" t="str">
        <f t="shared" si="11"/>
        <v/>
      </c>
      <c r="K50" s="100" t="str">
        <f t="shared" si="12"/>
        <v/>
      </c>
      <c r="L50" s="100" t="str">
        <f t="shared" si="13"/>
        <v/>
      </c>
      <c r="M50" s="100" t="str">
        <f t="shared" si="14"/>
        <v/>
      </c>
      <c r="N50" s="100" t="str">
        <f t="shared" si="15"/>
        <v/>
      </c>
      <c r="O50" s="41" t="str">
        <f t="shared" si="16"/>
        <v/>
      </c>
      <c r="P50" s="41" t="str">
        <f t="shared" si="17"/>
        <v/>
      </c>
      <c r="Q50" s="41" t="str">
        <f t="shared" si="18"/>
        <v/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93"/>
      <c r="B51" s="47"/>
      <c r="C51" s="47"/>
      <c r="D51" s="95"/>
      <c r="E51" s="95"/>
      <c r="F51" s="96"/>
      <c r="G51" s="173"/>
      <c r="H51" s="173"/>
      <c r="I51" s="99" t="str">
        <f t="shared" ref="I51:I70" si="19">IF(D51=0,"",LOG($K$15*10^D51+$K$16*10^E51+$K$14))</f>
        <v/>
      </c>
      <c r="J51" s="99" t="str">
        <f t="shared" ref="J51:J70" si="20">IF(D51=0,"",LOG($K$21*10^D51+$K$22*10^E51+$K$20))</f>
        <v/>
      </c>
      <c r="K51" s="100" t="str">
        <f t="shared" ref="K51:K70" si="21">IF(D51=0,"",1/(1+10^D51*$J$15/$J$14+10^E51*$J$16/$J$14+10^J51*$J$19/$J$14))</f>
        <v/>
      </c>
      <c r="L51" s="100" t="str">
        <f t="shared" ref="L51:L70" si="22">IF(D51=0,"",1/(1+10^I51/10^J51*$J$13/$J$19))</f>
        <v/>
      </c>
      <c r="M51" s="100" t="str">
        <f t="shared" ref="M51:M70" si="23">IF(D51=0,"",1-L51)</f>
        <v/>
      </c>
      <c r="N51" s="100" t="str">
        <f t="shared" ref="N51:N70" si="24">IF(D51=0,"",1/(1/10^E51*$J$20/$J$22+10^D51/10^E51*$J$21/$J$22+10^I51/10^E51*$J$13/$J$22+1))</f>
        <v/>
      </c>
      <c r="O51" s="41" t="str">
        <f t="shared" ref="O51:O70" si="25">IF(D51=0,"",F51*K51*$J$7/$J$14)</f>
        <v/>
      </c>
      <c r="P51" s="41" t="str">
        <f t="shared" ref="P51:P70" si="26">IF(D51=0,"",O51*10^J51)</f>
        <v/>
      </c>
      <c r="Q51" s="41" t="str">
        <f t="shared" ref="Q51:Q70" si="27">IF(D51=0,"",F51*N51*$J$7/$J$22)</f>
        <v/>
      </c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7"/>
      <c r="C52" s="47"/>
      <c r="D52" s="48"/>
      <c r="E52" s="48"/>
      <c r="F52" s="96"/>
      <c r="G52" s="173"/>
      <c r="H52" s="173"/>
      <c r="I52" s="99" t="str">
        <f t="shared" si="19"/>
        <v/>
      </c>
      <c r="J52" s="99" t="str">
        <f t="shared" si="20"/>
        <v/>
      </c>
      <c r="K52" s="100" t="str">
        <f t="shared" si="21"/>
        <v/>
      </c>
      <c r="L52" s="100" t="str">
        <f t="shared" si="22"/>
        <v/>
      </c>
      <c r="M52" s="100" t="str">
        <f t="shared" si="23"/>
        <v/>
      </c>
      <c r="N52" s="100" t="str">
        <f t="shared" si="24"/>
        <v/>
      </c>
      <c r="O52" s="41" t="str">
        <f t="shared" si="25"/>
        <v/>
      </c>
      <c r="P52" s="41" t="str">
        <f t="shared" si="26"/>
        <v/>
      </c>
      <c r="Q52" s="41" t="str">
        <f t="shared" si="27"/>
        <v/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7"/>
      <c r="C53" s="47"/>
      <c r="D53" s="48"/>
      <c r="E53" s="48"/>
      <c r="F53" s="96"/>
      <c r="G53" s="173"/>
      <c r="H53" s="173"/>
      <c r="I53" s="99" t="str">
        <f t="shared" si="19"/>
        <v/>
      </c>
      <c r="J53" s="99" t="str">
        <f t="shared" si="20"/>
        <v/>
      </c>
      <c r="K53" s="100" t="str">
        <f t="shared" si="21"/>
        <v/>
      </c>
      <c r="L53" s="100" t="str">
        <f t="shared" si="22"/>
        <v/>
      </c>
      <c r="M53" s="100" t="str">
        <f t="shared" si="23"/>
        <v/>
      </c>
      <c r="N53" s="100" t="str">
        <f t="shared" si="24"/>
        <v/>
      </c>
      <c r="O53" s="41" t="str">
        <f t="shared" si="25"/>
        <v/>
      </c>
      <c r="P53" s="41" t="str">
        <f t="shared" si="26"/>
        <v/>
      </c>
      <c r="Q53" s="41" t="str">
        <f t="shared" si="27"/>
        <v/>
      </c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7"/>
      <c r="C54" s="47"/>
      <c r="D54" s="48"/>
      <c r="E54" s="48"/>
      <c r="F54" s="96"/>
      <c r="G54" s="173"/>
      <c r="H54" s="173"/>
      <c r="I54" s="99" t="str">
        <f t="shared" si="19"/>
        <v/>
      </c>
      <c r="J54" s="99" t="str">
        <f t="shared" si="20"/>
        <v/>
      </c>
      <c r="K54" s="100" t="str">
        <f t="shared" si="21"/>
        <v/>
      </c>
      <c r="L54" s="100" t="str">
        <f t="shared" si="22"/>
        <v/>
      </c>
      <c r="M54" s="100" t="str">
        <f t="shared" si="23"/>
        <v/>
      </c>
      <c r="N54" s="100" t="str">
        <f t="shared" si="24"/>
        <v/>
      </c>
      <c r="O54" s="41" t="str">
        <f t="shared" si="25"/>
        <v/>
      </c>
      <c r="P54" s="41" t="str">
        <f t="shared" si="26"/>
        <v/>
      </c>
      <c r="Q54" s="41" t="str">
        <f t="shared" si="27"/>
        <v/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7"/>
      <c r="C55" s="47"/>
      <c r="D55" s="48"/>
      <c r="E55" s="48"/>
      <c r="F55" s="58"/>
      <c r="G55" s="173"/>
      <c r="H55" s="173"/>
      <c r="I55" s="55" t="str">
        <f t="shared" si="19"/>
        <v/>
      </c>
      <c r="J55" s="55" t="str">
        <f t="shared" si="20"/>
        <v/>
      </c>
      <c r="K55" s="56" t="str">
        <f t="shared" si="21"/>
        <v/>
      </c>
      <c r="L55" s="56" t="str">
        <f t="shared" si="22"/>
        <v/>
      </c>
      <c r="M55" s="56" t="str">
        <f t="shared" si="23"/>
        <v/>
      </c>
      <c r="N55" s="56" t="str">
        <f t="shared" si="24"/>
        <v/>
      </c>
      <c r="O55" s="57" t="str">
        <f t="shared" si="25"/>
        <v/>
      </c>
      <c r="P55" s="57" t="str">
        <f t="shared" si="26"/>
        <v/>
      </c>
      <c r="Q55" s="57" t="str">
        <f t="shared" si="27"/>
        <v/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7"/>
      <c r="C56" s="47"/>
      <c r="D56" s="48"/>
      <c r="E56" s="48"/>
      <c r="F56" s="58"/>
      <c r="G56" s="173"/>
      <c r="H56" s="173"/>
      <c r="I56" s="55" t="str">
        <f t="shared" si="19"/>
        <v/>
      </c>
      <c r="J56" s="55" t="str">
        <f t="shared" si="20"/>
        <v/>
      </c>
      <c r="K56" s="56" t="str">
        <f t="shared" si="21"/>
        <v/>
      </c>
      <c r="L56" s="56" t="str">
        <f t="shared" si="22"/>
        <v/>
      </c>
      <c r="M56" s="56" t="str">
        <f t="shared" si="23"/>
        <v/>
      </c>
      <c r="N56" s="56" t="str">
        <f t="shared" si="24"/>
        <v/>
      </c>
      <c r="O56" s="57" t="str">
        <f t="shared" si="25"/>
        <v/>
      </c>
      <c r="P56" s="57" t="str">
        <f t="shared" si="26"/>
        <v/>
      </c>
      <c r="Q56" s="57" t="str">
        <f t="shared" si="27"/>
        <v/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92"/>
      <c r="C57" s="92"/>
      <c r="D57" s="95"/>
      <c r="E57" s="95"/>
      <c r="F57" s="96"/>
      <c r="G57" s="173"/>
      <c r="H57" s="173"/>
      <c r="I57" s="55" t="str">
        <f t="shared" si="19"/>
        <v/>
      </c>
      <c r="J57" s="55" t="str">
        <f t="shared" si="20"/>
        <v/>
      </c>
      <c r="K57" s="56" t="str">
        <f t="shared" si="21"/>
        <v/>
      </c>
      <c r="L57" s="56" t="str">
        <f t="shared" si="22"/>
        <v/>
      </c>
      <c r="M57" s="56" t="str">
        <f t="shared" si="23"/>
        <v/>
      </c>
      <c r="N57" s="56" t="str">
        <f t="shared" si="24"/>
        <v/>
      </c>
      <c r="O57" s="57" t="str">
        <f t="shared" si="25"/>
        <v/>
      </c>
      <c r="P57" s="57" t="str">
        <f t="shared" si="26"/>
        <v/>
      </c>
      <c r="Q57" s="57" t="str">
        <f t="shared" si="27"/>
        <v/>
      </c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7"/>
      <c r="C58" s="47"/>
      <c r="D58" s="48"/>
      <c r="E58" s="48"/>
      <c r="F58" s="58"/>
      <c r="G58" s="173"/>
      <c r="H58" s="173"/>
      <c r="I58" s="55" t="str">
        <f t="shared" si="19"/>
        <v/>
      </c>
      <c r="J58" s="55" t="str">
        <f t="shared" si="20"/>
        <v/>
      </c>
      <c r="K58" s="56" t="str">
        <f t="shared" si="21"/>
        <v/>
      </c>
      <c r="L58" s="56" t="str">
        <f t="shared" si="22"/>
        <v/>
      </c>
      <c r="M58" s="56" t="str">
        <f t="shared" si="23"/>
        <v/>
      </c>
      <c r="N58" s="56" t="str">
        <f t="shared" si="24"/>
        <v/>
      </c>
      <c r="O58" s="57" t="str">
        <f t="shared" si="25"/>
        <v/>
      </c>
      <c r="P58" s="57" t="str">
        <f t="shared" si="26"/>
        <v/>
      </c>
      <c r="Q58" s="57" t="str">
        <f t="shared" si="27"/>
        <v/>
      </c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7"/>
      <c r="C59" s="47"/>
      <c r="D59" s="48"/>
      <c r="E59" s="48"/>
      <c r="F59" s="58"/>
      <c r="G59" s="173"/>
      <c r="H59" s="173"/>
      <c r="I59" s="55" t="str">
        <f t="shared" si="19"/>
        <v/>
      </c>
      <c r="J59" s="55" t="str">
        <f t="shared" si="20"/>
        <v/>
      </c>
      <c r="K59" s="56" t="str">
        <f t="shared" si="21"/>
        <v/>
      </c>
      <c r="L59" s="56" t="str">
        <f t="shared" si="22"/>
        <v/>
      </c>
      <c r="M59" s="56" t="str">
        <f t="shared" si="23"/>
        <v/>
      </c>
      <c r="N59" s="56" t="str">
        <f t="shared" si="24"/>
        <v/>
      </c>
      <c r="O59" s="57" t="str">
        <f t="shared" si="25"/>
        <v/>
      </c>
      <c r="P59" s="57" t="str">
        <f t="shared" si="26"/>
        <v/>
      </c>
      <c r="Q59" s="57" t="str">
        <f t="shared" si="27"/>
        <v/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7"/>
      <c r="C60" s="47"/>
      <c r="D60" s="48"/>
      <c r="E60" s="48"/>
      <c r="F60" s="58"/>
      <c r="G60" s="173"/>
      <c r="H60" s="173"/>
      <c r="I60" s="55" t="str">
        <f t="shared" si="19"/>
        <v/>
      </c>
      <c r="J60" s="55" t="str">
        <f t="shared" si="20"/>
        <v/>
      </c>
      <c r="K60" s="56" t="str">
        <f t="shared" si="21"/>
        <v/>
      </c>
      <c r="L60" s="56" t="str">
        <f t="shared" si="22"/>
        <v/>
      </c>
      <c r="M60" s="56" t="str">
        <f t="shared" si="23"/>
        <v/>
      </c>
      <c r="N60" s="56" t="str">
        <f t="shared" si="24"/>
        <v/>
      </c>
      <c r="O60" s="57" t="str">
        <f t="shared" si="25"/>
        <v/>
      </c>
      <c r="P60" s="57" t="str">
        <f t="shared" si="26"/>
        <v/>
      </c>
      <c r="Q60" s="57" t="str">
        <f t="shared" si="27"/>
        <v/>
      </c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7"/>
      <c r="C61" s="47"/>
      <c r="D61" s="48"/>
      <c r="E61" s="48"/>
      <c r="F61" s="58"/>
      <c r="G61" s="173"/>
      <c r="H61" s="173"/>
      <c r="I61" s="55" t="str">
        <f t="shared" si="19"/>
        <v/>
      </c>
      <c r="J61" s="55" t="str">
        <f t="shared" si="20"/>
        <v/>
      </c>
      <c r="K61" s="56" t="str">
        <f t="shared" si="21"/>
        <v/>
      </c>
      <c r="L61" s="56" t="str">
        <f t="shared" si="22"/>
        <v/>
      </c>
      <c r="M61" s="56" t="str">
        <f t="shared" si="23"/>
        <v/>
      </c>
      <c r="N61" s="56" t="str">
        <f t="shared" si="24"/>
        <v/>
      </c>
      <c r="O61" s="57" t="str">
        <f t="shared" si="25"/>
        <v/>
      </c>
      <c r="P61" s="57" t="str">
        <f t="shared" si="26"/>
        <v/>
      </c>
      <c r="Q61" s="57" t="str">
        <f t="shared" si="27"/>
        <v/>
      </c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7"/>
      <c r="C62" s="47"/>
      <c r="D62" s="48"/>
      <c r="E62" s="48"/>
      <c r="F62" s="58"/>
      <c r="G62" s="173"/>
      <c r="H62" s="173"/>
      <c r="I62" s="55" t="str">
        <f t="shared" si="19"/>
        <v/>
      </c>
      <c r="J62" s="55" t="str">
        <f t="shared" si="20"/>
        <v/>
      </c>
      <c r="K62" s="56" t="str">
        <f t="shared" si="21"/>
        <v/>
      </c>
      <c r="L62" s="56" t="str">
        <f t="shared" si="22"/>
        <v/>
      </c>
      <c r="M62" s="56" t="str">
        <f t="shared" si="23"/>
        <v/>
      </c>
      <c r="N62" s="56" t="str">
        <f t="shared" si="24"/>
        <v/>
      </c>
      <c r="O62" s="57" t="str">
        <f t="shared" si="25"/>
        <v/>
      </c>
      <c r="P62" s="57" t="str">
        <f t="shared" si="26"/>
        <v/>
      </c>
      <c r="Q62" s="57" t="str">
        <f t="shared" si="27"/>
        <v/>
      </c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7"/>
      <c r="C63" s="47"/>
      <c r="D63" s="48"/>
      <c r="E63" s="48"/>
      <c r="F63" s="58"/>
      <c r="G63" s="173"/>
      <c r="H63" s="173"/>
      <c r="I63" s="55" t="str">
        <f t="shared" si="19"/>
        <v/>
      </c>
      <c r="J63" s="55" t="str">
        <f t="shared" si="20"/>
        <v/>
      </c>
      <c r="K63" s="56" t="str">
        <f t="shared" si="21"/>
        <v/>
      </c>
      <c r="L63" s="56" t="str">
        <f t="shared" si="22"/>
        <v/>
      </c>
      <c r="M63" s="56" t="str">
        <f t="shared" si="23"/>
        <v/>
      </c>
      <c r="N63" s="56" t="str">
        <f t="shared" si="24"/>
        <v/>
      </c>
      <c r="O63" s="57" t="str">
        <f t="shared" si="25"/>
        <v/>
      </c>
      <c r="P63" s="57" t="str">
        <f t="shared" si="26"/>
        <v/>
      </c>
      <c r="Q63" s="57" t="str">
        <f t="shared" si="27"/>
        <v/>
      </c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7"/>
      <c r="C64" s="47"/>
      <c r="D64" s="48"/>
      <c r="E64" s="48"/>
      <c r="F64" s="58"/>
      <c r="G64" s="173"/>
      <c r="H64" s="173"/>
      <c r="I64" s="55" t="str">
        <f t="shared" si="19"/>
        <v/>
      </c>
      <c r="J64" s="55" t="str">
        <f t="shared" si="20"/>
        <v/>
      </c>
      <c r="K64" s="56" t="str">
        <f t="shared" si="21"/>
        <v/>
      </c>
      <c r="L64" s="56" t="str">
        <f t="shared" si="22"/>
        <v/>
      </c>
      <c r="M64" s="56" t="str">
        <f t="shared" si="23"/>
        <v/>
      </c>
      <c r="N64" s="56" t="str">
        <f t="shared" si="24"/>
        <v/>
      </c>
      <c r="O64" s="57" t="str">
        <f t="shared" si="25"/>
        <v/>
      </c>
      <c r="P64" s="57" t="str">
        <f t="shared" si="26"/>
        <v/>
      </c>
      <c r="Q64" s="57" t="str">
        <f t="shared" si="27"/>
        <v/>
      </c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7"/>
      <c r="C65" s="47"/>
      <c r="D65" s="48"/>
      <c r="E65" s="48"/>
      <c r="F65" s="58"/>
      <c r="G65" s="173"/>
      <c r="H65" s="173"/>
      <c r="I65" s="55" t="str">
        <f t="shared" si="19"/>
        <v/>
      </c>
      <c r="J65" s="55" t="str">
        <f t="shared" si="20"/>
        <v/>
      </c>
      <c r="K65" s="56" t="str">
        <f t="shared" si="21"/>
        <v/>
      </c>
      <c r="L65" s="56" t="str">
        <f t="shared" si="22"/>
        <v/>
      </c>
      <c r="M65" s="56" t="str">
        <f t="shared" si="23"/>
        <v/>
      </c>
      <c r="N65" s="56" t="str">
        <f t="shared" si="24"/>
        <v/>
      </c>
      <c r="O65" s="57" t="str">
        <f t="shared" si="25"/>
        <v/>
      </c>
      <c r="P65" s="57" t="str">
        <f t="shared" si="26"/>
        <v/>
      </c>
      <c r="Q65" s="57" t="str">
        <f t="shared" si="27"/>
        <v/>
      </c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7"/>
      <c r="C66" s="47"/>
      <c r="D66" s="48"/>
      <c r="E66" s="48"/>
      <c r="F66" s="58"/>
      <c r="G66" s="173"/>
      <c r="H66" s="173"/>
      <c r="I66" s="55" t="str">
        <f t="shared" si="19"/>
        <v/>
      </c>
      <c r="J66" s="55" t="str">
        <f t="shared" si="20"/>
        <v/>
      </c>
      <c r="K66" s="56" t="str">
        <f t="shared" si="21"/>
        <v/>
      </c>
      <c r="L66" s="56" t="str">
        <f t="shared" si="22"/>
        <v/>
      </c>
      <c r="M66" s="56" t="str">
        <f t="shared" si="23"/>
        <v/>
      </c>
      <c r="N66" s="56" t="str">
        <f t="shared" si="24"/>
        <v/>
      </c>
      <c r="O66" s="57" t="str">
        <f t="shared" si="25"/>
        <v/>
      </c>
      <c r="P66" s="57" t="str">
        <f t="shared" si="26"/>
        <v/>
      </c>
      <c r="Q66" s="57" t="str">
        <f t="shared" si="27"/>
        <v/>
      </c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7"/>
      <c r="C67" s="47"/>
      <c r="D67" s="48"/>
      <c r="E67" s="48"/>
      <c r="F67" s="58"/>
      <c r="G67" s="173"/>
      <c r="H67" s="173"/>
      <c r="I67" s="55" t="str">
        <f t="shared" si="19"/>
        <v/>
      </c>
      <c r="J67" s="55" t="str">
        <f t="shared" si="20"/>
        <v/>
      </c>
      <c r="K67" s="56" t="str">
        <f t="shared" si="21"/>
        <v/>
      </c>
      <c r="L67" s="56" t="str">
        <f t="shared" si="22"/>
        <v/>
      </c>
      <c r="M67" s="56" t="str">
        <f t="shared" si="23"/>
        <v/>
      </c>
      <c r="N67" s="56" t="str">
        <f t="shared" si="24"/>
        <v/>
      </c>
      <c r="O67" s="57" t="str">
        <f t="shared" si="25"/>
        <v/>
      </c>
      <c r="P67" s="57" t="str">
        <f t="shared" si="26"/>
        <v/>
      </c>
      <c r="Q67" s="57" t="str">
        <f t="shared" si="27"/>
        <v/>
      </c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7"/>
      <c r="C68" s="47"/>
      <c r="D68" s="48"/>
      <c r="E68" s="48"/>
      <c r="F68" s="58"/>
      <c r="G68" s="173"/>
      <c r="H68" s="173"/>
      <c r="I68" s="55" t="str">
        <f t="shared" si="19"/>
        <v/>
      </c>
      <c r="J68" s="55" t="str">
        <f t="shared" si="20"/>
        <v/>
      </c>
      <c r="K68" s="56" t="str">
        <f t="shared" si="21"/>
        <v/>
      </c>
      <c r="L68" s="56" t="str">
        <f t="shared" si="22"/>
        <v/>
      </c>
      <c r="M68" s="56" t="str">
        <f t="shared" si="23"/>
        <v/>
      </c>
      <c r="N68" s="56" t="str">
        <f t="shared" si="24"/>
        <v/>
      </c>
      <c r="O68" s="57" t="str">
        <f t="shared" si="25"/>
        <v/>
      </c>
      <c r="P68" s="57" t="str">
        <f t="shared" si="26"/>
        <v/>
      </c>
      <c r="Q68" s="57" t="str">
        <f t="shared" si="27"/>
        <v/>
      </c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7"/>
      <c r="C69" s="47"/>
      <c r="D69" s="48"/>
      <c r="E69" s="48"/>
      <c r="F69" s="58"/>
      <c r="G69" s="173"/>
      <c r="H69" s="173"/>
      <c r="I69" s="55" t="str">
        <f t="shared" si="19"/>
        <v/>
      </c>
      <c r="J69" s="55" t="str">
        <f t="shared" si="20"/>
        <v/>
      </c>
      <c r="K69" s="56" t="str">
        <f t="shared" si="21"/>
        <v/>
      </c>
      <c r="L69" s="56" t="str">
        <f t="shared" si="22"/>
        <v/>
      </c>
      <c r="M69" s="56" t="str">
        <f t="shared" si="23"/>
        <v/>
      </c>
      <c r="N69" s="56" t="str">
        <f t="shared" si="24"/>
        <v/>
      </c>
      <c r="O69" s="57" t="str">
        <f t="shared" si="25"/>
        <v/>
      </c>
      <c r="P69" s="57" t="str">
        <f t="shared" si="26"/>
        <v/>
      </c>
      <c r="Q69" s="57" t="str">
        <f t="shared" si="27"/>
        <v/>
      </c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7"/>
      <c r="C70" s="47"/>
      <c r="D70" s="48"/>
      <c r="E70" s="48"/>
      <c r="F70" s="58"/>
      <c r="G70" s="173"/>
      <c r="H70" s="173"/>
      <c r="I70" s="55" t="str">
        <f t="shared" si="19"/>
        <v/>
      </c>
      <c r="J70" s="55" t="str">
        <f t="shared" si="20"/>
        <v/>
      </c>
      <c r="K70" s="56" t="str">
        <f t="shared" si="21"/>
        <v/>
      </c>
      <c r="L70" s="56" t="str">
        <f t="shared" si="22"/>
        <v/>
      </c>
      <c r="M70" s="56" t="str">
        <f t="shared" si="23"/>
        <v/>
      </c>
      <c r="N70" s="56" t="str">
        <f t="shared" si="24"/>
        <v/>
      </c>
      <c r="O70" s="57" t="str">
        <f t="shared" si="25"/>
        <v/>
      </c>
      <c r="P70" s="57" t="str">
        <f t="shared" si="26"/>
        <v/>
      </c>
      <c r="Q70" s="57" t="str">
        <f t="shared" si="27"/>
        <v/>
      </c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7"/>
      <c r="C71" s="47"/>
      <c r="D71" s="48"/>
      <c r="E71" s="48"/>
      <c r="F71" s="58"/>
      <c r="G71" s="173"/>
      <c r="H71" s="173"/>
      <c r="I71" s="55" t="str">
        <f t="shared" ref="I71:I122" si="28">IF(D71=0,"",LOG($K$15*10^D71+$K$16*10^E71+$K$14))</f>
        <v/>
      </c>
      <c r="J71" s="55" t="str">
        <f t="shared" ref="J71:J122" si="29">IF(D71=0,"",LOG($K$21*10^D71+$K$22*10^E71+$K$20))</f>
        <v/>
      </c>
      <c r="K71" s="56" t="str">
        <f t="shared" ref="K71:K122" si="30">IF(D71=0,"",1/(1+10^D71*$J$15/$J$14+10^E71*$J$16/$J$14+10^J71*$J$19/$J$14))</f>
        <v/>
      </c>
      <c r="L71" s="56" t="str">
        <f t="shared" ref="L71:L122" si="31">IF(D71=0,"",1/(1+10^I71/10^J71*$J$13/$J$19))</f>
        <v/>
      </c>
      <c r="M71" s="56" t="str">
        <f t="shared" si="14"/>
        <v/>
      </c>
      <c r="N71" s="56" t="str">
        <f t="shared" ref="N71:N122" si="32">IF(D71=0,"",1/(1/10^E71*$J$20/$J$22+10^D71/10^E71*$J$21/$J$22+10^I71/10^E71*$J$13/$J$22+1))</f>
        <v/>
      </c>
      <c r="O71" s="57" t="str">
        <f t="shared" si="16"/>
        <v/>
      </c>
      <c r="P71" s="57" t="str">
        <f t="shared" ref="P71:P122" si="33">IF(D71=0,"",O71*10^J71)</f>
        <v/>
      </c>
      <c r="Q71" s="57" t="str">
        <f t="shared" ref="Q71:Q122" si="34">IF(D71=0,"",F71*N71*$J$7/$J$22)</f>
        <v/>
      </c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7"/>
      <c r="C72" s="47"/>
      <c r="D72" s="48"/>
      <c r="E72" s="48"/>
      <c r="F72" s="58"/>
      <c r="G72" s="173"/>
      <c r="H72" s="173"/>
      <c r="I72" s="55" t="str">
        <f t="shared" si="28"/>
        <v/>
      </c>
      <c r="J72" s="55" t="str">
        <f t="shared" si="29"/>
        <v/>
      </c>
      <c r="K72" s="56" t="str">
        <f t="shared" si="30"/>
        <v/>
      </c>
      <c r="L72" s="56" t="str">
        <f t="shared" si="31"/>
        <v/>
      </c>
      <c r="M72" s="56" t="str">
        <f t="shared" si="14"/>
        <v/>
      </c>
      <c r="N72" s="56" t="str">
        <f t="shared" si="32"/>
        <v/>
      </c>
      <c r="O72" s="57" t="str">
        <f t="shared" si="16"/>
        <v/>
      </c>
      <c r="P72" s="57" t="str">
        <f t="shared" si="33"/>
        <v/>
      </c>
      <c r="Q72" s="57" t="str">
        <f t="shared" si="34"/>
        <v/>
      </c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7"/>
      <c r="C73" s="47"/>
      <c r="D73" s="48"/>
      <c r="E73" s="48"/>
      <c r="F73" s="58"/>
      <c r="G73" s="173"/>
      <c r="H73" s="173"/>
      <c r="I73" s="55" t="str">
        <f t="shared" si="28"/>
        <v/>
      </c>
      <c r="J73" s="55" t="str">
        <f t="shared" si="29"/>
        <v/>
      </c>
      <c r="K73" s="56" t="str">
        <f t="shared" si="30"/>
        <v/>
      </c>
      <c r="L73" s="56" t="str">
        <f t="shared" si="31"/>
        <v/>
      </c>
      <c r="M73" s="56" t="str">
        <f t="shared" si="14"/>
        <v/>
      </c>
      <c r="N73" s="56" t="str">
        <f t="shared" si="32"/>
        <v/>
      </c>
      <c r="O73" s="57" t="str">
        <f t="shared" si="16"/>
        <v/>
      </c>
      <c r="P73" s="57" t="str">
        <f t="shared" si="33"/>
        <v/>
      </c>
      <c r="Q73" s="57" t="str">
        <f t="shared" si="34"/>
        <v/>
      </c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7"/>
      <c r="C74" s="47"/>
      <c r="D74" s="48"/>
      <c r="E74" s="48"/>
      <c r="F74" s="58"/>
      <c r="G74" s="173"/>
      <c r="H74" s="173"/>
      <c r="I74" s="55" t="str">
        <f t="shared" si="28"/>
        <v/>
      </c>
      <c r="J74" s="55" t="str">
        <f t="shared" si="29"/>
        <v/>
      </c>
      <c r="K74" s="56" t="str">
        <f t="shared" si="30"/>
        <v/>
      </c>
      <c r="L74" s="56" t="str">
        <f t="shared" si="31"/>
        <v/>
      </c>
      <c r="M74" s="56" t="str">
        <f t="shared" si="14"/>
        <v/>
      </c>
      <c r="N74" s="56" t="str">
        <f t="shared" si="32"/>
        <v/>
      </c>
      <c r="O74" s="57" t="str">
        <f t="shared" si="16"/>
        <v/>
      </c>
      <c r="P74" s="57" t="str">
        <f t="shared" si="33"/>
        <v/>
      </c>
      <c r="Q74" s="57" t="str">
        <f t="shared" si="34"/>
        <v/>
      </c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7"/>
      <c r="C75" s="47"/>
      <c r="D75" s="48"/>
      <c r="E75" s="48"/>
      <c r="F75" s="58"/>
      <c r="G75" s="173"/>
      <c r="H75" s="173"/>
      <c r="I75" s="55" t="str">
        <f t="shared" si="28"/>
        <v/>
      </c>
      <c r="J75" s="55" t="str">
        <f t="shared" si="29"/>
        <v/>
      </c>
      <c r="K75" s="56" t="str">
        <f t="shared" si="30"/>
        <v/>
      </c>
      <c r="L75" s="56" t="str">
        <f t="shared" si="31"/>
        <v/>
      </c>
      <c r="M75" s="56" t="str">
        <f t="shared" si="14"/>
        <v/>
      </c>
      <c r="N75" s="56" t="str">
        <f t="shared" si="32"/>
        <v/>
      </c>
      <c r="O75" s="57" t="str">
        <f t="shared" si="16"/>
        <v/>
      </c>
      <c r="P75" s="57" t="str">
        <f t="shared" si="33"/>
        <v/>
      </c>
      <c r="Q75" s="57" t="str">
        <f t="shared" si="34"/>
        <v/>
      </c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7"/>
      <c r="C76" s="47"/>
      <c r="D76" s="48"/>
      <c r="E76" s="48"/>
      <c r="F76" s="58"/>
      <c r="G76" s="173"/>
      <c r="H76" s="173"/>
      <c r="I76" s="55" t="str">
        <f t="shared" si="28"/>
        <v/>
      </c>
      <c r="J76" s="55" t="str">
        <f t="shared" si="29"/>
        <v/>
      </c>
      <c r="K76" s="56" t="str">
        <f t="shared" si="30"/>
        <v/>
      </c>
      <c r="L76" s="56" t="str">
        <f t="shared" si="31"/>
        <v/>
      </c>
      <c r="M76" s="56" t="str">
        <f t="shared" si="14"/>
        <v/>
      </c>
      <c r="N76" s="56" t="str">
        <f t="shared" si="32"/>
        <v/>
      </c>
      <c r="O76" s="57" t="str">
        <f t="shared" si="16"/>
        <v/>
      </c>
      <c r="P76" s="57" t="str">
        <f t="shared" si="33"/>
        <v/>
      </c>
      <c r="Q76" s="57" t="str">
        <f t="shared" si="34"/>
        <v/>
      </c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7"/>
      <c r="C77" s="47"/>
      <c r="D77" s="48"/>
      <c r="E77" s="48"/>
      <c r="F77" s="58"/>
      <c r="G77" s="173"/>
      <c r="H77" s="173"/>
      <c r="I77" s="55" t="str">
        <f t="shared" si="28"/>
        <v/>
      </c>
      <c r="J77" s="55" t="str">
        <f t="shared" si="29"/>
        <v/>
      </c>
      <c r="K77" s="56" t="str">
        <f t="shared" si="30"/>
        <v/>
      </c>
      <c r="L77" s="56" t="str">
        <f t="shared" si="31"/>
        <v/>
      </c>
      <c r="M77" s="56" t="str">
        <f t="shared" si="14"/>
        <v/>
      </c>
      <c r="N77" s="56" t="str">
        <f t="shared" si="32"/>
        <v/>
      </c>
      <c r="O77" s="57" t="str">
        <f t="shared" si="16"/>
        <v/>
      </c>
      <c r="P77" s="57" t="str">
        <f t="shared" si="33"/>
        <v/>
      </c>
      <c r="Q77" s="57" t="str">
        <f t="shared" si="34"/>
        <v/>
      </c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7"/>
      <c r="C78" s="47"/>
      <c r="D78" s="48"/>
      <c r="E78" s="48"/>
      <c r="F78" s="58"/>
      <c r="G78" s="7"/>
      <c r="H78" s="7"/>
      <c r="I78" s="55" t="str">
        <f t="shared" si="28"/>
        <v/>
      </c>
      <c r="J78" s="55" t="str">
        <f t="shared" si="29"/>
        <v/>
      </c>
      <c r="K78" s="56" t="str">
        <f t="shared" si="30"/>
        <v/>
      </c>
      <c r="L78" s="56" t="str">
        <f t="shared" si="31"/>
        <v/>
      </c>
      <c r="M78" s="56" t="str">
        <f t="shared" si="14"/>
        <v/>
      </c>
      <c r="N78" s="56" t="str">
        <f t="shared" si="32"/>
        <v/>
      </c>
      <c r="O78" s="57" t="str">
        <f t="shared" si="16"/>
        <v/>
      </c>
      <c r="P78" s="57" t="str">
        <f t="shared" si="33"/>
        <v/>
      </c>
      <c r="Q78" s="57" t="str">
        <f t="shared" si="34"/>
        <v/>
      </c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7"/>
      <c r="C79" s="47"/>
      <c r="D79" s="48"/>
      <c r="E79" s="48"/>
      <c r="F79" s="58"/>
      <c r="G79" s="7"/>
      <c r="H79" s="7"/>
      <c r="I79" s="55" t="str">
        <f t="shared" si="28"/>
        <v/>
      </c>
      <c r="J79" s="55" t="str">
        <f t="shared" si="29"/>
        <v/>
      </c>
      <c r="K79" s="56" t="str">
        <f t="shared" si="30"/>
        <v/>
      </c>
      <c r="L79" s="56" t="str">
        <f t="shared" si="31"/>
        <v/>
      </c>
      <c r="M79" s="56" t="str">
        <f t="shared" si="14"/>
        <v/>
      </c>
      <c r="N79" s="56" t="str">
        <f t="shared" si="32"/>
        <v/>
      </c>
      <c r="O79" s="57" t="str">
        <f t="shared" si="16"/>
        <v/>
      </c>
      <c r="P79" s="57" t="str">
        <f t="shared" si="33"/>
        <v/>
      </c>
      <c r="Q79" s="57" t="str">
        <f t="shared" si="34"/>
        <v/>
      </c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7"/>
      <c r="C80" s="47"/>
      <c r="D80" s="48"/>
      <c r="E80" s="48"/>
      <c r="F80" s="58"/>
      <c r="G80" s="7"/>
      <c r="H80" s="7"/>
      <c r="I80" s="55" t="str">
        <f t="shared" si="28"/>
        <v/>
      </c>
      <c r="J80" s="55" t="str">
        <f t="shared" si="29"/>
        <v/>
      </c>
      <c r="K80" s="56" t="str">
        <f t="shared" si="30"/>
        <v/>
      </c>
      <c r="L80" s="56" t="str">
        <f t="shared" si="31"/>
        <v/>
      </c>
      <c r="M80" s="56" t="str">
        <f t="shared" si="14"/>
        <v/>
      </c>
      <c r="N80" s="56" t="str">
        <f t="shared" si="32"/>
        <v/>
      </c>
      <c r="O80" s="57" t="str">
        <f t="shared" si="16"/>
        <v/>
      </c>
      <c r="P80" s="57" t="str">
        <f t="shared" si="33"/>
        <v/>
      </c>
      <c r="Q80" s="57" t="str">
        <f t="shared" si="34"/>
        <v/>
      </c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7"/>
      <c r="C81" s="47"/>
      <c r="D81" s="48"/>
      <c r="E81" s="48"/>
      <c r="F81" s="58"/>
      <c r="G81" s="7"/>
      <c r="H81" s="7"/>
      <c r="I81" s="55" t="str">
        <f t="shared" si="28"/>
        <v/>
      </c>
      <c r="J81" s="55" t="str">
        <f t="shared" si="29"/>
        <v/>
      </c>
      <c r="K81" s="56" t="str">
        <f t="shared" si="30"/>
        <v/>
      </c>
      <c r="L81" s="56" t="str">
        <f t="shared" si="31"/>
        <v/>
      </c>
      <c r="M81" s="56" t="str">
        <f t="shared" si="14"/>
        <v/>
      </c>
      <c r="N81" s="56" t="str">
        <f t="shared" si="32"/>
        <v/>
      </c>
      <c r="O81" s="57" t="str">
        <f t="shared" si="16"/>
        <v/>
      </c>
      <c r="P81" s="57" t="str">
        <f t="shared" si="33"/>
        <v/>
      </c>
      <c r="Q81" s="57" t="str">
        <f t="shared" si="34"/>
        <v/>
      </c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7"/>
      <c r="C82" s="47"/>
      <c r="D82" s="48"/>
      <c r="E82" s="48"/>
      <c r="F82" s="58"/>
      <c r="G82" s="7"/>
      <c r="H82" s="7"/>
      <c r="I82" s="55" t="str">
        <f t="shared" si="28"/>
        <v/>
      </c>
      <c r="J82" s="55" t="str">
        <f t="shared" si="29"/>
        <v/>
      </c>
      <c r="K82" s="56" t="str">
        <f t="shared" si="30"/>
        <v/>
      </c>
      <c r="L82" s="56" t="str">
        <f t="shared" si="31"/>
        <v/>
      </c>
      <c r="M82" s="56" t="str">
        <f t="shared" si="14"/>
        <v/>
      </c>
      <c r="N82" s="56" t="str">
        <f t="shared" si="32"/>
        <v/>
      </c>
      <c r="O82" s="57" t="str">
        <f t="shared" si="16"/>
        <v/>
      </c>
      <c r="P82" s="57" t="str">
        <f t="shared" si="33"/>
        <v/>
      </c>
      <c r="Q82" s="57" t="str">
        <f t="shared" si="34"/>
        <v/>
      </c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7"/>
      <c r="C83" s="47"/>
      <c r="D83" s="48"/>
      <c r="E83" s="48"/>
      <c r="F83" s="58"/>
      <c r="G83" s="7"/>
      <c r="H83" s="7"/>
      <c r="I83" s="55" t="str">
        <f t="shared" si="28"/>
        <v/>
      </c>
      <c r="J83" s="55" t="str">
        <f t="shared" si="29"/>
        <v/>
      </c>
      <c r="K83" s="56" t="str">
        <f t="shared" si="30"/>
        <v/>
      </c>
      <c r="L83" s="56" t="str">
        <f t="shared" si="31"/>
        <v/>
      </c>
      <c r="M83" s="56" t="str">
        <f t="shared" si="14"/>
        <v/>
      </c>
      <c r="N83" s="56" t="str">
        <f t="shared" si="32"/>
        <v/>
      </c>
      <c r="O83" s="57" t="str">
        <f t="shared" si="16"/>
        <v/>
      </c>
      <c r="P83" s="57" t="str">
        <f t="shared" si="33"/>
        <v/>
      </c>
      <c r="Q83" s="57" t="str">
        <f t="shared" si="34"/>
        <v/>
      </c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7"/>
      <c r="C84" s="47"/>
      <c r="D84" s="48"/>
      <c r="E84" s="48"/>
      <c r="F84" s="58"/>
      <c r="G84" s="7"/>
      <c r="H84" s="7"/>
      <c r="I84" s="55" t="str">
        <f t="shared" si="28"/>
        <v/>
      </c>
      <c r="J84" s="55" t="str">
        <f t="shared" si="29"/>
        <v/>
      </c>
      <c r="K84" s="56" t="str">
        <f t="shared" si="30"/>
        <v/>
      </c>
      <c r="L84" s="56" t="str">
        <f t="shared" si="31"/>
        <v/>
      </c>
      <c r="M84" s="56" t="str">
        <f t="shared" si="14"/>
        <v/>
      </c>
      <c r="N84" s="56" t="str">
        <f t="shared" si="32"/>
        <v/>
      </c>
      <c r="O84" s="57" t="str">
        <f t="shared" si="16"/>
        <v/>
      </c>
      <c r="P84" s="57" t="str">
        <f t="shared" si="33"/>
        <v/>
      </c>
      <c r="Q84" s="57" t="str">
        <f t="shared" si="34"/>
        <v/>
      </c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7"/>
      <c r="C85" s="47"/>
      <c r="D85" s="48"/>
      <c r="E85" s="48"/>
      <c r="F85" s="58"/>
      <c r="G85" s="7"/>
      <c r="H85" s="7"/>
      <c r="I85" s="55" t="str">
        <f t="shared" si="28"/>
        <v/>
      </c>
      <c r="J85" s="55" t="str">
        <f t="shared" si="29"/>
        <v/>
      </c>
      <c r="K85" s="56" t="str">
        <f t="shared" si="30"/>
        <v/>
      </c>
      <c r="L85" s="56" t="str">
        <f t="shared" si="31"/>
        <v/>
      </c>
      <c r="M85" s="56" t="str">
        <f t="shared" si="14"/>
        <v/>
      </c>
      <c r="N85" s="56" t="str">
        <f t="shared" si="32"/>
        <v/>
      </c>
      <c r="O85" s="57" t="str">
        <f t="shared" si="16"/>
        <v/>
      </c>
      <c r="P85" s="57" t="str">
        <f t="shared" si="33"/>
        <v/>
      </c>
      <c r="Q85" s="57" t="str">
        <f t="shared" si="34"/>
        <v/>
      </c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7"/>
      <c r="C86" s="47"/>
      <c r="D86" s="48"/>
      <c r="E86" s="48"/>
      <c r="F86" s="58"/>
      <c r="G86" s="7"/>
      <c r="H86" s="7"/>
      <c r="I86" s="55" t="str">
        <f t="shared" si="28"/>
        <v/>
      </c>
      <c r="J86" s="55" t="str">
        <f t="shared" si="29"/>
        <v/>
      </c>
      <c r="K86" s="56" t="str">
        <f t="shared" si="30"/>
        <v/>
      </c>
      <c r="L86" s="56" t="str">
        <f t="shared" si="31"/>
        <v/>
      </c>
      <c r="M86" s="56" t="str">
        <f t="shared" si="14"/>
        <v/>
      </c>
      <c r="N86" s="56" t="str">
        <f t="shared" si="32"/>
        <v/>
      </c>
      <c r="O86" s="57" t="str">
        <f t="shared" si="16"/>
        <v/>
      </c>
      <c r="P86" s="57" t="str">
        <f t="shared" si="33"/>
        <v/>
      </c>
      <c r="Q86" s="57" t="str">
        <f t="shared" si="34"/>
        <v/>
      </c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7"/>
      <c r="C87" s="47"/>
      <c r="D87" s="48"/>
      <c r="E87" s="48"/>
      <c r="F87" s="58"/>
      <c r="G87" s="7"/>
      <c r="H87" s="7"/>
      <c r="I87" s="55" t="str">
        <f t="shared" si="28"/>
        <v/>
      </c>
      <c r="J87" s="55" t="str">
        <f t="shared" si="29"/>
        <v/>
      </c>
      <c r="K87" s="56" t="str">
        <f t="shared" si="30"/>
        <v/>
      </c>
      <c r="L87" s="56" t="str">
        <f t="shared" si="31"/>
        <v/>
      </c>
      <c r="M87" s="56" t="str">
        <f t="shared" si="14"/>
        <v/>
      </c>
      <c r="N87" s="56" t="str">
        <f t="shared" si="32"/>
        <v/>
      </c>
      <c r="O87" s="57" t="str">
        <f t="shared" si="16"/>
        <v/>
      </c>
      <c r="P87" s="57" t="str">
        <f t="shared" si="33"/>
        <v/>
      </c>
      <c r="Q87" s="57" t="str">
        <f t="shared" si="34"/>
        <v/>
      </c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7"/>
      <c r="C88" s="47"/>
      <c r="D88" s="48"/>
      <c r="E88" s="48"/>
      <c r="F88" s="58"/>
      <c r="G88" s="7"/>
      <c r="H88" s="7"/>
      <c r="I88" s="55" t="str">
        <f t="shared" si="28"/>
        <v/>
      </c>
      <c r="J88" s="55" t="str">
        <f t="shared" si="29"/>
        <v/>
      </c>
      <c r="K88" s="56" t="str">
        <f t="shared" si="30"/>
        <v/>
      </c>
      <c r="L88" s="56" t="str">
        <f t="shared" si="31"/>
        <v/>
      </c>
      <c r="M88" s="56" t="str">
        <f t="shared" si="14"/>
        <v/>
      </c>
      <c r="N88" s="56" t="str">
        <f t="shared" si="32"/>
        <v/>
      </c>
      <c r="O88" s="57" t="str">
        <f t="shared" si="16"/>
        <v/>
      </c>
      <c r="P88" s="57" t="str">
        <f t="shared" si="33"/>
        <v/>
      </c>
      <c r="Q88" s="57" t="str">
        <f t="shared" si="34"/>
        <v/>
      </c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7"/>
      <c r="C89" s="47"/>
      <c r="D89" s="48"/>
      <c r="E89" s="48"/>
      <c r="F89" s="58"/>
      <c r="G89" s="7"/>
      <c r="H89" s="7"/>
      <c r="I89" s="55" t="str">
        <f t="shared" si="28"/>
        <v/>
      </c>
      <c r="J89" s="55" t="str">
        <f t="shared" si="29"/>
        <v/>
      </c>
      <c r="K89" s="56" t="str">
        <f t="shared" si="30"/>
        <v/>
      </c>
      <c r="L89" s="56" t="str">
        <f t="shared" si="31"/>
        <v/>
      </c>
      <c r="M89" s="56" t="str">
        <f t="shared" si="14"/>
        <v/>
      </c>
      <c r="N89" s="56" t="str">
        <f t="shared" si="32"/>
        <v/>
      </c>
      <c r="O89" s="57" t="str">
        <f t="shared" si="16"/>
        <v/>
      </c>
      <c r="P89" s="57" t="str">
        <f t="shared" si="33"/>
        <v/>
      </c>
      <c r="Q89" s="57" t="str">
        <f t="shared" si="34"/>
        <v/>
      </c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7"/>
      <c r="C90" s="47"/>
      <c r="D90" s="48"/>
      <c r="E90" s="48"/>
      <c r="F90" s="58"/>
      <c r="G90" s="7"/>
      <c r="H90" s="7"/>
      <c r="I90" s="55" t="str">
        <f t="shared" si="28"/>
        <v/>
      </c>
      <c r="J90" s="55" t="str">
        <f t="shared" si="29"/>
        <v/>
      </c>
      <c r="K90" s="56" t="str">
        <f t="shared" si="30"/>
        <v/>
      </c>
      <c r="L90" s="56" t="str">
        <f t="shared" si="31"/>
        <v/>
      </c>
      <c r="M90" s="56" t="str">
        <f t="shared" si="14"/>
        <v/>
      </c>
      <c r="N90" s="56" t="str">
        <f t="shared" si="32"/>
        <v/>
      </c>
      <c r="O90" s="57" t="str">
        <f t="shared" si="16"/>
        <v/>
      </c>
      <c r="P90" s="57" t="str">
        <f t="shared" si="33"/>
        <v/>
      </c>
      <c r="Q90" s="57" t="str">
        <f t="shared" si="34"/>
        <v/>
      </c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7"/>
      <c r="C91" s="47"/>
      <c r="D91" s="48"/>
      <c r="E91" s="48"/>
      <c r="F91" s="58"/>
      <c r="G91" s="7"/>
      <c r="H91" s="7"/>
      <c r="I91" s="55" t="str">
        <f t="shared" si="28"/>
        <v/>
      </c>
      <c r="J91" s="55" t="str">
        <f t="shared" si="29"/>
        <v/>
      </c>
      <c r="K91" s="56" t="str">
        <f t="shared" si="30"/>
        <v/>
      </c>
      <c r="L91" s="56" t="str">
        <f t="shared" si="31"/>
        <v/>
      </c>
      <c r="M91" s="56" t="str">
        <f t="shared" si="14"/>
        <v/>
      </c>
      <c r="N91" s="56" t="str">
        <f t="shared" si="32"/>
        <v/>
      </c>
      <c r="O91" s="57" t="str">
        <f t="shared" si="16"/>
        <v/>
      </c>
      <c r="P91" s="57" t="str">
        <f t="shared" si="33"/>
        <v/>
      </c>
      <c r="Q91" s="57" t="str">
        <f t="shared" si="34"/>
        <v/>
      </c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7"/>
      <c r="C92" s="47"/>
      <c r="D92" s="48"/>
      <c r="E92" s="48"/>
      <c r="F92" s="58"/>
      <c r="G92" s="7"/>
      <c r="H92" s="7"/>
      <c r="I92" s="55" t="str">
        <f t="shared" si="28"/>
        <v/>
      </c>
      <c r="J92" s="55" t="str">
        <f t="shared" si="29"/>
        <v/>
      </c>
      <c r="K92" s="56" t="str">
        <f t="shared" si="30"/>
        <v/>
      </c>
      <c r="L92" s="56" t="str">
        <f t="shared" si="31"/>
        <v/>
      </c>
      <c r="M92" s="56" t="str">
        <f t="shared" si="14"/>
        <v/>
      </c>
      <c r="N92" s="56" t="str">
        <f t="shared" si="32"/>
        <v/>
      </c>
      <c r="O92" s="57" t="str">
        <f t="shared" si="16"/>
        <v/>
      </c>
      <c r="P92" s="57" t="str">
        <f t="shared" si="33"/>
        <v/>
      </c>
      <c r="Q92" s="57" t="str">
        <f t="shared" si="34"/>
        <v/>
      </c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7"/>
      <c r="C93" s="47"/>
      <c r="D93" s="48"/>
      <c r="E93" s="48"/>
      <c r="F93" s="58"/>
      <c r="G93" s="7"/>
      <c r="H93" s="7"/>
      <c r="I93" s="55" t="str">
        <f t="shared" si="28"/>
        <v/>
      </c>
      <c r="J93" s="55" t="str">
        <f t="shared" si="29"/>
        <v/>
      </c>
      <c r="K93" s="56" t="str">
        <f t="shared" si="30"/>
        <v/>
      </c>
      <c r="L93" s="56" t="str">
        <f t="shared" si="31"/>
        <v/>
      </c>
      <c r="M93" s="56" t="str">
        <f t="shared" ref="M93:M127" si="35">IF(D93=0,"",1-L93)</f>
        <v/>
      </c>
      <c r="N93" s="56" t="str">
        <f t="shared" si="32"/>
        <v/>
      </c>
      <c r="O93" s="57" t="str">
        <f t="shared" ref="O93:O127" si="36">IF(D93=0,"",F93*K93*$J$7/$J$14)</f>
        <v/>
      </c>
      <c r="P93" s="57" t="str">
        <f t="shared" si="33"/>
        <v/>
      </c>
      <c r="Q93" s="57" t="str">
        <f t="shared" si="34"/>
        <v/>
      </c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7"/>
      <c r="C94" s="47"/>
      <c r="D94" s="48"/>
      <c r="E94" s="48"/>
      <c r="F94" s="58"/>
      <c r="G94" s="7"/>
      <c r="H94" s="7"/>
      <c r="I94" s="55" t="str">
        <f t="shared" si="28"/>
        <v/>
      </c>
      <c r="J94" s="55" t="str">
        <f t="shared" si="29"/>
        <v/>
      </c>
      <c r="K94" s="56" t="str">
        <f t="shared" si="30"/>
        <v/>
      </c>
      <c r="L94" s="56" t="str">
        <f t="shared" si="31"/>
        <v/>
      </c>
      <c r="M94" s="56" t="str">
        <f t="shared" si="35"/>
        <v/>
      </c>
      <c r="N94" s="56" t="str">
        <f t="shared" si="32"/>
        <v/>
      </c>
      <c r="O94" s="57" t="str">
        <f t="shared" si="36"/>
        <v/>
      </c>
      <c r="P94" s="57" t="str">
        <f t="shared" si="33"/>
        <v/>
      </c>
      <c r="Q94" s="57" t="str">
        <f t="shared" si="34"/>
        <v/>
      </c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7"/>
      <c r="C95" s="47"/>
      <c r="D95" s="48"/>
      <c r="E95" s="48"/>
      <c r="F95" s="58"/>
      <c r="G95" s="7"/>
      <c r="H95" s="7"/>
      <c r="I95" s="55" t="str">
        <f t="shared" si="28"/>
        <v/>
      </c>
      <c r="J95" s="55" t="str">
        <f t="shared" si="29"/>
        <v/>
      </c>
      <c r="K95" s="56" t="str">
        <f t="shared" si="30"/>
        <v/>
      </c>
      <c r="L95" s="56" t="str">
        <f t="shared" si="31"/>
        <v/>
      </c>
      <c r="M95" s="56" t="str">
        <f t="shared" si="35"/>
        <v/>
      </c>
      <c r="N95" s="56" t="str">
        <f t="shared" si="32"/>
        <v/>
      </c>
      <c r="O95" s="57" t="str">
        <f t="shared" si="36"/>
        <v/>
      </c>
      <c r="P95" s="57" t="str">
        <f t="shared" si="33"/>
        <v/>
      </c>
      <c r="Q95" s="57" t="str">
        <f t="shared" si="34"/>
        <v/>
      </c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7"/>
      <c r="C96" s="47"/>
      <c r="D96" s="48"/>
      <c r="E96" s="48"/>
      <c r="F96" s="58"/>
      <c r="G96" s="7"/>
      <c r="H96" s="7"/>
      <c r="I96" s="55" t="str">
        <f t="shared" si="28"/>
        <v/>
      </c>
      <c r="J96" s="55" t="str">
        <f t="shared" si="29"/>
        <v/>
      </c>
      <c r="K96" s="56" t="str">
        <f t="shared" si="30"/>
        <v/>
      </c>
      <c r="L96" s="56" t="str">
        <f t="shared" si="31"/>
        <v/>
      </c>
      <c r="M96" s="56" t="str">
        <f t="shared" si="35"/>
        <v/>
      </c>
      <c r="N96" s="56" t="str">
        <f t="shared" si="32"/>
        <v/>
      </c>
      <c r="O96" s="57" t="str">
        <f t="shared" si="36"/>
        <v/>
      </c>
      <c r="P96" s="57" t="str">
        <f t="shared" si="33"/>
        <v/>
      </c>
      <c r="Q96" s="57" t="str">
        <f t="shared" si="34"/>
        <v/>
      </c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7"/>
      <c r="C97" s="47"/>
      <c r="D97" s="48"/>
      <c r="E97" s="48"/>
      <c r="F97" s="58"/>
      <c r="G97" s="7"/>
      <c r="H97" s="7"/>
      <c r="I97" s="55" t="str">
        <f t="shared" si="28"/>
        <v/>
      </c>
      <c r="J97" s="55" t="str">
        <f t="shared" si="29"/>
        <v/>
      </c>
      <c r="K97" s="56" t="str">
        <f t="shared" si="30"/>
        <v/>
      </c>
      <c r="L97" s="56" t="str">
        <f t="shared" si="31"/>
        <v/>
      </c>
      <c r="M97" s="56" t="str">
        <f t="shared" si="35"/>
        <v/>
      </c>
      <c r="N97" s="56" t="str">
        <f t="shared" si="32"/>
        <v/>
      </c>
      <c r="O97" s="57" t="str">
        <f t="shared" si="36"/>
        <v/>
      </c>
      <c r="P97" s="57" t="str">
        <f t="shared" si="33"/>
        <v/>
      </c>
      <c r="Q97" s="57" t="str">
        <f t="shared" si="34"/>
        <v/>
      </c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7"/>
      <c r="C98" s="47"/>
      <c r="D98" s="48"/>
      <c r="E98" s="48"/>
      <c r="F98" s="58"/>
      <c r="G98" s="7"/>
      <c r="H98" s="7"/>
      <c r="I98" s="55" t="str">
        <f t="shared" si="28"/>
        <v/>
      </c>
      <c r="J98" s="55" t="str">
        <f t="shared" si="29"/>
        <v/>
      </c>
      <c r="K98" s="56" t="str">
        <f t="shared" si="30"/>
        <v/>
      </c>
      <c r="L98" s="56" t="str">
        <f t="shared" si="31"/>
        <v/>
      </c>
      <c r="M98" s="56" t="str">
        <f t="shared" si="35"/>
        <v/>
      </c>
      <c r="N98" s="56" t="str">
        <f t="shared" si="32"/>
        <v/>
      </c>
      <c r="O98" s="57" t="str">
        <f t="shared" si="36"/>
        <v/>
      </c>
      <c r="P98" s="57" t="str">
        <f t="shared" si="33"/>
        <v/>
      </c>
      <c r="Q98" s="57" t="str">
        <f t="shared" si="34"/>
        <v/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7"/>
      <c r="C99" s="47"/>
      <c r="D99" s="48"/>
      <c r="E99" s="48"/>
      <c r="F99" s="58"/>
      <c r="G99" s="7"/>
      <c r="H99" s="7"/>
      <c r="I99" s="55" t="str">
        <f t="shared" si="28"/>
        <v/>
      </c>
      <c r="J99" s="55" t="str">
        <f t="shared" si="29"/>
        <v/>
      </c>
      <c r="K99" s="56" t="str">
        <f t="shared" si="30"/>
        <v/>
      </c>
      <c r="L99" s="56" t="str">
        <f t="shared" si="31"/>
        <v/>
      </c>
      <c r="M99" s="56" t="str">
        <f t="shared" si="35"/>
        <v/>
      </c>
      <c r="N99" s="56" t="str">
        <f t="shared" si="32"/>
        <v/>
      </c>
      <c r="O99" s="57" t="str">
        <f t="shared" si="36"/>
        <v/>
      </c>
      <c r="P99" s="57" t="str">
        <f t="shared" si="33"/>
        <v/>
      </c>
      <c r="Q99" s="57" t="str">
        <f t="shared" si="34"/>
        <v/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7"/>
      <c r="C100" s="47"/>
      <c r="D100" s="48"/>
      <c r="E100" s="48"/>
      <c r="F100" s="58"/>
      <c r="G100" s="7"/>
      <c r="H100" s="7"/>
      <c r="I100" s="55" t="str">
        <f t="shared" si="28"/>
        <v/>
      </c>
      <c r="J100" s="55" t="str">
        <f t="shared" si="29"/>
        <v/>
      </c>
      <c r="K100" s="56" t="str">
        <f t="shared" si="30"/>
        <v/>
      </c>
      <c r="L100" s="56" t="str">
        <f t="shared" si="31"/>
        <v/>
      </c>
      <c r="M100" s="56" t="str">
        <f t="shared" si="35"/>
        <v/>
      </c>
      <c r="N100" s="56" t="str">
        <f t="shared" si="32"/>
        <v/>
      </c>
      <c r="O100" s="57" t="str">
        <f t="shared" si="36"/>
        <v/>
      </c>
      <c r="P100" s="57" t="str">
        <f t="shared" si="33"/>
        <v/>
      </c>
      <c r="Q100" s="57" t="str">
        <f t="shared" si="34"/>
        <v/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7"/>
      <c r="C101" s="47"/>
      <c r="D101" s="48"/>
      <c r="E101" s="48"/>
      <c r="F101" s="58"/>
      <c r="G101" s="7"/>
      <c r="H101" s="7"/>
      <c r="I101" s="55" t="str">
        <f t="shared" si="28"/>
        <v/>
      </c>
      <c r="J101" s="55" t="str">
        <f t="shared" si="29"/>
        <v/>
      </c>
      <c r="K101" s="56" t="str">
        <f t="shared" si="30"/>
        <v/>
      </c>
      <c r="L101" s="56" t="str">
        <f t="shared" si="31"/>
        <v/>
      </c>
      <c r="M101" s="56" t="str">
        <f t="shared" si="35"/>
        <v/>
      </c>
      <c r="N101" s="56" t="str">
        <f t="shared" si="32"/>
        <v/>
      </c>
      <c r="O101" s="57" t="str">
        <f t="shared" si="36"/>
        <v/>
      </c>
      <c r="P101" s="57" t="str">
        <f t="shared" si="33"/>
        <v/>
      </c>
      <c r="Q101" s="57" t="str">
        <f t="shared" si="34"/>
        <v/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7"/>
      <c r="C102" s="47"/>
      <c r="D102" s="48"/>
      <c r="E102" s="48"/>
      <c r="F102" s="58"/>
      <c r="G102" s="7"/>
      <c r="H102" s="7"/>
      <c r="I102" s="55" t="str">
        <f t="shared" si="28"/>
        <v/>
      </c>
      <c r="J102" s="55" t="str">
        <f t="shared" si="29"/>
        <v/>
      </c>
      <c r="K102" s="56" t="str">
        <f t="shared" si="30"/>
        <v/>
      </c>
      <c r="L102" s="56" t="str">
        <f t="shared" si="31"/>
        <v/>
      </c>
      <c r="M102" s="56" t="str">
        <f t="shared" si="35"/>
        <v/>
      </c>
      <c r="N102" s="56" t="str">
        <f t="shared" si="32"/>
        <v/>
      </c>
      <c r="O102" s="57" t="str">
        <f t="shared" si="36"/>
        <v/>
      </c>
      <c r="P102" s="57" t="str">
        <f t="shared" si="33"/>
        <v/>
      </c>
      <c r="Q102" s="57" t="str">
        <f t="shared" si="34"/>
        <v/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7"/>
      <c r="C103" s="47"/>
      <c r="D103" s="48"/>
      <c r="E103" s="48"/>
      <c r="F103" s="58"/>
      <c r="G103" s="7"/>
      <c r="H103" s="7"/>
      <c r="I103" s="55" t="str">
        <f t="shared" si="28"/>
        <v/>
      </c>
      <c r="J103" s="55" t="str">
        <f t="shared" si="29"/>
        <v/>
      </c>
      <c r="K103" s="56" t="str">
        <f t="shared" si="30"/>
        <v/>
      </c>
      <c r="L103" s="56" t="str">
        <f t="shared" si="31"/>
        <v/>
      </c>
      <c r="M103" s="56" t="str">
        <f t="shared" si="35"/>
        <v/>
      </c>
      <c r="N103" s="56" t="str">
        <f t="shared" si="32"/>
        <v/>
      </c>
      <c r="O103" s="57" t="str">
        <f t="shared" si="36"/>
        <v/>
      </c>
      <c r="P103" s="57" t="str">
        <f t="shared" si="33"/>
        <v/>
      </c>
      <c r="Q103" s="57" t="str">
        <f t="shared" si="34"/>
        <v/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7"/>
      <c r="C104" s="47"/>
      <c r="D104" s="48"/>
      <c r="E104" s="48"/>
      <c r="F104" s="58"/>
      <c r="G104" s="7"/>
      <c r="H104" s="7"/>
      <c r="I104" s="55" t="str">
        <f t="shared" si="28"/>
        <v/>
      </c>
      <c r="J104" s="55" t="str">
        <f t="shared" si="29"/>
        <v/>
      </c>
      <c r="K104" s="56" t="str">
        <f t="shared" si="30"/>
        <v/>
      </c>
      <c r="L104" s="56" t="str">
        <f t="shared" si="31"/>
        <v/>
      </c>
      <c r="M104" s="56" t="str">
        <f t="shared" si="35"/>
        <v/>
      </c>
      <c r="N104" s="56" t="str">
        <f t="shared" si="32"/>
        <v/>
      </c>
      <c r="O104" s="57" t="str">
        <f t="shared" si="36"/>
        <v/>
      </c>
      <c r="P104" s="57" t="str">
        <f t="shared" si="33"/>
        <v/>
      </c>
      <c r="Q104" s="57" t="str">
        <f t="shared" si="34"/>
        <v/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7"/>
      <c r="C105" s="47"/>
      <c r="D105" s="48"/>
      <c r="E105" s="48"/>
      <c r="F105" s="58"/>
      <c r="G105" s="7"/>
      <c r="H105" s="7"/>
      <c r="I105" s="55" t="str">
        <f t="shared" si="28"/>
        <v/>
      </c>
      <c r="J105" s="55" t="str">
        <f t="shared" si="29"/>
        <v/>
      </c>
      <c r="K105" s="56" t="str">
        <f t="shared" si="30"/>
        <v/>
      </c>
      <c r="L105" s="56" t="str">
        <f t="shared" si="31"/>
        <v/>
      </c>
      <c r="M105" s="56" t="str">
        <f t="shared" si="35"/>
        <v/>
      </c>
      <c r="N105" s="56" t="str">
        <f t="shared" si="32"/>
        <v/>
      </c>
      <c r="O105" s="57" t="str">
        <f t="shared" si="36"/>
        <v/>
      </c>
      <c r="P105" s="57" t="str">
        <f t="shared" si="33"/>
        <v/>
      </c>
      <c r="Q105" s="57" t="str">
        <f t="shared" si="34"/>
        <v/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7"/>
      <c r="C106" s="47"/>
      <c r="D106" s="48"/>
      <c r="E106" s="48"/>
      <c r="F106" s="58"/>
      <c r="G106" s="7"/>
      <c r="H106" s="7"/>
      <c r="I106" s="55" t="str">
        <f t="shared" si="28"/>
        <v/>
      </c>
      <c r="J106" s="55" t="str">
        <f t="shared" si="29"/>
        <v/>
      </c>
      <c r="K106" s="56" t="str">
        <f t="shared" si="30"/>
        <v/>
      </c>
      <c r="L106" s="56" t="str">
        <f t="shared" si="31"/>
        <v/>
      </c>
      <c r="M106" s="56" t="str">
        <f t="shared" si="35"/>
        <v/>
      </c>
      <c r="N106" s="56" t="str">
        <f t="shared" si="32"/>
        <v/>
      </c>
      <c r="O106" s="57" t="str">
        <f t="shared" si="36"/>
        <v/>
      </c>
      <c r="P106" s="57" t="str">
        <f t="shared" si="33"/>
        <v/>
      </c>
      <c r="Q106" s="57" t="str">
        <f t="shared" si="34"/>
        <v/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7"/>
      <c r="C107" s="47"/>
      <c r="D107" s="48"/>
      <c r="E107" s="48"/>
      <c r="F107" s="58"/>
      <c r="G107" s="7"/>
      <c r="H107" s="7"/>
      <c r="I107" s="55" t="str">
        <f t="shared" si="28"/>
        <v/>
      </c>
      <c r="J107" s="55" t="str">
        <f t="shared" si="29"/>
        <v/>
      </c>
      <c r="K107" s="56" t="str">
        <f t="shared" si="30"/>
        <v/>
      </c>
      <c r="L107" s="56" t="str">
        <f t="shared" si="31"/>
        <v/>
      </c>
      <c r="M107" s="56" t="str">
        <f t="shared" si="35"/>
        <v/>
      </c>
      <c r="N107" s="56" t="str">
        <f t="shared" si="32"/>
        <v/>
      </c>
      <c r="O107" s="57" t="str">
        <f t="shared" si="36"/>
        <v/>
      </c>
      <c r="P107" s="57" t="str">
        <f t="shared" si="33"/>
        <v/>
      </c>
      <c r="Q107" s="57" t="str">
        <f t="shared" si="34"/>
        <v/>
      </c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7"/>
      <c r="C108" s="47"/>
      <c r="D108" s="48"/>
      <c r="E108" s="48"/>
      <c r="F108" s="58"/>
      <c r="G108" s="7"/>
      <c r="H108" s="7"/>
      <c r="I108" s="55" t="str">
        <f t="shared" si="28"/>
        <v/>
      </c>
      <c r="J108" s="55" t="str">
        <f t="shared" si="29"/>
        <v/>
      </c>
      <c r="K108" s="56" t="str">
        <f t="shared" si="30"/>
        <v/>
      </c>
      <c r="L108" s="56" t="str">
        <f t="shared" si="31"/>
        <v/>
      </c>
      <c r="M108" s="56" t="str">
        <f t="shared" si="35"/>
        <v/>
      </c>
      <c r="N108" s="56" t="str">
        <f t="shared" si="32"/>
        <v/>
      </c>
      <c r="O108" s="57" t="str">
        <f t="shared" si="36"/>
        <v/>
      </c>
      <c r="P108" s="57" t="str">
        <f t="shared" si="33"/>
        <v/>
      </c>
      <c r="Q108" s="57" t="str">
        <f t="shared" si="34"/>
        <v/>
      </c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7"/>
      <c r="C109" s="47"/>
      <c r="D109" s="48"/>
      <c r="E109" s="48"/>
      <c r="F109" s="58"/>
      <c r="G109" s="7"/>
      <c r="H109" s="7"/>
      <c r="I109" s="55" t="str">
        <f t="shared" si="28"/>
        <v/>
      </c>
      <c r="J109" s="55" t="str">
        <f t="shared" si="29"/>
        <v/>
      </c>
      <c r="K109" s="56" t="str">
        <f t="shared" si="30"/>
        <v/>
      </c>
      <c r="L109" s="56" t="str">
        <f t="shared" si="31"/>
        <v/>
      </c>
      <c r="M109" s="56" t="str">
        <f t="shared" si="35"/>
        <v/>
      </c>
      <c r="N109" s="56" t="str">
        <f t="shared" si="32"/>
        <v/>
      </c>
      <c r="O109" s="57" t="str">
        <f t="shared" si="36"/>
        <v/>
      </c>
      <c r="P109" s="57" t="str">
        <f t="shared" si="33"/>
        <v/>
      </c>
      <c r="Q109" s="57" t="str">
        <f t="shared" si="34"/>
        <v/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7"/>
      <c r="C110" s="47"/>
      <c r="D110" s="48"/>
      <c r="E110" s="48"/>
      <c r="F110" s="58"/>
      <c r="G110" s="7"/>
      <c r="H110" s="7"/>
      <c r="I110" s="55" t="str">
        <f t="shared" si="28"/>
        <v/>
      </c>
      <c r="J110" s="55" t="str">
        <f t="shared" si="29"/>
        <v/>
      </c>
      <c r="K110" s="56" t="str">
        <f t="shared" si="30"/>
        <v/>
      </c>
      <c r="L110" s="56" t="str">
        <f t="shared" si="31"/>
        <v/>
      </c>
      <c r="M110" s="56" t="str">
        <f t="shared" si="35"/>
        <v/>
      </c>
      <c r="N110" s="56" t="str">
        <f t="shared" si="32"/>
        <v/>
      </c>
      <c r="O110" s="57" t="str">
        <f t="shared" si="36"/>
        <v/>
      </c>
      <c r="P110" s="57" t="str">
        <f t="shared" si="33"/>
        <v/>
      </c>
      <c r="Q110" s="57" t="str">
        <f t="shared" si="34"/>
        <v/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7"/>
      <c r="C111" s="47"/>
      <c r="D111" s="48"/>
      <c r="E111" s="48"/>
      <c r="F111" s="58"/>
      <c r="G111" s="7"/>
      <c r="H111" s="7"/>
      <c r="I111" s="55" t="str">
        <f t="shared" si="28"/>
        <v/>
      </c>
      <c r="J111" s="55" t="str">
        <f t="shared" si="29"/>
        <v/>
      </c>
      <c r="K111" s="56" t="str">
        <f t="shared" si="30"/>
        <v/>
      </c>
      <c r="L111" s="56" t="str">
        <f t="shared" si="31"/>
        <v/>
      </c>
      <c r="M111" s="56" t="str">
        <f t="shared" si="35"/>
        <v/>
      </c>
      <c r="N111" s="56" t="str">
        <f t="shared" si="32"/>
        <v/>
      </c>
      <c r="O111" s="57" t="str">
        <f t="shared" si="36"/>
        <v/>
      </c>
      <c r="P111" s="57" t="str">
        <f t="shared" si="33"/>
        <v/>
      </c>
      <c r="Q111" s="57" t="str">
        <f t="shared" si="34"/>
        <v/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7"/>
      <c r="C112" s="47"/>
      <c r="D112" s="48"/>
      <c r="E112" s="48"/>
      <c r="F112" s="58"/>
      <c r="G112" s="7"/>
      <c r="H112" s="7"/>
      <c r="I112" s="55" t="str">
        <f t="shared" si="28"/>
        <v/>
      </c>
      <c r="J112" s="55" t="str">
        <f t="shared" si="29"/>
        <v/>
      </c>
      <c r="K112" s="56" t="str">
        <f t="shared" si="30"/>
        <v/>
      </c>
      <c r="L112" s="56" t="str">
        <f t="shared" si="31"/>
        <v/>
      </c>
      <c r="M112" s="56" t="str">
        <f t="shared" si="35"/>
        <v/>
      </c>
      <c r="N112" s="56" t="str">
        <f t="shared" si="32"/>
        <v/>
      </c>
      <c r="O112" s="57" t="str">
        <f t="shared" si="36"/>
        <v/>
      </c>
      <c r="P112" s="57" t="str">
        <f t="shared" si="33"/>
        <v/>
      </c>
      <c r="Q112" s="57" t="str">
        <f t="shared" si="34"/>
        <v/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7"/>
      <c r="C113" s="47"/>
      <c r="D113" s="48"/>
      <c r="E113" s="48"/>
      <c r="F113" s="58"/>
      <c r="G113" s="7"/>
      <c r="H113" s="7"/>
      <c r="I113" s="55" t="str">
        <f t="shared" si="28"/>
        <v/>
      </c>
      <c r="J113" s="55" t="str">
        <f t="shared" si="29"/>
        <v/>
      </c>
      <c r="K113" s="56" t="str">
        <f t="shared" si="30"/>
        <v/>
      </c>
      <c r="L113" s="56" t="str">
        <f t="shared" si="31"/>
        <v/>
      </c>
      <c r="M113" s="56" t="str">
        <f t="shared" si="35"/>
        <v/>
      </c>
      <c r="N113" s="56" t="str">
        <f t="shared" si="32"/>
        <v/>
      </c>
      <c r="O113" s="57" t="str">
        <f t="shared" si="36"/>
        <v/>
      </c>
      <c r="P113" s="57" t="str">
        <f t="shared" si="33"/>
        <v/>
      </c>
      <c r="Q113" s="57" t="str">
        <f t="shared" si="34"/>
        <v/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7"/>
      <c r="C114" s="47"/>
      <c r="D114" s="48"/>
      <c r="E114" s="48"/>
      <c r="F114" s="58"/>
      <c r="G114" s="7"/>
      <c r="H114" s="7"/>
      <c r="I114" s="55" t="str">
        <f t="shared" si="28"/>
        <v/>
      </c>
      <c r="J114" s="55" t="str">
        <f t="shared" si="29"/>
        <v/>
      </c>
      <c r="K114" s="56" t="str">
        <f t="shared" si="30"/>
        <v/>
      </c>
      <c r="L114" s="56" t="str">
        <f t="shared" si="31"/>
        <v/>
      </c>
      <c r="M114" s="56" t="str">
        <f t="shared" si="35"/>
        <v/>
      </c>
      <c r="N114" s="56" t="str">
        <f t="shared" si="32"/>
        <v/>
      </c>
      <c r="O114" s="57" t="str">
        <f t="shared" si="36"/>
        <v/>
      </c>
      <c r="P114" s="57" t="str">
        <f t="shared" si="33"/>
        <v/>
      </c>
      <c r="Q114" s="57" t="str">
        <f t="shared" si="34"/>
        <v/>
      </c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7"/>
      <c r="C115" s="47"/>
      <c r="D115" s="48"/>
      <c r="E115" s="48"/>
      <c r="F115" s="58"/>
      <c r="G115" s="7"/>
      <c r="H115" s="7"/>
      <c r="I115" s="55" t="str">
        <f t="shared" si="28"/>
        <v/>
      </c>
      <c r="J115" s="55" t="str">
        <f t="shared" si="29"/>
        <v/>
      </c>
      <c r="K115" s="56" t="str">
        <f t="shared" si="30"/>
        <v/>
      </c>
      <c r="L115" s="56" t="str">
        <f t="shared" si="31"/>
        <v/>
      </c>
      <c r="M115" s="56" t="str">
        <f t="shared" si="35"/>
        <v/>
      </c>
      <c r="N115" s="56" t="str">
        <f t="shared" si="32"/>
        <v/>
      </c>
      <c r="O115" s="57" t="str">
        <f t="shared" si="36"/>
        <v/>
      </c>
      <c r="P115" s="57" t="str">
        <f t="shared" si="33"/>
        <v/>
      </c>
      <c r="Q115" s="57" t="str">
        <f t="shared" si="34"/>
        <v/>
      </c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7"/>
      <c r="C116" s="47"/>
      <c r="D116" s="48"/>
      <c r="E116" s="48"/>
      <c r="F116" s="58"/>
      <c r="G116" s="7"/>
      <c r="H116" s="7"/>
      <c r="I116" s="55" t="str">
        <f t="shared" si="28"/>
        <v/>
      </c>
      <c r="J116" s="55" t="str">
        <f t="shared" si="29"/>
        <v/>
      </c>
      <c r="K116" s="56" t="str">
        <f t="shared" si="30"/>
        <v/>
      </c>
      <c r="L116" s="56" t="str">
        <f t="shared" si="31"/>
        <v/>
      </c>
      <c r="M116" s="56" t="str">
        <f t="shared" si="35"/>
        <v/>
      </c>
      <c r="N116" s="56" t="str">
        <f t="shared" si="32"/>
        <v/>
      </c>
      <c r="O116" s="57" t="str">
        <f t="shared" si="36"/>
        <v/>
      </c>
      <c r="P116" s="57" t="str">
        <f t="shared" si="33"/>
        <v/>
      </c>
      <c r="Q116" s="57" t="str">
        <f t="shared" si="34"/>
        <v/>
      </c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7"/>
      <c r="C117" s="47"/>
      <c r="D117" s="48"/>
      <c r="E117" s="48"/>
      <c r="F117" s="58"/>
      <c r="G117" s="7"/>
      <c r="H117" s="7"/>
      <c r="I117" s="55" t="str">
        <f t="shared" si="28"/>
        <v/>
      </c>
      <c r="J117" s="55" t="str">
        <f t="shared" si="29"/>
        <v/>
      </c>
      <c r="K117" s="56" t="str">
        <f t="shared" si="30"/>
        <v/>
      </c>
      <c r="L117" s="56" t="str">
        <f t="shared" si="31"/>
        <v/>
      </c>
      <c r="M117" s="56" t="str">
        <f t="shared" si="35"/>
        <v/>
      </c>
      <c r="N117" s="56" t="str">
        <f t="shared" si="32"/>
        <v/>
      </c>
      <c r="O117" s="57" t="str">
        <f t="shared" si="36"/>
        <v/>
      </c>
      <c r="P117" s="57" t="str">
        <f t="shared" si="33"/>
        <v/>
      </c>
      <c r="Q117" s="57" t="str">
        <f t="shared" si="34"/>
        <v/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7"/>
      <c r="C118" s="47"/>
      <c r="D118" s="48"/>
      <c r="E118" s="48"/>
      <c r="F118" s="58"/>
      <c r="G118" s="7"/>
      <c r="H118" s="7"/>
      <c r="I118" s="55" t="str">
        <f t="shared" si="28"/>
        <v/>
      </c>
      <c r="J118" s="55" t="str">
        <f t="shared" si="29"/>
        <v/>
      </c>
      <c r="K118" s="56" t="str">
        <f t="shared" si="30"/>
        <v/>
      </c>
      <c r="L118" s="56" t="str">
        <f t="shared" si="31"/>
        <v/>
      </c>
      <c r="M118" s="56" t="str">
        <f t="shared" si="35"/>
        <v/>
      </c>
      <c r="N118" s="56" t="str">
        <f t="shared" si="32"/>
        <v/>
      </c>
      <c r="O118" s="57" t="str">
        <f t="shared" si="36"/>
        <v/>
      </c>
      <c r="P118" s="57" t="str">
        <f t="shared" si="33"/>
        <v/>
      </c>
      <c r="Q118" s="57" t="str">
        <f t="shared" si="34"/>
        <v/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7"/>
      <c r="C119" s="47"/>
      <c r="D119" s="48"/>
      <c r="E119" s="48"/>
      <c r="F119" s="58"/>
      <c r="G119" s="7"/>
      <c r="H119" s="7"/>
      <c r="I119" s="55" t="str">
        <f t="shared" si="28"/>
        <v/>
      </c>
      <c r="J119" s="55" t="str">
        <f t="shared" si="29"/>
        <v/>
      </c>
      <c r="K119" s="56" t="str">
        <f t="shared" si="30"/>
        <v/>
      </c>
      <c r="L119" s="56" t="str">
        <f t="shared" si="31"/>
        <v/>
      </c>
      <c r="M119" s="56" t="str">
        <f t="shared" si="35"/>
        <v/>
      </c>
      <c r="N119" s="56" t="str">
        <f t="shared" si="32"/>
        <v/>
      </c>
      <c r="O119" s="57" t="str">
        <f t="shared" si="36"/>
        <v/>
      </c>
      <c r="P119" s="57" t="str">
        <f t="shared" si="33"/>
        <v/>
      </c>
      <c r="Q119" s="57" t="str">
        <f t="shared" si="34"/>
        <v/>
      </c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7"/>
      <c r="C120" s="47"/>
      <c r="D120" s="48"/>
      <c r="E120" s="48"/>
      <c r="F120" s="58"/>
      <c r="G120" s="7"/>
      <c r="H120" s="7"/>
      <c r="I120" s="55" t="str">
        <f t="shared" si="28"/>
        <v/>
      </c>
      <c r="J120" s="55" t="str">
        <f t="shared" si="29"/>
        <v/>
      </c>
      <c r="K120" s="56" t="str">
        <f t="shared" si="30"/>
        <v/>
      </c>
      <c r="L120" s="56" t="str">
        <f t="shared" si="31"/>
        <v/>
      </c>
      <c r="M120" s="56" t="str">
        <f t="shared" si="35"/>
        <v/>
      </c>
      <c r="N120" s="56" t="str">
        <f t="shared" si="32"/>
        <v/>
      </c>
      <c r="O120" s="57" t="str">
        <f t="shared" si="36"/>
        <v/>
      </c>
      <c r="P120" s="57" t="str">
        <f t="shared" si="33"/>
        <v/>
      </c>
      <c r="Q120" s="57" t="str">
        <f t="shared" si="34"/>
        <v/>
      </c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7"/>
      <c r="C121" s="47"/>
      <c r="D121" s="48"/>
      <c r="E121" s="48"/>
      <c r="F121" s="58"/>
      <c r="G121" s="7"/>
      <c r="H121" s="7"/>
      <c r="I121" s="55" t="str">
        <f t="shared" si="28"/>
        <v/>
      </c>
      <c r="J121" s="55" t="str">
        <f t="shared" si="29"/>
        <v/>
      </c>
      <c r="K121" s="56" t="str">
        <f t="shared" si="30"/>
        <v/>
      </c>
      <c r="L121" s="56" t="str">
        <f t="shared" si="31"/>
        <v/>
      </c>
      <c r="M121" s="56" t="str">
        <f t="shared" si="35"/>
        <v/>
      </c>
      <c r="N121" s="56" t="str">
        <f t="shared" si="32"/>
        <v/>
      </c>
      <c r="O121" s="57" t="str">
        <f t="shared" si="36"/>
        <v/>
      </c>
      <c r="P121" s="57" t="str">
        <f t="shared" si="33"/>
        <v/>
      </c>
      <c r="Q121" s="57" t="str">
        <f t="shared" si="34"/>
        <v/>
      </c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7"/>
      <c r="C122" s="47"/>
      <c r="D122" s="48"/>
      <c r="E122" s="48"/>
      <c r="F122" s="58"/>
      <c r="G122" s="7"/>
      <c r="H122" s="7"/>
      <c r="I122" s="55" t="str">
        <f t="shared" si="28"/>
        <v/>
      </c>
      <c r="J122" s="55" t="str">
        <f t="shared" si="29"/>
        <v/>
      </c>
      <c r="K122" s="56" t="str">
        <f t="shared" si="30"/>
        <v/>
      </c>
      <c r="L122" s="56" t="str">
        <f t="shared" si="31"/>
        <v/>
      </c>
      <c r="M122" s="56" t="str">
        <f t="shared" si="35"/>
        <v/>
      </c>
      <c r="N122" s="56" t="str">
        <f t="shared" si="32"/>
        <v/>
      </c>
      <c r="O122" s="57" t="str">
        <f t="shared" si="36"/>
        <v/>
      </c>
      <c r="P122" s="57" t="str">
        <f t="shared" si="33"/>
        <v/>
      </c>
      <c r="Q122" s="57" t="str">
        <f t="shared" si="34"/>
        <v/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7"/>
      <c r="C123" s="47"/>
      <c r="D123" s="48"/>
      <c r="E123" s="48"/>
      <c r="F123" s="58"/>
      <c r="G123" s="7"/>
      <c r="H123" s="7"/>
      <c r="I123" s="55" t="str">
        <f t="shared" ref="I123:I127" si="37">IF(D123=0,"",LOG($K$15*10^D123+$K$16*10^E123+$K$14))</f>
        <v/>
      </c>
      <c r="J123" s="55" t="str">
        <f t="shared" ref="J123:J127" si="38">IF(D123=0,"",LOG($K$21*10^D123+$K$22*10^E123+$K$20))</f>
        <v/>
      </c>
      <c r="K123" s="56" t="str">
        <f t="shared" ref="K123:K127" si="39">IF(D123=0,"",1/(1+10^D123*$J$15/$J$14+10^E123*$J$16/$J$14+10^J123*$J$19/$J$14))</f>
        <v/>
      </c>
      <c r="L123" s="56" t="str">
        <f t="shared" ref="L123:L127" si="40">IF(D123=0,"",1/(1+10^I123/10^J123*$J$13/$J$19))</f>
        <v/>
      </c>
      <c r="M123" s="56" t="str">
        <f t="shared" si="35"/>
        <v/>
      </c>
      <c r="N123" s="56" t="str">
        <f t="shared" ref="N123:N127" si="41">IF(D123=0,"",1/(1/10^E123*$J$20/$J$22+10^D123/10^E123*$J$21/$J$22+10^I123/10^E123*$J$13/$J$22+1))</f>
        <v/>
      </c>
      <c r="O123" s="57" t="str">
        <f t="shared" si="36"/>
        <v/>
      </c>
      <c r="P123" s="57" t="str">
        <f t="shared" ref="P123:P127" si="42">IF(D123=0,"",O123*10^J123)</f>
        <v/>
      </c>
      <c r="Q123" s="57" t="str">
        <f t="shared" ref="Q123:Q127" si="43">IF(D123=0,"",F123*N123*$J$7/$J$22)</f>
        <v/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7"/>
      <c r="C124" s="47"/>
      <c r="D124" s="48"/>
      <c r="E124" s="48"/>
      <c r="F124" s="58"/>
      <c r="G124" s="7"/>
      <c r="H124" s="7"/>
      <c r="I124" s="55" t="str">
        <f t="shared" si="37"/>
        <v/>
      </c>
      <c r="J124" s="55" t="str">
        <f t="shared" si="38"/>
        <v/>
      </c>
      <c r="K124" s="56" t="str">
        <f t="shared" si="39"/>
        <v/>
      </c>
      <c r="L124" s="56" t="str">
        <f t="shared" si="40"/>
        <v/>
      </c>
      <c r="M124" s="56" t="str">
        <f t="shared" si="35"/>
        <v/>
      </c>
      <c r="N124" s="56" t="str">
        <f t="shared" si="41"/>
        <v/>
      </c>
      <c r="O124" s="57" t="str">
        <f t="shared" si="36"/>
        <v/>
      </c>
      <c r="P124" s="57" t="str">
        <f t="shared" si="42"/>
        <v/>
      </c>
      <c r="Q124" s="57" t="str">
        <f t="shared" si="43"/>
        <v/>
      </c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7"/>
      <c r="C125" s="47"/>
      <c r="D125" s="48"/>
      <c r="E125" s="48"/>
      <c r="F125" s="58"/>
      <c r="G125" s="7"/>
      <c r="H125" s="7"/>
      <c r="I125" s="55" t="str">
        <f t="shared" si="37"/>
        <v/>
      </c>
      <c r="J125" s="55" t="str">
        <f t="shared" si="38"/>
        <v/>
      </c>
      <c r="K125" s="56" t="str">
        <f t="shared" si="39"/>
        <v/>
      </c>
      <c r="L125" s="56" t="str">
        <f t="shared" si="40"/>
        <v/>
      </c>
      <c r="M125" s="56" t="str">
        <f t="shared" si="35"/>
        <v/>
      </c>
      <c r="N125" s="56" t="str">
        <f t="shared" si="41"/>
        <v/>
      </c>
      <c r="O125" s="57" t="str">
        <f t="shared" si="36"/>
        <v/>
      </c>
      <c r="P125" s="57" t="str">
        <f t="shared" si="42"/>
        <v/>
      </c>
      <c r="Q125" s="57" t="str">
        <f t="shared" si="43"/>
        <v/>
      </c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7"/>
      <c r="C126" s="47"/>
      <c r="D126" s="48"/>
      <c r="E126" s="48"/>
      <c r="F126" s="58"/>
      <c r="G126" s="7"/>
      <c r="H126" s="7"/>
      <c r="I126" s="55" t="str">
        <f t="shared" si="37"/>
        <v/>
      </c>
      <c r="J126" s="55" t="str">
        <f t="shared" si="38"/>
        <v/>
      </c>
      <c r="K126" s="56" t="str">
        <f t="shared" si="39"/>
        <v/>
      </c>
      <c r="L126" s="56" t="str">
        <f t="shared" si="40"/>
        <v/>
      </c>
      <c r="M126" s="56" t="str">
        <f t="shared" si="35"/>
        <v/>
      </c>
      <c r="N126" s="56" t="str">
        <f t="shared" si="41"/>
        <v/>
      </c>
      <c r="O126" s="57" t="str">
        <f t="shared" si="36"/>
        <v/>
      </c>
      <c r="P126" s="57" t="str">
        <f t="shared" si="42"/>
        <v/>
      </c>
      <c r="Q126" s="57" t="str">
        <f t="shared" si="43"/>
        <v/>
      </c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7"/>
      <c r="C127" s="47"/>
      <c r="D127" s="48"/>
      <c r="E127" s="48"/>
      <c r="F127" s="58"/>
      <c r="G127" s="7"/>
      <c r="H127" s="7"/>
      <c r="I127" s="55" t="str">
        <f t="shared" si="37"/>
        <v/>
      </c>
      <c r="J127" s="55" t="str">
        <f t="shared" si="38"/>
        <v/>
      </c>
      <c r="K127" s="56" t="str">
        <f t="shared" si="39"/>
        <v/>
      </c>
      <c r="L127" s="56" t="str">
        <f t="shared" si="40"/>
        <v/>
      </c>
      <c r="M127" s="56" t="str">
        <f t="shared" si="35"/>
        <v/>
      </c>
      <c r="N127" s="56" t="str">
        <f t="shared" si="41"/>
        <v/>
      </c>
      <c r="O127" s="57" t="str">
        <f t="shared" si="36"/>
        <v/>
      </c>
      <c r="P127" s="57" t="str">
        <f t="shared" si="42"/>
        <v/>
      </c>
      <c r="Q127" s="57" t="str">
        <f t="shared" si="43"/>
        <v/>
      </c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82" t="s">
        <v>72</v>
      </c>
      <c r="C128" s="49"/>
      <c r="D128" s="49"/>
      <c r="E128" s="49"/>
      <c r="F128" s="49"/>
      <c r="G128" s="7"/>
      <c r="H128" s="7"/>
      <c r="I128" s="82" t="s">
        <v>72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9"/>
      <c r="C129" s="49"/>
      <c r="D129" s="49"/>
      <c r="E129" s="49"/>
      <c r="F129" s="49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9"/>
      <c r="C130" s="49"/>
      <c r="D130" s="49"/>
      <c r="E130" s="49"/>
      <c r="F130" s="49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9"/>
      <c r="C131" s="49"/>
      <c r="D131" s="49"/>
      <c r="E131" s="49"/>
      <c r="F131" s="49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9"/>
      <c r="C132" s="49"/>
      <c r="D132" s="49"/>
      <c r="E132" s="49"/>
      <c r="F132" s="49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9"/>
      <c r="C133" s="49"/>
      <c r="D133" s="49"/>
      <c r="E133" s="49"/>
      <c r="F133" s="49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9"/>
      <c r="C134" s="49"/>
      <c r="D134" s="49"/>
      <c r="E134" s="49"/>
      <c r="F134" s="49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9"/>
      <c r="C135" s="49"/>
      <c r="D135" s="49"/>
      <c r="E135" s="49"/>
      <c r="F135" s="49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9"/>
      <c r="C136" s="49"/>
      <c r="D136" s="49"/>
      <c r="E136" s="49"/>
      <c r="F136" s="49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9"/>
      <c r="C137" s="49"/>
      <c r="D137" s="49"/>
      <c r="E137" s="49"/>
      <c r="F137" s="49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9"/>
      <c r="C138" s="49"/>
      <c r="D138" s="49"/>
      <c r="E138" s="49"/>
      <c r="F138" s="49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9"/>
      <c r="C139" s="49"/>
      <c r="D139" s="49"/>
      <c r="E139" s="49"/>
      <c r="F139" s="49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9"/>
      <c r="C140" s="49"/>
      <c r="D140" s="49"/>
      <c r="E140" s="49"/>
      <c r="F140" s="49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9"/>
      <c r="C141" s="49"/>
      <c r="D141" s="49"/>
      <c r="E141" s="49"/>
      <c r="F141" s="49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9"/>
      <c r="C142" s="49"/>
      <c r="D142" s="49"/>
      <c r="E142" s="49"/>
      <c r="F142" s="49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9"/>
      <c r="C143" s="49"/>
      <c r="D143" s="49"/>
      <c r="E143" s="49"/>
      <c r="F143" s="49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9"/>
      <c r="C144" s="49"/>
      <c r="D144" s="49"/>
      <c r="E144" s="49"/>
      <c r="F144" s="49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9"/>
      <c r="C145" s="49"/>
      <c r="D145" s="49"/>
      <c r="E145" s="49"/>
      <c r="F145" s="49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9"/>
      <c r="C146" s="49"/>
      <c r="D146" s="49"/>
      <c r="E146" s="49"/>
      <c r="F146" s="49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9"/>
      <c r="C147" s="49"/>
      <c r="D147" s="49"/>
      <c r="E147" s="49"/>
      <c r="F147" s="49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9"/>
      <c r="C148" s="49"/>
      <c r="D148" s="49"/>
      <c r="E148" s="49"/>
      <c r="F148" s="49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9"/>
      <c r="C149" s="49"/>
      <c r="D149" s="49"/>
      <c r="E149" s="49"/>
      <c r="F149" s="49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9"/>
      <c r="C150" s="49"/>
      <c r="D150" s="49"/>
      <c r="E150" s="49"/>
      <c r="F150" s="49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9"/>
      <c r="C151" s="49"/>
      <c r="D151" s="49"/>
      <c r="E151" s="49"/>
      <c r="F151" s="49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9"/>
      <c r="C152" s="49"/>
      <c r="D152" s="49"/>
      <c r="E152" s="49"/>
      <c r="F152" s="49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9"/>
      <c r="C153" s="49"/>
      <c r="D153" s="49"/>
      <c r="E153" s="49"/>
      <c r="F153" s="49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9"/>
      <c r="C154" s="49"/>
      <c r="D154" s="49"/>
      <c r="E154" s="49"/>
      <c r="F154" s="49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9"/>
      <c r="C155" s="49"/>
      <c r="D155" s="49"/>
      <c r="E155" s="49"/>
      <c r="F155" s="49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9"/>
      <c r="C156" s="49"/>
      <c r="D156" s="49"/>
      <c r="E156" s="49"/>
      <c r="F156" s="49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9"/>
      <c r="C157" s="49"/>
      <c r="D157" s="49"/>
      <c r="E157" s="49"/>
      <c r="F157" s="49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9"/>
      <c r="C158" s="49"/>
      <c r="D158" s="49"/>
      <c r="E158" s="49"/>
      <c r="F158" s="49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9"/>
      <c r="C159" s="49"/>
      <c r="D159" s="49"/>
      <c r="E159" s="49"/>
      <c r="F159" s="49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9"/>
      <c r="C160" s="49"/>
      <c r="D160" s="49"/>
      <c r="E160" s="49"/>
      <c r="F160" s="49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9"/>
      <c r="C161" s="49"/>
      <c r="D161" s="49"/>
      <c r="E161" s="49"/>
      <c r="F161" s="49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9"/>
      <c r="C162" s="49"/>
      <c r="D162" s="49"/>
      <c r="E162" s="49"/>
      <c r="F162" s="49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9"/>
      <c r="C163" s="49"/>
      <c r="D163" s="49"/>
      <c r="E163" s="49"/>
      <c r="F163" s="49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9"/>
      <c r="C164" s="49"/>
      <c r="D164" s="49"/>
      <c r="E164" s="49"/>
      <c r="F164" s="49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9"/>
      <c r="C165" s="49"/>
      <c r="D165" s="49"/>
      <c r="E165" s="49"/>
      <c r="F165" s="49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9"/>
      <c r="C166" s="49"/>
      <c r="D166" s="49"/>
      <c r="E166" s="49"/>
      <c r="F166" s="49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9"/>
      <c r="C167" s="49"/>
      <c r="D167" s="49"/>
      <c r="E167" s="49"/>
      <c r="F167" s="49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9"/>
      <c r="C168" s="49"/>
      <c r="D168" s="49"/>
      <c r="E168" s="49"/>
      <c r="F168" s="49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9"/>
      <c r="C169" s="49"/>
      <c r="D169" s="49"/>
      <c r="E169" s="49"/>
      <c r="F169" s="49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9"/>
      <c r="C170" s="49"/>
      <c r="D170" s="49"/>
      <c r="E170" s="49"/>
      <c r="F170" s="49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9"/>
      <c r="C171" s="49"/>
      <c r="D171" s="49"/>
      <c r="E171" s="49"/>
      <c r="F171" s="49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9"/>
      <c r="C172" s="49"/>
      <c r="D172" s="49"/>
      <c r="E172" s="49"/>
      <c r="F172" s="49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9"/>
      <c r="C173" s="49"/>
      <c r="D173" s="49"/>
      <c r="E173" s="49"/>
      <c r="F173" s="49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9"/>
      <c r="C174" s="49"/>
      <c r="D174" s="49"/>
      <c r="E174" s="49"/>
      <c r="F174" s="49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9"/>
      <c r="C175" s="49"/>
      <c r="D175" s="49"/>
      <c r="E175" s="49"/>
      <c r="F175" s="49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9"/>
      <c r="C176" s="49"/>
      <c r="D176" s="49"/>
      <c r="E176" s="49"/>
      <c r="F176" s="49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9"/>
      <c r="C177" s="49"/>
      <c r="D177" s="49"/>
      <c r="E177" s="49"/>
      <c r="F177" s="49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9"/>
      <c r="C178" s="49"/>
      <c r="D178" s="49"/>
      <c r="E178" s="49"/>
      <c r="F178" s="49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9"/>
      <c r="C179" s="49"/>
      <c r="D179" s="49"/>
      <c r="E179" s="49"/>
      <c r="F179" s="49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9"/>
      <c r="C180" s="49"/>
      <c r="D180" s="49"/>
      <c r="E180" s="49"/>
      <c r="F180" s="49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9"/>
      <c r="C181" s="49"/>
      <c r="D181" s="49"/>
      <c r="E181" s="49"/>
      <c r="F181" s="49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9"/>
      <c r="C182" s="49"/>
      <c r="D182" s="49"/>
      <c r="E182" s="49"/>
      <c r="F182" s="49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9"/>
      <c r="C183" s="49"/>
      <c r="D183" s="49"/>
      <c r="E183" s="49"/>
      <c r="F183" s="49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9"/>
      <c r="C184" s="49"/>
      <c r="D184" s="49"/>
      <c r="E184" s="49"/>
      <c r="F184" s="49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9"/>
      <c r="C185" s="49"/>
      <c r="D185" s="49"/>
      <c r="E185" s="49"/>
      <c r="F185" s="49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9"/>
      <c r="C186" s="49"/>
      <c r="D186" s="49"/>
      <c r="E186" s="49"/>
      <c r="F186" s="49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9"/>
      <c r="C187" s="49"/>
      <c r="D187" s="49"/>
      <c r="E187" s="49"/>
      <c r="F187" s="49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9"/>
      <c r="C188" s="49"/>
      <c r="D188" s="49"/>
      <c r="E188" s="49"/>
      <c r="F188" s="49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9"/>
      <c r="C189" s="49"/>
      <c r="D189" s="49"/>
      <c r="E189" s="49"/>
      <c r="F189" s="49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9"/>
      <c r="C190" s="49"/>
      <c r="D190" s="49"/>
      <c r="E190" s="49"/>
      <c r="F190" s="49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9"/>
      <c r="C191" s="49"/>
      <c r="D191" s="49"/>
      <c r="E191" s="49"/>
      <c r="F191" s="49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9"/>
      <c r="C192" s="49"/>
      <c r="D192" s="49"/>
      <c r="E192" s="49"/>
      <c r="F192" s="49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9"/>
      <c r="C193" s="49"/>
      <c r="D193" s="49"/>
      <c r="E193" s="49"/>
      <c r="F193" s="49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9"/>
      <c r="C194" s="49"/>
      <c r="D194" s="49"/>
      <c r="E194" s="49"/>
      <c r="F194" s="49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9"/>
      <c r="C195" s="49"/>
      <c r="D195" s="49"/>
      <c r="E195" s="49"/>
      <c r="F195" s="49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9"/>
      <c r="C196" s="49"/>
      <c r="D196" s="49"/>
      <c r="E196" s="49"/>
      <c r="F196" s="49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9"/>
      <c r="C197" s="49"/>
      <c r="D197" s="49"/>
      <c r="E197" s="49"/>
      <c r="F197" s="49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9"/>
      <c r="C198" s="49"/>
      <c r="D198" s="49"/>
      <c r="E198" s="49"/>
      <c r="F198" s="49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9"/>
      <c r="C199" s="49"/>
      <c r="D199" s="49"/>
      <c r="E199" s="49"/>
      <c r="F199" s="49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9"/>
      <c r="C200" s="49"/>
      <c r="D200" s="49"/>
      <c r="E200" s="49"/>
      <c r="F200" s="49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9"/>
      <c r="C201" s="49"/>
      <c r="D201" s="49"/>
      <c r="E201" s="49"/>
      <c r="F201" s="49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9"/>
      <c r="C202" s="49"/>
      <c r="D202" s="49"/>
      <c r="E202" s="49"/>
      <c r="F202" s="49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9"/>
      <c r="C203" s="49"/>
      <c r="D203" s="49"/>
      <c r="E203" s="49"/>
      <c r="F203" s="49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9"/>
      <c r="C204" s="49"/>
      <c r="D204" s="49"/>
      <c r="E204" s="49"/>
      <c r="F204" s="49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9"/>
      <c r="C205" s="49"/>
      <c r="D205" s="49"/>
      <c r="E205" s="49"/>
      <c r="F205" s="49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9"/>
      <c r="C206" s="49"/>
      <c r="D206" s="49"/>
      <c r="E206" s="49"/>
      <c r="F206" s="49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9"/>
      <c r="C207" s="49"/>
      <c r="D207" s="49"/>
      <c r="E207" s="49"/>
      <c r="F207" s="49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9"/>
      <c r="C208" s="49"/>
      <c r="D208" s="49"/>
      <c r="E208" s="49"/>
      <c r="F208" s="49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9"/>
      <c r="C209" s="49"/>
      <c r="D209" s="49"/>
      <c r="E209" s="49"/>
      <c r="F209" s="49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9"/>
      <c r="C210" s="49"/>
      <c r="D210" s="49"/>
      <c r="E210" s="49"/>
      <c r="F210" s="49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9"/>
      <c r="C211" s="49"/>
      <c r="D211" s="49"/>
      <c r="E211" s="49"/>
      <c r="F211" s="49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9"/>
      <c r="C212" s="49"/>
      <c r="D212" s="49"/>
      <c r="E212" s="49"/>
      <c r="F212" s="49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9"/>
      <c r="C213" s="49"/>
      <c r="D213" s="49"/>
      <c r="E213" s="49"/>
      <c r="F213" s="49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9"/>
      <c r="C214" s="49"/>
      <c r="D214" s="49"/>
      <c r="E214" s="49"/>
      <c r="F214" s="49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9"/>
      <c r="C215" s="49"/>
      <c r="D215" s="49"/>
      <c r="E215" s="49"/>
      <c r="F215" s="49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9"/>
      <c r="C216" s="49"/>
      <c r="D216" s="49"/>
      <c r="E216" s="49"/>
      <c r="F216" s="49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9"/>
      <c r="C217" s="49"/>
      <c r="D217" s="49"/>
      <c r="E217" s="49"/>
      <c r="F217" s="49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9"/>
      <c r="C218" s="49"/>
      <c r="D218" s="49"/>
      <c r="E218" s="49"/>
      <c r="F218" s="49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9"/>
      <c r="C219" s="49"/>
      <c r="D219" s="49"/>
      <c r="E219" s="49"/>
      <c r="F219" s="49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9"/>
      <c r="C220" s="49"/>
      <c r="D220" s="49"/>
      <c r="E220" s="49"/>
      <c r="F220" s="49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9"/>
      <c r="C221" s="49"/>
      <c r="D221" s="49"/>
      <c r="E221" s="49"/>
      <c r="F221" s="49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9"/>
      <c r="C222" s="49"/>
      <c r="D222" s="49"/>
      <c r="E222" s="49"/>
      <c r="F222" s="49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9"/>
      <c r="C223" s="49"/>
      <c r="D223" s="49"/>
      <c r="E223" s="49"/>
      <c r="F223" s="49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9"/>
      <c r="C224" s="49"/>
      <c r="D224" s="49"/>
      <c r="E224" s="49"/>
      <c r="F224" s="49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9"/>
      <c r="C225" s="49"/>
      <c r="D225" s="49"/>
      <c r="E225" s="49"/>
      <c r="F225" s="49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9"/>
      <c r="C226" s="49"/>
      <c r="D226" s="49"/>
      <c r="E226" s="49"/>
      <c r="F226" s="49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9"/>
      <c r="C227" s="49"/>
      <c r="D227" s="49"/>
      <c r="E227" s="49"/>
      <c r="F227" s="49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9"/>
      <c r="C228" s="49"/>
      <c r="D228" s="49"/>
      <c r="E228" s="49"/>
      <c r="F228" s="49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9"/>
      <c r="C229" s="49"/>
      <c r="D229" s="49"/>
      <c r="E229" s="49"/>
      <c r="F229" s="49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E26:E27"/>
    <mergeCell ref="F26:F27"/>
    <mergeCell ref="L19:Q19"/>
    <mergeCell ref="L20:Q20"/>
    <mergeCell ref="L21:Q21"/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</mergeCells>
  <phoneticPr fontId="18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2025-02-04T03:31:18Z</dcterms:modified>
</cp:coreProperties>
</file>