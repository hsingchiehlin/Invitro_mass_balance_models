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roeders 2015\Results\"/>
    </mc:Choice>
  </mc:AlternateContent>
  <xr:revisionPtr revIDLastSave="0" documentId="13_ncr:1_{D7F2BFB8-336C-451F-A2C7-EE8EE60013D1}" xr6:coauthVersionLast="47" xr6:coauthVersionMax="47" xr10:uidLastSave="{00000000-0000-0000-0000-000000000000}"/>
  <bookViews>
    <workbookView xWindow="-28920" yWindow="-120" windowWidth="29040" windowHeight="17640" tabRatio="84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<sst xmlns="http://schemas.openxmlformats.org/spreadsheetml/2006/main" count="398" uniqueCount="282">
  <si>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</si>
  <si>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</si>
  <si>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</si>
  <si>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</si>
  <si>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</si>
  <si>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</si>
  <si>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</si>
  <si>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</si>
  <si>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</si>
  <si>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</si>
  <si>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</si>
  <si>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</si>
  <si>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</si>
  <si>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</si>
  <si>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</si>
  <si>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</si>
  <si>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</si>
  <si>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</si>
  <si>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</si>
  <si>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</si>
  <si>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</si>
  <si>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</si>
  <si>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</si>
  <si>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</si>
  <si>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</si>
  <si>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</si>
  <si>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</si>
  <si>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</si>
  <si>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</si>
  <si>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</si>
  <si>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</si>
  <si>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</si>
  <si>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</si>
  <si>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</si>
  <si>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</si>
  <si>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</si>
  <si>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</si>
  <si>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</si>
  <si>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</si>
  <si>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</si>
  <si>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</si>
  <si>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</si>
  <si>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</si>
  <si>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</si>
  <si>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</si>
  <si>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</si>
  <si>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</si>
  <si>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</si>
  <si>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</si>
  <si>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</si>
  <si>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</si>
  <si>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</si>
  <si>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</si>
  <si>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</si>
  <si>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</si>
  <si>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</si>
  <si>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</si>
  <si>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</si>
  <si>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</si>
  <si>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</si>
  <si>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</si>
  <si>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</si>
  <si>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</si>
  <si>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</si>
  <si>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</si>
  <si>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</si>
  <si>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</si>
  <si>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</si>
  <si>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</si>
  <si>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</si>
  <si>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</si>
  <si>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</si>
  <si>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</si>
  <si>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</si>
  <si>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</si>
  <si>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</si>
  <si>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</si>
  <si>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</si>
  <si>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</si>
  <si>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</si>
  <si>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</si>
  <si>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</si>
  <si>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</si>
  <si>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</si>
  <si>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</si>
  <si>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</si>
  <si>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</si>
  <si>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</si>
  <si>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</si>
  <si>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</si>
  <si>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</si>
  <si>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</si>
  <si>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</si>
  <si>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</si>
  <si>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</si>
  <si>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</si>
  <si>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</si>
  <si>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</si>
  <si>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</si>
  <si>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</si>
  <si>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</si>
  <si>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</si>
  <si>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</si>
  <si>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</si>
  <si>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</si>
  <si>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</si>
  <si>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</si>
  <si>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</si>
  <si>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</si>
  <si>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</si>
  <si>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</si>
  <si>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</si>
  <si>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</si>
  <si>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</si>
  <si>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</si>
  <si>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</si>
  <si>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</si>
  <si>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</si>
  <si>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</si>
  <si>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</si>
  <si>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</si>
  <si>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</si>
  <si>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</si>
  <si>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</si>
  <si>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</si>
  <si>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</si>
  <si>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</si>
  <si>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</si>
  <si>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</si>
  <si>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</si>
  <si>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</si>
  <si>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</si>
  <si>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</si>
  <si>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</si>
  <si>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</si>
  <si>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</si>
  <si>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</si>
  <si>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</si>
  <si>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</si>
  <si>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</si>
  <si>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</si>
  <si>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</si>
  <si>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</si>
  <si>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</si>
  <si>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</si>
  <si>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</si>
  <si>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</si>
  <si>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</si>
  <si>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</si>
  <si>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</si>
  <si>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</si>
  <si>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</si>
  <si>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</si>
  <si>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</si>
  <si>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</si>
  <si>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</si>
  <si>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</si>
  <si>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</si>
  <si>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</si>
  <si>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</si>
  <si>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</si>
  <si>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</si>
  <si>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</si>
  <si>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</si>
  <si>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</si>
  <si>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</si>
  <si>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</si>
  <si>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</si>
  <si>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</si>
  <si>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</si>
  <si>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</si>
  <si>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</si>
  <si>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</si>
  <si>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</si>
  <si>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</si>
  <si>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</si>
  <si>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</si>
  <si>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</si>
  <si>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</si>
  <si>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</si>
  <si>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</si>
  <si>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</si>
  <si>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</si>
  <si>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</si>
  <si>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</si>
  <si>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</si>
  <si>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</si>
  <si>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</si>
  <si>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</si>
  <si>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</si>
  <si>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</si>
  <si>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</si>
  <si>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</si>
  <si>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</si>
  <si>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</si>
  <si>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</si>
  <si>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</si>
  <si>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</si>
  <si>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</si>
  <si>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</si>
  <si>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</si>
  <si>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</si>
  <si>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</si>
  <si>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</si>
  <si>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</si>
  <si>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</si>
  <si>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</si>
  <si>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</si>
  <si>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</si>
  <si>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</si>
  <si>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</si>
  <si>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</si>
  <si>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</si>
  <si>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</si>
  <si>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</si>
  <si>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</si>
  <si>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</si>
  <si>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</si>
  <si>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</si>
  <si>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</si>
  <si>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</si>
  <si>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</si>
  <si>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</si>
  <si>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</si>
  <si>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</si>
  <si>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</si>
  <si>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</si>
  <si>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</si>
  <si>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</si>
  <si>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</si>
  <si>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</si>
  <si>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</si>
  <si>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</si>
  <si>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</si>
  <si>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</si>
  <si>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</si>
  <si>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</si>
  <si>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</si>
  <si>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</si>
  <si>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</si>
  <si>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</si>
  <si>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</si>
  <si>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</si>
  <si>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</si>
  <si>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</si>
  <si>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</si>
  <si>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</si>
  <si>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</si>
  <si>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</si>
  <si>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</si>
  <si>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</si>
  <si>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</si>
  <si>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</si>
  <si>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</si>
  <si>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</si>
  <si>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</si>
  <si>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</si>
  <si>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</si>
  <si>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</si>
  <si>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</si>
  <si>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</si>
  <si>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</si>
  <si>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</si>
  <si>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</si>
  <si>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</si>
  <si>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</si>
  <si>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</si>
  <si>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</si>
  <si>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</si>
  <si>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</si>
  <si>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</si>
  <si>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</si>
  <si>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</si>
  <si>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</si>
  <si>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</si>
  <si>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</si>
  <si>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</si>
  <si>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chlorpromazine</t>
    <phoneticPr fontId="1" type="noConversion"/>
  </si>
  <si>
    <t>50-53-3</t>
    <phoneticPr fontId="1" type="noConversion"/>
  </si>
  <si>
    <t>chlorpromazine</t>
  </si>
  <si>
    <t>50-53-3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</si>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</sst>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232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238</v>
      </c>
    </row>
    <row r="14" spans="1:15" ht="18">
      <c r="M14" s="1" t="s">
        <v>239</v>
      </c>
      <c r="N14" s="1" t="s">
        <v>243</v>
      </c>
    </row>
    <row r="15" spans="1:15" ht="18">
      <c r="M15" s="1" t="s">
        <v>240</v>
      </c>
      <c r="N15" s="1" t="s">
        <v>244</v>
      </c>
    </row>
    <row r="16" spans="1:15" ht="18">
      <c r="M16" s="1" t="s">
        <v>241</v>
      </c>
      <c r="N16" s="1" t="s">
        <v>245</v>
      </c>
    </row>
    <row r="17" spans="13:14" ht="18">
      <c r="M17" s="1" t="s">
        <v>242</v>
      </c>
      <c r="N17" s="1" t="s">
        <v>246</v>
      </c>
    </row>
    <row r="18" spans="13:14" ht="18">
      <c r="M18" s="1" t="s">
        <v>249</v>
      </c>
      <c r="N18" s="1" t="s">
        <v>247</v>
      </c>
    </row>
    <row r="19" spans="13:14" ht="18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5.75">
      <c r="A2" s="169" t="s">
        <v>277</v>
      </c>
      <c r="B2" s="169" t="s">
        <v>278</v>
      </c>
      <c r="C2" s="124"/>
      <c r="D2" s="170">
        <v>318.86</v>
      </c>
      <c r="E2" s="170">
        <v>151</v>
      </c>
      <c r="F2" s="100"/>
      <c r="G2" s="101" t="s">
        <v>175</v>
      </c>
      <c r="H2" s="104"/>
      <c r="I2" s="170">
        <v>5.41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-6.97</v>
      </c>
      <c r="U2" s="100"/>
      <c r="V2" s="170">
        <v>2.2128884000000002</v>
      </c>
      <c r="W2" s="112"/>
      <c r="X2" s="104"/>
      <c r="Y2" s="100"/>
      <c r="Z2" s="112">
        <v>1.5</v>
      </c>
    </row>
    <row r="3" spans="1:27" s="99" customFormat="1" ht="15.75">
      <c r="A3" s="169" t="s">
        <v>277</v>
      </c>
      <c r="B3" s="169" t="s">
        <v>278</v>
      </c>
      <c r="C3" s="124"/>
      <c r="D3" s="170">
        <v>318.86</v>
      </c>
      <c r="E3" s="170">
        <v>151</v>
      </c>
      <c r="F3" s="100"/>
      <c r="G3" s="101" t="s">
        <v>175</v>
      </c>
      <c r="H3" s="104"/>
      <c r="I3" s="170">
        <v>5.41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-6.97</v>
      </c>
      <c r="U3" s="100"/>
      <c r="V3" s="170">
        <v>2.2128884000000002</v>
      </c>
      <c r="W3" s="112"/>
      <c r="X3" s="100"/>
      <c r="Y3" s="100"/>
      <c r="Z3" s="112">
        <v>15</v>
      </c>
    </row>
    <row r="4" spans="1:27" s="99" customFormat="1" ht="15.75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27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27" s="99" customFormat="1" ht="15.75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5.75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5.75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5.75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5.75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5.75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139</v>
      </c>
    </row>
    <row r="3" spans="1:10" ht="15.75">
      <c r="A3" s="57" t="s">
        <v>149</v>
      </c>
    </row>
    <row r="4" spans="1:10" ht="15.75">
      <c r="A4" s="98" t="s">
        <v>159</v>
      </c>
    </row>
    <row r="5" spans="1:10" ht="15.75">
      <c r="A5" s="98" t="s">
        <v>182</v>
      </c>
    </row>
    <row r="6" spans="1:10">
      <c r="A6" s="58"/>
    </row>
    <row r="7" spans="1:10" ht="16.5">
      <c r="A7" s="114" t="s">
        <v>214</v>
      </c>
      <c r="H7" s="115" t="s">
        <v>177</v>
      </c>
    </row>
    <row r="8" spans="1:10">
      <c r="A8" s="11" t="b">
        <v>1</v>
      </c>
    </row>
    <row r="9" spans="1:10">
      <c r="A9" s="11"/>
      <c r="H9" s="102" t="s">
        <v>178</v>
      </c>
      <c r="I9" s="103" t="s">
        <v>179</v>
      </c>
      <c r="J9" s="103" t="s">
        <v>180</v>
      </c>
    </row>
    <row r="10" spans="1:10" ht="15.7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184</v>
      </c>
      <c r="I12" s="3">
        <v>1</v>
      </c>
      <c r="J12" s="3">
        <v>1</v>
      </c>
    </row>
    <row r="13" spans="1:10" ht="15.75">
      <c r="D13" s="2" t="s">
        <v>42</v>
      </c>
      <c r="H13" s="99" t="s">
        <v>185</v>
      </c>
      <c r="I13" s="3">
        <v>0</v>
      </c>
      <c r="J13" s="3">
        <v>1</v>
      </c>
    </row>
    <row r="14" spans="1:10" ht="15.75">
      <c r="D14" s="11" t="s">
        <v>54</v>
      </c>
      <c r="H14" s="99" t="s">
        <v>181</v>
      </c>
      <c r="I14" s="3">
        <v>3.5</v>
      </c>
      <c r="J14" s="3">
        <v>3.5</v>
      </c>
    </row>
    <row r="16" spans="1:10" ht="15">
      <c r="A16" s="116" t="s">
        <v>49</v>
      </c>
      <c r="H16" s="115" t="s">
        <v>199</v>
      </c>
    </row>
    <row r="17" spans="1:11">
      <c r="A17" s="2" t="s">
        <v>50</v>
      </c>
    </row>
    <row r="18" spans="1:11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5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129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250000</v>
      </c>
      <c r="I5" s="49">
        <f>H5*$K$5/1000000</f>
        <v>0.85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276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279</v>
      </c>
      <c r="B2" s="66" t="s">
        <v>280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4.7120999054308537E-4</v>
      </c>
      <c r="J2" s="67" t="s">
        <v>230</v>
      </c>
      <c r="K2" s="68">
        <v>0.59640013241450174</v>
      </c>
      <c r="L2" s="67" t="s">
        <v>230</v>
      </c>
      <c r="M2" s="68">
        <v>20.843555607279125</v>
      </c>
      <c r="N2" s="67" t="s">
        <v>281</v>
      </c>
      <c r="P2" s="106" t="s">
        <v>187</v>
      </c>
    </row>
    <row r="3" spans="1:17">
      <c r="A3" s="65" t="s">
        <v>279</v>
      </c>
      <c r="B3" s="66" t="s">
        <v>280</v>
      </c>
      <c r="D3" s="66" t="s">
        <v>175</v>
      </c>
      <c r="F3" s="67" t="s">
        <v>230</v>
      </c>
      <c r="G3" s="67" t="s">
        <v>230</v>
      </c>
      <c r="H3" s="67" t="s">
        <v>230</v>
      </c>
      <c r="I3" s="68">
        <v>4.7120999054308544E-3</v>
      </c>
      <c r="J3" s="67" t="s">
        <v>230</v>
      </c>
      <c r="K3" s="68">
        <v>5.9640013241450189</v>
      </c>
      <c r="L3" s="67" t="s">
        <v>281</v>
      </c>
      <c r="M3" s="68">
        <v>208.43555607279129</v>
      </c>
      <c r="N3" s="67" t="s">
        <v>281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8">
      <c r="P8" s="106" t="s">
        <v>192</v>
      </c>
    </row>
    <row r="9" spans="1:17" ht="18">
      <c r="P9" s="106" t="s">
        <v>193</v>
      </c>
    </row>
    <row r="11" spans="1:17">
      <c r="P11" s="15" t="s">
        <v>194</v>
      </c>
    </row>
    <row r="12" spans="1:17">
      <c r="P12" s="106" t="s">
        <v>195</v>
      </c>
      <c r="Q12" s="100">
        <f>COUNTIF(F2:F50000,"Yes")</f>
        <v>0</v>
      </c>
    </row>
    <row r="13" spans="1:17">
      <c r="P13" s="106" t="s">
        <v>191</v>
      </c>
      <c r="Q13" s="100">
        <f>COUNTIF(J2:J50000,"Yes")</f>
        <v>0</v>
      </c>
    </row>
    <row r="14" spans="1:17" ht="15.75">
      <c r="P14" s="106" t="s">
        <v>228</v>
      </c>
      <c r="Q14" s="100">
        <f>COUNTIF(N2:N50000,"Yes")</f>
        <v>2</v>
      </c>
    </row>
    <row r="15" spans="1:17" ht="15.75">
      <c r="P15" s="106" t="s">
        <v>229</v>
      </c>
      <c r="Q15" s="100">
        <f>COUNTIF(M2:M50000,"&gt;=60")</f>
        <v>1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131</v>
      </c>
      <c r="B1" s="75"/>
      <c r="F1" s="74" t="s">
        <v>130</v>
      </c>
      <c r="I1" s="76"/>
    </row>
    <row r="2" spans="1:13" ht="13.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0.70367999999999997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8">
      <c r="A10" s="76" t="s">
        <v>114</v>
      </c>
      <c r="B10" s="132">
        <f>K9*B6*K17/1000</f>
        <v>7.5999999999999998E-2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0.85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0.85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163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4.2499999999999998E-4</v>
      </c>
      <c r="K21" s="76" t="s">
        <v>124</v>
      </c>
      <c r="M21" s="75"/>
    </row>
    <row r="22" spans="1:13" ht="13.5" thickBot="1">
      <c r="A22" s="75"/>
      <c r="C22" s="76"/>
      <c r="F22" s="99" t="s">
        <v>163</v>
      </c>
      <c r="G22" s="87">
        <v>7.4</v>
      </c>
      <c r="J22" s="92">
        <f>B12*(G9+G10)/B6</f>
        <v>1.3557499999999999E-5</v>
      </c>
      <c r="K22" s="77" t="s">
        <v>125</v>
      </c>
      <c r="L22" s="93"/>
    </row>
    <row r="23" spans="1:13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 ht="15.75">
      <c r="A2" s="169" t="s">
        <v>279</v>
      </c>
      <c r="B2" s="169" t="s">
        <v>280</v>
      </c>
      <c r="D2" s="104" t="s">
        <v>175</v>
      </c>
      <c r="F2" s="104">
        <v>5.3240171707711541</v>
      </c>
      <c r="H2" s="104">
        <v>5.3240171707711541</v>
      </c>
      <c r="I2" s="104">
        <v>5.3240171707711541</v>
      </c>
      <c r="K2" s="104">
        <v>5.3240171707711541</v>
      </c>
      <c r="L2" s="104">
        <v>5.6336599999999999</v>
      </c>
      <c r="N2" s="104">
        <v>5.6336599999999999</v>
      </c>
      <c r="O2" s="104">
        <v>4.6112599999999997</v>
      </c>
      <c r="Q2" s="104">
        <v>4.6112599999999997</v>
      </c>
      <c r="R2" s="104">
        <v>-6.5138115123134632</v>
      </c>
      <c r="S2" s="104">
        <v>-6.5138115123134632</v>
      </c>
      <c r="T2" s="104">
        <v>-1.6913828292288444</v>
      </c>
      <c r="V2" s="104">
        <v>-1.6913828292288444</v>
      </c>
      <c r="W2" s="109">
        <v>2.6973812942728226</v>
      </c>
    </row>
    <row r="3" spans="1:23">
      <c r="A3" s="99" t="s">
        <v>279</v>
      </c>
      <c r="B3" s="99" t="s">
        <v>280</v>
      </c>
      <c r="D3" s="104" t="s">
        <v>175</v>
      </c>
      <c r="F3" s="104">
        <v>5.3240171707711541</v>
      </c>
      <c r="H3" s="104">
        <v>5.3240171707711541</v>
      </c>
      <c r="I3" s="104">
        <v>5.3240171707711541</v>
      </c>
      <c r="K3" s="104">
        <v>5.3240171707711541</v>
      </c>
      <c r="L3" s="104">
        <v>5.6336599999999999</v>
      </c>
      <c r="N3" s="104">
        <v>5.6336599999999999</v>
      </c>
      <c r="O3" s="104">
        <v>4.6112599999999997</v>
      </c>
      <c r="Q3" s="104">
        <v>4.6112599999999997</v>
      </c>
      <c r="R3" s="104">
        <v>-6.5138115123134632</v>
      </c>
      <c r="S3" s="104">
        <v>-6.5138115123134632</v>
      </c>
      <c r="T3" s="104">
        <v>-1.6913828292288444</v>
      </c>
      <c r="V3" s="104">
        <v>-1.6913828292288444</v>
      </c>
      <c r="W3" s="109">
        <v>2.6973812942728226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279</v>
      </c>
      <c r="B2" s="16" t="s">
        <v>280</v>
      </c>
      <c r="D2" s="14">
        <v>1.5</v>
      </c>
      <c r="E2" s="14">
        <v>1.1331775320916553</v>
      </c>
      <c r="F2" s="14">
        <v>4.8452010790154126E-2</v>
      </c>
      <c r="G2" s="14">
        <v>1.4842268812466654E-8</v>
      </c>
      <c r="H2" s="14">
        <v>1979.5742925115796</v>
      </c>
      <c r="I2" s="14">
        <v>10217.131335687192</v>
      </c>
      <c r="J2" s="14">
        <v>0</v>
      </c>
      <c r="K2" s="14">
        <v>30.958467472000422</v>
      </c>
      <c r="L2" s="14">
        <v>3.2301340526769418E-2</v>
      </c>
      <c r="M2" s="14">
        <v>2.6503249902214306E-2</v>
      </c>
      <c r="N2" s="14">
        <v>596.40013241450174</v>
      </c>
      <c r="O2" s="14">
        <v>190168.14622168805</v>
      </c>
      <c r="P2" s="8">
        <v>397.60008827633447</v>
      </c>
      <c r="Q2" s="54">
        <v>0.98611820393667327</v>
      </c>
      <c r="S2" s="99"/>
    </row>
    <row r="3" spans="1:20">
      <c r="A3" s="2" t="s">
        <v>279</v>
      </c>
      <c r="B3" s="16" t="s">
        <v>280</v>
      </c>
      <c r="D3" s="14">
        <v>15</v>
      </c>
      <c r="E3" s="14">
        <v>11.331775320916554</v>
      </c>
      <c r="F3" s="14">
        <v>0.48452010790154137</v>
      </c>
      <c r="G3" s="14">
        <v>1.4842268812466656E-7</v>
      </c>
      <c r="H3" s="14">
        <v>19795.742925115803</v>
      </c>
      <c r="I3" s="14">
        <v>102171.31335687195</v>
      </c>
      <c r="J3" s="14">
        <v>0</v>
      </c>
      <c r="K3" s="14">
        <v>30.958467472000414</v>
      </c>
      <c r="L3" s="14">
        <v>3.2301340526769425E-2</v>
      </c>
      <c r="M3" s="14">
        <v>2.6503249902214313E-2</v>
      </c>
      <c r="N3" s="14">
        <v>5964.0013241450188</v>
      </c>
      <c r="O3" s="14">
        <v>1901681.4622168809</v>
      </c>
      <c r="P3" s="8">
        <v>397.60008827633459</v>
      </c>
      <c r="Q3" s="54">
        <v>9.8611820393667351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279</v>
      </c>
      <c r="B2" s="3" t="s">
        <v>280</v>
      </c>
      <c r="D2" s="20">
        <v>3.6610929737417749E-6</v>
      </c>
      <c r="E2" s="20">
        <v>0.75545168806110341</v>
      </c>
      <c r="F2" s="20">
        <v>0.46432894605151614</v>
      </c>
      <c r="G2" s="20">
        <v>0.25883399383740885</v>
      </c>
      <c r="H2" s="20">
        <v>0</v>
      </c>
      <c r="I2" s="20">
        <v>3.2288748172178465E-2</v>
      </c>
      <c r="J2" s="20">
        <v>0.16898003751744214</v>
      </c>
      <c r="K2" s="20">
        <v>7.5564613328480718E-2</v>
      </c>
      <c r="L2" s="20">
        <v>0</v>
      </c>
      <c r="N2" s="99"/>
    </row>
    <row r="3" spans="1:14">
      <c r="A3" s="2" t="s">
        <v>279</v>
      </c>
      <c r="B3" s="3" t="s">
        <v>280</v>
      </c>
      <c r="D3" s="20">
        <v>3.6610929737417749E-6</v>
      </c>
      <c r="E3" s="20">
        <v>0.75545168806110352</v>
      </c>
      <c r="F3" s="20">
        <v>0.4643289460515162</v>
      </c>
      <c r="G3" s="20">
        <v>0.2588339938374089</v>
      </c>
      <c r="H3" s="20">
        <v>0</v>
      </c>
      <c r="I3" s="20">
        <v>3.2288748172178465E-2</v>
      </c>
      <c r="J3" s="20">
        <v>0.16898003751744217</v>
      </c>
      <c r="K3" s="20">
        <v>7.5564613328480718E-2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279</v>
      </c>
      <c r="B2" s="3" t="s">
        <v>280</v>
      </c>
      <c r="D2" s="14">
        <v>1.0983278921225325E-8</v>
      </c>
      <c r="E2" s="14">
        <v>9.6866244516535387E-5</v>
      </c>
      <c r="F2" s="14">
        <v>1.3929868381545485E-3</v>
      </c>
      <c r="G2" s="14">
        <v>7.7650198151222661E-4</v>
      </c>
      <c r="H2" s="14">
        <v>0</v>
      </c>
      <c r="I2" s="14">
        <v>5.069401125523265E-4</v>
      </c>
      <c r="J2" s="14">
        <v>2.2669383998544216E-4</v>
      </c>
      <c r="K2" s="14">
        <v>0</v>
      </c>
      <c r="L2" s="21"/>
      <c r="M2" s="168"/>
    </row>
    <row r="3" spans="1:23">
      <c r="A3" s="2" t="s">
        <v>279</v>
      </c>
      <c r="B3" s="3" t="s">
        <v>280</v>
      </c>
      <c r="D3" s="14">
        <v>1.0983278921225325E-7</v>
      </c>
      <c r="E3" s="14">
        <v>9.6866244516535414E-4</v>
      </c>
      <c r="F3" s="14">
        <v>1.3929868381545488E-2</v>
      </c>
      <c r="G3" s="14">
        <v>7.765019815122268E-3</v>
      </c>
      <c r="H3" s="14">
        <v>0</v>
      </c>
      <c r="I3" s="14">
        <v>5.0694011255232657E-3</v>
      </c>
      <c r="J3" s="14">
        <v>2.2669383998544217E-3</v>
      </c>
      <c r="K3" s="14">
        <v>0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279</v>
      </c>
      <c r="B2" s="99" t="s">
        <v>280</v>
      </c>
      <c r="D2" s="100" t="s">
        <v>175</v>
      </c>
      <c r="F2" s="104">
        <v>5.3240171707711541</v>
      </c>
      <c r="G2" s="104">
        <v>-6.5138115123134632</v>
      </c>
      <c r="H2" s="104">
        <v>5.6336599999999999</v>
      </c>
      <c r="I2" s="104">
        <v>3.4991869392277986</v>
      </c>
      <c r="J2" s="104">
        <v>3.3165605016947399</v>
      </c>
      <c r="K2" s="112">
        <v>1.5</v>
      </c>
      <c r="L2" s="112">
        <v>4.8396371540488217E-2</v>
      </c>
      <c r="M2" s="112">
        <v>596.40013241450174</v>
      </c>
      <c r="N2" s="112">
        <v>20843.555607279122</v>
      </c>
      <c r="O2" s="112">
        <v>152.93213252822295</v>
      </c>
      <c r="P2" s="112">
        <v>100.43204524564929</v>
      </c>
      <c r="Q2" s="108">
        <v>101.95475501881529</v>
      </c>
      <c r="R2" s="68">
        <v>66.954696830432852</v>
      </c>
    </row>
    <row r="3" spans="1:22">
      <c r="A3" s="99" t="s">
        <v>279</v>
      </c>
      <c r="B3" s="99" t="s">
        <v>280</v>
      </c>
      <c r="D3" s="100" t="s">
        <v>175</v>
      </c>
      <c r="F3" s="104">
        <v>5.3240171707711541</v>
      </c>
      <c r="G3" s="104">
        <v>-6.5138115123134632</v>
      </c>
      <c r="H3" s="104">
        <v>5.6336599999999999</v>
      </c>
      <c r="I3" s="104">
        <v>3.4991869392277986</v>
      </c>
      <c r="J3" s="104">
        <v>3.3165605016947399</v>
      </c>
      <c r="K3" s="112">
        <v>15</v>
      </c>
      <c r="L3" s="112">
        <v>0.48396371540488231</v>
      </c>
      <c r="M3" s="112">
        <v>5964.0013241450188</v>
      </c>
      <c r="N3" s="112">
        <v>208435.55607279128</v>
      </c>
      <c r="O3" s="112">
        <v>1529.3213252822297</v>
      </c>
      <c r="P3" s="112">
        <v>1004.3204524564931</v>
      </c>
      <c r="Q3" s="108">
        <v>101.95475501881532</v>
      </c>
      <c r="R3" s="68">
        <v>66.954696830432866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2024-03-29T20:30:01Z</dcterms:modified>
</cp:coreProperties>
</file>