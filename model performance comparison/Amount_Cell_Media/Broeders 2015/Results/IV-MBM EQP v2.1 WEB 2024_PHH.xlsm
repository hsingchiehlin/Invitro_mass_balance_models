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roeders 2015\Results\"/>
    </mc:Choice>
  </mc:AlternateContent>
  <xr:revisionPtr revIDLastSave="0" documentId="13_ncr:1_{25D166D5-0673-4CD2-8023-B13F9FBFDFAF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<sst xmlns="http://schemas.openxmlformats.org/spreadsheetml/2006/main" count="374" uniqueCount="281">
  <si>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</si>
  <si>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</si>
  <si>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</si>
  <si>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</si>
  <si>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</si>
  <si>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</si>
  <si>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</si>
  <si>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</si>
  <si>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</si>
  <si>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</si>
  <si>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</si>
  <si>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</si>
  <si>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</si>
  <si>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</si>
  <si>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</si>
  <si>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</si>
  <si>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</si>
  <si>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</si>
  <si>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</si>
  <si>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</si>
  <si>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</si>
  <si>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</si>
  <si>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</si>
  <si>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</si>
  <si>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</si>
  <si>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</si>
  <si>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</si>
  <si>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</si>
  <si>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</si>
  <si>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</si>
  <si>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</si>
  <si>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</si>
  <si>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</si>
  <si>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</si>
  <si>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</si>
  <si>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</si>
  <si>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</si>
  <si>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</si>
  <si>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</si>
  <si>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</si>
  <si>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</si>
  <si>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</si>
  <si>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</si>
  <si>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</si>
  <si>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</si>
  <si>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</si>
  <si>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</si>
  <si>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</si>
  <si>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</si>
  <si>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</si>
  <si>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</si>
  <si>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</si>
  <si>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</si>
  <si>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</si>
  <si>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</si>
  <si>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</si>
  <si>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</si>
  <si>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</si>
  <si>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</si>
  <si>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</si>
  <si>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</si>
  <si>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</si>
  <si>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</si>
  <si>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</si>
  <si>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</si>
  <si>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</si>
  <si>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</si>
  <si>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</si>
  <si>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</si>
  <si>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</si>
  <si>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</si>
  <si>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</si>
  <si>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</si>
  <si>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</si>
  <si>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</si>
  <si>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</si>
  <si>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</si>
  <si>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</si>
  <si>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</si>
  <si>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</si>
  <si>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</si>
  <si>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</si>
  <si>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</si>
  <si>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</si>
  <si>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</si>
  <si>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</si>
  <si>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</si>
  <si>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</si>
  <si>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</si>
  <si>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</si>
  <si>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</si>
  <si>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</si>
  <si>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</si>
  <si>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</si>
  <si>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</si>
  <si>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</si>
  <si>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</si>
  <si>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</si>
  <si>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</si>
  <si>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</si>
  <si>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</si>
  <si>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</si>
  <si>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</si>
  <si>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</si>
  <si>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</si>
  <si>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</si>
  <si>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</si>
  <si>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</si>
  <si>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</si>
  <si>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</si>
  <si>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</si>
  <si>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</si>
  <si>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</si>
  <si>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</si>
  <si>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</si>
  <si>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</si>
  <si>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</si>
  <si>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</si>
  <si>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</si>
  <si>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</si>
  <si>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</si>
  <si>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</si>
  <si>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</si>
  <si>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</si>
  <si>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</si>
  <si>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</si>
  <si>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</si>
  <si>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</si>
  <si>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</si>
  <si>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</si>
  <si>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</si>
  <si>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</si>
  <si>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</si>
  <si>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</si>
  <si>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</si>
  <si>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</si>
  <si>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</si>
  <si>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</si>
  <si>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</si>
  <si>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</si>
  <si>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</si>
  <si>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</si>
  <si>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</si>
  <si>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</si>
  <si>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</si>
  <si>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</si>
  <si>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</si>
  <si>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</si>
  <si>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</si>
  <si>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</si>
  <si>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</si>
  <si>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</si>
  <si>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</si>
  <si>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</si>
  <si>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</si>
  <si>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</si>
  <si>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</si>
  <si>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</si>
  <si>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</si>
  <si>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</si>
  <si>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</si>
  <si>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</si>
  <si>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</si>
  <si>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</si>
  <si>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</si>
  <si>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</si>
  <si>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</si>
  <si>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</si>
  <si>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</si>
  <si>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</si>
  <si>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</si>
  <si>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</si>
  <si>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</si>
  <si>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</si>
  <si>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</si>
  <si>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</si>
  <si>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</si>
  <si>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</si>
  <si>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</si>
  <si>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</si>
  <si>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</si>
  <si>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</si>
  <si>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</si>
  <si>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</si>
  <si>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</si>
  <si>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</si>
  <si>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</si>
  <si>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</si>
  <si>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</si>
  <si>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</si>
  <si>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</si>
  <si>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</si>
  <si>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</si>
  <si>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</si>
  <si>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</si>
  <si>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</si>
  <si>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</si>
  <si>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</si>
  <si>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</si>
  <si>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</si>
  <si>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</si>
  <si>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</si>
  <si>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</si>
  <si>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</si>
  <si>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</si>
  <si>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</si>
  <si>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</si>
  <si>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</si>
  <si>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</si>
  <si>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</si>
  <si>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</si>
  <si>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</si>
  <si>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</si>
  <si>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</si>
  <si>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</si>
  <si>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</si>
  <si>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</si>
  <si>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</si>
  <si>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</si>
  <si>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</si>
  <si>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</si>
  <si>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</si>
  <si>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</si>
  <si>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</si>
  <si>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</si>
  <si>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</si>
  <si>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</si>
  <si>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</si>
  <si>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</si>
  <si>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</si>
  <si>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</si>
  <si>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</si>
  <si>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</si>
  <si>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</si>
  <si>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</si>
  <si>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</si>
  <si>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</si>
  <si>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</si>
  <si>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</si>
  <si>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</si>
  <si>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</si>
  <si>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</si>
  <si>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</si>
  <si>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</si>
  <si>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</si>
  <si>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</si>
  <si>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</si>
  <si>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</si>
  <si>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</si>
  <si>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</si>
  <si>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</si>
  <si>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</si>
  <si>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</si>
  <si>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</si>
  <si>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</si>
  <si>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</si>
  <si>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</si>
  <si>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</si>
  <si>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</si>
  <si>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</si>
  <si>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</si>
  <si>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</si>
  <si>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</si>
  <si>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</si>
  <si>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</si>
  <si>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</si>
  <si>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</si>
  <si>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</si>
  <si>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</si>
  <si>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</si>
  <si>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</si>
  <si>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</si>
  <si>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</si>
  <si>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</si>
  <si>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</si>
  <si>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</si>
  <si>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</si>
  <si>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chlorpromazine</t>
    <phoneticPr fontId="1" type="noConversion"/>
  </si>
  <si>
    <t>50-53-3</t>
    <phoneticPr fontId="1" type="noConversion"/>
  </si>
  <si>
    <t>chlorpromazine</t>
  </si>
  <si>
    <t>50-53-3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</si>
</sst>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1"/>
  <sheetViews>
    <sheetView zoomScale="85" zoomScaleNormal="85" workbookViewId="0">
      <pane ySplit="1" topLeftCell="A2" activePane="bottomLeft" state="frozen"/>
      <selection pane="bottomLeft" activeCell="Z2" sqref="Z2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277</v>
      </c>
      <c r="B2" s="169" t="s">
        <v>278</v>
      </c>
      <c r="C2" s="124"/>
      <c r="D2" s="170">
        <v>318.86</v>
      </c>
      <c r="E2" s="170">
        <v>151</v>
      </c>
      <c r="F2" s="100"/>
      <c r="G2" s="101" t="s">
        <v>175</v>
      </c>
      <c r="H2" s="104"/>
      <c r="I2" s="170">
        <v>5.41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-6.97</v>
      </c>
      <c r="U2" s="100"/>
      <c r="V2" s="170">
        <v>2.2128884000000002</v>
      </c>
      <c r="W2" s="112"/>
      <c r="X2" s="104"/>
      <c r="Y2" s="100"/>
      <c r="Z2" s="112">
        <v>1</v>
      </c>
    </row>
    <row r="3" spans="1:27" s="99" customFormat="1" ht="16.149999999999999">
      <c r="A3" s="169"/>
      <c r="B3" s="169"/>
      <c r="C3" s="124"/>
      <c r="D3" s="170"/>
      <c r="E3" s="170"/>
      <c r="F3" s="101"/>
      <c r="G3" s="101"/>
      <c r="H3" s="104"/>
      <c r="I3" s="170"/>
      <c r="K3" s="100"/>
      <c r="L3" s="100"/>
      <c r="M3" s="100"/>
      <c r="N3" s="100"/>
      <c r="O3" s="100"/>
      <c r="P3" s="100"/>
      <c r="Q3" s="100"/>
      <c r="R3" s="104"/>
      <c r="S3" s="104"/>
      <c r="T3" s="170"/>
      <c r="U3" s="100"/>
      <c r="V3" s="170"/>
      <c r="W3" s="112"/>
      <c r="X3" s="100"/>
      <c r="Y3" s="100"/>
      <c r="Z3" s="112"/>
    </row>
    <row r="4" spans="1:27" s="99" customFormat="1" ht="16.149999999999999">
      <c r="A4" s="169"/>
      <c r="B4" s="169"/>
      <c r="C4" s="124"/>
      <c r="D4" s="170"/>
      <c r="E4" s="170"/>
      <c r="F4" s="100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4"/>
      <c r="Y4" s="100"/>
      <c r="Z4" s="112"/>
      <c r="AA4" s="109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</row>
    <row r="6" spans="1:27" s="99" customFormat="1" ht="16.149999999999999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  <c r="AA6" s="24"/>
    </row>
    <row r="7" spans="1:27" s="99" customFormat="1" ht="16.149999999999999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  <c r="AA7" s="109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0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4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  <c r="AA11" s="15"/>
    </row>
    <row r="12" spans="1:27" s="99" customFormat="1" ht="16.149999999999999">
      <c r="A12" s="169"/>
      <c r="B12" s="169"/>
      <c r="C12" s="124"/>
      <c r="D12" s="170"/>
      <c r="E12" s="170"/>
      <c r="F12" s="101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0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4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  <c r="AA14" s="18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5"/>
      <c r="D16" s="101"/>
      <c r="E16" s="101"/>
      <c r="F16" s="100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0"/>
      <c r="Y17" s="100"/>
      <c r="Z17" s="112"/>
      <c r="AA17" s="98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0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1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D19" s="109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09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27"/>
    </row>
    <row r="23" spans="2:30" s="99" customFormat="1">
      <c r="B23" s="100"/>
      <c r="C23" s="124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8"/>
    </row>
    <row r="25" spans="2:30" s="99" customFormat="1">
      <c r="B25" s="100"/>
      <c r="C25" s="124"/>
      <c r="D25" s="101"/>
      <c r="E25" s="101"/>
      <c r="F25" s="101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  <c r="AD25" s="109"/>
    </row>
    <row r="26" spans="2:30" s="99" customFormat="1">
      <c r="B26" s="100"/>
      <c r="C26" s="125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 ht="13.15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24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1:29" s="99" customFormat="1">
      <c r="B41" s="100"/>
      <c r="C41" s="124"/>
      <c r="D41" s="101"/>
      <c r="E41" s="101"/>
      <c r="F41" s="101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4"/>
      <c r="D45" s="101"/>
      <c r="E45" s="101"/>
      <c r="F45" s="100"/>
      <c r="G45" s="101"/>
      <c r="H45" s="104"/>
      <c r="I45" s="104"/>
      <c r="J45" s="100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 s="99" customFormat="1">
      <c r="B46" s="100"/>
      <c r="C46" s="124"/>
      <c r="D46" s="101"/>
      <c r="E46" s="101"/>
      <c r="F46" s="100"/>
      <c r="G46" s="101"/>
      <c r="H46" s="104"/>
      <c r="I46" s="104"/>
      <c r="J46" s="104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1:29" s="99" customFormat="1">
      <c r="B47" s="100"/>
      <c r="C47" s="125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H71" s="3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0"/>
      <c r="F72" s="100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Y286" s="9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</sheetData>
  <sortState xmlns:xlrd2="http://schemas.microsoft.com/office/spreadsheetml/2017/richdata2" ref="A2:AD1301">
    <sortCondition ref="T2:T1301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182</v>
      </c>
    </row>
    <row r="6" spans="1:10">
      <c r="A6" s="58"/>
    </row>
    <row r="7" spans="1:10" ht="15.4">
      <c r="A7" s="114" t="s">
        <v>214</v>
      </c>
      <c r="H7" s="115" t="s">
        <v>177</v>
      </c>
    </row>
    <row r="8" spans="1:10">
      <c r="A8" s="11" t="b">
        <v>1</v>
      </c>
    </row>
    <row r="9" spans="1:10" ht="13.15">
      <c r="A9" s="11"/>
      <c r="H9" s="102" t="s">
        <v>178</v>
      </c>
      <c r="I9" s="103" t="s">
        <v>179</v>
      </c>
      <c r="J9" s="103" t="s">
        <v>180</v>
      </c>
    </row>
    <row r="10" spans="1:10" ht="1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">
      <c r="D12" s="11" t="s">
        <v>53</v>
      </c>
      <c r="H12" s="99" t="s">
        <v>184</v>
      </c>
      <c r="I12" s="3">
        <v>1</v>
      </c>
      <c r="J12" s="3">
        <v>1</v>
      </c>
    </row>
    <row r="13" spans="1:10" ht="15">
      <c r="D13" s="2" t="s">
        <v>42</v>
      </c>
      <c r="H13" s="99" t="s">
        <v>185</v>
      </c>
      <c r="I13" s="3">
        <v>0</v>
      </c>
      <c r="J13" s="3">
        <v>1</v>
      </c>
    </row>
    <row r="14" spans="1:10" ht="15">
      <c r="D14" s="11" t="s">
        <v>54</v>
      </c>
      <c r="H14" s="99" t="s">
        <v>181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199</v>
      </c>
    </row>
    <row r="17" spans="1:11">
      <c r="A17" s="2" t="s">
        <v>50</v>
      </c>
    </row>
    <row r="18" spans="1:11" ht="13.15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276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2" sqref="N2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279</v>
      </c>
      <c r="B2" s="66" t="s">
        <v>280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2.1520713838304198E-4</v>
      </c>
      <c r="J2" s="67" t="s">
        <v>230</v>
      </c>
      <c r="K2" s="68">
        <v>0.27238294689012227</v>
      </c>
      <c r="L2" s="67" t="s">
        <v>230</v>
      </c>
      <c r="M2" s="68">
        <v>9.5194967127085945</v>
      </c>
      <c r="N2" s="67" t="s">
        <v>230</v>
      </c>
      <c r="P2" s="106" t="s">
        <v>187</v>
      </c>
    </row>
    <row r="3" spans="1:17"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7.25">
      <c r="P8" s="106" t="s">
        <v>192</v>
      </c>
    </row>
    <row r="9" spans="1:17" ht="17.25">
      <c r="P9" s="106" t="s">
        <v>193</v>
      </c>
    </row>
    <row r="11" spans="1:17" ht="13.15">
      <c r="P11" s="15" t="s">
        <v>194</v>
      </c>
    </row>
    <row r="12" spans="1:17">
      <c r="P12" s="106" t="s">
        <v>195</v>
      </c>
      <c r="Q12" s="100">
        <f>COUNTIF(F2:F50000,"Yes")</f>
        <v>0</v>
      </c>
    </row>
    <row r="13" spans="1:17">
      <c r="P13" s="106" t="s">
        <v>191</v>
      </c>
      <c r="Q13" s="100">
        <f>COUNTIF(J2:J50000,"Yes")</f>
        <v>0</v>
      </c>
    </row>
    <row r="14" spans="1:17" ht="15">
      <c r="P14" s="106" t="s">
        <v>228</v>
      </c>
      <c r="Q14" s="100">
        <f>COUNTIF(N2:N50000,"Yes")</f>
        <v>0</v>
      </c>
    </row>
    <row r="15" spans="1:17" ht="15">
      <c r="P15" s="106" t="s">
        <v>229</v>
      </c>
      <c r="Q15" s="100">
        <f>COUNTIF(M2:M50000,"&gt;=60")</f>
        <v>0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1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274</v>
      </c>
      <c r="G9" s="162">
        <v>9.5700000000000004E-3</v>
      </c>
      <c r="H9" s="75" t="s">
        <v>55</v>
      </c>
      <c r="I9" s="76"/>
      <c r="J9" s="76" t="s">
        <v>156</v>
      </c>
      <c r="K9" s="165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0</v>
      </c>
      <c r="C10" s="75" t="s">
        <v>99</v>
      </c>
      <c r="F10" s="99" t="s">
        <v>275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273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2" sqref="W2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 ht="16.149999999999999">
      <c r="A2" s="169" t="s">
        <v>279</v>
      </c>
      <c r="B2" s="169" t="s">
        <v>280</v>
      </c>
      <c r="D2" s="104" t="s">
        <v>175</v>
      </c>
      <c r="F2" s="104">
        <v>5.3240171707711541</v>
      </c>
      <c r="H2" s="104">
        <v>5.3240171707711541</v>
      </c>
      <c r="I2" s="104">
        <v>5.3240171707711541</v>
      </c>
      <c r="K2" s="104">
        <v>5.3240171707711541</v>
      </c>
      <c r="L2" s="104">
        <v>5.6336599999999999</v>
      </c>
      <c r="N2" s="104">
        <v>5.6336599999999999</v>
      </c>
      <c r="O2" s="104">
        <v>4.6112599999999997</v>
      </c>
      <c r="Q2" s="104">
        <v>4.6112599999999997</v>
      </c>
      <c r="R2" s="104">
        <v>-6.5138115123134632</v>
      </c>
      <c r="S2" s="104">
        <v>-6.5138115123134632</v>
      </c>
      <c r="T2" s="104">
        <v>-1.6913828292288444</v>
      </c>
      <c r="V2" s="104">
        <v>-1.6913828292288444</v>
      </c>
      <c r="W2" s="109">
        <v>2.6973812942728226</v>
      </c>
    </row>
    <row r="3" spans="1:23">
      <c r="W3" s="109"/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2" sqref="Q2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279</v>
      </c>
      <c r="B2" s="16" t="s">
        <v>280</v>
      </c>
      <c r="D2" s="14">
        <v>1</v>
      </c>
      <c r="E2" s="14">
        <v>2.2128602534584683E-2</v>
      </c>
      <c r="F2" s="14">
        <v>2.2128602534584683E-2</v>
      </c>
      <c r="G2" s="14">
        <v>6.7786385313296092E-9</v>
      </c>
      <c r="H2" s="14">
        <v>0</v>
      </c>
      <c r="I2" s="14">
        <v>0</v>
      </c>
      <c r="J2" s="14">
        <v>0</v>
      </c>
      <c r="K2" s="14">
        <v>45.190381924800946</v>
      </c>
      <c r="L2" s="14">
        <v>2.2128602534584683E-2</v>
      </c>
      <c r="M2" s="14">
        <v>1.8156518379626733E-2</v>
      </c>
      <c r="N2" s="14">
        <v>272.3829468901223</v>
      </c>
      <c r="O2" s="14">
        <v>86852.026445384399</v>
      </c>
      <c r="P2" s="8">
        <v>272.3829468901223</v>
      </c>
      <c r="Q2" s="54">
        <v>0.450371768501865</v>
      </c>
      <c r="S2" s="99"/>
    </row>
    <row r="3" spans="1:20"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2" sqref="L2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279</v>
      </c>
      <c r="B2" s="3" t="s">
        <v>280</v>
      </c>
      <c r="D2" s="20">
        <v>2.5080962565919551E-6</v>
      </c>
      <c r="E2" s="20">
        <v>2.2128602534584683E-2</v>
      </c>
      <c r="F2" s="20">
        <v>0</v>
      </c>
      <c r="G2" s="20">
        <v>0</v>
      </c>
      <c r="H2" s="20">
        <v>0</v>
      </c>
      <c r="I2" s="20">
        <v>2.2128602534584683E-2</v>
      </c>
      <c r="J2" s="20">
        <v>0.92610201942641579</v>
      </c>
      <c r="K2" s="20">
        <v>5.1766869942743113E-2</v>
      </c>
      <c r="L2" s="20">
        <v>0</v>
      </c>
      <c r="N2" s="99"/>
    </row>
    <row r="3" spans="1:14"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279</v>
      </c>
      <c r="B2" s="3" t="s">
        <v>280</v>
      </c>
      <c r="D2" s="14">
        <v>5.0161925131839109E-9</v>
      </c>
      <c r="E2" s="14">
        <v>4.4257205069169369E-5</v>
      </c>
      <c r="F2" s="14">
        <v>0</v>
      </c>
      <c r="G2" s="14">
        <v>0</v>
      </c>
      <c r="H2" s="14">
        <v>0</v>
      </c>
      <c r="I2" s="14">
        <v>1.8522040388528316E-3</v>
      </c>
      <c r="J2" s="14">
        <v>1.0353373988548622E-4</v>
      </c>
      <c r="K2" s="14">
        <v>0</v>
      </c>
      <c r="L2" s="21"/>
      <c r="M2" s="168"/>
    </row>
    <row r="3" spans="1:23"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2" sqref="R2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279</v>
      </c>
      <c r="B2" s="99" t="s">
        <v>280</v>
      </c>
      <c r="D2" s="100" t="s">
        <v>175</v>
      </c>
      <c r="F2" s="104">
        <v>5.3240171707711541</v>
      </c>
      <c r="G2" s="104">
        <v>-6.5138115123134632</v>
      </c>
      <c r="H2" s="104">
        <v>5.6336599999999999</v>
      </c>
      <c r="I2" s="104">
        <v>3.4991869392277986</v>
      </c>
      <c r="J2" s="104">
        <v>3.3165605016947399</v>
      </c>
      <c r="K2" s="112">
        <v>1</v>
      </c>
      <c r="L2" s="112">
        <v>2.2103191435620971E-2</v>
      </c>
      <c r="M2" s="112">
        <v>272.3829468901223</v>
      </c>
      <c r="N2" s="112">
        <v>9519.4967127085947</v>
      </c>
      <c r="O2" s="112">
        <v>69.845901548654993</v>
      </c>
      <c r="P2" s="112">
        <v>45.868494923806416</v>
      </c>
      <c r="Q2" s="108">
        <v>69.845901548655007</v>
      </c>
      <c r="R2" s="68">
        <v>45.868494923806416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2024-03-28T07:57:42Z</dcterms:modified>
</cp:coreProperties>
</file>