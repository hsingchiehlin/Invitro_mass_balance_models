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Pomponio 2015\Results\"/>
    </mc:Choice>
  </mc:AlternateContent>
  <xr:revisionPtr revIDLastSave="0" documentId="13_ncr:1_{69E3FE91-C118-4D5F-9FB7-8F0E70973A5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28" i="4"/>
  <c r="O15" i="1"/>
  <c r="L15" i="1"/>
  <c r="N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J30" i="4" s="1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S30" i="4" s="1"/>
  <c r="K42" i="4"/>
  <c r="O42" i="4" s="1"/>
  <c r="P42" i="4" s="1"/>
  <c r="M31" i="4" l="1"/>
  <c r="S31" i="4"/>
  <c r="K29" i="4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S28" i="4" s="1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<sst xmlns="http://schemas.openxmlformats.org/spreadsheetml/2006/main" count="117" uniqueCount="90">
  <si>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</si>
  <si>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</si>
  <si>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</si>
  <si>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</si>
  <si>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</si>
  <si>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</si>
  <si>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</si>
  <si>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</si>
  <si>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</si>
  <si>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</si>
  <si>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</si>
  <si>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</si>
  <si>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</si>
  <si>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</si>
  <si>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</si>
  <si>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</si>
  <si>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</si>
  <si>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</si>
  <si>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</si>
  <si>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</si>
  <si>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</si>
  <si>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</si>
  <si>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</si>
  <si>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</si>
  <si>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</si>
  <si>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</si>
  <si>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</si>
  <si>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</si>
  <si>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</si>
  <si>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</si>
  <si>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</si>
  <si>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</si>
  <si>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</si>
  <si>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</si>
  <si>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</si>
  <si>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</si>
  <si>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</si>
  <si>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</si>
  <si>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</si>
  <si>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</si>
  <si>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</si>
  <si>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</si>
  <si>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</si>
  <si>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</si>
  <si>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</si>
  <si>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</si>
  <si>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</si>
  <si>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</si>
  <si>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</si>
  <si>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</si>
  <si>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</si>
  <si>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</si>
  <si>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</si>
  <si>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</si>
  <si>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</si>
  <si>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</si>
  <si>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</si>
  <si>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</si>
  <si>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</si>
  <si>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</si>
  <si>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</si>
  <si>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</si>
  <si>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</si>
  <si>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</si>
  <si>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</si>
  <si>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</si>
  <si>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</si>
  <si>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</si>
  <si>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</si>
  <si>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</si>
  <si>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</si>
  <si>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</si>
  <si>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</si>
  <si>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</si>
  <si>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</si>
  <si>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</si>
  <si>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</si>
  <si>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</si>
  <si>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</si>
  <si>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</si>
  <si>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</si>
  <si>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</si>
  <si>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</si>
  <si>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</si>
  <si>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</si>
  <si>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</si>
  <si>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1951-25-3</t>
  </si>
  <si>
    <t>15687-27-1</t>
  </si>
  <si>
    <t>amiodarone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</si>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</sst>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v>2.9580000000000001E-3</v>
      </c>
      <c r="M17" s="83">
        <v>3.2164000000000004E-4</v>
      </c>
      <c r="N17" s="83"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E4" zoomScale="90" zoomScaleNormal="90" workbookViewId="0">
      <selection activeCell="S28" sqref="S28:S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2006.7762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2005.9159999999999</v>
      </c>
      <c r="K8" s="40">
        <f>J8/J7</f>
        <v>0.99957135230126803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0.64328000000000007</v>
      </c>
      <c r="K9" s="40">
        <f>J9/J7</f>
        <v>3.2055393122561453E-4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0.21692</v>
      </c>
      <c r="K10" s="40">
        <f>J10/J7</f>
        <v>1.0809376750631187E-4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2000</v>
      </c>
      <c r="K14" s="40">
        <f>J14/J13</f>
        <v>1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6.7762000000000002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5.9160000000000004</v>
      </c>
      <c r="K20" s="40">
        <f>J20/J19</f>
        <v>0.87305569493226298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0.64328000000000007</v>
      </c>
      <c r="K21" s="40">
        <f>J21/J19</f>
        <v>9.4932262920220778E-2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2000000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0.21692</v>
      </c>
      <c r="K22" s="40">
        <f>J22/J19</f>
        <v>3.2012042147516309E-2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88</v>
      </c>
      <c r="C28" s="47" t="s">
        <v>86</v>
      </c>
      <c r="D28" s="95">
        <v>4.6510502998865109</v>
      </c>
      <c r="E28" s="95">
        <v>6.1388180322329244</v>
      </c>
      <c r="F28" s="103">
        <v>2.4999999999999999E-7</v>
      </c>
      <c r="G28" s="173"/>
      <c r="H28" s="173"/>
      <c r="I28" s="99">
        <f t="shared" ref="I28:I47" si="1">IF(D28=0,"",LOG($K$15*10^D28+$K$16*10^E28+$K$14))</f>
        <v>0</v>
      </c>
      <c r="J28" s="99">
        <f t="shared" ref="J28:J47" si="2">IF(D28=0,"",LOG($K$21*10^D28+$K$22*10^E28+$K$20))</f>
        <v>4.6841307731429556</v>
      </c>
      <c r="K28" s="100">
        <f t="shared" ref="K28:K47" si="3">IF(D28=0,"",1/(1+10^D28*$J$15/$J$14+10^E28*$J$16/$J$14+10^J28*$J$19/$J$14))</f>
        <v>6.0711130458953513E-3</v>
      </c>
      <c r="L28" s="100">
        <f t="shared" ref="L28:L47" si="4">IF(D28=0,"",1/(1+10^I28/10^J28*$J$13/$J$19))</f>
        <v>0.99392888695410453</v>
      </c>
      <c r="M28" s="100">
        <f t="shared" ref="M28:M47" si="5">IF(D28=0,"",1-L28)</f>
        <v>6.071113045895471E-3</v>
      </c>
      <c r="N28" s="100">
        <f t="shared" ref="N28:N47" si="6">IF(D28=0,"",1/(1/10^E28*$J$20/$J$22+10^D28/10^E28*$J$21/$J$22+10^I28/10^E28*$J$13/$J$22+1))</f>
        <v>0.90647525242511884</v>
      </c>
      <c r="O28" s="41">
        <f t="shared" ref="O28:O47" si="7">IF(D28=0,"",F28*K28*$J$7/$J$14)</f>
        <v>1.5229206460015373E-9</v>
      </c>
      <c r="P28" s="41">
        <f t="shared" ref="P28:P47" si="8">IF(D28=0,"",O28*10^J28)</f>
        <v>7.358817754906833E-5</v>
      </c>
      <c r="Q28" s="41">
        <f t="shared" ref="Q28:Q47" si="9">IF(D28=0,"",F28*N28*$J$7/$J$22)</f>
        <v>2.0965021234276701E-3</v>
      </c>
      <c r="R28" s="9">
        <f>F28*0.002*1000000</f>
        <v>5.0000000000000001E-4</v>
      </c>
      <c r="S28" s="11">
        <f>R28*L28</f>
        <v>4.969644434770523E-4</v>
      </c>
      <c r="T28" s="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88</v>
      </c>
      <c r="C29" s="47" t="s">
        <v>86</v>
      </c>
      <c r="D29" s="95">
        <v>4.6510502998865109</v>
      </c>
      <c r="E29" s="95">
        <v>6.1388180322329244</v>
      </c>
      <c r="F29" s="103">
        <v>2.5000000000000002E-6</v>
      </c>
      <c r="G29" s="173"/>
      <c r="H29" s="173"/>
      <c r="I29" s="99">
        <f t="shared" si="1"/>
        <v>0</v>
      </c>
      <c r="J29" s="99">
        <f t="shared" si="2"/>
        <v>4.6841307731429556</v>
      </c>
      <c r="K29" s="100">
        <f t="shared" si="3"/>
        <v>6.0711130458953513E-3</v>
      </c>
      <c r="L29" s="100">
        <f t="shared" si="4"/>
        <v>0.99392888695410453</v>
      </c>
      <c r="M29" s="100">
        <f t="shared" si="5"/>
        <v>6.071113045895471E-3</v>
      </c>
      <c r="N29" s="100">
        <f t="shared" si="6"/>
        <v>0.90647525242511884</v>
      </c>
      <c r="O29" s="41">
        <f t="shared" si="7"/>
        <v>1.5229206460015375E-8</v>
      </c>
      <c r="P29" s="41">
        <f t="shared" si="8"/>
        <v>7.3588177549068347E-4</v>
      </c>
      <c r="Q29" s="41">
        <f t="shared" si="9"/>
        <v>2.0965021234276703E-2</v>
      </c>
      <c r="R29" s="9">
        <f t="shared" ref="R29:R31" si="10">F29*0.002*1000000</f>
        <v>5.0000000000000001E-3</v>
      </c>
      <c r="S29" s="11">
        <f t="shared" ref="S29:S31" si="11">R29*L29</f>
        <v>4.969644434770523E-3</v>
      </c>
      <c r="T29" s="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 t="s">
        <v>89</v>
      </c>
      <c r="C30" s="47" t="s">
        <v>87</v>
      </c>
      <c r="D30" s="95">
        <v>2.9091840000000002</v>
      </c>
      <c r="E30" s="95">
        <v>3.4102429999999995</v>
      </c>
      <c r="F30" s="103">
        <v>9.9999999999999991E-5</v>
      </c>
      <c r="G30" s="173"/>
      <c r="H30" s="173"/>
      <c r="I30" s="99">
        <f t="shared" si="1"/>
        <v>0</v>
      </c>
      <c r="J30" s="99">
        <f t="shared" si="2"/>
        <v>2.2047213875633358</v>
      </c>
      <c r="K30" s="100">
        <f t="shared" si="3"/>
        <v>0.64815232221089381</v>
      </c>
      <c r="L30" s="100">
        <f t="shared" si="4"/>
        <v>0.35184767778910619</v>
      </c>
      <c r="M30" s="100">
        <f t="shared" si="5"/>
        <v>0.64815232221089381</v>
      </c>
      <c r="N30" s="100">
        <f t="shared" si="6"/>
        <v>0.1807963595648138</v>
      </c>
      <c r="O30" s="41">
        <f t="shared" si="7"/>
        <v>6.5034832709377636E-5</v>
      </c>
      <c r="P30" s="41">
        <f t="shared" si="8"/>
        <v>1.0419992707010521E-2</v>
      </c>
      <c r="Q30" s="41">
        <f t="shared" si="9"/>
        <v>0.16725881957464073</v>
      </c>
      <c r="R30" s="9">
        <f t="shared" si="10"/>
        <v>0.19999999999999998</v>
      </c>
      <c r="S30" s="11">
        <f t="shared" si="11"/>
        <v>7.0369535557821231E-2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 t="s">
        <v>89</v>
      </c>
      <c r="C31" s="47" t="s">
        <v>87</v>
      </c>
      <c r="D31" s="95">
        <v>2.9091840000000002</v>
      </c>
      <c r="E31" s="95">
        <v>3.4102429999999995</v>
      </c>
      <c r="F31" s="98">
        <v>1E-3</v>
      </c>
      <c r="G31" s="173"/>
      <c r="H31" s="173"/>
      <c r="I31" s="99">
        <f t="shared" si="1"/>
        <v>0</v>
      </c>
      <c r="J31" s="99">
        <f t="shared" si="2"/>
        <v>2.2047213875633358</v>
      </c>
      <c r="K31" s="100">
        <f t="shared" si="3"/>
        <v>0.64815232221089381</v>
      </c>
      <c r="L31" s="100">
        <f t="shared" si="4"/>
        <v>0.35184767778910619</v>
      </c>
      <c r="M31" s="100">
        <f t="shared" si="5"/>
        <v>0.64815232221089381</v>
      </c>
      <c r="N31" s="100">
        <f t="shared" si="6"/>
        <v>0.1807963595648138</v>
      </c>
      <c r="O31" s="41">
        <f t="shared" si="7"/>
        <v>6.5034832709377657E-4</v>
      </c>
      <c r="P31" s="41">
        <f t="shared" si="8"/>
        <v>0.10419992707010524</v>
      </c>
      <c r="Q31" s="41">
        <f t="shared" si="9"/>
        <v>1.6725881957464073</v>
      </c>
      <c r="R31" s="9">
        <f t="shared" si="10"/>
        <v>2</v>
      </c>
      <c r="S31" s="11">
        <f t="shared" si="11"/>
        <v>0.70369535557821239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2">IF(D48=0,"",LOG($K$15*10^D48+$K$16*10^E48+$K$14))</f>
        <v/>
      </c>
      <c r="J48" s="99" t="str">
        <f t="shared" ref="J48:J50" si="13">IF(D48=0,"",LOG($K$21*10^D48+$K$22*10^E48+$K$20))</f>
        <v/>
      </c>
      <c r="K48" s="100" t="str">
        <f t="shared" ref="K48:K50" si="14">IF(D48=0,"",1/(1+10^D48*$J$15/$J$14+10^E48*$J$16/$J$14+10^J48*$J$19/$J$14))</f>
        <v/>
      </c>
      <c r="L48" s="100" t="str">
        <f t="shared" ref="L48:L50" si="15">IF(D48=0,"",1/(1+10^I48/10^J48*$J$13/$J$19))</f>
        <v/>
      </c>
      <c r="M48" s="100" t="str">
        <f t="shared" ref="M48:M92" si="16">IF(D48=0,"",1-L48)</f>
        <v/>
      </c>
      <c r="N48" s="100" t="str">
        <f t="shared" ref="N48:N50" si="17">IF(D48=0,"",1/(1/10^E48*$J$20/$J$22+10^D48/10^E48*$J$21/$J$22+10^I48/10^E48*$J$13/$J$22+1))</f>
        <v/>
      </c>
      <c r="O48" s="41" t="str">
        <f t="shared" ref="O48:O92" si="18">IF(D48=0,"",F48*K48*$J$7/$J$14)</f>
        <v/>
      </c>
      <c r="P48" s="41" t="str">
        <f t="shared" ref="P48:P50" si="19">IF(D48=0,"",O48*10^J48)</f>
        <v/>
      </c>
      <c r="Q48" s="41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2"/>
        <v/>
      </c>
      <c r="J49" s="99" t="str">
        <f t="shared" si="13"/>
        <v/>
      </c>
      <c r="K49" s="100" t="str">
        <f t="shared" si="14"/>
        <v/>
      </c>
      <c r="L49" s="100" t="str">
        <f t="shared" si="15"/>
        <v/>
      </c>
      <c r="M49" s="100" t="str">
        <f t="shared" si="16"/>
        <v/>
      </c>
      <c r="N49" s="100" t="str">
        <f t="shared" si="17"/>
        <v/>
      </c>
      <c r="O49" s="41" t="str">
        <f t="shared" si="18"/>
        <v/>
      </c>
      <c r="P49" s="41" t="str">
        <f t="shared" si="19"/>
        <v/>
      </c>
      <c r="Q49" s="41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2"/>
        <v/>
      </c>
      <c r="J50" s="99" t="str">
        <f t="shared" si="13"/>
        <v/>
      </c>
      <c r="K50" s="100" t="str">
        <f t="shared" si="14"/>
        <v/>
      </c>
      <c r="L50" s="100" t="str">
        <f t="shared" si="15"/>
        <v/>
      </c>
      <c r="M50" s="100" t="str">
        <f t="shared" si="16"/>
        <v/>
      </c>
      <c r="N50" s="100" t="str">
        <f t="shared" si="17"/>
        <v/>
      </c>
      <c r="O50" s="41" t="str">
        <f t="shared" si="18"/>
        <v/>
      </c>
      <c r="P50" s="41" t="str">
        <f t="shared" si="19"/>
        <v/>
      </c>
      <c r="Q50" s="41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21">IF(D51=0,"",LOG($K$15*10^D51+$K$16*10^E51+$K$14))</f>
        <v/>
      </c>
      <c r="J51" s="99" t="str">
        <f t="shared" ref="J51:J70" si="22">IF(D51=0,"",LOG($K$21*10^D51+$K$22*10^E51+$K$20))</f>
        <v/>
      </c>
      <c r="K51" s="100" t="str">
        <f t="shared" ref="K51:K70" si="23">IF(D51=0,"",1/(1+10^D51*$J$15/$J$14+10^E51*$J$16/$J$14+10^J51*$J$19/$J$14))</f>
        <v/>
      </c>
      <c r="L51" s="100" t="str">
        <f t="shared" ref="L51:L70" si="24">IF(D51=0,"",1/(1+10^I51/10^J51*$J$13/$J$19))</f>
        <v/>
      </c>
      <c r="M51" s="100" t="str">
        <f t="shared" ref="M51:M70" si="25">IF(D51=0,"",1-L51)</f>
        <v/>
      </c>
      <c r="N51" s="100" t="str">
        <f t="shared" ref="N51:N70" si="26">IF(D51=0,"",1/(1/10^E51*$J$20/$J$22+10^D51/10^E51*$J$21/$J$22+10^I51/10^E51*$J$13/$J$22+1))</f>
        <v/>
      </c>
      <c r="O51" s="41" t="str">
        <f t="shared" ref="O51:O70" si="27">IF(D51=0,"",F51*K51*$J$7/$J$14)</f>
        <v/>
      </c>
      <c r="P51" s="41" t="str">
        <f t="shared" ref="P51:P70" si="28">IF(D51=0,"",O51*10^J51)</f>
        <v/>
      </c>
      <c r="Q51" s="41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21"/>
        <v/>
      </c>
      <c r="J52" s="99" t="str">
        <f t="shared" si="22"/>
        <v/>
      </c>
      <c r="K52" s="100" t="str">
        <f t="shared" si="23"/>
        <v/>
      </c>
      <c r="L52" s="100" t="str">
        <f t="shared" si="24"/>
        <v/>
      </c>
      <c r="M52" s="100" t="str">
        <f t="shared" si="25"/>
        <v/>
      </c>
      <c r="N52" s="100" t="str">
        <f t="shared" si="26"/>
        <v/>
      </c>
      <c r="O52" s="41" t="str">
        <f t="shared" si="27"/>
        <v/>
      </c>
      <c r="P52" s="41" t="str">
        <f t="shared" si="28"/>
        <v/>
      </c>
      <c r="Q52" s="41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21"/>
        <v/>
      </c>
      <c r="J53" s="99" t="str">
        <f t="shared" si="22"/>
        <v/>
      </c>
      <c r="K53" s="100" t="str">
        <f t="shared" si="23"/>
        <v/>
      </c>
      <c r="L53" s="100" t="str">
        <f t="shared" si="24"/>
        <v/>
      </c>
      <c r="M53" s="100" t="str">
        <f t="shared" si="25"/>
        <v/>
      </c>
      <c r="N53" s="100" t="str">
        <f t="shared" si="26"/>
        <v/>
      </c>
      <c r="O53" s="41" t="str">
        <f t="shared" si="27"/>
        <v/>
      </c>
      <c r="P53" s="41" t="str">
        <f t="shared" si="28"/>
        <v/>
      </c>
      <c r="Q53" s="41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21"/>
        <v/>
      </c>
      <c r="J54" s="99" t="str">
        <f t="shared" si="22"/>
        <v/>
      </c>
      <c r="K54" s="100" t="str">
        <f t="shared" si="23"/>
        <v/>
      </c>
      <c r="L54" s="100" t="str">
        <f t="shared" si="24"/>
        <v/>
      </c>
      <c r="M54" s="100" t="str">
        <f t="shared" si="25"/>
        <v/>
      </c>
      <c r="N54" s="100" t="str">
        <f t="shared" si="26"/>
        <v/>
      </c>
      <c r="O54" s="41" t="str">
        <f t="shared" si="27"/>
        <v/>
      </c>
      <c r="P54" s="41" t="str">
        <f t="shared" si="28"/>
        <v/>
      </c>
      <c r="Q54" s="41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2025-02-04T03:42:51Z</dcterms:modified>
</cp:coreProperties>
</file>