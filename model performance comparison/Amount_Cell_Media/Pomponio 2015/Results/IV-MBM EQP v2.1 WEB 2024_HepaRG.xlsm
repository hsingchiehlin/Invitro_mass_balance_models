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Pomponio 2015\Results\"/>
    </mc:Choice>
  </mc:AlternateContent>
  <xr:revisionPtr revIDLastSave="0" documentId="13_ncr:1_{229B8815-DABF-42C1-887C-6090BC7B9C4F}" xr6:coauthVersionLast="47" xr6:coauthVersionMax="47" xr10:uidLastSave="{00000000-0000-0000-0000-000000000000}"/>
  <bookViews>
    <workbookView xWindow="-28920" yWindow="-120" windowWidth="29040" windowHeight="17640" tabRatio="84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<sst xmlns="http://schemas.openxmlformats.org/spreadsheetml/2006/main" count="398" uniqueCount="282">
  <si>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</si>
  <si>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</si>
  <si>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</si>
  <si>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</si>
  <si>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</si>
  <si>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</si>
  <si>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</si>
  <si>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</si>
  <si>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</si>
  <si>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</si>
  <si>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</si>
  <si>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</si>
  <si>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</si>
  <si>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</si>
  <si>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</si>
  <si>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</si>
  <si>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</si>
  <si>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</si>
  <si>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</si>
  <si>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</si>
  <si>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</si>
  <si>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</si>
  <si>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</si>
  <si>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</si>
  <si>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</si>
  <si>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</si>
  <si>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</si>
  <si>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</si>
  <si>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</si>
  <si>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</si>
  <si>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</si>
  <si>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</si>
  <si>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</si>
  <si>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</si>
  <si>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</si>
  <si>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</si>
  <si>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</si>
  <si>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</si>
  <si>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</si>
  <si>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</si>
  <si>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</si>
  <si>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</si>
  <si>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</si>
  <si>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</si>
  <si>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</si>
  <si>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</si>
  <si>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</si>
  <si>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</si>
  <si>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</si>
  <si>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</si>
  <si>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</si>
  <si>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</si>
  <si>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</si>
  <si>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</si>
  <si>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</si>
  <si>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</si>
  <si>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</si>
  <si>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</si>
  <si>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</si>
  <si>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</si>
  <si>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</si>
  <si>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</si>
  <si>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</si>
  <si>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</si>
  <si>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</si>
  <si>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</si>
  <si>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</si>
  <si>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</si>
  <si>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</si>
  <si>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</si>
  <si>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</si>
  <si>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</si>
  <si>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</si>
  <si>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</si>
  <si>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</si>
  <si>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</si>
  <si>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</si>
  <si>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</si>
  <si>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</si>
  <si>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</si>
  <si>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</si>
  <si>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</si>
  <si>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</si>
  <si>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</si>
  <si>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</si>
  <si>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</si>
  <si>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</si>
  <si>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</si>
  <si>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</si>
  <si>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</si>
  <si>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</si>
  <si>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</si>
  <si>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</si>
  <si>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</si>
  <si>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</si>
  <si>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</si>
  <si>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</si>
  <si>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</si>
  <si>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</si>
  <si>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</si>
  <si>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</si>
  <si>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</si>
  <si>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</si>
  <si>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</si>
  <si>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</si>
  <si>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</si>
  <si>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</si>
  <si>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</si>
  <si>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</si>
  <si>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</si>
  <si>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</si>
  <si>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</si>
  <si>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</si>
  <si>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</si>
  <si>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</si>
  <si>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</si>
  <si>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</si>
  <si>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</si>
  <si>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</si>
  <si>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</si>
  <si>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</si>
  <si>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</si>
  <si>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</si>
  <si>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</si>
  <si>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</si>
  <si>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</si>
  <si>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</si>
  <si>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</si>
  <si>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</si>
  <si>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</si>
  <si>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</si>
  <si>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</si>
  <si>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</si>
  <si>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</si>
  <si>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</si>
  <si>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</si>
  <si>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</si>
  <si>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</si>
  <si>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</si>
  <si>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</si>
  <si>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</si>
  <si>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</si>
  <si>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</si>
  <si>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</si>
  <si>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</si>
  <si>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</si>
  <si>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</si>
  <si>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</si>
  <si>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</si>
  <si>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</si>
  <si>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</si>
  <si>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</si>
  <si>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</si>
  <si>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</si>
  <si>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</si>
  <si>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</si>
  <si>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</si>
  <si>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</si>
  <si>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</si>
  <si>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</si>
  <si>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</si>
  <si>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</si>
  <si>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</si>
  <si>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</si>
  <si>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</si>
  <si>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</si>
  <si>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</si>
  <si>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</si>
  <si>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</si>
  <si>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</si>
  <si>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</si>
  <si>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</si>
  <si>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</si>
  <si>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</si>
  <si>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</si>
  <si>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</si>
  <si>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</si>
  <si>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</si>
  <si>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</si>
  <si>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</si>
  <si>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</si>
  <si>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</si>
  <si>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</si>
  <si>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</si>
  <si>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</si>
  <si>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</si>
  <si>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</si>
  <si>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</si>
  <si>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</si>
  <si>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</si>
  <si>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</si>
  <si>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</si>
  <si>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</si>
  <si>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</si>
  <si>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</si>
  <si>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</si>
  <si>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</si>
  <si>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</si>
  <si>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</si>
  <si>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</si>
  <si>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</si>
  <si>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</si>
  <si>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</si>
  <si>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</si>
  <si>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</si>
  <si>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</si>
  <si>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</si>
  <si>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</si>
  <si>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</si>
  <si>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</si>
  <si>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</si>
  <si>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</si>
  <si>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</si>
  <si>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</si>
  <si>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</si>
  <si>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</si>
  <si>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</si>
  <si>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</si>
  <si>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</si>
  <si>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</si>
  <si>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</si>
  <si>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</si>
  <si>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</si>
  <si>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</si>
  <si>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</si>
  <si>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</si>
  <si>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</si>
  <si>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</si>
  <si>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</si>
  <si>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</si>
  <si>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</si>
  <si>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</si>
  <si>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</si>
  <si>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</si>
  <si>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</si>
  <si>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</si>
  <si>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</si>
  <si>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</si>
  <si>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</si>
  <si>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</si>
  <si>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</si>
  <si>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</si>
  <si>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</si>
  <si>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</si>
  <si>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</si>
  <si>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</si>
  <si>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</si>
  <si>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</si>
  <si>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</si>
  <si>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</si>
  <si>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</si>
  <si>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</si>
  <si>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</si>
  <si>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</si>
  <si>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</si>
  <si>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</si>
  <si>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</si>
  <si>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</si>
  <si>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</si>
  <si>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</si>
  <si>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</si>
  <si>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</si>
  <si>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</si>
  <si>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</si>
  <si>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</si>
  <si>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</si>
  <si>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</si>
  <si>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</si>
  <si>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</si>
  <si>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</si>
  <si>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</si>
  <si>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</si>
  <si>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</si>
  <si>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</si>
  <si>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</si>
  <si>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</si>
  <si>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</si>
  <si>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amiodarone</t>
    <phoneticPr fontId="1" type="noConversion"/>
  </si>
  <si>
    <t>1951-25-3</t>
    <phoneticPr fontId="1" type="noConversion"/>
  </si>
  <si>
    <t>amiodarone</t>
  </si>
  <si>
    <t>1951-25-3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</si>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</sst>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232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238</v>
      </c>
    </row>
    <row r="14" spans="1:15" ht="18">
      <c r="M14" s="1" t="s">
        <v>239</v>
      </c>
      <c r="N14" s="1" t="s">
        <v>243</v>
      </c>
    </row>
    <row r="15" spans="1:15" ht="18">
      <c r="M15" s="1" t="s">
        <v>240</v>
      </c>
      <c r="N15" s="1" t="s">
        <v>244</v>
      </c>
    </row>
    <row r="16" spans="1:15" ht="18">
      <c r="M16" s="1" t="s">
        <v>241</v>
      </c>
      <c r="N16" s="1" t="s">
        <v>245</v>
      </c>
    </row>
    <row r="17" spans="13:14" ht="18">
      <c r="M17" s="1" t="s">
        <v>242</v>
      </c>
      <c r="N17" s="1" t="s">
        <v>246</v>
      </c>
    </row>
    <row r="18" spans="13:14" ht="18">
      <c r="M18" s="1" t="s">
        <v>249</v>
      </c>
      <c r="N18" s="1" t="s">
        <v>247</v>
      </c>
    </row>
    <row r="19" spans="13:14" ht="18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8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30" ht="42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30" s="99" customFormat="1" ht="15.75">
      <c r="A2" s="169" t="s">
        <v>277</v>
      </c>
      <c r="B2" s="169" t="s">
        <v>278</v>
      </c>
      <c r="C2" s="124"/>
      <c r="D2" s="170">
        <v>645.30999999999995</v>
      </c>
      <c r="E2" s="170">
        <v>238</v>
      </c>
      <c r="F2" s="100"/>
      <c r="G2" s="101" t="s">
        <v>175</v>
      </c>
      <c r="H2" s="104"/>
      <c r="I2" s="170">
        <v>7.57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-10.7</v>
      </c>
      <c r="U2" s="100"/>
      <c r="V2" s="170">
        <v>0.4168</v>
      </c>
      <c r="W2" s="112"/>
      <c r="X2" s="104"/>
      <c r="Y2" s="100"/>
      <c r="Z2" s="112">
        <v>1</v>
      </c>
    </row>
    <row r="3" spans="1:30" s="99" customFormat="1" ht="15.75">
      <c r="A3" s="169" t="s">
        <v>277</v>
      </c>
      <c r="B3" s="169" t="s">
        <v>278</v>
      </c>
      <c r="C3" s="124"/>
      <c r="D3" s="170">
        <v>645.30999999999995</v>
      </c>
      <c r="E3" s="170">
        <v>238</v>
      </c>
      <c r="F3" s="101"/>
      <c r="G3" s="101" t="s">
        <v>175</v>
      </c>
      <c r="H3" s="104"/>
      <c r="I3" s="170">
        <v>7.57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-10.7</v>
      </c>
      <c r="U3" s="100"/>
      <c r="V3" s="170">
        <v>0.4168</v>
      </c>
      <c r="W3" s="112"/>
      <c r="X3" s="100"/>
      <c r="Y3" s="100"/>
      <c r="Z3" s="112">
        <v>5</v>
      </c>
    </row>
    <row r="4" spans="1:30" s="99" customFormat="1" ht="15.75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30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30" s="99" customFormat="1" ht="15.75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</row>
    <row r="7" spans="1:30" s="99" customFormat="1" ht="15.75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</row>
    <row r="8" spans="1:30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5"/>
    </row>
    <row r="9" spans="1:30" s="99" customFormat="1" ht="15.75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  <c r="AA9" s="18"/>
    </row>
    <row r="10" spans="1:30" s="99" customFormat="1">
      <c r="B10" s="100"/>
      <c r="C10" s="124"/>
      <c r="D10" s="101"/>
      <c r="E10" s="101"/>
      <c r="F10" s="101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0"/>
      <c r="Y10" s="100"/>
      <c r="Z10" s="112"/>
      <c r="AA10" s="98"/>
    </row>
    <row r="11" spans="1:30" s="99" customFormat="1">
      <c r="B11" s="100"/>
      <c r="C11" s="124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  <c r="AA11" s="18"/>
    </row>
    <row r="12" spans="1:30" s="99" customFormat="1">
      <c r="B12" s="100"/>
      <c r="C12" s="124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0"/>
      <c r="Y12" s="100"/>
      <c r="Z12" s="112"/>
      <c r="AA12" s="98"/>
    </row>
    <row r="13" spans="1:30" s="99" customFormat="1">
      <c r="B13" s="100"/>
      <c r="C13" s="125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</row>
    <row r="14" spans="1:30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30" s="99" customFormat="1">
      <c r="B15" s="100"/>
      <c r="C15" s="124"/>
      <c r="D15" s="101"/>
      <c r="E15" s="101"/>
      <c r="F15" s="100"/>
      <c r="G15" s="101"/>
      <c r="H15" s="104"/>
      <c r="I15" s="104"/>
      <c r="J15" s="100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09"/>
    </row>
    <row r="16" spans="1:30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D16" s="109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A17" s="109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</row>
    <row r="19" spans="2:30" s="99" customFormat="1">
      <c r="B19" s="100"/>
      <c r="C19" s="125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27"/>
    </row>
    <row r="20" spans="2:30" s="99" customFormat="1">
      <c r="B20" s="100"/>
      <c r="C20" s="124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8"/>
    </row>
    <row r="22" spans="2:30" s="99" customFormat="1">
      <c r="B22" s="100"/>
      <c r="C22" s="124"/>
      <c r="D22" s="101"/>
      <c r="E22" s="101"/>
      <c r="F22" s="101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09"/>
      <c r="AD22" s="109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24"/>
    </row>
    <row r="25" spans="2:30" s="99" customFormat="1">
      <c r="B25" s="100"/>
      <c r="C25" s="124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1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34"/>
      <c r="AA38" s="100"/>
      <c r="AB38" s="100"/>
      <c r="AC38" s="101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0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5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>
      <c r="A45" s="99"/>
      <c r="B45" s="100"/>
      <c r="C45" s="100"/>
      <c r="D45" s="101"/>
      <c r="H45" s="3"/>
      <c r="I45" s="104"/>
      <c r="T45" s="104"/>
      <c r="U45" s="100"/>
      <c r="V45" s="112"/>
      <c r="AA45" s="1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E49" s="2"/>
      <c r="F49" s="2"/>
      <c r="G49" s="2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100"/>
      <c r="F52" s="100"/>
      <c r="G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1"/>
      <c r="F68" s="101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Y283" s="9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</sheetData>
  <sortState xmlns:xlrd2="http://schemas.microsoft.com/office/spreadsheetml/2017/richdata2" ref="A2:AD1298">
    <sortCondition ref="T2:T1298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139</v>
      </c>
    </row>
    <row r="3" spans="1:10" ht="15.75">
      <c r="A3" s="57" t="s">
        <v>149</v>
      </c>
    </row>
    <row r="4" spans="1:10" ht="15.75">
      <c r="A4" s="98" t="s">
        <v>159</v>
      </c>
    </row>
    <row r="5" spans="1:10" ht="15.75">
      <c r="A5" s="98" t="s">
        <v>182</v>
      </c>
    </row>
    <row r="6" spans="1:10">
      <c r="A6" s="58"/>
    </row>
    <row r="7" spans="1:10" ht="16.5">
      <c r="A7" s="114" t="s">
        <v>214</v>
      </c>
      <c r="H7" s="115" t="s">
        <v>177</v>
      </c>
    </row>
    <row r="8" spans="1:10">
      <c r="A8" s="11" t="b">
        <v>1</v>
      </c>
    </row>
    <row r="9" spans="1:10">
      <c r="A9" s="11"/>
      <c r="H9" s="102" t="s">
        <v>178</v>
      </c>
      <c r="I9" s="103" t="s">
        <v>179</v>
      </c>
      <c r="J9" s="103" t="s">
        <v>180</v>
      </c>
    </row>
    <row r="10" spans="1:10" ht="15.7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184</v>
      </c>
      <c r="I12" s="3">
        <v>1</v>
      </c>
      <c r="J12" s="3">
        <v>1</v>
      </c>
    </row>
    <row r="13" spans="1:10" ht="15.75">
      <c r="D13" s="2" t="s">
        <v>42</v>
      </c>
      <c r="H13" s="99" t="s">
        <v>185</v>
      </c>
      <c r="I13" s="3">
        <v>0</v>
      </c>
      <c r="J13" s="3">
        <v>1</v>
      </c>
    </row>
    <row r="14" spans="1:10" ht="15.75">
      <c r="D14" s="11" t="s">
        <v>54</v>
      </c>
      <c r="H14" s="99" t="s">
        <v>181</v>
      </c>
      <c r="I14" s="3">
        <v>3.5</v>
      </c>
      <c r="J14" s="3">
        <v>3.5</v>
      </c>
    </row>
    <row r="16" spans="1:10" ht="15">
      <c r="A16" s="116" t="s">
        <v>49</v>
      </c>
      <c r="H16" s="115" t="s">
        <v>199</v>
      </c>
    </row>
    <row r="17" spans="1:11">
      <c r="A17" s="2" t="s">
        <v>50</v>
      </c>
    </row>
    <row r="18" spans="1:11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5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129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247000</v>
      </c>
      <c r="I5" s="49">
        <f>H5*$K$5/1000000</f>
        <v>0.83979999999999999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276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279</v>
      </c>
      <c r="B2" s="66" t="s">
        <v>280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7.5242373401513684E-6</v>
      </c>
      <c r="J2" s="67" t="s">
        <v>230</v>
      </c>
      <c r="K2" s="68">
        <v>0.89608915019656454</v>
      </c>
      <c r="L2" s="67" t="s">
        <v>230</v>
      </c>
      <c r="M2" s="68">
        <v>31.65621600131702</v>
      </c>
      <c r="N2" s="67" t="s">
        <v>281</v>
      </c>
      <c r="P2" s="106" t="s">
        <v>187</v>
      </c>
    </row>
    <row r="3" spans="1:17">
      <c r="A3" s="65" t="s">
        <v>279</v>
      </c>
      <c r="B3" s="66" t="s">
        <v>280</v>
      </c>
      <c r="D3" s="66" t="s">
        <v>175</v>
      </c>
      <c r="F3" s="67" t="s">
        <v>230</v>
      </c>
      <c r="G3" s="67" t="s">
        <v>230</v>
      </c>
      <c r="H3" s="67" t="s">
        <v>230</v>
      </c>
      <c r="I3" s="68">
        <v>3.7621186700756842E-5</v>
      </c>
      <c r="J3" s="67" t="s">
        <v>230</v>
      </c>
      <c r="K3" s="68">
        <v>4.480445750982823</v>
      </c>
      <c r="L3" s="67" t="s">
        <v>281</v>
      </c>
      <c r="M3" s="68">
        <v>158.28108000658511</v>
      </c>
      <c r="N3" s="67" t="s">
        <v>281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8">
      <c r="P8" s="106" t="s">
        <v>192</v>
      </c>
    </row>
    <row r="9" spans="1:17" ht="18">
      <c r="P9" s="106" t="s">
        <v>193</v>
      </c>
    </row>
    <row r="11" spans="1:17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0</v>
      </c>
    </row>
    <row r="14" spans="1:17" ht="15.75">
      <c r="P14" s="106" t="s">
        <v>228</v>
      </c>
      <c r="Q14" s="100">
        <f>COUNTIF(N2:N50000,"Yes")</f>
        <v>2</v>
      </c>
    </row>
    <row r="15" spans="1:17" ht="15.75">
      <c r="P15" s="106" t="s">
        <v>229</v>
      </c>
      <c r="Q15" s="100">
        <f>COUNTIF(M2:M50000,"&gt;=60")</f>
        <v>1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131</v>
      </c>
      <c r="B1" s="75"/>
      <c r="F1" s="74" t="s">
        <v>130</v>
      </c>
      <c r="I1" s="76"/>
    </row>
    <row r="2" spans="1:13" ht="13.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0.70367999999999997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8">
      <c r="A10" s="76" t="s">
        <v>114</v>
      </c>
      <c r="B10" s="132">
        <f>K9*B6*K17/1000</f>
        <v>7.5999999999999998E-2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0.83979999999999999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0.83979999999999999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163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4.1990000000000001E-4</v>
      </c>
      <c r="K21" s="76" t="s">
        <v>124</v>
      </c>
      <c r="M21" s="75"/>
    </row>
    <row r="22" spans="1:13" ht="13.5" thickBot="1">
      <c r="A22" s="75"/>
      <c r="C22" s="76"/>
      <c r="F22" s="99" t="s">
        <v>163</v>
      </c>
      <c r="G22" s="87">
        <v>7.4</v>
      </c>
      <c r="J22" s="92">
        <f>B12*(G9+G10)/B6</f>
        <v>1.3394809999999998E-5</v>
      </c>
      <c r="K22" s="77" t="s">
        <v>125</v>
      </c>
      <c r="L22" s="93"/>
    </row>
    <row r="23" spans="1:13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 ht="15.75">
      <c r="A2" s="169" t="s">
        <v>279</v>
      </c>
      <c r="B2" s="169" t="s">
        <v>280</v>
      </c>
      <c r="D2" s="104" t="s">
        <v>175</v>
      </c>
      <c r="F2" s="104">
        <v>7.496977170771153</v>
      </c>
      <c r="H2" s="104">
        <v>7.496977170771153</v>
      </c>
      <c r="I2" s="104">
        <v>7.496977170771153</v>
      </c>
      <c r="K2" s="104">
        <v>7.496977170771153</v>
      </c>
      <c r="L2" s="104">
        <v>7.8282199999999991</v>
      </c>
      <c r="N2" s="104">
        <v>7.8282199999999991</v>
      </c>
      <c r="O2" s="104">
        <v>5.4234199999999992</v>
      </c>
      <c r="Q2" s="104">
        <v>5.4234199999999992</v>
      </c>
      <c r="R2" s="104">
        <v>-10.230851512313462</v>
      </c>
      <c r="S2" s="104">
        <v>-10.230851512313462</v>
      </c>
      <c r="T2" s="104">
        <v>-0.46882282922884444</v>
      </c>
      <c r="V2" s="104">
        <v>-0.46882282922884444</v>
      </c>
      <c r="W2" s="109">
        <v>0.49311764108623457</v>
      </c>
    </row>
    <row r="3" spans="1:23">
      <c r="A3" s="99" t="s">
        <v>279</v>
      </c>
      <c r="B3" s="99" t="s">
        <v>280</v>
      </c>
      <c r="D3" s="104" t="s">
        <v>175</v>
      </c>
      <c r="F3" s="104">
        <v>7.496977170771153</v>
      </c>
      <c r="H3" s="104">
        <v>7.496977170771153</v>
      </c>
      <c r="I3" s="104">
        <v>7.496977170771153</v>
      </c>
      <c r="K3" s="104">
        <v>7.496977170771153</v>
      </c>
      <c r="L3" s="104">
        <v>7.8282199999999991</v>
      </c>
      <c r="N3" s="104">
        <v>7.8282199999999991</v>
      </c>
      <c r="O3" s="104">
        <v>5.4234199999999992</v>
      </c>
      <c r="Q3" s="104">
        <v>5.4234199999999992</v>
      </c>
      <c r="R3" s="104">
        <v>-10.230851512313462</v>
      </c>
      <c r="S3" s="104">
        <v>-10.230851512313462</v>
      </c>
      <c r="T3" s="104">
        <v>-0.46882282922884444</v>
      </c>
      <c r="V3" s="104">
        <v>-0.46882282922884444</v>
      </c>
      <c r="W3" s="109">
        <v>0.49311764108623457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279</v>
      </c>
      <c r="B2" s="16" t="s">
        <v>280</v>
      </c>
      <c r="D2" s="14">
        <v>1</v>
      </c>
      <c r="E2" s="14">
        <v>0.6053711409562359</v>
      </c>
      <c r="F2" s="14">
        <v>4.7015277154145377E-4</v>
      </c>
      <c r="G2" s="14">
        <v>2.7630420113021154E-14</v>
      </c>
      <c r="H2" s="14">
        <v>124.64044779245053</v>
      </c>
      <c r="I2" s="14">
        <v>14764.412534677767</v>
      </c>
      <c r="J2" s="14">
        <v>0</v>
      </c>
      <c r="K2" s="14">
        <v>2126.9682123140033</v>
      </c>
      <c r="L2" s="14">
        <v>4.7015277154145377E-4</v>
      </c>
      <c r="M2" s="14">
        <v>3.8576034904976285E-4</v>
      </c>
      <c r="N2" s="14">
        <v>896.08915019656456</v>
      </c>
      <c r="O2" s="14">
        <v>578255.28951334499</v>
      </c>
      <c r="P2" s="8">
        <v>896.08915019656467</v>
      </c>
      <c r="Q2" s="54">
        <v>0.15974091633423121</v>
      </c>
      <c r="S2" s="99"/>
    </row>
    <row r="3" spans="1:20">
      <c r="A3" s="2" t="s">
        <v>279</v>
      </c>
      <c r="B3" s="16" t="s">
        <v>280</v>
      </c>
      <c r="D3" s="14">
        <v>5</v>
      </c>
      <c r="E3" s="14">
        <v>3.0268557047811795</v>
      </c>
      <c r="F3" s="14">
        <v>2.350763857707269E-3</v>
      </c>
      <c r="G3" s="14">
        <v>1.3815210056510577E-13</v>
      </c>
      <c r="H3" s="14">
        <v>623.20223896225252</v>
      </c>
      <c r="I3" s="14">
        <v>73822.062673388835</v>
      </c>
      <c r="J3" s="14">
        <v>0</v>
      </c>
      <c r="K3" s="14">
        <v>2126.9682123140037</v>
      </c>
      <c r="L3" s="14">
        <v>4.7015277154145371E-4</v>
      </c>
      <c r="M3" s="14">
        <v>3.857603490497628E-4</v>
      </c>
      <c r="N3" s="14">
        <v>4480.4457509828235</v>
      </c>
      <c r="O3" s="14">
        <v>2891276.4475667253</v>
      </c>
      <c r="P3" s="8">
        <v>896.08915019656456</v>
      </c>
      <c r="Q3" s="54">
        <v>0.79870458167115621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279</v>
      </c>
      <c r="B2" s="3" t="s">
        <v>280</v>
      </c>
      <c r="D2" s="20">
        <v>1.0223255441817825E-11</v>
      </c>
      <c r="E2" s="20">
        <v>0.6053711409562359</v>
      </c>
      <c r="F2" s="20">
        <v>4.3853495151295795E-2</v>
      </c>
      <c r="G2" s="20">
        <v>0.5610476763177551</v>
      </c>
      <c r="H2" s="20">
        <v>0</v>
      </c>
      <c r="I2" s="20">
        <v>4.69969487184996E-4</v>
      </c>
      <c r="J2" s="20">
        <v>0.37626783416753745</v>
      </c>
      <c r="K2" s="20">
        <v>1.8361024866003592E-2</v>
      </c>
      <c r="L2" s="20">
        <v>0</v>
      </c>
      <c r="N2" s="99"/>
    </row>
    <row r="3" spans="1:14">
      <c r="A3" s="2" t="s">
        <v>279</v>
      </c>
      <c r="B3" s="3" t="s">
        <v>280</v>
      </c>
      <c r="D3" s="20">
        <v>1.0223255441817827E-11</v>
      </c>
      <c r="E3" s="20">
        <v>0.6053711409562359</v>
      </c>
      <c r="F3" s="20">
        <v>4.3853495151295788E-2</v>
      </c>
      <c r="G3" s="20">
        <v>0.5610476763177551</v>
      </c>
      <c r="H3" s="20">
        <v>0</v>
      </c>
      <c r="I3" s="20">
        <v>4.69969487184996E-4</v>
      </c>
      <c r="J3" s="20">
        <v>0.37626783416753745</v>
      </c>
      <c r="K3" s="20">
        <v>1.8361024866003592E-2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4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279</v>
      </c>
      <c r="B2" s="3" t="s">
        <v>280</v>
      </c>
      <c r="D2" s="14">
        <v>2.0446510883635652E-14</v>
      </c>
      <c r="E2" s="14">
        <v>9.3993897436999206E-7</v>
      </c>
      <c r="F2" s="14">
        <v>8.7706990302591589E-5</v>
      </c>
      <c r="G2" s="14">
        <v>1.1220953526355102E-3</v>
      </c>
      <c r="H2" s="14">
        <v>0</v>
      </c>
      <c r="I2" s="14">
        <v>7.5253566833507492E-4</v>
      </c>
      <c r="J2" s="14">
        <v>3.6722049732007187E-5</v>
      </c>
      <c r="K2" s="14">
        <v>0</v>
      </c>
      <c r="L2" s="21"/>
      <c r="M2" s="168"/>
    </row>
    <row r="3" spans="1:23">
      <c r="A3" s="2" t="s">
        <v>279</v>
      </c>
      <c r="B3" s="3" t="s">
        <v>280</v>
      </c>
      <c r="D3" s="14">
        <v>1.0223255441817826E-13</v>
      </c>
      <c r="E3" s="14">
        <v>4.6996948718499601E-6</v>
      </c>
      <c r="F3" s="14">
        <v>4.3853495151295786E-4</v>
      </c>
      <c r="G3" s="14">
        <v>5.6104767631775512E-3</v>
      </c>
      <c r="H3" s="14">
        <v>0</v>
      </c>
      <c r="I3" s="14">
        <v>3.7626783416753748E-3</v>
      </c>
      <c r="J3" s="14">
        <v>1.8361024866003593E-4</v>
      </c>
      <c r="K3" s="14">
        <v>0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279</v>
      </c>
      <c r="B2" s="99" t="s">
        <v>280</v>
      </c>
      <c r="D2" s="100" t="s">
        <v>175</v>
      </c>
      <c r="F2" s="104">
        <v>7.496977170771153</v>
      </c>
      <c r="G2" s="104">
        <v>-10.230851512313462</v>
      </c>
      <c r="H2" s="104">
        <v>7.8282199999999991</v>
      </c>
      <c r="I2" s="104">
        <v>5.5843421943977098</v>
      </c>
      <c r="J2" s="104">
        <v>5.1535116478240619</v>
      </c>
      <c r="K2" s="112">
        <v>1</v>
      </c>
      <c r="L2" s="112">
        <v>4.6964179254222312E-4</v>
      </c>
      <c r="M2" s="112">
        <v>896.08915019656456</v>
      </c>
      <c r="N2" s="112">
        <v>31656.216001317018</v>
      </c>
      <c r="O2" s="112">
        <v>180.5432246328983</v>
      </c>
      <c r="P2" s="112">
        <v>66.950010341796926</v>
      </c>
      <c r="Q2" s="108">
        <v>180.5432246328983</v>
      </c>
      <c r="R2" s="68">
        <v>66.950010341796926</v>
      </c>
    </row>
    <row r="3" spans="1:22">
      <c r="A3" s="99" t="s">
        <v>279</v>
      </c>
      <c r="B3" s="99" t="s">
        <v>280</v>
      </c>
      <c r="D3" s="100" t="s">
        <v>175</v>
      </c>
      <c r="F3" s="104">
        <v>7.496977170771153</v>
      </c>
      <c r="G3" s="104">
        <v>-10.230851512313462</v>
      </c>
      <c r="H3" s="104">
        <v>7.8282199999999991</v>
      </c>
      <c r="I3" s="104">
        <v>5.5843421943977098</v>
      </c>
      <c r="J3" s="104">
        <v>5.1535116478240619</v>
      </c>
      <c r="K3" s="112">
        <v>5</v>
      </c>
      <c r="L3" s="112">
        <v>2.3482089627111153E-3</v>
      </c>
      <c r="M3" s="112">
        <v>4480.4457509828235</v>
      </c>
      <c r="N3" s="112">
        <v>158281.08000658511</v>
      </c>
      <c r="O3" s="112">
        <v>902.71612316449148</v>
      </c>
      <c r="P3" s="112">
        <v>334.75005170898464</v>
      </c>
      <c r="Q3" s="108">
        <v>180.5432246328983</v>
      </c>
      <c r="R3" s="68">
        <v>66.950010341796926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2024-03-29T19:41:24Z</dcterms:modified>
</cp:coreProperties>
</file>