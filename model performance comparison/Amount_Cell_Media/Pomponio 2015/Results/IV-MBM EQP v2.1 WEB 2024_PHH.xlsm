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New dataset from SOT poster\Truisi 2015\Results\"/>
    </mc:Choice>
  </mc:AlternateContent>
  <xr:revisionPtr revIDLastSave="0" documentId="13_ncr:1_{8D457571-12AA-46A2-818D-FACE6FB0FA19}" xr6:coauthVersionLast="47" xr6:coauthVersionMax="47" xr10:uidLastSave="{00000000-0000-0000-0000-000000000000}"/>
  <bookViews>
    <workbookView xWindow="-98" yWindow="-98" windowWidth="21795" windowHeight="13875" tabRatio="841" firstSheet="3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QA-QC" sheetId="17" r:id="rId5"/>
    <sheet name="Input System Parameters" sheetId="2" r:id="rId6"/>
    <sheet name="Output - Partitioning" sheetId="21" r:id="rId7"/>
    <sheet name="Concentrations" sheetId="15" r:id="rId8"/>
    <sheet name="Mass Fractions" sheetId="11" r:id="rId9"/>
    <sheet name="Mass Balance" sheetId="12" r:id="rId10"/>
    <sheet name="IVIVE" sheetId="22" r:id="rId1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" i="18" l="1"/>
  <c r="Q17" i="17"/>
  <c r="Q15" i="17"/>
  <c r="Q14" i="17"/>
  <c r="Q16" i="17"/>
  <c r="Q13" i="17"/>
  <c r="Q12" i="17"/>
  <c r="I16" i="18"/>
  <c r="B6" i="2" l="1"/>
  <c r="B5" i="2"/>
  <c r="B8" i="2" l="1"/>
  <c r="B11" i="2"/>
  <c r="B9" i="2"/>
  <c r="B4" i="2"/>
  <c r="I7" i="18"/>
  <c r="I8" i="18"/>
  <c r="I9" i="18"/>
  <c r="I10" i="18"/>
  <c r="I11" i="18"/>
  <c r="I12" i="18"/>
  <c r="I13" i="18"/>
  <c r="I14" i="18"/>
  <c r="I15" i="18"/>
  <c r="I5" i="18"/>
  <c r="G13" i="2" s="1"/>
  <c r="B12" i="2" l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<sst xmlns="http://schemas.openxmlformats.org/spreadsheetml/2006/main" count="446" uniqueCount="287">
  <si>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</si>
  <si>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</si>
  <si>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</si>
  <si>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</si>
  <si>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</si>
  <si>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</si>
  <si>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</si>
  <si>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</si>
  <si>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</si>
  <si>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</si>
  <si>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</si>
  <si>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</si>
  <si>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</si>
  <si>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</si>
  <si>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</si>
  <si>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</si>
  <si>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</si>
  <si>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</si>
  <si>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</si>
  <si>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</si>
  <si>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</si>
  <si>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</si>
  <si>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</si>
  <si>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</si>
  <si>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</si>
  <si>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</si>
  <si>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</si>
  <si>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</si>
  <si>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</si>
  <si>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</si>
  <si>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</si>
  <si>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</si>
  <si>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</si>
  <si>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</si>
  <si>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</si>
  <si>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</si>
  <si>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</si>
  <si>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</si>
  <si>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</si>
  <si>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</si>
  <si>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</si>
  <si>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</si>
  <si>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</si>
  <si>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</si>
  <si>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</si>
  <si>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</si>
  <si>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</si>
  <si>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</si>
  <si>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</si>
  <si>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</si>
  <si>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</si>
  <si>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</si>
  <si>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</si>
  <si>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</si>
  <si>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</si>
  <si>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</si>
  <si>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</si>
  <si>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</si>
  <si>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</si>
  <si>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</si>
  <si>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</si>
  <si>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</si>
  <si>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</si>
  <si>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</si>
  <si>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</si>
  <si>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</si>
  <si>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</si>
  <si>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</si>
  <si>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</si>
  <si>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</si>
  <si>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</si>
  <si>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</si>
  <si>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</si>
  <si>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</si>
  <si>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</si>
  <si>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</si>
  <si>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</si>
  <si>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</si>
  <si>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</si>
  <si>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</si>
  <si>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</si>
  <si>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</si>
  <si>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</si>
  <si>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</si>
  <si>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</si>
  <si>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</si>
  <si>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</si>
  <si>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</si>
  <si>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</si>
  <si>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</si>
  <si>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</si>
  <si>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</si>
  <si>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</si>
  <si>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</si>
  <si>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</si>
  <si>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</si>
  <si>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</si>
  <si>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</si>
  <si>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</si>
  <si>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</si>
  <si>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</si>
  <si>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</si>
  <si>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</si>
  <si>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</si>
  <si>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</si>
  <si>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</si>
  <si>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</si>
  <si>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</si>
  <si>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</si>
  <si>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</si>
  <si>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</si>
  <si>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</si>
  <si>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</si>
  <si>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</si>
  <si>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</si>
  <si>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</si>
  <si>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</si>
  <si>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</si>
  <si>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</si>
  <si>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</si>
  <si>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</si>
  <si>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</si>
  <si>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</si>
  <si>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</si>
  <si>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</si>
  <si>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</si>
  <si>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</si>
  <si>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</si>
  <si>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</si>
  <si>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</si>
  <si>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</si>
  <si>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</si>
  <si>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</si>
  <si>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</si>
  <si>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</si>
  <si>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</si>
  <si>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</si>
  <si>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</si>
  <si>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</si>
  <si>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</si>
  <si>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</si>
  <si>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</si>
  <si>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</si>
  <si>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</si>
  <si>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</si>
  <si>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</si>
  <si>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</si>
  <si>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</si>
  <si>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</si>
  <si>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</si>
  <si>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</si>
  <si>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</si>
  <si>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</si>
  <si>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</si>
  <si>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</si>
  <si>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</si>
  <si>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</si>
  <si>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</si>
  <si>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</si>
  <si>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</si>
  <si>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</si>
  <si>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</si>
  <si>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</si>
  <si>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</si>
  <si>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</si>
  <si>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</si>
  <si>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</si>
  <si>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</si>
  <si>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</si>
  <si>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</si>
  <si>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</si>
  <si>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</si>
  <si>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</si>
  <si>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</si>
  <si>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</si>
  <si>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</si>
  <si>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</si>
  <si>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</si>
  <si>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</si>
  <si>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</si>
  <si>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</si>
  <si>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</si>
  <si>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</si>
  <si>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</si>
  <si>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</si>
  <si>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</si>
  <si>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</si>
  <si>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</si>
  <si>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</si>
  <si>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</si>
  <si>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</si>
  <si>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</si>
  <si>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</si>
  <si>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</si>
  <si>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</si>
  <si>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</si>
  <si>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</si>
  <si>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</si>
  <si>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</si>
  <si>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</si>
  <si>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</si>
  <si>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</si>
  <si>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</si>
  <si>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</si>
  <si>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</si>
  <si>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</si>
  <si>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</si>
  <si>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</si>
  <si>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</si>
  <si>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</si>
  <si>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</si>
  <si>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</si>
  <si>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</si>
  <si>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</si>
  <si>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</si>
  <si>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</si>
  <si>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</si>
  <si>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</si>
  <si>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</si>
  <si>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</si>
  <si>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</si>
  <si>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</si>
  <si>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</si>
  <si>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</si>
  <si>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</si>
  <si>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</si>
  <si>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</si>
  <si>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</si>
  <si>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</si>
  <si>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</si>
  <si>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</si>
  <si>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</si>
  <si>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</si>
  <si>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</si>
  <si>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</si>
  <si>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</si>
  <si>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</si>
  <si>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</si>
  <si>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</si>
  <si>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</si>
  <si>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</si>
  <si>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</si>
  <si>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</si>
  <si>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</si>
  <si>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</si>
  <si>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</si>
  <si>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</si>
  <si>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</si>
  <si>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</si>
  <si>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</si>
  <si>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</si>
  <si>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</si>
  <si>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</si>
  <si>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</si>
  <si>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</si>
  <si>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</si>
  <si>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</si>
  <si>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</si>
  <si>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</si>
  <si>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</si>
  <si>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</si>
  <si>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</si>
  <si>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</si>
  <si>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</si>
  <si>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</si>
  <si>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</si>
  <si>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</si>
  <si>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</si>
  <si>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</si>
  <si>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</si>
  <si>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</si>
  <si>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</si>
  <si>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</si>
  <si>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*data from fischer model</t>
    <phoneticPr fontId="33" type="noConversion"/>
  </si>
  <si>
    <t>Storage lipids</t>
    <phoneticPr fontId="33" type="noConversion"/>
  </si>
  <si>
    <t>Membrane lipids</t>
    <phoneticPr fontId="33" type="noConversion"/>
  </si>
  <si>
    <t>940 - 2500</t>
    <phoneticPr fontId="33" type="noConversion"/>
  </si>
  <si>
    <t>amiodarone</t>
    <phoneticPr fontId="1" type="noConversion"/>
  </si>
  <si>
    <t>1951-25-3</t>
    <phoneticPr fontId="1" type="noConversion"/>
  </si>
  <si>
    <t>ibuprofen</t>
    <phoneticPr fontId="1" type="noConversion"/>
  </si>
  <si>
    <t>15687-27-1</t>
    <phoneticPr fontId="1" type="noConversion"/>
  </si>
  <si>
    <t>A</t>
  </si>
  <si>
    <t>amiodarone</t>
  </si>
  <si>
    <t>1951-25-3</t>
  </si>
  <si>
    <t>ibuprofen</t>
  </si>
  <si>
    <t>15687-27-1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</si>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</sst>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6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  <font>
      <sz val="10"/>
      <color theme="0" tint="-0.34998626667073579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7" fillId="0" borderId="0" applyBorder="0">
      <protection locked="0"/>
    </xf>
  </cellStyleXfs>
  <cellXfs count="173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4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5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4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8" fillId="0" borderId="0" xfId="0" applyFont="1"/>
    <xf numFmtId="0" fontId="18" fillId="0" borderId="0" xfId="0" applyFont="1" applyAlignment="1">
      <alignment horizontal="center"/>
    </xf>
    <xf numFmtId="11" fontId="18" fillId="0" borderId="0" xfId="0" applyNumberFormat="1" applyFont="1" applyAlignment="1">
      <alignment horizontal="center"/>
    </xf>
    <xf numFmtId="178" fontId="18" fillId="0" borderId="0" xfId="0" applyNumberFormat="1" applyFont="1" applyAlignment="1">
      <alignment horizontal="center"/>
    </xf>
    <xf numFmtId="177" fontId="18" fillId="0" borderId="0" xfId="0" applyNumberFormat="1" applyFont="1" applyAlignment="1">
      <alignment horizontal="center"/>
    </xf>
    <xf numFmtId="10" fontId="18" fillId="0" borderId="0" xfId="0" applyNumberFormat="1" applyFont="1" applyAlignment="1">
      <alignment horizontal="center"/>
    </xf>
    <xf numFmtId="0" fontId="19" fillId="0" borderId="0" xfId="0" applyFont="1"/>
    <xf numFmtId="0" fontId="19" fillId="0" borderId="0" xfId="0" applyFont="1" applyAlignment="1">
      <alignment horizontal="center"/>
    </xf>
    <xf numFmtId="10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80" fontId="19" fillId="0" borderId="0" xfId="0" applyNumberFormat="1" applyFont="1" applyAlignment="1">
      <alignment horizontal="center"/>
    </xf>
    <xf numFmtId="0" fontId="19" fillId="4" borderId="0" xfId="0" applyFont="1" applyFill="1"/>
    <xf numFmtId="0" fontId="19" fillId="4" borderId="0" xfId="0" applyFont="1" applyFill="1" applyAlignment="1">
      <alignment horizontal="center"/>
    </xf>
    <xf numFmtId="10" fontId="19" fillId="4" borderId="0" xfId="0" applyNumberFormat="1" applyFont="1" applyFill="1" applyAlignment="1">
      <alignment horizontal="center"/>
    </xf>
    <xf numFmtId="177" fontId="19" fillId="4" borderId="0" xfId="0" applyNumberFormat="1" applyFont="1" applyFill="1" applyAlignment="1">
      <alignment horizontal="center"/>
    </xf>
    <xf numFmtId="0" fontId="20" fillId="0" borderId="0" xfId="0" applyFont="1"/>
    <xf numFmtId="0" fontId="21" fillId="0" borderId="0" xfId="0" applyFont="1" applyAlignment="1">
      <alignment horizontal="center"/>
    </xf>
    <xf numFmtId="0" fontId="21" fillId="0" borderId="0" xfId="0" applyFont="1"/>
    <xf numFmtId="0" fontId="21" fillId="0" borderId="0" xfId="0" applyFont="1" applyAlignment="1">
      <alignment horizontal="left"/>
    </xf>
    <xf numFmtId="0" fontId="21" fillId="4" borderId="8" xfId="0" applyFont="1" applyFill="1" applyBorder="1" applyAlignment="1">
      <alignment horizontal="center"/>
    </xf>
    <xf numFmtId="0" fontId="21" fillId="3" borderId="2" xfId="0" applyFont="1" applyFill="1" applyBorder="1" applyAlignment="1">
      <alignment horizontal="center"/>
    </xf>
    <xf numFmtId="0" fontId="21" fillId="3" borderId="1" xfId="0" applyFont="1" applyFill="1" applyBorder="1"/>
    <xf numFmtId="0" fontId="21" fillId="4" borderId="9" xfId="0" applyFont="1" applyFill="1" applyBorder="1" applyAlignment="1">
      <alignment horizontal="center"/>
    </xf>
    <xf numFmtId="0" fontId="21" fillId="3" borderId="3" xfId="0" applyFont="1" applyFill="1" applyBorder="1" applyAlignment="1">
      <alignment horizontal="center"/>
    </xf>
    <xf numFmtId="0" fontId="21" fillId="4" borderId="1" xfId="0" applyFont="1" applyFill="1" applyBorder="1"/>
    <xf numFmtId="0" fontId="21" fillId="4" borderId="10" xfId="0" applyFont="1" applyFill="1" applyBorder="1" applyAlignment="1">
      <alignment horizontal="center"/>
    </xf>
    <xf numFmtId="0" fontId="21" fillId="3" borderId="4" xfId="0" applyFont="1" applyFill="1" applyBorder="1" applyAlignment="1">
      <alignment horizontal="center"/>
    </xf>
    <xf numFmtId="177" fontId="21" fillId="0" borderId="0" xfId="0" applyNumberFormat="1" applyFont="1" applyAlignment="1">
      <alignment horizontal="center"/>
    </xf>
    <xf numFmtId="0" fontId="21" fillId="5" borderId="1" xfId="0" applyFont="1" applyFill="1" applyBorder="1" applyAlignment="1">
      <alignment horizontal="center"/>
    </xf>
    <xf numFmtId="0" fontId="21" fillId="5" borderId="3" xfId="0" applyFont="1" applyFill="1" applyBorder="1" applyAlignment="1">
      <alignment horizontal="center"/>
    </xf>
    <xf numFmtId="0" fontId="21" fillId="4" borderId="1" xfId="0" applyFont="1" applyFill="1" applyBorder="1" applyAlignment="1">
      <alignment horizontal="center"/>
    </xf>
    <xf numFmtId="11" fontId="20" fillId="0" borderId="0" xfId="0" applyNumberFormat="1" applyFont="1" applyAlignment="1">
      <alignment horizontal="left"/>
    </xf>
    <xf numFmtId="177" fontId="21" fillId="4" borderId="2" xfId="0" applyNumberFormat="1" applyFont="1" applyFill="1" applyBorder="1" applyAlignment="1">
      <alignment horizontal="center"/>
    </xf>
    <xf numFmtId="177" fontId="21" fillId="4" borderId="3" xfId="0" applyNumberFormat="1" applyFont="1" applyFill="1" applyBorder="1" applyAlignment="1">
      <alignment horizontal="center"/>
    </xf>
    <xf numFmtId="11" fontId="21" fillId="0" borderId="0" xfId="0" applyNumberFormat="1" applyFont="1" applyAlignment="1">
      <alignment horizontal="center"/>
    </xf>
    <xf numFmtId="177" fontId="21" fillId="4" borderId="4" xfId="0" applyNumberFormat="1" applyFont="1" applyFill="1" applyBorder="1" applyAlignment="1">
      <alignment horizontal="center"/>
    </xf>
    <xf numFmtId="0" fontId="21" fillId="11" borderId="0" xfId="0" applyFont="1" applyFill="1"/>
    <xf numFmtId="177" fontId="21" fillId="0" borderId="0" xfId="0" applyNumberFormat="1" applyFont="1"/>
    <xf numFmtId="11" fontId="20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4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5" fillId="0" borderId="0" xfId="0" applyNumberFormat="1" applyFont="1"/>
    <xf numFmtId="0" fontId="25" fillId="0" borderId="0" xfId="0" applyFont="1"/>
    <xf numFmtId="10" fontId="25" fillId="0" borderId="0" xfId="0" applyNumberFormat="1" applyFont="1" applyAlignment="1">
      <alignment horizontal="left"/>
    </xf>
    <xf numFmtId="2" fontId="25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7" fillId="0" borderId="0" xfId="2" applyBorder="1">
      <protection locked="0"/>
    </xf>
    <xf numFmtId="0" fontId="28" fillId="0" borderId="0" xfId="2" applyFont="1" applyBorder="1">
      <protection locked="0"/>
    </xf>
    <xf numFmtId="0" fontId="1" fillId="14" borderId="0" xfId="0" applyFont="1" applyFill="1"/>
    <xf numFmtId="2" fontId="1" fillId="0" borderId="0" xfId="0" applyNumberFormat="1" applyFont="1"/>
    <xf numFmtId="2" fontId="19" fillId="0" borderId="0" xfId="0" applyNumberFormat="1" applyFont="1" applyAlignment="1">
      <alignment horizontal="center"/>
    </xf>
    <xf numFmtId="2" fontId="19" fillId="4" borderId="0" xfId="0" applyNumberFormat="1" applyFont="1" applyFill="1" applyAlignment="1">
      <alignment horizontal="center"/>
    </xf>
    <xf numFmtId="2" fontId="19" fillId="0" borderId="0" xfId="0" applyNumberFormat="1" applyFont="1"/>
    <xf numFmtId="0" fontId="29" fillId="6" borderId="1" xfId="0" applyFont="1" applyFill="1" applyBorder="1" applyAlignment="1">
      <alignment horizontal="center"/>
    </xf>
    <xf numFmtId="11" fontId="21" fillId="4" borderId="9" xfId="0" applyNumberFormat="1" applyFont="1" applyFill="1" applyBorder="1" applyAlignment="1">
      <alignment horizontal="center"/>
    </xf>
    <xf numFmtId="11" fontId="21" fillId="4" borderId="10" xfId="0" applyNumberFormat="1" applyFont="1" applyFill="1" applyBorder="1" applyAlignment="1">
      <alignment horizontal="center"/>
    </xf>
    <xf numFmtId="11" fontId="29" fillId="0" borderId="0" xfId="0" applyNumberFormat="1" applyFont="1" applyAlignment="1">
      <alignment horizontal="center"/>
    </xf>
    <xf numFmtId="0" fontId="19" fillId="14" borderId="0" xfId="0" applyFont="1" applyFill="1"/>
    <xf numFmtId="0" fontId="19" fillId="14" borderId="0" xfId="0" applyFont="1" applyFill="1" applyAlignment="1">
      <alignment horizontal="center"/>
    </xf>
    <xf numFmtId="2" fontId="19" fillId="14" borderId="0" xfId="0" applyNumberFormat="1" applyFont="1" applyFill="1" applyAlignment="1">
      <alignment horizontal="center"/>
    </xf>
    <xf numFmtId="10" fontId="19" fillId="14" borderId="0" xfId="0" applyNumberFormat="1" applyFont="1" applyFill="1" applyAlignment="1">
      <alignment horizontal="center"/>
    </xf>
    <xf numFmtId="177" fontId="19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8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1" fillId="0" borderId="0" xfId="0" applyNumberFormat="1" applyFont="1" applyAlignment="1">
      <alignment horizontal="center"/>
    </xf>
    <xf numFmtId="182" fontId="1" fillId="0" borderId="0" xfId="0" applyNumberFormat="1" applyFont="1"/>
    <xf numFmtId="0" fontId="31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76" fontId="1" fillId="3" borderId="2" xfId="0" applyNumberFormat="1" applyFont="1" applyFill="1" applyBorder="1" applyAlignment="1">
      <alignment horizontal="center"/>
    </xf>
    <xf numFmtId="0" fontId="29" fillId="6" borderId="0" xfId="0" applyFont="1" applyFill="1" applyAlignment="1">
      <alignment horizontal="center"/>
    </xf>
    <xf numFmtId="11" fontId="5" fillId="0" borderId="0" xfId="0" applyNumberFormat="1" applyFont="1"/>
    <xf numFmtId="0" fontId="29" fillId="5" borderId="2" xfId="0" applyFont="1" applyFill="1" applyBorder="1" applyAlignment="1">
      <alignment horizontal="center"/>
    </xf>
    <xf numFmtId="0" fontId="29" fillId="5" borderId="3" xfId="0" applyFont="1" applyFill="1" applyBorder="1" applyAlignment="1">
      <alignment horizontal="center"/>
    </xf>
    <xf numFmtId="2" fontId="29" fillId="5" borderId="3" xfId="0" applyNumberFormat="1" applyFont="1" applyFill="1" applyBorder="1" applyAlignment="1">
      <alignment horizontal="center"/>
    </xf>
    <xf numFmtId="180" fontId="29" fillId="3" borderId="2" xfId="0" applyNumberFormat="1" applyFont="1" applyFill="1" applyBorder="1" applyAlignment="1">
      <alignment horizontal="center"/>
    </xf>
    <xf numFmtId="0" fontId="29" fillId="3" borderId="2" xfId="0" applyFont="1" applyFill="1" applyBorder="1" applyAlignment="1">
      <alignment horizontal="center"/>
    </xf>
    <xf numFmtId="0" fontId="29" fillId="3" borderId="4" xfId="0" applyFont="1" applyFill="1" applyBorder="1" applyAlignment="1">
      <alignment horizontal="center"/>
    </xf>
    <xf numFmtId="177" fontId="1" fillId="0" borderId="0" xfId="0" applyNumberFormat="1" applyFont="1"/>
    <xf numFmtId="0" fontId="34" fillId="0" borderId="0" xfId="0" applyFont="1" applyAlignment="1">
      <alignment vertical="center"/>
    </xf>
    <xf numFmtId="0" fontId="0" fillId="0" borderId="0" xfId="0" applyAlignment="1">
      <alignment vertical="center"/>
    </xf>
    <xf numFmtId="0" fontId="35" fillId="0" borderId="0" xfId="0" applyFont="1" applyAlignment="1">
      <alignment horizontal="center"/>
    </xf>
    <xf numFmtId="0" fontId="35" fillId="6" borderId="0" xfId="0" applyFont="1" applyFill="1" applyAlignment="1">
      <alignment horizontal="center"/>
    </xf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47625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47625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5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5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30" sqref="L30"/>
    </sheetView>
  </sheetViews>
  <sheetFormatPr defaultColWidth="9.140625" defaultRowHeight="15"/>
  <cols>
    <col min="1" max="16384" width="9.140625" style="1"/>
  </cols>
  <sheetData>
    <row r="1" spans="1:15" ht="15.4">
      <c r="A1" s="25" t="s">
        <v>232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238</v>
      </c>
    </row>
    <row r="14" spans="1:15" ht="17.25">
      <c r="M14" s="1" t="s">
        <v>239</v>
      </c>
      <c r="N14" s="1" t="s">
        <v>243</v>
      </c>
    </row>
    <row r="15" spans="1:15" ht="17.25">
      <c r="M15" s="1" t="s">
        <v>240</v>
      </c>
      <c r="N15" s="1" t="s">
        <v>244</v>
      </c>
    </row>
    <row r="16" spans="1:15" ht="17.25">
      <c r="M16" s="1" t="s">
        <v>241</v>
      </c>
      <c r="N16" s="1" t="s">
        <v>245</v>
      </c>
    </row>
    <row r="17" spans="13:14" ht="17.25">
      <c r="M17" s="1" t="s">
        <v>242</v>
      </c>
      <c r="N17" s="1" t="s">
        <v>246</v>
      </c>
    </row>
    <row r="18" spans="13:14" ht="17.25">
      <c r="M18" s="1" t="s">
        <v>249</v>
      </c>
      <c r="N18" s="1" t="s">
        <v>247</v>
      </c>
    </row>
    <row r="19" spans="13:14" ht="17.25">
      <c r="M19" s="1" t="s">
        <v>250</v>
      </c>
      <c r="N19" s="1" t="s">
        <v>248</v>
      </c>
    </row>
    <row r="20" spans="13:14">
      <c r="M20" s="1" t="s">
        <v>252</v>
      </c>
      <c r="N20" s="1" t="s">
        <v>253</v>
      </c>
    </row>
    <row r="21" spans="13:14">
      <c r="M21" s="1" t="s">
        <v>167</v>
      </c>
      <c r="N21" s="1" t="s">
        <v>251</v>
      </c>
    </row>
  </sheetData>
  <phoneticPr fontId="33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1"/>
  <sheetViews>
    <sheetView zoomScale="85" zoomScaleNormal="85" workbookViewId="0">
      <pane ySplit="1" topLeftCell="A2" activePane="bottomLeft" state="frozen"/>
      <selection pane="bottomLeft" activeCell="Z5" sqref="Z5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216</v>
      </c>
      <c r="D1" s="118" t="s">
        <v>7</v>
      </c>
      <c r="E1" s="118" t="s">
        <v>18</v>
      </c>
      <c r="F1" s="29" t="s">
        <v>148</v>
      </c>
      <c r="G1" s="123" t="s">
        <v>166</v>
      </c>
      <c r="H1" s="123" t="s">
        <v>167</v>
      </c>
      <c r="I1" s="119" t="s">
        <v>168</v>
      </c>
      <c r="J1" s="30" t="s">
        <v>169</v>
      </c>
      <c r="K1" s="31" t="s">
        <v>79</v>
      </c>
      <c r="L1" s="30" t="s">
        <v>235</v>
      </c>
      <c r="M1" s="30" t="s">
        <v>234</v>
      </c>
      <c r="N1" s="31" t="s">
        <v>233</v>
      </c>
      <c r="O1" s="30" t="s">
        <v>170</v>
      </c>
      <c r="P1" s="30" t="s">
        <v>171</v>
      </c>
      <c r="Q1" s="31" t="s">
        <v>78</v>
      </c>
      <c r="R1" s="31" t="s">
        <v>172</v>
      </c>
      <c r="S1" s="31" t="s">
        <v>173</v>
      </c>
      <c r="T1" s="119" t="s">
        <v>164</v>
      </c>
      <c r="U1" s="31" t="s">
        <v>77</v>
      </c>
      <c r="V1" s="120" t="s">
        <v>165</v>
      </c>
      <c r="W1" s="122" t="s">
        <v>174</v>
      </c>
      <c r="X1" s="122" t="s">
        <v>176</v>
      </c>
      <c r="Y1" s="121" t="s">
        <v>51</v>
      </c>
      <c r="Z1" s="120" t="s">
        <v>133</v>
      </c>
      <c r="AA1" s="6"/>
    </row>
    <row r="2" spans="1:27" s="99" customFormat="1" ht="16.149999999999999">
      <c r="A2" s="169" t="s">
        <v>277</v>
      </c>
      <c r="B2" s="169" t="s">
        <v>278</v>
      </c>
      <c r="C2" s="124"/>
      <c r="D2" s="170">
        <v>645.30999999999995</v>
      </c>
      <c r="E2" s="170">
        <v>238</v>
      </c>
      <c r="F2" s="100"/>
      <c r="G2" s="101" t="s">
        <v>175</v>
      </c>
      <c r="H2" s="104"/>
      <c r="I2" s="170">
        <v>7.57</v>
      </c>
      <c r="K2" s="100"/>
      <c r="L2" s="100"/>
      <c r="M2" s="100"/>
      <c r="N2" s="100"/>
      <c r="O2" s="100"/>
      <c r="P2" s="100"/>
      <c r="Q2" s="100"/>
      <c r="R2" s="104"/>
      <c r="S2" s="104"/>
      <c r="T2" s="170">
        <v>-10.7</v>
      </c>
      <c r="U2" s="100"/>
      <c r="V2" s="170">
        <v>0.4168</v>
      </c>
      <c r="W2" s="112"/>
      <c r="X2" s="104"/>
      <c r="Y2" s="100"/>
      <c r="Z2" s="112">
        <v>0.25</v>
      </c>
    </row>
    <row r="3" spans="1:27" s="99" customFormat="1" ht="16.149999999999999">
      <c r="A3" s="169" t="s">
        <v>277</v>
      </c>
      <c r="B3" s="169" t="s">
        <v>278</v>
      </c>
      <c r="C3" s="124"/>
      <c r="D3" s="170">
        <v>645.30999999999995</v>
      </c>
      <c r="E3" s="170">
        <v>238</v>
      </c>
      <c r="F3" s="101"/>
      <c r="G3" s="101" t="s">
        <v>175</v>
      </c>
      <c r="H3" s="104"/>
      <c r="I3" s="170">
        <v>7.57</v>
      </c>
      <c r="K3" s="100"/>
      <c r="L3" s="100"/>
      <c r="M3" s="100"/>
      <c r="N3" s="100"/>
      <c r="O3" s="100"/>
      <c r="P3" s="100"/>
      <c r="Q3" s="100"/>
      <c r="R3" s="104"/>
      <c r="S3" s="104"/>
      <c r="T3" s="170">
        <v>-10.7</v>
      </c>
      <c r="U3" s="100"/>
      <c r="V3" s="170">
        <v>0.4168</v>
      </c>
      <c r="W3" s="112"/>
      <c r="X3" s="100"/>
      <c r="Y3" s="100"/>
      <c r="Z3" s="112">
        <v>2.5</v>
      </c>
    </row>
    <row r="4" spans="1:27" s="99" customFormat="1" ht="16.149999999999999">
      <c r="A4" s="169" t="s">
        <v>279</v>
      </c>
      <c r="B4" s="169" t="s">
        <v>280</v>
      </c>
      <c r="C4" s="124"/>
      <c r="D4" s="170">
        <v>206.28</v>
      </c>
      <c r="E4" s="170">
        <v>87.4</v>
      </c>
      <c r="F4" s="100"/>
      <c r="G4" s="101" t="s">
        <v>281</v>
      </c>
      <c r="H4" s="170">
        <v>4.57</v>
      </c>
      <c r="I4" s="170">
        <v>3.73</v>
      </c>
      <c r="K4" s="100"/>
      <c r="L4" s="100"/>
      <c r="M4" s="100"/>
      <c r="N4" s="100"/>
      <c r="O4" s="100"/>
      <c r="P4" s="100"/>
      <c r="Q4" s="100"/>
      <c r="R4" s="104"/>
      <c r="S4" s="104"/>
      <c r="T4" s="170">
        <v>-5.91</v>
      </c>
      <c r="U4" s="100"/>
      <c r="V4" s="170">
        <v>0.26319999999999999</v>
      </c>
      <c r="W4" s="112"/>
      <c r="X4" s="104"/>
      <c r="Y4" s="100"/>
      <c r="Z4" s="112">
        <v>100</v>
      </c>
      <c r="AA4" s="109"/>
    </row>
    <row r="5" spans="1:27" s="99" customFormat="1" ht="16.149999999999999">
      <c r="A5" s="169" t="s">
        <v>279</v>
      </c>
      <c r="B5" s="169" t="s">
        <v>280</v>
      </c>
      <c r="C5" s="124"/>
      <c r="D5" s="170">
        <v>206.28</v>
      </c>
      <c r="E5" s="170">
        <v>87.4</v>
      </c>
      <c r="F5" s="100"/>
      <c r="G5" s="101" t="s">
        <v>281</v>
      </c>
      <c r="H5" s="170">
        <v>4.57</v>
      </c>
      <c r="I5" s="170">
        <v>3.73</v>
      </c>
      <c r="K5" s="100"/>
      <c r="L5" s="100"/>
      <c r="M5" s="100"/>
      <c r="N5" s="100"/>
      <c r="O5" s="100"/>
      <c r="P5" s="100"/>
      <c r="Q5" s="100"/>
      <c r="R5" s="104"/>
      <c r="S5" s="104"/>
      <c r="T5" s="170">
        <v>-5.91</v>
      </c>
      <c r="U5" s="100"/>
      <c r="V5" s="170">
        <v>0.26319999999999999</v>
      </c>
      <c r="W5" s="112"/>
      <c r="X5" s="104"/>
      <c r="Y5" s="100"/>
      <c r="Z5" s="112">
        <v>1000</v>
      </c>
    </row>
    <row r="6" spans="1:27" s="99" customFormat="1" ht="16.149999999999999">
      <c r="A6" s="169"/>
      <c r="B6" s="169"/>
      <c r="C6" s="124"/>
      <c r="D6" s="170"/>
      <c r="E6" s="170"/>
      <c r="F6" s="101"/>
      <c r="G6" s="101"/>
      <c r="H6" s="104"/>
      <c r="I6" s="170"/>
      <c r="K6" s="100"/>
      <c r="L6" s="100"/>
      <c r="M6" s="100"/>
      <c r="N6" s="100"/>
      <c r="O6" s="100"/>
      <c r="P6" s="100"/>
      <c r="Q6" s="100"/>
      <c r="R6" s="104"/>
      <c r="S6" s="104"/>
      <c r="T6" s="170"/>
      <c r="U6" s="100"/>
      <c r="V6" s="170"/>
      <c r="W6" s="112"/>
      <c r="X6" s="100"/>
      <c r="Y6" s="100"/>
      <c r="Z6" s="112"/>
      <c r="AA6" s="24"/>
    </row>
    <row r="7" spans="1:27" s="99" customFormat="1" ht="16.149999999999999">
      <c r="A7" s="169"/>
      <c r="B7" s="169"/>
      <c r="C7" s="124"/>
      <c r="D7" s="170"/>
      <c r="E7" s="170"/>
      <c r="F7" s="100"/>
      <c r="G7" s="101"/>
      <c r="H7" s="104"/>
      <c r="I7" s="170"/>
      <c r="K7" s="100"/>
      <c r="L7" s="100"/>
      <c r="M7" s="100"/>
      <c r="N7" s="100"/>
      <c r="O7" s="100"/>
      <c r="P7" s="100"/>
      <c r="Q7" s="100"/>
      <c r="R7" s="104"/>
      <c r="S7" s="104"/>
      <c r="T7" s="170"/>
      <c r="U7" s="100"/>
      <c r="V7" s="170"/>
      <c r="W7" s="112"/>
      <c r="X7" s="104"/>
      <c r="Y7" s="100"/>
      <c r="Z7" s="112"/>
      <c r="AA7" s="109"/>
    </row>
    <row r="8" spans="1:27" s="99" customFormat="1" ht="16.149999999999999">
      <c r="A8" s="169"/>
      <c r="B8" s="169"/>
      <c r="C8" s="124"/>
      <c r="D8" s="170"/>
      <c r="E8" s="170"/>
      <c r="F8" s="100"/>
      <c r="G8" s="101"/>
      <c r="H8" s="104"/>
      <c r="I8" s="170"/>
      <c r="K8" s="100"/>
      <c r="L8" s="100"/>
      <c r="M8" s="100"/>
      <c r="N8" s="100"/>
      <c r="O8" s="100"/>
      <c r="P8" s="100"/>
      <c r="Q8" s="100"/>
      <c r="R8" s="104"/>
      <c r="S8" s="104"/>
      <c r="T8" s="170"/>
      <c r="U8" s="100"/>
      <c r="V8" s="170"/>
      <c r="W8" s="112"/>
      <c r="X8" s="104"/>
      <c r="Y8" s="100"/>
      <c r="Z8" s="112"/>
    </row>
    <row r="9" spans="1:27" s="99" customFormat="1" ht="16.149999999999999">
      <c r="A9" s="169"/>
      <c r="B9" s="169"/>
      <c r="C9" s="124"/>
      <c r="D9" s="170"/>
      <c r="E9" s="170"/>
      <c r="F9" s="101"/>
      <c r="G9" s="101"/>
      <c r="H9" s="104"/>
      <c r="I9" s="170"/>
      <c r="K9" s="100"/>
      <c r="L9" s="100"/>
      <c r="M9" s="100"/>
      <c r="N9" s="100"/>
      <c r="O9" s="100"/>
      <c r="P9" s="100"/>
      <c r="Q9" s="100"/>
      <c r="R9" s="104"/>
      <c r="S9" s="104"/>
      <c r="T9" s="170"/>
      <c r="U9" s="100"/>
      <c r="V9" s="170"/>
      <c r="W9" s="112"/>
      <c r="X9" s="100"/>
      <c r="Y9" s="100"/>
      <c r="Z9" s="112"/>
    </row>
    <row r="10" spans="1:27" s="99" customFormat="1" ht="16.149999999999999">
      <c r="A10" s="169"/>
      <c r="B10" s="169"/>
      <c r="C10" s="124"/>
      <c r="D10" s="170"/>
      <c r="E10" s="170"/>
      <c r="F10" s="100"/>
      <c r="G10" s="101"/>
      <c r="H10" s="104"/>
      <c r="I10" s="170"/>
      <c r="K10" s="100"/>
      <c r="L10" s="100"/>
      <c r="M10" s="100"/>
      <c r="N10" s="100"/>
      <c r="O10" s="100"/>
      <c r="P10" s="100"/>
      <c r="Q10" s="100"/>
      <c r="R10" s="104"/>
      <c r="S10" s="104"/>
      <c r="T10" s="170"/>
      <c r="U10" s="100"/>
      <c r="V10" s="170"/>
      <c r="W10" s="112"/>
      <c r="X10" s="104"/>
      <c r="Y10" s="100"/>
      <c r="Z10" s="112"/>
    </row>
    <row r="11" spans="1:27" s="99" customFormat="1" ht="16.149999999999999">
      <c r="A11" s="169"/>
      <c r="B11" s="169"/>
      <c r="C11" s="124"/>
      <c r="D11" s="170"/>
      <c r="E11" s="170"/>
      <c r="F11" s="100"/>
      <c r="G11" s="101"/>
      <c r="H11" s="104"/>
      <c r="I11" s="170"/>
      <c r="K11" s="100"/>
      <c r="L11" s="100"/>
      <c r="M11" s="100"/>
      <c r="N11" s="100"/>
      <c r="O11" s="100"/>
      <c r="P11" s="100"/>
      <c r="Q11" s="100"/>
      <c r="R11" s="104"/>
      <c r="S11" s="104"/>
      <c r="T11" s="170"/>
      <c r="U11" s="100"/>
      <c r="V11" s="170"/>
      <c r="W11" s="112"/>
      <c r="X11" s="104"/>
      <c r="Y11" s="100"/>
      <c r="Z11" s="112"/>
      <c r="AA11" s="15"/>
    </row>
    <row r="12" spans="1:27" s="99" customFormat="1" ht="16.149999999999999">
      <c r="A12" s="169"/>
      <c r="B12" s="169"/>
      <c r="C12" s="124"/>
      <c r="D12" s="170"/>
      <c r="E12" s="170"/>
      <c r="F12" s="101"/>
      <c r="G12" s="101"/>
      <c r="H12" s="104"/>
      <c r="I12" s="170"/>
      <c r="K12" s="100"/>
      <c r="L12" s="100"/>
      <c r="M12" s="100"/>
      <c r="N12" s="100"/>
      <c r="O12" s="100"/>
      <c r="P12" s="100"/>
      <c r="Q12" s="100"/>
      <c r="R12" s="104"/>
      <c r="S12" s="104"/>
      <c r="T12" s="170"/>
      <c r="U12" s="100"/>
      <c r="V12" s="170"/>
      <c r="W12" s="112"/>
      <c r="X12" s="100"/>
      <c r="Y12" s="100"/>
      <c r="Z12" s="112"/>
      <c r="AA12" s="18"/>
    </row>
    <row r="13" spans="1:27" s="99" customFormat="1">
      <c r="B13" s="100"/>
      <c r="C13" s="124"/>
      <c r="D13" s="101"/>
      <c r="E13" s="101"/>
      <c r="F13" s="101"/>
      <c r="G13" s="101"/>
      <c r="H13" s="104"/>
      <c r="I13" s="104"/>
      <c r="J13" s="104"/>
      <c r="K13" s="100"/>
      <c r="L13" s="100"/>
      <c r="M13" s="100"/>
      <c r="N13" s="100"/>
      <c r="O13" s="100"/>
      <c r="P13" s="100"/>
      <c r="Q13" s="100"/>
      <c r="R13" s="104"/>
      <c r="S13" s="104"/>
      <c r="T13" s="104"/>
      <c r="U13" s="100"/>
      <c r="V13" s="112"/>
      <c r="W13" s="112"/>
      <c r="X13" s="100"/>
      <c r="Y13" s="100"/>
      <c r="Z13" s="112"/>
      <c r="AA13" s="98"/>
    </row>
    <row r="14" spans="1:27" s="99" customFormat="1">
      <c r="B14" s="100"/>
      <c r="C14" s="124"/>
      <c r="D14" s="101"/>
      <c r="E14" s="101"/>
      <c r="F14" s="100"/>
      <c r="G14" s="101"/>
      <c r="H14" s="104"/>
      <c r="I14" s="104"/>
      <c r="J14" s="104"/>
      <c r="K14" s="100"/>
      <c r="L14" s="100"/>
      <c r="M14" s="100"/>
      <c r="N14" s="100"/>
      <c r="O14" s="100"/>
      <c r="P14" s="100"/>
      <c r="Q14" s="100"/>
      <c r="R14" s="104"/>
      <c r="S14" s="104"/>
      <c r="T14" s="104"/>
      <c r="U14" s="100"/>
      <c r="V14" s="112"/>
      <c r="W14" s="112"/>
      <c r="X14" s="104"/>
      <c r="Y14" s="100"/>
      <c r="Z14" s="112"/>
      <c r="AA14" s="18"/>
    </row>
    <row r="15" spans="1:27" s="99" customFormat="1">
      <c r="B15" s="100"/>
      <c r="C15" s="124"/>
      <c r="D15" s="101"/>
      <c r="E15" s="101"/>
      <c r="F15" s="101"/>
      <c r="G15" s="101"/>
      <c r="H15" s="104"/>
      <c r="I15" s="104"/>
      <c r="J15" s="104"/>
      <c r="K15" s="100"/>
      <c r="L15" s="100"/>
      <c r="M15" s="100"/>
      <c r="N15" s="100"/>
      <c r="O15" s="100"/>
      <c r="P15" s="100"/>
      <c r="Q15" s="100"/>
      <c r="R15" s="104"/>
      <c r="S15" s="104"/>
      <c r="T15" s="104"/>
      <c r="U15" s="100"/>
      <c r="V15" s="112"/>
      <c r="W15" s="112"/>
      <c r="X15" s="100"/>
      <c r="Y15" s="100"/>
      <c r="Z15" s="112"/>
      <c r="AA15" s="98"/>
    </row>
    <row r="16" spans="1:27" s="99" customFormat="1">
      <c r="B16" s="100"/>
      <c r="C16" s="125"/>
      <c r="D16" s="101"/>
      <c r="E16" s="101"/>
      <c r="F16" s="100"/>
      <c r="G16" s="101"/>
      <c r="H16" s="104"/>
      <c r="I16" s="104"/>
      <c r="J16" s="104"/>
      <c r="K16" s="100"/>
      <c r="L16" s="100"/>
      <c r="M16" s="100"/>
      <c r="N16" s="100"/>
      <c r="O16" s="100"/>
      <c r="P16" s="100"/>
      <c r="Q16" s="100"/>
      <c r="R16" s="104"/>
      <c r="S16" s="104"/>
      <c r="T16" s="104"/>
      <c r="U16" s="100"/>
      <c r="V16" s="112"/>
      <c r="W16" s="112"/>
      <c r="X16" s="104"/>
      <c r="Y16" s="100"/>
      <c r="Z16" s="112"/>
    </row>
    <row r="17" spans="2:30" s="99" customFormat="1">
      <c r="B17" s="100"/>
      <c r="C17" s="124"/>
      <c r="D17" s="101"/>
      <c r="E17" s="101"/>
      <c r="F17" s="101"/>
      <c r="G17" s="101"/>
      <c r="H17" s="104"/>
      <c r="I17" s="104"/>
      <c r="J17" s="104"/>
      <c r="K17" s="100"/>
      <c r="L17" s="100"/>
      <c r="M17" s="100"/>
      <c r="N17" s="100"/>
      <c r="O17" s="100"/>
      <c r="P17" s="100"/>
      <c r="Q17" s="100"/>
      <c r="R17" s="104"/>
      <c r="S17" s="104"/>
      <c r="T17" s="104"/>
      <c r="U17" s="100"/>
      <c r="V17" s="112"/>
      <c r="W17" s="112"/>
      <c r="X17" s="100"/>
      <c r="Y17" s="100"/>
      <c r="Z17" s="112"/>
      <c r="AA17" s="98"/>
    </row>
    <row r="18" spans="2:30" s="99" customFormat="1">
      <c r="B18" s="100"/>
      <c r="C18" s="124"/>
      <c r="D18" s="101"/>
      <c r="E18" s="101"/>
      <c r="F18" s="100"/>
      <c r="G18" s="101"/>
      <c r="H18" s="104"/>
      <c r="I18" s="104"/>
      <c r="J18" s="100"/>
      <c r="K18" s="100"/>
      <c r="L18" s="100"/>
      <c r="M18" s="100"/>
      <c r="N18" s="100"/>
      <c r="O18" s="100"/>
      <c r="P18" s="100"/>
      <c r="Q18" s="100"/>
      <c r="R18" s="104"/>
      <c r="S18" s="104"/>
      <c r="T18" s="104"/>
      <c r="U18" s="100"/>
      <c r="V18" s="112"/>
      <c r="W18" s="112"/>
      <c r="X18" s="104"/>
      <c r="Y18" s="100"/>
      <c r="Z18" s="112"/>
      <c r="AA18" s="109"/>
    </row>
    <row r="19" spans="2:30" s="99" customFormat="1">
      <c r="B19" s="100"/>
      <c r="C19" s="124"/>
      <c r="D19" s="101"/>
      <c r="E19" s="101"/>
      <c r="F19" s="101"/>
      <c r="G19" s="101"/>
      <c r="H19" s="104"/>
      <c r="I19" s="104"/>
      <c r="J19" s="104"/>
      <c r="K19" s="100"/>
      <c r="L19" s="100"/>
      <c r="M19" s="100"/>
      <c r="N19" s="100"/>
      <c r="O19" s="100"/>
      <c r="P19" s="100"/>
      <c r="Q19" s="100"/>
      <c r="R19" s="104"/>
      <c r="S19" s="104"/>
      <c r="T19" s="104"/>
      <c r="U19" s="100"/>
      <c r="V19" s="112"/>
      <c r="W19" s="112"/>
      <c r="X19" s="104"/>
      <c r="Y19" s="100"/>
      <c r="Z19" s="112"/>
      <c r="AD19" s="109"/>
    </row>
    <row r="20" spans="2:30" s="99" customFormat="1">
      <c r="B20" s="100"/>
      <c r="C20" s="125"/>
      <c r="D20" s="101"/>
      <c r="E20" s="101"/>
      <c r="F20" s="100"/>
      <c r="G20" s="101"/>
      <c r="H20" s="104"/>
      <c r="I20" s="104"/>
      <c r="J20" s="104"/>
      <c r="K20" s="100"/>
      <c r="L20" s="100"/>
      <c r="M20" s="100"/>
      <c r="N20" s="100"/>
      <c r="O20" s="100"/>
      <c r="P20" s="100"/>
      <c r="Q20" s="100"/>
      <c r="R20" s="104"/>
      <c r="S20" s="104"/>
      <c r="T20" s="104"/>
      <c r="U20" s="100"/>
      <c r="V20" s="112"/>
      <c r="W20" s="112"/>
      <c r="X20" s="104"/>
      <c r="Y20" s="100"/>
      <c r="Z20" s="112"/>
      <c r="AA20" s="109"/>
    </row>
    <row r="21" spans="2:30" s="99" customFormat="1">
      <c r="B21" s="100"/>
      <c r="C21" s="124"/>
      <c r="D21" s="101"/>
      <c r="E21" s="101"/>
      <c r="F21" s="100"/>
      <c r="G21" s="101"/>
      <c r="H21" s="104"/>
      <c r="I21" s="104"/>
      <c r="J21" s="104"/>
      <c r="K21" s="100"/>
      <c r="L21" s="100"/>
      <c r="M21" s="100"/>
      <c r="N21" s="100"/>
      <c r="O21" s="100"/>
      <c r="P21" s="100"/>
      <c r="Q21" s="100"/>
      <c r="R21" s="104"/>
      <c r="S21" s="104"/>
      <c r="T21" s="104"/>
      <c r="U21" s="100"/>
      <c r="V21" s="112"/>
      <c r="W21" s="112"/>
      <c r="X21" s="104"/>
      <c r="Y21" s="100"/>
      <c r="Z21" s="112"/>
    </row>
    <row r="22" spans="2:30" s="99" customFormat="1">
      <c r="B22" s="100"/>
      <c r="C22" s="125"/>
      <c r="D22" s="101"/>
      <c r="E22" s="101"/>
      <c r="F22" s="100"/>
      <c r="G22" s="101"/>
      <c r="H22" s="104"/>
      <c r="I22" s="104"/>
      <c r="J22" s="104"/>
      <c r="K22" s="100"/>
      <c r="L22" s="100"/>
      <c r="M22" s="100"/>
      <c r="N22" s="100"/>
      <c r="O22" s="100"/>
      <c r="P22" s="100"/>
      <c r="Q22" s="100"/>
      <c r="R22" s="104"/>
      <c r="S22" s="104"/>
      <c r="T22" s="104"/>
      <c r="U22" s="100"/>
      <c r="V22" s="112"/>
      <c r="W22" s="112"/>
      <c r="X22" s="104"/>
      <c r="Y22" s="100"/>
      <c r="Z22" s="112"/>
      <c r="AA22" s="127"/>
    </row>
    <row r="23" spans="2:30" s="99" customFormat="1">
      <c r="B23" s="100"/>
      <c r="C23" s="124"/>
      <c r="D23" s="101"/>
      <c r="E23" s="101"/>
      <c r="F23" s="100"/>
      <c r="G23" s="101"/>
      <c r="H23" s="104"/>
      <c r="I23" s="104"/>
      <c r="J23" s="104"/>
      <c r="K23" s="100"/>
      <c r="L23" s="100"/>
      <c r="M23" s="100"/>
      <c r="N23" s="100"/>
      <c r="O23" s="100"/>
      <c r="P23" s="100"/>
      <c r="Q23" s="100"/>
      <c r="R23" s="104"/>
      <c r="S23" s="104"/>
      <c r="T23" s="104"/>
      <c r="U23" s="100"/>
      <c r="V23" s="112"/>
      <c r="W23" s="112"/>
      <c r="X23" s="104"/>
      <c r="Y23" s="100"/>
      <c r="Z23" s="112"/>
    </row>
    <row r="24" spans="2:30" s="99" customFormat="1">
      <c r="B24" s="100"/>
      <c r="C24" s="125"/>
      <c r="D24" s="101"/>
      <c r="E24" s="101"/>
      <c r="F24" s="100"/>
      <c r="G24" s="101"/>
      <c r="H24" s="104"/>
      <c r="I24" s="104"/>
      <c r="J24" s="104"/>
      <c r="K24" s="100"/>
      <c r="L24" s="100"/>
      <c r="M24" s="100"/>
      <c r="N24" s="100"/>
      <c r="O24" s="100"/>
      <c r="P24" s="100"/>
      <c r="Q24" s="100"/>
      <c r="R24" s="104"/>
      <c r="S24" s="104"/>
      <c r="T24" s="104"/>
      <c r="U24" s="100"/>
      <c r="V24" s="112"/>
      <c r="W24" s="112"/>
      <c r="X24" s="104"/>
      <c r="Y24" s="100"/>
      <c r="Z24" s="112"/>
      <c r="AA24" s="18"/>
    </row>
    <row r="25" spans="2:30" s="99" customFormat="1">
      <c r="B25" s="100"/>
      <c r="C25" s="124"/>
      <c r="D25" s="101"/>
      <c r="E25" s="101"/>
      <c r="F25" s="101"/>
      <c r="G25" s="101"/>
      <c r="H25" s="104"/>
      <c r="I25" s="104"/>
      <c r="J25" s="104"/>
      <c r="K25" s="100"/>
      <c r="L25" s="100"/>
      <c r="M25" s="100"/>
      <c r="N25" s="100"/>
      <c r="O25" s="100"/>
      <c r="P25" s="100"/>
      <c r="Q25" s="100"/>
      <c r="R25" s="104"/>
      <c r="S25" s="104"/>
      <c r="T25" s="104"/>
      <c r="U25" s="100"/>
      <c r="V25" s="112"/>
      <c r="W25" s="112"/>
      <c r="X25" s="104"/>
      <c r="Y25" s="100"/>
      <c r="Z25" s="112"/>
      <c r="AA25" s="109"/>
      <c r="AD25" s="109"/>
    </row>
    <row r="26" spans="2:30" s="99" customFormat="1">
      <c r="B26" s="100"/>
      <c r="C26" s="125"/>
      <c r="D26" s="101"/>
      <c r="E26" s="101"/>
      <c r="F26" s="100"/>
      <c r="G26" s="101"/>
      <c r="H26" s="104"/>
      <c r="I26" s="104"/>
      <c r="J26" s="104"/>
      <c r="K26" s="100"/>
      <c r="L26" s="100"/>
      <c r="M26" s="100"/>
      <c r="N26" s="100"/>
      <c r="O26" s="100"/>
      <c r="P26" s="100"/>
      <c r="Q26" s="100"/>
      <c r="R26" s="104"/>
      <c r="S26" s="104"/>
      <c r="T26" s="104"/>
      <c r="U26" s="100"/>
      <c r="V26" s="112"/>
      <c r="W26" s="112"/>
      <c r="X26" s="104"/>
      <c r="Y26" s="100"/>
      <c r="Z26" s="112"/>
      <c r="AA26" s="109"/>
    </row>
    <row r="27" spans="2:30" s="99" customFormat="1" ht="13.15">
      <c r="B27" s="100"/>
      <c r="C27" s="125"/>
      <c r="D27" s="101"/>
      <c r="E27" s="101"/>
      <c r="F27" s="100"/>
      <c r="G27" s="101"/>
      <c r="H27" s="104"/>
      <c r="I27" s="104"/>
      <c r="J27" s="104"/>
      <c r="K27" s="100"/>
      <c r="L27" s="100"/>
      <c r="M27" s="100"/>
      <c r="N27" s="100"/>
      <c r="O27" s="100"/>
      <c r="P27" s="100"/>
      <c r="Q27" s="100"/>
      <c r="R27" s="104"/>
      <c r="S27" s="104"/>
      <c r="T27" s="104"/>
      <c r="U27" s="100"/>
      <c r="V27" s="112"/>
      <c r="W27" s="112"/>
      <c r="X27" s="104"/>
      <c r="Y27" s="100"/>
      <c r="Z27" s="112"/>
      <c r="AA27" s="24"/>
    </row>
    <row r="28" spans="2:30" s="99" customFormat="1">
      <c r="B28" s="100"/>
      <c r="C28" s="124"/>
      <c r="D28" s="101"/>
      <c r="E28" s="101"/>
      <c r="F28" s="100"/>
      <c r="G28" s="101"/>
      <c r="H28" s="104"/>
      <c r="I28" s="104"/>
      <c r="J28" s="104"/>
      <c r="K28" s="100"/>
      <c r="L28" s="100"/>
      <c r="M28" s="100"/>
      <c r="N28" s="100"/>
      <c r="O28" s="100"/>
      <c r="P28" s="100"/>
      <c r="Q28" s="100"/>
      <c r="R28" s="104"/>
      <c r="S28" s="104"/>
      <c r="T28" s="104"/>
      <c r="U28" s="100"/>
      <c r="V28" s="112"/>
      <c r="W28" s="112"/>
      <c r="X28" s="104"/>
      <c r="Y28" s="100"/>
      <c r="Z28" s="112"/>
      <c r="AA28" s="109"/>
    </row>
    <row r="29" spans="2:30" s="99" customFormat="1">
      <c r="B29" s="100"/>
      <c r="C29" s="124"/>
      <c r="D29" s="101"/>
      <c r="E29" s="101"/>
      <c r="F29" s="100"/>
      <c r="G29" s="101"/>
      <c r="H29" s="104"/>
      <c r="I29" s="104"/>
      <c r="J29" s="104"/>
      <c r="K29" s="100"/>
      <c r="L29" s="100"/>
      <c r="M29" s="100"/>
      <c r="N29" s="100"/>
      <c r="O29" s="100"/>
      <c r="P29" s="100"/>
      <c r="Q29" s="100"/>
      <c r="R29" s="104"/>
      <c r="S29" s="104"/>
      <c r="T29" s="104"/>
      <c r="U29" s="100"/>
      <c r="V29" s="112"/>
      <c r="W29" s="112"/>
      <c r="X29" s="104"/>
      <c r="Y29" s="100"/>
      <c r="Z29" s="112"/>
      <c r="AA29" s="109"/>
    </row>
    <row r="30" spans="2:30" s="99" customFormat="1">
      <c r="B30" s="100"/>
      <c r="C30" s="124"/>
      <c r="D30" s="101"/>
      <c r="E30" s="101"/>
      <c r="F30" s="100"/>
      <c r="G30" s="101"/>
      <c r="H30" s="104"/>
      <c r="I30" s="104"/>
      <c r="J30" s="104"/>
      <c r="K30" s="100"/>
      <c r="L30" s="100"/>
      <c r="M30" s="100"/>
      <c r="N30" s="100"/>
      <c r="O30" s="100"/>
      <c r="P30" s="100"/>
      <c r="Q30" s="100"/>
      <c r="R30" s="104"/>
      <c r="S30" s="104"/>
      <c r="T30" s="104"/>
      <c r="U30" s="100"/>
      <c r="V30" s="112"/>
      <c r="W30" s="112"/>
      <c r="X30" s="104"/>
      <c r="Y30" s="100"/>
      <c r="Z30" s="112"/>
      <c r="AA30" s="109"/>
    </row>
    <row r="31" spans="2:30" s="99" customFormat="1">
      <c r="B31" s="100"/>
      <c r="C31" s="124"/>
      <c r="D31" s="101"/>
      <c r="E31" s="101"/>
      <c r="F31" s="100"/>
      <c r="G31" s="101"/>
      <c r="H31" s="104"/>
      <c r="I31" s="104"/>
      <c r="J31" s="104"/>
      <c r="K31" s="100"/>
      <c r="L31" s="100"/>
      <c r="M31" s="100"/>
      <c r="N31" s="100"/>
      <c r="O31" s="100"/>
      <c r="P31" s="100"/>
      <c r="Q31" s="100"/>
      <c r="R31" s="104"/>
      <c r="S31" s="104"/>
      <c r="T31" s="104"/>
      <c r="U31" s="100"/>
      <c r="V31" s="112"/>
      <c r="W31" s="112"/>
      <c r="X31" s="104"/>
      <c r="Y31" s="100"/>
      <c r="Z31" s="112"/>
      <c r="AA31" s="109"/>
    </row>
    <row r="32" spans="2:30" s="99" customFormat="1">
      <c r="B32" s="100"/>
      <c r="C32" s="124"/>
      <c r="D32" s="101"/>
      <c r="E32" s="101"/>
      <c r="F32" s="100"/>
      <c r="G32" s="101"/>
      <c r="H32" s="104"/>
      <c r="I32" s="104"/>
      <c r="J32" s="104"/>
      <c r="K32" s="100"/>
      <c r="L32" s="100"/>
      <c r="M32" s="100"/>
      <c r="N32" s="100"/>
      <c r="O32" s="100"/>
      <c r="P32" s="100"/>
      <c r="Q32" s="100"/>
      <c r="R32" s="104"/>
      <c r="S32" s="104"/>
      <c r="T32" s="104"/>
      <c r="U32" s="100"/>
      <c r="V32" s="112"/>
      <c r="W32" s="112"/>
      <c r="X32" s="104"/>
      <c r="Y32" s="100"/>
      <c r="Z32" s="112"/>
      <c r="AA32" s="109"/>
    </row>
    <row r="33" spans="1:29" s="99" customFormat="1">
      <c r="B33" s="100"/>
      <c r="C33" s="124"/>
      <c r="D33" s="101"/>
      <c r="E33" s="101"/>
      <c r="F33" s="100"/>
      <c r="G33" s="101"/>
      <c r="H33" s="104"/>
      <c r="I33" s="104"/>
      <c r="J33" s="104"/>
      <c r="K33" s="100"/>
      <c r="L33" s="100"/>
      <c r="M33" s="100"/>
      <c r="N33" s="100"/>
      <c r="O33" s="100"/>
      <c r="P33" s="100"/>
      <c r="Q33" s="100"/>
      <c r="R33" s="104"/>
      <c r="S33" s="104"/>
      <c r="T33" s="104"/>
      <c r="U33" s="100"/>
      <c r="V33" s="112"/>
      <c r="W33" s="112"/>
      <c r="X33" s="104"/>
      <c r="Y33" s="100"/>
      <c r="Z33" s="112"/>
      <c r="AA33" s="109"/>
    </row>
    <row r="34" spans="1:29" s="99" customFormat="1">
      <c r="B34" s="100"/>
      <c r="C34" s="124"/>
      <c r="D34" s="101"/>
      <c r="E34" s="101"/>
      <c r="F34" s="100"/>
      <c r="G34" s="101"/>
      <c r="H34" s="104"/>
      <c r="I34" s="104"/>
      <c r="J34" s="104"/>
      <c r="K34" s="100"/>
      <c r="L34" s="100"/>
      <c r="M34" s="100"/>
      <c r="N34" s="100"/>
      <c r="O34" s="100"/>
      <c r="P34" s="100"/>
      <c r="Q34" s="100"/>
      <c r="R34" s="104"/>
      <c r="S34" s="104"/>
      <c r="T34" s="104"/>
      <c r="U34" s="100"/>
      <c r="V34" s="112"/>
      <c r="W34" s="112"/>
      <c r="X34" s="104"/>
      <c r="Y34" s="100"/>
      <c r="Z34" s="112"/>
      <c r="AA34" s="109"/>
    </row>
    <row r="35" spans="1:29" s="99" customFormat="1">
      <c r="B35" s="100"/>
      <c r="C35" s="124"/>
      <c r="D35" s="101"/>
      <c r="E35" s="101"/>
      <c r="F35" s="100"/>
      <c r="G35" s="101"/>
      <c r="H35" s="104"/>
      <c r="I35" s="104"/>
      <c r="J35" s="104"/>
      <c r="K35" s="100"/>
      <c r="L35" s="100"/>
      <c r="M35" s="100"/>
      <c r="N35" s="100"/>
      <c r="O35" s="100"/>
      <c r="P35" s="100"/>
      <c r="Q35" s="100"/>
      <c r="R35" s="104"/>
      <c r="S35" s="104"/>
      <c r="T35" s="104"/>
      <c r="U35" s="100"/>
      <c r="V35" s="112"/>
      <c r="W35" s="112"/>
      <c r="X35" s="104"/>
      <c r="Y35" s="100"/>
      <c r="Z35" s="112"/>
      <c r="AA35" s="109"/>
    </row>
    <row r="36" spans="1:29" s="99" customFormat="1">
      <c r="B36" s="100"/>
      <c r="C36" s="124"/>
      <c r="D36" s="101"/>
      <c r="E36" s="101"/>
      <c r="F36" s="100"/>
      <c r="G36" s="101"/>
      <c r="H36" s="104"/>
      <c r="I36" s="104"/>
      <c r="J36" s="104"/>
      <c r="K36" s="100"/>
      <c r="L36" s="100"/>
      <c r="M36" s="100"/>
      <c r="N36" s="100"/>
      <c r="O36" s="100"/>
      <c r="P36" s="100"/>
      <c r="Q36" s="100"/>
      <c r="R36" s="104"/>
      <c r="S36" s="104"/>
      <c r="T36" s="104"/>
      <c r="U36" s="100"/>
      <c r="V36" s="112"/>
      <c r="W36" s="112"/>
      <c r="X36" s="104"/>
      <c r="Y36" s="100"/>
      <c r="Z36" s="112"/>
      <c r="AA36" s="109"/>
    </row>
    <row r="37" spans="1:29" s="99" customFormat="1">
      <c r="B37" s="100"/>
      <c r="C37" s="124"/>
      <c r="D37" s="101"/>
      <c r="E37" s="101"/>
      <c r="F37" s="100"/>
      <c r="G37" s="101"/>
      <c r="H37" s="104"/>
      <c r="I37" s="104"/>
      <c r="J37" s="104"/>
      <c r="K37" s="100"/>
      <c r="L37" s="100"/>
      <c r="M37" s="100"/>
      <c r="N37" s="100"/>
      <c r="O37" s="100"/>
      <c r="P37" s="100"/>
      <c r="Q37" s="100"/>
      <c r="R37" s="104"/>
      <c r="S37" s="104"/>
      <c r="T37" s="104"/>
      <c r="U37" s="100"/>
      <c r="V37" s="112"/>
      <c r="W37" s="112"/>
      <c r="X37" s="104"/>
      <c r="Y37" s="100"/>
      <c r="Z37" s="112"/>
      <c r="AA37" s="109"/>
    </row>
    <row r="38" spans="1:29" s="99" customFormat="1">
      <c r="B38" s="100"/>
      <c r="C38" s="124"/>
      <c r="D38" s="101"/>
      <c r="E38" s="101"/>
      <c r="F38" s="100"/>
      <c r="G38" s="101"/>
      <c r="H38" s="104"/>
      <c r="I38" s="104"/>
      <c r="J38" s="104"/>
      <c r="K38" s="100"/>
      <c r="L38" s="100"/>
      <c r="M38" s="100"/>
      <c r="N38" s="100"/>
      <c r="O38" s="100"/>
      <c r="P38" s="100"/>
      <c r="Q38" s="100"/>
      <c r="R38" s="104"/>
      <c r="S38" s="104"/>
      <c r="T38" s="104"/>
      <c r="U38" s="100"/>
      <c r="V38" s="112"/>
      <c r="W38" s="112"/>
      <c r="X38" s="104"/>
      <c r="Y38" s="100"/>
      <c r="Z38" s="112"/>
      <c r="AA38" s="109"/>
    </row>
    <row r="39" spans="1:29" s="99" customFormat="1">
      <c r="B39" s="100"/>
      <c r="C39" s="124"/>
      <c r="D39" s="101"/>
      <c r="E39" s="101"/>
      <c r="F39" s="100"/>
      <c r="G39" s="101"/>
      <c r="H39" s="104"/>
      <c r="I39" s="104"/>
      <c r="J39" s="104"/>
      <c r="K39" s="100"/>
      <c r="L39" s="100"/>
      <c r="M39" s="100"/>
      <c r="N39" s="100"/>
      <c r="O39" s="100"/>
      <c r="P39" s="100"/>
      <c r="Q39" s="100"/>
      <c r="R39" s="104"/>
      <c r="S39" s="104"/>
      <c r="T39" s="104"/>
      <c r="U39" s="100"/>
      <c r="V39" s="112"/>
      <c r="W39" s="112"/>
      <c r="X39" s="104"/>
      <c r="Y39" s="100"/>
      <c r="Z39" s="112"/>
      <c r="AA39" s="109"/>
    </row>
    <row r="40" spans="1:29" s="99" customFormat="1">
      <c r="B40" s="100"/>
      <c r="C40" s="124"/>
      <c r="D40" s="101"/>
      <c r="E40" s="101"/>
      <c r="F40" s="100"/>
      <c r="G40" s="101"/>
      <c r="H40" s="104"/>
      <c r="I40" s="104"/>
      <c r="J40" s="104"/>
      <c r="K40" s="100"/>
      <c r="L40" s="100"/>
      <c r="M40" s="100"/>
      <c r="N40" s="100"/>
      <c r="O40" s="100"/>
      <c r="P40" s="100"/>
      <c r="Q40" s="100"/>
      <c r="R40" s="104"/>
      <c r="S40" s="104"/>
      <c r="T40" s="104"/>
      <c r="U40" s="100"/>
      <c r="V40" s="112"/>
      <c r="W40" s="112"/>
      <c r="X40" s="104"/>
      <c r="Y40" s="100"/>
      <c r="Z40" s="112"/>
      <c r="AA40" s="109"/>
    </row>
    <row r="41" spans="1:29" s="99" customFormat="1">
      <c r="B41" s="100"/>
      <c r="C41" s="124"/>
      <c r="D41" s="101"/>
      <c r="E41" s="101"/>
      <c r="F41" s="101"/>
      <c r="G41" s="101"/>
      <c r="H41" s="104"/>
      <c r="I41" s="104"/>
      <c r="J41" s="104"/>
      <c r="K41" s="100"/>
      <c r="L41" s="100"/>
      <c r="M41" s="100"/>
      <c r="N41" s="100"/>
      <c r="O41" s="100"/>
      <c r="P41" s="100"/>
      <c r="Q41" s="100"/>
      <c r="R41" s="104"/>
      <c r="S41" s="104"/>
      <c r="T41" s="104"/>
      <c r="U41" s="100"/>
      <c r="V41" s="112"/>
      <c r="W41" s="112"/>
      <c r="X41" s="104"/>
      <c r="Y41" s="100"/>
      <c r="Z41" s="134"/>
      <c r="AA41" s="100"/>
      <c r="AB41" s="100"/>
      <c r="AC41" s="101"/>
    </row>
    <row r="42" spans="1:29" s="99" customFormat="1">
      <c r="B42" s="100"/>
      <c r="C42" s="124"/>
      <c r="D42" s="101"/>
      <c r="E42" s="101"/>
      <c r="F42" s="100"/>
      <c r="G42" s="101"/>
      <c r="H42" s="104"/>
      <c r="I42" s="104"/>
      <c r="J42" s="104"/>
      <c r="K42" s="100"/>
      <c r="L42" s="100"/>
      <c r="M42" s="100"/>
      <c r="N42" s="100"/>
      <c r="O42" s="100"/>
      <c r="P42" s="100"/>
      <c r="Q42" s="100"/>
      <c r="R42" s="104"/>
      <c r="S42" s="104"/>
      <c r="T42" s="104"/>
      <c r="U42" s="100"/>
      <c r="V42" s="112"/>
      <c r="W42" s="112"/>
      <c r="X42" s="104"/>
      <c r="Y42" s="100"/>
      <c r="Z42" s="134"/>
      <c r="AA42" s="100"/>
      <c r="AB42" s="100"/>
      <c r="AC42" s="101"/>
    </row>
    <row r="43" spans="1:29" s="99" customFormat="1">
      <c r="B43" s="100"/>
      <c r="C43" s="124"/>
      <c r="D43" s="101"/>
      <c r="E43" s="101"/>
      <c r="F43" s="100"/>
      <c r="G43" s="101"/>
      <c r="H43" s="104"/>
      <c r="I43" s="104"/>
      <c r="J43" s="104"/>
      <c r="K43" s="100"/>
      <c r="L43" s="100"/>
      <c r="M43" s="100"/>
      <c r="N43" s="100"/>
      <c r="O43" s="100"/>
      <c r="P43" s="100"/>
      <c r="Q43" s="100"/>
      <c r="R43" s="104"/>
      <c r="S43" s="104"/>
      <c r="T43" s="104"/>
      <c r="U43" s="100"/>
      <c r="V43" s="112"/>
      <c r="W43" s="112"/>
      <c r="X43" s="104"/>
      <c r="Y43" s="100"/>
      <c r="Z43" s="134"/>
      <c r="AA43" s="100"/>
      <c r="AB43" s="100"/>
      <c r="AC43" s="101"/>
    </row>
    <row r="44" spans="1:29" s="99" customFormat="1">
      <c r="B44" s="100"/>
      <c r="C44" s="124"/>
      <c r="D44" s="101"/>
      <c r="E44" s="101"/>
      <c r="F44" s="100"/>
      <c r="G44" s="101"/>
      <c r="H44" s="104"/>
      <c r="I44" s="104"/>
      <c r="J44" s="104"/>
      <c r="K44" s="100"/>
      <c r="L44" s="100"/>
      <c r="M44" s="100"/>
      <c r="N44" s="100"/>
      <c r="O44" s="100"/>
      <c r="P44" s="100"/>
      <c r="Q44" s="100"/>
      <c r="R44" s="104"/>
      <c r="S44" s="104"/>
      <c r="T44" s="104"/>
      <c r="U44" s="100"/>
      <c r="V44" s="112"/>
      <c r="W44" s="112"/>
      <c r="X44" s="104"/>
      <c r="Y44" s="100"/>
      <c r="Z44" s="134"/>
      <c r="AA44" s="100"/>
      <c r="AB44" s="100"/>
      <c r="AC44" s="101"/>
    </row>
    <row r="45" spans="1:29" s="99" customFormat="1">
      <c r="B45" s="100"/>
      <c r="C45" s="124"/>
      <c r="D45" s="101"/>
      <c r="E45" s="101"/>
      <c r="F45" s="100"/>
      <c r="G45" s="101"/>
      <c r="H45" s="104"/>
      <c r="I45" s="104"/>
      <c r="J45" s="100"/>
      <c r="K45" s="100"/>
      <c r="L45" s="100"/>
      <c r="M45" s="100"/>
      <c r="N45" s="100"/>
      <c r="O45" s="100"/>
      <c r="P45" s="100"/>
      <c r="Q45" s="100"/>
      <c r="R45" s="104"/>
      <c r="S45" s="104"/>
      <c r="T45" s="104"/>
      <c r="U45" s="100"/>
      <c r="V45" s="112"/>
      <c r="W45" s="112"/>
      <c r="X45" s="104"/>
      <c r="Y45" s="100"/>
      <c r="Z45" s="134"/>
      <c r="AA45" s="100"/>
      <c r="AB45" s="100"/>
      <c r="AC45" s="101"/>
    </row>
    <row r="46" spans="1:29" s="99" customFormat="1">
      <c r="B46" s="100"/>
      <c r="C46" s="124"/>
      <c r="D46" s="101"/>
      <c r="E46" s="101"/>
      <c r="F46" s="100"/>
      <c r="G46" s="101"/>
      <c r="H46" s="104"/>
      <c r="I46" s="104"/>
      <c r="J46" s="104"/>
      <c r="K46" s="100"/>
      <c r="L46" s="100"/>
      <c r="M46" s="100"/>
      <c r="N46" s="100"/>
      <c r="O46" s="100"/>
      <c r="P46" s="100"/>
      <c r="Q46" s="100"/>
      <c r="R46" s="104"/>
      <c r="S46" s="104"/>
      <c r="T46" s="104"/>
      <c r="U46" s="100"/>
      <c r="V46" s="112"/>
      <c r="W46" s="112"/>
      <c r="X46" s="104"/>
      <c r="Y46" s="100"/>
      <c r="Z46" s="134"/>
      <c r="AA46" s="100"/>
      <c r="AB46" s="100"/>
      <c r="AC46" s="101"/>
    </row>
    <row r="47" spans="1:29" s="99" customFormat="1">
      <c r="B47" s="100"/>
      <c r="C47" s="125"/>
      <c r="D47" s="101"/>
      <c r="E47" s="101"/>
      <c r="F47" s="100"/>
      <c r="G47" s="101"/>
      <c r="H47" s="104"/>
      <c r="I47" s="104"/>
      <c r="J47" s="104"/>
      <c r="K47" s="100"/>
      <c r="L47" s="100"/>
      <c r="M47" s="100"/>
      <c r="N47" s="100"/>
      <c r="O47" s="100"/>
      <c r="P47" s="100"/>
      <c r="Q47" s="100"/>
      <c r="R47" s="104"/>
      <c r="S47" s="104"/>
      <c r="T47" s="104"/>
      <c r="U47" s="100"/>
      <c r="V47" s="112"/>
      <c r="W47" s="112"/>
      <c r="X47" s="104"/>
      <c r="Y47" s="100"/>
      <c r="Z47" s="134"/>
      <c r="AA47" s="100"/>
      <c r="AB47" s="100"/>
      <c r="AC47" s="101"/>
    </row>
    <row r="48" spans="1:29">
      <c r="A48" s="99"/>
      <c r="B48" s="100"/>
      <c r="C48" s="100"/>
      <c r="D48" s="101"/>
      <c r="H48" s="3"/>
      <c r="I48" s="104"/>
      <c r="T48" s="104"/>
      <c r="U48" s="100"/>
      <c r="V48" s="112"/>
      <c r="AA48" s="11"/>
    </row>
    <row r="49" spans="1:27">
      <c r="A49" s="99"/>
      <c r="B49" s="100"/>
      <c r="C49" s="100"/>
      <c r="D49" s="101"/>
      <c r="H49" s="3"/>
      <c r="I49" s="104"/>
      <c r="T49" s="104"/>
      <c r="U49" s="100"/>
      <c r="V49" s="112"/>
      <c r="AA49" s="11"/>
    </row>
    <row r="50" spans="1:27">
      <c r="A50" s="99"/>
      <c r="B50" s="100"/>
      <c r="C50" s="100"/>
      <c r="D50" s="101"/>
      <c r="H50" s="3"/>
      <c r="I50" s="104"/>
      <c r="T50" s="104"/>
      <c r="U50" s="100"/>
      <c r="V50" s="112"/>
      <c r="AA50" s="11"/>
    </row>
    <row r="51" spans="1:27">
      <c r="A51" s="99"/>
      <c r="B51" s="100"/>
      <c r="C51" s="100"/>
      <c r="D51" s="101"/>
      <c r="H51" s="3"/>
      <c r="I51" s="104"/>
      <c r="T51" s="104"/>
      <c r="U51" s="100"/>
      <c r="V51" s="112"/>
      <c r="AA51" s="11"/>
    </row>
    <row r="52" spans="1:27">
      <c r="A52" s="99"/>
      <c r="B52" s="100"/>
      <c r="C52" s="100"/>
      <c r="D52" s="101"/>
      <c r="E52" s="2"/>
      <c r="F52" s="2"/>
      <c r="G52" s="2"/>
      <c r="H52" s="3"/>
      <c r="I52" s="104"/>
      <c r="T52" s="104"/>
      <c r="U52" s="100"/>
      <c r="V52" s="112"/>
      <c r="AA52" s="11"/>
    </row>
    <row r="53" spans="1:27">
      <c r="A53" s="99"/>
      <c r="B53" s="100"/>
      <c r="C53" s="100"/>
      <c r="D53" s="101"/>
      <c r="E53" s="2"/>
      <c r="F53" s="2"/>
      <c r="G53" s="2"/>
      <c r="H53" s="3"/>
      <c r="I53" s="104"/>
      <c r="T53" s="104"/>
      <c r="U53" s="100"/>
      <c r="V53" s="112"/>
      <c r="AA53" s="11"/>
    </row>
    <row r="54" spans="1:27">
      <c r="A54" s="99"/>
      <c r="B54" s="100"/>
      <c r="C54" s="100"/>
      <c r="D54" s="101"/>
      <c r="E54" s="2"/>
      <c r="F54" s="2"/>
      <c r="G54" s="2"/>
      <c r="H54" s="3"/>
      <c r="I54" s="104"/>
      <c r="T54" s="104"/>
      <c r="U54" s="100"/>
      <c r="V54" s="112"/>
      <c r="AA54" s="11"/>
    </row>
    <row r="55" spans="1:27">
      <c r="A55" s="99"/>
      <c r="B55" s="100"/>
      <c r="C55" s="100"/>
      <c r="D55" s="101"/>
      <c r="E55" s="100"/>
      <c r="F55" s="100"/>
      <c r="G55" s="101"/>
      <c r="H55" s="3"/>
      <c r="I55" s="104"/>
      <c r="T55" s="104"/>
      <c r="U55" s="100"/>
      <c r="V55" s="112"/>
      <c r="AA55" s="11"/>
    </row>
    <row r="56" spans="1:27">
      <c r="A56" s="99"/>
      <c r="B56" s="100"/>
      <c r="C56" s="100"/>
      <c r="D56" s="101"/>
      <c r="E56" s="100"/>
      <c r="F56" s="100"/>
      <c r="G56" s="101"/>
      <c r="H56" s="3"/>
      <c r="I56" s="104"/>
      <c r="T56" s="104"/>
      <c r="U56" s="100"/>
      <c r="V56" s="112"/>
      <c r="AA56" s="11"/>
    </row>
    <row r="57" spans="1:27">
      <c r="A57" s="99"/>
      <c r="B57" s="100"/>
      <c r="C57" s="100"/>
      <c r="D57" s="101"/>
      <c r="E57" s="100"/>
      <c r="F57" s="100"/>
      <c r="G57" s="101"/>
      <c r="H57" s="3"/>
      <c r="I57" s="104"/>
      <c r="T57" s="104"/>
      <c r="U57" s="100"/>
      <c r="V57" s="112"/>
      <c r="AA57" s="11"/>
    </row>
    <row r="58" spans="1:27">
      <c r="A58" s="99"/>
      <c r="B58" s="100"/>
      <c r="C58" s="100"/>
      <c r="D58" s="101"/>
      <c r="E58" s="100"/>
      <c r="F58" s="100"/>
      <c r="G58" s="101"/>
      <c r="H58" s="3"/>
      <c r="I58" s="104"/>
      <c r="T58" s="104"/>
      <c r="U58" s="100"/>
      <c r="V58" s="112"/>
      <c r="AA58" s="11"/>
    </row>
    <row r="59" spans="1:27">
      <c r="A59" s="99"/>
      <c r="B59" s="100"/>
      <c r="C59" s="100"/>
      <c r="D59" s="101"/>
      <c r="E59" s="100"/>
      <c r="F59" s="100"/>
      <c r="G59" s="101"/>
      <c r="H59" s="3"/>
      <c r="I59" s="104"/>
      <c r="T59" s="104"/>
      <c r="U59" s="100"/>
      <c r="V59" s="112"/>
      <c r="AA59" s="11"/>
    </row>
    <row r="60" spans="1:27">
      <c r="A60" s="99"/>
      <c r="B60" s="100"/>
      <c r="C60" s="100"/>
      <c r="D60" s="101"/>
      <c r="E60" s="100"/>
      <c r="F60" s="100"/>
      <c r="G60" s="101"/>
      <c r="H60" s="3"/>
      <c r="I60" s="104"/>
      <c r="T60" s="104"/>
      <c r="U60" s="100"/>
      <c r="V60" s="112"/>
      <c r="AA60" s="11"/>
    </row>
    <row r="61" spans="1:27">
      <c r="A61" s="99"/>
      <c r="B61" s="100"/>
      <c r="C61" s="100"/>
      <c r="D61" s="101"/>
      <c r="E61" s="100"/>
      <c r="F61" s="100"/>
      <c r="G61" s="101"/>
      <c r="H61" s="3"/>
      <c r="I61" s="104"/>
      <c r="T61" s="104"/>
      <c r="U61" s="100"/>
      <c r="V61" s="112"/>
      <c r="AA61" s="11"/>
    </row>
    <row r="62" spans="1:27">
      <c r="A62" s="99"/>
      <c r="B62" s="100"/>
      <c r="C62" s="100"/>
      <c r="D62" s="101"/>
      <c r="E62" s="100"/>
      <c r="F62" s="100"/>
      <c r="G62" s="101"/>
      <c r="H62" s="3"/>
      <c r="I62" s="104"/>
      <c r="T62" s="104"/>
      <c r="U62" s="100"/>
      <c r="V62" s="112"/>
      <c r="AA62" s="11"/>
    </row>
    <row r="63" spans="1:27">
      <c r="A63" s="99"/>
      <c r="B63" s="100"/>
      <c r="C63" s="100"/>
      <c r="D63" s="101"/>
      <c r="E63" s="100"/>
      <c r="F63" s="100"/>
      <c r="G63" s="101"/>
      <c r="H63" s="3"/>
      <c r="I63" s="104"/>
      <c r="T63" s="104"/>
      <c r="U63" s="100"/>
      <c r="V63" s="112"/>
      <c r="AA63" s="11"/>
    </row>
    <row r="64" spans="1:27">
      <c r="A64" s="99"/>
      <c r="B64" s="100"/>
      <c r="C64" s="100"/>
      <c r="D64" s="101"/>
      <c r="E64" s="100"/>
      <c r="F64" s="100"/>
      <c r="G64" s="101"/>
      <c r="H64" s="3"/>
      <c r="I64" s="104"/>
      <c r="T64" s="104"/>
      <c r="U64" s="100"/>
      <c r="V64" s="112"/>
      <c r="AA64" s="11"/>
    </row>
    <row r="65" spans="1:27">
      <c r="A65" s="99"/>
      <c r="B65" s="100"/>
      <c r="C65" s="100"/>
      <c r="D65" s="101"/>
      <c r="E65" s="100"/>
      <c r="F65" s="100"/>
      <c r="G65" s="101"/>
      <c r="H65" s="3"/>
      <c r="I65" s="104"/>
      <c r="T65" s="104"/>
      <c r="U65" s="100"/>
      <c r="V65" s="112"/>
      <c r="AA65" s="11"/>
    </row>
    <row r="66" spans="1:27">
      <c r="A66" s="99"/>
      <c r="B66" s="100"/>
      <c r="C66" s="100"/>
      <c r="D66" s="101"/>
      <c r="E66" s="100"/>
      <c r="F66" s="100"/>
      <c r="G66" s="101"/>
      <c r="H66" s="3"/>
      <c r="I66" s="104"/>
      <c r="T66" s="104"/>
      <c r="U66" s="100"/>
      <c r="V66" s="112"/>
      <c r="AA66" s="11"/>
    </row>
    <row r="67" spans="1:27">
      <c r="A67" s="99"/>
      <c r="B67" s="100"/>
      <c r="C67" s="100"/>
      <c r="D67" s="101"/>
      <c r="E67" s="100"/>
      <c r="F67" s="100"/>
      <c r="G67" s="101"/>
      <c r="H67" s="3"/>
      <c r="I67" s="104"/>
      <c r="T67" s="104"/>
      <c r="U67" s="100"/>
      <c r="V67" s="112"/>
      <c r="AA67" s="11"/>
    </row>
    <row r="68" spans="1:27">
      <c r="A68" s="99"/>
      <c r="B68" s="100"/>
      <c r="C68" s="100"/>
      <c r="D68" s="101"/>
      <c r="E68" s="100"/>
      <c r="F68" s="100"/>
      <c r="G68" s="101"/>
      <c r="H68" s="3"/>
      <c r="I68" s="104"/>
      <c r="T68" s="104"/>
      <c r="U68" s="100"/>
      <c r="V68" s="112"/>
      <c r="AA68" s="11"/>
    </row>
    <row r="69" spans="1:27">
      <c r="A69" s="99"/>
      <c r="B69" s="100"/>
      <c r="C69" s="100"/>
      <c r="D69" s="101"/>
      <c r="E69" s="100"/>
      <c r="F69" s="100"/>
      <c r="G69" s="101"/>
      <c r="H69" s="3"/>
      <c r="I69" s="104"/>
      <c r="T69" s="104"/>
      <c r="U69" s="100"/>
      <c r="V69" s="112"/>
      <c r="AA69" s="11"/>
    </row>
    <row r="70" spans="1:27">
      <c r="A70" s="99"/>
      <c r="B70" s="100"/>
      <c r="C70" s="100"/>
      <c r="D70" s="101"/>
      <c r="E70" s="100"/>
      <c r="F70" s="100"/>
      <c r="G70" s="101"/>
      <c r="I70" s="104"/>
      <c r="T70" s="104"/>
      <c r="U70" s="100"/>
      <c r="V70" s="112"/>
      <c r="AA70" s="11"/>
    </row>
    <row r="71" spans="1:27">
      <c r="A71" s="99"/>
      <c r="B71" s="100"/>
      <c r="C71" s="100"/>
      <c r="D71" s="101"/>
      <c r="E71" s="101"/>
      <c r="F71" s="101"/>
      <c r="G71" s="101"/>
      <c r="H71" s="3"/>
      <c r="I71" s="104"/>
      <c r="T71" s="104"/>
      <c r="U71" s="100"/>
      <c r="V71" s="112"/>
      <c r="AA71" s="11"/>
    </row>
    <row r="72" spans="1:27">
      <c r="A72" s="99"/>
      <c r="B72" s="100"/>
      <c r="C72" s="100"/>
      <c r="D72" s="101"/>
      <c r="E72" s="100"/>
      <c r="F72" s="100"/>
      <c r="G72" s="101"/>
      <c r="H72" s="3"/>
      <c r="I72" s="104"/>
      <c r="T72" s="104"/>
      <c r="U72" s="100"/>
      <c r="V72" s="112"/>
      <c r="AA72" s="11"/>
    </row>
    <row r="73" spans="1:27">
      <c r="A73" s="99"/>
      <c r="B73" s="100"/>
      <c r="C73" s="100"/>
      <c r="D73" s="101"/>
      <c r="E73" s="100"/>
      <c r="F73" s="100"/>
      <c r="G73" s="101"/>
      <c r="I73" s="104"/>
      <c r="T73" s="104"/>
      <c r="U73" s="100"/>
      <c r="V73" s="112"/>
      <c r="AA73" s="11"/>
    </row>
    <row r="74" spans="1:27">
      <c r="A74" s="99"/>
      <c r="B74" s="100"/>
      <c r="C74" s="100"/>
      <c r="D74" s="101"/>
      <c r="E74" s="101"/>
      <c r="F74" s="101"/>
      <c r="G74" s="101"/>
      <c r="I74" s="104"/>
      <c r="T74" s="104"/>
      <c r="U74" s="100"/>
      <c r="V74" s="112"/>
      <c r="AA74" s="11"/>
    </row>
    <row r="75" spans="1:27">
      <c r="A75" s="99"/>
      <c r="B75" s="100"/>
      <c r="C75" s="100"/>
      <c r="D75" s="101"/>
      <c r="E75" s="101"/>
      <c r="F75" s="101"/>
      <c r="G75" s="101"/>
      <c r="I75" s="104"/>
      <c r="T75" s="104"/>
      <c r="U75" s="100"/>
      <c r="V75" s="112"/>
      <c r="AA75" s="11"/>
    </row>
    <row r="76" spans="1:27">
      <c r="A76" s="99"/>
      <c r="B76" s="100"/>
      <c r="C76" s="100"/>
      <c r="D76" s="101"/>
      <c r="E76" s="101"/>
      <c r="F76" s="101"/>
      <c r="G76" s="101"/>
      <c r="I76" s="104"/>
      <c r="T76" s="104"/>
      <c r="U76" s="100"/>
      <c r="V76" s="112"/>
      <c r="AA76" s="11"/>
    </row>
    <row r="77" spans="1:27">
      <c r="A77" s="99"/>
      <c r="B77" s="100"/>
      <c r="C77" s="100"/>
      <c r="D77" s="101"/>
      <c r="E77" s="101"/>
      <c r="F77" s="101"/>
      <c r="G77" s="101"/>
      <c r="I77" s="104"/>
      <c r="T77" s="104"/>
      <c r="U77" s="100"/>
      <c r="V77" s="112"/>
      <c r="AA77" s="11"/>
    </row>
    <row r="78" spans="1:27">
      <c r="A78" s="99"/>
      <c r="B78" s="100"/>
      <c r="C78" s="100"/>
      <c r="D78" s="101"/>
      <c r="E78" s="101"/>
      <c r="F78" s="101"/>
      <c r="G78" s="101"/>
      <c r="I78" s="104"/>
      <c r="T78" s="104"/>
      <c r="U78" s="100"/>
      <c r="V78" s="112"/>
      <c r="AA78" s="11"/>
    </row>
    <row r="79" spans="1:27">
      <c r="A79" s="99"/>
      <c r="B79" s="100"/>
      <c r="C79" s="100"/>
      <c r="D79" s="101"/>
      <c r="E79" s="101"/>
      <c r="F79" s="101"/>
      <c r="G79" s="101"/>
      <c r="I79" s="104"/>
      <c r="T79" s="104"/>
      <c r="U79" s="100"/>
      <c r="V79" s="112"/>
      <c r="AA79" s="11"/>
    </row>
    <row r="80" spans="1:27">
      <c r="A80" s="99"/>
      <c r="B80" s="100"/>
      <c r="C80" s="100"/>
      <c r="D80" s="101"/>
      <c r="E80" s="101"/>
      <c r="F80" s="101"/>
      <c r="G80" s="101"/>
      <c r="I80" s="104"/>
      <c r="T80" s="104"/>
      <c r="U80" s="100"/>
      <c r="V80" s="112"/>
      <c r="AA80" s="11"/>
    </row>
    <row r="81" spans="1:27">
      <c r="A81" s="99"/>
      <c r="B81" s="100"/>
      <c r="C81" s="100"/>
      <c r="D81" s="101"/>
      <c r="E81" s="101"/>
      <c r="F81" s="101"/>
      <c r="G81" s="101"/>
      <c r="I81" s="104"/>
      <c r="T81" s="104"/>
      <c r="U81" s="100"/>
      <c r="V81" s="112"/>
      <c r="AA81" s="11"/>
    </row>
    <row r="82" spans="1:27">
      <c r="A82" s="99"/>
      <c r="B82" s="100"/>
      <c r="C82" s="100"/>
      <c r="D82" s="101"/>
      <c r="E82" s="101"/>
      <c r="F82" s="101"/>
      <c r="G82" s="101"/>
      <c r="I82" s="104"/>
      <c r="T82" s="104"/>
      <c r="U82" s="100"/>
      <c r="V82" s="112"/>
      <c r="AA82" s="11"/>
    </row>
    <row r="83" spans="1:27">
      <c r="A83" s="99"/>
      <c r="B83" s="100"/>
      <c r="C83" s="100"/>
      <c r="D83" s="101"/>
      <c r="E83" s="101"/>
      <c r="F83" s="101"/>
      <c r="G83" s="101"/>
      <c r="I83" s="104"/>
      <c r="T83" s="104"/>
      <c r="U83" s="100"/>
      <c r="V83" s="112"/>
      <c r="AA83" s="11"/>
    </row>
    <row r="84" spans="1:27">
      <c r="A84" s="99"/>
      <c r="B84" s="100"/>
      <c r="C84" s="100"/>
      <c r="D84" s="101"/>
      <c r="E84" s="101"/>
      <c r="F84" s="101"/>
      <c r="G84" s="101"/>
      <c r="I84" s="104"/>
      <c r="T84" s="104"/>
      <c r="U84" s="100"/>
      <c r="V84" s="112"/>
      <c r="AA84" s="11"/>
    </row>
    <row r="85" spans="1:27">
      <c r="A85" s="99"/>
      <c r="B85" s="100"/>
      <c r="C85" s="100"/>
      <c r="D85" s="101"/>
      <c r="E85" s="101"/>
      <c r="F85" s="101"/>
      <c r="G85" s="101"/>
      <c r="I85" s="104"/>
      <c r="T85" s="104"/>
      <c r="U85" s="100"/>
      <c r="V85" s="112"/>
      <c r="AA85" s="11"/>
    </row>
    <row r="86" spans="1:27">
      <c r="A86" s="99"/>
      <c r="B86" s="100"/>
      <c r="C86" s="100"/>
      <c r="D86" s="101"/>
      <c r="E86" s="101"/>
      <c r="F86" s="101"/>
      <c r="G86" s="101"/>
      <c r="I86" s="104"/>
      <c r="T86" s="104"/>
      <c r="U86" s="100"/>
      <c r="V86" s="112"/>
      <c r="AA86" s="11"/>
    </row>
    <row r="87" spans="1:27">
      <c r="A87" s="99"/>
      <c r="B87" s="100"/>
      <c r="C87" s="100"/>
      <c r="D87" s="101"/>
      <c r="E87" s="101"/>
      <c r="F87" s="101"/>
      <c r="G87" s="101"/>
      <c r="I87" s="104"/>
      <c r="T87" s="104"/>
      <c r="U87" s="100"/>
      <c r="V87" s="112"/>
      <c r="AA87" s="11"/>
    </row>
    <row r="88" spans="1:27">
      <c r="A88" s="99"/>
      <c r="B88" s="100"/>
      <c r="C88" s="100"/>
      <c r="D88" s="101"/>
      <c r="E88" s="101"/>
      <c r="F88" s="101"/>
      <c r="G88" s="101"/>
      <c r="I88" s="104"/>
      <c r="T88" s="104"/>
      <c r="U88" s="100"/>
      <c r="V88" s="112"/>
      <c r="AA88" s="11"/>
    </row>
    <row r="89" spans="1:27">
      <c r="A89" s="99"/>
      <c r="B89" s="100"/>
      <c r="C89" s="100"/>
      <c r="D89" s="101"/>
      <c r="E89" s="101"/>
      <c r="F89" s="101"/>
      <c r="G89" s="101"/>
      <c r="I89" s="104"/>
      <c r="T89" s="104"/>
      <c r="U89" s="100"/>
      <c r="V89" s="112"/>
      <c r="AA89" s="11"/>
    </row>
    <row r="90" spans="1:27">
      <c r="A90" s="99"/>
      <c r="B90" s="100"/>
      <c r="C90" s="100"/>
      <c r="D90" s="101"/>
      <c r="E90" s="101"/>
      <c r="F90" s="101"/>
      <c r="G90" s="101"/>
      <c r="I90" s="104"/>
      <c r="T90" s="104"/>
      <c r="U90" s="100"/>
      <c r="V90" s="112"/>
      <c r="AA90" s="11"/>
    </row>
    <row r="91" spans="1:27">
      <c r="A91" s="99"/>
      <c r="B91" s="100"/>
      <c r="C91" s="100"/>
      <c r="D91" s="101"/>
      <c r="E91" s="101"/>
      <c r="F91" s="101"/>
      <c r="G91" s="101"/>
      <c r="I91" s="104"/>
      <c r="T91" s="104"/>
      <c r="U91" s="100"/>
      <c r="V91" s="112"/>
      <c r="AA91" s="11"/>
    </row>
    <row r="92" spans="1:27">
      <c r="A92" s="99"/>
      <c r="B92" s="100"/>
      <c r="C92" s="100"/>
      <c r="D92" s="101"/>
      <c r="E92" s="101"/>
      <c r="F92" s="101"/>
      <c r="G92" s="101"/>
      <c r="I92" s="104"/>
      <c r="T92" s="104"/>
      <c r="U92" s="100"/>
      <c r="V92" s="112"/>
      <c r="AA92" s="11"/>
    </row>
    <row r="93" spans="1:27">
      <c r="A93" s="99"/>
      <c r="B93" s="100"/>
      <c r="C93" s="100"/>
      <c r="D93" s="101"/>
      <c r="E93" s="101"/>
      <c r="F93" s="101"/>
      <c r="G93" s="101"/>
      <c r="I93" s="104"/>
      <c r="T93" s="104"/>
      <c r="U93" s="100"/>
      <c r="V93" s="112"/>
      <c r="AA93" s="11"/>
    </row>
    <row r="94" spans="1:27">
      <c r="A94" s="99"/>
      <c r="B94" s="100"/>
      <c r="C94" s="100"/>
      <c r="D94" s="101"/>
      <c r="E94" s="101"/>
      <c r="F94" s="101"/>
      <c r="G94" s="101"/>
      <c r="I94" s="104"/>
      <c r="T94" s="104"/>
      <c r="U94" s="100"/>
      <c r="V94" s="112"/>
      <c r="AA94" s="11"/>
    </row>
    <row r="95" spans="1:27">
      <c r="A95" s="99"/>
      <c r="B95" s="100"/>
      <c r="C95" s="100"/>
      <c r="D95" s="101"/>
      <c r="E95" s="101"/>
      <c r="F95" s="101"/>
      <c r="G95" s="101"/>
      <c r="I95" s="104"/>
      <c r="T95" s="104"/>
      <c r="U95" s="100"/>
      <c r="V95" s="112"/>
      <c r="AA95" s="11"/>
    </row>
    <row r="96" spans="1:27">
      <c r="A96" s="99"/>
      <c r="B96" s="100"/>
      <c r="C96" s="100"/>
      <c r="D96" s="101"/>
      <c r="E96" s="101"/>
      <c r="F96" s="101"/>
      <c r="G96" s="101"/>
      <c r="I96" s="104"/>
      <c r="T96" s="104"/>
      <c r="U96" s="100"/>
      <c r="V96" s="112"/>
      <c r="AA96" s="11"/>
    </row>
    <row r="97" spans="1:27">
      <c r="A97" s="99"/>
      <c r="B97" s="100"/>
      <c r="C97" s="100"/>
      <c r="D97" s="101"/>
      <c r="E97" s="101"/>
      <c r="F97" s="101"/>
      <c r="G97" s="101"/>
      <c r="I97" s="104"/>
      <c r="T97" s="104"/>
      <c r="U97" s="100"/>
      <c r="V97" s="112"/>
      <c r="AA97" s="11"/>
    </row>
    <row r="98" spans="1:27">
      <c r="A98" s="99"/>
      <c r="B98" s="100"/>
      <c r="C98" s="100"/>
      <c r="D98" s="101"/>
      <c r="E98" s="101"/>
      <c r="F98" s="101"/>
      <c r="G98" s="101"/>
      <c r="I98" s="104"/>
      <c r="T98" s="104"/>
      <c r="U98" s="100"/>
      <c r="V98" s="112"/>
      <c r="AA98" s="11"/>
    </row>
    <row r="99" spans="1:27">
      <c r="A99" s="99"/>
      <c r="B99" s="100"/>
      <c r="C99" s="100"/>
      <c r="D99" s="101"/>
      <c r="E99" s="101"/>
      <c r="F99" s="101"/>
      <c r="G99" s="101"/>
      <c r="I99" s="104"/>
      <c r="T99" s="104"/>
      <c r="U99" s="100"/>
      <c r="V99" s="112"/>
      <c r="AA99" s="11"/>
    </row>
    <row r="100" spans="1:27">
      <c r="A100" s="99"/>
      <c r="B100" s="100"/>
      <c r="C100" s="100"/>
      <c r="D100" s="101"/>
      <c r="E100" s="101"/>
      <c r="F100" s="101"/>
      <c r="G100" s="101"/>
      <c r="I100" s="104"/>
      <c r="T100" s="104"/>
      <c r="U100" s="100"/>
      <c r="V100" s="112"/>
      <c r="AA100" s="11"/>
    </row>
    <row r="101" spans="1:27">
      <c r="A101" s="99"/>
      <c r="B101" s="100"/>
      <c r="C101" s="100"/>
      <c r="D101" s="101"/>
      <c r="E101" s="101"/>
      <c r="F101" s="101"/>
      <c r="G101" s="101"/>
      <c r="I101" s="104"/>
      <c r="T101" s="104"/>
      <c r="U101" s="100"/>
      <c r="V101" s="112"/>
      <c r="AA101" s="11"/>
    </row>
    <row r="102" spans="1:27">
      <c r="A102" s="99"/>
      <c r="B102" s="100"/>
      <c r="C102" s="100"/>
      <c r="D102" s="101"/>
      <c r="E102" s="101"/>
      <c r="F102" s="101"/>
      <c r="G102" s="101"/>
      <c r="I102" s="104"/>
      <c r="T102" s="104"/>
      <c r="U102" s="100"/>
      <c r="V102" s="112"/>
      <c r="AA102" s="11"/>
    </row>
    <row r="103" spans="1:27">
      <c r="A103" s="99"/>
      <c r="B103" s="100"/>
      <c r="C103" s="100"/>
      <c r="D103" s="101"/>
      <c r="E103" s="101"/>
      <c r="F103" s="101"/>
      <c r="G103" s="101"/>
      <c r="I103" s="104"/>
      <c r="T103" s="104"/>
      <c r="U103" s="100"/>
      <c r="V103" s="112"/>
      <c r="AA103" s="11"/>
    </row>
    <row r="104" spans="1:27">
      <c r="A104" s="99"/>
      <c r="B104" s="100"/>
      <c r="C104" s="100"/>
      <c r="D104" s="101"/>
      <c r="E104" s="101"/>
      <c r="F104" s="101"/>
      <c r="G104" s="101"/>
      <c r="I104" s="104"/>
      <c r="T104" s="104"/>
      <c r="U104" s="100"/>
      <c r="V104" s="112"/>
      <c r="AA104" s="11"/>
    </row>
    <row r="105" spans="1:27">
      <c r="A105" s="99"/>
      <c r="B105" s="100"/>
      <c r="C105" s="100"/>
      <c r="D105" s="101"/>
      <c r="E105" s="101"/>
      <c r="F105" s="101"/>
      <c r="G105" s="101"/>
      <c r="I105" s="104"/>
      <c r="T105" s="104"/>
      <c r="U105" s="100"/>
      <c r="V105" s="112"/>
      <c r="AA105" s="11"/>
    </row>
    <row r="106" spans="1:27">
      <c r="A106" s="99"/>
      <c r="B106" s="100"/>
      <c r="C106" s="100"/>
      <c r="D106" s="101"/>
      <c r="E106" s="101"/>
      <c r="F106" s="101"/>
      <c r="G106" s="101"/>
      <c r="I106" s="104"/>
      <c r="T106" s="104"/>
      <c r="U106" s="100"/>
      <c r="V106" s="112"/>
      <c r="AA106" s="11"/>
    </row>
    <row r="107" spans="1:27">
      <c r="A107" s="99"/>
      <c r="B107" s="100"/>
      <c r="C107" s="100"/>
      <c r="D107" s="101"/>
      <c r="E107" s="101"/>
      <c r="F107" s="101"/>
      <c r="G107" s="101"/>
      <c r="I107" s="104"/>
      <c r="T107" s="104"/>
      <c r="U107" s="100"/>
      <c r="V107" s="112"/>
      <c r="AA107" s="11"/>
    </row>
    <row r="108" spans="1:27">
      <c r="A108" s="99"/>
      <c r="B108" s="100"/>
      <c r="C108" s="100"/>
      <c r="D108" s="101"/>
      <c r="E108" s="101"/>
      <c r="F108" s="101"/>
      <c r="G108" s="101"/>
      <c r="I108" s="104"/>
      <c r="T108" s="104"/>
      <c r="U108" s="100"/>
      <c r="V108" s="112"/>
      <c r="AA108" s="11"/>
    </row>
    <row r="109" spans="1:27">
      <c r="A109" s="99"/>
      <c r="B109" s="100"/>
      <c r="C109" s="100"/>
      <c r="D109" s="101"/>
      <c r="E109" s="101"/>
      <c r="F109" s="101"/>
      <c r="G109" s="101"/>
      <c r="I109" s="104"/>
      <c r="T109" s="104"/>
      <c r="U109" s="100"/>
      <c r="V109" s="112"/>
      <c r="AA109" s="11"/>
    </row>
    <row r="110" spans="1:27">
      <c r="A110" s="99"/>
      <c r="B110" s="100"/>
      <c r="C110" s="100"/>
      <c r="D110" s="101"/>
      <c r="E110" s="101"/>
      <c r="F110" s="101"/>
      <c r="G110" s="101"/>
      <c r="I110" s="104"/>
      <c r="T110" s="104"/>
      <c r="U110" s="100"/>
      <c r="V110" s="112"/>
      <c r="AA110" s="11"/>
    </row>
    <row r="111" spans="1:27">
      <c r="A111" s="99"/>
      <c r="B111" s="100"/>
      <c r="C111" s="100"/>
      <c r="D111" s="101"/>
      <c r="E111" s="101"/>
      <c r="F111" s="101"/>
      <c r="G111" s="101"/>
      <c r="I111" s="104"/>
      <c r="T111" s="104"/>
      <c r="U111" s="100"/>
      <c r="V111" s="112"/>
      <c r="AA111" s="11"/>
    </row>
    <row r="112" spans="1:27">
      <c r="A112" s="99"/>
      <c r="B112" s="100"/>
      <c r="C112" s="100"/>
      <c r="D112" s="101"/>
      <c r="E112" s="101"/>
      <c r="F112" s="101"/>
      <c r="G112" s="101"/>
      <c r="I112" s="104"/>
      <c r="T112" s="104"/>
      <c r="U112" s="100"/>
      <c r="V112" s="112"/>
      <c r="AA112" s="11"/>
    </row>
    <row r="113" spans="1:27">
      <c r="A113" s="99"/>
      <c r="B113" s="100"/>
      <c r="C113" s="100"/>
      <c r="D113" s="101"/>
      <c r="E113" s="101"/>
      <c r="F113" s="101"/>
      <c r="G113" s="101"/>
      <c r="I113" s="104"/>
      <c r="T113" s="104"/>
      <c r="U113" s="100"/>
      <c r="V113" s="112"/>
      <c r="AA113" s="11"/>
    </row>
    <row r="114" spans="1:27">
      <c r="A114" s="99"/>
      <c r="B114" s="100"/>
      <c r="C114" s="100"/>
      <c r="D114" s="101"/>
      <c r="E114" s="101"/>
      <c r="F114" s="101"/>
      <c r="G114" s="101"/>
      <c r="I114" s="104"/>
      <c r="T114" s="104"/>
      <c r="U114" s="100"/>
      <c r="V114" s="112"/>
      <c r="AA114" s="11"/>
    </row>
    <row r="115" spans="1:27">
      <c r="A115" s="99"/>
      <c r="B115" s="100"/>
      <c r="C115" s="100"/>
      <c r="D115" s="101"/>
      <c r="E115" s="101"/>
      <c r="F115" s="101"/>
      <c r="G115" s="101"/>
      <c r="I115" s="104"/>
      <c r="T115" s="104"/>
      <c r="U115" s="100"/>
      <c r="V115" s="112"/>
      <c r="AA115" s="11"/>
    </row>
    <row r="116" spans="1:27">
      <c r="A116" s="99"/>
      <c r="B116" s="100"/>
      <c r="C116" s="100"/>
      <c r="D116" s="101"/>
      <c r="E116" s="101"/>
      <c r="F116" s="101"/>
      <c r="G116" s="101"/>
      <c r="I116" s="104"/>
      <c r="T116" s="104"/>
      <c r="U116" s="100"/>
      <c r="V116" s="112"/>
      <c r="AA116" s="11"/>
    </row>
    <row r="117" spans="1:27">
      <c r="A117" s="99"/>
      <c r="B117" s="100"/>
      <c r="C117" s="100"/>
      <c r="D117" s="101"/>
      <c r="E117" s="101"/>
      <c r="F117" s="101"/>
      <c r="G117" s="101"/>
      <c r="I117" s="104"/>
      <c r="T117" s="104"/>
      <c r="U117" s="100"/>
      <c r="V117" s="112"/>
      <c r="AA117" s="11"/>
    </row>
    <row r="118" spans="1:27">
      <c r="A118" s="99"/>
      <c r="B118" s="100"/>
      <c r="C118" s="100"/>
      <c r="D118" s="101"/>
      <c r="E118" s="101"/>
      <c r="F118" s="101"/>
      <c r="G118" s="101"/>
      <c r="I118" s="104"/>
      <c r="T118" s="104"/>
      <c r="U118" s="100"/>
      <c r="V118" s="112"/>
      <c r="AA118" s="11"/>
    </row>
    <row r="119" spans="1:27">
      <c r="A119" s="99"/>
      <c r="B119" s="100"/>
      <c r="C119" s="100"/>
      <c r="D119" s="101"/>
      <c r="E119" s="101"/>
      <c r="F119" s="101"/>
      <c r="G119" s="101"/>
      <c r="I119" s="104"/>
      <c r="T119" s="104"/>
      <c r="U119" s="100"/>
      <c r="V119" s="112"/>
      <c r="AA119" s="11"/>
    </row>
    <row r="120" spans="1:27">
      <c r="A120" s="99"/>
      <c r="B120" s="100"/>
      <c r="C120" s="100"/>
      <c r="D120" s="101"/>
      <c r="E120" s="101"/>
      <c r="F120" s="101"/>
      <c r="G120" s="101"/>
      <c r="I120" s="104"/>
      <c r="T120" s="104"/>
      <c r="U120" s="100"/>
      <c r="V120" s="112"/>
      <c r="AA120" s="11"/>
    </row>
    <row r="121" spans="1:27">
      <c r="A121" s="99"/>
      <c r="B121" s="100"/>
      <c r="C121" s="100"/>
      <c r="D121" s="101"/>
      <c r="E121" s="101"/>
      <c r="F121" s="101"/>
      <c r="G121" s="101"/>
      <c r="I121" s="104"/>
      <c r="T121" s="104"/>
      <c r="U121" s="100"/>
      <c r="V121" s="112"/>
      <c r="AA121" s="11"/>
    </row>
    <row r="122" spans="1:27">
      <c r="A122" s="99"/>
      <c r="B122" s="100"/>
      <c r="C122" s="100"/>
      <c r="D122" s="101"/>
      <c r="E122" s="101"/>
      <c r="F122" s="101"/>
      <c r="G122" s="101"/>
      <c r="I122" s="104"/>
      <c r="T122" s="104"/>
      <c r="U122" s="100"/>
      <c r="V122" s="112"/>
      <c r="AA122" s="11"/>
    </row>
    <row r="123" spans="1:27">
      <c r="A123" s="99"/>
      <c r="B123" s="100"/>
      <c r="C123" s="100"/>
      <c r="D123" s="101"/>
      <c r="E123" s="101"/>
      <c r="F123" s="101"/>
      <c r="G123" s="101"/>
      <c r="I123" s="104"/>
      <c r="T123" s="104"/>
      <c r="U123" s="100"/>
      <c r="V123" s="112"/>
      <c r="AA123" s="11"/>
    </row>
    <row r="124" spans="1:27">
      <c r="A124" s="99"/>
      <c r="B124" s="100"/>
      <c r="C124" s="100"/>
      <c r="D124" s="101"/>
      <c r="E124" s="101"/>
      <c r="F124" s="101"/>
      <c r="G124" s="101"/>
      <c r="I124" s="104"/>
      <c r="T124" s="104"/>
      <c r="U124" s="100"/>
      <c r="V124" s="112"/>
      <c r="AA124" s="11"/>
    </row>
    <row r="125" spans="1:27">
      <c r="A125" s="99"/>
      <c r="B125" s="100"/>
      <c r="C125" s="100"/>
      <c r="D125" s="101"/>
      <c r="E125" s="101"/>
      <c r="F125" s="101"/>
      <c r="G125" s="101"/>
      <c r="I125" s="104"/>
      <c r="T125" s="104"/>
      <c r="U125" s="100"/>
      <c r="V125" s="112"/>
      <c r="AA125" s="11"/>
    </row>
    <row r="126" spans="1:27">
      <c r="A126" s="99"/>
      <c r="B126" s="100"/>
      <c r="C126" s="100"/>
      <c r="D126" s="101"/>
      <c r="E126" s="101"/>
      <c r="F126" s="101"/>
      <c r="G126" s="101"/>
      <c r="I126" s="104"/>
      <c r="T126" s="104"/>
      <c r="U126" s="100"/>
      <c r="V126" s="112"/>
      <c r="AA126" s="11"/>
    </row>
    <row r="127" spans="1:27">
      <c r="A127" s="99"/>
      <c r="B127" s="100"/>
      <c r="C127" s="100"/>
      <c r="D127" s="101"/>
      <c r="E127" s="101"/>
      <c r="F127" s="101"/>
      <c r="G127" s="101"/>
      <c r="I127" s="104"/>
      <c r="T127" s="104"/>
      <c r="U127" s="100"/>
      <c r="V127" s="112"/>
      <c r="AA127" s="11"/>
    </row>
    <row r="128" spans="1:27">
      <c r="A128" s="99"/>
      <c r="B128" s="100"/>
      <c r="C128" s="100"/>
      <c r="D128" s="101"/>
      <c r="E128" s="101"/>
      <c r="F128" s="101"/>
      <c r="G128" s="101"/>
      <c r="I128" s="104"/>
      <c r="T128" s="104"/>
      <c r="U128" s="100"/>
      <c r="V128" s="112"/>
      <c r="AA128" s="11"/>
    </row>
    <row r="129" spans="1:27">
      <c r="A129" s="99"/>
      <c r="B129" s="100"/>
      <c r="C129" s="100"/>
      <c r="D129" s="101"/>
      <c r="E129" s="101"/>
      <c r="F129" s="101"/>
      <c r="G129" s="101"/>
      <c r="I129" s="104"/>
      <c r="T129" s="104"/>
      <c r="U129" s="100"/>
      <c r="V129" s="112"/>
      <c r="AA129" s="11"/>
    </row>
    <row r="130" spans="1:27">
      <c r="A130" s="99"/>
      <c r="B130" s="100"/>
      <c r="C130" s="100"/>
      <c r="D130" s="101"/>
      <c r="E130" s="101"/>
      <c r="F130" s="101"/>
      <c r="G130" s="101"/>
      <c r="I130" s="104"/>
      <c r="T130" s="104"/>
      <c r="U130" s="100"/>
      <c r="V130" s="112"/>
      <c r="AA130" s="11"/>
    </row>
    <row r="131" spans="1:27">
      <c r="A131" s="99"/>
      <c r="B131" s="100"/>
      <c r="C131" s="100"/>
      <c r="D131" s="101"/>
      <c r="E131" s="101"/>
      <c r="F131" s="101"/>
      <c r="G131" s="101"/>
      <c r="I131" s="104"/>
      <c r="T131" s="104"/>
      <c r="U131" s="100"/>
      <c r="V131" s="112"/>
      <c r="AA131" s="11"/>
    </row>
    <row r="132" spans="1:27">
      <c r="A132" s="99"/>
      <c r="B132" s="100"/>
      <c r="C132" s="100"/>
      <c r="D132" s="101"/>
      <c r="E132" s="101"/>
      <c r="F132" s="101"/>
      <c r="G132" s="101"/>
      <c r="I132" s="104"/>
      <c r="T132" s="104"/>
      <c r="U132" s="100"/>
      <c r="V132" s="112"/>
      <c r="AA132" s="11"/>
    </row>
    <row r="133" spans="1:27">
      <c r="A133" s="99"/>
      <c r="B133" s="100"/>
      <c r="C133" s="100"/>
      <c r="D133" s="101"/>
      <c r="E133" s="101"/>
      <c r="F133" s="101"/>
      <c r="G133" s="101"/>
      <c r="I133" s="104"/>
      <c r="T133" s="104"/>
      <c r="U133" s="100"/>
      <c r="V133" s="112"/>
      <c r="AA133" s="11"/>
    </row>
    <row r="134" spans="1:27">
      <c r="A134" s="99"/>
      <c r="B134" s="100"/>
      <c r="C134" s="100"/>
      <c r="D134" s="101"/>
      <c r="E134" s="101"/>
      <c r="F134" s="101"/>
      <c r="G134" s="101"/>
      <c r="I134" s="104"/>
      <c r="T134" s="104"/>
      <c r="U134" s="100"/>
      <c r="V134" s="112"/>
      <c r="AA134" s="11"/>
    </row>
    <row r="135" spans="1:27">
      <c r="A135" s="99"/>
      <c r="B135" s="100"/>
      <c r="C135" s="100"/>
      <c r="D135" s="101"/>
      <c r="E135" s="101"/>
      <c r="F135" s="101"/>
      <c r="G135" s="101"/>
      <c r="I135" s="104"/>
      <c r="T135" s="104"/>
      <c r="U135" s="100"/>
      <c r="V135" s="112"/>
      <c r="AA135" s="11"/>
    </row>
    <row r="136" spans="1:27">
      <c r="A136" s="99"/>
      <c r="B136" s="100"/>
      <c r="C136" s="100"/>
      <c r="D136" s="101"/>
      <c r="E136" s="101"/>
      <c r="F136" s="101"/>
      <c r="G136" s="101"/>
      <c r="I136" s="104"/>
      <c r="T136" s="104"/>
      <c r="U136" s="100"/>
      <c r="V136" s="112"/>
      <c r="AA136" s="11"/>
    </row>
    <row r="137" spans="1:27">
      <c r="A137" s="99"/>
      <c r="B137" s="100"/>
      <c r="C137" s="100"/>
      <c r="D137" s="101"/>
      <c r="E137" s="101"/>
      <c r="F137" s="101"/>
      <c r="G137" s="101"/>
      <c r="I137" s="104"/>
      <c r="T137" s="104"/>
      <c r="U137" s="100"/>
      <c r="V137" s="112"/>
      <c r="AA137" s="11"/>
    </row>
    <row r="138" spans="1:27">
      <c r="A138" s="99"/>
      <c r="B138" s="100"/>
      <c r="C138" s="100"/>
      <c r="D138" s="101"/>
      <c r="E138" s="101"/>
      <c r="F138" s="101"/>
      <c r="G138" s="101"/>
      <c r="I138" s="104"/>
      <c r="T138" s="104"/>
      <c r="U138" s="100"/>
      <c r="V138" s="112"/>
      <c r="AA138" s="11"/>
    </row>
    <row r="139" spans="1:27">
      <c r="A139" s="99"/>
      <c r="B139" s="100"/>
      <c r="C139" s="100"/>
      <c r="D139" s="101"/>
      <c r="E139" s="101"/>
      <c r="F139" s="101"/>
      <c r="G139" s="101"/>
      <c r="I139" s="104"/>
      <c r="T139" s="104"/>
      <c r="U139" s="100"/>
      <c r="V139" s="112"/>
      <c r="AA139" s="11"/>
    </row>
    <row r="140" spans="1:27">
      <c r="A140" s="99"/>
      <c r="B140" s="100"/>
      <c r="C140" s="100"/>
      <c r="D140" s="101"/>
      <c r="E140" s="101"/>
      <c r="F140" s="101"/>
      <c r="G140" s="101"/>
      <c r="I140" s="104"/>
      <c r="T140" s="104"/>
      <c r="U140" s="100"/>
      <c r="V140" s="112"/>
      <c r="AA140" s="11"/>
    </row>
    <row r="141" spans="1:27">
      <c r="A141" s="99"/>
      <c r="B141" s="100"/>
      <c r="C141" s="100"/>
      <c r="D141" s="101"/>
      <c r="E141" s="101"/>
      <c r="F141" s="101"/>
      <c r="G141" s="101"/>
      <c r="I141" s="104"/>
      <c r="T141" s="104"/>
      <c r="U141" s="100"/>
      <c r="V141" s="112"/>
      <c r="AA141" s="11"/>
    </row>
    <row r="142" spans="1:27">
      <c r="A142" s="99"/>
      <c r="B142" s="100"/>
      <c r="C142" s="100"/>
      <c r="D142" s="101"/>
      <c r="E142" s="101"/>
      <c r="F142" s="101"/>
      <c r="G142" s="101"/>
      <c r="I142" s="104"/>
      <c r="T142" s="104"/>
      <c r="U142" s="100"/>
      <c r="V142" s="112"/>
      <c r="AA142" s="11"/>
    </row>
    <row r="143" spans="1:27">
      <c r="A143" s="99"/>
      <c r="B143" s="100"/>
      <c r="C143" s="100"/>
      <c r="D143" s="101"/>
      <c r="E143" s="101"/>
      <c r="F143" s="101"/>
      <c r="G143" s="101"/>
      <c r="I143" s="104"/>
      <c r="T143" s="104"/>
      <c r="U143" s="100"/>
      <c r="V143" s="112"/>
      <c r="AA143" s="11"/>
    </row>
    <row r="144" spans="1:27">
      <c r="A144" s="99"/>
      <c r="B144" s="100"/>
      <c r="C144" s="100"/>
      <c r="D144" s="101"/>
      <c r="E144" s="101"/>
      <c r="F144" s="101"/>
      <c r="G144" s="101"/>
      <c r="I144" s="104"/>
      <c r="T144" s="104"/>
      <c r="U144" s="100"/>
      <c r="V144" s="112"/>
      <c r="AA144" s="11"/>
    </row>
    <row r="145" spans="1:27">
      <c r="A145" s="99"/>
      <c r="B145" s="100"/>
      <c r="C145" s="100"/>
      <c r="D145" s="101"/>
      <c r="E145" s="101"/>
      <c r="F145" s="101"/>
      <c r="G145" s="101"/>
      <c r="I145" s="104"/>
      <c r="T145" s="104"/>
      <c r="U145" s="100"/>
      <c r="V145" s="112"/>
      <c r="AA145" s="11"/>
    </row>
    <row r="146" spans="1:27">
      <c r="A146" s="99"/>
      <c r="B146" s="100"/>
      <c r="C146" s="100"/>
      <c r="D146" s="101"/>
      <c r="E146" s="101"/>
      <c r="F146" s="101"/>
      <c r="G146" s="101"/>
      <c r="I146" s="104"/>
      <c r="T146" s="104"/>
      <c r="U146" s="100"/>
      <c r="V146" s="112"/>
      <c r="AA146" s="11"/>
    </row>
    <row r="147" spans="1:27">
      <c r="A147" s="99"/>
      <c r="B147" s="100"/>
      <c r="C147" s="100"/>
      <c r="D147" s="101"/>
      <c r="E147" s="101"/>
      <c r="F147" s="101"/>
      <c r="G147" s="101"/>
      <c r="I147" s="104"/>
      <c r="T147" s="104"/>
      <c r="U147" s="100"/>
      <c r="V147" s="112"/>
      <c r="AA147" s="11"/>
    </row>
    <row r="148" spans="1:27">
      <c r="A148" s="99"/>
      <c r="B148" s="100"/>
      <c r="C148" s="100"/>
      <c r="D148" s="101"/>
      <c r="E148" s="101"/>
      <c r="F148" s="101"/>
      <c r="G148" s="101"/>
      <c r="I148" s="104"/>
      <c r="T148" s="104"/>
      <c r="U148" s="100"/>
      <c r="V148" s="112"/>
      <c r="AA148" s="11"/>
    </row>
    <row r="149" spans="1:27">
      <c r="A149" s="99"/>
      <c r="B149" s="100"/>
      <c r="C149" s="100"/>
      <c r="D149" s="101"/>
      <c r="E149" s="101"/>
      <c r="F149" s="101"/>
      <c r="G149" s="101"/>
      <c r="I149" s="104"/>
      <c r="T149" s="104"/>
      <c r="U149" s="100"/>
      <c r="V149" s="112"/>
      <c r="AA149" s="11"/>
    </row>
    <row r="150" spans="1:27">
      <c r="A150" s="99"/>
      <c r="B150" s="100"/>
      <c r="C150" s="100"/>
      <c r="D150" s="101"/>
      <c r="E150" s="101"/>
      <c r="F150" s="101"/>
      <c r="G150" s="101"/>
      <c r="I150" s="104"/>
      <c r="T150" s="104"/>
      <c r="U150" s="100"/>
      <c r="V150" s="112"/>
      <c r="AA150" s="11"/>
    </row>
    <row r="151" spans="1:27">
      <c r="A151" s="99"/>
      <c r="B151" s="100"/>
      <c r="C151" s="100"/>
      <c r="D151" s="101"/>
      <c r="E151" s="101"/>
      <c r="F151" s="101"/>
      <c r="G151" s="101"/>
      <c r="I151" s="104"/>
      <c r="T151" s="104"/>
      <c r="U151" s="100"/>
      <c r="V151" s="112"/>
      <c r="AA151" s="11"/>
    </row>
    <row r="152" spans="1:27">
      <c r="A152" s="99"/>
      <c r="B152" s="100"/>
      <c r="C152" s="100"/>
      <c r="D152" s="101"/>
      <c r="E152" s="101"/>
      <c r="F152" s="101"/>
      <c r="G152" s="101"/>
      <c r="I152" s="104"/>
      <c r="T152" s="104"/>
      <c r="U152" s="100"/>
      <c r="V152" s="112"/>
      <c r="AA152" s="11"/>
    </row>
    <row r="153" spans="1:27">
      <c r="A153" s="99"/>
      <c r="B153" s="100"/>
      <c r="C153" s="100"/>
      <c r="D153" s="101"/>
      <c r="E153" s="101"/>
      <c r="F153" s="101"/>
      <c r="G153" s="101"/>
      <c r="I153" s="104"/>
      <c r="T153" s="104"/>
      <c r="U153" s="100"/>
      <c r="V153" s="112"/>
      <c r="AA153" s="11"/>
    </row>
    <row r="154" spans="1:27">
      <c r="A154" s="99"/>
      <c r="B154" s="100"/>
      <c r="C154" s="100"/>
      <c r="D154" s="101"/>
      <c r="E154" s="101"/>
      <c r="F154" s="101"/>
      <c r="G154" s="101"/>
      <c r="I154" s="104"/>
      <c r="T154" s="104"/>
      <c r="U154" s="100"/>
      <c r="V154" s="112"/>
      <c r="AA154" s="11"/>
    </row>
    <row r="155" spans="1:27">
      <c r="A155" s="99"/>
      <c r="B155" s="100"/>
      <c r="C155" s="100"/>
      <c r="D155" s="101"/>
      <c r="E155" s="101"/>
      <c r="F155" s="101"/>
      <c r="G155" s="101"/>
      <c r="I155" s="104"/>
      <c r="T155" s="104"/>
      <c r="U155" s="100"/>
      <c r="V155" s="112"/>
      <c r="AA155" s="11"/>
    </row>
    <row r="156" spans="1:27">
      <c r="A156" s="99"/>
      <c r="B156" s="100"/>
      <c r="C156" s="100"/>
      <c r="D156" s="101"/>
      <c r="E156" s="101"/>
      <c r="F156" s="101"/>
      <c r="G156" s="101"/>
      <c r="I156" s="104"/>
      <c r="T156" s="104"/>
      <c r="U156" s="100"/>
      <c r="V156" s="112"/>
      <c r="AA156" s="11"/>
    </row>
    <row r="157" spans="1:27">
      <c r="A157" s="99"/>
      <c r="B157" s="100"/>
      <c r="C157" s="100"/>
      <c r="D157" s="101"/>
      <c r="E157" s="101"/>
      <c r="F157" s="101"/>
      <c r="G157" s="101"/>
      <c r="I157" s="104"/>
      <c r="T157" s="104"/>
      <c r="U157" s="100"/>
      <c r="V157" s="112"/>
      <c r="AA157" s="11"/>
    </row>
    <row r="158" spans="1:27">
      <c r="A158" s="99"/>
      <c r="B158" s="100"/>
      <c r="C158" s="100"/>
      <c r="D158" s="101"/>
      <c r="E158" s="101"/>
      <c r="F158" s="101"/>
      <c r="G158" s="101"/>
      <c r="I158" s="104"/>
      <c r="T158" s="104"/>
      <c r="U158" s="100"/>
      <c r="V158" s="112"/>
      <c r="AA158" s="11"/>
    </row>
    <row r="159" spans="1:27">
      <c r="A159" s="99"/>
      <c r="B159" s="100"/>
      <c r="C159" s="100"/>
      <c r="D159" s="101"/>
      <c r="E159" s="101"/>
      <c r="F159" s="101"/>
      <c r="G159" s="101"/>
      <c r="I159" s="104"/>
      <c r="T159" s="104"/>
      <c r="U159" s="100"/>
      <c r="V159" s="112"/>
      <c r="AA159" s="11"/>
    </row>
    <row r="160" spans="1:27">
      <c r="A160" s="99"/>
      <c r="B160" s="100"/>
      <c r="C160" s="100"/>
      <c r="D160" s="101"/>
      <c r="E160" s="101"/>
      <c r="F160" s="101"/>
      <c r="G160" s="101"/>
      <c r="I160" s="104"/>
      <c r="T160" s="104"/>
      <c r="U160" s="100"/>
      <c r="V160" s="112"/>
      <c r="AA160" s="11"/>
    </row>
    <row r="161" spans="1:27">
      <c r="A161" s="99"/>
      <c r="B161" s="100"/>
      <c r="C161" s="100"/>
      <c r="D161" s="101"/>
      <c r="E161" s="101"/>
      <c r="F161" s="101"/>
      <c r="G161" s="101"/>
      <c r="I161" s="104"/>
      <c r="T161" s="104"/>
      <c r="U161" s="100"/>
      <c r="V161" s="112"/>
      <c r="AA161" s="11"/>
    </row>
    <row r="162" spans="1:27">
      <c r="A162" s="99"/>
      <c r="B162" s="100"/>
      <c r="C162" s="100"/>
      <c r="D162" s="101"/>
      <c r="E162" s="101"/>
      <c r="F162" s="101"/>
      <c r="G162" s="101"/>
      <c r="I162" s="104"/>
      <c r="T162" s="104"/>
      <c r="U162" s="100"/>
      <c r="V162" s="112"/>
      <c r="AA162" s="11"/>
    </row>
    <row r="163" spans="1:27">
      <c r="A163" s="99"/>
      <c r="B163" s="100"/>
      <c r="C163" s="100"/>
      <c r="D163" s="101"/>
      <c r="E163" s="101"/>
      <c r="F163" s="101"/>
      <c r="G163" s="101"/>
      <c r="I163" s="104"/>
      <c r="T163" s="104"/>
      <c r="U163" s="100"/>
      <c r="V163" s="112"/>
      <c r="AA163" s="11"/>
    </row>
    <row r="164" spans="1:27">
      <c r="A164" s="99"/>
      <c r="B164" s="100"/>
      <c r="C164" s="100"/>
      <c r="D164" s="101"/>
      <c r="E164" s="101"/>
      <c r="F164" s="101"/>
      <c r="G164" s="101"/>
      <c r="I164" s="104"/>
      <c r="T164" s="104"/>
      <c r="U164" s="100"/>
      <c r="V164" s="112"/>
      <c r="AA164" s="11"/>
    </row>
    <row r="165" spans="1:27">
      <c r="A165" s="99"/>
      <c r="B165" s="100"/>
      <c r="C165" s="100"/>
      <c r="D165" s="101"/>
      <c r="E165" s="101"/>
      <c r="F165" s="101"/>
      <c r="G165" s="101"/>
      <c r="I165" s="104"/>
      <c r="T165" s="104"/>
      <c r="U165" s="100"/>
      <c r="V165" s="112"/>
      <c r="AA165" s="11"/>
    </row>
    <row r="166" spans="1:27">
      <c r="A166" s="99"/>
      <c r="B166" s="100"/>
      <c r="C166" s="100"/>
      <c r="D166" s="101"/>
      <c r="E166" s="101"/>
      <c r="F166" s="101"/>
      <c r="G166" s="101"/>
      <c r="I166" s="104"/>
      <c r="T166" s="104"/>
      <c r="U166" s="100"/>
      <c r="V166" s="112"/>
      <c r="AA166" s="11"/>
    </row>
    <row r="167" spans="1:27">
      <c r="A167" s="99"/>
      <c r="B167" s="100"/>
      <c r="C167" s="100"/>
      <c r="D167" s="101"/>
      <c r="E167" s="101"/>
      <c r="F167" s="101"/>
      <c r="G167" s="101"/>
      <c r="I167" s="104"/>
      <c r="T167" s="104"/>
      <c r="U167" s="100"/>
      <c r="V167" s="112"/>
      <c r="AA167" s="11"/>
    </row>
    <row r="168" spans="1:27">
      <c r="A168" s="99"/>
      <c r="B168" s="100"/>
      <c r="C168" s="100"/>
      <c r="D168" s="101"/>
      <c r="E168" s="101"/>
      <c r="F168" s="101"/>
      <c r="G168" s="101"/>
      <c r="I168" s="104"/>
      <c r="T168" s="104"/>
      <c r="U168" s="100"/>
      <c r="V168" s="112"/>
      <c r="AA168" s="11"/>
    </row>
    <row r="169" spans="1:27">
      <c r="A169" s="99"/>
      <c r="B169" s="100"/>
      <c r="C169" s="100"/>
      <c r="D169" s="101"/>
      <c r="E169" s="101"/>
      <c r="F169" s="101"/>
      <c r="G169" s="101"/>
      <c r="I169" s="104"/>
      <c r="T169" s="104"/>
      <c r="U169" s="100"/>
      <c r="V169" s="112"/>
      <c r="AA169" s="11"/>
    </row>
    <row r="170" spans="1:27">
      <c r="A170" s="99"/>
      <c r="B170" s="100"/>
      <c r="C170" s="100"/>
      <c r="D170" s="101"/>
      <c r="E170" s="101"/>
      <c r="F170" s="101"/>
      <c r="G170" s="101"/>
      <c r="I170" s="104"/>
      <c r="T170" s="104"/>
      <c r="U170" s="100"/>
      <c r="V170" s="112"/>
      <c r="AA170" s="11"/>
    </row>
    <row r="171" spans="1:27">
      <c r="A171" s="99"/>
      <c r="B171" s="100"/>
      <c r="C171" s="100"/>
      <c r="D171" s="101"/>
      <c r="E171" s="101"/>
      <c r="F171" s="101"/>
      <c r="G171" s="101"/>
      <c r="I171" s="104"/>
      <c r="T171" s="104"/>
      <c r="U171" s="100"/>
      <c r="V171" s="112"/>
      <c r="AA171" s="11"/>
    </row>
    <row r="172" spans="1:27">
      <c r="A172" s="99"/>
      <c r="B172" s="100"/>
      <c r="C172" s="100"/>
      <c r="D172" s="101"/>
      <c r="E172" s="101"/>
      <c r="F172" s="101"/>
      <c r="G172" s="101"/>
      <c r="I172" s="104"/>
      <c r="T172" s="104"/>
      <c r="U172" s="100"/>
      <c r="V172" s="112"/>
      <c r="AA172" s="11"/>
    </row>
    <row r="173" spans="1:27">
      <c r="A173" s="99"/>
      <c r="B173" s="100"/>
      <c r="C173" s="100"/>
      <c r="D173" s="101"/>
      <c r="E173" s="101"/>
      <c r="F173" s="101"/>
      <c r="G173" s="101"/>
      <c r="I173" s="104"/>
      <c r="T173" s="104"/>
      <c r="U173" s="100"/>
      <c r="V173" s="112"/>
      <c r="AA173" s="11"/>
    </row>
    <row r="174" spans="1:27">
      <c r="A174" s="99"/>
      <c r="B174" s="100"/>
      <c r="C174" s="100"/>
      <c r="D174" s="101"/>
      <c r="E174" s="101"/>
      <c r="F174" s="101"/>
      <c r="G174" s="101"/>
      <c r="I174" s="104"/>
      <c r="T174" s="104"/>
      <c r="U174" s="100"/>
      <c r="V174" s="112"/>
      <c r="AA174" s="11"/>
    </row>
    <row r="175" spans="1:27">
      <c r="A175" s="99"/>
      <c r="B175" s="100"/>
      <c r="C175" s="100"/>
      <c r="D175" s="101"/>
      <c r="E175" s="101"/>
      <c r="F175" s="101"/>
      <c r="G175" s="101"/>
      <c r="I175" s="104"/>
      <c r="T175" s="104"/>
      <c r="U175" s="100"/>
      <c r="V175" s="112"/>
      <c r="AA175" s="11"/>
    </row>
    <row r="176" spans="1:27">
      <c r="A176" s="99"/>
      <c r="B176" s="100"/>
      <c r="C176" s="100"/>
      <c r="D176" s="101"/>
      <c r="E176" s="101"/>
      <c r="F176" s="101"/>
      <c r="G176" s="101"/>
      <c r="I176" s="104"/>
      <c r="T176" s="104"/>
      <c r="U176" s="100"/>
      <c r="V176" s="112"/>
      <c r="AA176" s="11"/>
    </row>
    <row r="177" spans="1:27">
      <c r="A177" s="99"/>
      <c r="B177" s="100"/>
      <c r="C177" s="100"/>
      <c r="D177" s="101"/>
      <c r="E177" s="101"/>
      <c r="F177" s="101"/>
      <c r="G177" s="101"/>
      <c r="I177" s="104"/>
      <c r="T177" s="104"/>
      <c r="U177" s="100"/>
      <c r="V177" s="112"/>
      <c r="AA177" s="11"/>
    </row>
    <row r="178" spans="1:27">
      <c r="A178" s="99"/>
      <c r="B178" s="100"/>
      <c r="C178" s="100"/>
      <c r="D178" s="101"/>
      <c r="E178" s="101"/>
      <c r="F178" s="101"/>
      <c r="G178" s="101"/>
      <c r="I178" s="104"/>
      <c r="T178" s="104"/>
      <c r="U178" s="100"/>
      <c r="V178" s="112"/>
      <c r="AA178" s="11"/>
    </row>
    <row r="179" spans="1:27">
      <c r="A179" s="99"/>
      <c r="B179" s="100"/>
      <c r="C179" s="100"/>
      <c r="D179" s="101"/>
      <c r="E179" s="101"/>
      <c r="F179" s="101"/>
      <c r="G179" s="101"/>
      <c r="I179" s="104"/>
      <c r="T179" s="104"/>
      <c r="U179" s="100"/>
      <c r="V179" s="112"/>
      <c r="AA179" s="11"/>
    </row>
    <row r="180" spans="1:27">
      <c r="A180" s="99"/>
      <c r="B180" s="100"/>
      <c r="C180" s="100"/>
      <c r="D180" s="101"/>
      <c r="E180" s="101"/>
      <c r="F180" s="101"/>
      <c r="G180" s="101"/>
      <c r="I180" s="104"/>
      <c r="T180" s="104"/>
      <c r="U180" s="100"/>
      <c r="V180" s="112"/>
      <c r="AA180" s="11"/>
    </row>
    <row r="181" spans="1:27">
      <c r="A181" s="99"/>
      <c r="B181" s="100"/>
      <c r="C181" s="100"/>
      <c r="D181" s="101"/>
      <c r="E181" s="101"/>
      <c r="F181" s="101"/>
      <c r="G181" s="101"/>
      <c r="I181" s="104"/>
      <c r="T181" s="104"/>
      <c r="U181" s="100"/>
      <c r="V181" s="112"/>
      <c r="AA181" s="11"/>
    </row>
    <row r="182" spans="1:27">
      <c r="A182" s="99"/>
      <c r="B182" s="100"/>
      <c r="C182" s="100"/>
      <c r="D182" s="101"/>
      <c r="E182" s="101"/>
      <c r="F182" s="101"/>
      <c r="G182" s="101"/>
      <c r="I182" s="104"/>
      <c r="T182" s="104"/>
      <c r="U182" s="100"/>
      <c r="V182" s="112"/>
      <c r="AA182" s="11"/>
    </row>
    <row r="183" spans="1:27">
      <c r="A183" s="99"/>
      <c r="B183" s="100"/>
      <c r="C183" s="100"/>
      <c r="D183" s="101"/>
      <c r="E183" s="101"/>
      <c r="F183" s="101"/>
      <c r="G183" s="101"/>
      <c r="I183" s="104"/>
      <c r="T183" s="104"/>
      <c r="U183" s="100"/>
      <c r="V183" s="112"/>
      <c r="AA183" s="11"/>
    </row>
    <row r="184" spans="1:27">
      <c r="A184" s="99"/>
      <c r="B184" s="100"/>
      <c r="C184" s="100"/>
      <c r="D184" s="101"/>
      <c r="E184" s="101"/>
      <c r="F184" s="101"/>
      <c r="G184" s="101"/>
      <c r="I184" s="104"/>
      <c r="T184" s="104"/>
      <c r="U184" s="100"/>
      <c r="V184" s="112"/>
      <c r="AA184" s="11"/>
    </row>
    <row r="185" spans="1:27">
      <c r="A185" s="99"/>
      <c r="B185" s="100"/>
      <c r="C185" s="100"/>
      <c r="D185" s="101"/>
      <c r="E185" s="101"/>
      <c r="F185" s="101"/>
      <c r="G185" s="101"/>
      <c r="I185" s="104"/>
      <c r="T185" s="104"/>
      <c r="U185" s="100"/>
      <c r="V185" s="112"/>
      <c r="AA185" s="11"/>
    </row>
    <row r="186" spans="1:27">
      <c r="A186" s="99"/>
      <c r="B186" s="100"/>
      <c r="C186" s="100"/>
      <c r="D186" s="101"/>
      <c r="E186" s="101"/>
      <c r="F186" s="101"/>
      <c r="G186" s="101"/>
      <c r="I186" s="104"/>
      <c r="T186" s="104"/>
      <c r="U186" s="100"/>
      <c r="V186" s="112"/>
      <c r="AA186" s="11"/>
    </row>
    <row r="187" spans="1:27">
      <c r="A187" s="99"/>
      <c r="B187" s="100"/>
      <c r="C187" s="100"/>
      <c r="D187" s="101"/>
      <c r="E187" s="101"/>
      <c r="F187" s="101"/>
      <c r="G187" s="101"/>
      <c r="I187" s="104"/>
      <c r="T187" s="104"/>
      <c r="U187" s="100"/>
      <c r="V187" s="112"/>
      <c r="AA187" s="11"/>
    </row>
    <row r="188" spans="1:27">
      <c r="A188" s="99"/>
      <c r="B188" s="100"/>
      <c r="C188" s="100"/>
      <c r="D188" s="101"/>
      <c r="E188" s="101"/>
      <c r="F188" s="101"/>
      <c r="G188" s="101"/>
      <c r="I188" s="104"/>
      <c r="T188" s="104"/>
      <c r="U188" s="100"/>
      <c r="V188" s="112"/>
      <c r="AA188" s="11"/>
    </row>
    <row r="189" spans="1:27">
      <c r="A189" s="99"/>
      <c r="B189" s="100"/>
      <c r="C189" s="100"/>
      <c r="D189" s="101"/>
      <c r="E189" s="101"/>
      <c r="F189" s="101"/>
      <c r="G189" s="101"/>
      <c r="I189" s="104"/>
      <c r="T189" s="104"/>
      <c r="U189" s="100"/>
      <c r="V189" s="112"/>
      <c r="AA189" s="11"/>
    </row>
    <row r="190" spans="1:27">
      <c r="A190" s="99"/>
      <c r="B190" s="100"/>
      <c r="C190" s="100"/>
      <c r="D190" s="101"/>
      <c r="E190" s="101"/>
      <c r="F190" s="101"/>
      <c r="G190" s="101"/>
      <c r="I190" s="104"/>
      <c r="T190" s="104"/>
      <c r="U190" s="100"/>
      <c r="V190" s="112"/>
      <c r="AA190" s="11"/>
    </row>
    <row r="191" spans="1:27">
      <c r="A191" s="99"/>
      <c r="B191" s="100"/>
      <c r="C191" s="100"/>
      <c r="D191" s="101"/>
      <c r="E191" s="101"/>
      <c r="F191" s="101"/>
      <c r="G191" s="101"/>
      <c r="I191" s="104"/>
      <c r="T191" s="104"/>
      <c r="U191" s="100"/>
      <c r="V191" s="112"/>
      <c r="AA191" s="11"/>
    </row>
    <row r="192" spans="1:27">
      <c r="A192" s="99"/>
      <c r="B192" s="100"/>
      <c r="C192" s="100"/>
      <c r="D192" s="101"/>
      <c r="E192" s="101"/>
      <c r="F192" s="101"/>
      <c r="G192" s="101"/>
      <c r="I192" s="104"/>
      <c r="T192" s="104"/>
      <c r="U192" s="100"/>
      <c r="V192" s="112"/>
      <c r="AA192" s="11"/>
    </row>
    <row r="193" spans="1:27">
      <c r="A193" s="99"/>
      <c r="B193" s="100"/>
      <c r="C193" s="100"/>
      <c r="D193" s="101"/>
      <c r="E193" s="101"/>
      <c r="F193" s="101"/>
      <c r="G193" s="101"/>
      <c r="I193" s="104"/>
      <c r="T193" s="104"/>
      <c r="U193" s="100"/>
      <c r="V193" s="112"/>
      <c r="AA193" s="11"/>
    </row>
    <row r="194" spans="1:27">
      <c r="A194" s="99"/>
      <c r="B194" s="100"/>
      <c r="C194" s="100"/>
      <c r="D194" s="101"/>
      <c r="E194" s="101"/>
      <c r="F194" s="101"/>
      <c r="G194" s="101"/>
      <c r="I194" s="104"/>
      <c r="T194" s="104"/>
      <c r="U194" s="100"/>
      <c r="V194" s="112"/>
      <c r="AA194" s="11"/>
    </row>
    <row r="195" spans="1:27">
      <c r="A195" s="99"/>
      <c r="B195" s="100"/>
      <c r="C195" s="100"/>
      <c r="D195" s="101"/>
      <c r="E195" s="101"/>
      <c r="F195" s="101"/>
      <c r="G195" s="101"/>
      <c r="I195" s="104"/>
      <c r="T195" s="104"/>
      <c r="U195" s="100"/>
      <c r="V195" s="112"/>
      <c r="AA195" s="11"/>
    </row>
    <row r="196" spans="1:27">
      <c r="A196" s="99"/>
      <c r="B196" s="100"/>
      <c r="C196" s="100"/>
      <c r="D196" s="101"/>
      <c r="E196" s="101"/>
      <c r="F196" s="101"/>
      <c r="G196" s="101"/>
      <c r="I196" s="104"/>
      <c r="T196" s="104"/>
      <c r="U196" s="100"/>
      <c r="V196" s="112"/>
      <c r="AA196" s="11"/>
    </row>
    <row r="197" spans="1:27">
      <c r="A197" s="99"/>
      <c r="B197" s="100"/>
      <c r="C197" s="100"/>
      <c r="D197" s="101"/>
      <c r="E197" s="101"/>
      <c r="F197" s="101"/>
      <c r="G197" s="101"/>
      <c r="I197" s="104"/>
      <c r="T197" s="104"/>
      <c r="U197" s="100"/>
      <c r="V197" s="112"/>
      <c r="AA197" s="11"/>
    </row>
    <row r="198" spans="1:27">
      <c r="A198" s="99"/>
      <c r="B198" s="100"/>
      <c r="C198" s="100"/>
      <c r="D198" s="101"/>
      <c r="E198" s="101"/>
      <c r="F198" s="101"/>
      <c r="G198" s="101"/>
      <c r="I198" s="104"/>
      <c r="T198" s="104"/>
      <c r="U198" s="100"/>
      <c r="V198" s="112"/>
      <c r="AA198" s="11"/>
    </row>
    <row r="199" spans="1:27">
      <c r="A199" s="99"/>
      <c r="B199" s="100"/>
      <c r="C199" s="100"/>
      <c r="D199" s="101"/>
      <c r="E199" s="101"/>
      <c r="F199" s="101"/>
      <c r="G199" s="101"/>
      <c r="I199" s="104"/>
      <c r="T199" s="104"/>
      <c r="U199" s="100"/>
      <c r="V199" s="112"/>
      <c r="AA199" s="11"/>
    </row>
    <row r="200" spans="1:27">
      <c r="A200" s="99"/>
      <c r="B200" s="100"/>
      <c r="C200" s="100"/>
      <c r="D200" s="101"/>
      <c r="E200" s="101"/>
      <c r="F200" s="101"/>
      <c r="G200" s="101"/>
      <c r="I200" s="104"/>
      <c r="T200" s="104"/>
      <c r="U200" s="100"/>
      <c r="V200" s="112"/>
      <c r="AA200" s="11"/>
    </row>
    <row r="201" spans="1:27">
      <c r="A201" s="99"/>
      <c r="B201" s="100"/>
      <c r="C201" s="100"/>
      <c r="D201" s="101"/>
      <c r="E201" s="101"/>
      <c r="F201" s="101"/>
      <c r="G201" s="101"/>
      <c r="I201" s="104"/>
      <c r="T201" s="104"/>
      <c r="U201" s="100"/>
      <c r="V201" s="112"/>
      <c r="AA201" s="11"/>
    </row>
    <row r="202" spans="1:27">
      <c r="A202" s="99"/>
      <c r="B202" s="100"/>
      <c r="C202" s="100"/>
      <c r="D202" s="101"/>
      <c r="E202" s="101"/>
      <c r="F202" s="101"/>
      <c r="G202" s="101"/>
      <c r="I202" s="104"/>
      <c r="T202" s="104"/>
      <c r="U202" s="100"/>
      <c r="V202" s="112"/>
      <c r="AA202" s="11"/>
    </row>
    <row r="203" spans="1:27">
      <c r="A203" s="99"/>
      <c r="B203" s="100"/>
      <c r="C203" s="100"/>
      <c r="D203" s="101"/>
      <c r="E203" s="101"/>
      <c r="F203" s="101"/>
      <c r="G203" s="101"/>
      <c r="I203" s="104"/>
      <c r="T203" s="104"/>
      <c r="U203" s="100"/>
      <c r="V203" s="112"/>
      <c r="AA203" s="11"/>
    </row>
    <row r="204" spans="1:27">
      <c r="A204" s="99"/>
      <c r="B204" s="100"/>
      <c r="C204" s="100"/>
      <c r="D204" s="101"/>
      <c r="E204" s="101"/>
      <c r="F204" s="101"/>
      <c r="G204" s="101"/>
      <c r="I204" s="104"/>
      <c r="T204" s="104"/>
      <c r="U204" s="100"/>
      <c r="V204" s="112"/>
      <c r="AA204" s="11"/>
    </row>
    <row r="205" spans="1:27">
      <c r="A205" s="99"/>
      <c r="B205" s="100"/>
      <c r="C205" s="100"/>
      <c r="D205" s="101"/>
      <c r="E205" s="101"/>
      <c r="F205" s="101"/>
      <c r="G205" s="101"/>
      <c r="I205" s="104"/>
      <c r="T205" s="104"/>
      <c r="U205" s="100"/>
      <c r="V205" s="112"/>
      <c r="AA205" s="11"/>
    </row>
    <row r="206" spans="1:27">
      <c r="A206" s="99"/>
      <c r="B206" s="100"/>
      <c r="C206" s="100"/>
      <c r="D206" s="101"/>
      <c r="E206" s="101"/>
      <c r="F206" s="101"/>
      <c r="G206" s="101"/>
      <c r="I206" s="104"/>
      <c r="T206" s="104"/>
      <c r="U206" s="100"/>
      <c r="V206" s="112"/>
      <c r="AA206" s="11"/>
    </row>
    <row r="207" spans="1:27">
      <c r="A207" s="99"/>
      <c r="B207" s="100"/>
      <c r="C207" s="100"/>
      <c r="D207" s="101"/>
      <c r="E207" s="101"/>
      <c r="F207" s="101"/>
      <c r="G207" s="101"/>
      <c r="I207" s="104"/>
      <c r="T207" s="104"/>
      <c r="U207" s="100"/>
      <c r="V207" s="112"/>
      <c r="AA207" s="11"/>
    </row>
    <row r="208" spans="1:27">
      <c r="A208" s="99"/>
      <c r="B208" s="100"/>
      <c r="C208" s="100"/>
      <c r="D208" s="101"/>
      <c r="E208" s="101"/>
      <c r="F208" s="101"/>
      <c r="G208" s="101"/>
      <c r="I208" s="104"/>
      <c r="T208" s="104"/>
      <c r="U208" s="100"/>
      <c r="V208" s="112"/>
      <c r="AA208" s="11"/>
    </row>
    <row r="209" spans="1:27">
      <c r="A209" s="99"/>
      <c r="B209" s="100"/>
      <c r="C209" s="100"/>
      <c r="D209" s="101"/>
      <c r="E209" s="101"/>
      <c r="F209" s="101"/>
      <c r="G209" s="101"/>
      <c r="I209" s="104"/>
      <c r="T209" s="104"/>
      <c r="U209" s="100"/>
      <c r="V209" s="112"/>
      <c r="AA209" s="11"/>
    </row>
    <row r="210" spans="1:27">
      <c r="A210" s="99"/>
      <c r="B210" s="100"/>
      <c r="C210" s="100"/>
      <c r="D210" s="101"/>
      <c r="E210" s="101"/>
      <c r="F210" s="101"/>
      <c r="G210" s="101"/>
      <c r="I210" s="104"/>
      <c r="T210" s="104"/>
      <c r="U210" s="100"/>
      <c r="V210" s="112"/>
      <c r="AA210" s="11"/>
    </row>
    <row r="211" spans="1:27">
      <c r="A211" s="99"/>
      <c r="B211" s="100"/>
      <c r="C211" s="100"/>
      <c r="D211" s="101"/>
      <c r="E211" s="101"/>
      <c r="F211" s="101"/>
      <c r="G211" s="101"/>
      <c r="I211" s="104"/>
      <c r="T211" s="104"/>
      <c r="U211" s="100"/>
      <c r="V211" s="112"/>
      <c r="AA211" s="11"/>
    </row>
    <row r="212" spans="1:27">
      <c r="A212" s="99"/>
      <c r="B212" s="100"/>
      <c r="C212" s="100"/>
      <c r="D212" s="101"/>
      <c r="E212" s="101"/>
      <c r="F212" s="101"/>
      <c r="G212" s="101"/>
      <c r="I212" s="104"/>
      <c r="T212" s="104"/>
      <c r="U212" s="100"/>
      <c r="V212" s="112"/>
      <c r="AA212" s="11"/>
    </row>
    <row r="213" spans="1:27">
      <c r="A213" s="99"/>
      <c r="B213" s="100"/>
      <c r="C213" s="100"/>
      <c r="D213" s="101"/>
      <c r="E213" s="101"/>
      <c r="F213" s="101"/>
      <c r="G213" s="101"/>
      <c r="I213" s="104"/>
      <c r="T213" s="104"/>
      <c r="U213" s="100"/>
      <c r="V213" s="112"/>
      <c r="AA213" s="11"/>
    </row>
    <row r="214" spans="1:27">
      <c r="A214" s="99"/>
      <c r="B214" s="100"/>
      <c r="C214" s="100"/>
      <c r="D214" s="101"/>
      <c r="E214" s="101"/>
      <c r="F214" s="101"/>
      <c r="G214" s="101"/>
      <c r="I214" s="104"/>
      <c r="T214" s="104"/>
      <c r="U214" s="100"/>
      <c r="V214" s="112"/>
      <c r="AA214" s="11"/>
    </row>
    <row r="215" spans="1:27">
      <c r="A215" s="99"/>
      <c r="B215" s="100"/>
      <c r="C215" s="100"/>
      <c r="D215" s="101"/>
      <c r="E215" s="101"/>
      <c r="F215" s="101"/>
      <c r="G215" s="101"/>
      <c r="I215" s="104"/>
      <c r="T215" s="104"/>
      <c r="U215" s="100"/>
      <c r="V215" s="112"/>
      <c r="AA215" s="11"/>
    </row>
    <row r="216" spans="1:27">
      <c r="A216" s="99"/>
      <c r="B216" s="100"/>
      <c r="C216" s="100"/>
      <c r="D216" s="101"/>
      <c r="E216" s="101"/>
      <c r="F216" s="101"/>
      <c r="G216" s="101"/>
      <c r="I216" s="104"/>
      <c r="T216" s="104"/>
      <c r="U216" s="100"/>
      <c r="V216" s="112"/>
      <c r="AA216" s="11"/>
    </row>
    <row r="217" spans="1:27">
      <c r="A217" s="99"/>
      <c r="B217" s="100"/>
      <c r="C217" s="100"/>
      <c r="D217" s="101"/>
      <c r="E217" s="101"/>
      <c r="F217" s="101"/>
      <c r="G217" s="101"/>
      <c r="I217" s="104"/>
      <c r="T217" s="104"/>
      <c r="U217" s="100"/>
      <c r="V217" s="112"/>
      <c r="AA217" s="11"/>
    </row>
    <row r="218" spans="1:27">
      <c r="A218" s="99"/>
      <c r="B218" s="100"/>
      <c r="C218" s="100"/>
      <c r="D218" s="101"/>
      <c r="E218" s="101"/>
      <c r="F218" s="101"/>
      <c r="G218" s="101"/>
      <c r="I218" s="104"/>
      <c r="T218" s="104"/>
      <c r="U218" s="100"/>
      <c r="V218" s="112"/>
      <c r="AA218" s="11"/>
    </row>
    <row r="219" spans="1:27">
      <c r="A219" s="99"/>
      <c r="B219" s="100"/>
      <c r="C219" s="100"/>
      <c r="D219" s="101"/>
      <c r="E219" s="101"/>
      <c r="F219" s="101"/>
      <c r="G219" s="101"/>
      <c r="I219" s="104"/>
      <c r="T219" s="104"/>
      <c r="U219" s="100"/>
      <c r="V219" s="112"/>
      <c r="AA219" s="11"/>
    </row>
    <row r="220" spans="1:27">
      <c r="A220" s="99"/>
      <c r="B220" s="100"/>
      <c r="C220" s="100"/>
      <c r="D220" s="101"/>
      <c r="E220" s="101"/>
      <c r="F220" s="101"/>
      <c r="G220" s="101"/>
      <c r="I220" s="104"/>
      <c r="T220" s="104"/>
      <c r="U220" s="100"/>
      <c r="V220" s="112"/>
      <c r="AA220" s="11"/>
    </row>
    <row r="221" spans="1:27">
      <c r="A221" s="99"/>
      <c r="B221" s="100"/>
      <c r="C221" s="100"/>
      <c r="D221" s="101"/>
      <c r="E221" s="101"/>
      <c r="F221" s="101"/>
      <c r="G221" s="101"/>
      <c r="I221" s="104"/>
      <c r="T221" s="104"/>
      <c r="U221" s="100"/>
      <c r="V221" s="112"/>
      <c r="AA221" s="11"/>
    </row>
    <row r="222" spans="1:27">
      <c r="A222" s="99"/>
      <c r="B222" s="100"/>
      <c r="C222" s="100"/>
      <c r="D222" s="101"/>
      <c r="E222" s="101"/>
      <c r="F222" s="101"/>
      <c r="G222" s="101"/>
      <c r="I222" s="104"/>
      <c r="T222" s="104"/>
      <c r="U222" s="100"/>
      <c r="V222" s="112"/>
      <c r="AA222" s="11"/>
    </row>
    <row r="223" spans="1:27">
      <c r="A223" s="99"/>
      <c r="B223" s="100"/>
      <c r="C223" s="100"/>
      <c r="D223" s="101"/>
      <c r="E223" s="101"/>
      <c r="F223" s="101"/>
      <c r="G223" s="101"/>
      <c r="I223" s="104"/>
      <c r="T223" s="104"/>
      <c r="U223" s="100"/>
      <c r="V223" s="112"/>
      <c r="AA223" s="11"/>
    </row>
    <row r="224" spans="1:27">
      <c r="A224" s="99"/>
      <c r="B224" s="100"/>
      <c r="C224" s="100"/>
      <c r="D224" s="101"/>
      <c r="E224" s="101"/>
      <c r="F224" s="101"/>
      <c r="G224" s="101"/>
      <c r="I224" s="104"/>
      <c r="T224" s="104"/>
      <c r="U224" s="100"/>
      <c r="V224" s="112"/>
      <c r="AA224" s="11"/>
    </row>
    <row r="225" spans="1:27">
      <c r="A225" s="99"/>
      <c r="B225" s="100"/>
      <c r="C225" s="100"/>
      <c r="D225" s="101"/>
      <c r="E225" s="101"/>
      <c r="F225" s="101"/>
      <c r="G225" s="101"/>
      <c r="I225" s="104"/>
      <c r="T225" s="104"/>
      <c r="U225" s="100"/>
      <c r="V225" s="112"/>
      <c r="AA225" s="11"/>
    </row>
    <row r="226" spans="1:27">
      <c r="A226" s="99"/>
      <c r="B226" s="100"/>
      <c r="C226" s="100"/>
      <c r="D226" s="101"/>
      <c r="E226" s="101"/>
      <c r="F226" s="101"/>
      <c r="G226" s="101"/>
      <c r="I226" s="104"/>
      <c r="T226" s="104"/>
      <c r="U226" s="100"/>
      <c r="V226" s="112"/>
      <c r="AA226" s="11"/>
    </row>
    <row r="227" spans="1:27">
      <c r="A227" s="99"/>
      <c r="B227" s="100"/>
      <c r="C227" s="100"/>
      <c r="D227" s="101"/>
      <c r="E227" s="101"/>
      <c r="F227" s="101"/>
      <c r="G227" s="101"/>
      <c r="I227" s="104"/>
      <c r="T227" s="104"/>
      <c r="U227" s="100"/>
      <c r="V227" s="112"/>
      <c r="AA227" s="11"/>
    </row>
    <row r="228" spans="1:27">
      <c r="A228" s="99"/>
      <c r="B228" s="100"/>
      <c r="C228" s="100"/>
      <c r="D228" s="101"/>
      <c r="E228" s="101"/>
      <c r="F228" s="101"/>
      <c r="G228" s="101"/>
      <c r="I228" s="104"/>
      <c r="T228" s="104"/>
      <c r="U228" s="100"/>
      <c r="V228" s="112"/>
      <c r="AA228" s="11"/>
    </row>
    <row r="229" spans="1:27">
      <c r="A229" s="99"/>
      <c r="B229" s="100"/>
      <c r="C229" s="100"/>
      <c r="D229" s="101"/>
      <c r="E229" s="101"/>
      <c r="F229" s="101"/>
      <c r="G229" s="101"/>
      <c r="I229" s="104"/>
      <c r="T229" s="104"/>
      <c r="U229" s="100"/>
      <c r="V229" s="112"/>
      <c r="AA229" s="11"/>
    </row>
    <row r="230" spans="1:27">
      <c r="A230" s="99"/>
      <c r="B230" s="100"/>
      <c r="C230" s="100"/>
      <c r="D230" s="101"/>
      <c r="E230" s="101"/>
      <c r="F230" s="101"/>
      <c r="G230" s="101"/>
      <c r="I230" s="104"/>
      <c r="T230" s="104"/>
      <c r="U230" s="100"/>
      <c r="V230" s="112"/>
      <c r="AA230" s="11"/>
    </row>
    <row r="231" spans="1:27">
      <c r="A231" s="99"/>
      <c r="B231" s="100"/>
      <c r="C231" s="100"/>
      <c r="D231" s="101"/>
      <c r="E231" s="101"/>
      <c r="F231" s="101"/>
      <c r="G231" s="101"/>
      <c r="I231" s="104"/>
      <c r="T231" s="104"/>
      <c r="U231" s="100"/>
      <c r="V231" s="112"/>
      <c r="AA231" s="11"/>
    </row>
    <row r="232" spans="1:27">
      <c r="A232" s="99"/>
      <c r="B232" s="100"/>
      <c r="C232" s="100"/>
      <c r="D232" s="101"/>
      <c r="E232" s="101"/>
      <c r="F232" s="101"/>
      <c r="G232" s="101"/>
      <c r="I232" s="104"/>
      <c r="T232" s="104"/>
      <c r="U232" s="100"/>
      <c r="V232" s="112"/>
      <c r="AA232" s="11"/>
    </row>
    <row r="233" spans="1:27">
      <c r="A233" s="99"/>
      <c r="B233" s="100"/>
      <c r="C233" s="100"/>
      <c r="D233" s="101"/>
      <c r="E233" s="101"/>
      <c r="F233" s="101"/>
      <c r="G233" s="101"/>
      <c r="I233" s="104"/>
      <c r="T233" s="104"/>
      <c r="U233" s="100"/>
      <c r="V233" s="112"/>
      <c r="AA233" s="11"/>
    </row>
    <row r="234" spans="1:27">
      <c r="A234" s="99"/>
      <c r="B234" s="100"/>
      <c r="C234" s="100"/>
      <c r="D234" s="101"/>
      <c r="E234" s="101"/>
      <c r="F234" s="101"/>
      <c r="G234" s="101"/>
      <c r="I234" s="104"/>
      <c r="T234" s="104"/>
      <c r="U234" s="100"/>
      <c r="V234" s="112"/>
      <c r="AA234" s="11"/>
    </row>
    <row r="235" spans="1:27">
      <c r="A235" s="99"/>
      <c r="B235" s="100"/>
      <c r="C235" s="100"/>
      <c r="D235" s="101"/>
      <c r="E235" s="101"/>
      <c r="F235" s="101"/>
      <c r="G235" s="101"/>
      <c r="I235" s="104"/>
      <c r="T235" s="104"/>
      <c r="U235" s="100"/>
      <c r="V235" s="112"/>
      <c r="AA235" s="11"/>
    </row>
    <row r="236" spans="1:27">
      <c r="A236" s="99"/>
      <c r="B236" s="100"/>
      <c r="C236" s="100"/>
      <c r="D236" s="101"/>
      <c r="E236" s="101"/>
      <c r="F236" s="101"/>
      <c r="G236" s="101"/>
      <c r="I236" s="104"/>
      <c r="T236" s="104"/>
      <c r="U236" s="100"/>
      <c r="V236" s="112"/>
      <c r="AA236" s="11"/>
    </row>
    <row r="237" spans="1:27">
      <c r="A237" s="99"/>
      <c r="B237" s="100"/>
      <c r="C237" s="100"/>
      <c r="D237" s="101"/>
      <c r="E237" s="101"/>
      <c r="F237" s="101"/>
      <c r="G237" s="101"/>
      <c r="I237" s="104"/>
      <c r="T237" s="104"/>
      <c r="U237" s="100"/>
      <c r="V237" s="112"/>
      <c r="AA237" s="11"/>
    </row>
    <row r="238" spans="1:27">
      <c r="A238" s="99"/>
      <c r="B238" s="100"/>
      <c r="C238" s="100"/>
      <c r="D238" s="101"/>
      <c r="E238" s="101"/>
      <c r="F238" s="101"/>
      <c r="G238" s="101"/>
      <c r="I238" s="104"/>
      <c r="T238" s="104"/>
      <c r="U238" s="100"/>
      <c r="V238" s="112"/>
      <c r="AA238" s="11"/>
    </row>
    <row r="239" spans="1:27">
      <c r="A239" s="99"/>
      <c r="B239" s="100"/>
      <c r="C239" s="100"/>
      <c r="D239" s="101"/>
      <c r="E239" s="101"/>
      <c r="F239" s="101"/>
      <c r="G239" s="101"/>
      <c r="I239" s="104"/>
      <c r="T239" s="104"/>
      <c r="U239" s="100"/>
      <c r="V239" s="112"/>
      <c r="AA239" s="11"/>
    </row>
    <row r="240" spans="1:27">
      <c r="A240" s="99"/>
      <c r="B240" s="100"/>
      <c r="C240" s="100"/>
      <c r="D240" s="101"/>
      <c r="E240" s="101"/>
      <c r="F240" s="101"/>
      <c r="G240" s="101"/>
      <c r="I240" s="104"/>
      <c r="T240" s="104"/>
      <c r="U240" s="100"/>
      <c r="V240" s="112"/>
      <c r="AA240" s="11"/>
    </row>
    <row r="241" spans="1:27">
      <c r="A241" s="99"/>
      <c r="B241" s="100"/>
      <c r="C241" s="100"/>
      <c r="D241" s="101"/>
      <c r="E241" s="101"/>
      <c r="F241" s="101"/>
      <c r="G241" s="101"/>
      <c r="I241" s="104"/>
      <c r="T241" s="104"/>
      <c r="U241" s="100"/>
      <c r="V241" s="112"/>
      <c r="AA241" s="11"/>
    </row>
    <row r="242" spans="1:27">
      <c r="A242" s="99"/>
      <c r="B242" s="100"/>
      <c r="C242" s="100"/>
      <c r="D242" s="101"/>
      <c r="E242" s="101"/>
      <c r="F242" s="101"/>
      <c r="G242" s="101"/>
      <c r="I242" s="104"/>
      <c r="T242" s="104"/>
      <c r="U242" s="100"/>
      <c r="V242" s="112"/>
      <c r="AA242" s="11"/>
    </row>
    <row r="243" spans="1:27">
      <c r="A243" s="99"/>
      <c r="B243" s="100"/>
      <c r="C243" s="100"/>
      <c r="D243" s="101"/>
      <c r="E243" s="101"/>
      <c r="F243" s="101"/>
      <c r="G243" s="101"/>
      <c r="I243" s="104"/>
      <c r="T243" s="104"/>
      <c r="U243" s="100"/>
      <c r="V243" s="112"/>
      <c r="AA243" s="11"/>
    </row>
    <row r="244" spans="1:27">
      <c r="A244" s="99"/>
      <c r="B244" s="100"/>
      <c r="C244" s="100"/>
      <c r="D244" s="101"/>
      <c r="E244" s="101"/>
      <c r="F244" s="101"/>
      <c r="G244" s="101"/>
      <c r="I244" s="104"/>
      <c r="T244" s="104"/>
      <c r="U244" s="100"/>
      <c r="V244" s="112"/>
      <c r="AA244" s="11"/>
    </row>
    <row r="245" spans="1:27">
      <c r="A245" s="99"/>
      <c r="B245" s="100"/>
      <c r="C245" s="100"/>
      <c r="D245" s="101"/>
      <c r="E245" s="101"/>
      <c r="F245" s="101"/>
      <c r="G245" s="101"/>
      <c r="I245" s="104"/>
      <c r="T245" s="104"/>
      <c r="U245" s="100"/>
      <c r="V245" s="112"/>
      <c r="AA245" s="11"/>
    </row>
    <row r="246" spans="1:27">
      <c r="A246" s="99"/>
      <c r="B246" s="100"/>
      <c r="C246" s="100"/>
      <c r="D246" s="101"/>
      <c r="E246" s="101"/>
      <c r="F246" s="101"/>
      <c r="G246" s="101"/>
      <c r="I246" s="104"/>
      <c r="T246" s="104"/>
      <c r="U246" s="100"/>
      <c r="V246" s="112"/>
      <c r="AA246" s="11"/>
    </row>
    <row r="247" spans="1:27">
      <c r="A247" s="99"/>
      <c r="B247" s="100"/>
      <c r="C247" s="100"/>
      <c r="D247" s="101"/>
      <c r="E247" s="101"/>
      <c r="F247" s="101"/>
      <c r="G247" s="101"/>
      <c r="I247" s="104"/>
      <c r="T247" s="104"/>
      <c r="U247" s="100"/>
      <c r="V247" s="112"/>
      <c r="AA247" s="11"/>
    </row>
    <row r="248" spans="1:27">
      <c r="A248" s="99"/>
      <c r="B248" s="100"/>
      <c r="C248" s="100"/>
      <c r="D248" s="101"/>
      <c r="E248" s="101"/>
      <c r="F248" s="101"/>
      <c r="G248" s="101"/>
      <c r="I248" s="104"/>
      <c r="T248" s="104"/>
      <c r="U248" s="100"/>
      <c r="V248" s="112"/>
      <c r="AA248" s="11"/>
    </row>
    <row r="249" spans="1:27">
      <c r="A249" s="99"/>
      <c r="B249" s="100"/>
      <c r="C249" s="100"/>
      <c r="D249" s="101"/>
      <c r="E249" s="101"/>
      <c r="F249" s="101"/>
      <c r="G249" s="101"/>
      <c r="I249" s="104"/>
      <c r="T249" s="104"/>
      <c r="U249" s="100"/>
      <c r="V249" s="112"/>
      <c r="AA249" s="11"/>
    </row>
    <row r="250" spans="1:27">
      <c r="A250" s="99"/>
      <c r="B250" s="100"/>
      <c r="C250" s="100"/>
      <c r="D250" s="101"/>
      <c r="E250" s="101"/>
      <c r="F250" s="101"/>
      <c r="G250" s="101"/>
      <c r="I250" s="104"/>
      <c r="T250" s="104"/>
      <c r="U250" s="100"/>
      <c r="V250" s="112"/>
      <c r="AA250" s="11"/>
    </row>
    <row r="251" spans="1:27">
      <c r="A251" s="99"/>
      <c r="B251" s="100"/>
      <c r="C251" s="100"/>
      <c r="D251" s="101"/>
      <c r="E251" s="101"/>
      <c r="F251" s="101"/>
      <c r="G251" s="101"/>
      <c r="I251" s="104"/>
      <c r="T251" s="104"/>
      <c r="U251" s="100"/>
      <c r="V251" s="112"/>
      <c r="AA251" s="11"/>
    </row>
    <row r="252" spans="1:27">
      <c r="A252" s="99"/>
      <c r="B252" s="100"/>
      <c r="C252" s="100"/>
      <c r="D252" s="101"/>
      <c r="E252" s="101"/>
      <c r="F252" s="101"/>
      <c r="G252" s="101"/>
      <c r="I252" s="104"/>
      <c r="T252" s="104"/>
      <c r="U252" s="100"/>
      <c r="V252" s="112"/>
      <c r="AA252" s="11"/>
    </row>
    <row r="253" spans="1:27">
      <c r="A253" s="99"/>
      <c r="B253" s="100"/>
      <c r="C253" s="100"/>
      <c r="D253" s="101"/>
      <c r="E253" s="101"/>
      <c r="F253" s="101"/>
      <c r="G253" s="101"/>
      <c r="I253" s="104"/>
      <c r="T253" s="104"/>
      <c r="U253" s="100"/>
      <c r="V253" s="112"/>
      <c r="AA253" s="11"/>
    </row>
    <row r="254" spans="1:27">
      <c r="A254" s="99"/>
      <c r="B254" s="100"/>
      <c r="C254" s="100"/>
      <c r="D254" s="101"/>
      <c r="E254" s="101"/>
      <c r="F254" s="101"/>
      <c r="G254" s="101"/>
      <c r="I254" s="104"/>
      <c r="T254" s="104"/>
      <c r="U254" s="100"/>
      <c r="V254" s="112"/>
      <c r="AA254" s="11"/>
    </row>
    <row r="255" spans="1:27">
      <c r="A255" s="99"/>
      <c r="B255" s="100"/>
      <c r="C255" s="100"/>
      <c r="D255" s="101"/>
      <c r="E255" s="101"/>
      <c r="F255" s="101"/>
      <c r="G255" s="101"/>
      <c r="I255" s="104"/>
      <c r="T255" s="104"/>
      <c r="U255" s="100"/>
      <c r="V255" s="112"/>
      <c r="AA255" s="11"/>
    </row>
    <row r="256" spans="1:27">
      <c r="A256" s="99"/>
      <c r="B256" s="100"/>
      <c r="C256" s="100"/>
      <c r="D256" s="101"/>
      <c r="E256" s="101"/>
      <c r="F256" s="101"/>
      <c r="G256" s="101"/>
      <c r="I256" s="104"/>
      <c r="T256" s="104"/>
      <c r="U256" s="100"/>
      <c r="V256" s="112"/>
      <c r="AA256" s="11"/>
    </row>
    <row r="257" spans="1:27">
      <c r="A257" s="99"/>
      <c r="B257" s="100"/>
      <c r="C257" s="100"/>
      <c r="D257" s="101"/>
      <c r="E257" s="101"/>
      <c r="F257" s="101"/>
      <c r="G257" s="101"/>
      <c r="I257" s="104"/>
      <c r="T257" s="104"/>
      <c r="U257" s="100"/>
      <c r="V257" s="112"/>
      <c r="AA257" s="11"/>
    </row>
    <row r="258" spans="1:27">
      <c r="A258" s="99"/>
      <c r="B258" s="100"/>
      <c r="C258" s="100"/>
      <c r="D258" s="101"/>
      <c r="E258" s="101"/>
      <c r="F258" s="101"/>
      <c r="G258" s="101"/>
      <c r="I258" s="104"/>
      <c r="T258" s="104"/>
      <c r="U258" s="100"/>
      <c r="V258" s="112"/>
      <c r="AA258" s="11"/>
    </row>
    <row r="259" spans="1:27">
      <c r="A259" s="99"/>
      <c r="B259" s="100"/>
      <c r="C259" s="100"/>
      <c r="D259" s="101"/>
      <c r="E259" s="101"/>
      <c r="F259" s="101"/>
      <c r="G259" s="101"/>
      <c r="I259" s="104"/>
      <c r="T259" s="104"/>
      <c r="U259" s="100"/>
      <c r="V259" s="112"/>
      <c r="AA259" s="11"/>
    </row>
    <row r="260" spans="1:27">
      <c r="A260" s="99"/>
      <c r="B260" s="100"/>
      <c r="C260" s="100"/>
      <c r="D260" s="101"/>
      <c r="E260" s="101"/>
      <c r="F260" s="101"/>
      <c r="G260" s="101"/>
      <c r="I260" s="104"/>
      <c r="T260" s="104"/>
      <c r="U260" s="100"/>
      <c r="V260" s="112"/>
      <c r="AA260" s="11"/>
    </row>
    <row r="261" spans="1:27">
      <c r="A261" s="99"/>
      <c r="B261" s="100"/>
      <c r="C261" s="100"/>
      <c r="D261" s="101"/>
      <c r="E261" s="101"/>
      <c r="F261" s="101"/>
      <c r="G261" s="101"/>
      <c r="I261" s="104"/>
      <c r="T261" s="104"/>
      <c r="U261" s="100"/>
      <c r="V261" s="112"/>
      <c r="AA261" s="11"/>
    </row>
    <row r="262" spans="1:27">
      <c r="A262" s="99"/>
      <c r="B262" s="100"/>
      <c r="C262" s="100"/>
      <c r="D262" s="101"/>
      <c r="E262" s="101"/>
      <c r="F262" s="101"/>
      <c r="G262" s="101"/>
      <c r="I262" s="104"/>
      <c r="T262" s="104"/>
      <c r="U262" s="100"/>
      <c r="V262" s="112"/>
      <c r="AA262" s="11"/>
    </row>
    <row r="263" spans="1:27">
      <c r="A263" s="99"/>
      <c r="B263" s="100"/>
      <c r="C263" s="100"/>
      <c r="D263" s="101"/>
      <c r="E263" s="101"/>
      <c r="F263" s="101"/>
      <c r="G263" s="101"/>
      <c r="I263" s="104"/>
      <c r="T263" s="104"/>
      <c r="U263" s="100"/>
      <c r="V263" s="112"/>
      <c r="AA263" s="11"/>
    </row>
    <row r="264" spans="1:27">
      <c r="A264" s="99"/>
      <c r="B264" s="100"/>
      <c r="C264" s="100"/>
      <c r="D264" s="101"/>
      <c r="E264" s="101"/>
      <c r="F264" s="101"/>
      <c r="G264" s="101"/>
      <c r="I264" s="104"/>
      <c r="T264" s="104"/>
      <c r="U264" s="100"/>
      <c r="V264" s="112"/>
      <c r="AA264" s="11"/>
    </row>
    <row r="265" spans="1:27">
      <c r="A265" s="99"/>
      <c r="B265" s="100"/>
      <c r="C265" s="100"/>
      <c r="D265" s="101"/>
      <c r="E265" s="101"/>
      <c r="F265" s="101"/>
      <c r="G265" s="101"/>
      <c r="I265" s="104"/>
      <c r="T265" s="104"/>
      <c r="U265" s="100"/>
      <c r="V265" s="112"/>
      <c r="AA265" s="11"/>
    </row>
    <row r="266" spans="1:27">
      <c r="A266" s="99"/>
      <c r="B266" s="100"/>
      <c r="C266" s="100"/>
      <c r="D266" s="101"/>
      <c r="E266" s="101"/>
      <c r="F266" s="101"/>
      <c r="G266" s="101"/>
      <c r="I266" s="104"/>
      <c r="T266" s="104"/>
      <c r="U266" s="100"/>
      <c r="V266" s="112"/>
      <c r="AA266" s="11"/>
    </row>
    <row r="267" spans="1:27">
      <c r="A267" s="99"/>
      <c r="B267" s="100"/>
      <c r="C267" s="100"/>
      <c r="D267" s="101"/>
      <c r="E267" s="101"/>
      <c r="F267" s="101"/>
      <c r="G267" s="101"/>
      <c r="I267" s="104"/>
      <c r="T267" s="104"/>
      <c r="U267" s="100"/>
      <c r="V267" s="112"/>
      <c r="AA267" s="11"/>
    </row>
    <row r="268" spans="1:27">
      <c r="A268" s="99"/>
      <c r="B268" s="100"/>
      <c r="C268" s="100"/>
      <c r="D268" s="101"/>
      <c r="E268" s="101"/>
      <c r="F268" s="101"/>
      <c r="G268" s="101"/>
      <c r="I268" s="104"/>
      <c r="T268" s="104"/>
      <c r="U268" s="100"/>
      <c r="V268" s="112"/>
      <c r="AA268" s="11"/>
    </row>
    <row r="269" spans="1:27">
      <c r="A269" s="99"/>
      <c r="B269" s="100"/>
      <c r="C269" s="100"/>
      <c r="D269" s="101"/>
      <c r="E269" s="101"/>
      <c r="F269" s="101"/>
      <c r="G269" s="101"/>
      <c r="I269" s="104"/>
      <c r="T269" s="104"/>
      <c r="U269" s="100"/>
      <c r="V269" s="112"/>
      <c r="AA269" s="11"/>
    </row>
    <row r="270" spans="1:27">
      <c r="A270" s="99"/>
      <c r="B270" s="100"/>
      <c r="C270" s="100"/>
      <c r="D270" s="101"/>
      <c r="E270" s="101"/>
      <c r="F270" s="101"/>
      <c r="G270" s="101"/>
      <c r="I270" s="104"/>
      <c r="T270" s="104"/>
      <c r="U270" s="100"/>
      <c r="V270" s="112"/>
      <c r="AA270" s="11"/>
    </row>
    <row r="271" spans="1:27">
      <c r="A271" s="99"/>
      <c r="B271" s="100"/>
      <c r="C271" s="100"/>
      <c r="D271" s="101"/>
      <c r="E271" s="101"/>
      <c r="F271" s="101"/>
      <c r="G271" s="101"/>
      <c r="I271" s="104"/>
      <c r="T271" s="104"/>
      <c r="U271" s="100"/>
      <c r="V271" s="112"/>
      <c r="AA271" s="11"/>
    </row>
    <row r="272" spans="1:27">
      <c r="A272" s="99"/>
      <c r="B272" s="100"/>
      <c r="C272" s="100"/>
      <c r="D272" s="101"/>
      <c r="E272" s="101"/>
      <c r="F272" s="101"/>
      <c r="G272" s="101"/>
      <c r="I272" s="104"/>
      <c r="T272" s="104"/>
      <c r="U272" s="100"/>
      <c r="V272" s="112"/>
      <c r="AA272" s="11"/>
    </row>
    <row r="273" spans="1:27">
      <c r="A273" s="99"/>
      <c r="B273" s="100"/>
      <c r="C273" s="100"/>
      <c r="D273" s="101"/>
      <c r="E273" s="101"/>
      <c r="F273" s="101"/>
      <c r="G273" s="101"/>
      <c r="I273" s="104"/>
      <c r="T273" s="104"/>
      <c r="U273" s="100"/>
      <c r="V273" s="112"/>
      <c r="AA273" s="11"/>
    </row>
    <row r="274" spans="1:27">
      <c r="A274" s="99"/>
      <c r="B274" s="100"/>
      <c r="C274" s="100"/>
      <c r="D274" s="101"/>
      <c r="E274" s="101"/>
      <c r="F274" s="101"/>
      <c r="G274" s="101"/>
      <c r="I274" s="104"/>
      <c r="T274" s="104"/>
      <c r="U274" s="100"/>
      <c r="V274" s="112"/>
      <c r="AA274" s="11"/>
    </row>
    <row r="275" spans="1:27">
      <c r="A275" s="99"/>
      <c r="B275" s="100"/>
      <c r="C275" s="100"/>
      <c r="D275" s="101"/>
      <c r="E275" s="101"/>
      <c r="F275" s="101"/>
      <c r="G275" s="101"/>
      <c r="I275" s="104"/>
      <c r="T275" s="104"/>
      <c r="U275" s="100"/>
      <c r="V275" s="112"/>
      <c r="AA275" s="11"/>
    </row>
    <row r="276" spans="1:27">
      <c r="A276" s="99"/>
      <c r="B276" s="100"/>
      <c r="C276" s="100"/>
      <c r="D276" s="101"/>
      <c r="E276" s="101"/>
      <c r="F276" s="101"/>
      <c r="G276" s="101"/>
      <c r="I276" s="104"/>
      <c r="T276" s="104"/>
      <c r="U276" s="100"/>
      <c r="V276" s="112"/>
      <c r="AA276" s="11"/>
    </row>
    <row r="277" spans="1:27">
      <c r="A277" s="99"/>
      <c r="B277" s="100"/>
      <c r="C277" s="100"/>
      <c r="D277" s="101"/>
      <c r="E277" s="101"/>
      <c r="F277" s="101"/>
      <c r="G277" s="101"/>
      <c r="I277" s="104"/>
      <c r="T277" s="104"/>
      <c r="U277" s="100"/>
      <c r="V277" s="112"/>
      <c r="AA277" s="11"/>
    </row>
    <row r="278" spans="1:27">
      <c r="A278" s="99"/>
      <c r="B278" s="100"/>
      <c r="C278" s="100"/>
      <c r="D278" s="101"/>
      <c r="E278" s="101"/>
      <c r="F278" s="101"/>
      <c r="G278" s="101"/>
      <c r="I278" s="104"/>
      <c r="T278" s="104"/>
      <c r="U278" s="100"/>
      <c r="V278" s="112"/>
      <c r="AA278" s="11"/>
    </row>
    <row r="279" spans="1:27">
      <c r="A279" s="99"/>
      <c r="B279" s="100"/>
      <c r="C279" s="100"/>
      <c r="D279" s="101"/>
      <c r="E279" s="101"/>
      <c r="F279" s="101"/>
      <c r="G279" s="101"/>
      <c r="I279" s="104"/>
      <c r="T279" s="104"/>
      <c r="U279" s="100"/>
      <c r="V279" s="112"/>
      <c r="AA279" s="11"/>
    </row>
    <row r="280" spans="1:27">
      <c r="A280" s="99"/>
      <c r="B280" s="100"/>
      <c r="C280" s="100"/>
      <c r="D280" s="101"/>
      <c r="E280" s="101"/>
      <c r="F280" s="101"/>
      <c r="G280" s="101"/>
      <c r="I280" s="104"/>
      <c r="T280" s="104"/>
      <c r="U280" s="100"/>
      <c r="V280" s="112"/>
      <c r="AA280" s="11"/>
    </row>
    <row r="281" spans="1:27">
      <c r="A281" s="99"/>
      <c r="B281" s="100"/>
      <c r="C281" s="100"/>
      <c r="D281" s="101"/>
      <c r="E281" s="101"/>
      <c r="F281" s="101"/>
      <c r="G281" s="101"/>
      <c r="I281" s="104"/>
      <c r="T281" s="104"/>
      <c r="U281" s="100"/>
      <c r="V281" s="112"/>
      <c r="AA281" s="11"/>
    </row>
    <row r="282" spans="1:27">
      <c r="A282" s="99"/>
      <c r="B282" s="100"/>
      <c r="C282" s="100"/>
      <c r="D282" s="101"/>
      <c r="E282" s="101"/>
      <c r="F282" s="101"/>
      <c r="G282" s="101"/>
      <c r="I282" s="104"/>
      <c r="T282" s="104"/>
      <c r="U282" s="100"/>
      <c r="V282" s="112"/>
      <c r="AA282" s="11"/>
    </row>
    <row r="283" spans="1:27">
      <c r="A283" s="99"/>
      <c r="B283" s="100"/>
      <c r="C283" s="100"/>
      <c r="D283" s="101"/>
      <c r="E283" s="101"/>
      <c r="F283" s="101"/>
      <c r="G283" s="101"/>
      <c r="I283" s="104"/>
      <c r="T283" s="104"/>
      <c r="U283" s="100"/>
      <c r="V283" s="112"/>
      <c r="AA283" s="11"/>
    </row>
    <row r="284" spans="1:27">
      <c r="A284" s="99"/>
      <c r="B284" s="100"/>
      <c r="C284" s="100"/>
      <c r="D284" s="101"/>
      <c r="E284" s="101"/>
      <c r="F284" s="101"/>
      <c r="G284" s="101"/>
      <c r="I284" s="104"/>
      <c r="T284" s="104"/>
      <c r="U284" s="100"/>
      <c r="V284" s="112"/>
      <c r="AA284" s="11"/>
    </row>
    <row r="285" spans="1:27">
      <c r="A285" s="99"/>
      <c r="B285" s="100"/>
      <c r="C285" s="100"/>
      <c r="D285" s="101"/>
      <c r="E285" s="101"/>
      <c r="F285" s="101"/>
      <c r="G285" s="101"/>
      <c r="I285" s="104"/>
      <c r="T285" s="104"/>
      <c r="U285" s="100"/>
      <c r="V285" s="112"/>
      <c r="AA285" s="11"/>
    </row>
    <row r="286" spans="1:27">
      <c r="A286" s="99"/>
      <c r="B286" s="100"/>
      <c r="C286" s="100"/>
      <c r="D286" s="101"/>
      <c r="E286" s="101"/>
      <c r="F286" s="101"/>
      <c r="G286" s="101"/>
      <c r="I286" s="104"/>
      <c r="T286" s="104"/>
      <c r="U286" s="100"/>
      <c r="V286" s="112"/>
      <c r="Y286" s="9"/>
      <c r="AA286" s="11"/>
    </row>
    <row r="287" spans="1:27">
      <c r="A287" s="99"/>
      <c r="B287" s="100"/>
      <c r="C287" s="100"/>
      <c r="D287" s="101"/>
      <c r="E287" s="101"/>
      <c r="F287" s="101"/>
      <c r="G287" s="101"/>
      <c r="I287" s="104"/>
      <c r="T287" s="104"/>
      <c r="U287" s="100"/>
      <c r="V287" s="112"/>
      <c r="AA287" s="11"/>
    </row>
    <row r="288" spans="1:27">
      <c r="A288" s="99"/>
      <c r="B288" s="100"/>
      <c r="C288" s="100"/>
      <c r="D288" s="101"/>
      <c r="E288" s="101"/>
      <c r="F288" s="101"/>
      <c r="G288" s="101"/>
      <c r="I288" s="104"/>
      <c r="T288" s="104"/>
      <c r="U288" s="100"/>
      <c r="V288" s="112"/>
      <c r="AA288" s="11"/>
    </row>
    <row r="289" spans="1:27">
      <c r="A289" s="99"/>
      <c r="B289" s="100"/>
      <c r="C289" s="100"/>
      <c r="D289" s="101"/>
      <c r="E289" s="101"/>
      <c r="F289" s="101"/>
      <c r="G289" s="101"/>
      <c r="I289" s="104"/>
      <c r="T289" s="104"/>
      <c r="U289" s="100"/>
      <c r="V289" s="112"/>
      <c r="AA289" s="11"/>
    </row>
    <row r="290" spans="1:27">
      <c r="A290" s="99"/>
      <c r="B290" s="100"/>
      <c r="C290" s="100"/>
      <c r="D290" s="101"/>
      <c r="E290" s="101"/>
      <c r="F290" s="101"/>
      <c r="G290" s="101"/>
      <c r="I290" s="104"/>
      <c r="T290" s="104"/>
      <c r="U290" s="100"/>
      <c r="V290" s="112"/>
      <c r="AA290" s="11"/>
    </row>
    <row r="291" spans="1:27">
      <c r="A291" s="99"/>
      <c r="B291" s="100"/>
      <c r="C291" s="100"/>
      <c r="D291" s="101"/>
      <c r="E291" s="101"/>
      <c r="F291" s="101"/>
      <c r="G291" s="101"/>
      <c r="I291" s="104"/>
      <c r="T291" s="104"/>
      <c r="U291" s="100"/>
      <c r="V291" s="112"/>
      <c r="AA291" s="11"/>
    </row>
    <row r="292" spans="1:27">
      <c r="A292" s="99"/>
      <c r="B292" s="100"/>
      <c r="C292" s="100"/>
      <c r="D292" s="101"/>
      <c r="E292" s="101"/>
      <c r="F292" s="101"/>
      <c r="G292" s="101"/>
      <c r="I292" s="104"/>
      <c r="T292" s="104"/>
      <c r="U292" s="100"/>
      <c r="V292" s="112"/>
      <c r="AA292" s="11"/>
    </row>
    <row r="293" spans="1:27">
      <c r="A293" s="99"/>
      <c r="B293" s="100"/>
      <c r="C293" s="100"/>
      <c r="D293" s="101"/>
      <c r="E293" s="101"/>
      <c r="F293" s="101"/>
      <c r="G293" s="101"/>
      <c r="I293" s="104"/>
      <c r="T293" s="104"/>
      <c r="U293" s="100"/>
      <c r="V293" s="112"/>
      <c r="AA293" s="11"/>
    </row>
    <row r="294" spans="1:27">
      <c r="A294" s="99"/>
      <c r="B294" s="100"/>
      <c r="C294" s="100"/>
      <c r="D294" s="101"/>
      <c r="E294" s="101"/>
      <c r="F294" s="101"/>
      <c r="G294" s="101"/>
      <c r="I294" s="104"/>
      <c r="T294" s="104"/>
      <c r="U294" s="100"/>
      <c r="V294" s="112"/>
      <c r="AA294" s="11"/>
    </row>
    <row r="295" spans="1:27">
      <c r="A295" s="99"/>
      <c r="B295" s="100"/>
      <c r="C295" s="100"/>
      <c r="D295" s="101"/>
      <c r="E295" s="101"/>
      <c r="F295" s="101"/>
      <c r="G295" s="101"/>
      <c r="I295" s="104"/>
      <c r="T295" s="104"/>
      <c r="U295" s="100"/>
      <c r="V295" s="112"/>
      <c r="AA295" s="11"/>
    </row>
    <row r="296" spans="1:27">
      <c r="A296" s="99"/>
      <c r="B296" s="100"/>
      <c r="C296" s="100"/>
      <c r="D296" s="101"/>
      <c r="E296" s="101"/>
      <c r="F296" s="101"/>
      <c r="G296" s="101"/>
      <c r="I296" s="104"/>
      <c r="T296" s="104"/>
      <c r="U296" s="100"/>
      <c r="V296" s="112"/>
      <c r="AA296" s="11"/>
    </row>
    <row r="297" spans="1:27">
      <c r="A297" s="99"/>
      <c r="B297" s="100"/>
      <c r="C297" s="100"/>
      <c r="D297" s="101"/>
      <c r="E297" s="101"/>
      <c r="F297" s="101"/>
      <c r="G297" s="101"/>
      <c r="I297" s="104"/>
      <c r="T297" s="104"/>
      <c r="U297" s="100"/>
      <c r="V297" s="112"/>
      <c r="AA297" s="11"/>
    </row>
    <row r="298" spans="1:27">
      <c r="A298" s="99"/>
      <c r="B298" s="100"/>
      <c r="C298" s="100"/>
      <c r="D298" s="101"/>
      <c r="E298" s="101"/>
      <c r="F298" s="101"/>
      <c r="G298" s="101"/>
      <c r="I298" s="104"/>
      <c r="T298" s="104"/>
      <c r="U298" s="100"/>
      <c r="V298" s="112"/>
      <c r="AA298" s="11"/>
    </row>
    <row r="299" spans="1:27">
      <c r="A299" s="99"/>
      <c r="B299" s="100"/>
      <c r="C299" s="100"/>
      <c r="D299" s="101"/>
      <c r="E299" s="101"/>
      <c r="F299" s="101"/>
      <c r="G299" s="101"/>
      <c r="I299" s="104"/>
      <c r="T299" s="104"/>
      <c r="U299" s="100"/>
      <c r="V299" s="112"/>
      <c r="AA299" s="11"/>
    </row>
    <row r="300" spans="1:27">
      <c r="A300" s="99"/>
      <c r="B300" s="100"/>
      <c r="C300" s="100"/>
      <c r="D300" s="101"/>
      <c r="E300" s="101"/>
      <c r="F300" s="101"/>
      <c r="G300" s="101"/>
      <c r="I300" s="104"/>
      <c r="T300" s="104"/>
      <c r="U300" s="100"/>
      <c r="V300" s="112"/>
      <c r="AA300" s="11"/>
    </row>
    <row r="301" spans="1:27">
      <c r="A301" s="99"/>
      <c r="B301" s="100"/>
      <c r="C301" s="100"/>
      <c r="D301" s="101"/>
      <c r="E301" s="101"/>
      <c r="F301" s="101"/>
      <c r="G301" s="101"/>
      <c r="I301" s="104"/>
      <c r="T301" s="104"/>
      <c r="U301" s="100"/>
      <c r="V301" s="112"/>
      <c r="AA301" s="11"/>
    </row>
    <row r="302" spans="1:27">
      <c r="A302" s="99"/>
      <c r="B302" s="100"/>
      <c r="C302" s="100"/>
      <c r="D302" s="101"/>
      <c r="E302" s="101"/>
      <c r="F302" s="101"/>
      <c r="G302" s="101"/>
      <c r="I302" s="104"/>
      <c r="T302" s="104"/>
      <c r="U302" s="100"/>
      <c r="V302" s="112"/>
      <c r="AA302" s="11"/>
    </row>
    <row r="303" spans="1:27">
      <c r="A303" s="99"/>
      <c r="B303" s="100"/>
      <c r="C303" s="100"/>
      <c r="D303" s="101"/>
      <c r="E303" s="101"/>
      <c r="F303" s="101"/>
      <c r="G303" s="101"/>
      <c r="I303" s="104"/>
      <c r="T303" s="104"/>
      <c r="U303" s="100"/>
      <c r="V303" s="112"/>
      <c r="AA303" s="11"/>
    </row>
    <row r="304" spans="1:27">
      <c r="A304" s="99"/>
      <c r="B304" s="100"/>
      <c r="C304" s="100"/>
      <c r="D304" s="101"/>
      <c r="E304" s="101"/>
      <c r="F304" s="101"/>
      <c r="G304" s="101"/>
      <c r="I304" s="104"/>
      <c r="T304" s="104"/>
      <c r="U304" s="100"/>
      <c r="V304" s="112"/>
      <c r="AA304" s="11"/>
    </row>
    <row r="305" spans="1:27">
      <c r="A305" s="99"/>
      <c r="B305" s="100"/>
      <c r="C305" s="100"/>
      <c r="D305" s="101"/>
      <c r="E305" s="101"/>
      <c r="F305" s="101"/>
      <c r="G305" s="101"/>
      <c r="I305" s="104"/>
      <c r="T305" s="104"/>
      <c r="U305" s="100"/>
      <c r="V305" s="112"/>
      <c r="AA305" s="11"/>
    </row>
    <row r="306" spans="1:27">
      <c r="A306" s="99"/>
      <c r="B306" s="100"/>
      <c r="C306" s="100"/>
      <c r="D306" s="101"/>
      <c r="E306" s="101"/>
      <c r="F306" s="101"/>
      <c r="G306" s="101"/>
      <c r="I306" s="104"/>
      <c r="T306" s="104"/>
      <c r="U306" s="100"/>
      <c r="V306" s="112"/>
      <c r="AA306" s="11"/>
    </row>
    <row r="307" spans="1:27">
      <c r="A307" s="99"/>
      <c r="B307" s="100"/>
      <c r="C307" s="100"/>
      <c r="D307" s="101"/>
      <c r="E307" s="101"/>
      <c r="F307" s="101"/>
      <c r="G307" s="101"/>
      <c r="I307" s="104"/>
      <c r="T307" s="104"/>
      <c r="U307" s="100"/>
      <c r="V307" s="112"/>
      <c r="AA307" s="11"/>
    </row>
    <row r="308" spans="1:27">
      <c r="A308" s="99"/>
      <c r="B308" s="100"/>
      <c r="C308" s="100"/>
      <c r="D308" s="101"/>
      <c r="E308" s="101"/>
      <c r="F308" s="101"/>
      <c r="G308" s="101"/>
      <c r="I308" s="104"/>
      <c r="T308" s="104"/>
      <c r="U308" s="100"/>
      <c r="V308" s="112"/>
      <c r="AA308" s="11"/>
    </row>
    <row r="309" spans="1:27">
      <c r="A309" s="99"/>
      <c r="B309" s="100"/>
      <c r="C309" s="100"/>
      <c r="D309" s="101"/>
      <c r="E309" s="101"/>
      <c r="F309" s="101"/>
      <c r="G309" s="101"/>
      <c r="I309" s="104"/>
      <c r="T309" s="104"/>
      <c r="U309" s="100"/>
      <c r="V309" s="112"/>
      <c r="AA309" s="11"/>
    </row>
    <row r="310" spans="1:27">
      <c r="A310" s="99"/>
      <c r="B310" s="100"/>
      <c r="C310" s="100"/>
      <c r="D310" s="101"/>
      <c r="E310" s="101"/>
      <c r="F310" s="101"/>
      <c r="G310" s="101"/>
      <c r="I310" s="104"/>
      <c r="T310" s="104"/>
      <c r="U310" s="100"/>
      <c r="V310" s="112"/>
      <c r="AA310" s="11"/>
    </row>
    <row r="311" spans="1:27">
      <c r="A311" s="99"/>
      <c r="B311" s="100"/>
      <c r="C311" s="100"/>
      <c r="D311" s="101"/>
      <c r="E311" s="101"/>
      <c r="F311" s="101"/>
      <c r="G311" s="101"/>
      <c r="I311" s="104"/>
      <c r="T311" s="104"/>
      <c r="U311" s="100"/>
      <c r="V311" s="112"/>
      <c r="AA311" s="11"/>
    </row>
    <row r="312" spans="1:27">
      <c r="A312" s="99"/>
      <c r="B312" s="100"/>
      <c r="C312" s="100"/>
      <c r="D312" s="101"/>
      <c r="E312" s="101"/>
      <c r="F312" s="101"/>
      <c r="G312" s="101"/>
      <c r="I312" s="104"/>
      <c r="T312" s="104"/>
      <c r="U312" s="100"/>
      <c r="V312" s="112"/>
      <c r="AA312" s="11"/>
    </row>
    <row r="313" spans="1:27">
      <c r="A313" s="99"/>
      <c r="B313" s="100"/>
      <c r="C313" s="100"/>
      <c r="D313" s="101"/>
      <c r="E313" s="101"/>
      <c r="F313" s="101"/>
      <c r="G313" s="101"/>
      <c r="I313" s="104"/>
      <c r="T313" s="104"/>
      <c r="U313" s="100"/>
      <c r="V313" s="112"/>
      <c r="AA313" s="11"/>
    </row>
    <row r="314" spans="1:27">
      <c r="A314" s="99"/>
      <c r="B314" s="100"/>
      <c r="C314" s="100"/>
      <c r="D314" s="101"/>
      <c r="E314" s="101"/>
      <c r="F314" s="101"/>
      <c r="G314" s="101"/>
      <c r="I314" s="104"/>
      <c r="T314" s="104"/>
      <c r="U314" s="100"/>
      <c r="V314" s="112"/>
      <c r="AA314" s="11"/>
    </row>
    <row r="315" spans="1:27">
      <c r="A315" s="99"/>
      <c r="B315" s="100"/>
      <c r="C315" s="100"/>
      <c r="D315" s="101"/>
      <c r="E315" s="101"/>
      <c r="F315" s="101"/>
      <c r="G315" s="101"/>
      <c r="I315" s="104"/>
      <c r="T315" s="104"/>
      <c r="U315" s="100"/>
      <c r="V315" s="112"/>
      <c r="AA315" s="11"/>
    </row>
    <row r="316" spans="1:27">
      <c r="A316" s="99"/>
      <c r="B316" s="100"/>
      <c r="C316" s="100"/>
      <c r="D316" s="101"/>
      <c r="E316" s="101"/>
      <c r="F316" s="101"/>
      <c r="G316" s="101"/>
      <c r="I316" s="104"/>
      <c r="T316" s="104"/>
      <c r="U316" s="100"/>
      <c r="V316" s="112"/>
      <c r="AA316" s="11"/>
    </row>
    <row r="317" spans="1:27">
      <c r="A317" s="99"/>
      <c r="B317" s="100"/>
      <c r="C317" s="100"/>
      <c r="D317" s="101"/>
      <c r="E317" s="101"/>
      <c r="F317" s="101"/>
      <c r="G317" s="101"/>
      <c r="I317" s="104"/>
      <c r="T317" s="104"/>
      <c r="U317" s="100"/>
      <c r="V317" s="112"/>
      <c r="AA317" s="11"/>
    </row>
    <row r="318" spans="1:27">
      <c r="A318" s="99"/>
      <c r="B318" s="100"/>
      <c r="C318" s="100"/>
      <c r="D318" s="101"/>
      <c r="E318" s="101"/>
      <c r="F318" s="101"/>
      <c r="G318" s="101"/>
      <c r="I318" s="104"/>
      <c r="T318" s="104"/>
      <c r="U318" s="100"/>
      <c r="V318" s="112"/>
      <c r="AA318" s="11"/>
    </row>
    <row r="319" spans="1:27">
      <c r="A319" s="99"/>
      <c r="B319" s="100"/>
      <c r="C319" s="100"/>
      <c r="D319" s="101"/>
      <c r="E319" s="101"/>
      <c r="F319" s="101"/>
      <c r="G319" s="101"/>
      <c r="I319" s="104"/>
      <c r="T319" s="104"/>
      <c r="U319" s="100"/>
      <c r="V319" s="112"/>
      <c r="AA319" s="11"/>
    </row>
    <row r="320" spans="1:27">
      <c r="A320" s="99"/>
      <c r="B320" s="100"/>
      <c r="C320" s="100"/>
      <c r="D320" s="101"/>
      <c r="E320" s="101"/>
      <c r="F320" s="101"/>
      <c r="G320" s="101"/>
      <c r="I320" s="104"/>
      <c r="T320" s="104"/>
      <c r="U320" s="100"/>
      <c r="V320" s="112"/>
      <c r="AA320" s="11"/>
    </row>
    <row r="321" spans="1:27">
      <c r="A321" s="99"/>
      <c r="B321" s="100"/>
      <c r="C321" s="100"/>
      <c r="D321" s="101"/>
      <c r="E321" s="101"/>
      <c r="F321" s="101"/>
      <c r="G321" s="101"/>
      <c r="I321" s="104"/>
      <c r="T321" s="104"/>
      <c r="U321" s="100"/>
      <c r="V321" s="112"/>
      <c r="AA321" s="11"/>
    </row>
    <row r="322" spans="1:27">
      <c r="A322" s="99"/>
      <c r="B322" s="100"/>
      <c r="C322" s="100"/>
      <c r="D322" s="101"/>
      <c r="E322" s="101"/>
      <c r="F322" s="101"/>
      <c r="G322" s="101"/>
      <c r="I322" s="104"/>
      <c r="T322" s="104"/>
      <c r="U322" s="100"/>
      <c r="V322" s="112"/>
      <c r="AA322" s="11"/>
    </row>
    <row r="323" spans="1:27">
      <c r="A323" s="99"/>
      <c r="B323" s="100"/>
      <c r="C323" s="100"/>
      <c r="D323" s="101"/>
      <c r="E323" s="101"/>
      <c r="F323" s="101"/>
      <c r="G323" s="101"/>
      <c r="I323" s="104"/>
      <c r="T323" s="104"/>
      <c r="U323" s="100"/>
      <c r="V323" s="112"/>
      <c r="AA323" s="11"/>
    </row>
    <row r="324" spans="1:27">
      <c r="A324" s="99"/>
      <c r="B324" s="100"/>
      <c r="C324" s="100"/>
      <c r="D324" s="101"/>
      <c r="E324" s="101"/>
      <c r="F324" s="101"/>
      <c r="G324" s="101"/>
      <c r="I324" s="104"/>
      <c r="T324" s="104"/>
      <c r="U324" s="100"/>
      <c r="V324" s="112"/>
      <c r="AA324" s="11"/>
    </row>
    <row r="325" spans="1:27">
      <c r="A325" s="99"/>
      <c r="B325" s="100"/>
      <c r="C325" s="100"/>
      <c r="D325" s="101"/>
      <c r="E325" s="101"/>
      <c r="F325" s="101"/>
      <c r="G325" s="101"/>
      <c r="I325" s="104"/>
      <c r="T325" s="104"/>
      <c r="U325" s="100"/>
      <c r="V325" s="112"/>
      <c r="AA325" s="11"/>
    </row>
    <row r="326" spans="1:27">
      <c r="A326" s="99"/>
      <c r="B326" s="100"/>
      <c r="C326" s="100"/>
      <c r="D326" s="101"/>
      <c r="E326" s="101"/>
      <c r="F326" s="101"/>
      <c r="G326" s="101"/>
      <c r="I326" s="104"/>
      <c r="T326" s="104"/>
      <c r="U326" s="100"/>
      <c r="V326" s="112"/>
      <c r="AA326" s="11"/>
    </row>
    <row r="327" spans="1:27">
      <c r="A327" s="99"/>
      <c r="B327" s="100"/>
      <c r="C327" s="100"/>
      <c r="D327" s="101"/>
      <c r="E327" s="101"/>
      <c r="F327" s="101"/>
      <c r="G327" s="101"/>
      <c r="I327" s="104"/>
      <c r="T327" s="104"/>
      <c r="U327" s="100"/>
      <c r="V327" s="112"/>
      <c r="AA327" s="11"/>
    </row>
    <row r="328" spans="1:27">
      <c r="A328" s="99"/>
      <c r="B328" s="100"/>
      <c r="C328" s="100"/>
      <c r="D328" s="101"/>
      <c r="E328" s="101"/>
      <c r="F328" s="101"/>
      <c r="G328" s="101"/>
      <c r="I328" s="104"/>
      <c r="T328" s="104"/>
      <c r="U328" s="100"/>
      <c r="V328" s="112"/>
      <c r="AA328" s="11"/>
    </row>
    <row r="329" spans="1:27">
      <c r="A329" s="99"/>
      <c r="B329" s="100"/>
      <c r="C329" s="100"/>
      <c r="D329" s="101"/>
      <c r="E329" s="101"/>
      <c r="F329" s="101"/>
      <c r="G329" s="101"/>
      <c r="I329" s="104"/>
      <c r="T329" s="104"/>
      <c r="U329" s="100"/>
      <c r="V329" s="112"/>
      <c r="AA329" s="11"/>
    </row>
    <row r="330" spans="1:27">
      <c r="A330" s="99"/>
      <c r="B330" s="100"/>
      <c r="C330" s="100"/>
      <c r="D330" s="101"/>
      <c r="E330" s="101"/>
      <c r="F330" s="101"/>
      <c r="G330" s="101"/>
      <c r="I330" s="104"/>
      <c r="T330" s="104"/>
      <c r="U330" s="100"/>
      <c r="V330" s="112"/>
      <c r="AA330" s="11"/>
    </row>
    <row r="331" spans="1:27">
      <c r="A331" s="99"/>
      <c r="B331" s="100"/>
      <c r="C331" s="100"/>
      <c r="D331" s="101"/>
      <c r="E331" s="101"/>
      <c r="F331" s="101"/>
      <c r="G331" s="101"/>
      <c r="I331" s="104"/>
      <c r="T331" s="104"/>
      <c r="U331" s="100"/>
      <c r="V331" s="112"/>
      <c r="AA331" s="11"/>
    </row>
    <row r="332" spans="1:27">
      <c r="A332" s="99"/>
      <c r="B332" s="100"/>
      <c r="C332" s="100"/>
      <c r="D332" s="101"/>
      <c r="E332" s="101"/>
      <c r="F332" s="101"/>
      <c r="G332" s="101"/>
      <c r="I332" s="104"/>
      <c r="T332" s="104"/>
      <c r="U332" s="100"/>
      <c r="V332" s="112"/>
      <c r="AA332" s="11"/>
    </row>
    <row r="333" spans="1:27">
      <c r="A333" s="99"/>
      <c r="B333" s="100"/>
      <c r="C333" s="100"/>
      <c r="D333" s="101"/>
      <c r="E333" s="101"/>
      <c r="F333" s="101"/>
      <c r="G333" s="101"/>
      <c r="I333" s="104"/>
      <c r="T333" s="104"/>
      <c r="U333" s="100"/>
      <c r="V333" s="112"/>
      <c r="AA333" s="11"/>
    </row>
    <row r="334" spans="1:27">
      <c r="A334" s="99"/>
      <c r="B334" s="100"/>
      <c r="C334" s="100"/>
      <c r="D334" s="101"/>
      <c r="E334" s="101"/>
      <c r="F334" s="101"/>
      <c r="G334" s="101"/>
      <c r="I334" s="104"/>
      <c r="T334" s="104"/>
      <c r="U334" s="100"/>
      <c r="V334" s="112"/>
      <c r="AA334" s="11"/>
    </row>
    <row r="335" spans="1:27">
      <c r="A335" s="99"/>
      <c r="B335" s="100"/>
      <c r="C335" s="100"/>
      <c r="D335" s="101"/>
      <c r="E335" s="101"/>
      <c r="F335" s="101"/>
      <c r="G335" s="101"/>
      <c r="I335" s="104"/>
      <c r="T335" s="104"/>
      <c r="U335" s="100"/>
      <c r="V335" s="112"/>
      <c r="AA335" s="11"/>
    </row>
    <row r="336" spans="1:27">
      <c r="A336" s="99"/>
      <c r="B336" s="100"/>
      <c r="C336" s="100"/>
      <c r="D336" s="101"/>
      <c r="E336" s="101"/>
      <c r="F336" s="101"/>
      <c r="G336" s="101"/>
      <c r="I336" s="104"/>
      <c r="T336" s="104"/>
      <c r="U336" s="100"/>
      <c r="V336" s="112"/>
      <c r="AA336" s="11"/>
    </row>
    <row r="337" spans="1:27">
      <c r="A337" s="99"/>
      <c r="B337" s="100"/>
      <c r="C337" s="100"/>
      <c r="D337" s="101"/>
      <c r="E337" s="101"/>
      <c r="F337" s="101"/>
      <c r="G337" s="101"/>
      <c r="I337" s="104"/>
      <c r="T337" s="104"/>
      <c r="U337" s="100"/>
      <c r="V337" s="112"/>
      <c r="AA337" s="11"/>
    </row>
    <row r="338" spans="1:27">
      <c r="A338" s="99"/>
      <c r="B338" s="100"/>
      <c r="C338" s="100"/>
      <c r="D338" s="101"/>
      <c r="E338" s="101"/>
      <c r="F338" s="101"/>
      <c r="G338" s="101"/>
      <c r="I338" s="104"/>
      <c r="T338" s="104"/>
      <c r="U338" s="100"/>
      <c r="V338" s="112"/>
      <c r="AA338" s="11"/>
    </row>
    <row r="339" spans="1:27">
      <c r="A339" s="99"/>
      <c r="B339" s="100"/>
      <c r="C339" s="100"/>
      <c r="D339" s="101"/>
      <c r="E339" s="101"/>
      <c r="F339" s="101"/>
      <c r="G339" s="101"/>
      <c r="I339" s="104"/>
      <c r="T339" s="104"/>
      <c r="U339" s="100"/>
      <c r="V339" s="112"/>
      <c r="AA339" s="11"/>
    </row>
    <row r="340" spans="1:27">
      <c r="A340" s="99"/>
      <c r="B340" s="100"/>
      <c r="C340" s="100"/>
      <c r="D340" s="101"/>
      <c r="E340" s="101"/>
      <c r="F340" s="101"/>
      <c r="G340" s="101"/>
      <c r="I340" s="104"/>
      <c r="T340" s="104"/>
      <c r="U340" s="100"/>
      <c r="V340" s="112"/>
      <c r="AA340" s="11"/>
    </row>
    <row r="341" spans="1:27">
      <c r="A341" s="99"/>
      <c r="B341" s="100"/>
      <c r="C341" s="100"/>
      <c r="D341" s="101"/>
      <c r="E341" s="101"/>
      <c r="F341" s="101"/>
      <c r="G341" s="101"/>
      <c r="I341" s="104"/>
      <c r="T341" s="104"/>
      <c r="U341" s="100"/>
      <c r="V341" s="112"/>
      <c r="AA341" s="11"/>
    </row>
    <row r="342" spans="1:27">
      <c r="A342" s="99"/>
      <c r="B342" s="100"/>
      <c r="C342" s="100"/>
      <c r="D342" s="101"/>
      <c r="E342" s="101"/>
      <c r="F342" s="101"/>
      <c r="G342" s="101"/>
      <c r="I342" s="104"/>
      <c r="T342" s="104"/>
      <c r="U342" s="100"/>
      <c r="V342" s="112"/>
      <c r="AA342" s="11"/>
    </row>
    <row r="343" spans="1:27">
      <c r="A343" s="99"/>
      <c r="B343" s="100"/>
      <c r="C343" s="100"/>
      <c r="D343" s="101"/>
      <c r="E343" s="101"/>
      <c r="F343" s="101"/>
      <c r="G343" s="101"/>
      <c r="I343" s="104"/>
      <c r="T343" s="104"/>
      <c r="U343" s="100"/>
      <c r="V343" s="112"/>
      <c r="AA343" s="11"/>
    </row>
    <row r="344" spans="1:27">
      <c r="A344" s="99"/>
      <c r="B344" s="100"/>
      <c r="C344" s="100"/>
      <c r="D344" s="101"/>
      <c r="E344" s="101"/>
      <c r="F344" s="101"/>
      <c r="G344" s="101"/>
      <c r="I344" s="104"/>
      <c r="T344" s="104"/>
      <c r="U344" s="100"/>
      <c r="V344" s="112"/>
      <c r="AA344" s="11"/>
    </row>
    <row r="345" spans="1:27">
      <c r="A345" s="99"/>
      <c r="B345" s="100"/>
      <c r="C345" s="100"/>
      <c r="D345" s="101"/>
      <c r="E345" s="101"/>
      <c r="F345" s="101"/>
      <c r="G345" s="101"/>
      <c r="I345" s="104"/>
      <c r="T345" s="104"/>
      <c r="U345" s="100"/>
      <c r="V345" s="112"/>
      <c r="AA345" s="11"/>
    </row>
    <row r="346" spans="1:27">
      <c r="A346" s="99"/>
      <c r="B346" s="100"/>
      <c r="C346" s="100"/>
      <c r="D346" s="101"/>
      <c r="E346" s="101"/>
      <c r="F346" s="101"/>
      <c r="G346" s="101"/>
      <c r="I346" s="104"/>
      <c r="T346" s="104"/>
      <c r="U346" s="100"/>
      <c r="V346" s="112"/>
      <c r="AA346" s="11"/>
    </row>
    <row r="347" spans="1:27">
      <c r="A347" s="99"/>
      <c r="B347" s="100"/>
      <c r="C347" s="100"/>
      <c r="D347" s="101"/>
      <c r="E347" s="101"/>
      <c r="F347" s="101"/>
      <c r="G347" s="101"/>
      <c r="I347" s="104"/>
      <c r="T347" s="104"/>
      <c r="U347" s="100"/>
      <c r="V347" s="112"/>
      <c r="AA347" s="11"/>
    </row>
    <row r="348" spans="1:27">
      <c r="A348" s="99"/>
      <c r="B348" s="100"/>
      <c r="C348" s="100"/>
      <c r="D348" s="101"/>
      <c r="E348" s="101"/>
      <c r="F348" s="101"/>
      <c r="G348" s="101"/>
      <c r="I348" s="104"/>
      <c r="T348" s="104"/>
      <c r="U348" s="100"/>
      <c r="V348" s="112"/>
      <c r="AA348" s="11"/>
    </row>
    <row r="349" spans="1:27">
      <c r="A349" s="99"/>
      <c r="B349" s="100"/>
      <c r="C349" s="100"/>
      <c r="D349" s="101"/>
      <c r="E349" s="101"/>
      <c r="F349" s="101"/>
      <c r="G349" s="101"/>
      <c r="I349" s="104"/>
      <c r="T349" s="104"/>
      <c r="U349" s="100"/>
      <c r="V349" s="112"/>
      <c r="AA349" s="11"/>
    </row>
    <row r="350" spans="1:27">
      <c r="A350" s="99"/>
      <c r="B350" s="100"/>
      <c r="C350" s="100"/>
      <c r="D350" s="101"/>
      <c r="E350" s="101"/>
      <c r="F350" s="101"/>
      <c r="G350" s="101"/>
      <c r="I350" s="104"/>
      <c r="T350" s="104"/>
      <c r="U350" s="100"/>
      <c r="V350" s="112"/>
      <c r="AA350" s="11"/>
    </row>
    <row r="351" spans="1:27">
      <c r="A351" s="99"/>
      <c r="B351" s="100"/>
      <c r="C351" s="100"/>
      <c r="D351" s="101"/>
      <c r="E351" s="101"/>
      <c r="F351" s="101"/>
      <c r="G351" s="101"/>
      <c r="I351" s="104"/>
      <c r="T351" s="104"/>
      <c r="U351" s="100"/>
      <c r="V351" s="112"/>
      <c r="AA351" s="11"/>
    </row>
    <row r="352" spans="1:27">
      <c r="A352" s="99"/>
      <c r="B352" s="100"/>
      <c r="C352" s="100"/>
      <c r="D352" s="101"/>
      <c r="E352" s="101"/>
      <c r="F352" s="101"/>
      <c r="G352" s="101"/>
      <c r="I352" s="104"/>
      <c r="T352" s="104"/>
      <c r="U352" s="100"/>
      <c r="V352" s="112"/>
      <c r="AA352" s="11"/>
    </row>
    <row r="353" spans="1:27">
      <c r="A353" s="99"/>
      <c r="B353" s="100"/>
      <c r="C353" s="100"/>
      <c r="D353" s="101"/>
      <c r="E353" s="101"/>
      <c r="F353" s="101"/>
      <c r="G353" s="101"/>
      <c r="I353" s="104"/>
      <c r="T353" s="104"/>
      <c r="U353" s="100"/>
      <c r="V353" s="112"/>
      <c r="AA353" s="11"/>
    </row>
    <row r="354" spans="1:27">
      <c r="A354" s="99"/>
      <c r="B354" s="100"/>
      <c r="C354" s="100"/>
      <c r="D354" s="101"/>
      <c r="E354" s="101"/>
      <c r="F354" s="101"/>
      <c r="G354" s="101"/>
      <c r="I354" s="104"/>
      <c r="T354" s="104"/>
      <c r="U354" s="100"/>
      <c r="V354" s="112"/>
      <c r="AA354" s="11"/>
    </row>
    <row r="355" spans="1:27">
      <c r="A355" s="99"/>
      <c r="B355" s="100"/>
      <c r="C355" s="100"/>
      <c r="D355" s="101"/>
      <c r="E355" s="101"/>
      <c r="F355" s="101"/>
      <c r="G355" s="101"/>
      <c r="I355" s="104"/>
      <c r="T355" s="104"/>
      <c r="U355" s="100"/>
      <c r="V355" s="112"/>
      <c r="AA355" s="11"/>
    </row>
    <row r="356" spans="1:27">
      <c r="A356" s="99"/>
      <c r="B356" s="100"/>
      <c r="C356" s="100"/>
      <c r="D356" s="101"/>
      <c r="E356" s="101"/>
      <c r="F356" s="101"/>
      <c r="G356" s="101"/>
      <c r="I356" s="104"/>
      <c r="T356" s="104"/>
      <c r="U356" s="100"/>
      <c r="V356" s="112"/>
      <c r="AA356" s="11"/>
    </row>
    <row r="357" spans="1:27">
      <c r="A357" s="99"/>
      <c r="B357" s="100"/>
      <c r="C357" s="100"/>
      <c r="D357" s="101"/>
      <c r="E357" s="101"/>
      <c r="F357" s="101"/>
      <c r="G357" s="101"/>
      <c r="I357" s="104"/>
      <c r="T357" s="104"/>
      <c r="U357" s="100"/>
      <c r="V357" s="112"/>
      <c r="AA357" s="11"/>
    </row>
    <row r="358" spans="1:27">
      <c r="A358" s="99"/>
      <c r="B358" s="100"/>
      <c r="C358" s="100"/>
      <c r="D358" s="101"/>
      <c r="E358" s="101"/>
      <c r="F358" s="101"/>
      <c r="G358" s="101"/>
      <c r="I358" s="104"/>
      <c r="T358" s="104"/>
      <c r="U358" s="100"/>
      <c r="V358" s="112"/>
      <c r="AA358" s="11"/>
    </row>
    <row r="359" spans="1:27">
      <c r="A359" s="99"/>
      <c r="B359" s="100"/>
      <c r="C359" s="100"/>
      <c r="D359" s="101"/>
      <c r="E359" s="101"/>
      <c r="F359" s="101"/>
      <c r="G359" s="101"/>
      <c r="I359" s="104"/>
      <c r="T359" s="104"/>
      <c r="U359" s="100"/>
      <c r="V359" s="112"/>
      <c r="AA359" s="11"/>
    </row>
    <row r="360" spans="1:27">
      <c r="A360" s="99"/>
      <c r="B360" s="100"/>
      <c r="C360" s="100"/>
      <c r="D360" s="101"/>
      <c r="E360" s="101"/>
      <c r="F360" s="101"/>
      <c r="G360" s="101"/>
      <c r="I360" s="104"/>
      <c r="T360" s="104"/>
      <c r="U360" s="100"/>
      <c r="V360" s="112"/>
      <c r="AA360" s="11"/>
    </row>
    <row r="361" spans="1:27">
      <c r="A361" s="99"/>
      <c r="B361" s="100"/>
      <c r="C361" s="100"/>
      <c r="D361" s="101"/>
      <c r="E361" s="101"/>
      <c r="F361" s="101"/>
      <c r="G361" s="101"/>
      <c r="I361" s="104"/>
      <c r="T361" s="104"/>
      <c r="U361" s="100"/>
      <c r="V361" s="112"/>
      <c r="AA361" s="11"/>
    </row>
    <row r="362" spans="1:27">
      <c r="A362" s="99"/>
      <c r="B362" s="100"/>
      <c r="C362" s="100"/>
      <c r="D362" s="101"/>
      <c r="E362" s="101"/>
      <c r="F362" s="101"/>
      <c r="G362" s="101"/>
      <c r="I362" s="104"/>
      <c r="T362" s="104"/>
      <c r="U362" s="100"/>
      <c r="V362" s="112"/>
      <c r="AA362" s="11"/>
    </row>
    <row r="363" spans="1:27">
      <c r="A363" s="99"/>
      <c r="B363" s="100"/>
      <c r="C363" s="100"/>
      <c r="D363" s="101"/>
      <c r="E363" s="101"/>
      <c r="F363" s="101"/>
      <c r="G363" s="101"/>
      <c r="I363" s="104"/>
      <c r="T363" s="104"/>
      <c r="U363" s="100"/>
      <c r="V363" s="112"/>
      <c r="AA363" s="11"/>
    </row>
    <row r="364" spans="1:27">
      <c r="A364" s="99"/>
      <c r="B364" s="100"/>
      <c r="C364" s="100"/>
      <c r="D364" s="101"/>
      <c r="E364" s="101"/>
      <c r="F364" s="101"/>
      <c r="G364" s="101"/>
      <c r="I364" s="104"/>
      <c r="T364" s="104"/>
      <c r="U364" s="100"/>
      <c r="V364" s="112"/>
      <c r="AA364" s="11"/>
    </row>
    <row r="365" spans="1:27">
      <c r="A365" s="99"/>
      <c r="B365" s="100"/>
      <c r="C365" s="100"/>
      <c r="D365" s="101"/>
      <c r="E365" s="101"/>
      <c r="F365" s="101"/>
      <c r="G365" s="101"/>
      <c r="I365" s="104"/>
      <c r="T365" s="104"/>
      <c r="U365" s="100"/>
      <c r="V365" s="112"/>
      <c r="AA365" s="11"/>
    </row>
    <row r="366" spans="1:27">
      <c r="A366" s="99"/>
      <c r="B366" s="100"/>
      <c r="C366" s="100"/>
      <c r="D366" s="101"/>
      <c r="E366" s="101"/>
      <c r="F366" s="101"/>
      <c r="G366" s="101"/>
      <c r="I366" s="104"/>
      <c r="T366" s="104"/>
      <c r="U366" s="100"/>
      <c r="V366" s="112"/>
      <c r="AA366" s="11"/>
    </row>
    <row r="367" spans="1:27">
      <c r="A367" s="99"/>
      <c r="B367" s="100"/>
      <c r="C367" s="100"/>
      <c r="D367" s="101"/>
      <c r="E367" s="101"/>
      <c r="F367" s="101"/>
      <c r="G367" s="101"/>
      <c r="I367" s="104"/>
      <c r="T367" s="104"/>
      <c r="U367" s="100"/>
      <c r="V367" s="112"/>
      <c r="AA367" s="11"/>
    </row>
    <row r="368" spans="1:27">
      <c r="A368" s="99"/>
      <c r="B368" s="100"/>
      <c r="C368" s="100"/>
      <c r="D368" s="101"/>
      <c r="E368" s="101"/>
      <c r="F368" s="101"/>
      <c r="G368" s="101"/>
      <c r="I368" s="104"/>
      <c r="T368" s="104"/>
      <c r="U368" s="100"/>
      <c r="V368" s="112"/>
      <c r="AA368" s="11"/>
    </row>
    <row r="369" spans="1:27">
      <c r="A369" s="99"/>
      <c r="B369" s="100"/>
      <c r="C369" s="100"/>
      <c r="D369" s="101"/>
      <c r="E369" s="101"/>
      <c r="F369" s="101"/>
      <c r="G369" s="101"/>
      <c r="I369" s="104"/>
      <c r="T369" s="104"/>
      <c r="U369" s="100"/>
      <c r="V369" s="112"/>
      <c r="AA369" s="11"/>
    </row>
    <row r="370" spans="1:27">
      <c r="A370" s="99"/>
      <c r="B370" s="100"/>
      <c r="C370" s="100"/>
      <c r="D370" s="101"/>
      <c r="E370" s="101"/>
      <c r="F370" s="101"/>
      <c r="G370" s="101"/>
      <c r="I370" s="104"/>
      <c r="T370" s="104"/>
      <c r="U370" s="100"/>
      <c r="V370" s="112"/>
      <c r="AA370" s="11"/>
    </row>
    <row r="371" spans="1:27">
      <c r="A371" s="99"/>
      <c r="B371" s="100"/>
      <c r="C371" s="100"/>
      <c r="D371" s="101"/>
      <c r="E371" s="101"/>
      <c r="F371" s="101"/>
      <c r="G371" s="101"/>
      <c r="I371" s="104"/>
      <c r="T371" s="104"/>
      <c r="U371" s="100"/>
      <c r="V371" s="112"/>
      <c r="AA371" s="11"/>
    </row>
    <row r="372" spans="1:27">
      <c r="A372" s="99"/>
      <c r="B372" s="100"/>
      <c r="C372" s="100"/>
      <c r="D372" s="101"/>
      <c r="E372" s="101"/>
      <c r="F372" s="101"/>
      <c r="G372" s="101"/>
      <c r="I372" s="104"/>
      <c r="T372" s="104"/>
      <c r="U372" s="100"/>
      <c r="V372" s="112"/>
      <c r="AA372" s="11"/>
    </row>
    <row r="373" spans="1:27">
      <c r="A373" s="99"/>
      <c r="B373" s="100"/>
      <c r="C373" s="100"/>
      <c r="D373" s="101"/>
      <c r="E373" s="101"/>
      <c r="F373" s="101"/>
      <c r="G373" s="101"/>
      <c r="I373" s="104"/>
      <c r="T373" s="104"/>
      <c r="U373" s="100"/>
      <c r="V373" s="112"/>
      <c r="AA373" s="11"/>
    </row>
    <row r="374" spans="1:27">
      <c r="A374" s="99"/>
      <c r="B374" s="100"/>
      <c r="C374" s="100"/>
      <c r="D374" s="101"/>
      <c r="E374" s="101"/>
      <c r="F374" s="101"/>
      <c r="G374" s="101"/>
      <c r="I374" s="104"/>
      <c r="T374" s="104"/>
      <c r="U374" s="100"/>
      <c r="V374" s="112"/>
      <c r="AA374" s="11"/>
    </row>
    <row r="375" spans="1:27">
      <c r="A375" s="99"/>
      <c r="B375" s="100"/>
      <c r="C375" s="100"/>
      <c r="D375" s="101"/>
      <c r="E375" s="101"/>
      <c r="F375" s="101"/>
      <c r="G375" s="101"/>
      <c r="I375" s="104"/>
      <c r="T375" s="104"/>
      <c r="U375" s="100"/>
      <c r="V375" s="112"/>
      <c r="AA375" s="11"/>
    </row>
    <row r="376" spans="1:27">
      <c r="A376" s="99"/>
      <c r="B376" s="100"/>
      <c r="C376" s="100"/>
      <c r="D376" s="101"/>
      <c r="E376" s="101"/>
      <c r="F376" s="101"/>
      <c r="G376" s="101"/>
      <c r="I376" s="104"/>
      <c r="T376" s="104"/>
      <c r="U376" s="100"/>
      <c r="V376" s="112"/>
      <c r="AA376" s="11"/>
    </row>
    <row r="377" spans="1:27">
      <c r="A377" s="99"/>
      <c r="B377" s="100"/>
      <c r="C377" s="100"/>
      <c r="D377" s="101"/>
      <c r="E377" s="101"/>
      <c r="F377" s="101"/>
      <c r="G377" s="101"/>
      <c r="I377" s="104"/>
      <c r="T377" s="104"/>
      <c r="U377" s="100"/>
      <c r="V377" s="112"/>
      <c r="AA377" s="11"/>
    </row>
    <row r="378" spans="1:27">
      <c r="A378" s="99"/>
      <c r="B378" s="100"/>
      <c r="C378" s="100"/>
      <c r="D378" s="101"/>
      <c r="E378" s="101"/>
      <c r="F378" s="101"/>
      <c r="G378" s="101"/>
      <c r="I378" s="104"/>
      <c r="T378" s="104"/>
      <c r="U378" s="100"/>
      <c r="V378" s="112"/>
      <c r="AA378" s="11"/>
    </row>
    <row r="379" spans="1:27">
      <c r="A379" s="99"/>
      <c r="B379" s="100"/>
      <c r="C379" s="100"/>
      <c r="D379" s="101"/>
      <c r="E379" s="101"/>
      <c r="F379" s="101"/>
      <c r="G379" s="101"/>
      <c r="I379" s="104"/>
      <c r="T379" s="104"/>
      <c r="U379" s="100"/>
      <c r="V379" s="112"/>
      <c r="AA379" s="11"/>
    </row>
    <row r="380" spans="1:27">
      <c r="A380" s="99"/>
      <c r="B380" s="100"/>
      <c r="C380" s="100"/>
      <c r="D380" s="101"/>
      <c r="E380" s="101"/>
      <c r="F380" s="101"/>
      <c r="G380" s="101"/>
      <c r="I380" s="104"/>
      <c r="T380" s="104"/>
      <c r="U380" s="100"/>
      <c r="V380" s="112"/>
      <c r="AA380" s="11"/>
    </row>
    <row r="381" spans="1:27">
      <c r="A381" s="99"/>
      <c r="B381" s="100"/>
      <c r="C381" s="100"/>
      <c r="D381" s="101"/>
      <c r="E381" s="101"/>
      <c r="F381" s="101"/>
      <c r="G381" s="101"/>
      <c r="I381" s="104"/>
      <c r="T381" s="104"/>
      <c r="U381" s="100"/>
      <c r="V381" s="112"/>
      <c r="AA381" s="11"/>
    </row>
    <row r="382" spans="1:27">
      <c r="A382" s="99"/>
      <c r="B382" s="100"/>
      <c r="C382" s="100"/>
      <c r="D382" s="101"/>
      <c r="E382" s="101"/>
      <c r="F382" s="101"/>
      <c r="G382" s="101"/>
      <c r="I382" s="104"/>
      <c r="T382" s="104"/>
      <c r="U382" s="100"/>
      <c r="V382" s="112"/>
      <c r="AA382" s="11"/>
    </row>
    <row r="383" spans="1:27">
      <c r="A383" s="99"/>
      <c r="B383" s="100"/>
      <c r="C383" s="100"/>
      <c r="D383" s="101"/>
      <c r="E383" s="101"/>
      <c r="F383" s="101"/>
      <c r="G383" s="101"/>
      <c r="I383" s="104"/>
      <c r="T383" s="104"/>
      <c r="U383" s="100"/>
      <c r="V383" s="112"/>
      <c r="AA383" s="11"/>
    </row>
    <row r="384" spans="1:27">
      <c r="A384" s="99"/>
      <c r="B384" s="100"/>
      <c r="C384" s="100"/>
      <c r="D384" s="101"/>
      <c r="E384" s="101"/>
      <c r="F384" s="101"/>
      <c r="G384" s="101"/>
      <c r="I384" s="104"/>
      <c r="T384" s="104"/>
      <c r="U384" s="100"/>
      <c r="V384" s="112"/>
      <c r="AA384" s="11"/>
    </row>
    <row r="385" spans="1:27">
      <c r="A385" s="99"/>
      <c r="B385" s="100"/>
      <c r="C385" s="100"/>
      <c r="D385" s="101"/>
      <c r="E385" s="101"/>
      <c r="F385" s="101"/>
      <c r="G385" s="101"/>
      <c r="I385" s="104"/>
      <c r="T385" s="104"/>
      <c r="U385" s="100"/>
      <c r="V385" s="112"/>
      <c r="AA385" s="11"/>
    </row>
    <row r="386" spans="1:27">
      <c r="A386" s="99"/>
      <c r="B386" s="100"/>
      <c r="C386" s="100"/>
      <c r="D386" s="101"/>
      <c r="E386" s="101"/>
      <c r="F386" s="101"/>
      <c r="G386" s="101"/>
      <c r="I386" s="104"/>
      <c r="T386" s="104"/>
      <c r="U386" s="100"/>
      <c r="V386" s="112"/>
      <c r="AA386" s="11"/>
    </row>
    <row r="387" spans="1:27">
      <c r="A387" s="99"/>
      <c r="B387" s="100"/>
      <c r="C387" s="100"/>
      <c r="D387" s="101"/>
      <c r="E387" s="101"/>
      <c r="F387" s="101"/>
      <c r="G387" s="101"/>
      <c r="I387" s="104"/>
      <c r="T387" s="104"/>
      <c r="U387" s="100"/>
      <c r="V387" s="112"/>
      <c r="AA387" s="11"/>
    </row>
    <row r="388" spans="1:27">
      <c r="A388" s="99"/>
      <c r="B388" s="100"/>
      <c r="C388" s="100"/>
      <c r="D388" s="101"/>
      <c r="E388" s="101"/>
      <c r="F388" s="101"/>
      <c r="G388" s="101"/>
      <c r="I388" s="104"/>
      <c r="T388" s="104"/>
      <c r="U388" s="100"/>
      <c r="V388" s="112"/>
      <c r="AA388" s="11"/>
    </row>
    <row r="389" spans="1:27">
      <c r="A389" s="99"/>
      <c r="B389" s="100"/>
      <c r="C389" s="100"/>
      <c r="D389" s="101"/>
      <c r="E389" s="101"/>
      <c r="F389" s="101"/>
      <c r="G389" s="101"/>
      <c r="I389" s="104"/>
      <c r="T389" s="104"/>
      <c r="U389" s="100"/>
      <c r="V389" s="112"/>
      <c r="AA389" s="11"/>
    </row>
    <row r="390" spans="1:27">
      <c r="A390" s="99"/>
      <c r="B390" s="100"/>
      <c r="C390" s="100"/>
      <c r="D390" s="101"/>
      <c r="E390" s="101"/>
      <c r="F390" s="101"/>
      <c r="G390" s="101"/>
      <c r="I390" s="104"/>
      <c r="T390" s="104"/>
      <c r="U390" s="100"/>
      <c r="V390" s="112"/>
      <c r="AA390" s="11"/>
    </row>
    <row r="391" spans="1:27">
      <c r="A391" s="99"/>
      <c r="B391" s="100"/>
      <c r="C391" s="100"/>
      <c r="D391" s="101"/>
      <c r="E391" s="101"/>
      <c r="F391" s="101"/>
      <c r="G391" s="101"/>
      <c r="I391" s="104"/>
      <c r="T391" s="104"/>
      <c r="U391" s="100"/>
      <c r="V391" s="112"/>
      <c r="AA391" s="11"/>
    </row>
    <row r="392" spans="1:27">
      <c r="A392" s="99"/>
      <c r="B392" s="100"/>
      <c r="C392" s="100"/>
      <c r="D392" s="101"/>
      <c r="E392" s="101"/>
      <c r="F392" s="101"/>
      <c r="G392" s="101"/>
      <c r="I392" s="104"/>
      <c r="T392" s="104"/>
      <c r="U392" s="100"/>
      <c r="V392" s="112"/>
      <c r="AA392" s="11"/>
    </row>
    <row r="393" spans="1:27">
      <c r="A393" s="99"/>
      <c r="B393" s="100"/>
      <c r="C393" s="100"/>
      <c r="D393" s="101"/>
      <c r="E393" s="101"/>
      <c r="F393" s="101"/>
      <c r="G393" s="101"/>
      <c r="I393" s="104"/>
      <c r="T393" s="104"/>
      <c r="U393" s="100"/>
      <c r="V393" s="112"/>
      <c r="AA393" s="11"/>
    </row>
    <row r="394" spans="1:27">
      <c r="A394" s="99"/>
      <c r="B394" s="100"/>
      <c r="C394" s="100"/>
      <c r="D394" s="101"/>
      <c r="E394" s="101"/>
      <c r="F394" s="101"/>
      <c r="G394" s="101"/>
      <c r="I394" s="104"/>
      <c r="T394" s="104"/>
      <c r="U394" s="100"/>
      <c r="V394" s="112"/>
      <c r="AA394" s="11"/>
    </row>
    <row r="395" spans="1:27">
      <c r="A395" s="99"/>
      <c r="B395" s="100"/>
      <c r="C395" s="100"/>
      <c r="D395" s="101"/>
      <c r="E395" s="101"/>
      <c r="F395" s="101"/>
      <c r="G395" s="101"/>
      <c r="I395" s="104"/>
      <c r="T395" s="104"/>
      <c r="U395" s="100"/>
      <c r="V395" s="112"/>
      <c r="AA395" s="11"/>
    </row>
    <row r="396" spans="1:27">
      <c r="A396" s="99"/>
      <c r="B396" s="100"/>
      <c r="C396" s="100"/>
      <c r="D396" s="101"/>
      <c r="E396" s="101"/>
      <c r="F396" s="101"/>
      <c r="G396" s="101"/>
      <c r="I396" s="104"/>
      <c r="T396" s="104"/>
      <c r="U396" s="100"/>
      <c r="V396" s="112"/>
      <c r="AA396" s="11"/>
    </row>
    <row r="397" spans="1:27">
      <c r="A397" s="99"/>
      <c r="B397" s="100"/>
      <c r="C397" s="100"/>
      <c r="D397" s="101"/>
      <c r="E397" s="101"/>
      <c r="F397" s="101"/>
      <c r="G397" s="101"/>
      <c r="I397" s="104"/>
      <c r="T397" s="104"/>
      <c r="U397" s="100"/>
      <c r="V397" s="112"/>
      <c r="AA397" s="11"/>
    </row>
    <row r="398" spans="1:27">
      <c r="A398" s="99"/>
      <c r="B398" s="100"/>
      <c r="C398" s="100"/>
      <c r="D398" s="101"/>
      <c r="E398" s="101"/>
      <c r="F398" s="101"/>
      <c r="G398" s="101"/>
      <c r="I398" s="104"/>
      <c r="T398" s="104"/>
      <c r="U398" s="100"/>
      <c r="V398" s="112"/>
      <c r="AA398" s="11"/>
    </row>
    <row r="399" spans="1:27">
      <c r="A399" s="99"/>
      <c r="B399" s="100"/>
      <c r="C399" s="100"/>
      <c r="D399" s="101"/>
      <c r="E399" s="101"/>
      <c r="F399" s="101"/>
      <c r="G399" s="101"/>
      <c r="I399" s="104"/>
      <c r="T399" s="104"/>
      <c r="U399" s="100"/>
      <c r="V399" s="112"/>
      <c r="AA399" s="11"/>
    </row>
    <row r="400" spans="1:27">
      <c r="A400" s="99"/>
      <c r="B400" s="100"/>
      <c r="C400" s="100"/>
      <c r="D400" s="101"/>
      <c r="E400" s="101"/>
      <c r="F400" s="101"/>
      <c r="G400" s="101"/>
      <c r="I400" s="104"/>
      <c r="T400" s="104"/>
      <c r="U400" s="100"/>
      <c r="V400" s="112"/>
      <c r="AA400" s="11"/>
    </row>
    <row r="401" spans="1:27">
      <c r="A401" s="99"/>
      <c r="B401" s="100"/>
      <c r="C401" s="100"/>
      <c r="D401" s="101"/>
      <c r="E401" s="101"/>
      <c r="F401" s="101"/>
      <c r="G401" s="101"/>
      <c r="I401" s="104"/>
      <c r="T401" s="104"/>
      <c r="U401" s="100"/>
      <c r="V401" s="112"/>
      <c r="AA401" s="11"/>
    </row>
    <row r="402" spans="1:27">
      <c r="A402" s="99"/>
      <c r="B402" s="100"/>
      <c r="C402" s="100"/>
      <c r="D402" s="101"/>
      <c r="E402" s="101"/>
      <c r="F402" s="101"/>
      <c r="G402" s="101"/>
      <c r="I402" s="104"/>
      <c r="T402" s="104"/>
      <c r="U402" s="100"/>
      <c r="V402" s="112"/>
      <c r="AA402" s="11"/>
    </row>
    <row r="403" spans="1:27">
      <c r="A403" s="99"/>
      <c r="B403" s="100"/>
      <c r="C403" s="100"/>
      <c r="D403" s="101"/>
      <c r="E403" s="101"/>
      <c r="F403" s="101"/>
      <c r="G403" s="101"/>
      <c r="I403" s="104"/>
      <c r="T403" s="104"/>
      <c r="U403" s="100"/>
      <c r="V403" s="112"/>
      <c r="AA403" s="11"/>
    </row>
    <row r="404" spans="1:27">
      <c r="A404" s="99"/>
      <c r="B404" s="100"/>
      <c r="C404" s="100"/>
      <c r="D404" s="101"/>
      <c r="E404" s="101"/>
      <c r="F404" s="101"/>
      <c r="G404" s="101"/>
      <c r="I404" s="104"/>
      <c r="T404" s="104"/>
      <c r="U404" s="100"/>
      <c r="V404" s="112"/>
      <c r="AA404" s="11"/>
    </row>
    <row r="405" spans="1:27">
      <c r="A405" s="99"/>
      <c r="B405" s="100"/>
      <c r="C405" s="100"/>
      <c r="D405" s="101"/>
      <c r="E405" s="101"/>
      <c r="F405" s="101"/>
      <c r="G405" s="101"/>
      <c r="I405" s="104"/>
      <c r="T405" s="104"/>
      <c r="U405" s="100"/>
      <c r="V405" s="112"/>
      <c r="AA405" s="11"/>
    </row>
    <row r="406" spans="1:27">
      <c r="A406" s="99"/>
      <c r="B406" s="100"/>
      <c r="C406" s="100"/>
      <c r="D406" s="101"/>
      <c r="E406" s="101"/>
      <c r="F406" s="101"/>
      <c r="G406" s="101"/>
      <c r="I406" s="104"/>
      <c r="T406" s="104"/>
      <c r="U406" s="100"/>
      <c r="V406" s="112"/>
      <c r="AA406" s="11"/>
    </row>
    <row r="407" spans="1:27">
      <c r="A407" s="99"/>
      <c r="B407" s="100"/>
      <c r="C407" s="100"/>
      <c r="D407" s="101"/>
      <c r="E407" s="101"/>
      <c r="F407" s="101"/>
      <c r="G407" s="101"/>
      <c r="I407" s="104"/>
      <c r="T407" s="104"/>
      <c r="U407" s="100"/>
      <c r="V407" s="112"/>
      <c r="AA407" s="11"/>
    </row>
    <row r="408" spans="1:27">
      <c r="A408" s="99"/>
      <c r="B408" s="100"/>
      <c r="C408" s="100"/>
      <c r="D408" s="101"/>
      <c r="E408" s="101"/>
      <c r="F408" s="101"/>
      <c r="G408" s="101"/>
      <c r="I408" s="104"/>
      <c r="T408" s="104"/>
      <c r="U408" s="100"/>
      <c r="V408" s="112"/>
      <c r="AA408" s="11"/>
    </row>
    <row r="409" spans="1:27">
      <c r="A409" s="99"/>
      <c r="B409" s="100"/>
      <c r="C409" s="100"/>
      <c r="D409" s="101"/>
      <c r="E409" s="101"/>
      <c r="F409" s="101"/>
      <c r="G409" s="101"/>
      <c r="I409" s="104"/>
      <c r="T409" s="104"/>
      <c r="U409" s="100"/>
      <c r="V409" s="112"/>
      <c r="AA409" s="11"/>
    </row>
    <row r="410" spans="1:27">
      <c r="A410" s="99"/>
      <c r="B410" s="100"/>
      <c r="C410" s="100"/>
      <c r="D410" s="101"/>
      <c r="E410" s="101"/>
      <c r="F410" s="101"/>
      <c r="G410" s="101"/>
      <c r="I410" s="104"/>
      <c r="T410" s="104"/>
      <c r="U410" s="100"/>
      <c r="V410" s="112"/>
      <c r="AA410" s="11"/>
    </row>
    <row r="411" spans="1:27">
      <c r="A411" s="99"/>
      <c r="B411" s="100"/>
      <c r="C411" s="100"/>
      <c r="D411" s="101"/>
      <c r="E411" s="101"/>
      <c r="F411" s="101"/>
      <c r="G411" s="101"/>
      <c r="I411" s="104"/>
      <c r="T411" s="104"/>
      <c r="U411" s="100"/>
      <c r="V411" s="112"/>
      <c r="AA411" s="11"/>
    </row>
    <row r="412" spans="1:27">
      <c r="A412" s="99"/>
      <c r="B412" s="100"/>
      <c r="C412" s="100"/>
      <c r="D412" s="101"/>
      <c r="E412" s="101"/>
      <c r="F412" s="101"/>
      <c r="G412" s="101"/>
      <c r="I412" s="104"/>
      <c r="T412" s="104"/>
      <c r="U412" s="100"/>
      <c r="V412" s="112"/>
      <c r="AA412" s="11"/>
    </row>
    <row r="413" spans="1:27">
      <c r="A413" s="99"/>
      <c r="B413" s="100"/>
      <c r="C413" s="100"/>
      <c r="D413" s="101"/>
      <c r="E413" s="101"/>
      <c r="F413" s="101"/>
      <c r="G413" s="101"/>
      <c r="I413" s="104"/>
      <c r="T413" s="104"/>
      <c r="U413" s="100"/>
      <c r="V413" s="112"/>
      <c r="AA413" s="11"/>
    </row>
    <row r="414" spans="1:27">
      <c r="A414" s="99"/>
      <c r="B414" s="100"/>
      <c r="C414" s="100"/>
      <c r="D414" s="101"/>
      <c r="E414" s="101"/>
      <c r="F414" s="101"/>
      <c r="G414" s="101"/>
      <c r="I414" s="104"/>
      <c r="T414" s="104"/>
      <c r="U414" s="100"/>
      <c r="V414" s="112"/>
      <c r="AA414" s="11"/>
    </row>
    <row r="415" spans="1:27">
      <c r="A415" s="99"/>
      <c r="B415" s="100"/>
      <c r="C415" s="100"/>
      <c r="D415" s="101"/>
      <c r="E415" s="101"/>
      <c r="F415" s="101"/>
      <c r="G415" s="101"/>
      <c r="I415" s="104"/>
      <c r="T415" s="104"/>
      <c r="U415" s="100"/>
      <c r="V415" s="112"/>
      <c r="AA415" s="11"/>
    </row>
    <row r="416" spans="1:27">
      <c r="A416" s="99"/>
      <c r="B416" s="100"/>
      <c r="C416" s="100"/>
      <c r="D416" s="101"/>
      <c r="E416" s="101"/>
      <c r="F416" s="101"/>
      <c r="G416" s="101"/>
      <c r="I416" s="104"/>
      <c r="T416" s="104"/>
      <c r="U416" s="100"/>
      <c r="V416" s="112"/>
      <c r="AA416" s="11"/>
    </row>
    <row r="417" spans="1:27">
      <c r="A417" s="99"/>
      <c r="B417" s="100"/>
      <c r="C417" s="100"/>
      <c r="D417" s="101"/>
      <c r="E417" s="101"/>
      <c r="F417" s="101"/>
      <c r="G417" s="101"/>
      <c r="I417" s="104"/>
      <c r="T417" s="104"/>
      <c r="U417" s="100"/>
      <c r="V417" s="112"/>
      <c r="AA417" s="11"/>
    </row>
    <row r="418" spans="1:27">
      <c r="A418" s="99"/>
      <c r="B418" s="100"/>
      <c r="C418" s="100"/>
      <c r="D418" s="101"/>
      <c r="E418" s="101"/>
      <c r="F418" s="101"/>
      <c r="G418" s="101"/>
      <c r="I418" s="104"/>
      <c r="T418" s="104"/>
      <c r="U418" s="100"/>
      <c r="V418" s="112"/>
      <c r="AA418" s="11"/>
    </row>
    <row r="419" spans="1:27">
      <c r="A419" s="99"/>
      <c r="B419" s="100"/>
      <c r="C419" s="100"/>
      <c r="D419" s="101"/>
      <c r="E419" s="101"/>
      <c r="F419" s="101"/>
      <c r="G419" s="101"/>
      <c r="I419" s="104"/>
      <c r="T419" s="104"/>
      <c r="U419" s="100"/>
      <c r="V419" s="112"/>
      <c r="AA419" s="11"/>
    </row>
    <row r="420" spans="1:27">
      <c r="A420" s="99"/>
      <c r="B420" s="100"/>
      <c r="C420" s="100"/>
      <c r="D420" s="101"/>
      <c r="E420" s="101"/>
      <c r="F420" s="101"/>
      <c r="G420" s="101"/>
      <c r="I420" s="104"/>
      <c r="T420" s="104"/>
      <c r="U420" s="100"/>
      <c r="V420" s="112"/>
      <c r="AA420" s="11"/>
    </row>
    <row r="421" spans="1:27">
      <c r="A421" s="99"/>
      <c r="B421" s="100"/>
      <c r="C421" s="100"/>
      <c r="D421" s="101"/>
      <c r="E421" s="101"/>
      <c r="F421" s="101"/>
      <c r="G421" s="101"/>
      <c r="I421" s="104"/>
      <c r="T421" s="104"/>
      <c r="U421" s="100"/>
      <c r="V421" s="112"/>
      <c r="AA421" s="11"/>
    </row>
    <row r="422" spans="1:27">
      <c r="A422" s="99"/>
      <c r="B422" s="100"/>
      <c r="C422" s="100"/>
      <c r="D422" s="101"/>
      <c r="E422" s="101"/>
      <c r="F422" s="101"/>
      <c r="G422" s="101"/>
      <c r="I422" s="104"/>
      <c r="T422" s="104"/>
      <c r="U422" s="100"/>
      <c r="V422" s="112"/>
      <c r="AA422" s="11"/>
    </row>
    <row r="423" spans="1:27">
      <c r="A423" s="99"/>
      <c r="B423" s="100"/>
      <c r="C423" s="100"/>
      <c r="D423" s="101"/>
      <c r="E423" s="101"/>
      <c r="F423" s="101"/>
      <c r="G423" s="101"/>
      <c r="I423" s="104"/>
      <c r="T423" s="104"/>
      <c r="U423" s="100"/>
      <c r="V423" s="112"/>
      <c r="AA423" s="11"/>
    </row>
    <row r="424" spans="1:27">
      <c r="A424" s="99"/>
      <c r="B424" s="100"/>
      <c r="C424" s="100"/>
      <c r="D424" s="101"/>
      <c r="E424" s="101"/>
      <c r="F424" s="101"/>
      <c r="G424" s="101"/>
      <c r="I424" s="104"/>
      <c r="T424" s="104"/>
      <c r="U424" s="100"/>
      <c r="V424" s="112"/>
      <c r="AA424" s="11"/>
    </row>
    <row r="425" spans="1:27">
      <c r="A425" s="99"/>
      <c r="B425" s="100"/>
      <c r="C425" s="100"/>
      <c r="D425" s="101"/>
      <c r="E425" s="101"/>
      <c r="F425" s="101"/>
      <c r="G425" s="101"/>
      <c r="I425" s="104"/>
      <c r="T425" s="104"/>
      <c r="U425" s="100"/>
      <c r="V425" s="112"/>
      <c r="AA425" s="11"/>
    </row>
    <row r="426" spans="1:27">
      <c r="A426" s="99"/>
      <c r="B426" s="100"/>
      <c r="C426" s="100"/>
      <c r="D426" s="101"/>
      <c r="E426" s="101"/>
      <c r="F426" s="101"/>
      <c r="G426" s="101"/>
      <c r="I426" s="104"/>
      <c r="T426" s="104"/>
      <c r="U426" s="100"/>
      <c r="V426" s="112"/>
      <c r="AA426" s="11"/>
    </row>
    <row r="427" spans="1:27">
      <c r="A427" s="99"/>
      <c r="B427" s="100"/>
      <c r="C427" s="100"/>
      <c r="D427" s="101"/>
      <c r="E427" s="101"/>
      <c r="F427" s="101"/>
      <c r="G427" s="101"/>
      <c r="I427" s="104"/>
      <c r="T427" s="104"/>
      <c r="U427" s="100"/>
      <c r="V427" s="112"/>
      <c r="AA427" s="11"/>
    </row>
    <row r="428" spans="1:27">
      <c r="A428" s="99"/>
      <c r="B428" s="100"/>
      <c r="C428" s="100"/>
      <c r="D428" s="101"/>
      <c r="E428" s="101"/>
      <c r="F428" s="101"/>
      <c r="G428" s="101"/>
      <c r="I428" s="104"/>
      <c r="T428" s="104"/>
      <c r="U428" s="100"/>
      <c r="V428" s="112"/>
      <c r="AA428" s="11"/>
    </row>
    <row r="429" spans="1:27">
      <c r="A429" s="99"/>
      <c r="B429" s="100"/>
      <c r="C429" s="100"/>
      <c r="D429" s="101"/>
      <c r="E429" s="101"/>
      <c r="F429" s="101"/>
      <c r="G429" s="101"/>
      <c r="I429" s="104"/>
      <c r="T429" s="104"/>
      <c r="U429" s="100"/>
      <c r="V429" s="112"/>
      <c r="AA429" s="11"/>
    </row>
    <row r="430" spans="1:27">
      <c r="A430" s="99"/>
      <c r="B430" s="100"/>
      <c r="C430" s="100"/>
      <c r="D430" s="101"/>
      <c r="E430" s="101"/>
      <c r="F430" s="101"/>
      <c r="G430" s="101"/>
      <c r="I430" s="104"/>
      <c r="T430" s="104"/>
      <c r="U430" s="100"/>
      <c r="V430" s="112"/>
      <c r="AA430" s="11"/>
    </row>
    <row r="431" spans="1:27">
      <c r="A431" s="99"/>
      <c r="B431" s="100"/>
      <c r="C431" s="100"/>
      <c r="D431" s="101"/>
      <c r="E431" s="101"/>
      <c r="F431" s="101"/>
      <c r="G431" s="101"/>
      <c r="I431" s="104"/>
      <c r="T431" s="104"/>
      <c r="U431" s="100"/>
      <c r="V431" s="112"/>
      <c r="AA431" s="11"/>
    </row>
    <row r="432" spans="1:27">
      <c r="A432" s="99"/>
      <c r="B432" s="100"/>
      <c r="C432" s="100"/>
      <c r="D432" s="101"/>
      <c r="E432" s="101"/>
      <c r="F432" s="101"/>
      <c r="G432" s="101"/>
      <c r="I432" s="104"/>
      <c r="T432" s="104"/>
      <c r="U432" s="100"/>
      <c r="V432" s="112"/>
      <c r="AA432" s="11"/>
    </row>
    <row r="433" spans="1:27">
      <c r="A433" s="99"/>
      <c r="B433" s="100"/>
      <c r="C433" s="100"/>
      <c r="D433" s="101"/>
      <c r="E433" s="101"/>
      <c r="F433" s="101"/>
      <c r="G433" s="101"/>
      <c r="I433" s="104"/>
      <c r="T433" s="104"/>
      <c r="U433" s="100"/>
      <c r="V433" s="112"/>
      <c r="AA433" s="11"/>
    </row>
    <row r="434" spans="1:27">
      <c r="A434" s="99"/>
      <c r="B434" s="100"/>
      <c r="C434" s="100"/>
      <c r="D434" s="101"/>
      <c r="E434" s="101"/>
      <c r="F434" s="101"/>
      <c r="G434" s="101"/>
      <c r="I434" s="104"/>
      <c r="T434" s="104"/>
      <c r="U434" s="100"/>
      <c r="V434" s="112"/>
      <c r="AA434" s="11"/>
    </row>
    <row r="435" spans="1:27">
      <c r="A435" s="99"/>
      <c r="B435" s="100"/>
      <c r="C435" s="100"/>
      <c r="D435" s="101"/>
      <c r="E435" s="101"/>
      <c r="F435" s="101"/>
      <c r="G435" s="101"/>
      <c r="I435" s="104"/>
      <c r="T435" s="104"/>
      <c r="U435" s="100"/>
      <c r="V435" s="112"/>
      <c r="AA435" s="11"/>
    </row>
    <row r="436" spans="1:27">
      <c r="A436" s="99"/>
      <c r="B436" s="100"/>
      <c r="C436" s="100"/>
      <c r="D436" s="101"/>
      <c r="E436" s="101"/>
      <c r="F436" s="101"/>
      <c r="G436" s="101"/>
      <c r="I436" s="104"/>
      <c r="T436" s="104"/>
      <c r="U436" s="100"/>
      <c r="V436" s="112"/>
      <c r="AA436" s="11"/>
    </row>
    <row r="437" spans="1:27">
      <c r="A437" s="99"/>
      <c r="B437" s="100"/>
      <c r="C437" s="100"/>
      <c r="D437" s="101"/>
      <c r="E437" s="101"/>
      <c r="F437" s="101"/>
      <c r="G437" s="101"/>
      <c r="I437" s="104"/>
      <c r="T437" s="104"/>
      <c r="U437" s="100"/>
      <c r="V437" s="112"/>
      <c r="AA437" s="11"/>
    </row>
    <row r="438" spans="1:27">
      <c r="A438" s="99"/>
      <c r="B438" s="100"/>
      <c r="C438" s="100"/>
      <c r="D438" s="101"/>
      <c r="E438" s="101"/>
      <c r="F438" s="101"/>
      <c r="G438" s="101"/>
      <c r="I438" s="104"/>
      <c r="T438" s="104"/>
      <c r="U438" s="100"/>
      <c r="V438" s="112"/>
      <c r="AA438" s="11"/>
    </row>
    <row r="439" spans="1:27">
      <c r="A439" s="99"/>
      <c r="B439" s="100"/>
      <c r="C439" s="100"/>
      <c r="D439" s="101"/>
      <c r="E439" s="101"/>
      <c r="F439" s="101"/>
      <c r="G439" s="101"/>
      <c r="I439" s="104"/>
      <c r="T439" s="104"/>
      <c r="U439" s="100"/>
      <c r="V439" s="112"/>
      <c r="AA439" s="11"/>
    </row>
    <row r="440" spans="1:27">
      <c r="A440" s="99"/>
      <c r="B440" s="100"/>
      <c r="C440" s="100"/>
      <c r="D440" s="101"/>
      <c r="E440" s="101"/>
      <c r="F440" s="101"/>
      <c r="G440" s="101"/>
      <c r="I440" s="104"/>
      <c r="T440" s="104"/>
      <c r="U440" s="100"/>
      <c r="V440" s="112"/>
      <c r="AA440" s="11"/>
    </row>
    <row r="441" spans="1:27">
      <c r="A441" s="99"/>
      <c r="B441" s="100"/>
      <c r="C441" s="100"/>
      <c r="D441" s="101"/>
      <c r="E441" s="101"/>
      <c r="F441" s="101"/>
      <c r="G441" s="101"/>
      <c r="I441" s="104"/>
      <c r="T441" s="104"/>
      <c r="U441" s="100"/>
      <c r="V441" s="112"/>
      <c r="AA441" s="11"/>
    </row>
    <row r="442" spans="1:27">
      <c r="A442" s="99"/>
      <c r="B442" s="100"/>
      <c r="C442" s="100"/>
      <c r="D442" s="101"/>
      <c r="E442" s="101"/>
      <c r="F442" s="101"/>
      <c r="G442" s="101"/>
      <c r="I442" s="104"/>
      <c r="T442" s="104"/>
      <c r="U442" s="100"/>
      <c r="V442" s="112"/>
      <c r="AA442" s="11"/>
    </row>
    <row r="443" spans="1:27">
      <c r="A443" s="99"/>
      <c r="B443" s="100"/>
      <c r="C443" s="100"/>
      <c r="D443" s="101"/>
      <c r="E443" s="101"/>
      <c r="F443" s="101"/>
      <c r="G443" s="101"/>
      <c r="I443" s="104"/>
      <c r="T443" s="104"/>
      <c r="U443" s="100"/>
      <c r="V443" s="112"/>
      <c r="AA443" s="11"/>
    </row>
    <row r="444" spans="1:27">
      <c r="A444" s="99"/>
      <c r="B444" s="100"/>
      <c r="C444" s="100"/>
      <c r="D444" s="101"/>
      <c r="E444" s="101"/>
      <c r="F444" s="101"/>
      <c r="G444" s="101"/>
      <c r="I444" s="104"/>
      <c r="T444" s="104"/>
      <c r="U444" s="100"/>
      <c r="V444" s="112"/>
      <c r="AA444" s="11"/>
    </row>
    <row r="445" spans="1:27">
      <c r="A445" s="99"/>
      <c r="B445" s="100"/>
      <c r="C445" s="100"/>
      <c r="D445" s="101"/>
      <c r="E445" s="101"/>
      <c r="F445" s="101"/>
      <c r="G445" s="101"/>
      <c r="I445" s="104"/>
      <c r="T445" s="104"/>
      <c r="U445" s="100"/>
      <c r="V445" s="112"/>
      <c r="AA445" s="11"/>
    </row>
    <row r="446" spans="1:27">
      <c r="A446" s="99"/>
      <c r="B446" s="100"/>
      <c r="C446" s="100"/>
      <c r="D446" s="101"/>
      <c r="E446" s="101"/>
      <c r="F446" s="101"/>
      <c r="G446" s="101"/>
      <c r="I446" s="104"/>
      <c r="T446" s="104"/>
      <c r="U446" s="100"/>
      <c r="V446" s="112"/>
      <c r="AA446" s="11"/>
    </row>
    <row r="447" spans="1:27">
      <c r="A447" s="99"/>
      <c r="B447" s="100"/>
      <c r="C447" s="100"/>
      <c r="D447" s="101"/>
      <c r="E447" s="101"/>
      <c r="F447" s="101"/>
      <c r="G447" s="101"/>
      <c r="I447" s="104"/>
      <c r="T447" s="104"/>
      <c r="U447" s="100"/>
      <c r="V447" s="112"/>
      <c r="AA447" s="11"/>
    </row>
    <row r="448" spans="1:27">
      <c r="A448" s="99"/>
      <c r="B448" s="100"/>
      <c r="C448" s="100"/>
      <c r="D448" s="101"/>
      <c r="E448" s="101"/>
      <c r="F448" s="101"/>
      <c r="G448" s="101"/>
      <c r="I448" s="104"/>
      <c r="T448" s="104"/>
      <c r="U448" s="100"/>
      <c r="V448" s="112"/>
      <c r="AA448" s="11"/>
    </row>
    <row r="449" spans="1:27">
      <c r="A449" s="99"/>
      <c r="B449" s="100"/>
      <c r="C449" s="100"/>
      <c r="D449" s="101"/>
      <c r="E449" s="101"/>
      <c r="F449" s="101"/>
      <c r="G449" s="101"/>
      <c r="I449" s="104"/>
      <c r="T449" s="104"/>
      <c r="U449" s="100"/>
      <c r="V449" s="112"/>
      <c r="AA449" s="11"/>
    </row>
    <row r="450" spans="1:27">
      <c r="A450" s="99"/>
      <c r="B450" s="100"/>
      <c r="C450" s="100"/>
      <c r="D450" s="101"/>
      <c r="E450" s="101"/>
      <c r="F450" s="101"/>
      <c r="G450" s="101"/>
      <c r="I450" s="104"/>
      <c r="T450" s="104"/>
      <c r="U450" s="100"/>
      <c r="V450" s="112"/>
      <c r="AA450" s="11"/>
    </row>
    <row r="451" spans="1:27">
      <c r="A451" s="99"/>
      <c r="B451" s="100"/>
      <c r="C451" s="100"/>
      <c r="D451" s="101"/>
      <c r="E451" s="101"/>
      <c r="F451" s="101"/>
      <c r="G451" s="101"/>
      <c r="I451" s="104"/>
      <c r="T451" s="104"/>
      <c r="U451" s="100"/>
      <c r="V451" s="112"/>
      <c r="AA451" s="11"/>
    </row>
    <row r="452" spans="1:27">
      <c r="A452" s="99"/>
      <c r="B452" s="100"/>
      <c r="C452" s="100"/>
      <c r="D452" s="101"/>
      <c r="E452" s="101"/>
      <c r="F452" s="101"/>
      <c r="G452" s="101"/>
      <c r="I452" s="104"/>
      <c r="T452" s="104"/>
      <c r="U452" s="100"/>
      <c r="V452" s="112"/>
      <c r="AA452" s="11"/>
    </row>
    <row r="453" spans="1:27">
      <c r="A453" s="99"/>
      <c r="B453" s="100"/>
      <c r="C453" s="100"/>
      <c r="D453" s="101"/>
      <c r="E453" s="101"/>
      <c r="F453" s="101"/>
      <c r="G453" s="101"/>
      <c r="I453" s="104"/>
      <c r="T453" s="104"/>
      <c r="U453" s="100"/>
      <c r="V453" s="112"/>
      <c r="AA453" s="11"/>
    </row>
    <row r="454" spans="1:27">
      <c r="A454" s="99"/>
      <c r="B454" s="100"/>
      <c r="C454" s="100"/>
      <c r="D454" s="101"/>
      <c r="E454" s="101"/>
      <c r="F454" s="101"/>
      <c r="G454" s="101"/>
      <c r="I454" s="104"/>
      <c r="T454" s="104"/>
      <c r="U454" s="100"/>
      <c r="V454" s="112"/>
      <c r="AA454" s="11"/>
    </row>
    <row r="455" spans="1:27">
      <c r="A455" s="99"/>
      <c r="B455" s="100"/>
      <c r="C455" s="100"/>
      <c r="D455" s="101"/>
      <c r="E455" s="101"/>
      <c r="F455" s="101"/>
      <c r="G455" s="101"/>
      <c r="I455" s="104"/>
      <c r="T455" s="104"/>
      <c r="U455" s="100"/>
      <c r="V455" s="112"/>
      <c r="AA455" s="11"/>
    </row>
    <row r="456" spans="1:27">
      <c r="A456" s="99"/>
      <c r="B456" s="100"/>
      <c r="C456" s="100"/>
      <c r="D456" s="101"/>
      <c r="E456" s="101"/>
      <c r="F456" s="101"/>
      <c r="G456" s="101"/>
      <c r="I456" s="104"/>
      <c r="T456" s="104"/>
      <c r="U456" s="100"/>
      <c r="V456" s="112"/>
      <c r="AA456" s="11"/>
    </row>
    <row r="457" spans="1:27">
      <c r="A457" s="99"/>
      <c r="B457" s="100"/>
      <c r="C457" s="100"/>
      <c r="D457" s="101"/>
      <c r="E457" s="101"/>
      <c r="F457" s="101"/>
      <c r="G457" s="101"/>
      <c r="I457" s="104"/>
      <c r="T457" s="104"/>
      <c r="U457" s="100"/>
      <c r="V457" s="112"/>
      <c r="AA457" s="11"/>
    </row>
    <row r="458" spans="1:27">
      <c r="A458" s="99"/>
      <c r="B458" s="100"/>
      <c r="C458" s="100"/>
      <c r="D458" s="101"/>
      <c r="E458" s="101"/>
      <c r="F458" s="101"/>
      <c r="G458" s="101"/>
      <c r="I458" s="104"/>
      <c r="T458" s="104"/>
      <c r="U458" s="100"/>
      <c r="V458" s="112"/>
      <c r="AA458" s="11"/>
    </row>
    <row r="459" spans="1:27">
      <c r="A459" s="99"/>
      <c r="B459" s="100"/>
      <c r="C459" s="100"/>
      <c r="D459" s="101"/>
      <c r="E459" s="101"/>
      <c r="F459" s="101"/>
      <c r="G459" s="101"/>
      <c r="I459" s="104"/>
      <c r="T459" s="104"/>
      <c r="U459" s="100"/>
      <c r="V459" s="112"/>
      <c r="AA459" s="11"/>
    </row>
    <row r="460" spans="1:27">
      <c r="A460" s="99"/>
      <c r="B460" s="100"/>
      <c r="C460" s="100"/>
      <c r="D460" s="101"/>
      <c r="E460" s="101"/>
      <c r="F460" s="101"/>
      <c r="G460" s="101"/>
      <c r="I460" s="104"/>
      <c r="T460" s="104"/>
      <c r="U460" s="100"/>
      <c r="V460" s="112"/>
      <c r="AA460" s="11"/>
    </row>
    <row r="461" spans="1:27">
      <c r="A461" s="99"/>
      <c r="B461" s="100"/>
      <c r="C461" s="100"/>
      <c r="D461" s="101"/>
      <c r="E461" s="101"/>
      <c r="F461" s="101"/>
      <c r="G461" s="101"/>
      <c r="I461" s="104"/>
      <c r="T461" s="104"/>
      <c r="U461" s="100"/>
      <c r="V461" s="112"/>
      <c r="AA461" s="11"/>
    </row>
    <row r="462" spans="1:27">
      <c r="A462" s="99"/>
      <c r="B462" s="100"/>
      <c r="C462" s="100"/>
      <c r="D462" s="101"/>
      <c r="E462" s="101"/>
      <c r="F462" s="101"/>
      <c r="G462" s="101"/>
      <c r="I462" s="104"/>
      <c r="T462" s="104"/>
      <c r="U462" s="100"/>
      <c r="V462" s="112"/>
      <c r="AA462" s="11"/>
    </row>
    <row r="463" spans="1:27">
      <c r="A463" s="99"/>
      <c r="B463" s="100"/>
      <c r="C463" s="100"/>
      <c r="D463" s="101"/>
      <c r="E463" s="101"/>
      <c r="F463" s="101"/>
      <c r="G463" s="101"/>
      <c r="I463" s="104"/>
      <c r="T463" s="104"/>
      <c r="U463" s="100"/>
      <c r="V463" s="112"/>
      <c r="AA463" s="11"/>
    </row>
    <row r="464" spans="1:27">
      <c r="A464" s="99"/>
      <c r="B464" s="100"/>
      <c r="C464" s="100"/>
      <c r="D464" s="101"/>
      <c r="E464" s="101"/>
      <c r="F464" s="101"/>
      <c r="G464" s="101"/>
      <c r="I464" s="104"/>
      <c r="T464" s="104"/>
      <c r="U464" s="100"/>
      <c r="V464" s="112"/>
      <c r="AA464" s="11"/>
    </row>
    <row r="465" spans="1:27">
      <c r="A465" s="99"/>
      <c r="B465" s="100"/>
      <c r="C465" s="100"/>
      <c r="D465" s="101"/>
      <c r="E465" s="101"/>
      <c r="F465" s="101"/>
      <c r="G465" s="101"/>
      <c r="I465" s="104"/>
      <c r="T465" s="104"/>
      <c r="U465" s="100"/>
      <c r="V465" s="112"/>
      <c r="AA465" s="11"/>
    </row>
    <row r="466" spans="1:27">
      <c r="A466" s="99"/>
      <c r="B466" s="100"/>
      <c r="C466" s="100"/>
      <c r="D466" s="101"/>
      <c r="E466" s="101"/>
      <c r="F466" s="101"/>
      <c r="G466" s="101"/>
      <c r="I466" s="104"/>
      <c r="T466" s="104"/>
      <c r="U466" s="100"/>
      <c r="V466" s="112"/>
      <c r="AA466" s="11"/>
    </row>
    <row r="467" spans="1:27">
      <c r="A467" s="99"/>
      <c r="B467" s="100"/>
      <c r="C467" s="100"/>
      <c r="D467" s="101"/>
      <c r="E467" s="101"/>
      <c r="F467" s="101"/>
      <c r="G467" s="101"/>
      <c r="I467" s="104"/>
      <c r="T467" s="104"/>
      <c r="U467" s="100"/>
      <c r="V467" s="112"/>
      <c r="AA467" s="11"/>
    </row>
    <row r="468" spans="1:27">
      <c r="A468" s="99"/>
      <c r="B468" s="100"/>
      <c r="C468" s="100"/>
      <c r="D468" s="101"/>
      <c r="E468" s="101"/>
      <c r="F468" s="101"/>
      <c r="G468" s="101"/>
      <c r="I468" s="104"/>
      <c r="T468" s="104"/>
      <c r="U468" s="100"/>
      <c r="V468" s="112"/>
      <c r="AA468" s="11"/>
    </row>
    <row r="469" spans="1:27">
      <c r="A469" s="99"/>
      <c r="B469" s="100"/>
      <c r="C469" s="100"/>
      <c r="D469" s="101"/>
      <c r="E469" s="101"/>
      <c r="F469" s="101"/>
      <c r="G469" s="101"/>
      <c r="I469" s="104"/>
      <c r="T469" s="104"/>
      <c r="U469" s="100"/>
      <c r="V469" s="112"/>
      <c r="AA469" s="11"/>
    </row>
    <row r="470" spans="1:27">
      <c r="A470" s="99"/>
      <c r="B470" s="100"/>
      <c r="C470" s="100"/>
      <c r="D470" s="101"/>
      <c r="E470" s="101"/>
      <c r="F470" s="101"/>
      <c r="G470" s="101"/>
      <c r="I470" s="104"/>
      <c r="T470" s="104"/>
      <c r="U470" s="100"/>
      <c r="V470" s="112"/>
      <c r="AA470" s="11"/>
    </row>
    <row r="471" spans="1:27">
      <c r="A471" s="99"/>
      <c r="B471" s="100"/>
      <c r="C471" s="100"/>
      <c r="D471" s="101"/>
      <c r="E471" s="101"/>
      <c r="F471" s="101"/>
      <c r="G471" s="101"/>
      <c r="I471" s="104"/>
      <c r="T471" s="104"/>
      <c r="U471" s="100"/>
      <c r="V471" s="112"/>
      <c r="AA471" s="11"/>
    </row>
    <row r="472" spans="1:27">
      <c r="A472" s="99"/>
      <c r="B472" s="100"/>
      <c r="C472" s="100"/>
      <c r="D472" s="101"/>
      <c r="E472" s="101"/>
      <c r="F472" s="101"/>
      <c r="G472" s="101"/>
      <c r="I472" s="104"/>
      <c r="T472" s="104"/>
      <c r="U472" s="100"/>
      <c r="V472" s="112"/>
      <c r="AA472" s="11"/>
    </row>
    <row r="473" spans="1:27">
      <c r="A473" s="99"/>
      <c r="B473" s="100"/>
      <c r="C473" s="100"/>
      <c r="D473" s="101"/>
      <c r="E473" s="101"/>
      <c r="F473" s="101"/>
      <c r="G473" s="101"/>
      <c r="I473" s="104"/>
      <c r="T473" s="104"/>
      <c r="U473" s="100"/>
      <c r="V473" s="112"/>
      <c r="AA473" s="11"/>
    </row>
    <row r="474" spans="1:27">
      <c r="A474" s="99"/>
      <c r="B474" s="100"/>
      <c r="C474" s="100"/>
      <c r="D474" s="101"/>
      <c r="E474" s="101"/>
      <c r="F474" s="101"/>
      <c r="G474" s="101"/>
      <c r="I474" s="104"/>
      <c r="T474" s="104"/>
      <c r="U474" s="100"/>
      <c r="V474" s="112"/>
      <c r="AA474" s="11"/>
    </row>
    <row r="475" spans="1:27">
      <c r="A475" s="99"/>
      <c r="B475" s="100"/>
      <c r="C475" s="100"/>
      <c r="D475" s="101"/>
      <c r="E475" s="101"/>
      <c r="F475" s="101"/>
      <c r="G475" s="101"/>
      <c r="I475" s="104"/>
      <c r="T475" s="104"/>
      <c r="U475" s="100"/>
      <c r="V475" s="112"/>
      <c r="AA475" s="11"/>
    </row>
    <row r="476" spans="1:27">
      <c r="A476" s="99"/>
      <c r="B476" s="100"/>
      <c r="C476" s="100"/>
      <c r="D476" s="101"/>
      <c r="E476" s="101"/>
      <c r="F476" s="101"/>
      <c r="G476" s="101"/>
      <c r="I476" s="104"/>
      <c r="T476" s="104"/>
      <c r="U476" s="100"/>
      <c r="V476" s="112"/>
      <c r="AA476" s="11"/>
    </row>
    <row r="477" spans="1:27">
      <c r="A477" s="99"/>
      <c r="B477" s="100"/>
      <c r="C477" s="100"/>
      <c r="D477" s="101"/>
      <c r="E477" s="101"/>
      <c r="F477" s="101"/>
      <c r="G477" s="101"/>
      <c r="I477" s="104"/>
      <c r="T477" s="104"/>
      <c r="U477" s="100"/>
      <c r="V477" s="112"/>
      <c r="AA477" s="11"/>
    </row>
    <row r="478" spans="1:27">
      <c r="A478" s="99"/>
      <c r="B478" s="100"/>
      <c r="C478" s="100"/>
      <c r="D478" s="101"/>
      <c r="E478" s="101"/>
      <c r="F478" s="101"/>
      <c r="G478" s="101"/>
      <c r="I478" s="104"/>
      <c r="T478" s="104"/>
      <c r="U478" s="100"/>
      <c r="V478" s="112"/>
      <c r="AA478" s="11"/>
    </row>
    <row r="479" spans="1:27">
      <c r="A479" s="99"/>
      <c r="B479" s="100"/>
      <c r="C479" s="100"/>
      <c r="D479" s="101"/>
      <c r="E479" s="101"/>
      <c r="F479" s="101"/>
      <c r="G479" s="101"/>
      <c r="I479" s="104"/>
      <c r="T479" s="104"/>
      <c r="U479" s="100"/>
      <c r="V479" s="112"/>
      <c r="AA479" s="11"/>
    </row>
    <row r="480" spans="1:27">
      <c r="A480" s="99"/>
      <c r="B480" s="100"/>
      <c r="C480" s="100"/>
      <c r="D480" s="101"/>
      <c r="E480" s="101"/>
      <c r="F480" s="101"/>
      <c r="G480" s="101"/>
      <c r="I480" s="104"/>
      <c r="T480" s="104"/>
      <c r="U480" s="100"/>
      <c r="V480" s="112"/>
      <c r="AA480" s="11"/>
    </row>
    <row r="481" spans="1:27">
      <c r="A481" s="99"/>
      <c r="B481" s="100"/>
      <c r="C481" s="100"/>
      <c r="D481" s="101"/>
      <c r="E481" s="101"/>
      <c r="F481" s="101"/>
      <c r="G481" s="101"/>
      <c r="I481" s="104"/>
      <c r="T481" s="104"/>
      <c r="U481" s="100"/>
      <c r="V481" s="112"/>
      <c r="AA481" s="11"/>
    </row>
    <row r="482" spans="1:27">
      <c r="A482" s="99"/>
      <c r="B482" s="100"/>
      <c r="C482" s="100"/>
      <c r="D482" s="101"/>
      <c r="E482" s="101"/>
      <c r="F482" s="101"/>
      <c r="G482" s="101"/>
      <c r="I482" s="104"/>
      <c r="T482" s="104"/>
      <c r="U482" s="100"/>
      <c r="V482" s="112"/>
      <c r="AA482" s="11"/>
    </row>
    <row r="483" spans="1:27">
      <c r="A483" s="99"/>
      <c r="B483" s="100"/>
      <c r="C483" s="100"/>
      <c r="D483" s="101"/>
      <c r="E483" s="101"/>
      <c r="F483" s="101"/>
      <c r="G483" s="101"/>
      <c r="I483" s="104"/>
      <c r="T483" s="104"/>
      <c r="U483" s="100"/>
      <c r="V483" s="112"/>
      <c r="AA483" s="11"/>
    </row>
    <row r="484" spans="1:27">
      <c r="A484" s="99"/>
      <c r="B484" s="100"/>
      <c r="C484" s="100"/>
      <c r="D484" s="101"/>
      <c r="E484" s="101"/>
      <c r="F484" s="101"/>
      <c r="G484" s="101"/>
      <c r="I484" s="104"/>
      <c r="T484" s="104"/>
      <c r="U484" s="100"/>
      <c r="V484" s="112"/>
      <c r="AA484" s="11"/>
    </row>
    <row r="485" spans="1:27">
      <c r="A485" s="99"/>
      <c r="B485" s="100"/>
      <c r="C485" s="100"/>
      <c r="D485" s="101"/>
      <c r="E485" s="101"/>
      <c r="F485" s="101"/>
      <c r="G485" s="101"/>
      <c r="I485" s="104"/>
      <c r="T485" s="104"/>
      <c r="U485" s="100"/>
      <c r="V485" s="112"/>
      <c r="AA485" s="11"/>
    </row>
    <row r="486" spans="1:27">
      <c r="A486" s="99"/>
      <c r="B486" s="100"/>
      <c r="C486" s="100"/>
      <c r="D486" s="101"/>
      <c r="E486" s="101"/>
      <c r="F486" s="101"/>
      <c r="G486" s="101"/>
      <c r="I486" s="104"/>
      <c r="T486" s="104"/>
      <c r="U486" s="100"/>
      <c r="V486" s="112"/>
      <c r="AA486" s="11"/>
    </row>
    <row r="487" spans="1:27">
      <c r="A487" s="99"/>
      <c r="B487" s="100"/>
      <c r="C487" s="100"/>
      <c r="D487" s="101"/>
      <c r="E487" s="101"/>
      <c r="F487" s="101"/>
      <c r="G487" s="101"/>
      <c r="I487" s="104"/>
      <c r="T487" s="104"/>
      <c r="U487" s="100"/>
      <c r="V487" s="112"/>
      <c r="AA487" s="11"/>
    </row>
    <row r="488" spans="1:27">
      <c r="A488" s="99"/>
      <c r="B488" s="100"/>
      <c r="C488" s="100"/>
      <c r="D488" s="101"/>
      <c r="E488" s="101"/>
      <c r="F488" s="101"/>
      <c r="G488" s="101"/>
      <c r="I488" s="104"/>
      <c r="T488" s="104"/>
      <c r="U488" s="100"/>
      <c r="V488" s="112"/>
      <c r="AA488" s="11"/>
    </row>
    <row r="489" spans="1:27">
      <c r="A489" s="99"/>
      <c r="B489" s="100"/>
      <c r="C489" s="100"/>
      <c r="D489" s="101"/>
      <c r="E489" s="101"/>
      <c r="F489" s="101"/>
      <c r="G489" s="101"/>
      <c r="I489" s="104"/>
      <c r="T489" s="104"/>
      <c r="U489" s="100"/>
      <c r="V489" s="112"/>
      <c r="AA489" s="11"/>
    </row>
    <row r="490" spans="1:27">
      <c r="A490" s="99"/>
      <c r="B490" s="100"/>
      <c r="C490" s="100"/>
      <c r="D490" s="101"/>
      <c r="E490" s="101"/>
      <c r="F490" s="101"/>
      <c r="G490" s="101"/>
      <c r="I490" s="104"/>
      <c r="T490" s="104"/>
      <c r="U490" s="100"/>
      <c r="V490" s="112"/>
      <c r="AA490" s="11"/>
    </row>
    <row r="491" spans="1:27">
      <c r="A491" s="99"/>
      <c r="B491" s="100"/>
      <c r="C491" s="100"/>
      <c r="D491" s="101"/>
      <c r="E491" s="101"/>
      <c r="F491" s="101"/>
      <c r="G491" s="101"/>
      <c r="I491" s="104"/>
      <c r="T491" s="104"/>
      <c r="U491" s="100"/>
      <c r="V491" s="112"/>
      <c r="AA491" s="11"/>
    </row>
    <row r="492" spans="1:27">
      <c r="A492" s="99"/>
      <c r="B492" s="100"/>
      <c r="C492" s="100"/>
      <c r="D492" s="101"/>
      <c r="E492" s="101"/>
      <c r="F492" s="101"/>
      <c r="G492" s="101"/>
      <c r="I492" s="104"/>
      <c r="T492" s="104"/>
      <c r="U492" s="100"/>
      <c r="V492" s="112"/>
      <c r="AA492" s="11"/>
    </row>
    <row r="493" spans="1:27">
      <c r="A493" s="99"/>
      <c r="B493" s="100"/>
      <c r="C493" s="100"/>
      <c r="D493" s="101"/>
      <c r="E493" s="101"/>
      <c r="F493" s="101"/>
      <c r="G493" s="101"/>
      <c r="I493" s="104"/>
      <c r="T493" s="104"/>
      <c r="U493" s="100"/>
      <c r="V493" s="112"/>
      <c r="AA493" s="11"/>
    </row>
    <row r="494" spans="1:27">
      <c r="A494" s="99"/>
      <c r="B494" s="100"/>
      <c r="C494" s="100"/>
      <c r="D494" s="101"/>
      <c r="E494" s="101"/>
      <c r="F494" s="101"/>
      <c r="G494" s="101"/>
      <c r="I494" s="104"/>
      <c r="T494" s="104"/>
      <c r="U494" s="100"/>
      <c r="V494" s="112"/>
      <c r="AA494" s="11"/>
    </row>
    <row r="495" spans="1:27">
      <c r="A495" s="99"/>
      <c r="B495" s="100"/>
      <c r="C495" s="100"/>
      <c r="D495" s="101"/>
      <c r="E495" s="101"/>
      <c r="F495" s="101"/>
      <c r="G495" s="101"/>
      <c r="I495" s="104"/>
      <c r="T495" s="104"/>
      <c r="U495" s="100"/>
      <c r="V495" s="112"/>
      <c r="AA495" s="11"/>
    </row>
    <row r="496" spans="1:27">
      <c r="A496" s="99"/>
      <c r="B496" s="100"/>
      <c r="C496" s="100"/>
      <c r="D496" s="101"/>
      <c r="E496" s="101"/>
      <c r="F496" s="101"/>
      <c r="G496" s="101"/>
      <c r="I496" s="104"/>
      <c r="T496" s="104"/>
      <c r="U496" s="100"/>
      <c r="V496" s="112"/>
      <c r="AA496" s="11"/>
    </row>
    <row r="497" spans="1:27">
      <c r="A497" s="99"/>
      <c r="B497" s="100"/>
      <c r="C497" s="100"/>
      <c r="D497" s="101"/>
      <c r="E497" s="101"/>
      <c r="F497" s="101"/>
      <c r="G497" s="101"/>
      <c r="I497" s="104"/>
      <c r="T497" s="104"/>
      <c r="U497" s="100"/>
      <c r="V497" s="112"/>
      <c r="AA497" s="11"/>
    </row>
    <row r="498" spans="1:27">
      <c r="A498" s="99"/>
      <c r="B498" s="100"/>
      <c r="C498" s="100"/>
      <c r="D498" s="101"/>
      <c r="E498" s="101"/>
      <c r="F498" s="101"/>
      <c r="G498" s="101"/>
      <c r="I498" s="104"/>
      <c r="T498" s="104"/>
      <c r="U498" s="100"/>
      <c r="V498" s="112"/>
      <c r="AA498" s="11"/>
    </row>
    <row r="499" spans="1:27">
      <c r="A499" s="99"/>
      <c r="B499" s="100"/>
      <c r="C499" s="100"/>
      <c r="D499" s="101"/>
      <c r="E499" s="101"/>
      <c r="F499" s="101"/>
      <c r="G499" s="101"/>
      <c r="I499" s="104"/>
      <c r="T499" s="104"/>
      <c r="U499" s="100"/>
      <c r="V499" s="112"/>
      <c r="AA499" s="11"/>
    </row>
    <row r="500" spans="1:27">
      <c r="A500" s="99"/>
      <c r="B500" s="100"/>
      <c r="C500" s="100"/>
      <c r="D500" s="101"/>
      <c r="E500" s="101"/>
      <c r="F500" s="101"/>
      <c r="G500" s="101"/>
      <c r="I500" s="104"/>
      <c r="T500" s="104"/>
      <c r="U500" s="100"/>
      <c r="V500" s="112"/>
      <c r="AA500" s="11"/>
    </row>
    <row r="501" spans="1:27">
      <c r="A501" s="99"/>
      <c r="B501" s="100"/>
      <c r="C501" s="100"/>
      <c r="D501" s="101"/>
      <c r="E501" s="101"/>
      <c r="F501" s="101"/>
      <c r="G501" s="101"/>
      <c r="I501" s="104"/>
      <c r="T501" s="104"/>
      <c r="U501" s="100"/>
      <c r="V501" s="112"/>
      <c r="AA501" s="11"/>
    </row>
    <row r="502" spans="1:27">
      <c r="A502" s="99"/>
      <c r="B502" s="100"/>
      <c r="C502" s="100"/>
      <c r="D502" s="101"/>
      <c r="E502" s="101"/>
      <c r="F502" s="101"/>
      <c r="G502" s="101"/>
      <c r="I502" s="104"/>
      <c r="T502" s="104"/>
      <c r="U502" s="100"/>
      <c r="V502" s="112"/>
      <c r="AA502" s="11"/>
    </row>
    <row r="503" spans="1:27">
      <c r="A503" s="99"/>
      <c r="B503" s="100"/>
      <c r="C503" s="100"/>
      <c r="D503" s="101"/>
      <c r="E503" s="101"/>
      <c r="F503" s="101"/>
      <c r="G503" s="101"/>
      <c r="I503" s="104"/>
      <c r="T503" s="104"/>
      <c r="U503" s="100"/>
      <c r="V503" s="112"/>
      <c r="AA503" s="11"/>
    </row>
    <row r="504" spans="1:27">
      <c r="A504" s="99"/>
      <c r="B504" s="100"/>
      <c r="C504" s="100"/>
      <c r="D504" s="101"/>
      <c r="E504" s="101"/>
      <c r="F504" s="101"/>
      <c r="G504" s="101"/>
      <c r="I504" s="104"/>
      <c r="T504" s="104"/>
      <c r="U504" s="100"/>
      <c r="V504" s="112"/>
      <c r="AA504" s="11"/>
    </row>
    <row r="505" spans="1:27">
      <c r="A505" s="99"/>
      <c r="B505" s="100"/>
      <c r="C505" s="100"/>
      <c r="D505" s="101"/>
      <c r="E505" s="101"/>
      <c r="F505" s="101"/>
      <c r="G505" s="101"/>
      <c r="I505" s="104"/>
      <c r="T505" s="104"/>
      <c r="U505" s="100"/>
      <c r="V505" s="112"/>
      <c r="AA505" s="11"/>
    </row>
    <row r="506" spans="1:27">
      <c r="A506" s="99"/>
      <c r="B506" s="100"/>
      <c r="C506" s="100"/>
      <c r="D506" s="101"/>
      <c r="E506" s="101"/>
      <c r="F506" s="101"/>
      <c r="G506" s="101"/>
      <c r="I506" s="104"/>
      <c r="T506" s="104"/>
      <c r="U506" s="100"/>
      <c r="V506" s="112"/>
      <c r="AA506" s="11"/>
    </row>
    <row r="507" spans="1:27">
      <c r="A507" s="99"/>
      <c r="B507" s="100"/>
      <c r="C507" s="100"/>
      <c r="D507" s="101"/>
      <c r="E507" s="101"/>
      <c r="F507" s="101"/>
      <c r="G507" s="101"/>
      <c r="I507" s="104"/>
      <c r="T507" s="104"/>
      <c r="U507" s="100"/>
      <c r="V507" s="112"/>
      <c r="AA507" s="11"/>
    </row>
    <row r="508" spans="1:27">
      <c r="A508" s="99"/>
      <c r="B508" s="100"/>
      <c r="C508" s="100"/>
      <c r="D508" s="101"/>
      <c r="E508" s="101"/>
      <c r="F508" s="101"/>
      <c r="G508" s="101"/>
      <c r="I508" s="104"/>
      <c r="T508" s="104"/>
      <c r="U508" s="100"/>
      <c r="V508" s="112"/>
      <c r="AA508" s="11"/>
    </row>
    <row r="509" spans="1:27">
      <c r="A509" s="99"/>
      <c r="B509" s="100"/>
      <c r="C509" s="100"/>
      <c r="D509" s="101"/>
      <c r="E509" s="101"/>
      <c r="F509" s="101"/>
      <c r="G509" s="101"/>
      <c r="I509" s="104"/>
      <c r="T509" s="104"/>
      <c r="U509" s="100"/>
      <c r="V509" s="112"/>
      <c r="AA509" s="11"/>
    </row>
    <row r="510" spans="1:27">
      <c r="A510" s="99"/>
      <c r="B510" s="100"/>
      <c r="C510" s="100"/>
      <c r="D510" s="101"/>
      <c r="E510" s="101"/>
      <c r="F510" s="101"/>
      <c r="G510" s="101"/>
      <c r="I510" s="104"/>
      <c r="T510" s="104"/>
      <c r="U510" s="100"/>
      <c r="V510" s="112"/>
      <c r="AA510" s="11"/>
    </row>
    <row r="511" spans="1:27">
      <c r="A511" s="99"/>
      <c r="B511" s="100"/>
      <c r="C511" s="100"/>
      <c r="D511" s="101"/>
      <c r="E511" s="101"/>
      <c r="F511" s="101"/>
      <c r="G511" s="101"/>
      <c r="I511" s="104"/>
      <c r="T511" s="104"/>
      <c r="U511" s="100"/>
      <c r="V511" s="112"/>
      <c r="AA511" s="11"/>
    </row>
    <row r="512" spans="1:27">
      <c r="A512" s="99"/>
      <c r="B512" s="100"/>
      <c r="C512" s="100"/>
      <c r="D512" s="101"/>
      <c r="E512" s="101"/>
      <c r="F512" s="101"/>
      <c r="G512" s="101"/>
      <c r="I512" s="104"/>
      <c r="T512" s="104"/>
      <c r="U512" s="100"/>
      <c r="V512" s="112"/>
      <c r="AA512" s="11"/>
    </row>
    <row r="513" spans="1:27">
      <c r="A513" s="99"/>
      <c r="B513" s="100"/>
      <c r="C513" s="100"/>
      <c r="D513" s="101"/>
      <c r="E513" s="101"/>
      <c r="F513" s="101"/>
      <c r="G513" s="101"/>
      <c r="I513" s="104"/>
      <c r="T513" s="104"/>
      <c r="U513" s="100"/>
      <c r="V513" s="112"/>
      <c r="AA513" s="11"/>
    </row>
    <row r="514" spans="1:27">
      <c r="A514" s="99"/>
      <c r="B514" s="100"/>
      <c r="C514" s="100"/>
      <c r="D514" s="101"/>
      <c r="E514" s="101"/>
      <c r="F514" s="101"/>
      <c r="G514" s="101"/>
      <c r="I514" s="104"/>
      <c r="T514" s="104"/>
      <c r="U514" s="100"/>
      <c r="V514" s="112"/>
      <c r="AA514" s="11"/>
    </row>
    <row r="515" spans="1:27">
      <c r="A515" s="99"/>
      <c r="B515" s="100"/>
      <c r="C515" s="100"/>
      <c r="D515" s="101"/>
      <c r="E515" s="101"/>
      <c r="F515" s="101"/>
      <c r="G515" s="101"/>
      <c r="I515" s="104"/>
      <c r="T515" s="104"/>
      <c r="U515" s="100"/>
      <c r="V515" s="112"/>
      <c r="AA515" s="11"/>
    </row>
    <row r="516" spans="1:27">
      <c r="A516" s="99"/>
      <c r="B516" s="100"/>
      <c r="C516" s="100"/>
      <c r="D516" s="101"/>
      <c r="E516" s="101"/>
      <c r="F516" s="101"/>
      <c r="G516" s="101"/>
      <c r="I516" s="104"/>
      <c r="T516" s="104"/>
      <c r="U516" s="100"/>
      <c r="V516" s="112"/>
      <c r="AA516" s="11"/>
    </row>
    <row r="517" spans="1:27">
      <c r="A517" s="99"/>
      <c r="B517" s="100"/>
      <c r="C517" s="100"/>
      <c r="D517" s="101"/>
      <c r="E517" s="101"/>
      <c r="F517" s="101"/>
      <c r="G517" s="101"/>
      <c r="I517" s="104"/>
      <c r="T517" s="104"/>
      <c r="U517" s="100"/>
      <c r="V517" s="112"/>
      <c r="AA517" s="11"/>
    </row>
    <row r="518" spans="1:27">
      <c r="A518" s="99"/>
      <c r="B518" s="100"/>
      <c r="C518" s="100"/>
      <c r="D518" s="101"/>
      <c r="E518" s="101"/>
      <c r="F518" s="101"/>
      <c r="G518" s="101"/>
      <c r="I518" s="104"/>
      <c r="T518" s="104"/>
      <c r="U518" s="100"/>
      <c r="V518" s="112"/>
      <c r="AA518" s="11"/>
    </row>
    <row r="519" spans="1:27">
      <c r="A519" s="99"/>
      <c r="B519" s="100"/>
      <c r="C519" s="100"/>
      <c r="D519" s="101"/>
      <c r="E519" s="101"/>
      <c r="F519" s="101"/>
      <c r="G519" s="101"/>
      <c r="I519" s="104"/>
      <c r="T519" s="104"/>
      <c r="U519" s="100"/>
      <c r="V519" s="112"/>
      <c r="AA519" s="11"/>
    </row>
    <row r="520" spans="1:27">
      <c r="A520" s="99"/>
      <c r="B520" s="100"/>
      <c r="C520" s="100"/>
      <c r="D520" s="101"/>
      <c r="E520" s="101"/>
      <c r="F520" s="101"/>
      <c r="G520" s="101"/>
      <c r="I520" s="104"/>
      <c r="T520" s="104"/>
      <c r="U520" s="100"/>
      <c r="V520" s="112"/>
      <c r="AA520" s="11"/>
    </row>
    <row r="521" spans="1:27">
      <c r="A521" s="99"/>
      <c r="B521" s="100"/>
      <c r="C521" s="100"/>
      <c r="D521" s="101"/>
      <c r="E521" s="101"/>
      <c r="F521" s="101"/>
      <c r="G521" s="101"/>
      <c r="I521" s="104"/>
      <c r="T521" s="104"/>
      <c r="U521" s="100"/>
      <c r="V521" s="112"/>
      <c r="AA521" s="11"/>
    </row>
    <row r="522" spans="1:27">
      <c r="A522" s="99"/>
      <c r="B522" s="100"/>
      <c r="C522" s="100"/>
      <c r="D522" s="101"/>
      <c r="E522" s="101"/>
      <c r="F522" s="101"/>
      <c r="G522" s="101"/>
      <c r="I522" s="104"/>
      <c r="T522" s="104"/>
      <c r="U522" s="100"/>
      <c r="V522" s="112"/>
      <c r="AA522" s="11"/>
    </row>
    <row r="523" spans="1:27">
      <c r="A523" s="99"/>
      <c r="B523" s="100"/>
      <c r="C523" s="100"/>
      <c r="D523" s="101"/>
      <c r="E523" s="101"/>
      <c r="F523" s="101"/>
      <c r="G523" s="101"/>
      <c r="I523" s="104"/>
      <c r="T523" s="104"/>
      <c r="U523" s="100"/>
      <c r="V523" s="112"/>
      <c r="AA523" s="11"/>
    </row>
    <row r="524" spans="1:27">
      <c r="A524" s="99"/>
      <c r="B524" s="100"/>
      <c r="C524" s="100"/>
      <c r="D524" s="101"/>
      <c r="E524" s="101"/>
      <c r="F524" s="101"/>
      <c r="G524" s="101"/>
      <c r="I524" s="104"/>
      <c r="T524" s="104"/>
      <c r="U524" s="100"/>
      <c r="V524" s="112"/>
      <c r="AA524" s="11"/>
    </row>
    <row r="525" spans="1:27">
      <c r="A525" s="99"/>
      <c r="B525" s="100"/>
      <c r="C525" s="100"/>
      <c r="D525" s="101"/>
      <c r="E525" s="101"/>
      <c r="F525" s="101"/>
      <c r="G525" s="101"/>
      <c r="I525" s="104"/>
      <c r="T525" s="104"/>
      <c r="U525" s="100"/>
      <c r="V525" s="112"/>
      <c r="AA525" s="11"/>
    </row>
    <row r="526" spans="1:27">
      <c r="A526" s="99"/>
      <c r="B526" s="100"/>
      <c r="C526" s="100"/>
      <c r="D526" s="101"/>
      <c r="E526" s="101"/>
      <c r="F526" s="101"/>
      <c r="G526" s="101"/>
      <c r="I526" s="104"/>
      <c r="T526" s="104"/>
      <c r="U526" s="100"/>
      <c r="V526" s="112"/>
      <c r="AA526" s="11"/>
    </row>
    <row r="527" spans="1:27">
      <c r="A527" s="99"/>
      <c r="B527" s="100"/>
      <c r="C527" s="100"/>
      <c r="D527" s="101"/>
      <c r="E527" s="101"/>
      <c r="F527" s="101"/>
      <c r="G527" s="101"/>
      <c r="I527" s="104"/>
      <c r="T527" s="104"/>
      <c r="U527" s="100"/>
      <c r="V527" s="112"/>
      <c r="AA527" s="11"/>
    </row>
    <row r="528" spans="1:27">
      <c r="A528" s="99"/>
      <c r="B528" s="100"/>
      <c r="C528" s="100"/>
      <c r="D528" s="101"/>
      <c r="E528" s="101"/>
      <c r="F528" s="101"/>
      <c r="G528" s="101"/>
      <c r="I528" s="104"/>
      <c r="T528" s="104"/>
      <c r="U528" s="100"/>
      <c r="V528" s="112"/>
      <c r="AA528" s="11"/>
    </row>
    <row r="529" spans="1:27">
      <c r="A529" s="99"/>
      <c r="B529" s="100"/>
      <c r="C529" s="100"/>
      <c r="D529" s="101"/>
      <c r="E529" s="101"/>
      <c r="F529" s="101"/>
      <c r="G529" s="101"/>
      <c r="I529" s="104"/>
      <c r="T529" s="104"/>
      <c r="U529" s="100"/>
      <c r="V529" s="112"/>
      <c r="AA529" s="11"/>
    </row>
    <row r="530" spans="1:27">
      <c r="A530" s="99"/>
      <c r="B530" s="100"/>
      <c r="C530" s="100"/>
      <c r="D530" s="101"/>
      <c r="E530" s="101"/>
      <c r="F530" s="101"/>
      <c r="G530" s="101"/>
      <c r="I530" s="104"/>
      <c r="T530" s="104"/>
      <c r="U530" s="100"/>
      <c r="V530" s="112"/>
      <c r="AA530" s="11"/>
    </row>
    <row r="531" spans="1:27">
      <c r="A531" s="99"/>
      <c r="B531" s="100"/>
      <c r="C531" s="100"/>
      <c r="D531" s="101"/>
      <c r="E531" s="101"/>
      <c r="F531" s="101"/>
      <c r="G531" s="101"/>
      <c r="I531" s="104"/>
      <c r="T531" s="104"/>
      <c r="U531" s="100"/>
      <c r="V531" s="112"/>
      <c r="AA531" s="11"/>
    </row>
    <row r="532" spans="1:27">
      <c r="A532" s="99"/>
      <c r="B532" s="100"/>
      <c r="C532" s="100"/>
      <c r="D532" s="101"/>
      <c r="E532" s="101"/>
      <c r="F532" s="101"/>
      <c r="G532" s="101"/>
      <c r="I532" s="104"/>
      <c r="T532" s="104"/>
      <c r="U532" s="100"/>
      <c r="V532" s="112"/>
      <c r="AA532" s="11"/>
    </row>
    <row r="533" spans="1:27">
      <c r="A533" s="99"/>
      <c r="B533" s="100"/>
      <c r="C533" s="100"/>
      <c r="D533" s="101"/>
      <c r="E533" s="101"/>
      <c r="F533" s="101"/>
      <c r="G533" s="101"/>
      <c r="I533" s="104"/>
      <c r="T533" s="104"/>
      <c r="U533" s="100"/>
      <c r="V533" s="112"/>
      <c r="AA533" s="11"/>
    </row>
    <row r="534" spans="1:27">
      <c r="A534" s="99"/>
      <c r="B534" s="100"/>
      <c r="C534" s="100"/>
      <c r="D534" s="101"/>
      <c r="E534" s="101"/>
      <c r="F534" s="101"/>
      <c r="G534" s="101"/>
      <c r="I534" s="104"/>
      <c r="T534" s="104"/>
      <c r="U534" s="100"/>
      <c r="V534" s="112"/>
      <c r="AA534" s="11"/>
    </row>
    <row r="535" spans="1:27">
      <c r="A535" s="99"/>
      <c r="B535" s="100"/>
      <c r="C535" s="100"/>
      <c r="D535" s="101"/>
      <c r="E535" s="101"/>
      <c r="F535" s="101"/>
      <c r="G535" s="101"/>
      <c r="I535" s="104"/>
      <c r="T535" s="104"/>
      <c r="U535" s="100"/>
      <c r="V535" s="112"/>
      <c r="AA535" s="11"/>
    </row>
    <row r="536" spans="1:27">
      <c r="A536" s="99"/>
      <c r="B536" s="100"/>
      <c r="C536" s="100"/>
      <c r="D536" s="101"/>
      <c r="E536" s="101"/>
      <c r="F536" s="101"/>
      <c r="G536" s="101"/>
      <c r="I536" s="104"/>
      <c r="T536" s="104"/>
      <c r="U536" s="100"/>
      <c r="V536" s="112"/>
      <c r="AA536" s="11"/>
    </row>
    <row r="537" spans="1:27">
      <c r="A537" s="99"/>
      <c r="B537" s="100"/>
      <c r="C537" s="100"/>
      <c r="D537" s="101"/>
      <c r="E537" s="101"/>
      <c r="F537" s="101"/>
      <c r="G537" s="101"/>
      <c r="I537" s="104"/>
      <c r="T537" s="104"/>
      <c r="U537" s="100"/>
      <c r="V537" s="112"/>
      <c r="AA537" s="11"/>
    </row>
    <row r="538" spans="1:27">
      <c r="A538" s="99"/>
      <c r="B538" s="100"/>
      <c r="C538" s="100"/>
      <c r="D538" s="101"/>
      <c r="E538" s="101"/>
      <c r="F538" s="101"/>
      <c r="G538" s="101"/>
      <c r="I538" s="104"/>
      <c r="T538" s="104"/>
      <c r="U538" s="100"/>
      <c r="V538" s="112"/>
      <c r="AA538" s="11"/>
    </row>
    <row r="539" spans="1:27">
      <c r="A539" s="99"/>
      <c r="B539" s="100"/>
      <c r="C539" s="100"/>
      <c r="D539" s="101"/>
      <c r="E539" s="101"/>
      <c r="F539" s="101"/>
      <c r="G539" s="101"/>
      <c r="I539" s="104"/>
      <c r="T539" s="104"/>
      <c r="U539" s="100"/>
      <c r="V539" s="112"/>
      <c r="AA539" s="11"/>
    </row>
    <row r="540" spans="1:27">
      <c r="A540" s="99"/>
      <c r="B540" s="100"/>
      <c r="C540" s="100"/>
      <c r="D540" s="101"/>
      <c r="E540" s="101"/>
      <c r="F540" s="101"/>
      <c r="G540" s="101"/>
      <c r="I540" s="104"/>
      <c r="T540" s="104"/>
      <c r="U540" s="100"/>
      <c r="V540" s="112"/>
      <c r="AA540" s="11"/>
    </row>
    <row r="541" spans="1:27">
      <c r="A541" s="99"/>
      <c r="B541" s="100"/>
      <c r="C541" s="100"/>
      <c r="D541" s="101"/>
      <c r="E541" s="101"/>
      <c r="F541" s="101"/>
      <c r="G541" s="101"/>
      <c r="I541" s="104"/>
      <c r="T541" s="104"/>
      <c r="U541" s="100"/>
      <c r="V541" s="112"/>
      <c r="AA541" s="11"/>
    </row>
    <row r="542" spans="1:27">
      <c r="A542" s="99"/>
      <c r="B542" s="100"/>
      <c r="C542" s="100"/>
      <c r="D542" s="101"/>
      <c r="E542" s="101"/>
      <c r="F542" s="101"/>
      <c r="G542" s="101"/>
      <c r="I542" s="104"/>
      <c r="T542" s="104"/>
      <c r="U542" s="100"/>
      <c r="V542" s="112"/>
      <c r="AA542" s="11"/>
    </row>
    <row r="543" spans="1:27">
      <c r="A543" s="99"/>
      <c r="B543" s="100"/>
      <c r="C543" s="100"/>
      <c r="D543" s="101"/>
      <c r="E543" s="101"/>
      <c r="F543" s="101"/>
      <c r="G543" s="101"/>
      <c r="I543" s="104"/>
      <c r="T543" s="104"/>
      <c r="U543" s="100"/>
      <c r="V543" s="112"/>
      <c r="AA543" s="11"/>
    </row>
    <row r="544" spans="1:27">
      <c r="A544" s="99"/>
      <c r="B544" s="100"/>
      <c r="C544" s="100"/>
      <c r="D544" s="101"/>
      <c r="E544" s="101"/>
      <c r="F544" s="101"/>
      <c r="G544" s="101"/>
      <c r="I544" s="104"/>
      <c r="T544" s="104"/>
      <c r="U544" s="100"/>
      <c r="V544" s="112"/>
      <c r="AA544" s="11"/>
    </row>
    <row r="545" spans="1:27">
      <c r="A545" s="99"/>
      <c r="B545" s="100"/>
      <c r="C545" s="100"/>
      <c r="D545" s="101"/>
      <c r="E545" s="101"/>
      <c r="F545" s="101"/>
      <c r="G545" s="101"/>
      <c r="I545" s="104"/>
      <c r="T545" s="104"/>
      <c r="U545" s="100"/>
      <c r="V545" s="112"/>
      <c r="AA545" s="11"/>
    </row>
    <row r="546" spans="1:27">
      <c r="A546" s="99"/>
      <c r="B546" s="100"/>
      <c r="C546" s="100"/>
      <c r="D546" s="101"/>
      <c r="E546" s="101"/>
      <c r="F546" s="101"/>
      <c r="G546" s="101"/>
      <c r="I546" s="104"/>
      <c r="T546" s="104"/>
      <c r="U546" s="100"/>
      <c r="V546" s="112"/>
      <c r="AA546" s="11"/>
    </row>
    <row r="547" spans="1:27">
      <c r="A547" s="99"/>
      <c r="B547" s="100"/>
      <c r="C547" s="100"/>
      <c r="D547" s="101"/>
      <c r="E547" s="101"/>
      <c r="F547" s="101"/>
      <c r="G547" s="101"/>
      <c r="I547" s="104"/>
      <c r="T547" s="104"/>
      <c r="U547" s="100"/>
      <c r="V547" s="112"/>
      <c r="AA547" s="11"/>
    </row>
    <row r="548" spans="1:27">
      <c r="A548" s="99"/>
      <c r="B548" s="100"/>
      <c r="C548" s="100"/>
      <c r="D548" s="101"/>
      <c r="E548" s="101"/>
      <c r="F548" s="101"/>
      <c r="G548" s="101"/>
      <c r="I548" s="104"/>
      <c r="T548" s="104"/>
      <c r="U548" s="100"/>
      <c r="V548" s="112"/>
      <c r="AA548" s="11"/>
    </row>
    <row r="549" spans="1:27">
      <c r="A549" s="99"/>
      <c r="B549" s="100"/>
      <c r="C549" s="100"/>
      <c r="D549" s="101"/>
      <c r="E549" s="101"/>
      <c r="F549" s="101"/>
      <c r="G549" s="101"/>
      <c r="I549" s="104"/>
      <c r="T549" s="104"/>
      <c r="U549" s="100"/>
      <c r="V549" s="112"/>
      <c r="AA549" s="11"/>
    </row>
    <row r="550" spans="1:27">
      <c r="A550" s="99"/>
      <c r="B550" s="100"/>
      <c r="C550" s="100"/>
      <c r="D550" s="101"/>
      <c r="E550" s="101"/>
      <c r="F550" s="101"/>
      <c r="G550" s="101"/>
      <c r="I550" s="104"/>
      <c r="T550" s="104"/>
      <c r="U550" s="100"/>
      <c r="V550" s="112"/>
      <c r="AA550" s="11"/>
    </row>
    <row r="551" spans="1:27">
      <c r="A551" s="99"/>
      <c r="B551" s="100"/>
      <c r="C551" s="100"/>
      <c r="D551" s="101"/>
      <c r="E551" s="101"/>
      <c r="F551" s="101"/>
      <c r="G551" s="101"/>
      <c r="I551" s="104"/>
      <c r="T551" s="104"/>
      <c r="U551" s="100"/>
      <c r="V551" s="112"/>
      <c r="AA551" s="11"/>
    </row>
    <row r="552" spans="1:27">
      <c r="A552" s="99"/>
      <c r="B552" s="100"/>
      <c r="C552" s="100"/>
      <c r="D552" s="101"/>
      <c r="E552" s="101"/>
      <c r="F552" s="101"/>
      <c r="G552" s="101"/>
      <c r="I552" s="104"/>
      <c r="T552" s="104"/>
      <c r="U552" s="100"/>
      <c r="V552" s="112"/>
      <c r="AA552" s="11"/>
    </row>
    <row r="553" spans="1:27">
      <c r="A553" s="99"/>
      <c r="B553" s="100"/>
      <c r="C553" s="100"/>
      <c r="D553" s="101"/>
      <c r="E553" s="101"/>
      <c r="F553" s="101"/>
      <c r="G553" s="101"/>
      <c r="I553" s="104"/>
      <c r="T553" s="104"/>
      <c r="U553" s="100"/>
      <c r="V553" s="112"/>
      <c r="AA553" s="11"/>
    </row>
    <row r="554" spans="1:27">
      <c r="A554" s="99"/>
      <c r="B554" s="100"/>
      <c r="C554" s="100"/>
      <c r="D554" s="101"/>
      <c r="E554" s="101"/>
      <c r="F554" s="101"/>
      <c r="G554" s="101"/>
      <c r="I554" s="104"/>
      <c r="T554" s="104"/>
      <c r="U554" s="100"/>
      <c r="V554" s="112"/>
      <c r="AA554" s="11"/>
    </row>
    <row r="555" spans="1:27">
      <c r="A555" s="99"/>
      <c r="B555" s="100"/>
      <c r="C555" s="100"/>
      <c r="D555" s="101"/>
      <c r="E555" s="101"/>
      <c r="F555" s="101"/>
      <c r="G555" s="101"/>
      <c r="I555" s="104"/>
      <c r="T555" s="104"/>
      <c r="U555" s="100"/>
      <c r="V555" s="112"/>
      <c r="AA555" s="11"/>
    </row>
    <row r="556" spans="1:27">
      <c r="A556" s="99"/>
      <c r="B556" s="100"/>
      <c r="C556" s="100"/>
      <c r="D556" s="101"/>
      <c r="E556" s="101"/>
      <c r="F556" s="101"/>
      <c r="G556" s="101"/>
      <c r="I556" s="104"/>
      <c r="T556" s="104"/>
      <c r="U556" s="100"/>
      <c r="V556" s="112"/>
      <c r="AA556" s="11"/>
    </row>
    <row r="557" spans="1:27">
      <c r="A557" s="99"/>
      <c r="B557" s="100"/>
      <c r="C557" s="100"/>
      <c r="D557" s="101"/>
      <c r="E557" s="101"/>
      <c r="F557" s="101"/>
      <c r="G557" s="101"/>
      <c r="I557" s="104"/>
      <c r="T557" s="104"/>
      <c r="U557" s="100"/>
      <c r="V557" s="112"/>
      <c r="AA557" s="11"/>
    </row>
    <row r="558" spans="1:27">
      <c r="A558" s="99"/>
      <c r="B558" s="100"/>
      <c r="C558" s="100"/>
      <c r="D558" s="101"/>
      <c r="E558" s="101"/>
      <c r="F558" s="101"/>
      <c r="G558" s="101"/>
      <c r="I558" s="104"/>
      <c r="T558" s="104"/>
      <c r="U558" s="100"/>
      <c r="V558" s="112"/>
      <c r="AA558" s="11"/>
    </row>
    <row r="559" spans="1:27">
      <c r="A559" s="99"/>
      <c r="B559" s="100"/>
      <c r="C559" s="100"/>
      <c r="D559" s="101"/>
      <c r="E559" s="101"/>
      <c r="F559" s="101"/>
      <c r="G559" s="101"/>
      <c r="I559" s="104"/>
      <c r="T559" s="104"/>
      <c r="U559" s="100"/>
      <c r="V559" s="112"/>
      <c r="AA559" s="11"/>
    </row>
    <row r="560" spans="1:27">
      <c r="A560" s="99"/>
      <c r="B560" s="100"/>
      <c r="C560" s="100"/>
      <c r="D560" s="101"/>
      <c r="E560" s="101"/>
      <c r="F560" s="101"/>
      <c r="G560" s="101"/>
      <c r="I560" s="104"/>
      <c r="T560" s="104"/>
      <c r="U560" s="100"/>
      <c r="V560" s="112"/>
      <c r="AA560" s="11"/>
    </row>
    <row r="561" spans="1:27">
      <c r="A561" s="99"/>
      <c r="B561" s="100"/>
      <c r="C561" s="100"/>
      <c r="D561" s="101"/>
      <c r="E561" s="101"/>
      <c r="F561" s="101"/>
      <c r="G561" s="101"/>
      <c r="I561" s="104"/>
      <c r="T561" s="104"/>
      <c r="U561" s="100"/>
      <c r="V561" s="112"/>
      <c r="AA561" s="11"/>
    </row>
    <row r="562" spans="1:27">
      <c r="A562" s="99"/>
      <c r="B562" s="100"/>
      <c r="C562" s="100"/>
      <c r="D562" s="101"/>
      <c r="E562" s="101"/>
      <c r="F562" s="101"/>
      <c r="G562" s="101"/>
      <c r="I562" s="104"/>
      <c r="T562" s="104"/>
      <c r="U562" s="100"/>
      <c r="V562" s="112"/>
      <c r="AA562" s="11"/>
    </row>
    <row r="563" spans="1:27">
      <c r="A563" s="99"/>
      <c r="B563" s="100"/>
      <c r="C563" s="100"/>
      <c r="D563" s="101"/>
      <c r="E563" s="101"/>
      <c r="F563" s="101"/>
      <c r="G563" s="101"/>
      <c r="I563" s="104"/>
      <c r="T563" s="104"/>
      <c r="U563" s="100"/>
      <c r="V563" s="112"/>
      <c r="AA563" s="11"/>
    </row>
    <row r="564" spans="1:27">
      <c r="A564" s="99"/>
      <c r="B564" s="100"/>
      <c r="C564" s="100"/>
      <c r="D564" s="101"/>
      <c r="E564" s="101"/>
      <c r="F564" s="101"/>
      <c r="G564" s="101"/>
      <c r="I564" s="104"/>
      <c r="T564" s="104"/>
      <c r="U564" s="100"/>
      <c r="V564" s="112"/>
      <c r="AA564" s="11"/>
    </row>
    <row r="565" spans="1:27">
      <c r="A565" s="99"/>
      <c r="B565" s="100"/>
      <c r="C565" s="100"/>
      <c r="D565" s="101"/>
      <c r="E565" s="101"/>
      <c r="F565" s="101"/>
      <c r="G565" s="101"/>
      <c r="I565" s="104"/>
      <c r="T565" s="104"/>
      <c r="U565" s="100"/>
      <c r="V565" s="112"/>
      <c r="AA565" s="11"/>
    </row>
    <row r="566" spans="1:27">
      <c r="A566" s="99"/>
      <c r="B566" s="100"/>
      <c r="C566" s="100"/>
      <c r="D566" s="101"/>
      <c r="E566" s="101"/>
      <c r="F566" s="101"/>
      <c r="G566" s="101"/>
      <c r="I566" s="104"/>
      <c r="T566" s="104"/>
      <c r="U566" s="100"/>
      <c r="V566" s="112"/>
      <c r="AA566" s="11"/>
    </row>
    <row r="567" spans="1:27">
      <c r="A567" s="99"/>
      <c r="B567" s="100"/>
      <c r="C567" s="100"/>
      <c r="D567" s="101"/>
      <c r="E567" s="101"/>
      <c r="F567" s="101"/>
      <c r="G567" s="101"/>
      <c r="I567" s="104"/>
      <c r="T567" s="104"/>
      <c r="U567" s="100"/>
      <c r="V567" s="112"/>
      <c r="AA567" s="11"/>
    </row>
    <row r="568" spans="1:27">
      <c r="A568" s="99"/>
      <c r="B568" s="100"/>
      <c r="C568" s="100"/>
      <c r="D568" s="101"/>
      <c r="E568" s="101"/>
      <c r="F568" s="101"/>
      <c r="G568" s="101"/>
      <c r="I568" s="104"/>
      <c r="T568" s="104"/>
      <c r="U568" s="100"/>
      <c r="V568" s="112"/>
      <c r="AA568" s="11"/>
    </row>
    <row r="569" spans="1:27">
      <c r="A569" s="99"/>
      <c r="B569" s="100"/>
      <c r="C569" s="100"/>
      <c r="D569" s="101"/>
      <c r="E569" s="101"/>
      <c r="F569" s="101"/>
      <c r="G569" s="101"/>
      <c r="I569" s="104"/>
      <c r="T569" s="104"/>
      <c r="U569" s="100"/>
      <c r="V569" s="112"/>
      <c r="AA569" s="11"/>
    </row>
    <row r="570" spans="1:27">
      <c r="A570" s="99"/>
      <c r="B570" s="100"/>
      <c r="C570" s="100"/>
      <c r="D570" s="101"/>
      <c r="E570" s="101"/>
      <c r="F570" s="101"/>
      <c r="G570" s="101"/>
      <c r="I570" s="104"/>
      <c r="T570" s="104"/>
      <c r="U570" s="100"/>
      <c r="V570" s="112"/>
      <c r="AA570" s="11"/>
    </row>
    <row r="571" spans="1:27">
      <c r="A571" s="99"/>
      <c r="B571" s="100"/>
      <c r="C571" s="100"/>
      <c r="D571" s="101"/>
      <c r="E571" s="101"/>
      <c r="F571" s="101"/>
      <c r="G571" s="101"/>
      <c r="I571" s="104"/>
      <c r="T571" s="104"/>
      <c r="U571" s="100"/>
      <c r="V571" s="112"/>
      <c r="AA571" s="11"/>
    </row>
    <row r="572" spans="1:27">
      <c r="A572" s="99"/>
      <c r="B572" s="100"/>
      <c r="C572" s="100"/>
      <c r="D572" s="101"/>
      <c r="E572" s="101"/>
      <c r="F572" s="101"/>
      <c r="G572" s="101"/>
      <c r="I572" s="104"/>
      <c r="T572" s="104"/>
      <c r="U572" s="100"/>
      <c r="V572" s="112"/>
      <c r="AA572" s="11"/>
    </row>
    <row r="573" spans="1:27">
      <c r="A573" s="99"/>
      <c r="B573" s="100"/>
      <c r="C573" s="100"/>
      <c r="D573" s="101"/>
      <c r="E573" s="101"/>
      <c r="F573" s="101"/>
      <c r="G573" s="101"/>
      <c r="I573" s="104"/>
      <c r="T573" s="104"/>
      <c r="U573" s="100"/>
      <c r="V573" s="112"/>
      <c r="AA573" s="11"/>
    </row>
    <row r="574" spans="1:27">
      <c r="A574" s="99"/>
      <c r="B574" s="100"/>
      <c r="C574" s="100"/>
      <c r="D574" s="101"/>
      <c r="E574" s="101"/>
      <c r="F574" s="101"/>
      <c r="G574" s="101"/>
      <c r="I574" s="104"/>
      <c r="T574" s="104"/>
      <c r="U574" s="100"/>
      <c r="V574" s="112"/>
      <c r="AA574" s="11"/>
    </row>
    <row r="575" spans="1:27">
      <c r="A575" s="99"/>
      <c r="B575" s="100"/>
      <c r="C575" s="100"/>
      <c r="D575" s="101"/>
      <c r="E575" s="101"/>
      <c r="F575" s="101"/>
      <c r="G575" s="101"/>
      <c r="I575" s="104"/>
      <c r="T575" s="104"/>
      <c r="U575" s="100"/>
      <c r="V575" s="112"/>
      <c r="AA575" s="11"/>
    </row>
    <row r="576" spans="1:27">
      <c r="A576" s="99"/>
      <c r="B576" s="100"/>
      <c r="C576" s="100"/>
      <c r="D576" s="101"/>
      <c r="E576" s="101"/>
      <c r="F576" s="101"/>
      <c r="G576" s="101"/>
      <c r="I576" s="104"/>
      <c r="T576" s="104"/>
      <c r="U576" s="100"/>
      <c r="V576" s="112"/>
      <c r="AA576" s="11"/>
    </row>
    <row r="577" spans="1:27">
      <c r="A577" s="99"/>
      <c r="B577" s="100"/>
      <c r="C577" s="100"/>
      <c r="D577" s="101"/>
      <c r="E577" s="101"/>
      <c r="F577" s="101"/>
      <c r="G577" s="101"/>
      <c r="I577" s="104"/>
      <c r="T577" s="104"/>
      <c r="U577" s="100"/>
      <c r="V577" s="112"/>
      <c r="AA577" s="11"/>
    </row>
    <row r="578" spans="1:27">
      <c r="A578" s="99"/>
      <c r="B578" s="100"/>
      <c r="C578" s="100"/>
      <c r="D578" s="101"/>
      <c r="E578" s="101"/>
      <c r="F578" s="101"/>
      <c r="G578" s="101"/>
      <c r="I578" s="104"/>
      <c r="T578" s="104"/>
      <c r="U578" s="100"/>
      <c r="V578" s="112"/>
      <c r="AA578" s="11"/>
    </row>
    <row r="579" spans="1:27">
      <c r="A579" s="99"/>
      <c r="B579" s="100"/>
      <c r="C579" s="100"/>
      <c r="D579" s="101"/>
      <c r="E579" s="101"/>
      <c r="F579" s="101"/>
      <c r="G579" s="101"/>
      <c r="I579" s="104"/>
      <c r="T579" s="104"/>
      <c r="U579" s="100"/>
      <c r="V579" s="112"/>
      <c r="AA579" s="11"/>
    </row>
    <row r="580" spans="1:27">
      <c r="A580" s="99"/>
      <c r="B580" s="100"/>
      <c r="C580" s="100"/>
      <c r="D580" s="101"/>
      <c r="E580" s="101"/>
      <c r="F580" s="101"/>
      <c r="G580" s="101"/>
      <c r="I580" s="104"/>
      <c r="T580" s="104"/>
      <c r="U580" s="100"/>
      <c r="V580" s="112"/>
      <c r="AA580" s="11"/>
    </row>
    <row r="581" spans="1:27">
      <c r="A581" s="99"/>
      <c r="B581" s="100"/>
      <c r="C581" s="100"/>
      <c r="D581" s="101"/>
      <c r="E581" s="101"/>
      <c r="F581" s="101"/>
      <c r="G581" s="101"/>
      <c r="I581" s="104"/>
      <c r="T581" s="104"/>
      <c r="U581" s="100"/>
      <c r="V581" s="112"/>
      <c r="AA581" s="11"/>
    </row>
    <row r="582" spans="1:27">
      <c r="A582" s="99"/>
      <c r="B582" s="100"/>
      <c r="C582" s="100"/>
      <c r="D582" s="101"/>
      <c r="E582" s="101"/>
      <c r="F582" s="101"/>
      <c r="G582" s="101"/>
      <c r="I582" s="104"/>
      <c r="T582" s="104"/>
      <c r="U582" s="100"/>
      <c r="V582" s="112"/>
      <c r="AA582" s="11"/>
    </row>
    <row r="583" spans="1:27">
      <c r="A583" s="99"/>
      <c r="B583" s="100"/>
      <c r="C583" s="100"/>
      <c r="D583" s="101"/>
      <c r="E583" s="101"/>
      <c r="F583" s="101"/>
      <c r="G583" s="101"/>
      <c r="I583" s="104"/>
      <c r="T583" s="104"/>
      <c r="U583" s="100"/>
      <c r="V583" s="112"/>
      <c r="AA583" s="11"/>
    </row>
    <row r="584" spans="1:27">
      <c r="A584" s="99"/>
      <c r="B584" s="100"/>
      <c r="C584" s="100"/>
      <c r="D584" s="101"/>
      <c r="E584" s="101"/>
      <c r="F584" s="101"/>
      <c r="G584" s="101"/>
      <c r="I584" s="104"/>
      <c r="T584" s="104"/>
      <c r="U584" s="100"/>
      <c r="V584" s="112"/>
      <c r="AA584" s="11"/>
    </row>
    <row r="585" spans="1:27">
      <c r="A585" s="99"/>
      <c r="B585" s="100"/>
      <c r="C585" s="100"/>
      <c r="D585" s="101"/>
      <c r="E585" s="101"/>
      <c r="F585" s="101"/>
      <c r="G585" s="101"/>
      <c r="I585" s="104"/>
      <c r="T585" s="104"/>
      <c r="U585" s="100"/>
      <c r="V585" s="112"/>
      <c r="AA585" s="11"/>
    </row>
    <row r="586" spans="1:27">
      <c r="A586" s="99"/>
      <c r="B586" s="100"/>
      <c r="C586" s="100"/>
      <c r="D586" s="101"/>
      <c r="E586" s="101"/>
      <c r="F586" s="101"/>
      <c r="G586" s="101"/>
      <c r="I586" s="104"/>
      <c r="T586" s="104"/>
      <c r="U586" s="100"/>
      <c r="V586" s="112"/>
      <c r="AA586" s="11"/>
    </row>
    <row r="587" spans="1:27">
      <c r="A587" s="99"/>
      <c r="B587" s="100"/>
      <c r="C587" s="100"/>
      <c r="D587" s="101"/>
      <c r="E587" s="101"/>
      <c r="F587" s="101"/>
      <c r="G587" s="101"/>
      <c r="I587" s="104"/>
      <c r="T587" s="104"/>
      <c r="U587" s="100"/>
      <c r="V587" s="112"/>
      <c r="AA587" s="11"/>
    </row>
    <row r="588" spans="1:27">
      <c r="A588" s="99"/>
      <c r="B588" s="100"/>
      <c r="C588" s="100"/>
      <c r="D588" s="101"/>
      <c r="E588" s="101"/>
      <c r="F588" s="101"/>
      <c r="G588" s="101"/>
      <c r="I588" s="104"/>
      <c r="T588" s="104"/>
      <c r="U588" s="100"/>
      <c r="V588" s="112"/>
      <c r="AA588" s="11"/>
    </row>
    <row r="589" spans="1:27">
      <c r="A589" s="99"/>
      <c r="B589" s="100"/>
      <c r="C589" s="100"/>
      <c r="D589" s="101"/>
      <c r="E589" s="101"/>
      <c r="F589" s="101"/>
      <c r="G589" s="101"/>
      <c r="I589" s="104"/>
      <c r="T589" s="104"/>
      <c r="U589" s="100"/>
      <c r="V589" s="112"/>
      <c r="AA589" s="11"/>
    </row>
    <row r="590" spans="1:27">
      <c r="A590" s="99"/>
      <c r="B590" s="100"/>
      <c r="C590" s="100"/>
      <c r="D590" s="101"/>
      <c r="E590" s="101"/>
      <c r="F590" s="101"/>
      <c r="G590" s="101"/>
      <c r="I590" s="104"/>
      <c r="T590" s="104"/>
      <c r="U590" s="100"/>
      <c r="V590" s="112"/>
      <c r="AA590" s="11"/>
    </row>
    <row r="591" spans="1:27">
      <c r="A591" s="99"/>
      <c r="B591" s="100"/>
      <c r="C591" s="100"/>
      <c r="D591" s="101"/>
      <c r="E591" s="101"/>
      <c r="F591" s="101"/>
      <c r="G591" s="101"/>
      <c r="I591" s="104"/>
      <c r="T591" s="104"/>
      <c r="U591" s="100"/>
      <c r="V591" s="112"/>
      <c r="AA591" s="11"/>
    </row>
    <row r="592" spans="1:27">
      <c r="A592" s="99"/>
      <c r="B592" s="100"/>
      <c r="C592" s="100"/>
      <c r="D592" s="101"/>
      <c r="E592" s="101"/>
      <c r="F592" s="101"/>
      <c r="G592" s="101"/>
      <c r="I592" s="104"/>
      <c r="T592" s="104"/>
      <c r="U592" s="100"/>
      <c r="V592" s="112"/>
      <c r="AA592" s="11"/>
    </row>
    <row r="593" spans="1:27">
      <c r="A593" s="99"/>
      <c r="B593" s="100"/>
      <c r="C593" s="100"/>
      <c r="D593" s="101"/>
      <c r="E593" s="101"/>
      <c r="F593" s="101"/>
      <c r="G593" s="101"/>
      <c r="I593" s="104"/>
      <c r="T593" s="104"/>
      <c r="U593" s="100"/>
      <c r="V593" s="112"/>
      <c r="AA593" s="11"/>
    </row>
    <row r="594" spans="1:27">
      <c r="A594" s="99"/>
      <c r="B594" s="100"/>
      <c r="C594" s="100"/>
      <c r="D594" s="101"/>
      <c r="E594" s="101"/>
      <c r="F594" s="101"/>
      <c r="G594" s="101"/>
      <c r="I594" s="104"/>
      <c r="T594" s="104"/>
      <c r="U594" s="100"/>
      <c r="V594" s="112"/>
      <c r="AA594" s="11"/>
    </row>
    <row r="595" spans="1:27">
      <c r="A595" s="99"/>
      <c r="B595" s="100"/>
      <c r="C595" s="100"/>
      <c r="D595" s="101"/>
      <c r="E595" s="101"/>
      <c r="F595" s="101"/>
      <c r="G595" s="101"/>
      <c r="I595" s="104"/>
      <c r="T595" s="104"/>
      <c r="U595" s="100"/>
      <c r="V595" s="112"/>
      <c r="AA595" s="11"/>
    </row>
    <row r="596" spans="1:27">
      <c r="A596" s="99"/>
      <c r="B596" s="100"/>
      <c r="C596" s="100"/>
      <c r="D596" s="101"/>
      <c r="E596" s="101"/>
      <c r="F596" s="101"/>
      <c r="G596" s="101"/>
      <c r="I596" s="104"/>
      <c r="T596" s="104"/>
      <c r="U596" s="100"/>
      <c r="V596" s="112"/>
      <c r="AA596" s="11"/>
    </row>
    <row r="597" spans="1:27">
      <c r="A597" s="99"/>
      <c r="B597" s="100"/>
      <c r="C597" s="100"/>
      <c r="D597" s="101"/>
      <c r="E597" s="101"/>
      <c r="F597" s="101"/>
      <c r="G597" s="101"/>
      <c r="I597" s="104"/>
      <c r="T597" s="104"/>
      <c r="U597" s="100"/>
      <c r="V597" s="112"/>
      <c r="AA597" s="11"/>
    </row>
    <row r="598" spans="1:27">
      <c r="A598" s="99"/>
      <c r="B598" s="100"/>
      <c r="C598" s="100"/>
      <c r="D598" s="101"/>
      <c r="E598" s="101"/>
      <c r="F598" s="101"/>
      <c r="G598" s="101"/>
      <c r="I598" s="104"/>
      <c r="T598" s="104"/>
      <c r="U598" s="100"/>
      <c r="V598" s="112"/>
      <c r="AA598" s="11"/>
    </row>
    <row r="599" spans="1:27">
      <c r="A599" s="99"/>
      <c r="B599" s="100"/>
      <c r="C599" s="100"/>
      <c r="D599" s="101"/>
      <c r="E599" s="101"/>
      <c r="F599" s="101"/>
      <c r="G599" s="101"/>
      <c r="I599" s="104"/>
      <c r="T599" s="104"/>
      <c r="U599" s="100"/>
      <c r="V599" s="112"/>
      <c r="AA599" s="11"/>
    </row>
    <row r="600" spans="1:27">
      <c r="A600" s="99"/>
      <c r="B600" s="100"/>
      <c r="C600" s="100"/>
      <c r="D600" s="101"/>
      <c r="E600" s="101"/>
      <c r="F600" s="101"/>
      <c r="G600" s="101"/>
      <c r="I600" s="104"/>
      <c r="T600" s="104"/>
      <c r="U600" s="100"/>
      <c r="V600" s="112"/>
      <c r="AA600" s="11"/>
    </row>
    <row r="601" spans="1:27">
      <c r="A601" s="99"/>
      <c r="B601" s="100"/>
      <c r="C601" s="100"/>
      <c r="D601" s="101"/>
      <c r="E601" s="101"/>
      <c r="F601" s="101"/>
      <c r="G601" s="101"/>
      <c r="I601" s="104"/>
      <c r="T601" s="104"/>
      <c r="U601" s="100"/>
      <c r="V601" s="112"/>
      <c r="AA601" s="11"/>
    </row>
    <row r="602" spans="1:27">
      <c r="A602" s="99"/>
      <c r="B602" s="100"/>
      <c r="C602" s="100"/>
      <c r="D602" s="101"/>
      <c r="E602" s="101"/>
      <c r="F602" s="101"/>
      <c r="G602" s="101"/>
      <c r="I602" s="104"/>
      <c r="T602" s="104"/>
      <c r="U602" s="100"/>
      <c r="V602" s="112"/>
      <c r="AA602" s="11"/>
    </row>
    <row r="603" spans="1:27">
      <c r="A603" s="99"/>
      <c r="B603" s="100"/>
      <c r="C603" s="100"/>
      <c r="D603" s="101"/>
      <c r="E603" s="101"/>
      <c r="F603" s="101"/>
      <c r="G603" s="101"/>
      <c r="I603" s="104"/>
      <c r="T603" s="104"/>
      <c r="U603" s="100"/>
      <c r="V603" s="112"/>
      <c r="AA603" s="11"/>
    </row>
    <row r="604" spans="1:27">
      <c r="A604" s="99"/>
      <c r="B604" s="100"/>
      <c r="C604" s="100"/>
      <c r="D604" s="101"/>
      <c r="E604" s="101"/>
      <c r="F604" s="101"/>
      <c r="G604" s="101"/>
      <c r="I604" s="104"/>
      <c r="T604" s="104"/>
      <c r="U604" s="100"/>
      <c r="V604" s="112"/>
      <c r="AA604" s="11"/>
    </row>
    <row r="605" spans="1:27">
      <c r="A605" s="99"/>
      <c r="B605" s="100"/>
      <c r="C605" s="100"/>
      <c r="D605" s="101"/>
      <c r="E605" s="101"/>
      <c r="F605" s="101"/>
      <c r="G605" s="101"/>
      <c r="I605" s="104"/>
      <c r="T605" s="104"/>
      <c r="U605" s="100"/>
      <c r="V605" s="112"/>
      <c r="AA605" s="11"/>
    </row>
    <row r="606" spans="1:27">
      <c r="A606" s="99"/>
      <c r="B606" s="100"/>
      <c r="C606" s="100"/>
      <c r="D606" s="101"/>
      <c r="E606" s="101"/>
      <c r="F606" s="101"/>
      <c r="G606" s="101"/>
      <c r="I606" s="104"/>
      <c r="T606" s="104"/>
      <c r="U606" s="100"/>
      <c r="V606" s="112"/>
      <c r="AA606" s="11"/>
    </row>
    <row r="607" spans="1:27">
      <c r="A607" s="99"/>
      <c r="B607" s="100"/>
      <c r="C607" s="100"/>
      <c r="D607" s="101"/>
      <c r="E607" s="101"/>
      <c r="F607" s="101"/>
      <c r="G607" s="101"/>
      <c r="I607" s="104"/>
      <c r="T607" s="104"/>
      <c r="U607" s="100"/>
      <c r="V607" s="112"/>
      <c r="AA607" s="11"/>
    </row>
    <row r="608" spans="1:27">
      <c r="A608" s="99"/>
      <c r="B608" s="100"/>
      <c r="C608" s="100"/>
      <c r="D608" s="101"/>
      <c r="E608" s="101"/>
      <c r="F608" s="101"/>
      <c r="G608" s="101"/>
      <c r="I608" s="104"/>
      <c r="T608" s="104"/>
      <c r="U608" s="100"/>
      <c r="V608" s="112"/>
      <c r="AA608" s="11"/>
    </row>
    <row r="609" spans="1:27">
      <c r="A609" s="99"/>
      <c r="B609" s="100"/>
      <c r="C609" s="100"/>
      <c r="D609" s="101"/>
      <c r="E609" s="101"/>
      <c r="F609" s="101"/>
      <c r="G609" s="101"/>
      <c r="I609" s="104"/>
      <c r="T609" s="104"/>
      <c r="U609" s="100"/>
      <c r="V609" s="112"/>
      <c r="AA609" s="11"/>
    </row>
    <row r="610" spans="1:27">
      <c r="A610" s="99"/>
      <c r="B610" s="100"/>
      <c r="C610" s="100"/>
      <c r="D610" s="101"/>
      <c r="E610" s="101"/>
      <c r="F610" s="101"/>
      <c r="G610" s="101"/>
      <c r="I610" s="104"/>
      <c r="T610" s="104"/>
      <c r="U610" s="100"/>
      <c r="V610" s="112"/>
      <c r="AA610" s="11"/>
    </row>
    <row r="611" spans="1:27">
      <c r="A611" s="99"/>
      <c r="B611" s="100"/>
      <c r="C611" s="100"/>
      <c r="D611" s="101"/>
      <c r="E611" s="101"/>
      <c r="F611" s="101"/>
      <c r="G611" s="101"/>
      <c r="I611" s="104"/>
      <c r="T611" s="104"/>
      <c r="U611" s="100"/>
      <c r="V611" s="112"/>
      <c r="AA611" s="11"/>
    </row>
    <row r="612" spans="1:27">
      <c r="A612" s="99"/>
      <c r="B612" s="100"/>
      <c r="C612" s="100"/>
      <c r="D612" s="101"/>
      <c r="E612" s="101"/>
      <c r="F612" s="101"/>
      <c r="G612" s="101"/>
      <c r="I612" s="104"/>
      <c r="T612" s="104"/>
      <c r="U612" s="100"/>
      <c r="V612" s="112"/>
      <c r="AA612" s="11"/>
    </row>
    <row r="613" spans="1:27">
      <c r="A613" s="99"/>
      <c r="B613" s="100"/>
      <c r="C613" s="100"/>
      <c r="D613" s="101"/>
      <c r="E613" s="101"/>
      <c r="F613" s="101"/>
      <c r="G613" s="101"/>
      <c r="I613" s="104"/>
      <c r="T613" s="104"/>
      <c r="U613" s="100"/>
      <c r="V613" s="112"/>
      <c r="AA613" s="11"/>
    </row>
    <row r="614" spans="1:27">
      <c r="A614" s="99"/>
      <c r="B614" s="100"/>
      <c r="C614" s="100"/>
      <c r="D614" s="101"/>
      <c r="E614" s="101"/>
      <c r="F614" s="101"/>
      <c r="G614" s="101"/>
      <c r="I614" s="104"/>
      <c r="T614" s="104"/>
      <c r="U614" s="100"/>
      <c r="V614" s="112"/>
      <c r="AA614" s="11"/>
    </row>
    <row r="615" spans="1:27">
      <c r="A615" s="99"/>
      <c r="B615" s="100"/>
      <c r="C615" s="100"/>
      <c r="D615" s="101"/>
      <c r="E615" s="101"/>
      <c r="F615" s="101"/>
      <c r="G615" s="101"/>
      <c r="I615" s="104"/>
      <c r="T615" s="104"/>
      <c r="U615" s="100"/>
      <c r="V615" s="112"/>
      <c r="AA615" s="11"/>
    </row>
    <row r="616" spans="1:27">
      <c r="A616" s="99"/>
      <c r="B616" s="100"/>
      <c r="C616" s="100"/>
      <c r="D616" s="101"/>
      <c r="E616" s="101"/>
      <c r="F616" s="101"/>
      <c r="G616" s="101"/>
      <c r="I616" s="104"/>
      <c r="T616" s="104"/>
      <c r="U616" s="100"/>
      <c r="V616" s="112"/>
      <c r="AA616" s="11"/>
    </row>
    <row r="617" spans="1:27">
      <c r="A617" s="99"/>
      <c r="B617" s="100"/>
      <c r="C617" s="100"/>
      <c r="D617" s="101"/>
      <c r="E617" s="101"/>
      <c r="F617" s="101"/>
      <c r="G617" s="101"/>
      <c r="I617" s="104"/>
      <c r="T617" s="104"/>
      <c r="U617" s="100"/>
      <c r="V617" s="112"/>
      <c r="AA617" s="11"/>
    </row>
    <row r="618" spans="1:27">
      <c r="A618" s="99"/>
      <c r="B618" s="100"/>
      <c r="C618" s="100"/>
      <c r="D618" s="101"/>
      <c r="E618" s="101"/>
      <c r="F618" s="101"/>
      <c r="G618" s="101"/>
      <c r="I618" s="104"/>
      <c r="T618" s="104"/>
      <c r="U618" s="100"/>
      <c r="V618" s="112"/>
      <c r="AA618" s="11"/>
    </row>
    <row r="619" spans="1:27">
      <c r="A619" s="99"/>
      <c r="B619" s="100"/>
      <c r="C619" s="100"/>
      <c r="D619" s="101"/>
      <c r="E619" s="101"/>
      <c r="F619" s="101"/>
      <c r="G619" s="101"/>
      <c r="I619" s="104"/>
      <c r="T619" s="104"/>
      <c r="U619" s="100"/>
      <c r="V619" s="112"/>
      <c r="AA619" s="11"/>
    </row>
    <row r="620" spans="1:27">
      <c r="A620" s="99"/>
      <c r="B620" s="100"/>
      <c r="C620" s="100"/>
      <c r="D620" s="101"/>
      <c r="E620" s="101"/>
      <c r="F620" s="101"/>
      <c r="G620" s="101"/>
      <c r="I620" s="104"/>
      <c r="T620" s="104"/>
      <c r="U620" s="100"/>
      <c r="V620" s="112"/>
      <c r="AA620" s="11"/>
    </row>
    <row r="621" spans="1:27">
      <c r="A621" s="99"/>
      <c r="B621" s="100"/>
      <c r="C621" s="100"/>
      <c r="D621" s="101"/>
      <c r="E621" s="101"/>
      <c r="F621" s="101"/>
      <c r="G621" s="101"/>
      <c r="I621" s="104"/>
      <c r="T621" s="104"/>
      <c r="U621" s="100"/>
      <c r="V621" s="112"/>
      <c r="AA621" s="11"/>
    </row>
    <row r="622" spans="1:27">
      <c r="A622" s="99"/>
      <c r="B622" s="100"/>
      <c r="C622" s="100"/>
      <c r="D622" s="101"/>
      <c r="E622" s="101"/>
      <c r="F622" s="101"/>
      <c r="G622" s="101"/>
      <c r="I622" s="104"/>
      <c r="T622" s="104"/>
      <c r="U622" s="100"/>
      <c r="V622" s="112"/>
      <c r="AA622" s="11"/>
    </row>
    <row r="623" spans="1:27">
      <c r="A623" s="99"/>
      <c r="B623" s="100"/>
      <c r="C623" s="100"/>
      <c r="D623" s="101"/>
      <c r="E623" s="101"/>
      <c r="F623" s="101"/>
      <c r="G623" s="101"/>
      <c r="I623" s="104"/>
      <c r="T623" s="104"/>
      <c r="U623" s="100"/>
      <c r="V623" s="112"/>
      <c r="AA623" s="11"/>
    </row>
    <row r="624" spans="1:27">
      <c r="A624" s="99"/>
      <c r="B624" s="100"/>
      <c r="C624" s="100"/>
      <c r="D624" s="101"/>
      <c r="E624" s="101"/>
      <c r="F624" s="101"/>
      <c r="G624" s="101"/>
      <c r="I624" s="104"/>
      <c r="T624" s="104"/>
      <c r="U624" s="100"/>
      <c r="V624" s="112"/>
      <c r="AA624" s="11"/>
    </row>
    <row r="625" spans="1:27">
      <c r="A625" s="99"/>
      <c r="B625" s="100"/>
      <c r="C625" s="100"/>
      <c r="D625" s="101"/>
      <c r="E625" s="101"/>
      <c r="F625" s="101"/>
      <c r="G625" s="101"/>
      <c r="I625" s="104"/>
      <c r="T625" s="104"/>
      <c r="U625" s="100"/>
      <c r="V625" s="112"/>
      <c r="AA625" s="11"/>
    </row>
    <row r="626" spans="1:27">
      <c r="A626" s="99"/>
      <c r="B626" s="100"/>
      <c r="C626" s="100"/>
      <c r="D626" s="101"/>
      <c r="E626" s="101"/>
      <c r="F626" s="101"/>
      <c r="G626" s="101"/>
      <c r="I626" s="104"/>
      <c r="T626" s="104"/>
      <c r="U626" s="100"/>
      <c r="V626" s="112"/>
      <c r="AA626" s="11"/>
    </row>
    <row r="627" spans="1:27">
      <c r="A627" s="99"/>
      <c r="B627" s="100"/>
      <c r="C627" s="100"/>
      <c r="D627" s="101"/>
      <c r="E627" s="101"/>
      <c r="F627" s="101"/>
      <c r="G627" s="101"/>
      <c r="I627" s="104"/>
      <c r="T627" s="104"/>
      <c r="U627" s="100"/>
      <c r="V627" s="112"/>
      <c r="AA627" s="11"/>
    </row>
    <row r="628" spans="1:27">
      <c r="A628" s="99"/>
      <c r="B628" s="100"/>
      <c r="C628" s="100"/>
      <c r="D628" s="101"/>
      <c r="E628" s="101"/>
      <c r="F628" s="101"/>
      <c r="G628" s="101"/>
      <c r="I628" s="104"/>
      <c r="T628" s="104"/>
      <c r="U628" s="100"/>
      <c r="V628" s="112"/>
      <c r="AA628" s="11"/>
    </row>
    <row r="629" spans="1:27">
      <c r="A629" s="99"/>
      <c r="B629" s="100"/>
      <c r="C629" s="100"/>
      <c r="D629" s="101"/>
      <c r="E629" s="101"/>
      <c r="F629" s="101"/>
      <c r="G629" s="101"/>
      <c r="I629" s="104"/>
      <c r="T629" s="104"/>
      <c r="U629" s="100"/>
      <c r="V629" s="112"/>
      <c r="AA629" s="11"/>
    </row>
    <row r="630" spans="1:27">
      <c r="A630" s="99"/>
      <c r="B630" s="100"/>
      <c r="C630" s="100"/>
      <c r="D630" s="101"/>
      <c r="E630" s="101"/>
      <c r="F630" s="101"/>
      <c r="G630" s="101"/>
      <c r="I630" s="104"/>
      <c r="T630" s="104"/>
      <c r="U630" s="100"/>
      <c r="V630" s="112"/>
      <c r="AA630" s="11"/>
    </row>
    <row r="631" spans="1:27">
      <c r="A631" s="99"/>
      <c r="B631" s="100"/>
      <c r="C631" s="100"/>
      <c r="D631" s="101"/>
      <c r="E631" s="101"/>
      <c r="F631" s="101"/>
      <c r="G631" s="101"/>
      <c r="I631" s="104"/>
      <c r="T631" s="104"/>
      <c r="U631" s="100"/>
      <c r="V631" s="112"/>
      <c r="AA631" s="11"/>
    </row>
    <row r="632" spans="1:27">
      <c r="A632" s="99"/>
      <c r="B632" s="100"/>
      <c r="C632" s="100"/>
      <c r="D632" s="101"/>
      <c r="E632" s="101"/>
      <c r="F632" s="101"/>
      <c r="G632" s="101"/>
      <c r="I632" s="104"/>
      <c r="T632" s="104"/>
      <c r="U632" s="100"/>
      <c r="V632" s="112"/>
      <c r="AA632" s="11"/>
    </row>
    <row r="633" spans="1:27">
      <c r="A633" s="99"/>
      <c r="B633" s="100"/>
      <c r="C633" s="100"/>
      <c r="D633" s="101"/>
      <c r="E633" s="101"/>
      <c r="F633" s="101"/>
      <c r="G633" s="101"/>
      <c r="I633" s="104"/>
      <c r="T633" s="104"/>
      <c r="U633" s="100"/>
      <c r="V633" s="112"/>
      <c r="AA633" s="11"/>
    </row>
    <row r="634" spans="1:27">
      <c r="A634" s="99"/>
      <c r="B634" s="100"/>
      <c r="C634" s="100"/>
      <c r="D634" s="101"/>
      <c r="E634" s="101"/>
      <c r="F634" s="101"/>
      <c r="G634" s="101"/>
      <c r="I634" s="104"/>
      <c r="T634" s="104"/>
      <c r="U634" s="100"/>
      <c r="V634" s="112"/>
      <c r="AA634" s="11"/>
    </row>
    <row r="635" spans="1:27">
      <c r="A635" s="99"/>
      <c r="B635" s="100"/>
      <c r="C635" s="100"/>
      <c r="D635" s="101"/>
      <c r="E635" s="101"/>
      <c r="F635" s="101"/>
      <c r="G635" s="101"/>
      <c r="I635" s="104"/>
      <c r="T635" s="104"/>
      <c r="U635" s="100"/>
      <c r="V635" s="112"/>
      <c r="AA635" s="11"/>
    </row>
    <row r="636" spans="1:27">
      <c r="A636" s="99"/>
      <c r="B636" s="100"/>
      <c r="C636" s="100"/>
      <c r="D636" s="101"/>
      <c r="E636" s="101"/>
      <c r="F636" s="101"/>
      <c r="G636" s="101"/>
      <c r="I636" s="104"/>
      <c r="T636" s="104"/>
      <c r="U636" s="100"/>
      <c r="V636" s="112"/>
      <c r="AA636" s="11"/>
    </row>
    <row r="637" spans="1:27">
      <c r="A637" s="99"/>
      <c r="B637" s="100"/>
      <c r="C637" s="100"/>
      <c r="D637" s="101"/>
      <c r="E637" s="101"/>
      <c r="F637" s="101"/>
      <c r="G637" s="101"/>
      <c r="I637" s="104"/>
      <c r="T637" s="104"/>
      <c r="U637" s="100"/>
      <c r="V637" s="112"/>
      <c r="AA637" s="11"/>
    </row>
    <row r="638" spans="1:27">
      <c r="A638" s="99"/>
      <c r="B638" s="100"/>
      <c r="C638" s="100"/>
      <c r="D638" s="101"/>
      <c r="E638" s="101"/>
      <c r="F638" s="101"/>
      <c r="G638" s="101"/>
      <c r="I638" s="104"/>
      <c r="T638" s="104"/>
      <c r="U638" s="100"/>
      <c r="V638" s="112"/>
      <c r="AA638" s="11"/>
    </row>
    <row r="639" spans="1:27">
      <c r="A639" s="99"/>
      <c r="B639" s="100"/>
      <c r="C639" s="100"/>
      <c r="D639" s="101"/>
      <c r="E639" s="101"/>
      <c r="F639" s="101"/>
      <c r="G639" s="101"/>
      <c r="I639" s="104"/>
      <c r="T639" s="104"/>
      <c r="U639" s="100"/>
      <c r="V639" s="112"/>
      <c r="AA639" s="11"/>
    </row>
    <row r="640" spans="1:27">
      <c r="A640" s="99"/>
      <c r="B640" s="100"/>
      <c r="C640" s="100"/>
      <c r="D640" s="101"/>
      <c r="E640" s="101"/>
      <c r="F640" s="101"/>
      <c r="G640" s="101"/>
      <c r="I640" s="104"/>
      <c r="T640" s="104"/>
      <c r="U640" s="100"/>
      <c r="V640" s="112"/>
      <c r="AA640" s="11"/>
    </row>
    <row r="641" spans="1:27">
      <c r="A641" s="99"/>
      <c r="B641" s="100"/>
      <c r="C641" s="100"/>
      <c r="D641" s="101"/>
      <c r="E641" s="101"/>
      <c r="F641" s="101"/>
      <c r="G641" s="101"/>
      <c r="I641" s="104"/>
      <c r="T641" s="104"/>
      <c r="U641" s="100"/>
      <c r="V641" s="112"/>
      <c r="AA641" s="11"/>
    </row>
    <row r="642" spans="1:27">
      <c r="A642" s="99"/>
      <c r="B642" s="100"/>
      <c r="C642" s="100"/>
      <c r="D642" s="101"/>
      <c r="E642" s="101"/>
      <c r="F642" s="101"/>
      <c r="G642" s="101"/>
      <c r="I642" s="104"/>
      <c r="T642" s="104"/>
      <c r="U642" s="100"/>
      <c r="V642" s="112"/>
      <c r="AA642" s="11"/>
    </row>
    <row r="643" spans="1:27">
      <c r="A643" s="99"/>
      <c r="B643" s="100"/>
      <c r="C643" s="100"/>
      <c r="D643" s="101"/>
      <c r="E643" s="101"/>
      <c r="F643" s="101"/>
      <c r="G643" s="101"/>
      <c r="I643" s="104"/>
      <c r="T643" s="104"/>
      <c r="U643" s="100"/>
      <c r="V643" s="112"/>
      <c r="AA643" s="11"/>
    </row>
    <row r="644" spans="1:27">
      <c r="A644" s="99"/>
      <c r="B644" s="100"/>
      <c r="C644" s="100"/>
      <c r="D644" s="101"/>
      <c r="E644" s="101"/>
      <c r="F644" s="101"/>
      <c r="G644" s="101"/>
      <c r="I644" s="104"/>
      <c r="T644" s="104"/>
      <c r="U644" s="100"/>
      <c r="V644" s="112"/>
      <c r="AA644" s="11"/>
    </row>
    <row r="645" spans="1:27">
      <c r="A645" s="99"/>
      <c r="B645" s="100"/>
      <c r="C645" s="100"/>
      <c r="D645" s="101"/>
      <c r="E645" s="101"/>
      <c r="F645" s="101"/>
      <c r="G645" s="101"/>
      <c r="I645" s="104"/>
      <c r="T645" s="104"/>
      <c r="U645" s="100"/>
      <c r="V645" s="112"/>
      <c r="AA645" s="11"/>
    </row>
    <row r="646" spans="1:27">
      <c r="A646" s="99"/>
      <c r="B646" s="100"/>
      <c r="C646" s="100"/>
      <c r="D646" s="101"/>
      <c r="E646" s="101"/>
      <c r="F646" s="101"/>
      <c r="G646" s="101"/>
      <c r="I646" s="104"/>
      <c r="T646" s="104"/>
      <c r="U646" s="100"/>
      <c r="V646" s="112"/>
      <c r="AA646" s="11"/>
    </row>
    <row r="647" spans="1:27">
      <c r="A647" s="99"/>
      <c r="B647" s="100"/>
      <c r="C647" s="100"/>
      <c r="D647" s="101"/>
      <c r="E647" s="101"/>
      <c r="F647" s="101"/>
      <c r="G647" s="101"/>
      <c r="I647" s="104"/>
      <c r="T647" s="104"/>
      <c r="U647" s="100"/>
      <c r="V647" s="112"/>
      <c r="AA647" s="11"/>
    </row>
    <row r="648" spans="1:27">
      <c r="A648" s="99"/>
      <c r="B648" s="100"/>
      <c r="C648" s="100"/>
      <c r="D648" s="101"/>
      <c r="E648" s="101"/>
      <c r="F648" s="101"/>
      <c r="G648" s="101"/>
      <c r="I648" s="104"/>
      <c r="T648" s="104"/>
      <c r="U648" s="100"/>
      <c r="V648" s="112"/>
      <c r="AA648" s="11"/>
    </row>
    <row r="649" spans="1:27">
      <c r="A649" s="99"/>
      <c r="B649" s="100"/>
      <c r="C649" s="100"/>
      <c r="D649" s="101"/>
      <c r="E649" s="101"/>
      <c r="F649" s="101"/>
      <c r="G649" s="101"/>
      <c r="I649" s="104"/>
      <c r="T649" s="104"/>
      <c r="U649" s="100"/>
      <c r="V649" s="112"/>
      <c r="AA649" s="11"/>
    </row>
    <row r="650" spans="1:27">
      <c r="A650" s="99"/>
      <c r="B650" s="100"/>
      <c r="C650" s="100"/>
      <c r="D650" s="101"/>
      <c r="E650" s="101"/>
      <c r="F650" s="101"/>
      <c r="G650" s="101"/>
      <c r="I650" s="104"/>
      <c r="T650" s="104"/>
      <c r="U650" s="100"/>
      <c r="V650" s="112"/>
      <c r="AA650" s="11"/>
    </row>
    <row r="651" spans="1:27">
      <c r="A651" s="99"/>
      <c r="B651" s="100"/>
      <c r="C651" s="100"/>
      <c r="D651" s="101"/>
      <c r="E651" s="101"/>
      <c r="F651" s="101"/>
      <c r="G651" s="101"/>
      <c r="I651" s="104"/>
      <c r="T651" s="104"/>
      <c r="U651" s="100"/>
      <c r="V651" s="112"/>
      <c r="AA651" s="11"/>
    </row>
    <row r="652" spans="1:27">
      <c r="A652" s="99"/>
      <c r="B652" s="100"/>
      <c r="C652" s="100"/>
      <c r="D652" s="101"/>
      <c r="E652" s="101"/>
      <c r="F652" s="101"/>
      <c r="G652" s="101"/>
      <c r="I652" s="104"/>
      <c r="T652" s="104"/>
      <c r="U652" s="100"/>
      <c r="V652" s="112"/>
      <c r="AA652" s="11"/>
    </row>
    <row r="653" spans="1:27">
      <c r="A653" s="99"/>
      <c r="B653" s="100"/>
      <c r="C653" s="100"/>
      <c r="D653" s="101"/>
      <c r="E653" s="101"/>
      <c r="F653" s="101"/>
      <c r="G653" s="101"/>
      <c r="I653" s="104"/>
      <c r="T653" s="104"/>
      <c r="U653" s="100"/>
      <c r="V653" s="112"/>
      <c r="AA653" s="11"/>
    </row>
    <row r="654" spans="1:27">
      <c r="A654" s="99"/>
      <c r="B654" s="100"/>
      <c r="C654" s="100"/>
      <c r="D654" s="101"/>
      <c r="E654" s="101"/>
      <c r="F654" s="101"/>
      <c r="G654" s="101"/>
      <c r="I654" s="104"/>
      <c r="T654" s="104"/>
      <c r="U654" s="100"/>
      <c r="V654" s="112"/>
      <c r="AA654" s="11"/>
    </row>
    <row r="655" spans="1:27">
      <c r="A655" s="99"/>
      <c r="B655" s="100"/>
      <c r="C655" s="100"/>
      <c r="D655" s="101"/>
      <c r="E655" s="101"/>
      <c r="F655" s="101"/>
      <c r="G655" s="101"/>
      <c r="I655" s="104"/>
      <c r="T655" s="104"/>
      <c r="U655" s="100"/>
      <c r="V655" s="112"/>
      <c r="AA655" s="11"/>
    </row>
    <row r="656" spans="1:27">
      <c r="A656" s="99"/>
      <c r="B656" s="100"/>
      <c r="C656" s="100"/>
      <c r="D656" s="101"/>
      <c r="E656" s="101"/>
      <c r="F656" s="101"/>
      <c r="G656" s="101"/>
      <c r="I656" s="104"/>
      <c r="T656" s="104"/>
      <c r="U656" s="100"/>
      <c r="V656" s="112"/>
      <c r="AA656" s="11"/>
    </row>
    <row r="657" spans="1:27">
      <c r="A657" s="99"/>
      <c r="B657" s="100"/>
      <c r="C657" s="100"/>
      <c r="D657" s="101"/>
      <c r="E657" s="101"/>
      <c r="F657" s="101"/>
      <c r="G657" s="101"/>
      <c r="I657" s="104"/>
      <c r="T657" s="104"/>
      <c r="U657" s="100"/>
      <c r="V657" s="112"/>
      <c r="AA657" s="11"/>
    </row>
    <row r="658" spans="1:27">
      <c r="A658" s="99"/>
      <c r="B658" s="100"/>
      <c r="C658" s="100"/>
      <c r="D658" s="101"/>
      <c r="E658" s="101"/>
      <c r="F658" s="101"/>
      <c r="G658" s="101"/>
      <c r="I658" s="104"/>
      <c r="T658" s="104"/>
      <c r="U658" s="100"/>
      <c r="V658" s="112"/>
      <c r="AA658" s="11"/>
    </row>
    <row r="659" spans="1:27">
      <c r="A659" s="99"/>
      <c r="B659" s="100"/>
      <c r="C659" s="100"/>
      <c r="D659" s="101"/>
      <c r="E659" s="101"/>
      <c r="F659" s="101"/>
      <c r="G659" s="101"/>
      <c r="I659" s="104"/>
      <c r="T659" s="104"/>
      <c r="U659" s="100"/>
      <c r="V659" s="112"/>
      <c r="AA659" s="11"/>
    </row>
    <row r="660" spans="1:27">
      <c r="A660" s="99"/>
      <c r="B660" s="100"/>
      <c r="C660" s="100"/>
      <c r="D660" s="101"/>
      <c r="E660" s="101"/>
      <c r="F660" s="101"/>
      <c r="G660" s="101"/>
      <c r="I660" s="104"/>
      <c r="T660" s="104"/>
      <c r="U660" s="100"/>
      <c r="V660" s="112"/>
      <c r="AA660" s="11"/>
    </row>
    <row r="661" spans="1:27">
      <c r="A661" s="99"/>
      <c r="B661" s="100"/>
      <c r="C661" s="100"/>
      <c r="D661" s="101"/>
      <c r="E661" s="101"/>
      <c r="F661" s="101"/>
      <c r="G661" s="101"/>
      <c r="I661" s="104"/>
      <c r="T661" s="104"/>
      <c r="U661" s="100"/>
      <c r="V661" s="112"/>
      <c r="AA661" s="11"/>
    </row>
    <row r="662" spans="1:27">
      <c r="A662" s="99"/>
      <c r="B662" s="100"/>
      <c r="C662" s="100"/>
      <c r="D662" s="101"/>
      <c r="E662" s="101"/>
      <c r="F662" s="101"/>
      <c r="G662" s="101"/>
      <c r="I662" s="104"/>
      <c r="T662" s="104"/>
      <c r="U662" s="100"/>
      <c r="V662" s="112"/>
      <c r="AA662" s="11"/>
    </row>
    <row r="663" spans="1:27">
      <c r="A663" s="99"/>
      <c r="B663" s="100"/>
      <c r="C663" s="100"/>
      <c r="D663" s="101"/>
      <c r="E663" s="101"/>
      <c r="F663" s="101"/>
      <c r="G663" s="101"/>
      <c r="I663" s="104"/>
      <c r="T663" s="104"/>
      <c r="U663" s="100"/>
      <c r="V663" s="112"/>
      <c r="AA663" s="11"/>
    </row>
    <row r="664" spans="1:27">
      <c r="A664" s="99"/>
      <c r="B664" s="100"/>
      <c r="C664" s="100"/>
      <c r="D664" s="101"/>
      <c r="E664" s="101"/>
      <c r="F664" s="101"/>
      <c r="G664" s="101"/>
      <c r="I664" s="104"/>
      <c r="T664" s="104"/>
      <c r="U664" s="100"/>
      <c r="V664" s="112"/>
      <c r="AA664" s="11"/>
    </row>
    <row r="665" spans="1:27">
      <c r="A665" s="99"/>
      <c r="B665" s="100"/>
      <c r="C665" s="100"/>
      <c r="D665" s="101"/>
      <c r="E665" s="101"/>
      <c r="F665" s="101"/>
      <c r="G665" s="101"/>
      <c r="I665" s="104"/>
      <c r="T665" s="104"/>
      <c r="U665" s="100"/>
      <c r="V665" s="112"/>
      <c r="AA665" s="11"/>
    </row>
    <row r="666" spans="1:27">
      <c r="A666" s="99"/>
      <c r="B666" s="100"/>
      <c r="C666" s="100"/>
      <c r="D666" s="101"/>
      <c r="E666" s="101"/>
      <c r="F666" s="101"/>
      <c r="G666" s="101"/>
      <c r="I666" s="104"/>
      <c r="T666" s="104"/>
      <c r="U666" s="100"/>
      <c r="V666" s="112"/>
      <c r="AA666" s="11"/>
    </row>
    <row r="667" spans="1:27">
      <c r="A667" s="99"/>
      <c r="B667" s="100"/>
      <c r="C667" s="100"/>
      <c r="D667" s="101"/>
      <c r="E667" s="101"/>
      <c r="F667" s="101"/>
      <c r="G667" s="101"/>
      <c r="I667" s="104"/>
      <c r="T667" s="104"/>
      <c r="U667" s="100"/>
      <c r="V667" s="112"/>
      <c r="AA667" s="11"/>
    </row>
    <row r="668" spans="1:27">
      <c r="A668" s="99"/>
      <c r="B668" s="100"/>
      <c r="C668" s="100"/>
      <c r="D668" s="101"/>
      <c r="E668" s="101"/>
      <c r="F668" s="101"/>
      <c r="G668" s="101"/>
      <c r="I668" s="104"/>
      <c r="T668" s="104"/>
      <c r="U668" s="100"/>
      <c r="V668" s="112"/>
      <c r="AA668" s="11"/>
    </row>
    <row r="669" spans="1:27">
      <c r="A669" s="99"/>
      <c r="B669" s="100"/>
      <c r="C669" s="100"/>
      <c r="D669" s="101"/>
      <c r="E669" s="101"/>
      <c r="F669" s="101"/>
      <c r="G669" s="101"/>
      <c r="I669" s="104"/>
      <c r="T669" s="104"/>
      <c r="U669" s="100"/>
      <c r="V669" s="112"/>
      <c r="AA669" s="11"/>
    </row>
    <row r="670" spans="1:27">
      <c r="A670" s="99"/>
      <c r="B670" s="100"/>
      <c r="C670" s="100"/>
      <c r="D670" s="101"/>
      <c r="E670" s="101"/>
      <c r="F670" s="101"/>
      <c r="G670" s="101"/>
      <c r="I670" s="104"/>
      <c r="T670" s="104"/>
      <c r="U670" s="100"/>
      <c r="V670" s="112"/>
      <c r="AA670" s="11"/>
    </row>
    <row r="671" spans="1:27">
      <c r="A671" s="99"/>
      <c r="B671" s="100"/>
      <c r="C671" s="100"/>
      <c r="D671" s="101"/>
      <c r="E671" s="101"/>
      <c r="F671" s="101"/>
      <c r="G671" s="101"/>
      <c r="I671" s="104"/>
      <c r="T671" s="104"/>
      <c r="U671" s="100"/>
      <c r="V671" s="112"/>
      <c r="AA671" s="11"/>
    </row>
    <row r="672" spans="1:27">
      <c r="A672" s="99"/>
      <c r="B672" s="100"/>
      <c r="C672" s="100"/>
      <c r="D672" s="101"/>
      <c r="E672" s="101"/>
      <c r="F672" s="101"/>
      <c r="G672" s="101"/>
      <c r="I672" s="104"/>
      <c r="T672" s="104"/>
      <c r="U672" s="100"/>
      <c r="V672" s="112"/>
      <c r="AA672" s="11"/>
    </row>
    <row r="673" spans="1:27">
      <c r="A673" s="99"/>
      <c r="B673" s="100"/>
      <c r="C673" s="100"/>
      <c r="D673" s="101"/>
      <c r="E673" s="101"/>
      <c r="F673" s="101"/>
      <c r="G673" s="101"/>
      <c r="I673" s="104"/>
      <c r="T673" s="104"/>
      <c r="U673" s="100"/>
      <c r="V673" s="112"/>
      <c r="AA673" s="11"/>
    </row>
    <row r="674" spans="1:27">
      <c r="A674" s="99"/>
      <c r="B674" s="100"/>
      <c r="C674" s="100"/>
      <c r="D674" s="101"/>
      <c r="E674" s="101"/>
      <c r="F674" s="101"/>
      <c r="G674" s="101"/>
      <c r="I674" s="104"/>
      <c r="T674" s="104"/>
      <c r="U674" s="100"/>
      <c r="V674" s="112"/>
      <c r="AA674" s="11"/>
    </row>
    <row r="675" spans="1:27">
      <c r="A675" s="99"/>
      <c r="B675" s="100"/>
      <c r="C675" s="100"/>
      <c r="D675" s="101"/>
      <c r="E675" s="101"/>
      <c r="F675" s="101"/>
      <c r="G675" s="101"/>
      <c r="I675" s="104"/>
      <c r="T675" s="104"/>
      <c r="U675" s="100"/>
      <c r="V675" s="112"/>
      <c r="AA675" s="11"/>
    </row>
    <row r="676" spans="1:27">
      <c r="A676" s="99"/>
      <c r="B676" s="100"/>
      <c r="C676" s="100"/>
      <c r="D676" s="101"/>
      <c r="E676" s="101"/>
      <c r="F676" s="101"/>
      <c r="G676" s="101"/>
      <c r="I676" s="104"/>
      <c r="T676" s="104"/>
      <c r="U676" s="100"/>
      <c r="V676" s="112"/>
      <c r="AA676" s="11"/>
    </row>
    <row r="677" spans="1:27">
      <c r="A677" s="99"/>
      <c r="B677" s="100"/>
      <c r="C677" s="100"/>
      <c r="D677" s="101"/>
      <c r="E677" s="101"/>
      <c r="F677" s="101"/>
      <c r="G677" s="101"/>
      <c r="I677" s="104"/>
      <c r="T677" s="104"/>
      <c r="U677" s="100"/>
      <c r="V677" s="112"/>
      <c r="AA677" s="11"/>
    </row>
    <row r="678" spans="1:27">
      <c r="A678" s="99"/>
      <c r="B678" s="100"/>
      <c r="C678" s="100"/>
      <c r="D678" s="101"/>
      <c r="E678" s="101"/>
      <c r="F678" s="101"/>
      <c r="G678" s="101"/>
      <c r="I678" s="104"/>
      <c r="T678" s="104"/>
      <c r="U678" s="100"/>
      <c r="V678" s="112"/>
      <c r="AA678" s="11"/>
    </row>
    <row r="679" spans="1:27">
      <c r="A679" s="99"/>
      <c r="B679" s="100"/>
      <c r="C679" s="100"/>
      <c r="D679" s="101"/>
      <c r="E679" s="101"/>
      <c r="F679" s="101"/>
      <c r="G679" s="101"/>
      <c r="I679" s="104"/>
      <c r="T679" s="104"/>
      <c r="U679" s="100"/>
      <c r="V679" s="112"/>
      <c r="AA679" s="11"/>
    </row>
    <row r="680" spans="1:27">
      <c r="A680" s="99"/>
      <c r="B680" s="100"/>
      <c r="C680" s="100"/>
      <c r="D680" s="101"/>
      <c r="E680" s="101"/>
      <c r="F680" s="101"/>
      <c r="G680" s="101"/>
      <c r="I680" s="104"/>
      <c r="T680" s="104"/>
      <c r="U680" s="100"/>
      <c r="V680" s="112"/>
      <c r="AA680" s="11"/>
    </row>
    <row r="681" spans="1:27">
      <c r="A681" s="99"/>
      <c r="B681" s="100"/>
      <c r="C681" s="100"/>
      <c r="D681" s="101"/>
      <c r="E681" s="101"/>
      <c r="F681" s="101"/>
      <c r="G681" s="101"/>
      <c r="I681" s="104"/>
      <c r="T681" s="104"/>
      <c r="U681" s="100"/>
      <c r="V681" s="112"/>
      <c r="AA681" s="11"/>
    </row>
    <row r="682" spans="1:27">
      <c r="A682" s="99"/>
      <c r="B682" s="100"/>
      <c r="C682" s="100"/>
      <c r="D682" s="101"/>
      <c r="E682" s="101"/>
      <c r="F682" s="101"/>
      <c r="G682" s="101"/>
      <c r="I682" s="104"/>
      <c r="T682" s="104"/>
      <c r="U682" s="100"/>
      <c r="V682" s="112"/>
      <c r="AA682" s="11"/>
    </row>
    <row r="683" spans="1:27">
      <c r="A683" s="99"/>
      <c r="B683" s="100"/>
      <c r="C683" s="100"/>
      <c r="D683" s="101"/>
      <c r="E683" s="101"/>
      <c r="F683" s="101"/>
      <c r="G683" s="101"/>
      <c r="I683" s="104"/>
      <c r="T683" s="104"/>
      <c r="U683" s="100"/>
      <c r="V683" s="112"/>
      <c r="AA683" s="11"/>
    </row>
    <row r="684" spans="1:27">
      <c r="A684" s="99"/>
      <c r="B684" s="100"/>
      <c r="C684" s="100"/>
      <c r="D684" s="101"/>
      <c r="E684" s="101"/>
      <c r="F684" s="101"/>
      <c r="G684" s="101"/>
      <c r="I684" s="104"/>
      <c r="T684" s="104"/>
      <c r="U684" s="100"/>
      <c r="V684" s="112"/>
      <c r="AA684" s="11"/>
    </row>
    <row r="685" spans="1:27">
      <c r="A685" s="99"/>
      <c r="B685" s="100"/>
      <c r="C685" s="100"/>
      <c r="D685" s="101"/>
      <c r="E685" s="101"/>
      <c r="F685" s="101"/>
      <c r="G685" s="101"/>
      <c r="I685" s="104"/>
      <c r="T685" s="104"/>
      <c r="U685" s="100"/>
      <c r="V685" s="112"/>
      <c r="AA685" s="11"/>
    </row>
    <row r="686" spans="1:27">
      <c r="A686" s="99"/>
      <c r="B686" s="100"/>
      <c r="C686" s="100"/>
      <c r="D686" s="101"/>
      <c r="E686" s="101"/>
      <c r="F686" s="101"/>
      <c r="G686" s="101"/>
      <c r="I686" s="104"/>
      <c r="T686" s="104"/>
      <c r="U686" s="100"/>
      <c r="V686" s="112"/>
      <c r="AA686" s="11"/>
    </row>
    <row r="687" spans="1:27">
      <c r="A687" s="99"/>
      <c r="B687" s="100"/>
      <c r="C687" s="100"/>
      <c r="D687" s="101"/>
      <c r="E687" s="101"/>
      <c r="F687" s="101"/>
      <c r="G687" s="101"/>
      <c r="I687" s="104"/>
      <c r="T687" s="104"/>
      <c r="U687" s="100"/>
      <c r="V687" s="112"/>
      <c r="AA687" s="11"/>
    </row>
    <row r="688" spans="1:27">
      <c r="A688" s="99"/>
      <c r="B688" s="100"/>
      <c r="C688" s="100"/>
      <c r="D688" s="101"/>
      <c r="E688" s="101"/>
      <c r="F688" s="101"/>
      <c r="G688" s="101"/>
      <c r="I688" s="104"/>
      <c r="T688" s="104"/>
      <c r="U688" s="100"/>
      <c r="V688" s="112"/>
      <c r="AA688" s="11"/>
    </row>
    <row r="689" spans="1:27">
      <c r="A689" s="99"/>
      <c r="B689" s="100"/>
      <c r="C689" s="100"/>
      <c r="D689" s="101"/>
      <c r="E689" s="101"/>
      <c r="F689" s="101"/>
      <c r="G689" s="101"/>
      <c r="I689" s="104"/>
      <c r="T689" s="104"/>
      <c r="U689" s="100"/>
      <c r="V689" s="112"/>
      <c r="AA689" s="11"/>
    </row>
    <row r="690" spans="1:27">
      <c r="A690" s="99"/>
      <c r="B690" s="100"/>
      <c r="C690" s="100"/>
      <c r="D690" s="101"/>
      <c r="E690" s="101"/>
      <c r="F690" s="101"/>
      <c r="G690" s="101"/>
      <c r="I690" s="104"/>
      <c r="T690" s="104"/>
      <c r="U690" s="100"/>
      <c r="V690" s="112"/>
      <c r="AA690" s="11"/>
    </row>
    <row r="691" spans="1:27">
      <c r="A691" s="99"/>
      <c r="B691" s="100"/>
      <c r="C691" s="100"/>
      <c r="D691" s="101"/>
      <c r="E691" s="101"/>
      <c r="F691" s="101"/>
      <c r="G691" s="101"/>
      <c r="I691" s="104"/>
      <c r="T691" s="104"/>
      <c r="U691" s="100"/>
      <c r="V691" s="112"/>
      <c r="AA691" s="11"/>
    </row>
    <row r="692" spans="1:27">
      <c r="A692" s="99"/>
      <c r="B692" s="100"/>
      <c r="C692" s="100"/>
      <c r="D692" s="101"/>
      <c r="E692" s="101"/>
      <c r="F692" s="101"/>
      <c r="G692" s="101"/>
      <c r="I692" s="104"/>
      <c r="T692" s="104"/>
      <c r="U692" s="100"/>
      <c r="V692" s="112"/>
      <c r="AA692" s="11"/>
    </row>
    <row r="693" spans="1:27">
      <c r="A693" s="99"/>
      <c r="B693" s="100"/>
      <c r="C693" s="100"/>
      <c r="D693" s="101"/>
      <c r="E693" s="101"/>
      <c r="F693" s="101"/>
      <c r="G693" s="101"/>
      <c r="I693" s="104"/>
      <c r="T693" s="104"/>
      <c r="U693" s="100"/>
      <c r="V693" s="112"/>
      <c r="AA693" s="11"/>
    </row>
    <row r="694" spans="1:27">
      <c r="A694" s="99"/>
      <c r="B694" s="100"/>
      <c r="C694" s="100"/>
      <c r="D694" s="101"/>
      <c r="E694" s="101"/>
      <c r="F694" s="101"/>
      <c r="G694" s="101"/>
      <c r="I694" s="104"/>
      <c r="T694" s="104"/>
      <c r="U694" s="100"/>
      <c r="V694" s="112"/>
      <c r="AA694" s="11"/>
    </row>
    <row r="695" spans="1:27">
      <c r="A695" s="99"/>
      <c r="B695" s="100"/>
      <c r="C695" s="100"/>
      <c r="D695" s="101"/>
      <c r="E695" s="101"/>
      <c r="F695" s="101"/>
      <c r="G695" s="101"/>
      <c r="I695" s="104"/>
      <c r="T695" s="104"/>
      <c r="U695" s="100"/>
      <c r="V695" s="112"/>
      <c r="AA695" s="11"/>
    </row>
    <row r="696" spans="1:27">
      <c r="A696" s="99"/>
      <c r="B696" s="100"/>
      <c r="C696" s="100"/>
      <c r="D696" s="101"/>
      <c r="E696" s="101"/>
      <c r="F696" s="101"/>
      <c r="G696" s="101"/>
      <c r="I696" s="104"/>
      <c r="T696" s="104"/>
      <c r="U696" s="100"/>
      <c r="V696" s="112"/>
      <c r="AA696" s="11"/>
    </row>
    <row r="697" spans="1:27">
      <c r="A697" s="99"/>
      <c r="B697" s="100"/>
      <c r="C697" s="100"/>
      <c r="D697" s="101"/>
      <c r="E697" s="101"/>
      <c r="F697" s="101"/>
      <c r="G697" s="101"/>
      <c r="I697" s="104"/>
      <c r="T697" s="104"/>
      <c r="U697" s="100"/>
      <c r="V697" s="112"/>
      <c r="AA697" s="11"/>
    </row>
    <row r="698" spans="1:27">
      <c r="A698" s="99"/>
      <c r="B698" s="100"/>
      <c r="C698" s="100"/>
      <c r="D698" s="101"/>
      <c r="E698" s="101"/>
      <c r="F698" s="101"/>
      <c r="G698" s="101"/>
      <c r="I698" s="104"/>
      <c r="T698" s="104"/>
      <c r="U698" s="100"/>
      <c r="V698" s="112"/>
      <c r="AA698" s="11"/>
    </row>
    <row r="699" spans="1:27">
      <c r="A699" s="99"/>
      <c r="B699" s="100"/>
      <c r="C699" s="100"/>
      <c r="D699" s="101"/>
      <c r="E699" s="101"/>
      <c r="F699" s="101"/>
      <c r="G699" s="101"/>
      <c r="I699" s="104"/>
      <c r="T699" s="104"/>
      <c r="U699" s="100"/>
      <c r="V699" s="112"/>
      <c r="AA699" s="11"/>
    </row>
    <row r="700" spans="1:27">
      <c r="A700" s="99"/>
      <c r="B700" s="100"/>
      <c r="C700" s="100"/>
      <c r="D700" s="101"/>
      <c r="E700" s="101"/>
      <c r="F700" s="101"/>
      <c r="G700" s="101"/>
      <c r="I700" s="104"/>
      <c r="T700" s="104"/>
      <c r="U700" s="100"/>
      <c r="V700" s="112"/>
      <c r="AA700" s="11"/>
    </row>
    <row r="701" spans="1:27">
      <c r="A701" s="99"/>
      <c r="B701" s="100"/>
      <c r="C701" s="100"/>
      <c r="D701" s="101"/>
      <c r="E701" s="101"/>
      <c r="F701" s="101"/>
      <c r="G701" s="101"/>
      <c r="I701" s="104"/>
      <c r="T701" s="104"/>
      <c r="U701" s="100"/>
      <c r="V701" s="112"/>
      <c r="AA701" s="11"/>
    </row>
    <row r="702" spans="1:27">
      <c r="A702" s="99"/>
      <c r="B702" s="100"/>
      <c r="C702" s="100"/>
      <c r="D702" s="101"/>
      <c r="E702" s="101"/>
      <c r="F702" s="101"/>
      <c r="G702" s="101"/>
      <c r="I702" s="104"/>
      <c r="T702" s="104"/>
      <c r="U702" s="100"/>
      <c r="V702" s="112"/>
      <c r="AA702" s="11"/>
    </row>
    <row r="703" spans="1:27">
      <c r="A703" s="99"/>
      <c r="B703" s="100"/>
      <c r="C703" s="100"/>
      <c r="D703" s="101"/>
      <c r="E703" s="101"/>
      <c r="F703" s="101"/>
      <c r="G703" s="101"/>
      <c r="I703" s="104"/>
      <c r="T703" s="104"/>
      <c r="U703" s="100"/>
      <c r="V703" s="112"/>
      <c r="AA703" s="11"/>
    </row>
    <row r="704" spans="1:27">
      <c r="A704" s="99"/>
      <c r="B704" s="100"/>
      <c r="C704" s="100"/>
      <c r="D704" s="101"/>
      <c r="E704" s="101"/>
      <c r="F704" s="101"/>
      <c r="G704" s="101"/>
      <c r="I704" s="104"/>
      <c r="T704" s="104"/>
      <c r="U704" s="100"/>
      <c r="V704" s="112"/>
      <c r="AA704" s="11"/>
    </row>
    <row r="705" spans="1:27">
      <c r="A705" s="99"/>
      <c r="B705" s="100"/>
      <c r="C705" s="100"/>
      <c r="D705" s="101"/>
      <c r="E705" s="101"/>
      <c r="F705" s="101"/>
      <c r="G705" s="101"/>
      <c r="I705" s="104"/>
      <c r="T705" s="104"/>
      <c r="U705" s="100"/>
      <c r="V705" s="112"/>
      <c r="AA705" s="11"/>
    </row>
    <row r="706" spans="1:27">
      <c r="A706" s="99"/>
      <c r="B706" s="100"/>
      <c r="C706" s="100"/>
      <c r="D706" s="101"/>
      <c r="E706" s="101"/>
      <c r="F706" s="101"/>
      <c r="G706" s="101"/>
      <c r="I706" s="104"/>
      <c r="T706" s="104"/>
      <c r="U706" s="100"/>
      <c r="V706" s="112"/>
      <c r="AA706" s="11"/>
    </row>
    <row r="707" spans="1:27">
      <c r="A707" s="99"/>
      <c r="B707" s="100"/>
      <c r="C707" s="100"/>
      <c r="D707" s="101"/>
      <c r="E707" s="101"/>
      <c r="F707" s="101"/>
      <c r="G707" s="101"/>
      <c r="I707" s="104"/>
      <c r="T707" s="104"/>
      <c r="U707" s="100"/>
      <c r="V707" s="112"/>
      <c r="AA707" s="11"/>
    </row>
    <row r="708" spans="1:27">
      <c r="A708" s="99"/>
      <c r="B708" s="100"/>
      <c r="C708" s="100"/>
      <c r="D708" s="101"/>
      <c r="E708" s="101"/>
      <c r="F708" s="101"/>
      <c r="G708" s="101"/>
      <c r="I708" s="104"/>
      <c r="T708" s="104"/>
      <c r="U708" s="100"/>
      <c r="V708" s="112"/>
      <c r="AA708" s="11"/>
    </row>
    <row r="709" spans="1:27">
      <c r="A709" s="99"/>
      <c r="B709" s="100"/>
      <c r="C709" s="100"/>
      <c r="D709" s="101"/>
      <c r="E709" s="101"/>
      <c r="F709" s="101"/>
      <c r="G709" s="101"/>
      <c r="I709" s="104"/>
      <c r="T709" s="104"/>
      <c r="U709" s="100"/>
      <c r="V709" s="112"/>
      <c r="AA709" s="11"/>
    </row>
    <row r="710" spans="1:27">
      <c r="A710" s="99"/>
      <c r="B710" s="100"/>
      <c r="C710" s="100"/>
      <c r="D710" s="101"/>
      <c r="E710" s="101"/>
      <c r="F710" s="101"/>
      <c r="G710" s="101"/>
      <c r="I710" s="104"/>
      <c r="T710" s="104"/>
      <c r="U710" s="100"/>
      <c r="V710" s="112"/>
      <c r="AA710" s="11"/>
    </row>
    <row r="711" spans="1:27">
      <c r="A711" s="99"/>
      <c r="B711" s="100"/>
      <c r="C711" s="100"/>
      <c r="D711" s="101"/>
      <c r="E711" s="101"/>
      <c r="F711" s="101"/>
      <c r="G711" s="101"/>
      <c r="I711" s="104"/>
      <c r="T711" s="104"/>
      <c r="U711" s="100"/>
      <c r="V711" s="112"/>
      <c r="AA711" s="11"/>
    </row>
    <row r="712" spans="1:27">
      <c r="A712" s="99"/>
      <c r="B712" s="100"/>
      <c r="C712" s="100"/>
      <c r="D712" s="101"/>
      <c r="E712" s="101"/>
      <c r="F712" s="101"/>
      <c r="G712" s="101"/>
      <c r="I712" s="104"/>
      <c r="T712" s="104"/>
      <c r="U712" s="100"/>
      <c r="V712" s="112"/>
      <c r="AA712" s="11"/>
    </row>
    <row r="713" spans="1:27">
      <c r="A713" s="99"/>
      <c r="B713" s="100"/>
      <c r="C713" s="100"/>
      <c r="D713" s="101"/>
      <c r="E713" s="101"/>
      <c r="F713" s="101"/>
      <c r="G713" s="101"/>
      <c r="I713" s="104"/>
      <c r="T713" s="104"/>
      <c r="U713" s="100"/>
      <c r="V713" s="112"/>
      <c r="AA713" s="11"/>
    </row>
    <row r="714" spans="1:27">
      <c r="A714" s="99"/>
      <c r="B714" s="100"/>
      <c r="C714" s="100"/>
      <c r="D714" s="101"/>
      <c r="E714" s="101"/>
      <c r="F714" s="101"/>
      <c r="G714" s="101"/>
      <c r="I714" s="104"/>
      <c r="T714" s="104"/>
      <c r="U714" s="100"/>
      <c r="V714" s="112"/>
      <c r="AA714" s="11"/>
    </row>
    <row r="715" spans="1:27">
      <c r="A715" s="99"/>
      <c r="B715" s="100"/>
      <c r="C715" s="100"/>
      <c r="D715" s="101"/>
      <c r="E715" s="101"/>
      <c r="F715" s="101"/>
      <c r="G715" s="101"/>
      <c r="I715" s="104"/>
      <c r="T715" s="104"/>
      <c r="U715" s="100"/>
      <c r="V715" s="112"/>
      <c r="AA715" s="11"/>
    </row>
    <row r="716" spans="1:27">
      <c r="A716" s="99"/>
      <c r="B716" s="100"/>
      <c r="C716" s="100"/>
      <c r="D716" s="101"/>
      <c r="E716" s="101"/>
      <c r="F716" s="101"/>
      <c r="G716" s="101"/>
      <c r="I716" s="104"/>
      <c r="T716" s="104"/>
      <c r="U716" s="100"/>
      <c r="V716" s="112"/>
      <c r="AA716" s="11"/>
    </row>
    <row r="717" spans="1:27">
      <c r="A717" s="99"/>
      <c r="B717" s="100"/>
      <c r="C717" s="100"/>
      <c r="D717" s="101"/>
      <c r="E717" s="101"/>
      <c r="F717" s="101"/>
      <c r="G717" s="101"/>
      <c r="I717" s="104"/>
      <c r="T717" s="104"/>
      <c r="U717" s="100"/>
      <c r="V717" s="112"/>
      <c r="AA717" s="11"/>
    </row>
    <row r="718" spans="1:27">
      <c r="A718" s="99"/>
      <c r="B718" s="100"/>
      <c r="C718" s="100"/>
      <c r="D718" s="101"/>
      <c r="E718" s="101"/>
      <c r="F718" s="101"/>
      <c r="G718" s="101"/>
      <c r="I718" s="104"/>
      <c r="T718" s="104"/>
      <c r="U718" s="100"/>
      <c r="V718" s="112"/>
      <c r="AA718" s="11"/>
    </row>
    <row r="719" spans="1:27">
      <c r="A719" s="99"/>
      <c r="B719" s="100"/>
      <c r="C719" s="100"/>
      <c r="D719" s="101"/>
      <c r="E719" s="101"/>
      <c r="F719" s="101"/>
      <c r="G719" s="101"/>
      <c r="I719" s="104"/>
      <c r="T719" s="104"/>
      <c r="U719" s="100"/>
      <c r="V719" s="112"/>
      <c r="AA719" s="11"/>
    </row>
    <row r="720" spans="1:27">
      <c r="A720" s="99"/>
      <c r="B720" s="100"/>
      <c r="C720" s="100"/>
      <c r="D720" s="101"/>
      <c r="E720" s="101"/>
      <c r="F720" s="101"/>
      <c r="G720" s="101"/>
      <c r="I720" s="104"/>
      <c r="T720" s="104"/>
      <c r="U720" s="100"/>
      <c r="V720" s="112"/>
      <c r="AA720" s="11"/>
    </row>
    <row r="721" spans="1:27">
      <c r="A721" s="99"/>
      <c r="B721" s="100"/>
      <c r="C721" s="100"/>
      <c r="D721" s="101"/>
      <c r="E721" s="101"/>
      <c r="F721" s="101"/>
      <c r="G721" s="101"/>
      <c r="I721" s="104"/>
      <c r="T721" s="104"/>
      <c r="U721" s="100"/>
      <c r="V721" s="112"/>
      <c r="AA721" s="11"/>
    </row>
    <row r="722" spans="1:27">
      <c r="A722" s="99"/>
      <c r="B722" s="100"/>
      <c r="C722" s="100"/>
      <c r="D722" s="101"/>
      <c r="E722" s="101"/>
      <c r="F722" s="101"/>
      <c r="G722" s="101"/>
      <c r="I722" s="104"/>
      <c r="T722" s="104"/>
      <c r="U722" s="100"/>
      <c r="V722" s="112"/>
      <c r="AA722" s="11"/>
    </row>
    <row r="723" spans="1:27">
      <c r="A723" s="99"/>
      <c r="B723" s="100"/>
      <c r="C723" s="100"/>
      <c r="D723" s="101"/>
      <c r="E723" s="101"/>
      <c r="F723" s="101"/>
      <c r="G723" s="101"/>
      <c r="I723" s="104"/>
      <c r="T723" s="104"/>
      <c r="U723" s="100"/>
      <c r="V723" s="112"/>
      <c r="AA723" s="11"/>
    </row>
    <row r="724" spans="1:27">
      <c r="A724" s="99"/>
      <c r="B724" s="100"/>
      <c r="C724" s="100"/>
      <c r="D724" s="101"/>
      <c r="E724" s="101"/>
      <c r="F724" s="101"/>
      <c r="G724" s="101"/>
      <c r="I724" s="104"/>
      <c r="T724" s="104"/>
      <c r="U724" s="100"/>
      <c r="V724" s="112"/>
      <c r="AA724" s="11"/>
    </row>
    <row r="725" spans="1:27">
      <c r="A725" s="99"/>
      <c r="B725" s="100"/>
      <c r="C725" s="100"/>
      <c r="D725" s="101"/>
      <c r="E725" s="101"/>
      <c r="F725" s="101"/>
      <c r="G725" s="101"/>
      <c r="I725" s="104"/>
      <c r="T725" s="104"/>
      <c r="U725" s="100"/>
      <c r="V725" s="112"/>
      <c r="AA725" s="11"/>
    </row>
    <row r="726" spans="1:27">
      <c r="A726" s="99"/>
      <c r="B726" s="100"/>
      <c r="C726" s="100"/>
      <c r="D726" s="101"/>
      <c r="E726" s="101"/>
      <c r="F726" s="101"/>
      <c r="G726" s="101"/>
      <c r="I726" s="104"/>
      <c r="T726" s="104"/>
      <c r="U726" s="100"/>
      <c r="V726" s="112"/>
      <c r="AA726" s="11"/>
    </row>
    <row r="727" spans="1:27">
      <c r="A727" s="99"/>
      <c r="B727" s="100"/>
      <c r="C727" s="100"/>
      <c r="D727" s="101"/>
      <c r="E727" s="101"/>
      <c r="F727" s="101"/>
      <c r="G727" s="101"/>
      <c r="I727" s="104"/>
      <c r="T727" s="104"/>
      <c r="U727" s="100"/>
      <c r="V727" s="112"/>
      <c r="AA727" s="11"/>
    </row>
    <row r="728" spans="1:27">
      <c r="A728" s="99"/>
      <c r="B728" s="100"/>
      <c r="C728" s="100"/>
      <c r="D728" s="101"/>
      <c r="E728" s="101"/>
      <c r="F728" s="101"/>
      <c r="G728" s="101"/>
      <c r="I728" s="104"/>
      <c r="T728" s="104"/>
      <c r="U728" s="100"/>
      <c r="V728" s="112"/>
      <c r="AA728" s="11"/>
    </row>
    <row r="729" spans="1:27">
      <c r="A729" s="99"/>
      <c r="B729" s="100"/>
      <c r="C729" s="100"/>
      <c r="D729" s="101"/>
      <c r="E729" s="101"/>
      <c r="F729" s="101"/>
      <c r="G729" s="101"/>
      <c r="I729" s="104"/>
      <c r="T729" s="104"/>
      <c r="U729" s="100"/>
      <c r="V729" s="112"/>
      <c r="AA729" s="11"/>
    </row>
    <row r="730" spans="1:27">
      <c r="A730" s="99"/>
      <c r="B730" s="100"/>
      <c r="C730" s="100"/>
      <c r="D730" s="101"/>
      <c r="E730" s="101"/>
      <c r="F730" s="101"/>
      <c r="G730" s="101"/>
      <c r="I730" s="104"/>
      <c r="T730" s="104"/>
      <c r="U730" s="100"/>
      <c r="V730" s="112"/>
      <c r="AA730" s="11"/>
    </row>
    <row r="731" spans="1:27">
      <c r="A731" s="99"/>
      <c r="B731" s="100"/>
      <c r="C731" s="100"/>
      <c r="D731" s="101"/>
      <c r="E731" s="101"/>
      <c r="F731" s="101"/>
      <c r="G731" s="101"/>
      <c r="I731" s="104"/>
      <c r="T731" s="104"/>
      <c r="U731" s="100"/>
      <c r="V731" s="112"/>
      <c r="AA731" s="11"/>
    </row>
    <row r="732" spans="1:27">
      <c r="A732" s="99"/>
      <c r="B732" s="100"/>
      <c r="C732" s="100"/>
      <c r="D732" s="101"/>
      <c r="E732" s="101"/>
      <c r="F732" s="101"/>
      <c r="G732" s="101"/>
      <c r="I732" s="104"/>
      <c r="T732" s="104"/>
      <c r="U732" s="100"/>
      <c r="V732" s="112"/>
      <c r="AA732" s="11"/>
    </row>
    <row r="733" spans="1:27">
      <c r="A733" s="99"/>
      <c r="B733" s="100"/>
      <c r="C733" s="100"/>
      <c r="D733" s="101"/>
      <c r="E733" s="101"/>
      <c r="F733" s="101"/>
      <c r="G733" s="101"/>
      <c r="I733" s="104"/>
      <c r="T733" s="104"/>
      <c r="U733" s="100"/>
      <c r="V733" s="112"/>
      <c r="AA733" s="11"/>
    </row>
    <row r="734" spans="1:27">
      <c r="A734" s="99"/>
      <c r="B734" s="100"/>
      <c r="C734" s="100"/>
      <c r="D734" s="101"/>
      <c r="E734" s="101"/>
      <c r="F734" s="101"/>
      <c r="G734" s="101"/>
      <c r="I734" s="104"/>
      <c r="T734" s="104"/>
      <c r="U734" s="100"/>
      <c r="V734" s="112"/>
      <c r="AA734" s="11"/>
    </row>
    <row r="735" spans="1:27">
      <c r="A735" s="99"/>
      <c r="B735" s="100"/>
      <c r="C735" s="100"/>
      <c r="D735" s="101"/>
      <c r="E735" s="101"/>
      <c r="F735" s="101"/>
      <c r="G735" s="101"/>
      <c r="I735" s="104"/>
      <c r="T735" s="104"/>
      <c r="U735" s="100"/>
      <c r="V735" s="112"/>
      <c r="AA735" s="11"/>
    </row>
    <row r="736" spans="1:27">
      <c r="A736" s="99"/>
      <c r="B736" s="100"/>
      <c r="C736" s="100"/>
      <c r="D736" s="101"/>
      <c r="E736" s="101"/>
      <c r="F736" s="101"/>
      <c r="G736" s="101"/>
      <c r="I736" s="104"/>
      <c r="T736" s="104"/>
      <c r="U736" s="100"/>
      <c r="V736" s="112"/>
      <c r="AA736" s="11"/>
    </row>
    <row r="737" spans="1:27">
      <c r="A737" s="99"/>
      <c r="B737" s="100"/>
      <c r="C737" s="100"/>
      <c r="D737" s="101"/>
      <c r="E737" s="101"/>
      <c r="F737" s="101"/>
      <c r="G737" s="101"/>
      <c r="I737" s="104"/>
      <c r="T737" s="104"/>
      <c r="U737" s="100"/>
      <c r="V737" s="112"/>
      <c r="AA737" s="11"/>
    </row>
    <row r="738" spans="1:27">
      <c r="A738" s="99"/>
      <c r="B738" s="100"/>
      <c r="C738" s="100"/>
      <c r="D738" s="101"/>
      <c r="E738" s="101"/>
      <c r="F738" s="101"/>
      <c r="G738" s="101"/>
      <c r="I738" s="104"/>
      <c r="T738" s="104"/>
      <c r="U738" s="100"/>
      <c r="V738" s="112"/>
      <c r="AA738" s="11"/>
    </row>
    <row r="739" spans="1:27">
      <c r="A739" s="99"/>
      <c r="B739" s="100"/>
      <c r="C739" s="100"/>
      <c r="D739" s="101"/>
      <c r="E739" s="101"/>
      <c r="F739" s="101"/>
      <c r="G739" s="101"/>
      <c r="I739" s="104"/>
      <c r="T739" s="104"/>
      <c r="U739" s="100"/>
      <c r="V739" s="112"/>
      <c r="AA739" s="11"/>
    </row>
    <row r="740" spans="1:27">
      <c r="A740" s="99"/>
      <c r="B740" s="100"/>
      <c r="C740" s="100"/>
      <c r="D740" s="101"/>
      <c r="E740" s="101"/>
      <c r="F740" s="101"/>
      <c r="G740" s="101"/>
      <c r="I740" s="104"/>
      <c r="T740" s="104"/>
      <c r="U740" s="100"/>
      <c r="V740" s="112"/>
      <c r="AA740" s="11"/>
    </row>
    <row r="741" spans="1:27">
      <c r="A741" s="99"/>
      <c r="B741" s="100"/>
      <c r="C741" s="100"/>
      <c r="D741" s="101"/>
      <c r="E741" s="101"/>
      <c r="F741" s="101"/>
      <c r="G741" s="101"/>
      <c r="I741" s="104"/>
      <c r="T741" s="104"/>
      <c r="U741" s="100"/>
      <c r="V741" s="112"/>
      <c r="AA741" s="11"/>
    </row>
    <row r="742" spans="1:27">
      <c r="A742" s="99"/>
      <c r="B742" s="100"/>
      <c r="C742" s="100"/>
      <c r="D742" s="101"/>
      <c r="E742" s="101"/>
      <c r="F742" s="101"/>
      <c r="G742" s="101"/>
      <c r="I742" s="104"/>
      <c r="T742" s="104"/>
      <c r="U742" s="100"/>
      <c r="V742" s="112"/>
      <c r="AA742" s="11"/>
    </row>
    <row r="743" spans="1:27">
      <c r="A743" s="99"/>
      <c r="B743" s="100"/>
      <c r="C743" s="100"/>
      <c r="D743" s="101"/>
      <c r="E743" s="101"/>
      <c r="F743" s="101"/>
      <c r="G743" s="101"/>
      <c r="I743" s="104"/>
      <c r="T743" s="104"/>
      <c r="U743" s="100"/>
      <c r="V743" s="112"/>
      <c r="AA743" s="11"/>
    </row>
    <row r="744" spans="1:27">
      <c r="A744" s="99"/>
      <c r="B744" s="100"/>
      <c r="C744" s="100"/>
      <c r="D744" s="101"/>
      <c r="E744" s="101"/>
      <c r="F744" s="101"/>
      <c r="G744" s="101"/>
      <c r="I744" s="104"/>
      <c r="T744" s="104"/>
      <c r="U744" s="100"/>
      <c r="V744" s="112"/>
      <c r="AA744" s="11"/>
    </row>
    <row r="745" spans="1:27">
      <c r="A745" s="99"/>
      <c r="B745" s="100"/>
      <c r="C745" s="100"/>
      <c r="D745" s="101"/>
      <c r="E745" s="101"/>
      <c r="F745" s="101"/>
      <c r="G745" s="101"/>
      <c r="I745" s="104"/>
      <c r="T745" s="104"/>
      <c r="U745" s="100"/>
      <c r="V745" s="112"/>
      <c r="AA745" s="11"/>
    </row>
    <row r="746" spans="1:27">
      <c r="A746" s="99"/>
      <c r="B746" s="100"/>
      <c r="C746" s="100"/>
      <c r="D746" s="101"/>
      <c r="E746" s="101"/>
      <c r="F746" s="101"/>
      <c r="G746" s="101"/>
      <c r="I746" s="104"/>
      <c r="T746" s="104"/>
      <c r="U746" s="100"/>
      <c r="V746" s="112"/>
      <c r="AA746" s="11"/>
    </row>
    <row r="747" spans="1:27">
      <c r="A747" s="99"/>
      <c r="B747" s="100"/>
      <c r="C747" s="100"/>
      <c r="D747" s="101"/>
      <c r="E747" s="101"/>
      <c r="F747" s="101"/>
      <c r="G747" s="101"/>
      <c r="I747" s="104"/>
      <c r="T747" s="104"/>
      <c r="U747" s="100"/>
      <c r="V747" s="112"/>
      <c r="AA747" s="11"/>
    </row>
    <row r="748" spans="1:27">
      <c r="A748" s="99"/>
      <c r="B748" s="100"/>
      <c r="C748" s="100"/>
      <c r="D748" s="101"/>
      <c r="E748" s="101"/>
      <c r="F748" s="101"/>
      <c r="G748" s="101"/>
      <c r="I748" s="104"/>
      <c r="T748" s="104"/>
      <c r="U748" s="100"/>
      <c r="V748" s="112"/>
      <c r="AA748" s="11"/>
    </row>
    <row r="749" spans="1:27">
      <c r="A749" s="99"/>
      <c r="B749" s="100"/>
      <c r="C749" s="100"/>
      <c r="D749" s="101"/>
      <c r="E749" s="101"/>
      <c r="F749" s="101"/>
      <c r="G749" s="101"/>
      <c r="I749" s="104"/>
      <c r="T749" s="104"/>
      <c r="U749" s="100"/>
      <c r="V749" s="112"/>
      <c r="AA749" s="11"/>
    </row>
    <row r="750" spans="1:27">
      <c r="A750" s="99"/>
      <c r="B750" s="100"/>
      <c r="C750" s="100"/>
      <c r="D750" s="101"/>
      <c r="E750" s="101"/>
      <c r="F750" s="101"/>
      <c r="G750" s="101"/>
      <c r="I750" s="104"/>
      <c r="T750" s="104"/>
      <c r="U750" s="100"/>
      <c r="V750" s="112"/>
      <c r="AA750" s="11"/>
    </row>
    <row r="751" spans="1:27">
      <c r="A751" s="99"/>
      <c r="B751" s="100"/>
      <c r="C751" s="100"/>
      <c r="D751" s="101"/>
      <c r="E751" s="101"/>
      <c r="F751" s="101"/>
      <c r="G751" s="101"/>
      <c r="I751" s="104"/>
      <c r="T751" s="104"/>
      <c r="U751" s="100"/>
      <c r="V751" s="112"/>
      <c r="AA751" s="11"/>
    </row>
    <row r="752" spans="1:27">
      <c r="A752" s="99"/>
      <c r="B752" s="100"/>
      <c r="C752" s="100"/>
      <c r="D752" s="101"/>
      <c r="E752" s="101"/>
      <c r="F752" s="101"/>
      <c r="G752" s="101"/>
      <c r="I752" s="104"/>
      <c r="T752" s="104"/>
      <c r="U752" s="100"/>
      <c r="V752" s="112"/>
      <c r="AA752" s="11"/>
    </row>
    <row r="753" spans="1:27">
      <c r="A753" s="99"/>
      <c r="B753" s="100"/>
      <c r="C753" s="100"/>
      <c r="D753" s="101"/>
      <c r="E753" s="101"/>
      <c r="F753" s="101"/>
      <c r="G753" s="101"/>
      <c r="I753" s="104"/>
      <c r="T753" s="104"/>
      <c r="U753" s="100"/>
      <c r="V753" s="112"/>
      <c r="AA753" s="11"/>
    </row>
    <row r="754" spans="1:27">
      <c r="A754" s="99"/>
      <c r="B754" s="100"/>
      <c r="C754" s="100"/>
      <c r="D754" s="101"/>
      <c r="E754" s="101"/>
      <c r="F754" s="101"/>
      <c r="G754" s="101"/>
      <c r="I754" s="104"/>
      <c r="T754" s="104"/>
      <c r="U754" s="100"/>
      <c r="V754" s="112"/>
      <c r="AA754" s="11"/>
    </row>
    <row r="755" spans="1:27">
      <c r="A755" s="99"/>
      <c r="B755" s="100"/>
      <c r="C755" s="100"/>
      <c r="D755" s="101"/>
      <c r="E755" s="101"/>
      <c r="F755" s="101"/>
      <c r="G755" s="101"/>
      <c r="I755" s="104"/>
      <c r="T755" s="104"/>
      <c r="U755" s="100"/>
      <c r="V755" s="112"/>
      <c r="AA755" s="11"/>
    </row>
    <row r="756" spans="1:27">
      <c r="A756" s="99"/>
      <c r="B756" s="100"/>
      <c r="C756" s="100"/>
      <c r="D756" s="101"/>
      <c r="E756" s="101"/>
      <c r="F756" s="101"/>
      <c r="G756" s="101"/>
      <c r="I756" s="104"/>
      <c r="T756" s="104"/>
      <c r="U756" s="100"/>
      <c r="V756" s="112"/>
      <c r="AA756" s="11"/>
    </row>
    <row r="757" spans="1:27">
      <c r="A757" s="99"/>
      <c r="B757" s="100"/>
      <c r="C757" s="100"/>
      <c r="D757" s="101"/>
      <c r="E757" s="101"/>
      <c r="F757" s="101"/>
      <c r="G757" s="101"/>
      <c r="I757" s="104"/>
      <c r="T757" s="104"/>
      <c r="U757" s="100"/>
      <c r="V757" s="112"/>
      <c r="AA757" s="11"/>
    </row>
    <row r="758" spans="1:27">
      <c r="A758" s="99"/>
      <c r="B758" s="100"/>
      <c r="C758" s="100"/>
      <c r="D758" s="101"/>
      <c r="E758" s="101"/>
      <c r="F758" s="101"/>
      <c r="G758" s="101"/>
      <c r="I758" s="104"/>
      <c r="T758" s="104"/>
      <c r="U758" s="100"/>
      <c r="V758" s="112"/>
      <c r="AA758" s="11"/>
    </row>
    <row r="759" spans="1:27">
      <c r="A759" s="99"/>
      <c r="B759" s="100"/>
      <c r="C759" s="100"/>
      <c r="D759" s="101"/>
      <c r="E759" s="101"/>
      <c r="F759" s="101"/>
      <c r="G759" s="101"/>
      <c r="I759" s="104"/>
      <c r="T759" s="104"/>
      <c r="U759" s="100"/>
      <c r="V759" s="112"/>
      <c r="AA759" s="11"/>
    </row>
    <row r="760" spans="1:27">
      <c r="A760" s="99"/>
      <c r="B760" s="100"/>
      <c r="C760" s="100"/>
      <c r="D760" s="101"/>
      <c r="E760" s="101"/>
      <c r="F760" s="101"/>
      <c r="G760" s="101"/>
      <c r="I760" s="104"/>
      <c r="T760" s="104"/>
      <c r="U760" s="100"/>
      <c r="V760" s="112"/>
      <c r="AA760" s="11"/>
    </row>
    <row r="761" spans="1:27">
      <c r="A761" s="99"/>
      <c r="B761" s="100"/>
      <c r="C761" s="100"/>
      <c r="D761" s="101"/>
      <c r="E761" s="101"/>
      <c r="F761" s="101"/>
      <c r="G761" s="101"/>
      <c r="I761" s="104"/>
      <c r="T761" s="104"/>
      <c r="U761" s="100"/>
      <c r="V761" s="112"/>
      <c r="AA761" s="11"/>
    </row>
    <row r="762" spans="1:27">
      <c r="A762" s="99"/>
      <c r="B762" s="100"/>
      <c r="C762" s="100"/>
      <c r="D762" s="101"/>
      <c r="E762" s="101"/>
      <c r="F762" s="101"/>
      <c r="G762" s="101"/>
      <c r="I762" s="104"/>
      <c r="T762" s="104"/>
      <c r="U762" s="100"/>
      <c r="V762" s="112"/>
      <c r="AA762" s="11"/>
    </row>
    <row r="763" spans="1:27">
      <c r="A763" s="99"/>
      <c r="B763" s="100"/>
      <c r="C763" s="100"/>
      <c r="D763" s="101"/>
      <c r="E763" s="101"/>
      <c r="F763" s="101"/>
      <c r="G763" s="101"/>
      <c r="I763" s="104"/>
      <c r="T763" s="104"/>
      <c r="U763" s="100"/>
      <c r="V763" s="112"/>
      <c r="AA763" s="11"/>
    </row>
    <row r="764" spans="1:27">
      <c r="A764" s="99"/>
      <c r="B764" s="100"/>
      <c r="C764" s="100"/>
      <c r="D764" s="101"/>
      <c r="E764" s="101"/>
      <c r="F764" s="101"/>
      <c r="G764" s="101"/>
      <c r="I764" s="104"/>
      <c r="T764" s="104"/>
      <c r="U764" s="100"/>
      <c r="V764" s="112"/>
      <c r="AA764" s="11"/>
    </row>
    <row r="765" spans="1:27">
      <c r="A765" s="99"/>
      <c r="B765" s="100"/>
      <c r="C765" s="100"/>
      <c r="D765" s="101"/>
      <c r="E765" s="101"/>
      <c r="F765" s="101"/>
      <c r="G765" s="101"/>
      <c r="I765" s="104"/>
      <c r="T765" s="104"/>
      <c r="U765" s="100"/>
      <c r="V765" s="112"/>
      <c r="AA765" s="11"/>
    </row>
    <row r="766" spans="1:27">
      <c r="A766" s="99"/>
      <c r="B766" s="100"/>
      <c r="C766" s="100"/>
      <c r="D766" s="101"/>
      <c r="E766" s="101"/>
      <c r="F766" s="101"/>
      <c r="G766" s="101"/>
      <c r="I766" s="104"/>
      <c r="T766" s="104"/>
      <c r="U766" s="100"/>
      <c r="V766" s="112"/>
      <c r="AA766" s="11"/>
    </row>
    <row r="767" spans="1:27">
      <c r="A767" s="99"/>
      <c r="B767" s="100"/>
      <c r="C767" s="100"/>
      <c r="D767" s="101"/>
      <c r="E767" s="101"/>
      <c r="F767" s="101"/>
      <c r="G767" s="101"/>
      <c r="I767" s="104"/>
      <c r="T767" s="104"/>
      <c r="U767" s="100"/>
      <c r="V767" s="112"/>
      <c r="AA767" s="11"/>
    </row>
    <row r="768" spans="1:27">
      <c r="A768" s="99"/>
      <c r="B768" s="100"/>
      <c r="C768" s="100"/>
      <c r="D768" s="101"/>
      <c r="E768" s="101"/>
      <c r="F768" s="101"/>
      <c r="G768" s="101"/>
      <c r="I768" s="104"/>
      <c r="T768" s="104"/>
      <c r="U768" s="100"/>
      <c r="V768" s="112"/>
      <c r="AA768" s="11"/>
    </row>
    <row r="769" spans="1:27">
      <c r="A769" s="99"/>
      <c r="B769" s="100"/>
      <c r="C769" s="100"/>
      <c r="D769" s="101"/>
      <c r="E769" s="101"/>
      <c r="F769" s="101"/>
      <c r="G769" s="101"/>
      <c r="I769" s="104"/>
      <c r="T769" s="104"/>
      <c r="U769" s="100"/>
      <c r="V769" s="112"/>
      <c r="AA769" s="11"/>
    </row>
    <row r="770" spans="1:27">
      <c r="A770" s="99"/>
      <c r="B770" s="100"/>
      <c r="C770" s="100"/>
      <c r="D770" s="101"/>
      <c r="E770" s="101"/>
      <c r="F770" s="101"/>
      <c r="G770" s="101"/>
      <c r="I770" s="104"/>
      <c r="T770" s="104"/>
      <c r="U770" s="100"/>
      <c r="V770" s="112"/>
      <c r="AA770" s="11"/>
    </row>
    <row r="771" spans="1:27">
      <c r="A771" s="99"/>
      <c r="B771" s="100"/>
      <c r="C771" s="100"/>
      <c r="D771" s="101"/>
      <c r="E771" s="101"/>
      <c r="F771" s="101"/>
      <c r="G771" s="101"/>
      <c r="I771" s="104"/>
      <c r="T771" s="104"/>
      <c r="U771" s="100"/>
      <c r="V771" s="112"/>
      <c r="AA771" s="11"/>
    </row>
    <row r="772" spans="1:27">
      <c r="A772" s="99"/>
      <c r="B772" s="100"/>
      <c r="C772" s="100"/>
      <c r="D772" s="101"/>
      <c r="E772" s="101"/>
      <c r="F772" s="101"/>
      <c r="G772" s="101"/>
      <c r="I772" s="104"/>
      <c r="T772" s="104"/>
      <c r="U772" s="100"/>
      <c r="V772" s="112"/>
      <c r="AA772" s="11"/>
    </row>
    <row r="773" spans="1:27">
      <c r="A773" s="99"/>
      <c r="B773" s="100"/>
      <c r="C773" s="100"/>
      <c r="D773" s="101"/>
      <c r="E773" s="101"/>
      <c r="F773" s="101"/>
      <c r="G773" s="101"/>
      <c r="I773" s="104"/>
      <c r="T773" s="104"/>
      <c r="U773" s="100"/>
      <c r="V773" s="112"/>
      <c r="AA773" s="11"/>
    </row>
    <row r="774" spans="1:27">
      <c r="A774" s="99"/>
      <c r="B774" s="100"/>
      <c r="C774" s="100"/>
      <c r="D774" s="101"/>
      <c r="E774" s="101"/>
      <c r="F774" s="101"/>
      <c r="G774" s="101"/>
      <c r="I774" s="104"/>
      <c r="T774" s="104"/>
      <c r="U774" s="100"/>
      <c r="V774" s="112"/>
      <c r="AA774" s="11"/>
    </row>
    <row r="775" spans="1:27">
      <c r="A775" s="99"/>
      <c r="B775" s="100"/>
      <c r="C775" s="100"/>
      <c r="D775" s="101"/>
      <c r="E775" s="101"/>
      <c r="F775" s="101"/>
      <c r="G775" s="101"/>
      <c r="I775" s="104"/>
      <c r="T775" s="104"/>
      <c r="U775" s="100"/>
      <c r="V775" s="112"/>
      <c r="AA775" s="11"/>
    </row>
    <row r="776" spans="1:27">
      <c r="A776" s="99"/>
      <c r="B776" s="100"/>
      <c r="C776" s="100"/>
      <c r="D776" s="101"/>
      <c r="E776" s="101"/>
      <c r="F776" s="101"/>
      <c r="G776" s="101"/>
      <c r="I776" s="104"/>
      <c r="T776" s="104"/>
      <c r="U776" s="100"/>
      <c r="V776" s="112"/>
      <c r="AA776" s="11"/>
    </row>
    <row r="777" spans="1:27">
      <c r="A777" s="99"/>
      <c r="B777" s="100"/>
      <c r="C777" s="100"/>
      <c r="D777" s="101"/>
      <c r="E777" s="101"/>
      <c r="F777" s="101"/>
      <c r="G777" s="101"/>
      <c r="I777" s="104"/>
      <c r="T777" s="104"/>
      <c r="U777" s="100"/>
      <c r="V777" s="112"/>
      <c r="AA777" s="11"/>
    </row>
    <row r="778" spans="1:27">
      <c r="A778" s="99"/>
      <c r="B778" s="100"/>
      <c r="C778" s="100"/>
      <c r="D778" s="101"/>
      <c r="E778" s="101"/>
      <c r="F778" s="101"/>
      <c r="G778" s="101"/>
      <c r="I778" s="104"/>
      <c r="T778" s="104"/>
      <c r="U778" s="100"/>
      <c r="V778" s="112"/>
      <c r="AA778" s="11"/>
    </row>
    <row r="779" spans="1:27">
      <c r="A779" s="99"/>
      <c r="B779" s="100"/>
      <c r="C779" s="100"/>
      <c r="D779" s="101"/>
      <c r="E779" s="101"/>
      <c r="F779" s="101"/>
      <c r="G779" s="101"/>
      <c r="I779" s="104"/>
      <c r="T779" s="104"/>
      <c r="U779" s="100"/>
      <c r="V779" s="112"/>
      <c r="AA779" s="11"/>
    </row>
    <row r="780" spans="1:27">
      <c r="A780" s="99"/>
      <c r="B780" s="100"/>
      <c r="C780" s="100"/>
      <c r="D780" s="101"/>
      <c r="E780" s="101"/>
      <c r="F780" s="101"/>
      <c r="G780" s="101"/>
      <c r="I780" s="104"/>
      <c r="T780" s="104"/>
      <c r="U780" s="100"/>
      <c r="V780" s="112"/>
      <c r="AA780" s="11"/>
    </row>
    <row r="781" spans="1:27">
      <c r="A781" s="99"/>
      <c r="B781" s="100"/>
      <c r="C781" s="100"/>
      <c r="D781" s="101"/>
      <c r="E781" s="101"/>
      <c r="F781" s="101"/>
      <c r="G781" s="101"/>
      <c r="I781" s="104"/>
      <c r="T781" s="104"/>
      <c r="U781" s="100"/>
      <c r="V781" s="112"/>
      <c r="AA781" s="11"/>
    </row>
    <row r="782" spans="1:27">
      <c r="A782" s="99"/>
      <c r="B782" s="100"/>
      <c r="C782" s="100"/>
      <c r="D782" s="101"/>
      <c r="E782" s="101"/>
      <c r="F782" s="101"/>
      <c r="G782" s="101"/>
      <c r="I782" s="104"/>
      <c r="T782" s="104"/>
      <c r="U782" s="100"/>
      <c r="V782" s="112"/>
      <c r="AA782" s="11"/>
    </row>
    <row r="783" spans="1:27">
      <c r="A783" s="99"/>
      <c r="B783" s="100"/>
      <c r="C783" s="100"/>
      <c r="D783" s="101"/>
      <c r="E783" s="101"/>
      <c r="F783" s="101"/>
      <c r="G783" s="101"/>
      <c r="I783" s="104"/>
      <c r="T783" s="104"/>
      <c r="U783" s="100"/>
      <c r="V783" s="112"/>
      <c r="AA783" s="11"/>
    </row>
    <row r="784" spans="1:27">
      <c r="A784" s="99"/>
      <c r="B784" s="100"/>
      <c r="C784" s="100"/>
      <c r="D784" s="101"/>
      <c r="E784" s="101"/>
      <c r="F784" s="101"/>
      <c r="G784" s="101"/>
      <c r="I784" s="104"/>
      <c r="T784" s="104"/>
      <c r="U784" s="100"/>
      <c r="V784" s="112"/>
      <c r="AA784" s="11"/>
    </row>
    <row r="785" spans="1:27">
      <c r="A785" s="99"/>
      <c r="B785" s="100"/>
      <c r="C785" s="100"/>
      <c r="D785" s="101"/>
      <c r="E785" s="101"/>
      <c r="F785" s="101"/>
      <c r="G785" s="101"/>
      <c r="I785" s="104"/>
      <c r="T785" s="104"/>
      <c r="U785" s="100"/>
      <c r="V785" s="112"/>
      <c r="AA785" s="11"/>
    </row>
    <row r="786" spans="1:27">
      <c r="A786" s="99"/>
      <c r="B786" s="100"/>
      <c r="C786" s="100"/>
      <c r="D786" s="101"/>
      <c r="E786" s="101"/>
      <c r="F786" s="101"/>
      <c r="G786" s="101"/>
      <c r="I786" s="104"/>
      <c r="T786" s="104"/>
      <c r="U786" s="100"/>
      <c r="V786" s="112"/>
      <c r="AA786" s="11"/>
    </row>
    <row r="787" spans="1:27">
      <c r="A787" s="99"/>
      <c r="B787" s="100"/>
      <c r="C787" s="100"/>
      <c r="D787" s="101"/>
      <c r="E787" s="101"/>
      <c r="F787" s="101"/>
      <c r="G787" s="101"/>
      <c r="I787" s="104"/>
      <c r="T787" s="104"/>
      <c r="U787" s="100"/>
      <c r="V787" s="112"/>
      <c r="AA787" s="11"/>
    </row>
    <row r="788" spans="1:27">
      <c r="A788" s="99"/>
      <c r="B788" s="100"/>
      <c r="C788" s="100"/>
      <c r="D788" s="101"/>
      <c r="E788" s="101"/>
      <c r="F788" s="101"/>
      <c r="G788" s="101"/>
      <c r="I788" s="104"/>
      <c r="T788" s="104"/>
      <c r="U788" s="100"/>
      <c r="V788" s="112"/>
      <c r="AA788" s="11"/>
    </row>
    <row r="789" spans="1:27">
      <c r="A789" s="99"/>
      <c r="B789" s="100"/>
      <c r="C789" s="100"/>
      <c r="D789" s="101"/>
      <c r="E789" s="101"/>
      <c r="F789" s="101"/>
      <c r="G789" s="101"/>
      <c r="I789" s="104"/>
      <c r="T789" s="104"/>
      <c r="U789" s="100"/>
      <c r="V789" s="112"/>
      <c r="AA789" s="11"/>
    </row>
    <row r="790" spans="1:27">
      <c r="A790" s="99"/>
      <c r="B790" s="100"/>
      <c r="C790" s="100"/>
      <c r="D790" s="101"/>
      <c r="E790" s="101"/>
      <c r="F790" s="101"/>
      <c r="G790" s="101"/>
      <c r="I790" s="104"/>
      <c r="T790" s="104"/>
      <c r="U790" s="100"/>
      <c r="V790" s="112"/>
      <c r="AA790" s="11"/>
    </row>
    <row r="791" spans="1:27">
      <c r="A791" s="99"/>
      <c r="B791" s="100"/>
      <c r="C791" s="100"/>
      <c r="D791" s="101"/>
      <c r="E791" s="101"/>
      <c r="F791" s="101"/>
      <c r="G791" s="101"/>
      <c r="I791" s="104"/>
      <c r="T791" s="104"/>
      <c r="U791" s="100"/>
      <c r="V791" s="112"/>
      <c r="AA791" s="11"/>
    </row>
    <row r="792" spans="1:27">
      <c r="A792" s="99"/>
      <c r="B792" s="100"/>
      <c r="C792" s="100"/>
      <c r="D792" s="101"/>
      <c r="E792" s="101"/>
      <c r="F792" s="101"/>
      <c r="G792" s="101"/>
      <c r="I792" s="104"/>
      <c r="T792" s="104"/>
      <c r="U792" s="100"/>
      <c r="V792" s="112"/>
      <c r="AA792" s="11"/>
    </row>
    <row r="793" spans="1:27">
      <c r="A793" s="99"/>
      <c r="B793" s="100"/>
      <c r="C793" s="100"/>
      <c r="D793" s="101"/>
      <c r="E793" s="101"/>
      <c r="F793" s="101"/>
      <c r="G793" s="101"/>
      <c r="I793" s="104"/>
      <c r="T793" s="104"/>
      <c r="U793" s="100"/>
      <c r="V793" s="112"/>
      <c r="AA793" s="11"/>
    </row>
    <row r="794" spans="1:27">
      <c r="A794" s="99"/>
      <c r="B794" s="100"/>
      <c r="C794" s="100"/>
      <c r="D794" s="101"/>
      <c r="E794" s="101"/>
      <c r="F794" s="101"/>
      <c r="G794" s="101"/>
      <c r="I794" s="104"/>
      <c r="T794" s="104"/>
      <c r="U794" s="100"/>
      <c r="V794" s="112"/>
      <c r="AA794" s="11"/>
    </row>
    <row r="795" spans="1:27">
      <c r="A795" s="99"/>
      <c r="B795" s="100"/>
      <c r="C795" s="100"/>
      <c r="D795" s="101"/>
      <c r="E795" s="101"/>
      <c r="F795" s="101"/>
      <c r="G795" s="101"/>
      <c r="I795" s="104"/>
      <c r="T795" s="104"/>
      <c r="U795" s="100"/>
      <c r="V795" s="112"/>
      <c r="AA795" s="11"/>
    </row>
    <row r="796" spans="1:27">
      <c r="A796" s="99"/>
      <c r="B796" s="100"/>
      <c r="C796" s="100"/>
      <c r="D796" s="101"/>
      <c r="E796" s="101"/>
      <c r="F796" s="101"/>
      <c r="G796" s="101"/>
      <c r="I796" s="104"/>
      <c r="T796" s="104"/>
      <c r="U796" s="100"/>
      <c r="V796" s="112"/>
      <c r="AA796" s="11"/>
    </row>
    <row r="797" spans="1:27">
      <c r="A797" s="99"/>
      <c r="B797" s="100"/>
      <c r="C797" s="100"/>
      <c r="D797" s="101"/>
      <c r="E797" s="101"/>
      <c r="F797" s="101"/>
      <c r="G797" s="101"/>
      <c r="I797" s="104"/>
      <c r="T797" s="104"/>
      <c r="U797" s="100"/>
      <c r="V797" s="112"/>
      <c r="AA797" s="11"/>
    </row>
    <row r="798" spans="1:27">
      <c r="A798" s="99"/>
      <c r="B798" s="100"/>
      <c r="C798" s="100"/>
      <c r="D798" s="101"/>
      <c r="E798" s="101"/>
      <c r="F798" s="101"/>
      <c r="G798" s="101"/>
      <c r="I798" s="104"/>
      <c r="T798" s="104"/>
      <c r="U798" s="100"/>
      <c r="V798" s="112"/>
      <c r="AA798" s="11"/>
    </row>
    <row r="799" spans="1:27">
      <c r="A799" s="99"/>
      <c r="B799" s="100"/>
      <c r="C799" s="100"/>
      <c r="D799" s="101"/>
      <c r="E799" s="101"/>
      <c r="F799" s="101"/>
      <c r="G799" s="101"/>
      <c r="I799" s="104"/>
      <c r="T799" s="104"/>
      <c r="U799" s="100"/>
      <c r="V799" s="112"/>
      <c r="AA799" s="11"/>
    </row>
    <row r="800" spans="1:27">
      <c r="A800" s="99"/>
      <c r="B800" s="100"/>
      <c r="C800" s="100"/>
      <c r="D800" s="101"/>
      <c r="E800" s="101"/>
      <c r="F800" s="101"/>
      <c r="G800" s="101"/>
      <c r="I800" s="104"/>
      <c r="T800" s="104"/>
      <c r="U800" s="100"/>
      <c r="V800" s="112"/>
      <c r="AA800" s="11"/>
    </row>
    <row r="801" spans="1:27">
      <c r="A801" s="99"/>
      <c r="B801" s="100"/>
      <c r="C801" s="100"/>
      <c r="D801" s="101"/>
      <c r="E801" s="101"/>
      <c r="F801" s="101"/>
      <c r="G801" s="101"/>
      <c r="I801" s="104"/>
      <c r="T801" s="104"/>
      <c r="U801" s="100"/>
      <c r="V801" s="112"/>
      <c r="AA801" s="11"/>
    </row>
    <row r="802" spans="1:27">
      <c r="A802" s="99"/>
      <c r="B802" s="100"/>
      <c r="C802" s="100"/>
      <c r="D802" s="101"/>
      <c r="E802" s="101"/>
      <c r="F802" s="101"/>
      <c r="G802" s="101"/>
      <c r="I802" s="104"/>
      <c r="T802" s="104"/>
      <c r="U802" s="100"/>
      <c r="V802" s="112"/>
      <c r="AA802" s="11"/>
    </row>
    <row r="803" spans="1:27">
      <c r="A803" s="99"/>
      <c r="B803" s="100"/>
      <c r="C803" s="100"/>
      <c r="D803" s="101"/>
      <c r="E803" s="101"/>
      <c r="F803" s="101"/>
      <c r="G803" s="101"/>
      <c r="I803" s="104"/>
      <c r="T803" s="104"/>
      <c r="U803" s="100"/>
      <c r="V803" s="112"/>
      <c r="AA803" s="11"/>
    </row>
    <row r="804" spans="1:27">
      <c r="A804" s="99"/>
      <c r="B804" s="100"/>
      <c r="C804" s="100"/>
      <c r="D804" s="101"/>
      <c r="E804" s="101"/>
      <c r="F804" s="101"/>
      <c r="G804" s="101"/>
      <c r="I804" s="104"/>
      <c r="T804" s="104"/>
      <c r="U804" s="100"/>
      <c r="V804" s="112"/>
      <c r="AA804" s="11"/>
    </row>
    <row r="805" spans="1:27">
      <c r="A805" s="99"/>
      <c r="B805" s="100"/>
      <c r="C805" s="100"/>
      <c r="D805" s="101"/>
      <c r="E805" s="101"/>
      <c r="F805" s="101"/>
      <c r="G805" s="101"/>
      <c r="I805" s="104"/>
      <c r="T805" s="104"/>
      <c r="U805" s="100"/>
      <c r="V805" s="112"/>
      <c r="AA805" s="11"/>
    </row>
    <row r="806" spans="1:27">
      <c r="A806" s="99"/>
      <c r="B806" s="100"/>
      <c r="C806" s="100"/>
      <c r="D806" s="101"/>
      <c r="E806" s="101"/>
      <c r="F806" s="101"/>
      <c r="G806" s="101"/>
      <c r="I806" s="104"/>
      <c r="T806" s="104"/>
      <c r="U806" s="100"/>
      <c r="V806" s="112"/>
      <c r="AA806" s="11"/>
    </row>
    <row r="807" spans="1:27">
      <c r="A807" s="99"/>
      <c r="B807" s="100"/>
      <c r="C807" s="100"/>
      <c r="D807" s="101"/>
      <c r="E807" s="101"/>
      <c r="F807" s="101"/>
      <c r="G807" s="101"/>
      <c r="I807" s="104"/>
      <c r="T807" s="104"/>
      <c r="U807" s="100"/>
      <c r="V807" s="112"/>
      <c r="AA807" s="11"/>
    </row>
    <row r="808" spans="1:27">
      <c r="A808" s="99"/>
      <c r="B808" s="100"/>
      <c r="C808" s="100"/>
      <c r="D808" s="101"/>
      <c r="E808" s="101"/>
      <c r="F808" s="101"/>
      <c r="G808" s="101"/>
      <c r="I808" s="104"/>
      <c r="T808" s="104"/>
      <c r="U808" s="100"/>
      <c r="V808" s="112"/>
      <c r="AA808" s="11"/>
    </row>
    <row r="809" spans="1:27">
      <c r="A809" s="99"/>
      <c r="B809" s="100"/>
      <c r="C809" s="100"/>
      <c r="D809" s="101"/>
      <c r="E809" s="101"/>
      <c r="F809" s="101"/>
      <c r="G809" s="101"/>
      <c r="I809" s="104"/>
      <c r="T809" s="104"/>
      <c r="U809" s="100"/>
      <c r="V809" s="112"/>
      <c r="AA809" s="11"/>
    </row>
    <row r="810" spans="1:27">
      <c r="A810" s="99"/>
      <c r="B810" s="100"/>
      <c r="C810" s="100"/>
      <c r="D810" s="101"/>
      <c r="E810" s="101"/>
      <c r="F810" s="101"/>
      <c r="G810" s="101"/>
      <c r="I810" s="104"/>
      <c r="T810" s="104"/>
      <c r="U810" s="100"/>
      <c r="V810" s="112"/>
      <c r="AA810" s="11"/>
    </row>
    <row r="811" spans="1:27">
      <c r="A811" s="99"/>
      <c r="B811" s="100"/>
      <c r="C811" s="100"/>
      <c r="D811" s="101"/>
      <c r="E811" s="101"/>
      <c r="F811" s="101"/>
      <c r="G811" s="101"/>
      <c r="I811" s="104"/>
      <c r="T811" s="104"/>
      <c r="U811" s="100"/>
      <c r="V811" s="112"/>
      <c r="AA811" s="11"/>
    </row>
    <row r="812" spans="1:27">
      <c r="A812" s="99"/>
      <c r="B812" s="100"/>
      <c r="C812" s="100"/>
      <c r="D812" s="101"/>
      <c r="E812" s="101"/>
      <c r="F812" s="101"/>
      <c r="G812" s="101"/>
      <c r="I812" s="104"/>
      <c r="T812" s="104"/>
      <c r="U812" s="100"/>
      <c r="V812" s="112"/>
      <c r="AA812" s="11"/>
    </row>
    <row r="813" spans="1:27">
      <c r="A813" s="99"/>
      <c r="B813" s="100"/>
      <c r="C813" s="100"/>
      <c r="D813" s="101"/>
      <c r="E813" s="101"/>
      <c r="F813" s="101"/>
      <c r="G813" s="101"/>
      <c r="I813" s="104"/>
      <c r="T813" s="104"/>
      <c r="U813" s="100"/>
      <c r="V813" s="112"/>
      <c r="AA813" s="11"/>
    </row>
    <row r="814" spans="1:27">
      <c r="A814" s="99"/>
      <c r="B814" s="100"/>
      <c r="C814" s="100"/>
      <c r="D814" s="101"/>
      <c r="E814" s="101"/>
      <c r="F814" s="101"/>
      <c r="G814" s="101"/>
      <c r="I814" s="104"/>
      <c r="T814" s="104"/>
      <c r="U814" s="100"/>
      <c r="V814" s="112"/>
      <c r="AA814" s="11"/>
    </row>
    <row r="815" spans="1:27">
      <c r="A815" s="99"/>
      <c r="B815" s="100"/>
      <c r="C815" s="100"/>
      <c r="D815" s="101"/>
      <c r="E815" s="101"/>
      <c r="F815" s="101"/>
      <c r="G815" s="101"/>
      <c r="I815" s="104"/>
      <c r="T815" s="104"/>
      <c r="U815" s="100"/>
      <c r="V815" s="112"/>
      <c r="AA815" s="11"/>
    </row>
    <row r="816" spans="1:27">
      <c r="A816" s="99"/>
      <c r="B816" s="100"/>
      <c r="C816" s="100"/>
      <c r="D816" s="101"/>
      <c r="E816" s="101"/>
      <c r="F816" s="101"/>
      <c r="G816" s="101"/>
      <c r="I816" s="104"/>
      <c r="T816" s="104"/>
      <c r="U816" s="100"/>
      <c r="V816" s="112"/>
      <c r="AA816" s="11"/>
    </row>
    <row r="817" spans="1:27">
      <c r="A817" s="99"/>
      <c r="B817" s="100"/>
      <c r="C817" s="100"/>
      <c r="D817" s="101"/>
      <c r="E817" s="101"/>
      <c r="F817" s="101"/>
      <c r="G817" s="101"/>
      <c r="I817" s="104"/>
      <c r="T817" s="104"/>
      <c r="U817" s="100"/>
      <c r="V817" s="112"/>
      <c r="AA817" s="11"/>
    </row>
    <row r="818" spans="1:27">
      <c r="A818" s="99"/>
      <c r="B818" s="100"/>
      <c r="C818" s="100"/>
      <c r="D818" s="101"/>
      <c r="E818" s="101"/>
      <c r="F818" s="101"/>
      <c r="G818" s="101"/>
      <c r="I818" s="104"/>
      <c r="T818" s="104"/>
      <c r="U818" s="100"/>
      <c r="V818" s="112"/>
      <c r="AA818" s="11"/>
    </row>
    <row r="819" spans="1:27">
      <c r="A819" s="99"/>
      <c r="B819" s="100"/>
      <c r="C819" s="100"/>
      <c r="D819" s="101"/>
      <c r="E819" s="101"/>
      <c r="F819" s="101"/>
      <c r="G819" s="101"/>
      <c r="I819" s="104"/>
      <c r="T819" s="104"/>
      <c r="U819" s="100"/>
      <c r="V819" s="112"/>
      <c r="AA819" s="11"/>
    </row>
    <row r="820" spans="1:27">
      <c r="A820" s="99"/>
      <c r="B820" s="100"/>
      <c r="C820" s="100"/>
      <c r="D820" s="101"/>
      <c r="E820" s="101"/>
      <c r="F820" s="101"/>
      <c r="G820" s="101"/>
      <c r="I820" s="104"/>
      <c r="T820" s="104"/>
      <c r="U820" s="100"/>
      <c r="V820" s="112"/>
      <c r="AA820" s="11"/>
    </row>
    <row r="821" spans="1:27">
      <c r="A821" s="99"/>
      <c r="B821" s="100"/>
      <c r="C821" s="100"/>
      <c r="D821" s="101"/>
      <c r="E821" s="101"/>
      <c r="F821" s="101"/>
      <c r="G821" s="101"/>
      <c r="I821" s="104"/>
      <c r="T821" s="104"/>
      <c r="U821" s="100"/>
      <c r="V821" s="112"/>
      <c r="AA821" s="11"/>
    </row>
    <row r="822" spans="1:27">
      <c r="A822" s="99"/>
      <c r="B822" s="100"/>
      <c r="C822" s="100"/>
      <c r="D822" s="101"/>
      <c r="E822" s="101"/>
      <c r="F822" s="101"/>
      <c r="G822" s="101"/>
      <c r="I822" s="104"/>
      <c r="T822" s="104"/>
      <c r="U822" s="100"/>
      <c r="V822" s="112"/>
      <c r="AA822" s="11"/>
    </row>
    <row r="823" spans="1:27">
      <c r="A823" s="99"/>
      <c r="B823" s="100"/>
      <c r="C823" s="100"/>
      <c r="D823" s="101"/>
      <c r="E823" s="101"/>
      <c r="F823" s="101"/>
      <c r="G823" s="101"/>
      <c r="I823" s="104"/>
      <c r="T823" s="104"/>
      <c r="U823" s="100"/>
      <c r="V823" s="112"/>
      <c r="AA823" s="11"/>
    </row>
    <row r="824" spans="1:27">
      <c r="A824" s="99"/>
      <c r="B824" s="100"/>
      <c r="C824" s="100"/>
      <c r="D824" s="101"/>
      <c r="E824" s="101"/>
      <c r="F824" s="101"/>
      <c r="G824" s="101"/>
      <c r="I824" s="104"/>
      <c r="T824" s="104"/>
      <c r="U824" s="100"/>
      <c r="V824" s="112"/>
      <c r="AA824" s="11"/>
    </row>
    <row r="825" spans="1:27">
      <c r="A825" s="99"/>
      <c r="B825" s="100"/>
      <c r="C825" s="100"/>
      <c r="D825" s="101"/>
      <c r="E825" s="101"/>
      <c r="F825" s="101"/>
      <c r="G825" s="101"/>
      <c r="I825" s="104"/>
      <c r="T825" s="104"/>
      <c r="U825" s="100"/>
      <c r="V825" s="112"/>
      <c r="AA825" s="11"/>
    </row>
    <row r="826" spans="1:27">
      <c r="A826" s="99"/>
      <c r="B826" s="100"/>
      <c r="C826" s="100"/>
      <c r="D826" s="101"/>
      <c r="E826" s="101"/>
      <c r="F826" s="101"/>
      <c r="G826" s="101"/>
      <c r="I826" s="104"/>
      <c r="T826" s="104"/>
      <c r="U826" s="100"/>
      <c r="V826" s="112"/>
      <c r="AA826" s="11"/>
    </row>
    <row r="827" spans="1:27">
      <c r="A827" s="99"/>
      <c r="B827" s="100"/>
      <c r="C827" s="100"/>
      <c r="D827" s="101"/>
      <c r="E827" s="101"/>
      <c r="F827" s="101"/>
      <c r="G827" s="101"/>
      <c r="I827" s="104"/>
      <c r="T827" s="104"/>
      <c r="U827" s="100"/>
      <c r="V827" s="112"/>
      <c r="AA827" s="11"/>
    </row>
    <row r="828" spans="1:27">
      <c r="A828" s="99"/>
      <c r="B828" s="100"/>
      <c r="C828" s="100"/>
      <c r="D828" s="101"/>
      <c r="E828" s="101"/>
      <c r="F828" s="101"/>
      <c r="G828" s="101"/>
      <c r="I828" s="104"/>
      <c r="T828" s="104"/>
      <c r="U828" s="100"/>
      <c r="V828" s="112"/>
      <c r="AA828" s="11"/>
    </row>
    <row r="829" spans="1:27">
      <c r="A829" s="99"/>
      <c r="B829" s="100"/>
      <c r="C829" s="100"/>
      <c r="D829" s="101"/>
      <c r="E829" s="101"/>
      <c r="F829" s="101"/>
      <c r="G829" s="101"/>
      <c r="I829" s="104"/>
      <c r="T829" s="104"/>
      <c r="U829" s="100"/>
      <c r="V829" s="112"/>
      <c r="AA829" s="11"/>
    </row>
    <row r="830" spans="1:27">
      <c r="A830" s="99"/>
      <c r="B830" s="100"/>
      <c r="C830" s="100"/>
      <c r="D830" s="101"/>
      <c r="E830" s="101"/>
      <c r="F830" s="101"/>
      <c r="G830" s="101"/>
      <c r="I830" s="104"/>
      <c r="T830" s="104"/>
      <c r="U830" s="100"/>
      <c r="V830" s="112"/>
      <c r="AA830" s="11"/>
    </row>
    <row r="831" spans="1:27">
      <c r="A831" s="99"/>
      <c r="B831" s="100"/>
      <c r="C831" s="100"/>
      <c r="D831" s="101"/>
      <c r="E831" s="101"/>
      <c r="F831" s="101"/>
      <c r="G831" s="101"/>
      <c r="I831" s="104"/>
      <c r="T831" s="104"/>
      <c r="U831" s="100"/>
      <c r="V831" s="112"/>
      <c r="AA831" s="11"/>
    </row>
    <row r="832" spans="1:27">
      <c r="A832" s="99"/>
      <c r="B832" s="100"/>
      <c r="C832" s="100"/>
      <c r="D832" s="101"/>
      <c r="E832" s="101"/>
      <c r="F832" s="101"/>
      <c r="G832" s="101"/>
      <c r="I832" s="104"/>
      <c r="T832" s="104"/>
      <c r="U832" s="100"/>
      <c r="V832" s="112"/>
      <c r="AA832" s="11"/>
    </row>
    <row r="833" spans="1:27">
      <c r="A833" s="99"/>
      <c r="B833" s="100"/>
      <c r="C833" s="100"/>
      <c r="D833" s="101"/>
      <c r="E833" s="101"/>
      <c r="F833" s="101"/>
      <c r="G833" s="101"/>
      <c r="I833" s="104"/>
      <c r="T833" s="104"/>
      <c r="U833" s="100"/>
      <c r="V833" s="112"/>
      <c r="AA833" s="11"/>
    </row>
    <row r="834" spans="1:27">
      <c r="A834" s="99"/>
      <c r="B834" s="100"/>
      <c r="C834" s="100"/>
      <c r="D834" s="101"/>
      <c r="E834" s="101"/>
      <c r="F834" s="101"/>
      <c r="G834" s="101"/>
      <c r="I834" s="104"/>
      <c r="T834" s="104"/>
      <c r="U834" s="100"/>
      <c r="V834" s="112"/>
      <c r="AA834" s="11"/>
    </row>
    <row r="835" spans="1:27">
      <c r="A835" s="99"/>
      <c r="B835" s="100"/>
      <c r="C835" s="100"/>
      <c r="D835" s="101"/>
      <c r="E835" s="101"/>
      <c r="F835" s="101"/>
      <c r="G835" s="101"/>
      <c r="I835" s="104"/>
      <c r="T835" s="104"/>
      <c r="U835" s="100"/>
      <c r="V835" s="112"/>
      <c r="AA835" s="11"/>
    </row>
    <row r="836" spans="1:27">
      <c r="A836" s="99"/>
      <c r="B836" s="100"/>
      <c r="C836" s="100"/>
      <c r="D836" s="101"/>
      <c r="E836" s="101"/>
      <c r="F836" s="101"/>
      <c r="G836" s="101"/>
      <c r="I836" s="104"/>
      <c r="T836" s="104"/>
      <c r="U836" s="100"/>
      <c r="V836" s="112"/>
      <c r="AA836" s="11"/>
    </row>
    <row r="837" spans="1:27">
      <c r="A837" s="99"/>
      <c r="B837" s="100"/>
      <c r="C837" s="100"/>
      <c r="D837" s="101"/>
      <c r="E837" s="101"/>
      <c r="F837" s="101"/>
      <c r="G837" s="101"/>
      <c r="I837" s="104"/>
      <c r="T837" s="104"/>
      <c r="U837" s="100"/>
      <c r="V837" s="112"/>
      <c r="AA837" s="11"/>
    </row>
    <row r="838" spans="1:27">
      <c r="A838" s="99"/>
      <c r="B838" s="100"/>
      <c r="C838" s="100"/>
      <c r="D838" s="101"/>
      <c r="E838" s="101"/>
      <c r="F838" s="101"/>
      <c r="G838" s="101"/>
      <c r="I838" s="104"/>
      <c r="T838" s="104"/>
      <c r="U838" s="100"/>
      <c r="V838" s="112"/>
      <c r="AA838" s="11"/>
    </row>
    <row r="839" spans="1:27">
      <c r="A839" s="99"/>
      <c r="B839" s="100"/>
      <c r="C839" s="100"/>
      <c r="D839" s="101"/>
      <c r="E839" s="101"/>
      <c r="F839" s="101"/>
      <c r="G839" s="101"/>
      <c r="I839" s="104"/>
      <c r="T839" s="104"/>
      <c r="U839" s="100"/>
      <c r="V839" s="112"/>
      <c r="AA839" s="11"/>
    </row>
    <row r="840" spans="1:27">
      <c r="A840" s="99"/>
      <c r="B840" s="100"/>
      <c r="C840" s="100"/>
      <c r="D840" s="101"/>
      <c r="E840" s="101"/>
      <c r="F840" s="101"/>
      <c r="G840" s="101"/>
      <c r="I840" s="104"/>
      <c r="T840" s="104"/>
      <c r="U840" s="100"/>
      <c r="V840" s="112"/>
      <c r="AA840" s="11"/>
    </row>
    <row r="841" spans="1:27">
      <c r="A841" s="99"/>
      <c r="B841" s="100"/>
      <c r="C841" s="100"/>
      <c r="D841" s="101"/>
      <c r="E841" s="101"/>
      <c r="F841" s="101"/>
      <c r="G841" s="101"/>
      <c r="I841" s="104"/>
      <c r="T841" s="104"/>
      <c r="U841" s="100"/>
      <c r="V841" s="112"/>
      <c r="AA841" s="11"/>
    </row>
    <row r="842" spans="1:27">
      <c r="A842" s="99"/>
      <c r="B842" s="100"/>
      <c r="C842" s="100"/>
      <c r="D842" s="101"/>
      <c r="E842" s="101"/>
      <c r="F842" s="101"/>
      <c r="G842" s="101"/>
      <c r="I842" s="104"/>
      <c r="T842" s="104"/>
      <c r="U842" s="100"/>
      <c r="V842" s="112"/>
      <c r="AA842" s="11"/>
    </row>
    <row r="843" spans="1:27">
      <c r="A843" s="99"/>
      <c r="B843" s="100"/>
      <c r="C843" s="100"/>
      <c r="D843" s="101"/>
      <c r="E843" s="101"/>
      <c r="F843" s="101"/>
      <c r="G843" s="101"/>
      <c r="I843" s="104"/>
      <c r="T843" s="104"/>
      <c r="U843" s="100"/>
      <c r="V843" s="112"/>
      <c r="AA843" s="11"/>
    </row>
    <row r="844" spans="1:27">
      <c r="A844" s="99"/>
      <c r="B844" s="100"/>
      <c r="C844" s="100"/>
      <c r="D844" s="101"/>
      <c r="E844" s="101"/>
      <c r="F844" s="101"/>
      <c r="G844" s="101"/>
      <c r="I844" s="104"/>
      <c r="T844" s="104"/>
      <c r="U844" s="100"/>
      <c r="V844" s="112"/>
      <c r="AA844" s="11"/>
    </row>
    <row r="845" spans="1:27">
      <c r="A845" s="99"/>
      <c r="B845" s="100"/>
      <c r="C845" s="100"/>
      <c r="D845" s="101"/>
      <c r="E845" s="101"/>
      <c r="F845" s="101"/>
      <c r="G845" s="101"/>
      <c r="I845" s="104"/>
      <c r="T845" s="104"/>
      <c r="U845" s="100"/>
      <c r="V845" s="112"/>
      <c r="AA845" s="11"/>
    </row>
    <row r="846" spans="1:27">
      <c r="A846" s="99"/>
      <c r="B846" s="100"/>
      <c r="C846" s="100"/>
      <c r="D846" s="101"/>
      <c r="E846" s="101"/>
      <c r="F846" s="101"/>
      <c r="G846" s="101"/>
      <c r="I846" s="104"/>
      <c r="T846" s="104"/>
      <c r="U846" s="100"/>
      <c r="V846" s="112"/>
      <c r="AA846" s="11"/>
    </row>
    <row r="847" spans="1:27">
      <c r="A847" s="99"/>
      <c r="B847" s="100"/>
      <c r="C847" s="100"/>
      <c r="D847" s="101"/>
      <c r="E847" s="101"/>
      <c r="F847" s="101"/>
      <c r="G847" s="101"/>
      <c r="I847" s="104"/>
      <c r="T847" s="104"/>
      <c r="U847" s="100"/>
      <c r="V847" s="112"/>
      <c r="AA847" s="11"/>
    </row>
    <row r="848" spans="1:27">
      <c r="A848" s="99"/>
      <c r="B848" s="100"/>
      <c r="C848" s="100"/>
      <c r="D848" s="101"/>
      <c r="E848" s="101"/>
      <c r="F848" s="101"/>
      <c r="G848" s="101"/>
      <c r="I848" s="104"/>
      <c r="T848" s="104"/>
      <c r="U848" s="100"/>
      <c r="V848" s="112"/>
      <c r="AA848" s="11"/>
    </row>
    <row r="849" spans="1:27">
      <c r="A849" s="99"/>
      <c r="B849" s="100"/>
      <c r="C849" s="100"/>
      <c r="D849" s="101"/>
      <c r="E849" s="101"/>
      <c r="F849" s="101"/>
      <c r="G849" s="101"/>
      <c r="I849" s="104"/>
      <c r="T849" s="104"/>
      <c r="U849" s="100"/>
      <c r="V849" s="112"/>
      <c r="AA849" s="11"/>
    </row>
    <row r="850" spans="1:27">
      <c r="A850" s="99"/>
      <c r="B850" s="100"/>
      <c r="C850" s="100"/>
      <c r="D850" s="101"/>
      <c r="E850" s="101"/>
      <c r="F850" s="101"/>
      <c r="G850" s="101"/>
      <c r="I850" s="104"/>
      <c r="T850" s="104"/>
      <c r="U850" s="100"/>
      <c r="V850" s="112"/>
      <c r="AA850" s="11"/>
    </row>
    <row r="851" spans="1:27">
      <c r="A851" s="99"/>
      <c r="B851" s="100"/>
      <c r="C851" s="100"/>
      <c r="D851" s="101"/>
      <c r="E851" s="101"/>
      <c r="F851" s="101"/>
      <c r="G851" s="101"/>
      <c r="I851" s="104"/>
      <c r="T851" s="104"/>
      <c r="U851" s="100"/>
      <c r="V851" s="112"/>
      <c r="AA851" s="11"/>
    </row>
    <row r="852" spans="1:27">
      <c r="A852" s="99"/>
      <c r="B852" s="100"/>
      <c r="C852" s="100"/>
      <c r="D852" s="101"/>
      <c r="E852" s="101"/>
      <c r="F852" s="101"/>
      <c r="G852" s="101"/>
      <c r="I852" s="104"/>
      <c r="T852" s="104"/>
      <c r="U852" s="100"/>
      <c r="V852" s="112"/>
      <c r="AA852" s="11"/>
    </row>
    <row r="853" spans="1:27">
      <c r="A853" s="99"/>
      <c r="B853" s="100"/>
      <c r="C853" s="100"/>
      <c r="D853" s="101"/>
      <c r="E853" s="101"/>
      <c r="F853" s="101"/>
      <c r="G853" s="101"/>
      <c r="I853" s="104"/>
      <c r="T853" s="104"/>
      <c r="U853" s="100"/>
      <c r="V853" s="112"/>
      <c r="AA853" s="11"/>
    </row>
    <row r="854" spans="1:27">
      <c r="A854" s="99"/>
      <c r="B854" s="100"/>
      <c r="C854" s="100"/>
      <c r="D854" s="101"/>
      <c r="E854" s="101"/>
      <c r="F854" s="101"/>
      <c r="G854" s="101"/>
      <c r="I854" s="104"/>
      <c r="T854" s="104"/>
      <c r="U854" s="100"/>
      <c r="V854" s="112"/>
      <c r="AA854" s="11"/>
    </row>
    <row r="855" spans="1:27">
      <c r="A855" s="99"/>
      <c r="B855" s="100"/>
      <c r="C855" s="100"/>
      <c r="D855" s="101"/>
      <c r="E855" s="101"/>
      <c r="F855" s="101"/>
      <c r="G855" s="101"/>
      <c r="I855" s="104"/>
      <c r="T855" s="104"/>
      <c r="U855" s="100"/>
      <c r="V855" s="112"/>
      <c r="AA855" s="11"/>
    </row>
    <row r="856" spans="1:27">
      <c r="A856" s="99"/>
      <c r="B856" s="100"/>
      <c r="C856" s="100"/>
      <c r="D856" s="101"/>
      <c r="E856" s="101"/>
      <c r="F856" s="101"/>
      <c r="G856" s="101"/>
      <c r="I856" s="104"/>
      <c r="T856" s="104"/>
      <c r="U856" s="100"/>
      <c r="V856" s="112"/>
      <c r="AA856" s="11"/>
    </row>
    <row r="857" spans="1:27">
      <c r="A857" s="99"/>
      <c r="B857" s="100"/>
      <c r="C857" s="100"/>
      <c r="D857" s="101"/>
      <c r="E857" s="101"/>
      <c r="F857" s="101"/>
      <c r="G857" s="101"/>
      <c r="I857" s="104"/>
      <c r="T857" s="104"/>
      <c r="U857" s="100"/>
      <c r="V857" s="112"/>
      <c r="AA857" s="11"/>
    </row>
    <row r="858" spans="1:27">
      <c r="A858" s="99"/>
      <c r="B858" s="100"/>
      <c r="C858" s="100"/>
      <c r="D858" s="101"/>
      <c r="E858" s="101"/>
      <c r="F858" s="101"/>
      <c r="G858" s="101"/>
      <c r="I858" s="104"/>
      <c r="T858" s="104"/>
      <c r="U858" s="100"/>
      <c r="V858" s="112"/>
      <c r="AA858" s="11"/>
    </row>
    <row r="859" spans="1:27">
      <c r="A859" s="99"/>
      <c r="B859" s="100"/>
      <c r="C859" s="100"/>
      <c r="D859" s="101"/>
      <c r="E859" s="101"/>
      <c r="F859" s="101"/>
      <c r="G859" s="101"/>
      <c r="I859" s="104"/>
      <c r="T859" s="104"/>
      <c r="U859" s="100"/>
      <c r="V859" s="112"/>
      <c r="AA859" s="11"/>
    </row>
    <row r="860" spans="1:27">
      <c r="A860" s="99"/>
      <c r="B860" s="100"/>
      <c r="C860" s="100"/>
      <c r="D860" s="101"/>
      <c r="E860" s="101"/>
      <c r="F860" s="101"/>
      <c r="G860" s="101"/>
      <c r="I860" s="104"/>
      <c r="T860" s="104"/>
      <c r="U860" s="100"/>
      <c r="V860" s="112"/>
      <c r="AA860" s="11"/>
    </row>
    <row r="861" spans="1:27">
      <c r="A861" s="99"/>
      <c r="B861" s="100"/>
      <c r="C861" s="100"/>
      <c r="D861" s="101"/>
      <c r="E861" s="101"/>
      <c r="F861" s="101"/>
      <c r="G861" s="101"/>
      <c r="I861" s="104"/>
      <c r="T861" s="104"/>
      <c r="U861" s="100"/>
      <c r="V861" s="112"/>
      <c r="AA861" s="11"/>
    </row>
    <row r="862" spans="1:27">
      <c r="A862" s="99"/>
      <c r="B862" s="100"/>
      <c r="C862" s="100"/>
      <c r="D862" s="101"/>
      <c r="E862" s="101"/>
      <c r="F862" s="101"/>
      <c r="G862" s="101"/>
      <c r="I862" s="104"/>
      <c r="T862" s="104"/>
      <c r="U862" s="100"/>
      <c r="V862" s="112"/>
      <c r="AA862" s="11"/>
    </row>
    <row r="863" spans="1:27">
      <c r="A863" s="99"/>
      <c r="B863" s="100"/>
      <c r="C863" s="100"/>
      <c r="D863" s="101"/>
      <c r="E863" s="101"/>
      <c r="F863" s="101"/>
      <c r="G863" s="101"/>
      <c r="I863" s="104"/>
      <c r="T863" s="104"/>
      <c r="U863" s="100"/>
      <c r="V863" s="112"/>
      <c r="AA863" s="11"/>
    </row>
    <row r="864" spans="1:27">
      <c r="A864" s="99"/>
      <c r="B864" s="100"/>
      <c r="C864" s="100"/>
      <c r="D864" s="101"/>
      <c r="E864" s="101"/>
      <c r="F864" s="101"/>
      <c r="G864" s="101"/>
      <c r="I864" s="104"/>
      <c r="T864" s="104"/>
      <c r="U864" s="100"/>
      <c r="V864" s="112"/>
      <c r="AA864" s="11"/>
    </row>
    <row r="865" spans="1:27">
      <c r="A865" s="99"/>
      <c r="B865" s="100"/>
      <c r="C865" s="100"/>
      <c r="D865" s="101"/>
      <c r="E865" s="101"/>
      <c r="F865" s="101"/>
      <c r="G865" s="101"/>
      <c r="I865" s="104"/>
      <c r="T865" s="104"/>
      <c r="U865" s="100"/>
      <c r="V865" s="112"/>
      <c r="AA865" s="11"/>
    </row>
    <row r="866" spans="1:27">
      <c r="A866" s="99"/>
      <c r="B866" s="100"/>
      <c r="C866" s="100"/>
      <c r="D866" s="101"/>
      <c r="E866" s="101"/>
      <c r="F866" s="101"/>
      <c r="G866" s="101"/>
      <c r="I866" s="104"/>
      <c r="T866" s="104"/>
      <c r="U866" s="100"/>
      <c r="V866" s="112"/>
      <c r="AA866" s="11"/>
    </row>
    <row r="867" spans="1:27">
      <c r="A867" s="99"/>
      <c r="B867" s="100"/>
      <c r="C867" s="100"/>
      <c r="D867" s="101"/>
      <c r="E867" s="101"/>
      <c r="F867" s="101"/>
      <c r="G867" s="101"/>
      <c r="I867" s="104"/>
      <c r="T867" s="104"/>
      <c r="U867" s="100"/>
      <c r="V867" s="112"/>
      <c r="AA867" s="11"/>
    </row>
    <row r="868" spans="1:27">
      <c r="A868" s="99"/>
      <c r="B868" s="100"/>
      <c r="C868" s="100"/>
      <c r="D868" s="101"/>
      <c r="E868" s="101"/>
      <c r="F868" s="101"/>
      <c r="G868" s="101"/>
      <c r="I868" s="104"/>
      <c r="T868" s="104"/>
      <c r="U868" s="100"/>
      <c r="V868" s="112"/>
      <c r="AA868" s="11"/>
    </row>
    <row r="869" spans="1:27">
      <c r="A869" s="99"/>
      <c r="B869" s="100"/>
      <c r="C869" s="100"/>
      <c r="D869" s="101"/>
      <c r="E869" s="101"/>
      <c r="F869" s="101"/>
      <c r="G869" s="101"/>
      <c r="I869" s="104"/>
      <c r="T869" s="104"/>
      <c r="U869" s="100"/>
      <c r="V869" s="112"/>
      <c r="AA869" s="11"/>
    </row>
    <row r="870" spans="1:27">
      <c r="A870" s="99"/>
      <c r="B870" s="100"/>
      <c r="C870" s="100"/>
      <c r="D870" s="101"/>
      <c r="E870" s="101"/>
      <c r="F870" s="101"/>
      <c r="G870" s="101"/>
      <c r="I870" s="104"/>
      <c r="T870" s="104"/>
      <c r="U870" s="100"/>
      <c r="V870" s="112"/>
      <c r="AA870" s="11"/>
    </row>
    <row r="871" spans="1:27">
      <c r="A871" s="99"/>
      <c r="B871" s="100"/>
      <c r="C871" s="100"/>
      <c r="D871" s="101"/>
      <c r="E871" s="101"/>
      <c r="F871" s="101"/>
      <c r="G871" s="101"/>
      <c r="I871" s="104"/>
      <c r="T871" s="104"/>
      <c r="U871" s="100"/>
      <c r="V871" s="112"/>
      <c r="AA871" s="11"/>
    </row>
    <row r="872" spans="1:27">
      <c r="A872" s="99"/>
      <c r="B872" s="100"/>
      <c r="C872" s="100"/>
      <c r="D872" s="101"/>
      <c r="E872" s="101"/>
      <c r="F872" s="101"/>
      <c r="G872" s="101"/>
      <c r="I872" s="104"/>
      <c r="T872" s="104"/>
      <c r="U872" s="100"/>
      <c r="V872" s="112"/>
      <c r="AA872" s="11"/>
    </row>
    <row r="873" spans="1:27">
      <c r="A873" s="99"/>
      <c r="B873" s="100"/>
      <c r="C873" s="100"/>
      <c r="D873" s="101"/>
      <c r="E873" s="101"/>
      <c r="F873" s="101"/>
      <c r="G873" s="101"/>
      <c r="I873" s="104"/>
      <c r="T873" s="104"/>
      <c r="U873" s="100"/>
      <c r="V873" s="112"/>
      <c r="AA873" s="11"/>
    </row>
    <row r="874" spans="1:27">
      <c r="A874" s="99"/>
      <c r="B874" s="100"/>
      <c r="C874" s="100"/>
      <c r="D874" s="101"/>
      <c r="E874" s="101"/>
      <c r="F874" s="101"/>
      <c r="G874" s="101"/>
      <c r="I874" s="104"/>
      <c r="T874" s="104"/>
      <c r="U874" s="100"/>
      <c r="V874" s="112"/>
      <c r="AA874" s="11"/>
    </row>
    <row r="875" spans="1:27">
      <c r="A875" s="99"/>
      <c r="B875" s="100"/>
      <c r="C875" s="100"/>
      <c r="D875" s="101"/>
      <c r="E875" s="101"/>
      <c r="F875" s="101"/>
      <c r="G875" s="101"/>
      <c r="I875" s="104"/>
      <c r="T875" s="104"/>
      <c r="U875" s="100"/>
      <c r="V875" s="112"/>
      <c r="AA875" s="11"/>
    </row>
    <row r="876" spans="1:27">
      <c r="A876" s="99"/>
      <c r="B876" s="100"/>
      <c r="C876" s="100"/>
      <c r="D876" s="101"/>
      <c r="E876" s="101"/>
      <c r="F876" s="101"/>
      <c r="G876" s="101"/>
      <c r="I876" s="104"/>
      <c r="T876" s="104"/>
      <c r="U876" s="100"/>
      <c r="V876" s="112"/>
      <c r="AA876" s="11"/>
    </row>
    <row r="877" spans="1:27">
      <c r="A877" s="99"/>
      <c r="B877" s="100"/>
      <c r="C877" s="100"/>
      <c r="D877" s="101"/>
      <c r="E877" s="101"/>
      <c r="F877" s="101"/>
      <c r="G877" s="101"/>
      <c r="I877" s="104"/>
      <c r="T877" s="104"/>
      <c r="U877" s="100"/>
      <c r="V877" s="112"/>
      <c r="AA877" s="11"/>
    </row>
    <row r="878" spans="1:27">
      <c r="A878" s="99"/>
      <c r="B878" s="100"/>
      <c r="C878" s="100"/>
      <c r="D878" s="101"/>
      <c r="E878" s="101"/>
      <c r="F878" s="101"/>
      <c r="G878" s="101"/>
      <c r="I878" s="104"/>
      <c r="T878" s="104"/>
      <c r="U878" s="100"/>
      <c r="V878" s="112"/>
      <c r="AA878" s="11"/>
    </row>
    <row r="879" spans="1:27">
      <c r="A879" s="99"/>
      <c r="B879" s="100"/>
      <c r="C879" s="100"/>
      <c r="D879" s="101"/>
      <c r="E879" s="101"/>
      <c r="F879" s="101"/>
      <c r="G879" s="101"/>
      <c r="I879" s="104"/>
      <c r="T879" s="104"/>
      <c r="U879" s="100"/>
      <c r="V879" s="112"/>
      <c r="AA879" s="11"/>
    </row>
    <row r="880" spans="1:27">
      <c r="A880" s="99"/>
      <c r="B880" s="100"/>
      <c r="C880" s="100"/>
      <c r="D880" s="101"/>
      <c r="E880" s="101"/>
      <c r="F880" s="101"/>
      <c r="G880" s="101"/>
      <c r="I880" s="104"/>
      <c r="T880" s="104"/>
      <c r="U880" s="100"/>
      <c r="V880" s="112"/>
      <c r="AA880" s="11"/>
    </row>
    <row r="881" spans="1:27">
      <c r="A881" s="99"/>
      <c r="B881" s="100"/>
      <c r="C881" s="100"/>
      <c r="D881" s="101"/>
      <c r="E881" s="101"/>
      <c r="F881" s="101"/>
      <c r="G881" s="101"/>
      <c r="I881" s="104"/>
      <c r="T881" s="104"/>
      <c r="U881" s="100"/>
      <c r="V881" s="112"/>
      <c r="AA881" s="11"/>
    </row>
    <row r="882" spans="1:27">
      <c r="A882" s="99"/>
      <c r="B882" s="100"/>
      <c r="C882" s="100"/>
      <c r="D882" s="101"/>
      <c r="E882" s="101"/>
      <c r="F882" s="101"/>
      <c r="G882" s="101"/>
      <c r="I882" s="104"/>
      <c r="T882" s="104"/>
      <c r="U882" s="100"/>
      <c r="V882" s="112"/>
      <c r="AA882" s="11"/>
    </row>
    <row r="883" spans="1:27">
      <c r="A883" s="99"/>
      <c r="B883" s="100"/>
      <c r="C883" s="100"/>
      <c r="D883" s="101"/>
      <c r="E883" s="101"/>
      <c r="F883" s="101"/>
      <c r="G883" s="101"/>
      <c r="I883" s="104"/>
      <c r="T883" s="104"/>
      <c r="U883" s="100"/>
      <c r="V883" s="112"/>
      <c r="AA883" s="11"/>
    </row>
    <row r="884" spans="1:27">
      <c r="A884" s="99"/>
      <c r="B884" s="100"/>
      <c r="C884" s="100"/>
      <c r="D884" s="101"/>
      <c r="E884" s="101"/>
      <c r="F884" s="101"/>
      <c r="G884" s="101"/>
      <c r="I884" s="104"/>
      <c r="T884" s="104"/>
      <c r="U884" s="100"/>
      <c r="V884" s="112"/>
      <c r="AA884" s="11"/>
    </row>
    <row r="885" spans="1:27">
      <c r="A885" s="99"/>
      <c r="B885" s="100"/>
      <c r="C885" s="100"/>
      <c r="D885" s="101"/>
      <c r="E885" s="101"/>
      <c r="F885" s="101"/>
      <c r="G885" s="101"/>
      <c r="I885" s="104"/>
      <c r="T885" s="104"/>
      <c r="U885" s="100"/>
      <c r="V885" s="112"/>
      <c r="AA885" s="11"/>
    </row>
    <row r="886" spans="1:27">
      <c r="A886" s="99"/>
      <c r="B886" s="100"/>
      <c r="C886" s="100"/>
      <c r="D886" s="101"/>
      <c r="E886" s="101"/>
      <c r="F886" s="101"/>
      <c r="G886" s="101"/>
      <c r="I886" s="104"/>
      <c r="T886" s="104"/>
      <c r="U886" s="100"/>
      <c r="V886" s="112"/>
      <c r="AA886" s="11"/>
    </row>
    <row r="887" spans="1:27">
      <c r="A887" s="99"/>
      <c r="B887" s="100"/>
      <c r="C887" s="100"/>
      <c r="D887" s="101"/>
      <c r="E887" s="101"/>
      <c r="F887" s="101"/>
      <c r="G887" s="101"/>
      <c r="I887" s="104"/>
      <c r="T887" s="104"/>
      <c r="U887" s="100"/>
      <c r="V887" s="112"/>
      <c r="AA887" s="11"/>
    </row>
    <row r="888" spans="1:27">
      <c r="A888" s="99"/>
      <c r="B888" s="100"/>
      <c r="C888" s="100"/>
      <c r="D888" s="101"/>
      <c r="E888" s="101"/>
      <c r="F888" s="101"/>
      <c r="G888" s="101"/>
      <c r="I888" s="104"/>
      <c r="T888" s="104"/>
      <c r="U888" s="100"/>
      <c r="V888" s="112"/>
      <c r="AA888" s="11"/>
    </row>
    <row r="889" spans="1:27">
      <c r="A889" s="99"/>
      <c r="B889" s="100"/>
      <c r="C889" s="100"/>
      <c r="D889" s="101"/>
      <c r="E889" s="101"/>
      <c r="F889" s="101"/>
      <c r="G889" s="101"/>
      <c r="I889" s="104"/>
      <c r="T889" s="104"/>
      <c r="U889" s="100"/>
      <c r="V889" s="112"/>
      <c r="AA889" s="11"/>
    </row>
    <row r="890" spans="1:27">
      <c r="A890" s="99"/>
      <c r="B890" s="100"/>
      <c r="C890" s="100"/>
      <c r="D890" s="101"/>
      <c r="E890" s="101"/>
      <c r="F890" s="101"/>
      <c r="G890" s="101"/>
      <c r="I890" s="104"/>
      <c r="T890" s="104"/>
      <c r="U890" s="100"/>
      <c r="V890" s="112"/>
      <c r="AA890" s="11"/>
    </row>
    <row r="891" spans="1:27">
      <c r="A891" s="99"/>
      <c r="B891" s="100"/>
      <c r="C891" s="100"/>
      <c r="D891" s="101"/>
      <c r="E891" s="101"/>
      <c r="F891" s="101"/>
      <c r="G891" s="101"/>
      <c r="I891" s="104"/>
      <c r="T891" s="104"/>
      <c r="U891" s="100"/>
      <c r="V891" s="112"/>
      <c r="AA891" s="11"/>
    </row>
    <row r="892" spans="1:27">
      <c r="A892" s="99"/>
      <c r="B892" s="100"/>
      <c r="C892" s="100"/>
      <c r="D892" s="101"/>
      <c r="E892" s="101"/>
      <c r="F892" s="101"/>
      <c r="G892" s="101"/>
      <c r="I892" s="104"/>
      <c r="T892" s="104"/>
      <c r="U892" s="100"/>
      <c r="V892" s="112"/>
      <c r="AA892" s="11"/>
    </row>
    <row r="893" spans="1:27">
      <c r="A893" s="99"/>
      <c r="B893" s="100"/>
      <c r="C893" s="100"/>
      <c r="D893" s="101"/>
      <c r="E893" s="101"/>
      <c r="F893" s="101"/>
      <c r="G893" s="101"/>
      <c r="I893" s="104"/>
      <c r="T893" s="104"/>
      <c r="U893" s="100"/>
      <c r="V893" s="112"/>
      <c r="AA893" s="11"/>
    </row>
    <row r="894" spans="1:27">
      <c r="A894" s="99"/>
      <c r="B894" s="100"/>
      <c r="C894" s="100"/>
      <c r="D894" s="101"/>
      <c r="E894" s="101"/>
      <c r="F894" s="101"/>
      <c r="G894" s="101"/>
      <c r="I894" s="104"/>
      <c r="T894" s="104"/>
      <c r="U894" s="100"/>
      <c r="V894" s="112"/>
      <c r="AA894" s="11"/>
    </row>
    <row r="895" spans="1:27">
      <c r="A895" s="99"/>
      <c r="B895" s="100"/>
      <c r="C895" s="100"/>
      <c r="D895" s="101"/>
      <c r="E895" s="101"/>
      <c r="F895" s="101"/>
      <c r="G895" s="101"/>
      <c r="I895" s="104"/>
      <c r="T895" s="104"/>
      <c r="U895" s="100"/>
      <c r="V895" s="112"/>
      <c r="AA895" s="11"/>
    </row>
    <row r="896" spans="1:27">
      <c r="A896" s="99"/>
      <c r="B896" s="100"/>
      <c r="C896" s="100"/>
      <c r="D896" s="101"/>
      <c r="E896" s="101"/>
      <c r="F896" s="101"/>
      <c r="G896" s="101"/>
      <c r="I896" s="104"/>
      <c r="T896" s="104"/>
      <c r="U896" s="100"/>
      <c r="V896" s="112"/>
      <c r="AA896" s="11"/>
    </row>
    <row r="897" spans="1:27">
      <c r="A897" s="99"/>
      <c r="B897" s="100"/>
      <c r="C897" s="100"/>
      <c r="D897" s="101"/>
      <c r="E897" s="101"/>
      <c r="F897" s="101"/>
      <c r="G897" s="101"/>
      <c r="I897" s="104"/>
      <c r="T897" s="104"/>
      <c r="U897" s="100"/>
      <c r="V897" s="112"/>
      <c r="AA897" s="11"/>
    </row>
    <row r="898" spans="1:27">
      <c r="A898" s="99"/>
      <c r="B898" s="100"/>
      <c r="C898" s="100"/>
      <c r="D898" s="101"/>
      <c r="E898" s="101"/>
      <c r="F898" s="101"/>
      <c r="G898" s="101"/>
      <c r="I898" s="104"/>
      <c r="T898" s="104"/>
      <c r="U898" s="100"/>
      <c r="V898" s="112"/>
      <c r="AA898" s="11"/>
    </row>
    <row r="899" spans="1:27">
      <c r="A899" s="99"/>
      <c r="B899" s="100"/>
      <c r="C899" s="100"/>
      <c r="D899" s="101"/>
      <c r="E899" s="101"/>
      <c r="F899" s="101"/>
      <c r="G899" s="101"/>
      <c r="I899" s="104"/>
      <c r="T899" s="104"/>
      <c r="U899" s="100"/>
      <c r="V899" s="112"/>
      <c r="AA899" s="11"/>
    </row>
    <row r="900" spans="1:27">
      <c r="A900" s="99"/>
      <c r="B900" s="100"/>
      <c r="C900" s="100"/>
      <c r="D900" s="101"/>
      <c r="E900" s="101"/>
      <c r="F900" s="101"/>
      <c r="G900" s="101"/>
      <c r="I900" s="104"/>
      <c r="T900" s="104"/>
      <c r="U900" s="100"/>
      <c r="V900" s="112"/>
      <c r="AA900" s="11"/>
    </row>
    <row r="901" spans="1:27">
      <c r="A901" s="99"/>
      <c r="B901" s="100"/>
      <c r="C901" s="100"/>
      <c r="D901" s="101"/>
      <c r="E901" s="101"/>
      <c r="F901" s="101"/>
      <c r="G901" s="101"/>
      <c r="I901" s="104"/>
      <c r="T901" s="104"/>
      <c r="U901" s="100"/>
      <c r="V901" s="112"/>
      <c r="AA901" s="11"/>
    </row>
    <row r="902" spans="1:27">
      <c r="A902" s="99"/>
      <c r="B902" s="100"/>
      <c r="C902" s="100"/>
      <c r="D902" s="101"/>
      <c r="E902" s="101"/>
      <c r="F902" s="101"/>
      <c r="G902" s="101"/>
      <c r="I902" s="104"/>
      <c r="T902" s="104"/>
      <c r="U902" s="100"/>
      <c r="V902" s="112"/>
      <c r="AA902" s="11"/>
    </row>
    <row r="903" spans="1:27">
      <c r="A903" s="99"/>
      <c r="B903" s="100"/>
      <c r="C903" s="100"/>
      <c r="D903" s="101"/>
      <c r="E903" s="101"/>
      <c r="F903" s="101"/>
      <c r="G903" s="101"/>
      <c r="I903" s="104"/>
      <c r="T903" s="104"/>
      <c r="U903" s="100"/>
      <c r="V903" s="112"/>
      <c r="AA903" s="11"/>
    </row>
    <row r="904" spans="1:27">
      <c r="A904" s="99"/>
      <c r="B904" s="100"/>
      <c r="C904" s="100"/>
      <c r="D904" s="101"/>
      <c r="E904" s="101"/>
      <c r="F904" s="101"/>
      <c r="G904" s="101"/>
      <c r="I904" s="104"/>
      <c r="T904" s="104"/>
      <c r="U904" s="100"/>
      <c r="V904" s="112"/>
      <c r="AA904" s="11"/>
    </row>
    <row r="905" spans="1:27">
      <c r="A905" s="99"/>
      <c r="B905" s="100"/>
      <c r="C905" s="100"/>
      <c r="D905" s="101"/>
      <c r="E905" s="101"/>
      <c r="F905" s="101"/>
      <c r="G905" s="101"/>
      <c r="I905" s="104"/>
      <c r="T905" s="104"/>
      <c r="U905" s="100"/>
      <c r="V905" s="112"/>
      <c r="AA905" s="11"/>
    </row>
    <row r="906" spans="1:27">
      <c r="A906" s="99"/>
      <c r="B906" s="100"/>
      <c r="C906" s="100"/>
      <c r="D906" s="101"/>
      <c r="E906" s="101"/>
      <c r="F906" s="101"/>
      <c r="G906" s="101"/>
      <c r="I906" s="104"/>
      <c r="T906" s="104"/>
      <c r="U906" s="100"/>
      <c r="V906" s="112"/>
      <c r="AA906" s="11"/>
    </row>
    <row r="907" spans="1:27">
      <c r="A907" s="99"/>
      <c r="B907" s="100"/>
      <c r="C907" s="100"/>
      <c r="D907" s="101"/>
      <c r="E907" s="101"/>
      <c r="F907" s="101"/>
      <c r="G907" s="101"/>
      <c r="I907" s="104"/>
      <c r="T907" s="104"/>
      <c r="U907" s="100"/>
      <c r="V907" s="112"/>
      <c r="AA907" s="11"/>
    </row>
    <row r="908" spans="1:27">
      <c r="A908" s="99"/>
      <c r="B908" s="100"/>
      <c r="C908" s="100"/>
      <c r="D908" s="101"/>
      <c r="E908" s="101"/>
      <c r="F908" s="101"/>
      <c r="G908" s="101"/>
      <c r="I908" s="104"/>
      <c r="T908" s="104"/>
      <c r="U908" s="100"/>
      <c r="V908" s="112"/>
      <c r="AA908" s="11"/>
    </row>
    <row r="909" spans="1:27">
      <c r="A909" s="99"/>
      <c r="B909" s="100"/>
      <c r="C909" s="100"/>
      <c r="D909" s="101"/>
      <c r="E909" s="101"/>
      <c r="F909" s="101"/>
      <c r="G909" s="101"/>
      <c r="I909" s="104"/>
      <c r="T909" s="104"/>
      <c r="U909" s="100"/>
      <c r="V909" s="112"/>
      <c r="AA909" s="11"/>
    </row>
    <row r="910" spans="1:27">
      <c r="A910" s="99"/>
      <c r="B910" s="100"/>
      <c r="C910" s="100"/>
      <c r="D910" s="101"/>
      <c r="E910" s="101"/>
      <c r="F910" s="101"/>
      <c r="G910" s="101"/>
      <c r="I910" s="104"/>
      <c r="T910" s="104"/>
      <c r="U910" s="100"/>
      <c r="V910" s="112"/>
      <c r="AA910" s="11"/>
    </row>
    <row r="911" spans="1:27">
      <c r="A911" s="99"/>
      <c r="B911" s="100"/>
      <c r="C911" s="100"/>
      <c r="D911" s="101"/>
      <c r="E911" s="101"/>
      <c r="F911" s="101"/>
      <c r="G911" s="101"/>
      <c r="I911" s="104"/>
      <c r="T911" s="104"/>
      <c r="U911" s="100"/>
      <c r="V911" s="112"/>
      <c r="AA911" s="11"/>
    </row>
    <row r="912" spans="1:27">
      <c r="A912" s="99"/>
      <c r="B912" s="100"/>
      <c r="C912" s="100"/>
      <c r="D912" s="101"/>
      <c r="E912" s="101"/>
      <c r="F912" s="101"/>
      <c r="G912" s="101"/>
      <c r="I912" s="104"/>
      <c r="T912" s="104"/>
      <c r="U912" s="100"/>
      <c r="V912" s="112"/>
      <c r="AA912" s="11"/>
    </row>
    <row r="913" spans="1:27">
      <c r="A913" s="99"/>
      <c r="B913" s="100"/>
      <c r="C913" s="100"/>
      <c r="D913" s="101"/>
      <c r="E913" s="101"/>
      <c r="F913" s="101"/>
      <c r="G913" s="101"/>
      <c r="I913" s="104"/>
      <c r="T913" s="104"/>
      <c r="U913" s="100"/>
      <c r="V913" s="112"/>
      <c r="AA913" s="11"/>
    </row>
    <row r="914" spans="1:27">
      <c r="A914" s="99"/>
      <c r="B914" s="100"/>
      <c r="C914" s="100"/>
      <c r="D914" s="101"/>
      <c r="E914" s="101"/>
      <c r="F914" s="101"/>
      <c r="G914" s="101"/>
      <c r="I914" s="104"/>
      <c r="T914" s="104"/>
      <c r="U914" s="100"/>
      <c r="V914" s="112"/>
      <c r="AA914" s="11"/>
    </row>
    <row r="915" spans="1:27">
      <c r="A915" s="99"/>
      <c r="B915" s="100"/>
      <c r="C915" s="100"/>
      <c r="D915" s="101"/>
      <c r="E915" s="101"/>
      <c r="F915" s="101"/>
      <c r="G915" s="101"/>
      <c r="I915" s="104"/>
      <c r="T915" s="104"/>
      <c r="U915" s="100"/>
      <c r="V915" s="112"/>
      <c r="AA915" s="11"/>
    </row>
    <row r="916" spans="1:27">
      <c r="A916" s="99"/>
      <c r="B916" s="100"/>
      <c r="C916" s="100"/>
      <c r="D916" s="101"/>
      <c r="E916" s="101"/>
      <c r="F916" s="101"/>
      <c r="G916" s="101"/>
      <c r="I916" s="104"/>
      <c r="T916" s="104"/>
      <c r="U916" s="100"/>
      <c r="V916" s="112"/>
      <c r="AA916" s="11"/>
    </row>
    <row r="917" spans="1:27">
      <c r="A917" s="99"/>
      <c r="B917" s="100"/>
      <c r="C917" s="100"/>
      <c r="D917" s="101"/>
      <c r="E917" s="101"/>
      <c r="F917" s="101"/>
      <c r="G917" s="101"/>
      <c r="I917" s="104"/>
      <c r="T917" s="104"/>
      <c r="U917" s="100"/>
      <c r="V917" s="112"/>
      <c r="AA917" s="11"/>
    </row>
    <row r="918" spans="1:27">
      <c r="A918" s="99"/>
      <c r="B918" s="100"/>
      <c r="C918" s="100"/>
      <c r="D918" s="101"/>
      <c r="E918" s="101"/>
      <c r="F918" s="101"/>
      <c r="G918" s="101"/>
      <c r="I918" s="104"/>
      <c r="T918" s="104"/>
      <c r="U918" s="100"/>
      <c r="V918" s="112"/>
      <c r="AA918" s="11"/>
    </row>
    <row r="919" spans="1:27">
      <c r="A919" s="99"/>
      <c r="B919" s="100"/>
      <c r="C919" s="100"/>
      <c r="D919" s="101"/>
      <c r="E919" s="101"/>
      <c r="F919" s="101"/>
      <c r="G919" s="101"/>
      <c r="I919" s="104"/>
      <c r="T919" s="104"/>
      <c r="U919" s="100"/>
      <c r="V919" s="112"/>
      <c r="AA919" s="11"/>
    </row>
    <row r="920" spans="1:27">
      <c r="A920" s="99"/>
      <c r="B920" s="100"/>
      <c r="C920" s="100"/>
      <c r="D920" s="101"/>
      <c r="E920" s="101"/>
      <c r="F920" s="101"/>
      <c r="G920" s="101"/>
      <c r="I920" s="104"/>
      <c r="T920" s="104"/>
      <c r="U920" s="100"/>
      <c r="V920" s="112"/>
      <c r="AA920" s="11"/>
    </row>
    <row r="921" spans="1:27">
      <c r="A921" s="99"/>
      <c r="B921" s="100"/>
      <c r="C921" s="100"/>
      <c r="D921" s="101"/>
      <c r="E921" s="101"/>
      <c r="F921" s="101"/>
      <c r="G921" s="101"/>
      <c r="I921" s="104"/>
      <c r="T921" s="104"/>
      <c r="U921" s="100"/>
      <c r="V921" s="112"/>
      <c r="AA921" s="11"/>
    </row>
    <row r="922" spans="1:27">
      <c r="A922" s="99"/>
      <c r="B922" s="100"/>
      <c r="C922" s="100"/>
      <c r="D922" s="101"/>
      <c r="E922" s="101"/>
      <c r="F922" s="101"/>
      <c r="G922" s="101"/>
      <c r="I922" s="104"/>
      <c r="T922" s="104"/>
      <c r="U922" s="100"/>
      <c r="V922" s="112"/>
      <c r="AA922" s="11"/>
    </row>
    <row r="923" spans="1:27">
      <c r="A923" s="99"/>
      <c r="B923" s="100"/>
      <c r="C923" s="100"/>
      <c r="D923" s="101"/>
      <c r="E923" s="101"/>
      <c r="F923" s="101"/>
      <c r="G923" s="101"/>
      <c r="I923" s="104"/>
      <c r="T923" s="104"/>
      <c r="U923" s="100"/>
      <c r="V923" s="112"/>
      <c r="AA923" s="11"/>
    </row>
    <row r="924" spans="1:27">
      <c r="A924" s="99"/>
      <c r="B924" s="100"/>
      <c r="C924" s="100"/>
      <c r="D924" s="101"/>
      <c r="E924" s="101"/>
      <c r="F924" s="101"/>
      <c r="G924" s="101"/>
      <c r="I924" s="104"/>
      <c r="T924" s="104"/>
      <c r="U924" s="100"/>
      <c r="V924" s="112"/>
      <c r="AA924" s="11"/>
    </row>
    <row r="925" spans="1:27">
      <c r="A925" s="99"/>
      <c r="B925" s="100"/>
      <c r="C925" s="100"/>
      <c r="D925" s="101"/>
      <c r="E925" s="101"/>
      <c r="F925" s="101"/>
      <c r="G925" s="101"/>
      <c r="I925" s="104"/>
      <c r="T925" s="104"/>
      <c r="U925" s="100"/>
      <c r="V925" s="112"/>
      <c r="AA925" s="11"/>
    </row>
    <row r="926" spans="1:27">
      <c r="A926" s="99"/>
      <c r="B926" s="100"/>
      <c r="C926" s="100"/>
      <c r="D926" s="101"/>
      <c r="E926" s="101"/>
      <c r="F926" s="101"/>
      <c r="G926" s="101"/>
      <c r="I926" s="104"/>
      <c r="T926" s="104"/>
      <c r="U926" s="100"/>
      <c r="V926" s="112"/>
      <c r="AA926" s="11"/>
    </row>
    <row r="927" spans="1:27">
      <c r="A927" s="99"/>
      <c r="B927" s="100"/>
      <c r="C927" s="100"/>
      <c r="D927" s="101"/>
      <c r="E927" s="101"/>
      <c r="F927" s="101"/>
      <c r="G927" s="101"/>
      <c r="I927" s="104"/>
      <c r="T927" s="104"/>
      <c r="U927" s="100"/>
      <c r="V927" s="112"/>
      <c r="AA927" s="11"/>
    </row>
    <row r="928" spans="1:27">
      <c r="A928" s="99"/>
      <c r="B928" s="100"/>
      <c r="C928" s="100"/>
      <c r="D928" s="101"/>
      <c r="E928" s="101"/>
      <c r="F928" s="101"/>
      <c r="G928" s="101"/>
      <c r="I928" s="104"/>
      <c r="T928" s="104"/>
      <c r="U928" s="100"/>
      <c r="V928" s="112"/>
      <c r="AA928" s="11"/>
    </row>
    <row r="929" spans="1:27">
      <c r="A929" s="99"/>
      <c r="B929" s="100"/>
      <c r="C929" s="100"/>
      <c r="D929" s="101"/>
      <c r="E929" s="101"/>
      <c r="F929" s="101"/>
      <c r="G929" s="101"/>
      <c r="I929" s="104"/>
      <c r="T929" s="104"/>
      <c r="U929" s="100"/>
      <c r="V929" s="112"/>
      <c r="AA929" s="11"/>
    </row>
    <row r="930" spans="1:27">
      <c r="A930" s="99"/>
      <c r="B930" s="100"/>
      <c r="C930" s="100"/>
      <c r="D930" s="101"/>
      <c r="E930" s="101"/>
      <c r="F930" s="101"/>
      <c r="G930" s="101"/>
      <c r="I930" s="104"/>
      <c r="T930" s="104"/>
      <c r="U930" s="100"/>
      <c r="V930" s="112"/>
      <c r="AA930" s="11"/>
    </row>
    <row r="931" spans="1:27">
      <c r="A931" s="99"/>
      <c r="B931" s="100"/>
      <c r="C931" s="100"/>
      <c r="D931" s="101"/>
      <c r="E931" s="101"/>
      <c r="F931" s="101"/>
      <c r="G931" s="101"/>
      <c r="I931" s="104"/>
      <c r="T931" s="104"/>
      <c r="U931" s="100"/>
      <c r="V931" s="112"/>
      <c r="AA931" s="11"/>
    </row>
    <row r="932" spans="1:27">
      <c r="A932" s="99"/>
      <c r="B932" s="100"/>
      <c r="C932" s="100"/>
      <c r="D932" s="101"/>
      <c r="E932" s="101"/>
      <c r="F932" s="101"/>
      <c r="G932" s="101"/>
      <c r="I932" s="104"/>
      <c r="T932" s="104"/>
      <c r="U932" s="100"/>
      <c r="V932" s="112"/>
      <c r="AA932" s="11"/>
    </row>
    <row r="933" spans="1:27">
      <c r="A933" s="99"/>
      <c r="B933" s="100"/>
      <c r="C933" s="100"/>
      <c r="D933" s="101"/>
      <c r="E933" s="101"/>
      <c r="F933" s="101"/>
      <c r="G933" s="101"/>
      <c r="I933" s="104"/>
      <c r="T933" s="104"/>
      <c r="U933" s="100"/>
      <c r="V933" s="112"/>
      <c r="AA933" s="11"/>
    </row>
    <row r="934" spans="1:27">
      <c r="A934" s="99"/>
      <c r="B934" s="100"/>
      <c r="C934" s="100"/>
      <c r="D934" s="101"/>
      <c r="E934" s="101"/>
      <c r="F934" s="101"/>
      <c r="G934" s="101"/>
      <c r="I934" s="104"/>
      <c r="T934" s="104"/>
      <c r="U934" s="100"/>
      <c r="V934" s="112"/>
      <c r="AA934" s="11"/>
    </row>
    <row r="935" spans="1:27">
      <c r="A935" s="99"/>
      <c r="B935" s="100"/>
      <c r="C935" s="100"/>
      <c r="D935" s="101"/>
      <c r="E935" s="101"/>
      <c r="F935" s="101"/>
      <c r="G935" s="101"/>
      <c r="I935" s="104"/>
      <c r="T935" s="104"/>
      <c r="U935" s="100"/>
      <c r="V935" s="112"/>
      <c r="AA935" s="11"/>
    </row>
    <row r="936" spans="1:27">
      <c r="A936" s="99"/>
      <c r="B936" s="100"/>
      <c r="C936" s="100"/>
      <c r="D936" s="101"/>
      <c r="E936" s="101"/>
      <c r="F936" s="101"/>
      <c r="G936" s="101"/>
      <c r="I936" s="104"/>
      <c r="T936" s="104"/>
      <c r="U936" s="100"/>
      <c r="V936" s="112"/>
      <c r="AA936" s="11"/>
    </row>
    <row r="937" spans="1:27">
      <c r="A937" s="99"/>
      <c r="B937" s="100"/>
      <c r="C937" s="100"/>
      <c r="D937" s="101"/>
      <c r="E937" s="101"/>
      <c r="F937" s="101"/>
      <c r="G937" s="101"/>
      <c r="I937" s="104"/>
      <c r="T937" s="104"/>
      <c r="U937" s="100"/>
      <c r="V937" s="112"/>
      <c r="AA937" s="11"/>
    </row>
    <row r="938" spans="1:27">
      <c r="A938" s="99"/>
      <c r="B938" s="100"/>
      <c r="C938" s="100"/>
      <c r="D938" s="101"/>
      <c r="E938" s="101"/>
      <c r="F938" s="101"/>
      <c r="G938" s="101"/>
      <c r="I938" s="104"/>
      <c r="T938" s="104"/>
      <c r="U938" s="100"/>
      <c r="V938" s="112"/>
      <c r="AA938" s="11"/>
    </row>
    <row r="939" spans="1:27">
      <c r="A939" s="99"/>
      <c r="B939" s="100"/>
      <c r="C939" s="100"/>
      <c r="D939" s="101"/>
      <c r="E939" s="101"/>
      <c r="F939" s="101"/>
      <c r="G939" s="101"/>
      <c r="I939" s="104"/>
      <c r="T939" s="104"/>
      <c r="U939" s="100"/>
      <c r="V939" s="112"/>
      <c r="AA939" s="11"/>
    </row>
    <row r="940" spans="1:27">
      <c r="A940" s="99"/>
      <c r="B940" s="100"/>
      <c r="C940" s="100"/>
      <c r="D940" s="101"/>
      <c r="E940" s="101"/>
      <c r="F940" s="101"/>
      <c r="G940" s="101"/>
      <c r="I940" s="104"/>
      <c r="T940" s="104"/>
      <c r="U940" s="100"/>
      <c r="V940" s="112"/>
      <c r="AA940" s="11"/>
    </row>
    <row r="941" spans="1:27">
      <c r="A941" s="99"/>
      <c r="B941" s="100"/>
      <c r="C941" s="100"/>
      <c r="D941" s="101"/>
      <c r="E941" s="101"/>
      <c r="F941" s="101"/>
      <c r="G941" s="101"/>
      <c r="I941" s="104"/>
      <c r="T941" s="104"/>
      <c r="U941" s="100"/>
      <c r="V941" s="112"/>
      <c r="AA941" s="11"/>
    </row>
    <row r="942" spans="1:27">
      <c r="A942" s="99"/>
      <c r="B942" s="100"/>
      <c r="C942" s="100"/>
      <c r="D942" s="101"/>
      <c r="E942" s="101"/>
      <c r="F942" s="101"/>
      <c r="G942" s="101"/>
      <c r="I942" s="104"/>
      <c r="T942" s="104"/>
      <c r="U942" s="100"/>
      <c r="V942" s="112"/>
      <c r="AA942" s="11"/>
    </row>
    <row r="943" spans="1:27">
      <c r="A943" s="99"/>
      <c r="B943" s="100"/>
      <c r="C943" s="100"/>
      <c r="D943" s="101"/>
      <c r="E943" s="101"/>
      <c r="F943" s="101"/>
      <c r="G943" s="101"/>
      <c r="I943" s="104"/>
      <c r="T943" s="104"/>
      <c r="U943" s="100"/>
      <c r="V943" s="112"/>
      <c r="AA943" s="11"/>
    </row>
    <row r="944" spans="1:27">
      <c r="A944" s="99"/>
      <c r="B944" s="100"/>
      <c r="C944" s="100"/>
      <c r="D944" s="101"/>
      <c r="E944" s="101"/>
      <c r="F944" s="101"/>
      <c r="G944" s="101"/>
      <c r="I944" s="104"/>
      <c r="T944" s="104"/>
      <c r="U944" s="100"/>
      <c r="V944" s="112"/>
      <c r="AA944" s="11"/>
    </row>
    <row r="945" spans="1:27">
      <c r="A945" s="99"/>
      <c r="B945" s="100"/>
      <c r="C945" s="100"/>
      <c r="D945" s="101"/>
      <c r="E945" s="101"/>
      <c r="F945" s="101"/>
      <c r="G945" s="101"/>
      <c r="I945" s="104"/>
      <c r="T945" s="104"/>
      <c r="U945" s="100"/>
      <c r="V945" s="112"/>
      <c r="AA945" s="11"/>
    </row>
    <row r="946" spans="1:27">
      <c r="A946" s="99"/>
      <c r="B946" s="100"/>
      <c r="C946" s="100"/>
      <c r="D946" s="101"/>
      <c r="E946" s="101"/>
      <c r="F946" s="101"/>
      <c r="G946" s="101"/>
      <c r="I946" s="104"/>
      <c r="T946" s="104"/>
      <c r="U946" s="100"/>
      <c r="V946" s="112"/>
      <c r="AA946" s="11"/>
    </row>
    <row r="947" spans="1:27">
      <c r="A947" s="99"/>
      <c r="B947" s="100"/>
      <c r="C947" s="100"/>
      <c r="D947" s="101"/>
      <c r="E947" s="101"/>
      <c r="F947" s="101"/>
      <c r="G947" s="101"/>
      <c r="I947" s="104"/>
      <c r="T947" s="104"/>
      <c r="U947" s="100"/>
      <c r="V947" s="112"/>
      <c r="AA947" s="11"/>
    </row>
    <row r="948" spans="1:27">
      <c r="A948" s="99"/>
      <c r="B948" s="100"/>
      <c r="C948" s="100"/>
      <c r="D948" s="101"/>
      <c r="E948" s="101"/>
      <c r="F948" s="101"/>
      <c r="G948" s="101"/>
      <c r="I948" s="104"/>
      <c r="T948" s="104"/>
      <c r="U948" s="100"/>
      <c r="V948" s="112"/>
      <c r="AA948" s="11"/>
    </row>
    <row r="949" spans="1:27">
      <c r="A949" s="99"/>
      <c r="B949" s="100"/>
      <c r="C949" s="100"/>
      <c r="D949" s="101"/>
      <c r="E949" s="101"/>
      <c r="F949" s="101"/>
      <c r="G949" s="101"/>
      <c r="I949" s="104"/>
      <c r="T949" s="104"/>
      <c r="U949" s="100"/>
      <c r="V949" s="112"/>
      <c r="AA949" s="11"/>
    </row>
    <row r="950" spans="1:27">
      <c r="A950" s="99"/>
      <c r="B950" s="100"/>
      <c r="C950" s="100"/>
      <c r="D950" s="101"/>
      <c r="E950" s="101"/>
      <c r="F950" s="101"/>
      <c r="G950" s="101"/>
      <c r="I950" s="104"/>
      <c r="T950" s="104"/>
      <c r="U950" s="100"/>
      <c r="V950" s="112"/>
      <c r="AA950" s="11"/>
    </row>
    <row r="951" spans="1:27">
      <c r="A951" s="99"/>
      <c r="B951" s="100"/>
      <c r="C951" s="100"/>
      <c r="D951" s="101"/>
      <c r="E951" s="101"/>
      <c r="F951" s="101"/>
      <c r="G951" s="101"/>
      <c r="I951" s="104"/>
      <c r="T951" s="104"/>
      <c r="U951" s="100"/>
      <c r="V951" s="112"/>
      <c r="AA951" s="11"/>
    </row>
    <row r="952" spans="1:27">
      <c r="A952" s="99"/>
      <c r="B952" s="100"/>
      <c r="C952" s="100"/>
      <c r="D952" s="101"/>
      <c r="E952" s="101"/>
      <c r="F952" s="101"/>
      <c r="G952" s="101"/>
      <c r="I952" s="104"/>
      <c r="T952" s="104"/>
      <c r="U952" s="100"/>
      <c r="V952" s="112"/>
      <c r="AA952" s="11"/>
    </row>
    <row r="953" spans="1:27">
      <c r="A953" s="99"/>
      <c r="B953" s="100"/>
      <c r="C953" s="100"/>
      <c r="D953" s="101"/>
      <c r="E953" s="101"/>
      <c r="F953" s="101"/>
      <c r="G953" s="101"/>
      <c r="I953" s="104"/>
      <c r="T953" s="104"/>
      <c r="U953" s="100"/>
      <c r="V953" s="112"/>
      <c r="AA953" s="11"/>
    </row>
    <row r="954" spans="1:27">
      <c r="A954" s="99"/>
      <c r="B954" s="100"/>
      <c r="C954" s="100"/>
      <c r="D954" s="101"/>
      <c r="E954" s="101"/>
      <c r="F954" s="101"/>
      <c r="G954" s="101"/>
      <c r="I954" s="104"/>
      <c r="T954" s="104"/>
      <c r="U954" s="100"/>
      <c r="V954" s="112"/>
      <c r="AA954" s="11"/>
    </row>
    <row r="955" spans="1:27">
      <c r="A955" s="99"/>
      <c r="B955" s="100"/>
      <c r="C955" s="100"/>
      <c r="D955" s="101"/>
      <c r="E955" s="101"/>
      <c r="F955" s="101"/>
      <c r="G955" s="101"/>
      <c r="I955" s="104"/>
      <c r="T955" s="104"/>
      <c r="U955" s="100"/>
      <c r="V955" s="112"/>
      <c r="AA955" s="11"/>
    </row>
    <row r="956" spans="1:27">
      <c r="A956" s="99"/>
      <c r="B956" s="100"/>
      <c r="C956" s="100"/>
      <c r="D956" s="101"/>
      <c r="E956" s="101"/>
      <c r="F956" s="101"/>
      <c r="G956" s="101"/>
      <c r="I956" s="104"/>
      <c r="T956" s="104"/>
      <c r="U956" s="100"/>
      <c r="V956" s="112"/>
      <c r="AA956" s="11"/>
    </row>
    <row r="957" spans="1:27">
      <c r="A957" s="99"/>
      <c r="B957" s="100"/>
      <c r="C957" s="100"/>
      <c r="D957" s="101"/>
      <c r="E957" s="101"/>
      <c r="F957" s="101"/>
      <c r="G957" s="101"/>
      <c r="I957" s="104"/>
      <c r="T957" s="104"/>
      <c r="U957" s="100"/>
      <c r="V957" s="112"/>
      <c r="AA957" s="11"/>
    </row>
    <row r="958" spans="1:27">
      <c r="A958" s="99"/>
      <c r="B958" s="100"/>
      <c r="C958" s="100"/>
      <c r="D958" s="101"/>
      <c r="E958" s="101"/>
      <c r="F958" s="101"/>
      <c r="G958" s="101"/>
      <c r="I958" s="104"/>
      <c r="T958" s="104"/>
      <c r="U958" s="100"/>
      <c r="V958" s="112"/>
      <c r="AA958" s="11"/>
    </row>
    <row r="959" spans="1:27">
      <c r="A959" s="99"/>
      <c r="B959" s="100"/>
      <c r="C959" s="100"/>
      <c r="D959" s="101"/>
      <c r="E959" s="101"/>
      <c r="F959" s="101"/>
      <c r="G959" s="101"/>
      <c r="I959" s="104"/>
      <c r="T959" s="104"/>
      <c r="U959" s="100"/>
      <c r="V959" s="112"/>
      <c r="AA959" s="11"/>
    </row>
    <row r="960" spans="1:27">
      <c r="A960" s="99"/>
      <c r="B960" s="100"/>
      <c r="C960" s="100"/>
      <c r="D960" s="101"/>
      <c r="E960" s="101"/>
      <c r="F960" s="101"/>
      <c r="G960" s="101"/>
      <c r="I960" s="104"/>
      <c r="T960" s="104"/>
      <c r="U960" s="100"/>
      <c r="V960" s="112"/>
      <c r="AA960" s="11"/>
    </row>
    <row r="961" spans="1:27">
      <c r="A961" s="99"/>
      <c r="B961" s="100"/>
      <c r="C961" s="100"/>
      <c r="D961" s="101"/>
      <c r="E961" s="101"/>
      <c r="F961" s="101"/>
      <c r="G961" s="101"/>
      <c r="I961" s="104"/>
      <c r="T961" s="104"/>
      <c r="U961" s="100"/>
      <c r="V961" s="112"/>
      <c r="AA961" s="11"/>
    </row>
    <row r="962" spans="1:27">
      <c r="A962" s="99"/>
      <c r="B962" s="100"/>
      <c r="C962" s="100"/>
      <c r="D962" s="101"/>
      <c r="E962" s="101"/>
      <c r="F962" s="101"/>
      <c r="G962" s="101"/>
      <c r="I962" s="104"/>
      <c r="T962" s="104"/>
      <c r="U962" s="100"/>
      <c r="V962" s="112"/>
      <c r="AA962" s="11"/>
    </row>
    <row r="963" spans="1:27">
      <c r="A963" s="99"/>
      <c r="B963" s="100"/>
      <c r="C963" s="100"/>
      <c r="D963" s="101"/>
      <c r="E963" s="101"/>
      <c r="F963" s="101"/>
      <c r="G963" s="101"/>
      <c r="I963" s="104"/>
      <c r="T963" s="104"/>
      <c r="U963" s="100"/>
      <c r="V963" s="112"/>
      <c r="AA963" s="11"/>
    </row>
    <row r="964" spans="1:27">
      <c r="A964" s="99"/>
      <c r="B964" s="100"/>
      <c r="C964" s="100"/>
      <c r="D964" s="101"/>
      <c r="E964" s="101"/>
      <c r="F964" s="101"/>
      <c r="G964" s="101"/>
      <c r="I964" s="104"/>
      <c r="T964" s="104"/>
      <c r="U964" s="100"/>
      <c r="V964" s="112"/>
      <c r="AA964" s="11"/>
    </row>
    <row r="965" spans="1:27">
      <c r="A965" s="99"/>
      <c r="B965" s="100"/>
      <c r="C965" s="100"/>
      <c r="D965" s="101"/>
      <c r="E965" s="101"/>
      <c r="F965" s="101"/>
      <c r="G965" s="101"/>
      <c r="I965" s="104"/>
      <c r="T965" s="104"/>
      <c r="U965" s="100"/>
      <c r="V965" s="112"/>
      <c r="AA965" s="11"/>
    </row>
    <row r="966" spans="1:27">
      <c r="A966" s="99"/>
      <c r="B966" s="100"/>
      <c r="C966" s="100"/>
      <c r="D966" s="101"/>
      <c r="E966" s="101"/>
      <c r="F966" s="101"/>
      <c r="G966" s="101"/>
      <c r="I966" s="104"/>
      <c r="T966" s="104"/>
      <c r="U966" s="100"/>
      <c r="V966" s="112"/>
      <c r="AA966" s="11"/>
    </row>
    <row r="967" spans="1:27">
      <c r="A967" s="99"/>
      <c r="B967" s="100"/>
      <c r="C967" s="100"/>
      <c r="D967" s="101"/>
      <c r="E967" s="101"/>
      <c r="F967" s="101"/>
      <c r="G967" s="101"/>
      <c r="I967" s="104"/>
      <c r="T967" s="104"/>
      <c r="U967" s="100"/>
      <c r="V967" s="112"/>
      <c r="AA967" s="11"/>
    </row>
    <row r="968" spans="1:27">
      <c r="A968" s="99"/>
      <c r="B968" s="100"/>
      <c r="C968" s="100"/>
      <c r="D968" s="101"/>
      <c r="E968" s="101"/>
      <c r="F968" s="101"/>
      <c r="G968" s="101"/>
      <c r="I968" s="104"/>
      <c r="T968" s="104"/>
      <c r="U968" s="100"/>
      <c r="V968" s="112"/>
      <c r="AA968" s="11"/>
    </row>
    <row r="969" spans="1:27">
      <c r="A969" s="99"/>
      <c r="B969" s="100"/>
      <c r="C969" s="100"/>
      <c r="D969" s="101"/>
      <c r="E969" s="101"/>
      <c r="F969" s="101"/>
      <c r="G969" s="101"/>
      <c r="I969" s="104"/>
      <c r="T969" s="104"/>
      <c r="U969" s="100"/>
      <c r="V969" s="112"/>
      <c r="AA969" s="11"/>
    </row>
    <row r="970" spans="1:27">
      <c r="A970" s="99"/>
      <c r="B970" s="100"/>
      <c r="C970" s="100"/>
      <c r="D970" s="101"/>
      <c r="E970" s="101"/>
      <c r="F970" s="101"/>
      <c r="G970" s="101"/>
      <c r="I970" s="104"/>
      <c r="T970" s="104"/>
      <c r="U970" s="100"/>
      <c r="V970" s="112"/>
      <c r="AA970" s="11"/>
    </row>
    <row r="971" spans="1:27">
      <c r="A971" s="99"/>
      <c r="B971" s="100"/>
      <c r="C971" s="100"/>
      <c r="D971" s="101"/>
      <c r="E971" s="101"/>
      <c r="F971" s="101"/>
      <c r="G971" s="101"/>
      <c r="I971" s="104"/>
      <c r="T971" s="104"/>
      <c r="U971" s="100"/>
      <c r="V971" s="112"/>
      <c r="AA971" s="11"/>
    </row>
    <row r="972" spans="1:27">
      <c r="A972" s="99"/>
      <c r="B972" s="100"/>
      <c r="C972" s="100"/>
      <c r="D972" s="101"/>
      <c r="E972" s="101"/>
      <c r="F972" s="101"/>
      <c r="G972" s="101"/>
      <c r="I972" s="104"/>
      <c r="T972" s="104"/>
      <c r="U972" s="100"/>
      <c r="V972" s="112"/>
      <c r="AA972" s="11"/>
    </row>
    <row r="973" spans="1:27">
      <c r="A973" s="99"/>
      <c r="B973" s="100"/>
      <c r="C973" s="100"/>
      <c r="D973" s="101"/>
      <c r="E973" s="101"/>
      <c r="F973" s="101"/>
      <c r="G973" s="101"/>
      <c r="I973" s="104"/>
      <c r="T973" s="104"/>
      <c r="U973" s="100"/>
      <c r="V973" s="112"/>
      <c r="AA973" s="11"/>
    </row>
    <row r="974" spans="1:27">
      <c r="A974" s="99"/>
      <c r="B974" s="100"/>
      <c r="C974" s="100"/>
      <c r="D974" s="101"/>
      <c r="E974" s="101"/>
      <c r="F974" s="101"/>
      <c r="G974" s="101"/>
      <c r="I974" s="104"/>
      <c r="T974" s="104"/>
      <c r="U974" s="100"/>
      <c r="V974" s="112"/>
      <c r="AA974" s="11"/>
    </row>
    <row r="975" spans="1:27">
      <c r="A975" s="99"/>
      <c r="B975" s="100"/>
      <c r="C975" s="100"/>
      <c r="D975" s="101"/>
      <c r="E975" s="101"/>
      <c r="F975" s="101"/>
      <c r="G975" s="101"/>
      <c r="I975" s="104"/>
      <c r="T975" s="104"/>
      <c r="U975" s="100"/>
      <c r="V975" s="112"/>
      <c r="AA975" s="11"/>
    </row>
    <row r="976" spans="1:27">
      <c r="A976" s="99"/>
      <c r="B976" s="100"/>
      <c r="C976" s="100"/>
      <c r="D976" s="101"/>
      <c r="E976" s="101"/>
      <c r="F976" s="101"/>
      <c r="G976" s="101"/>
      <c r="I976" s="104"/>
      <c r="T976" s="104"/>
      <c r="U976" s="100"/>
      <c r="V976" s="112"/>
      <c r="AA976" s="11"/>
    </row>
    <row r="977" spans="1:27">
      <c r="A977" s="99"/>
      <c r="B977" s="100"/>
      <c r="C977" s="100"/>
      <c r="D977" s="101"/>
      <c r="E977" s="101"/>
      <c r="F977" s="101"/>
      <c r="G977" s="101"/>
      <c r="I977" s="104"/>
      <c r="T977" s="104"/>
      <c r="U977" s="100"/>
      <c r="V977" s="112"/>
      <c r="AA977" s="11"/>
    </row>
    <row r="978" spans="1:27">
      <c r="A978" s="99"/>
      <c r="B978" s="100"/>
      <c r="C978" s="100"/>
      <c r="D978" s="101"/>
      <c r="E978" s="101"/>
      <c r="F978" s="101"/>
      <c r="G978" s="101"/>
      <c r="I978" s="104"/>
      <c r="T978" s="104"/>
      <c r="U978" s="100"/>
      <c r="V978" s="112"/>
      <c r="AA978" s="11"/>
    </row>
    <row r="979" spans="1:27">
      <c r="A979" s="99"/>
      <c r="B979" s="100"/>
      <c r="C979" s="100"/>
      <c r="D979" s="101"/>
      <c r="E979" s="101"/>
      <c r="F979" s="101"/>
      <c r="G979" s="101"/>
      <c r="I979" s="104"/>
      <c r="T979" s="104"/>
      <c r="U979" s="100"/>
      <c r="V979" s="112"/>
      <c r="AA979" s="11"/>
    </row>
    <row r="980" spans="1:27">
      <c r="A980" s="99"/>
      <c r="B980" s="100"/>
      <c r="C980" s="100"/>
      <c r="D980" s="101"/>
      <c r="E980" s="101"/>
      <c r="F980" s="101"/>
      <c r="G980" s="101"/>
      <c r="I980" s="104"/>
      <c r="T980" s="104"/>
      <c r="U980" s="100"/>
      <c r="V980" s="112"/>
      <c r="AA980" s="11"/>
    </row>
    <row r="981" spans="1:27">
      <c r="A981" s="99"/>
      <c r="B981" s="100"/>
      <c r="C981" s="100"/>
      <c r="D981" s="101"/>
      <c r="E981" s="101"/>
      <c r="F981" s="101"/>
      <c r="G981" s="101"/>
      <c r="I981" s="104"/>
      <c r="T981" s="104"/>
      <c r="U981" s="100"/>
      <c r="V981" s="112"/>
      <c r="AA981" s="11"/>
    </row>
    <row r="982" spans="1:27">
      <c r="A982" s="99"/>
      <c r="B982" s="100"/>
      <c r="C982" s="100"/>
      <c r="D982" s="101"/>
      <c r="E982" s="101"/>
      <c r="F982" s="101"/>
      <c r="G982" s="101"/>
      <c r="I982" s="104"/>
      <c r="T982" s="104"/>
      <c r="U982" s="100"/>
      <c r="V982" s="112"/>
      <c r="AA982" s="11"/>
    </row>
    <row r="983" spans="1:27">
      <c r="A983" s="99"/>
      <c r="B983" s="100"/>
      <c r="C983" s="100"/>
      <c r="D983" s="101"/>
      <c r="E983" s="101"/>
      <c r="F983" s="101"/>
      <c r="G983" s="101"/>
      <c r="I983" s="104"/>
      <c r="T983" s="104"/>
      <c r="U983" s="100"/>
      <c r="V983" s="112"/>
      <c r="AA983" s="11"/>
    </row>
    <row r="984" spans="1:27">
      <c r="A984" s="99"/>
      <c r="B984" s="100"/>
      <c r="C984" s="100"/>
      <c r="D984" s="101"/>
      <c r="E984" s="101"/>
      <c r="F984" s="101"/>
      <c r="G984" s="101"/>
      <c r="I984" s="104"/>
      <c r="T984" s="104"/>
      <c r="U984" s="100"/>
      <c r="V984" s="112"/>
      <c r="AA984" s="11"/>
    </row>
    <row r="985" spans="1:27">
      <c r="A985" s="99"/>
      <c r="B985" s="100"/>
      <c r="C985" s="100"/>
      <c r="D985" s="101"/>
      <c r="E985" s="101"/>
      <c r="F985" s="101"/>
      <c r="G985" s="101"/>
      <c r="I985" s="104"/>
      <c r="T985" s="104"/>
      <c r="U985" s="100"/>
      <c r="V985" s="112"/>
      <c r="AA985" s="11"/>
    </row>
    <row r="986" spans="1:27">
      <c r="A986" s="99"/>
      <c r="B986" s="100"/>
      <c r="C986" s="100"/>
      <c r="D986" s="101"/>
      <c r="E986" s="101"/>
      <c r="F986" s="101"/>
      <c r="G986" s="101"/>
      <c r="I986" s="104"/>
      <c r="T986" s="104"/>
      <c r="U986" s="100"/>
      <c r="V986" s="112"/>
      <c r="AA986" s="11"/>
    </row>
    <row r="987" spans="1:27">
      <c r="A987" s="99"/>
      <c r="B987" s="100"/>
      <c r="C987" s="100"/>
      <c r="D987" s="101"/>
      <c r="E987" s="101"/>
      <c r="F987" s="101"/>
      <c r="G987" s="101"/>
      <c r="I987" s="104"/>
      <c r="T987" s="104"/>
      <c r="U987" s="100"/>
      <c r="V987" s="112"/>
      <c r="AA987" s="11"/>
    </row>
    <row r="988" spans="1:27">
      <c r="A988" s="99"/>
      <c r="B988" s="100"/>
      <c r="C988" s="100"/>
      <c r="D988" s="101"/>
      <c r="E988" s="101"/>
      <c r="F988" s="101"/>
      <c r="G988" s="101"/>
      <c r="I988" s="104"/>
      <c r="T988" s="104"/>
      <c r="U988" s="100"/>
      <c r="V988" s="112"/>
      <c r="AA988" s="11"/>
    </row>
    <row r="989" spans="1:27">
      <c r="A989" s="99"/>
      <c r="B989" s="100"/>
      <c r="C989" s="100"/>
      <c r="D989" s="101"/>
      <c r="E989" s="101"/>
      <c r="F989" s="101"/>
      <c r="G989" s="101"/>
      <c r="I989" s="104"/>
      <c r="T989" s="104"/>
      <c r="U989" s="100"/>
      <c r="V989" s="112"/>
      <c r="AA989" s="11"/>
    </row>
    <row r="990" spans="1:27">
      <c r="A990" s="99"/>
      <c r="B990" s="100"/>
      <c r="C990" s="100"/>
      <c r="D990" s="101"/>
      <c r="E990" s="101"/>
      <c r="F990" s="101"/>
      <c r="G990" s="101"/>
      <c r="I990" s="104"/>
      <c r="T990" s="104"/>
      <c r="U990" s="100"/>
      <c r="V990" s="112"/>
      <c r="AA990" s="11"/>
    </row>
    <row r="991" spans="1:27">
      <c r="A991" s="99"/>
      <c r="B991" s="100"/>
      <c r="C991" s="100"/>
      <c r="D991" s="101"/>
      <c r="E991" s="101"/>
      <c r="F991" s="101"/>
      <c r="G991" s="101"/>
      <c r="I991" s="104"/>
      <c r="T991" s="104"/>
      <c r="U991" s="100"/>
      <c r="V991" s="112"/>
      <c r="AA991" s="11"/>
    </row>
    <row r="992" spans="1:27">
      <c r="A992" s="99"/>
      <c r="B992" s="100"/>
      <c r="C992" s="100"/>
      <c r="D992" s="101"/>
      <c r="E992" s="101"/>
      <c r="F992" s="101"/>
      <c r="G992" s="101"/>
      <c r="I992" s="104"/>
      <c r="T992" s="104"/>
      <c r="U992" s="100"/>
      <c r="V992" s="112"/>
      <c r="AA992" s="11"/>
    </row>
    <row r="993" spans="1:27">
      <c r="A993" s="99"/>
      <c r="B993" s="100"/>
      <c r="C993" s="100"/>
      <c r="D993" s="101"/>
      <c r="E993" s="101"/>
      <c r="F993" s="101"/>
      <c r="G993" s="101"/>
      <c r="I993" s="104"/>
      <c r="T993" s="104"/>
      <c r="U993" s="100"/>
      <c r="V993" s="112"/>
      <c r="AA993" s="11"/>
    </row>
    <row r="994" spans="1:27">
      <c r="A994" s="99"/>
      <c r="B994" s="100"/>
      <c r="C994" s="100"/>
      <c r="D994" s="101"/>
      <c r="E994" s="101"/>
      <c r="F994" s="101"/>
      <c r="G994" s="101"/>
      <c r="I994" s="104"/>
      <c r="T994" s="104"/>
      <c r="U994" s="100"/>
      <c r="V994" s="112"/>
      <c r="AA994" s="11"/>
    </row>
    <row r="995" spans="1:27">
      <c r="A995" s="99"/>
      <c r="B995" s="100"/>
      <c r="C995" s="100"/>
      <c r="D995" s="101"/>
      <c r="E995" s="101"/>
      <c r="F995" s="101"/>
      <c r="G995" s="101"/>
      <c r="I995" s="104"/>
      <c r="T995" s="104"/>
      <c r="U995" s="100"/>
      <c r="V995" s="112"/>
      <c r="AA995" s="11"/>
    </row>
    <row r="996" spans="1:27">
      <c r="A996" s="99"/>
      <c r="B996" s="100"/>
      <c r="C996" s="100"/>
      <c r="D996" s="101"/>
      <c r="E996" s="101"/>
      <c r="F996" s="101"/>
      <c r="G996" s="101"/>
      <c r="I996" s="104"/>
      <c r="T996" s="104"/>
      <c r="U996" s="100"/>
      <c r="V996" s="112"/>
      <c r="AA996" s="11"/>
    </row>
    <row r="997" spans="1:27">
      <c r="A997" s="99"/>
      <c r="B997" s="100"/>
      <c r="C997" s="100"/>
      <c r="D997" s="101"/>
      <c r="E997" s="101"/>
      <c r="F997" s="101"/>
      <c r="G997" s="101"/>
      <c r="I997" s="104"/>
      <c r="T997" s="104"/>
      <c r="U997" s="100"/>
      <c r="V997" s="112"/>
      <c r="AA997" s="11"/>
    </row>
    <row r="998" spans="1:27">
      <c r="A998" s="99"/>
      <c r="B998" s="100"/>
      <c r="C998" s="100"/>
      <c r="D998" s="101"/>
      <c r="E998" s="101"/>
      <c r="F998" s="101"/>
      <c r="G998" s="101"/>
      <c r="I998" s="104"/>
      <c r="T998" s="104"/>
      <c r="U998" s="100"/>
      <c r="V998" s="112"/>
      <c r="AA998" s="11"/>
    </row>
    <row r="999" spans="1:27">
      <c r="A999" s="99"/>
      <c r="B999" s="100"/>
      <c r="C999" s="100"/>
      <c r="D999" s="101"/>
      <c r="E999" s="101"/>
      <c r="F999" s="101"/>
      <c r="G999" s="101"/>
      <c r="I999" s="104"/>
      <c r="T999" s="104"/>
      <c r="U999" s="100"/>
      <c r="V999" s="112"/>
      <c r="AA999" s="11"/>
    </row>
    <row r="1000" spans="1:27">
      <c r="A1000" s="99"/>
      <c r="B1000" s="100"/>
      <c r="C1000" s="100"/>
      <c r="D1000" s="101"/>
      <c r="E1000" s="101"/>
      <c r="F1000" s="101"/>
      <c r="G1000" s="101"/>
      <c r="I1000" s="104"/>
      <c r="T1000" s="104"/>
      <c r="U1000" s="100"/>
      <c r="V1000" s="112"/>
      <c r="AA1000" s="11"/>
    </row>
    <row r="1001" spans="1:27">
      <c r="A1001" s="99"/>
      <c r="B1001" s="100"/>
      <c r="C1001" s="100"/>
      <c r="D1001" s="101"/>
      <c r="E1001" s="101"/>
      <c r="F1001" s="101"/>
      <c r="G1001" s="101"/>
      <c r="I1001" s="104"/>
      <c r="T1001" s="104"/>
      <c r="U1001" s="100"/>
      <c r="V1001" s="112"/>
      <c r="AA1001" s="11"/>
    </row>
    <row r="1002" spans="1:27">
      <c r="A1002" s="99"/>
      <c r="B1002" s="100"/>
      <c r="C1002" s="100"/>
      <c r="D1002" s="101"/>
      <c r="E1002" s="101"/>
      <c r="F1002" s="101"/>
      <c r="G1002" s="101"/>
      <c r="I1002" s="104"/>
      <c r="T1002" s="104"/>
      <c r="U1002" s="100"/>
      <c r="V1002" s="112"/>
      <c r="AA1002" s="11"/>
    </row>
    <row r="1003" spans="1:27">
      <c r="A1003" s="99"/>
      <c r="B1003" s="100"/>
      <c r="C1003" s="100"/>
      <c r="D1003" s="101"/>
      <c r="E1003" s="101"/>
      <c r="F1003" s="101"/>
      <c r="G1003" s="101"/>
      <c r="I1003" s="104"/>
      <c r="T1003" s="104"/>
      <c r="U1003" s="100"/>
      <c r="V1003" s="112"/>
      <c r="AA1003" s="11"/>
    </row>
    <row r="1004" spans="1:27">
      <c r="A1004" s="99"/>
      <c r="B1004" s="100"/>
      <c r="C1004" s="100"/>
      <c r="D1004" s="101"/>
      <c r="E1004" s="101"/>
      <c r="F1004" s="101"/>
      <c r="G1004" s="101"/>
      <c r="I1004" s="104"/>
      <c r="T1004" s="104"/>
      <c r="U1004" s="100"/>
      <c r="V1004" s="112"/>
      <c r="AA1004" s="11"/>
    </row>
    <row r="1005" spans="1:27">
      <c r="A1005" s="99"/>
      <c r="B1005" s="100"/>
      <c r="C1005" s="100"/>
      <c r="D1005" s="101"/>
      <c r="E1005" s="101"/>
      <c r="F1005" s="101"/>
      <c r="G1005" s="101"/>
      <c r="I1005" s="104"/>
      <c r="T1005" s="104"/>
      <c r="U1005" s="100"/>
      <c r="V1005" s="112"/>
      <c r="AA1005" s="11"/>
    </row>
    <row r="1006" spans="1:27">
      <c r="A1006" s="99"/>
      <c r="B1006" s="100"/>
      <c r="C1006" s="100"/>
      <c r="D1006" s="101"/>
      <c r="E1006" s="101"/>
      <c r="F1006" s="101"/>
      <c r="G1006" s="101"/>
      <c r="I1006" s="104"/>
      <c r="T1006" s="104"/>
      <c r="U1006" s="100"/>
      <c r="V1006" s="112"/>
      <c r="AA1006" s="11"/>
    </row>
    <row r="1007" spans="1:27">
      <c r="A1007" s="99"/>
      <c r="B1007" s="100"/>
      <c r="C1007" s="100"/>
      <c r="D1007" s="101"/>
      <c r="E1007" s="101"/>
      <c r="F1007" s="101"/>
      <c r="G1007" s="101"/>
      <c r="I1007" s="104"/>
      <c r="T1007" s="104"/>
      <c r="U1007" s="100"/>
      <c r="V1007" s="112"/>
      <c r="AA1007" s="11"/>
    </row>
    <row r="1008" spans="1:27">
      <c r="A1008" s="99"/>
      <c r="B1008" s="100"/>
      <c r="C1008" s="100"/>
      <c r="D1008" s="101"/>
      <c r="E1008" s="101"/>
      <c r="F1008" s="101"/>
      <c r="G1008" s="101"/>
      <c r="I1008" s="104"/>
      <c r="T1008" s="104"/>
      <c r="U1008" s="100"/>
      <c r="V1008" s="112"/>
      <c r="AA1008" s="11"/>
    </row>
    <row r="1009" spans="1:27">
      <c r="A1009" s="99"/>
      <c r="B1009" s="100"/>
      <c r="C1009" s="100"/>
      <c r="D1009" s="101"/>
      <c r="E1009" s="101"/>
      <c r="F1009" s="101"/>
      <c r="G1009" s="101"/>
      <c r="I1009" s="104"/>
      <c r="T1009" s="104"/>
      <c r="U1009" s="100"/>
      <c r="V1009" s="112"/>
      <c r="AA1009" s="11"/>
    </row>
    <row r="1010" spans="1:27">
      <c r="A1010" s="99"/>
      <c r="B1010" s="100"/>
      <c r="C1010" s="100"/>
      <c r="D1010" s="101"/>
      <c r="E1010" s="101"/>
      <c r="F1010" s="101"/>
      <c r="G1010" s="101"/>
      <c r="I1010" s="104"/>
      <c r="T1010" s="104"/>
      <c r="U1010" s="100"/>
      <c r="V1010" s="112"/>
      <c r="AA1010" s="11"/>
    </row>
    <row r="1011" spans="1:27">
      <c r="A1011" s="99"/>
      <c r="B1011" s="100"/>
      <c r="C1011" s="100"/>
      <c r="D1011" s="101"/>
      <c r="E1011" s="101"/>
      <c r="F1011" s="101"/>
      <c r="G1011" s="101"/>
      <c r="I1011" s="104"/>
      <c r="T1011" s="104"/>
      <c r="U1011" s="100"/>
      <c r="V1011" s="112"/>
      <c r="AA1011" s="11"/>
    </row>
    <row r="1012" spans="1:27">
      <c r="A1012" s="99"/>
      <c r="B1012" s="100"/>
      <c r="C1012" s="100"/>
      <c r="D1012" s="101"/>
      <c r="E1012" s="101"/>
      <c r="F1012" s="101"/>
      <c r="G1012" s="101"/>
      <c r="I1012" s="104"/>
      <c r="T1012" s="104"/>
      <c r="U1012" s="100"/>
      <c r="V1012" s="112"/>
      <c r="AA1012" s="11"/>
    </row>
    <row r="1013" spans="1:27">
      <c r="A1013" s="99"/>
      <c r="B1013" s="100"/>
      <c r="C1013" s="100"/>
      <c r="D1013" s="101"/>
      <c r="E1013" s="101"/>
      <c r="F1013" s="101"/>
      <c r="G1013" s="101"/>
      <c r="I1013" s="104"/>
      <c r="T1013" s="104"/>
      <c r="U1013" s="100"/>
      <c r="V1013" s="112"/>
      <c r="AA1013" s="11"/>
    </row>
    <row r="1014" spans="1:27">
      <c r="A1014" s="99"/>
      <c r="B1014" s="100"/>
      <c r="C1014" s="100"/>
      <c r="D1014" s="101"/>
      <c r="E1014" s="101"/>
      <c r="F1014" s="101"/>
      <c r="G1014" s="101"/>
      <c r="I1014" s="104"/>
      <c r="T1014" s="104"/>
      <c r="U1014" s="100"/>
      <c r="V1014" s="112"/>
      <c r="AA1014" s="11"/>
    </row>
    <row r="1015" spans="1:27">
      <c r="A1015" s="99"/>
      <c r="B1015" s="100"/>
      <c r="C1015" s="100"/>
      <c r="D1015" s="101"/>
      <c r="E1015" s="101"/>
      <c r="F1015" s="101"/>
      <c r="G1015" s="101"/>
      <c r="I1015" s="104"/>
      <c r="T1015" s="104"/>
      <c r="U1015" s="100"/>
      <c r="V1015" s="112"/>
      <c r="AA1015" s="11"/>
    </row>
    <row r="1016" spans="1:27">
      <c r="A1016" s="99"/>
      <c r="B1016" s="100"/>
      <c r="C1016" s="100"/>
      <c r="D1016" s="101"/>
      <c r="E1016" s="101"/>
      <c r="F1016" s="101"/>
      <c r="G1016" s="101"/>
      <c r="I1016" s="104"/>
      <c r="T1016" s="104"/>
      <c r="U1016" s="100"/>
      <c r="V1016" s="112"/>
      <c r="AA1016" s="11"/>
    </row>
    <row r="1017" spans="1:27">
      <c r="A1017" s="99"/>
      <c r="B1017" s="100"/>
      <c r="C1017" s="100"/>
      <c r="D1017" s="101"/>
      <c r="E1017" s="101"/>
      <c r="F1017" s="101"/>
      <c r="G1017" s="101"/>
      <c r="I1017" s="104"/>
      <c r="T1017" s="104"/>
      <c r="U1017" s="100"/>
      <c r="V1017" s="112"/>
      <c r="AA1017" s="11"/>
    </row>
    <row r="1018" spans="1:27">
      <c r="A1018" s="99"/>
      <c r="B1018" s="100"/>
      <c r="C1018" s="100"/>
      <c r="D1018" s="101"/>
      <c r="E1018" s="101"/>
      <c r="F1018" s="101"/>
      <c r="G1018" s="101"/>
      <c r="I1018" s="104"/>
      <c r="T1018" s="104"/>
      <c r="U1018" s="100"/>
      <c r="V1018" s="112"/>
      <c r="AA1018" s="11"/>
    </row>
    <row r="1019" spans="1:27">
      <c r="A1019" s="99"/>
      <c r="B1019" s="100"/>
      <c r="C1019" s="100"/>
      <c r="D1019" s="101"/>
      <c r="E1019" s="101"/>
      <c r="F1019" s="101"/>
      <c r="G1019" s="101"/>
      <c r="I1019" s="104"/>
      <c r="T1019" s="104"/>
      <c r="U1019" s="100"/>
      <c r="V1019" s="112"/>
      <c r="AA1019" s="11"/>
    </row>
    <row r="1020" spans="1:27">
      <c r="A1020" s="99"/>
      <c r="B1020" s="100"/>
      <c r="C1020" s="100"/>
      <c r="D1020" s="101"/>
      <c r="E1020" s="101"/>
      <c r="F1020" s="101"/>
      <c r="G1020" s="101"/>
      <c r="I1020" s="104"/>
      <c r="T1020" s="104"/>
      <c r="U1020" s="100"/>
      <c r="V1020" s="112"/>
      <c r="AA1020" s="11"/>
    </row>
    <row r="1021" spans="1:27">
      <c r="A1021" s="99"/>
      <c r="B1021" s="100"/>
      <c r="C1021" s="100"/>
      <c r="D1021" s="101"/>
      <c r="E1021" s="101"/>
      <c r="F1021" s="101"/>
      <c r="G1021" s="101"/>
      <c r="I1021" s="104"/>
      <c r="T1021" s="104"/>
      <c r="U1021" s="100"/>
      <c r="V1021" s="112"/>
      <c r="AA1021" s="11"/>
    </row>
    <row r="1022" spans="1:27">
      <c r="A1022" s="99"/>
      <c r="B1022" s="100"/>
      <c r="C1022" s="100"/>
      <c r="D1022" s="101"/>
      <c r="E1022" s="101"/>
      <c r="F1022" s="101"/>
      <c r="G1022" s="101"/>
      <c r="I1022" s="104"/>
      <c r="T1022" s="104"/>
      <c r="U1022" s="100"/>
      <c r="V1022" s="112"/>
      <c r="AA1022" s="11"/>
    </row>
    <row r="1023" spans="1:27">
      <c r="A1023" s="99"/>
      <c r="B1023" s="100"/>
      <c r="C1023" s="100"/>
      <c r="D1023" s="101"/>
      <c r="E1023" s="101"/>
      <c r="F1023" s="101"/>
      <c r="G1023" s="101"/>
      <c r="I1023" s="104"/>
      <c r="T1023" s="104"/>
      <c r="U1023" s="100"/>
      <c r="V1023" s="112"/>
      <c r="AA1023" s="11"/>
    </row>
    <row r="1024" spans="1:27">
      <c r="A1024" s="99"/>
      <c r="B1024" s="100"/>
      <c r="C1024" s="100"/>
      <c r="D1024" s="101"/>
      <c r="E1024" s="101"/>
      <c r="F1024" s="101"/>
      <c r="G1024" s="101"/>
      <c r="I1024" s="104"/>
      <c r="T1024" s="104"/>
      <c r="U1024" s="100"/>
      <c r="V1024" s="112"/>
      <c r="AA1024" s="11"/>
    </row>
    <row r="1025" spans="1:27">
      <c r="A1025" s="99"/>
      <c r="B1025" s="100"/>
      <c r="C1025" s="100"/>
      <c r="D1025" s="101"/>
      <c r="E1025" s="101"/>
      <c r="F1025" s="101"/>
      <c r="G1025" s="101"/>
      <c r="I1025" s="104"/>
      <c r="T1025" s="104"/>
      <c r="U1025" s="100"/>
      <c r="V1025" s="112"/>
      <c r="AA1025" s="11"/>
    </row>
    <row r="1026" spans="1:27">
      <c r="A1026" s="99"/>
      <c r="B1026" s="100"/>
      <c r="C1026" s="100"/>
      <c r="D1026" s="101"/>
      <c r="E1026" s="101"/>
      <c r="F1026" s="101"/>
      <c r="G1026" s="101"/>
      <c r="I1026" s="104"/>
      <c r="T1026" s="104"/>
      <c r="U1026" s="100"/>
      <c r="V1026" s="112"/>
      <c r="AA1026" s="11"/>
    </row>
    <row r="1027" spans="1:27">
      <c r="A1027" s="99"/>
      <c r="B1027" s="100"/>
      <c r="C1027" s="100"/>
      <c r="D1027" s="101"/>
      <c r="E1027" s="101"/>
      <c r="F1027" s="101"/>
      <c r="G1027" s="101"/>
      <c r="I1027" s="104"/>
      <c r="T1027" s="104"/>
      <c r="U1027" s="100"/>
      <c r="V1027" s="112"/>
      <c r="AA1027" s="11"/>
    </row>
    <row r="1028" spans="1:27">
      <c r="A1028" s="99"/>
      <c r="B1028" s="100"/>
      <c r="C1028" s="100"/>
      <c r="D1028" s="101"/>
      <c r="E1028" s="101"/>
      <c r="F1028" s="101"/>
      <c r="G1028" s="101"/>
      <c r="I1028" s="104"/>
      <c r="T1028" s="104"/>
      <c r="U1028" s="100"/>
      <c r="V1028" s="112"/>
      <c r="AA1028" s="11"/>
    </row>
    <row r="1029" spans="1:27">
      <c r="A1029" s="99"/>
      <c r="B1029" s="100"/>
      <c r="C1029" s="100"/>
      <c r="D1029" s="101"/>
      <c r="E1029" s="101"/>
      <c r="F1029" s="101"/>
      <c r="G1029" s="101"/>
      <c r="I1029" s="104"/>
      <c r="T1029" s="104"/>
      <c r="U1029" s="100"/>
      <c r="V1029" s="112"/>
      <c r="AA1029" s="11"/>
    </row>
    <row r="1030" spans="1:27">
      <c r="A1030" s="99"/>
      <c r="B1030" s="100"/>
      <c r="C1030" s="100"/>
      <c r="D1030" s="101"/>
      <c r="E1030" s="101"/>
      <c r="F1030" s="101"/>
      <c r="G1030" s="101"/>
      <c r="I1030" s="104"/>
      <c r="T1030" s="104"/>
      <c r="U1030" s="100"/>
      <c r="V1030" s="112"/>
      <c r="AA1030" s="11"/>
    </row>
    <row r="1031" spans="1:27">
      <c r="A1031" s="99"/>
      <c r="B1031" s="100"/>
      <c r="C1031" s="100"/>
      <c r="D1031" s="101"/>
      <c r="E1031" s="101"/>
      <c r="F1031" s="101"/>
      <c r="G1031" s="101"/>
      <c r="I1031" s="104"/>
      <c r="T1031" s="104"/>
      <c r="U1031" s="100"/>
      <c r="V1031" s="112"/>
      <c r="AA1031" s="11"/>
    </row>
    <row r="1032" spans="1:27">
      <c r="A1032" s="99"/>
      <c r="B1032" s="100"/>
      <c r="C1032" s="100"/>
      <c r="D1032" s="101"/>
      <c r="E1032" s="101"/>
      <c r="F1032" s="101"/>
      <c r="G1032" s="101"/>
      <c r="I1032" s="104"/>
      <c r="T1032" s="104"/>
      <c r="U1032" s="100"/>
      <c r="V1032" s="112"/>
      <c r="AA1032" s="11"/>
    </row>
    <row r="1033" spans="1:27">
      <c r="A1033" s="99"/>
      <c r="B1033" s="100"/>
      <c r="C1033" s="100"/>
      <c r="D1033" s="101"/>
      <c r="E1033" s="101"/>
      <c r="F1033" s="101"/>
      <c r="G1033" s="101"/>
      <c r="I1033" s="104"/>
      <c r="T1033" s="104"/>
      <c r="U1033" s="100"/>
      <c r="V1033" s="112"/>
      <c r="AA1033" s="11"/>
    </row>
    <row r="1034" spans="1:27">
      <c r="A1034" s="99"/>
      <c r="B1034" s="100"/>
      <c r="C1034" s="100"/>
      <c r="D1034" s="101"/>
      <c r="E1034" s="101"/>
      <c r="F1034" s="101"/>
      <c r="G1034" s="101"/>
      <c r="I1034" s="104"/>
      <c r="T1034" s="104"/>
      <c r="U1034" s="100"/>
      <c r="V1034" s="112"/>
      <c r="AA1034" s="11"/>
    </row>
    <row r="1035" spans="1:27">
      <c r="A1035" s="99"/>
      <c r="B1035" s="100"/>
      <c r="C1035" s="100"/>
      <c r="D1035" s="101"/>
      <c r="E1035" s="101"/>
      <c r="F1035" s="101"/>
      <c r="G1035" s="101"/>
      <c r="I1035" s="104"/>
      <c r="T1035" s="104"/>
      <c r="U1035" s="100"/>
      <c r="V1035" s="112"/>
      <c r="AA1035" s="11"/>
    </row>
    <row r="1036" spans="1:27">
      <c r="A1036" s="99"/>
      <c r="B1036" s="100"/>
      <c r="C1036" s="100"/>
      <c r="D1036" s="101"/>
      <c r="E1036" s="101"/>
      <c r="F1036" s="101"/>
      <c r="G1036" s="101"/>
      <c r="I1036" s="104"/>
      <c r="T1036" s="104"/>
      <c r="U1036" s="100"/>
      <c r="V1036" s="112"/>
      <c r="AA1036" s="11"/>
    </row>
    <row r="1037" spans="1:27">
      <c r="A1037" s="99"/>
      <c r="B1037" s="100"/>
      <c r="C1037" s="100"/>
      <c r="D1037" s="101"/>
      <c r="E1037" s="101"/>
      <c r="F1037" s="101"/>
      <c r="G1037" s="101"/>
      <c r="I1037" s="104"/>
      <c r="T1037" s="104"/>
      <c r="U1037" s="100"/>
      <c r="V1037" s="112"/>
      <c r="AA1037" s="11"/>
    </row>
    <row r="1038" spans="1:27">
      <c r="A1038" s="99"/>
      <c r="B1038" s="100"/>
      <c r="C1038" s="100"/>
      <c r="D1038" s="101"/>
      <c r="E1038" s="101"/>
      <c r="F1038" s="101"/>
      <c r="G1038" s="101"/>
      <c r="I1038" s="104"/>
      <c r="T1038" s="104"/>
      <c r="U1038" s="100"/>
      <c r="V1038" s="112"/>
      <c r="AA1038" s="11"/>
    </row>
    <row r="1039" spans="1:27">
      <c r="A1039" s="99"/>
      <c r="B1039" s="100"/>
      <c r="C1039" s="100"/>
      <c r="D1039" s="101"/>
      <c r="E1039" s="101"/>
      <c r="F1039" s="101"/>
      <c r="G1039" s="101"/>
      <c r="I1039" s="104"/>
      <c r="T1039" s="104"/>
      <c r="U1039" s="100"/>
      <c r="V1039" s="112"/>
      <c r="AA1039" s="11"/>
    </row>
    <row r="1040" spans="1:27">
      <c r="A1040" s="99"/>
      <c r="B1040" s="100"/>
      <c r="C1040" s="100"/>
      <c r="D1040" s="101"/>
      <c r="E1040" s="101"/>
      <c r="F1040" s="101"/>
      <c r="G1040" s="101"/>
      <c r="I1040" s="104"/>
      <c r="T1040" s="104"/>
      <c r="U1040" s="100"/>
      <c r="V1040" s="112"/>
      <c r="AA1040" s="11"/>
    </row>
    <row r="1041" spans="1:27">
      <c r="A1041" s="99"/>
      <c r="B1041" s="100"/>
      <c r="C1041" s="100"/>
      <c r="D1041" s="101"/>
      <c r="E1041" s="101"/>
      <c r="F1041" s="101"/>
      <c r="G1041" s="101"/>
      <c r="I1041" s="104"/>
      <c r="T1041" s="104"/>
      <c r="U1041" s="100"/>
      <c r="V1041" s="112"/>
      <c r="AA1041" s="11"/>
    </row>
    <row r="1042" spans="1:27">
      <c r="A1042" s="99"/>
      <c r="B1042" s="100"/>
      <c r="C1042" s="100"/>
      <c r="D1042" s="101"/>
      <c r="E1042" s="101"/>
      <c r="F1042" s="101"/>
      <c r="G1042" s="101"/>
      <c r="I1042" s="104"/>
      <c r="T1042" s="104"/>
      <c r="U1042" s="100"/>
      <c r="V1042" s="112"/>
      <c r="AA1042" s="11"/>
    </row>
    <row r="1043" spans="1:27">
      <c r="A1043" s="99"/>
      <c r="B1043" s="100"/>
      <c r="C1043" s="100"/>
      <c r="D1043" s="101"/>
      <c r="E1043" s="101"/>
      <c r="F1043" s="101"/>
      <c r="G1043" s="101"/>
      <c r="I1043" s="104"/>
      <c r="T1043" s="104"/>
      <c r="U1043" s="100"/>
      <c r="V1043" s="112"/>
      <c r="AA1043" s="11"/>
    </row>
    <row r="1044" spans="1:27">
      <c r="A1044" s="99"/>
      <c r="B1044" s="100"/>
      <c r="C1044" s="100"/>
      <c r="D1044" s="101"/>
      <c r="E1044" s="101"/>
      <c r="F1044" s="101"/>
      <c r="G1044" s="101"/>
      <c r="I1044" s="104"/>
      <c r="T1044" s="104"/>
      <c r="U1044" s="100"/>
      <c r="V1044" s="112"/>
      <c r="AA1044" s="11"/>
    </row>
    <row r="1045" spans="1:27">
      <c r="A1045" s="99"/>
      <c r="B1045" s="100"/>
      <c r="C1045" s="100"/>
      <c r="D1045" s="101"/>
      <c r="E1045" s="101"/>
      <c r="F1045" s="101"/>
      <c r="G1045" s="101"/>
      <c r="I1045" s="104"/>
      <c r="T1045" s="104"/>
      <c r="U1045" s="100"/>
      <c r="V1045" s="112"/>
      <c r="AA1045" s="11"/>
    </row>
    <row r="1046" spans="1:27">
      <c r="A1046" s="99"/>
      <c r="B1046" s="100"/>
      <c r="C1046" s="100"/>
      <c r="D1046" s="101"/>
      <c r="E1046" s="101"/>
      <c r="F1046" s="101"/>
      <c r="G1046" s="101"/>
      <c r="I1046" s="104"/>
      <c r="T1046" s="104"/>
      <c r="U1046" s="100"/>
      <c r="V1046" s="112"/>
      <c r="AA1046" s="11"/>
    </row>
    <row r="1047" spans="1:27">
      <c r="A1047" s="99"/>
      <c r="B1047" s="100"/>
      <c r="C1047" s="100"/>
      <c r="D1047" s="101"/>
      <c r="E1047" s="101"/>
      <c r="F1047" s="101"/>
      <c r="G1047" s="101"/>
      <c r="I1047" s="104"/>
      <c r="T1047" s="104"/>
      <c r="U1047" s="100"/>
      <c r="V1047" s="112"/>
      <c r="AA1047" s="11"/>
    </row>
    <row r="1048" spans="1:27">
      <c r="A1048" s="99"/>
      <c r="B1048" s="100"/>
      <c r="C1048" s="100"/>
      <c r="D1048" s="101"/>
      <c r="E1048" s="101"/>
      <c r="F1048" s="101"/>
      <c r="G1048" s="101"/>
      <c r="I1048" s="104"/>
      <c r="T1048" s="104"/>
      <c r="U1048" s="100"/>
      <c r="V1048" s="112"/>
      <c r="AA1048" s="11"/>
    </row>
    <row r="1049" spans="1:27">
      <c r="A1049" s="99"/>
      <c r="B1049" s="100"/>
      <c r="C1049" s="100"/>
      <c r="D1049" s="101"/>
      <c r="E1049" s="101"/>
      <c r="F1049" s="101"/>
      <c r="G1049" s="101"/>
      <c r="I1049" s="104"/>
      <c r="T1049" s="104"/>
      <c r="U1049" s="100"/>
      <c r="V1049" s="112"/>
      <c r="AA1049" s="11"/>
    </row>
    <row r="1050" spans="1:27">
      <c r="A1050" s="99"/>
      <c r="B1050" s="100"/>
      <c r="C1050" s="100"/>
      <c r="D1050" s="101"/>
      <c r="E1050" s="101"/>
      <c r="F1050" s="101"/>
      <c r="G1050" s="101"/>
      <c r="I1050" s="104"/>
      <c r="T1050" s="104"/>
      <c r="U1050" s="100"/>
      <c r="V1050" s="112"/>
      <c r="AA1050" s="11"/>
    </row>
    <row r="1051" spans="1:27">
      <c r="A1051" s="99"/>
      <c r="B1051" s="100"/>
      <c r="C1051" s="100"/>
      <c r="D1051" s="101"/>
      <c r="E1051" s="101"/>
      <c r="F1051" s="101"/>
      <c r="G1051" s="101"/>
      <c r="I1051" s="104"/>
      <c r="T1051" s="104"/>
      <c r="U1051" s="100"/>
      <c r="V1051" s="112"/>
      <c r="AA1051" s="11"/>
    </row>
    <row r="1052" spans="1:27">
      <c r="A1052" s="99"/>
      <c r="B1052" s="100"/>
      <c r="C1052" s="100"/>
      <c r="D1052" s="101"/>
      <c r="E1052" s="101"/>
      <c r="F1052" s="101"/>
      <c r="G1052" s="101"/>
      <c r="I1052" s="104"/>
      <c r="T1052" s="104"/>
      <c r="U1052" s="100"/>
      <c r="V1052" s="112"/>
      <c r="AA1052" s="11"/>
    </row>
    <row r="1053" spans="1:27">
      <c r="A1053" s="99"/>
      <c r="B1053" s="100"/>
      <c r="C1053" s="100"/>
      <c r="D1053" s="101"/>
      <c r="E1053" s="101"/>
      <c r="F1053" s="101"/>
      <c r="G1053" s="101"/>
      <c r="I1053" s="104"/>
      <c r="T1053" s="104"/>
      <c r="U1053" s="100"/>
      <c r="V1053" s="112"/>
      <c r="AA1053" s="11"/>
    </row>
    <row r="1054" spans="1:27">
      <c r="A1054" s="99"/>
      <c r="B1054" s="100"/>
      <c r="C1054" s="100"/>
      <c r="D1054" s="101"/>
      <c r="E1054" s="101"/>
      <c r="F1054" s="101"/>
      <c r="G1054" s="101"/>
      <c r="I1054" s="104"/>
      <c r="T1054" s="104"/>
      <c r="U1054" s="100"/>
      <c r="V1054" s="112"/>
      <c r="AA1054" s="11"/>
    </row>
    <row r="1055" spans="1:27">
      <c r="A1055" s="99"/>
      <c r="B1055" s="100"/>
      <c r="C1055" s="100"/>
      <c r="D1055" s="101"/>
      <c r="E1055" s="101"/>
      <c r="F1055" s="101"/>
      <c r="G1055" s="101"/>
      <c r="I1055" s="104"/>
      <c r="T1055" s="104"/>
      <c r="U1055" s="100"/>
      <c r="V1055" s="112"/>
      <c r="AA1055" s="11"/>
    </row>
    <row r="1056" spans="1:27">
      <c r="A1056" s="99"/>
      <c r="B1056" s="100"/>
      <c r="C1056" s="100"/>
      <c r="D1056" s="101"/>
      <c r="E1056" s="101"/>
      <c r="F1056" s="101"/>
      <c r="G1056" s="101"/>
      <c r="I1056" s="104"/>
      <c r="T1056" s="104"/>
      <c r="U1056" s="100"/>
      <c r="V1056" s="112"/>
      <c r="AA1056" s="11"/>
    </row>
    <row r="1057" spans="1:27">
      <c r="A1057" s="99"/>
      <c r="B1057" s="100"/>
      <c r="C1057" s="100"/>
      <c r="D1057" s="101"/>
      <c r="E1057" s="101"/>
      <c r="F1057" s="101"/>
      <c r="G1057" s="101"/>
      <c r="I1057" s="104"/>
      <c r="T1057" s="104"/>
      <c r="U1057" s="100"/>
      <c r="V1057" s="112"/>
      <c r="AA1057" s="11"/>
    </row>
    <row r="1058" spans="1:27">
      <c r="A1058" s="99"/>
      <c r="B1058" s="100"/>
      <c r="C1058" s="100"/>
      <c r="D1058" s="101"/>
      <c r="E1058" s="101"/>
      <c r="F1058" s="101"/>
      <c r="G1058" s="101"/>
      <c r="I1058" s="104"/>
      <c r="T1058" s="104"/>
      <c r="U1058" s="100"/>
      <c r="V1058" s="112"/>
      <c r="AA1058" s="11"/>
    </row>
    <row r="1059" spans="1:27">
      <c r="A1059" s="99"/>
      <c r="B1059" s="100"/>
      <c r="C1059" s="100"/>
      <c r="D1059" s="101"/>
      <c r="E1059" s="101"/>
      <c r="F1059" s="101"/>
      <c r="G1059" s="101"/>
      <c r="I1059" s="104"/>
      <c r="T1059" s="104"/>
      <c r="U1059" s="100"/>
      <c r="V1059" s="112"/>
      <c r="AA1059" s="11"/>
    </row>
    <row r="1060" spans="1:27">
      <c r="A1060" s="99"/>
      <c r="B1060" s="100"/>
      <c r="C1060" s="100"/>
      <c r="D1060" s="101"/>
      <c r="E1060" s="101"/>
      <c r="F1060" s="101"/>
      <c r="G1060" s="101"/>
      <c r="I1060" s="104"/>
      <c r="T1060" s="104"/>
      <c r="U1060" s="100"/>
      <c r="V1060" s="112"/>
      <c r="AA1060" s="11"/>
    </row>
    <row r="1061" spans="1:27">
      <c r="A1061" s="99"/>
      <c r="B1061" s="100"/>
      <c r="C1061" s="100"/>
      <c r="D1061" s="101"/>
      <c r="E1061" s="101"/>
      <c r="F1061" s="101"/>
      <c r="G1061" s="101"/>
      <c r="I1061" s="104"/>
      <c r="T1061" s="104"/>
      <c r="U1061" s="100"/>
      <c r="V1061" s="112"/>
      <c r="AA1061" s="11"/>
    </row>
    <row r="1062" spans="1:27">
      <c r="A1062" s="99"/>
      <c r="B1062" s="100"/>
      <c r="C1062" s="100"/>
      <c r="D1062" s="101"/>
      <c r="E1062" s="101"/>
      <c r="F1062" s="101"/>
      <c r="G1062" s="101"/>
      <c r="I1062" s="104"/>
      <c r="T1062" s="104"/>
      <c r="U1062" s="100"/>
      <c r="V1062" s="112"/>
      <c r="AA1062" s="11"/>
    </row>
    <row r="1063" spans="1:27">
      <c r="A1063" s="99"/>
      <c r="B1063" s="100"/>
      <c r="C1063" s="100"/>
      <c r="D1063" s="101"/>
      <c r="E1063" s="101"/>
      <c r="F1063" s="101"/>
      <c r="G1063" s="101"/>
      <c r="I1063" s="104"/>
      <c r="T1063" s="104"/>
      <c r="U1063" s="100"/>
      <c r="V1063" s="112"/>
      <c r="AA1063" s="11"/>
    </row>
    <row r="1064" spans="1:27">
      <c r="A1064" s="99"/>
      <c r="B1064" s="100"/>
      <c r="C1064" s="100"/>
      <c r="D1064" s="101"/>
      <c r="E1064" s="101"/>
      <c r="F1064" s="101"/>
      <c r="G1064" s="101"/>
      <c r="I1064" s="104"/>
      <c r="T1064" s="104"/>
      <c r="U1064" s="100"/>
      <c r="V1064" s="112"/>
      <c r="AA1064" s="11"/>
    </row>
    <row r="1065" spans="1:27">
      <c r="A1065" s="99"/>
      <c r="B1065" s="100"/>
      <c r="C1065" s="100"/>
      <c r="D1065" s="101"/>
      <c r="E1065" s="101"/>
      <c r="F1065" s="101"/>
      <c r="G1065" s="101"/>
      <c r="I1065" s="104"/>
      <c r="T1065" s="104"/>
      <c r="U1065" s="100"/>
      <c r="V1065" s="112"/>
      <c r="AA1065" s="11"/>
    </row>
    <row r="1066" spans="1:27">
      <c r="A1066" s="99"/>
      <c r="B1066" s="100"/>
      <c r="C1066" s="100"/>
      <c r="D1066" s="101"/>
      <c r="E1066" s="101"/>
      <c r="F1066" s="101"/>
      <c r="G1066" s="101"/>
      <c r="I1066" s="104"/>
      <c r="T1066" s="104"/>
      <c r="U1066" s="100"/>
      <c r="V1066" s="112"/>
      <c r="AA1066" s="11"/>
    </row>
    <row r="1067" spans="1:27">
      <c r="A1067" s="99"/>
      <c r="B1067" s="100"/>
      <c r="C1067" s="100"/>
      <c r="D1067" s="101"/>
      <c r="E1067" s="101"/>
      <c r="F1067" s="101"/>
      <c r="G1067" s="101"/>
      <c r="I1067" s="104"/>
      <c r="T1067" s="104"/>
      <c r="U1067" s="100"/>
      <c r="V1067" s="112"/>
      <c r="AA1067" s="11"/>
    </row>
    <row r="1068" spans="1:27">
      <c r="A1068" s="99"/>
      <c r="B1068" s="100"/>
      <c r="C1068" s="100"/>
      <c r="D1068" s="101"/>
      <c r="E1068" s="101"/>
      <c r="F1068" s="101"/>
      <c r="G1068" s="101"/>
      <c r="I1068" s="104"/>
      <c r="T1068" s="104"/>
      <c r="U1068" s="100"/>
      <c r="V1068" s="112"/>
      <c r="AA1068" s="11"/>
    </row>
    <row r="1069" spans="1:27">
      <c r="A1069" s="99"/>
      <c r="B1069" s="100"/>
      <c r="C1069" s="100"/>
      <c r="D1069" s="101"/>
      <c r="E1069" s="101"/>
      <c r="F1069" s="101"/>
      <c r="G1069" s="101"/>
      <c r="I1069" s="104"/>
      <c r="T1069" s="104"/>
      <c r="U1069" s="100"/>
      <c r="V1069" s="112"/>
      <c r="AA1069" s="11"/>
    </row>
    <row r="1070" spans="1:27">
      <c r="A1070" s="99"/>
      <c r="B1070" s="100"/>
      <c r="C1070" s="100"/>
      <c r="D1070" s="101"/>
      <c r="E1070" s="101"/>
      <c r="F1070" s="101"/>
      <c r="G1070" s="101"/>
      <c r="I1070" s="104"/>
      <c r="T1070" s="104"/>
      <c r="U1070" s="100"/>
      <c r="V1070" s="112"/>
      <c r="AA1070" s="11"/>
    </row>
    <row r="1071" spans="1:27">
      <c r="A1071" s="99"/>
      <c r="B1071" s="100"/>
      <c r="C1071" s="100"/>
      <c r="D1071" s="101"/>
      <c r="E1071" s="101"/>
      <c r="F1071" s="101"/>
      <c r="G1071" s="101"/>
      <c r="I1071" s="104"/>
      <c r="T1071" s="104"/>
      <c r="U1071" s="100"/>
      <c r="V1071" s="112"/>
      <c r="AA1071" s="11"/>
    </row>
    <row r="1072" spans="1:27">
      <c r="A1072" s="99"/>
      <c r="B1072" s="100"/>
      <c r="C1072" s="100"/>
      <c r="D1072" s="101"/>
      <c r="E1072" s="101"/>
      <c r="F1072" s="101"/>
      <c r="G1072" s="101"/>
      <c r="I1072" s="104"/>
      <c r="T1072" s="104"/>
      <c r="U1072" s="100"/>
      <c r="V1072" s="112"/>
      <c r="AA1072" s="11"/>
    </row>
    <row r="1073" spans="1:27">
      <c r="A1073" s="99"/>
      <c r="B1073" s="100"/>
      <c r="C1073" s="100"/>
      <c r="D1073" s="101"/>
      <c r="E1073" s="101"/>
      <c r="F1073" s="101"/>
      <c r="G1073" s="101"/>
      <c r="I1073" s="104"/>
      <c r="T1073" s="104"/>
      <c r="U1073" s="100"/>
      <c r="V1073" s="112"/>
      <c r="AA1073" s="11"/>
    </row>
    <row r="1074" spans="1:27">
      <c r="A1074" s="99"/>
      <c r="B1074" s="100"/>
      <c r="C1074" s="100"/>
      <c r="D1074" s="101"/>
      <c r="E1074" s="101"/>
      <c r="F1074" s="101"/>
      <c r="G1074" s="101"/>
      <c r="I1074" s="104"/>
      <c r="T1074" s="104"/>
      <c r="U1074" s="100"/>
      <c r="V1074" s="112"/>
      <c r="AA1074" s="11"/>
    </row>
    <row r="1075" spans="1:27">
      <c r="A1075" s="99"/>
      <c r="B1075" s="100"/>
      <c r="C1075" s="100"/>
      <c r="D1075" s="101"/>
      <c r="E1075" s="101"/>
      <c r="F1075" s="101"/>
      <c r="G1075" s="101"/>
      <c r="I1075" s="104"/>
      <c r="T1075" s="104"/>
      <c r="U1075" s="100"/>
      <c r="V1075" s="112"/>
      <c r="AA1075" s="11"/>
    </row>
    <row r="1076" spans="1:27">
      <c r="A1076" s="99"/>
      <c r="B1076" s="100"/>
      <c r="C1076" s="100"/>
      <c r="D1076" s="101"/>
      <c r="E1076" s="101"/>
      <c r="F1076" s="101"/>
      <c r="G1076" s="101"/>
      <c r="I1076" s="104"/>
      <c r="T1076" s="104"/>
      <c r="U1076" s="100"/>
      <c r="V1076" s="112"/>
      <c r="AA1076" s="11"/>
    </row>
    <row r="1077" spans="1:27">
      <c r="A1077" s="99"/>
      <c r="B1077" s="100"/>
      <c r="C1077" s="100"/>
      <c r="D1077" s="101"/>
      <c r="E1077" s="101"/>
      <c r="F1077" s="101"/>
      <c r="G1077" s="101"/>
      <c r="I1077" s="104"/>
      <c r="T1077" s="104"/>
      <c r="U1077" s="100"/>
      <c r="V1077" s="112"/>
      <c r="AA1077" s="11"/>
    </row>
    <row r="1078" spans="1:27">
      <c r="A1078" s="99"/>
      <c r="B1078" s="100"/>
      <c r="C1078" s="100"/>
      <c r="D1078" s="101"/>
      <c r="E1078" s="101"/>
      <c r="F1078" s="101"/>
      <c r="G1078" s="101"/>
      <c r="I1078" s="104"/>
      <c r="T1078" s="104"/>
      <c r="U1078" s="100"/>
      <c r="V1078" s="112"/>
      <c r="AA1078" s="11"/>
    </row>
    <row r="1079" spans="1:27">
      <c r="A1079" s="99"/>
      <c r="B1079" s="100"/>
      <c r="C1079" s="100"/>
      <c r="D1079" s="101"/>
      <c r="E1079" s="101"/>
      <c r="F1079" s="101"/>
      <c r="G1079" s="101"/>
      <c r="I1079" s="104"/>
      <c r="T1079" s="104"/>
      <c r="U1079" s="100"/>
      <c r="V1079" s="112"/>
      <c r="AA1079" s="11"/>
    </row>
    <row r="1080" spans="1:27">
      <c r="A1080" s="99"/>
      <c r="B1080" s="100"/>
      <c r="C1080" s="100"/>
      <c r="D1080" s="101"/>
      <c r="E1080" s="101"/>
      <c r="F1080" s="101"/>
      <c r="G1080" s="101"/>
      <c r="I1080" s="104"/>
      <c r="T1080" s="104"/>
      <c r="U1080" s="100"/>
      <c r="V1080" s="112"/>
      <c r="AA1080" s="11"/>
    </row>
    <row r="1081" spans="1:27">
      <c r="A1081" s="99"/>
      <c r="B1081" s="100"/>
      <c r="C1081" s="100"/>
      <c r="D1081" s="101"/>
      <c r="E1081" s="101"/>
      <c r="F1081" s="101"/>
      <c r="G1081" s="101"/>
      <c r="I1081" s="104"/>
      <c r="T1081" s="104"/>
      <c r="U1081" s="100"/>
      <c r="V1081" s="112"/>
      <c r="AA1081" s="11"/>
    </row>
    <row r="1082" spans="1:27">
      <c r="A1082" s="99"/>
      <c r="B1082" s="100"/>
      <c r="C1082" s="100"/>
      <c r="D1082" s="101"/>
      <c r="E1082" s="101"/>
      <c r="F1082" s="101"/>
      <c r="G1082" s="101"/>
      <c r="I1082" s="104"/>
      <c r="T1082" s="104"/>
      <c r="U1082" s="100"/>
      <c r="V1082" s="112"/>
      <c r="AA1082" s="11"/>
    </row>
    <row r="1083" spans="1:27">
      <c r="A1083" s="99"/>
      <c r="B1083" s="100"/>
      <c r="C1083" s="100"/>
      <c r="D1083" s="101"/>
      <c r="E1083" s="101"/>
      <c r="F1083" s="101"/>
      <c r="G1083" s="101"/>
      <c r="I1083" s="104"/>
      <c r="T1083" s="104"/>
      <c r="U1083" s="100"/>
      <c r="V1083" s="112"/>
      <c r="AA1083" s="11"/>
    </row>
    <row r="1084" spans="1:27">
      <c r="A1084" s="99"/>
      <c r="B1084" s="100"/>
      <c r="C1084" s="100"/>
      <c r="D1084" s="101"/>
      <c r="E1084" s="101"/>
      <c r="F1084" s="101"/>
      <c r="G1084" s="101"/>
      <c r="I1084" s="104"/>
      <c r="T1084" s="104"/>
      <c r="U1084" s="100"/>
      <c r="V1084" s="112"/>
      <c r="AA1084" s="11"/>
    </row>
    <row r="1085" spans="1:27">
      <c r="A1085" s="99"/>
      <c r="B1085" s="100"/>
      <c r="C1085" s="100"/>
      <c r="D1085" s="101"/>
      <c r="E1085" s="101"/>
      <c r="F1085" s="101"/>
      <c r="G1085" s="101"/>
      <c r="I1085" s="104"/>
      <c r="T1085" s="104"/>
      <c r="U1085" s="100"/>
      <c r="V1085" s="112"/>
      <c r="AA1085" s="11"/>
    </row>
    <row r="1086" spans="1:27">
      <c r="A1086" s="99"/>
      <c r="B1086" s="100"/>
      <c r="C1086" s="100"/>
      <c r="D1086" s="101"/>
      <c r="E1086" s="101"/>
      <c r="F1086" s="101"/>
      <c r="G1086" s="101"/>
      <c r="I1086" s="104"/>
      <c r="T1086" s="104"/>
      <c r="U1086" s="100"/>
      <c r="V1086" s="112"/>
      <c r="AA1086" s="11"/>
    </row>
    <row r="1087" spans="1:27">
      <c r="A1087" s="99"/>
      <c r="B1087" s="100"/>
      <c r="C1087" s="100"/>
      <c r="D1087" s="101"/>
      <c r="E1087" s="101"/>
      <c r="F1087" s="101"/>
      <c r="G1087" s="101"/>
      <c r="I1087" s="104"/>
      <c r="T1087" s="104"/>
      <c r="U1087" s="100"/>
      <c r="V1087" s="112"/>
      <c r="AA1087" s="11"/>
    </row>
    <row r="1088" spans="1:27">
      <c r="A1088" s="99"/>
      <c r="B1088" s="100"/>
      <c r="C1088" s="100"/>
      <c r="D1088" s="101"/>
      <c r="E1088" s="101"/>
      <c r="F1088" s="101"/>
      <c r="G1088" s="101"/>
      <c r="I1088" s="104"/>
      <c r="T1088" s="104"/>
      <c r="U1088" s="100"/>
      <c r="V1088" s="112"/>
      <c r="AA1088" s="11"/>
    </row>
    <row r="1089" spans="1:27">
      <c r="A1089" s="99"/>
      <c r="B1089" s="100"/>
      <c r="C1089" s="100"/>
      <c r="D1089" s="101"/>
      <c r="E1089" s="101"/>
      <c r="F1089" s="101"/>
      <c r="G1089" s="101"/>
      <c r="I1089" s="104"/>
      <c r="T1089" s="104"/>
      <c r="U1089" s="100"/>
      <c r="V1089" s="112"/>
      <c r="AA1089" s="11"/>
    </row>
    <row r="1090" spans="1:27">
      <c r="A1090" s="99"/>
      <c r="B1090" s="100"/>
      <c r="C1090" s="100"/>
      <c r="D1090" s="101"/>
      <c r="E1090" s="101"/>
      <c r="F1090" s="101"/>
      <c r="G1090" s="101"/>
      <c r="I1090" s="104"/>
      <c r="T1090" s="104"/>
      <c r="U1090" s="100"/>
      <c r="V1090" s="112"/>
      <c r="AA1090" s="11"/>
    </row>
    <row r="1091" spans="1:27">
      <c r="A1091" s="99"/>
      <c r="B1091" s="100"/>
      <c r="C1091" s="100"/>
      <c r="D1091" s="101"/>
      <c r="E1091" s="101"/>
      <c r="F1091" s="101"/>
      <c r="G1091" s="101"/>
      <c r="I1091" s="104"/>
      <c r="T1091" s="104"/>
      <c r="U1091" s="100"/>
      <c r="V1091" s="112"/>
      <c r="AA1091" s="11"/>
    </row>
    <row r="1092" spans="1:27">
      <c r="A1092" s="99"/>
      <c r="B1092" s="100"/>
      <c r="C1092" s="100"/>
      <c r="D1092" s="101"/>
      <c r="E1092" s="101"/>
      <c r="F1092" s="101"/>
      <c r="G1092" s="101"/>
      <c r="I1092" s="104"/>
      <c r="T1092" s="104"/>
      <c r="U1092" s="100"/>
      <c r="V1092" s="112"/>
      <c r="AA1092" s="11"/>
    </row>
    <row r="1093" spans="1:27">
      <c r="A1093" s="99"/>
      <c r="B1093" s="100"/>
      <c r="C1093" s="100"/>
      <c r="D1093" s="101"/>
      <c r="E1093" s="101"/>
      <c r="F1093" s="101"/>
      <c r="G1093" s="101"/>
      <c r="I1093" s="104"/>
      <c r="T1093" s="104"/>
      <c r="U1093" s="100"/>
      <c r="V1093" s="112"/>
      <c r="AA1093" s="11"/>
    </row>
    <row r="1094" spans="1:27">
      <c r="A1094" s="99"/>
      <c r="B1094" s="100"/>
      <c r="C1094" s="100"/>
      <c r="D1094" s="101"/>
      <c r="E1094" s="101"/>
      <c r="F1094" s="101"/>
      <c r="G1094" s="101"/>
      <c r="I1094" s="104"/>
      <c r="T1094" s="104"/>
      <c r="U1094" s="100"/>
      <c r="V1094" s="112"/>
      <c r="AA1094" s="11"/>
    </row>
    <row r="1095" spans="1:27">
      <c r="A1095" s="99"/>
      <c r="B1095" s="100"/>
      <c r="C1095" s="100"/>
      <c r="D1095" s="101"/>
      <c r="E1095" s="101"/>
      <c r="F1095" s="101"/>
      <c r="G1095" s="101"/>
      <c r="I1095" s="104"/>
      <c r="T1095" s="104"/>
      <c r="U1095" s="100"/>
      <c r="V1095" s="112"/>
      <c r="AA1095" s="11"/>
    </row>
    <row r="1096" spans="1:27">
      <c r="A1096" s="99"/>
      <c r="B1096" s="100"/>
      <c r="C1096" s="100"/>
      <c r="D1096" s="101"/>
      <c r="E1096" s="101"/>
      <c r="F1096" s="101"/>
      <c r="G1096" s="101"/>
      <c r="I1096" s="104"/>
      <c r="T1096" s="104"/>
      <c r="U1096" s="100"/>
      <c r="V1096" s="112"/>
      <c r="AA1096" s="11"/>
    </row>
    <row r="1097" spans="1:27">
      <c r="A1097" s="99"/>
      <c r="B1097" s="100"/>
      <c r="C1097" s="100"/>
      <c r="D1097" s="101"/>
      <c r="E1097" s="101"/>
      <c r="F1097" s="101"/>
      <c r="G1097" s="101"/>
      <c r="I1097" s="104"/>
      <c r="T1097" s="104"/>
      <c r="U1097" s="100"/>
      <c r="V1097" s="112"/>
      <c r="AA1097" s="11"/>
    </row>
    <row r="1098" spans="1:27">
      <c r="A1098" s="99"/>
      <c r="B1098" s="100"/>
      <c r="C1098" s="100"/>
      <c r="D1098" s="101"/>
      <c r="E1098" s="101"/>
      <c r="F1098" s="101"/>
      <c r="G1098" s="101"/>
      <c r="I1098" s="104"/>
      <c r="T1098" s="104"/>
      <c r="U1098" s="100"/>
      <c r="V1098" s="112"/>
      <c r="AA1098" s="11"/>
    </row>
    <row r="1099" spans="1:27">
      <c r="A1099" s="99"/>
      <c r="B1099" s="100"/>
      <c r="C1099" s="100"/>
      <c r="D1099" s="101"/>
      <c r="E1099" s="101"/>
      <c r="F1099" s="101"/>
      <c r="G1099" s="101"/>
      <c r="I1099" s="104"/>
      <c r="T1099" s="104"/>
      <c r="U1099" s="100"/>
      <c r="V1099" s="112"/>
      <c r="AA1099" s="11"/>
    </row>
    <row r="1100" spans="1:27">
      <c r="A1100" s="99"/>
      <c r="B1100" s="100"/>
      <c r="C1100" s="100"/>
      <c r="D1100" s="101"/>
      <c r="E1100" s="101"/>
      <c r="F1100" s="101"/>
      <c r="G1100" s="101"/>
      <c r="I1100" s="104"/>
      <c r="T1100" s="104"/>
      <c r="U1100" s="100"/>
      <c r="V1100" s="112"/>
      <c r="AA1100" s="11"/>
    </row>
    <row r="1101" spans="1:27">
      <c r="A1101" s="99"/>
      <c r="B1101" s="100"/>
      <c r="C1101" s="100"/>
      <c r="D1101" s="101"/>
      <c r="E1101" s="101"/>
      <c r="F1101" s="101"/>
      <c r="G1101" s="101"/>
      <c r="I1101" s="104"/>
      <c r="T1101" s="104"/>
      <c r="U1101" s="100"/>
      <c r="V1101" s="112"/>
      <c r="AA1101" s="11"/>
    </row>
    <row r="1102" spans="1:27">
      <c r="A1102" s="99"/>
      <c r="B1102" s="100"/>
      <c r="C1102" s="100"/>
      <c r="D1102" s="101"/>
      <c r="E1102" s="101"/>
      <c r="F1102" s="101"/>
      <c r="G1102" s="101"/>
      <c r="I1102" s="104"/>
      <c r="T1102" s="104"/>
      <c r="U1102" s="100"/>
      <c r="V1102" s="112"/>
      <c r="AA1102" s="11"/>
    </row>
    <row r="1103" spans="1:27">
      <c r="A1103" s="99"/>
      <c r="B1103" s="100"/>
      <c r="C1103" s="100"/>
      <c r="D1103" s="101"/>
      <c r="E1103" s="101"/>
      <c r="F1103" s="101"/>
      <c r="G1103" s="101"/>
      <c r="I1103" s="104"/>
      <c r="T1103" s="104"/>
      <c r="U1103" s="100"/>
      <c r="V1103" s="112"/>
      <c r="AA1103" s="11"/>
    </row>
    <row r="1104" spans="1:27">
      <c r="A1104" s="99"/>
      <c r="B1104" s="100"/>
      <c r="C1104" s="100"/>
      <c r="D1104" s="101"/>
      <c r="E1104" s="101"/>
      <c r="F1104" s="101"/>
      <c r="G1104" s="101"/>
      <c r="I1104" s="104"/>
      <c r="T1104" s="104"/>
      <c r="U1104" s="100"/>
      <c r="V1104" s="112"/>
      <c r="AA1104" s="11"/>
    </row>
    <row r="1105" spans="1:27">
      <c r="A1105" s="99"/>
      <c r="B1105" s="100"/>
      <c r="C1105" s="100"/>
      <c r="D1105" s="101"/>
      <c r="E1105" s="101"/>
      <c r="F1105" s="101"/>
      <c r="G1105" s="101"/>
      <c r="I1105" s="104"/>
      <c r="T1105" s="104"/>
      <c r="U1105" s="100"/>
      <c r="V1105" s="112"/>
      <c r="AA1105" s="11"/>
    </row>
    <row r="1106" spans="1:27">
      <c r="A1106" s="99"/>
      <c r="B1106" s="100"/>
      <c r="C1106" s="100"/>
      <c r="D1106" s="101"/>
      <c r="E1106" s="101"/>
      <c r="F1106" s="101"/>
      <c r="G1106" s="101"/>
      <c r="I1106" s="104"/>
      <c r="T1106" s="104"/>
      <c r="U1106" s="100"/>
      <c r="V1106" s="112"/>
      <c r="AA1106" s="11"/>
    </row>
    <row r="1107" spans="1:27">
      <c r="A1107" s="99"/>
      <c r="B1107" s="100"/>
      <c r="C1107" s="100"/>
      <c r="D1107" s="101"/>
      <c r="E1107" s="101"/>
      <c r="F1107" s="101"/>
      <c r="G1107" s="101"/>
      <c r="I1107" s="104"/>
      <c r="T1107" s="104"/>
      <c r="U1107" s="100"/>
      <c r="V1107" s="112"/>
      <c r="AA1107" s="11"/>
    </row>
    <row r="1108" spans="1:27">
      <c r="A1108" s="99"/>
      <c r="B1108" s="100"/>
      <c r="C1108" s="100"/>
      <c r="D1108" s="101"/>
      <c r="E1108" s="101"/>
      <c r="F1108" s="101"/>
      <c r="G1108" s="101"/>
      <c r="I1108" s="104"/>
      <c r="T1108" s="104"/>
      <c r="U1108" s="100"/>
      <c r="V1108" s="112"/>
      <c r="AA1108" s="11"/>
    </row>
    <row r="1109" spans="1:27">
      <c r="A1109" s="99"/>
      <c r="B1109" s="100"/>
      <c r="C1109" s="100"/>
      <c r="D1109" s="101"/>
      <c r="E1109" s="101"/>
      <c r="F1109" s="101"/>
      <c r="G1109" s="101"/>
      <c r="I1109" s="104"/>
      <c r="T1109" s="104"/>
      <c r="U1109" s="100"/>
      <c r="V1109" s="112"/>
      <c r="AA1109" s="11"/>
    </row>
    <row r="1110" spans="1:27">
      <c r="A1110" s="99"/>
      <c r="B1110" s="100"/>
      <c r="C1110" s="100"/>
      <c r="D1110" s="101"/>
      <c r="E1110" s="101"/>
      <c r="F1110" s="101"/>
      <c r="G1110" s="101"/>
      <c r="I1110" s="104"/>
      <c r="T1110" s="104"/>
      <c r="U1110" s="100"/>
      <c r="V1110" s="112"/>
      <c r="AA1110" s="11"/>
    </row>
    <row r="1111" spans="1:27">
      <c r="A1111" s="99"/>
      <c r="B1111" s="100"/>
      <c r="C1111" s="100"/>
      <c r="D1111" s="101"/>
      <c r="E1111" s="101"/>
      <c r="F1111" s="101"/>
      <c r="G1111" s="101"/>
      <c r="I1111" s="104"/>
      <c r="T1111" s="104"/>
      <c r="U1111" s="100"/>
      <c r="V1111" s="112"/>
      <c r="AA1111" s="11"/>
    </row>
    <row r="1112" spans="1:27">
      <c r="A1112" s="99"/>
      <c r="B1112" s="100"/>
      <c r="C1112" s="100"/>
      <c r="D1112" s="101"/>
      <c r="E1112" s="101"/>
      <c r="F1112" s="101"/>
      <c r="G1112" s="101"/>
      <c r="I1112" s="104"/>
      <c r="T1112" s="104"/>
      <c r="U1112" s="100"/>
      <c r="V1112" s="112"/>
      <c r="AA1112" s="11"/>
    </row>
    <row r="1113" spans="1:27">
      <c r="A1113" s="99"/>
      <c r="B1113" s="100"/>
      <c r="C1113" s="100"/>
      <c r="D1113" s="101"/>
      <c r="E1113" s="101"/>
      <c r="F1113" s="101"/>
      <c r="G1113" s="101"/>
      <c r="I1113" s="104"/>
      <c r="T1113" s="104"/>
      <c r="U1113" s="100"/>
      <c r="V1113" s="112"/>
      <c r="AA1113" s="11"/>
    </row>
    <row r="1114" spans="1:27">
      <c r="A1114" s="99"/>
      <c r="B1114" s="100"/>
      <c r="C1114" s="100"/>
      <c r="D1114" s="101"/>
      <c r="E1114" s="101"/>
      <c r="F1114" s="101"/>
      <c r="G1114" s="101"/>
      <c r="I1114" s="104"/>
      <c r="T1114" s="104"/>
      <c r="U1114" s="100"/>
      <c r="V1114" s="112"/>
      <c r="AA1114" s="11"/>
    </row>
    <row r="1115" spans="1:27">
      <c r="A1115" s="99"/>
      <c r="B1115" s="100"/>
      <c r="C1115" s="100"/>
      <c r="D1115" s="101"/>
      <c r="E1115" s="101"/>
      <c r="F1115" s="101"/>
      <c r="G1115" s="101"/>
      <c r="I1115" s="104"/>
      <c r="T1115" s="104"/>
      <c r="U1115" s="100"/>
      <c r="V1115" s="112"/>
      <c r="AA1115" s="11"/>
    </row>
    <row r="1116" spans="1:27">
      <c r="A1116" s="99"/>
      <c r="B1116" s="100"/>
      <c r="C1116" s="100"/>
      <c r="D1116" s="101"/>
      <c r="E1116" s="101"/>
      <c r="F1116" s="101"/>
      <c r="G1116" s="101"/>
      <c r="I1116" s="104"/>
      <c r="T1116" s="104"/>
      <c r="U1116" s="100"/>
      <c r="V1116" s="112"/>
      <c r="AA1116" s="11"/>
    </row>
    <row r="1117" spans="1:27">
      <c r="A1117" s="99"/>
      <c r="B1117" s="100"/>
      <c r="C1117" s="100"/>
      <c r="D1117" s="101"/>
      <c r="E1117" s="101"/>
      <c r="F1117" s="101"/>
      <c r="G1117" s="101"/>
      <c r="I1117" s="104"/>
      <c r="T1117" s="104"/>
      <c r="U1117" s="100"/>
      <c r="V1117" s="112"/>
      <c r="AA1117" s="11"/>
    </row>
    <row r="1118" spans="1:27">
      <c r="A1118" s="99"/>
      <c r="B1118" s="100"/>
      <c r="C1118" s="100"/>
      <c r="D1118" s="101"/>
      <c r="E1118" s="101"/>
      <c r="F1118" s="101"/>
      <c r="G1118" s="101"/>
      <c r="I1118" s="104"/>
      <c r="T1118" s="104"/>
      <c r="U1118" s="100"/>
      <c r="V1118" s="112"/>
      <c r="AA1118" s="11"/>
    </row>
    <row r="1119" spans="1:27">
      <c r="A1119" s="99"/>
      <c r="B1119" s="100"/>
      <c r="C1119" s="100"/>
      <c r="D1119" s="101"/>
      <c r="E1119" s="101"/>
      <c r="F1119" s="101"/>
      <c r="G1119" s="101"/>
      <c r="I1119" s="104"/>
      <c r="T1119" s="104"/>
      <c r="U1119" s="100"/>
      <c r="V1119" s="112"/>
      <c r="AA1119" s="11"/>
    </row>
    <row r="1120" spans="1:27">
      <c r="A1120" s="99"/>
      <c r="B1120" s="100"/>
      <c r="C1120" s="100"/>
      <c r="D1120" s="101"/>
      <c r="E1120" s="101"/>
      <c r="F1120" s="101"/>
      <c r="G1120" s="101"/>
      <c r="I1120" s="104"/>
      <c r="T1120" s="104"/>
      <c r="U1120" s="100"/>
      <c r="V1120" s="112"/>
      <c r="AA1120" s="11"/>
    </row>
    <row r="1121" spans="1:27">
      <c r="A1121" s="99"/>
      <c r="B1121" s="100"/>
      <c r="C1121" s="100"/>
      <c r="D1121" s="101"/>
      <c r="E1121" s="101"/>
      <c r="F1121" s="101"/>
      <c r="G1121" s="101"/>
      <c r="I1121" s="104"/>
      <c r="T1121" s="104"/>
      <c r="U1121" s="100"/>
      <c r="V1121" s="112"/>
      <c r="AA1121" s="11"/>
    </row>
    <row r="1122" spans="1:27">
      <c r="A1122" s="99"/>
      <c r="B1122" s="100"/>
      <c r="C1122" s="100"/>
      <c r="D1122" s="101"/>
      <c r="E1122" s="101"/>
      <c r="F1122" s="101"/>
      <c r="G1122" s="101"/>
      <c r="I1122" s="104"/>
      <c r="T1122" s="104"/>
      <c r="U1122" s="100"/>
      <c r="V1122" s="112"/>
      <c r="AA1122" s="11"/>
    </row>
    <row r="1123" spans="1:27">
      <c r="A1123" s="99"/>
      <c r="B1123" s="100"/>
      <c r="C1123" s="100"/>
      <c r="D1123" s="101"/>
      <c r="E1123" s="101"/>
      <c r="F1123" s="101"/>
      <c r="G1123" s="101"/>
      <c r="I1123" s="104"/>
      <c r="T1123" s="104"/>
      <c r="U1123" s="100"/>
      <c r="V1123" s="112"/>
      <c r="AA1123" s="11"/>
    </row>
    <row r="1124" spans="1:27">
      <c r="A1124" s="99"/>
      <c r="B1124" s="100"/>
      <c r="C1124" s="100"/>
      <c r="D1124" s="101"/>
      <c r="E1124" s="101"/>
      <c r="F1124" s="101"/>
      <c r="G1124" s="101"/>
      <c r="I1124" s="104"/>
      <c r="T1124" s="104"/>
      <c r="U1124" s="100"/>
      <c r="V1124" s="112"/>
      <c r="AA1124" s="11"/>
    </row>
    <row r="1125" spans="1:27">
      <c r="A1125" s="99"/>
      <c r="B1125" s="100"/>
      <c r="C1125" s="100"/>
      <c r="D1125" s="101"/>
      <c r="E1125" s="101"/>
      <c r="F1125" s="101"/>
      <c r="G1125" s="101"/>
      <c r="I1125" s="104"/>
      <c r="T1125" s="104"/>
      <c r="U1125" s="100"/>
      <c r="V1125" s="112"/>
      <c r="AA1125" s="11"/>
    </row>
    <row r="1126" spans="1:27">
      <c r="A1126" s="99"/>
      <c r="B1126" s="100"/>
      <c r="C1126" s="100"/>
      <c r="D1126" s="101"/>
      <c r="E1126" s="101"/>
      <c r="F1126" s="101"/>
      <c r="G1126" s="101"/>
      <c r="I1126" s="104"/>
      <c r="T1126" s="104"/>
      <c r="U1126" s="100"/>
      <c r="V1126" s="112"/>
      <c r="AA1126" s="11"/>
    </row>
    <row r="1127" spans="1:27">
      <c r="A1127" s="99"/>
      <c r="B1127" s="100"/>
      <c r="C1127" s="100"/>
      <c r="D1127" s="101"/>
      <c r="E1127" s="101"/>
      <c r="F1127" s="101"/>
      <c r="G1127" s="101"/>
      <c r="I1127" s="104"/>
      <c r="T1127" s="104"/>
      <c r="U1127" s="100"/>
      <c r="V1127" s="112"/>
      <c r="AA1127" s="11"/>
    </row>
    <row r="1128" spans="1:27">
      <c r="A1128" s="99"/>
      <c r="B1128" s="100"/>
      <c r="C1128" s="100"/>
      <c r="D1128" s="101"/>
      <c r="E1128" s="101"/>
      <c r="F1128" s="101"/>
      <c r="G1128" s="101"/>
      <c r="I1128" s="104"/>
      <c r="T1128" s="104"/>
      <c r="U1128" s="100"/>
      <c r="V1128" s="112"/>
      <c r="AA1128" s="11"/>
    </row>
    <row r="1129" spans="1:27">
      <c r="A1129" s="99"/>
      <c r="B1129" s="100"/>
      <c r="C1129" s="100"/>
      <c r="D1129" s="101"/>
      <c r="E1129" s="101"/>
      <c r="F1129" s="101"/>
      <c r="G1129" s="101"/>
      <c r="I1129" s="104"/>
      <c r="T1129" s="104"/>
      <c r="U1129" s="100"/>
      <c r="V1129" s="112"/>
      <c r="AA1129" s="11"/>
    </row>
    <row r="1130" spans="1:27">
      <c r="A1130" s="99"/>
      <c r="B1130" s="100"/>
      <c r="C1130" s="100"/>
      <c r="D1130" s="101"/>
      <c r="E1130" s="101"/>
      <c r="F1130" s="101"/>
      <c r="G1130" s="101"/>
      <c r="I1130" s="104"/>
      <c r="T1130" s="104"/>
      <c r="U1130" s="100"/>
      <c r="V1130" s="112"/>
      <c r="AA1130" s="11"/>
    </row>
    <row r="1131" spans="1:27">
      <c r="A1131" s="99"/>
      <c r="B1131" s="100"/>
      <c r="C1131" s="100"/>
      <c r="D1131" s="101"/>
      <c r="E1131" s="101"/>
      <c r="F1131" s="101"/>
      <c r="G1131" s="101"/>
      <c r="I1131" s="104"/>
      <c r="T1131" s="104"/>
      <c r="U1131" s="100"/>
      <c r="V1131" s="112"/>
      <c r="AA1131" s="11"/>
    </row>
    <row r="1132" spans="1:27">
      <c r="A1132" s="99"/>
      <c r="B1132" s="100"/>
      <c r="C1132" s="100"/>
      <c r="D1132" s="101"/>
      <c r="E1132" s="101"/>
      <c r="F1132" s="101"/>
      <c r="G1132" s="101"/>
      <c r="I1132" s="104"/>
      <c r="T1132" s="104"/>
      <c r="U1132" s="100"/>
      <c r="V1132" s="112"/>
      <c r="AA1132" s="11"/>
    </row>
    <row r="1133" spans="1:27">
      <c r="A1133" s="99"/>
      <c r="B1133" s="100"/>
      <c r="C1133" s="100"/>
      <c r="D1133" s="101"/>
      <c r="E1133" s="101"/>
      <c r="F1133" s="101"/>
      <c r="G1133" s="101"/>
      <c r="I1133" s="104"/>
      <c r="T1133" s="104"/>
      <c r="U1133" s="100"/>
      <c r="V1133" s="112"/>
      <c r="AA1133" s="11"/>
    </row>
    <row r="1134" spans="1:27">
      <c r="A1134" s="99"/>
      <c r="B1134" s="100"/>
      <c r="C1134" s="100"/>
      <c r="D1134" s="101"/>
      <c r="E1134" s="101"/>
      <c r="F1134" s="101"/>
      <c r="G1134" s="101"/>
      <c r="I1134" s="104"/>
      <c r="T1134" s="104"/>
      <c r="U1134" s="100"/>
      <c r="V1134" s="112"/>
      <c r="AA1134" s="11"/>
    </row>
    <row r="1135" spans="1:27">
      <c r="A1135" s="99"/>
      <c r="B1135" s="100"/>
      <c r="C1135" s="100"/>
      <c r="D1135" s="101"/>
      <c r="E1135" s="101"/>
      <c r="F1135" s="101"/>
      <c r="G1135" s="101"/>
      <c r="I1135" s="104"/>
      <c r="T1135" s="104"/>
      <c r="U1135" s="100"/>
      <c r="V1135" s="112"/>
      <c r="AA1135" s="11"/>
    </row>
    <row r="1136" spans="1:27">
      <c r="A1136" s="99"/>
      <c r="B1136" s="100"/>
      <c r="C1136" s="100"/>
      <c r="D1136" s="101"/>
      <c r="E1136" s="101"/>
      <c r="F1136" s="101"/>
      <c r="G1136" s="101"/>
      <c r="I1136" s="104"/>
      <c r="T1136" s="104"/>
      <c r="U1136" s="100"/>
      <c r="V1136" s="112"/>
      <c r="AA1136" s="11"/>
    </row>
    <row r="1137" spans="1:27">
      <c r="A1137" s="99"/>
      <c r="B1137" s="100"/>
      <c r="C1137" s="100"/>
      <c r="D1137" s="101"/>
      <c r="E1137" s="101"/>
      <c r="F1137" s="101"/>
      <c r="G1137" s="101"/>
      <c r="I1137" s="104"/>
      <c r="T1137" s="104"/>
      <c r="U1137" s="100"/>
      <c r="V1137" s="112"/>
      <c r="AA1137" s="11"/>
    </row>
    <row r="1138" spans="1:27">
      <c r="A1138" s="99"/>
      <c r="B1138" s="100"/>
      <c r="C1138" s="100"/>
      <c r="D1138" s="101"/>
      <c r="E1138" s="101"/>
      <c r="F1138" s="101"/>
      <c r="G1138" s="101"/>
      <c r="I1138" s="104"/>
      <c r="T1138" s="104"/>
      <c r="U1138" s="100"/>
      <c r="V1138" s="112"/>
      <c r="AA1138" s="11"/>
    </row>
    <row r="1139" spans="1:27">
      <c r="A1139" s="99"/>
      <c r="B1139" s="100"/>
      <c r="C1139" s="100"/>
      <c r="D1139" s="101"/>
      <c r="E1139" s="101"/>
      <c r="F1139" s="101"/>
      <c r="G1139" s="101"/>
      <c r="I1139" s="104"/>
      <c r="T1139" s="104"/>
      <c r="U1139" s="100"/>
      <c r="V1139" s="112"/>
      <c r="AA1139" s="11"/>
    </row>
    <row r="1140" spans="1:27">
      <c r="A1140" s="99"/>
      <c r="B1140" s="100"/>
      <c r="C1140" s="100"/>
      <c r="D1140" s="101"/>
      <c r="E1140" s="101"/>
      <c r="F1140" s="101"/>
      <c r="G1140" s="101"/>
      <c r="I1140" s="104"/>
      <c r="T1140" s="104"/>
      <c r="U1140" s="100"/>
      <c r="V1140" s="112"/>
      <c r="AA1140" s="11"/>
    </row>
    <row r="1141" spans="1:27">
      <c r="A1141" s="99"/>
      <c r="B1141" s="100"/>
      <c r="C1141" s="100"/>
      <c r="D1141" s="101"/>
      <c r="E1141" s="101"/>
      <c r="F1141" s="101"/>
      <c r="G1141" s="101"/>
      <c r="I1141" s="104"/>
      <c r="T1141" s="104"/>
      <c r="U1141" s="100"/>
      <c r="V1141" s="112"/>
      <c r="AA1141" s="11"/>
    </row>
    <row r="1142" spans="1:27">
      <c r="A1142" s="99"/>
      <c r="B1142" s="100"/>
      <c r="C1142" s="100"/>
      <c r="D1142" s="101"/>
      <c r="E1142" s="101"/>
      <c r="F1142" s="101"/>
      <c r="G1142" s="101"/>
      <c r="I1142" s="104"/>
      <c r="T1142" s="104"/>
      <c r="U1142" s="100"/>
      <c r="V1142" s="112"/>
      <c r="AA1142" s="11"/>
    </row>
    <row r="1143" spans="1:27">
      <c r="A1143" s="99"/>
      <c r="B1143" s="100"/>
      <c r="C1143" s="100"/>
      <c r="D1143" s="101"/>
      <c r="E1143" s="101"/>
      <c r="F1143" s="101"/>
      <c r="G1143" s="101"/>
      <c r="I1143" s="104"/>
      <c r="T1143" s="104"/>
      <c r="U1143" s="100"/>
      <c r="V1143" s="112"/>
      <c r="AA1143" s="11"/>
    </row>
    <row r="1144" spans="1:27">
      <c r="A1144" s="99"/>
      <c r="B1144" s="100"/>
      <c r="C1144" s="100"/>
      <c r="D1144" s="101"/>
      <c r="E1144" s="101"/>
      <c r="F1144" s="101"/>
      <c r="G1144" s="101"/>
      <c r="I1144" s="104"/>
      <c r="T1144" s="104"/>
      <c r="U1144" s="100"/>
      <c r="V1144" s="112"/>
      <c r="AA1144" s="11"/>
    </row>
    <row r="1145" spans="1:27">
      <c r="A1145" s="99"/>
      <c r="B1145" s="100"/>
      <c r="C1145" s="100"/>
      <c r="D1145" s="101"/>
      <c r="E1145" s="101"/>
      <c r="F1145" s="101"/>
      <c r="G1145" s="101"/>
      <c r="I1145" s="104"/>
      <c r="T1145" s="104"/>
      <c r="U1145" s="100"/>
      <c r="V1145" s="112"/>
      <c r="AA1145" s="11"/>
    </row>
    <row r="1146" spans="1:27">
      <c r="A1146" s="99"/>
      <c r="B1146" s="100"/>
      <c r="C1146" s="100"/>
      <c r="D1146" s="101"/>
      <c r="E1146" s="101"/>
      <c r="F1146" s="101"/>
      <c r="G1146" s="101"/>
      <c r="I1146" s="104"/>
      <c r="T1146" s="104"/>
      <c r="U1146" s="100"/>
      <c r="V1146" s="112"/>
      <c r="AA1146" s="11"/>
    </row>
    <row r="1147" spans="1:27">
      <c r="A1147" s="99"/>
      <c r="B1147" s="100"/>
      <c r="C1147" s="100"/>
      <c r="D1147" s="101"/>
      <c r="E1147" s="101"/>
      <c r="F1147" s="101"/>
      <c r="G1147" s="101"/>
      <c r="I1147" s="104"/>
      <c r="T1147" s="104"/>
      <c r="U1147" s="100"/>
      <c r="V1147" s="112"/>
      <c r="AA1147" s="11"/>
    </row>
    <row r="1148" spans="1:27">
      <c r="A1148" s="99"/>
      <c r="B1148" s="100"/>
      <c r="C1148" s="100"/>
      <c r="D1148" s="101"/>
      <c r="E1148" s="101"/>
      <c r="F1148" s="101"/>
      <c r="G1148" s="101"/>
      <c r="I1148" s="104"/>
      <c r="T1148" s="104"/>
      <c r="U1148" s="100"/>
      <c r="V1148" s="112"/>
      <c r="AA1148" s="11"/>
    </row>
    <row r="1149" spans="1:27">
      <c r="A1149" s="99"/>
      <c r="B1149" s="100"/>
      <c r="C1149" s="100"/>
      <c r="D1149" s="101"/>
      <c r="E1149" s="101"/>
      <c r="F1149" s="101"/>
      <c r="G1149" s="101"/>
      <c r="I1149" s="104"/>
      <c r="T1149" s="104"/>
      <c r="U1149" s="100"/>
      <c r="V1149" s="112"/>
      <c r="AA1149" s="11"/>
    </row>
    <row r="1150" spans="1:27">
      <c r="A1150" s="99"/>
      <c r="B1150" s="100"/>
      <c r="C1150" s="100"/>
      <c r="D1150" s="101"/>
      <c r="E1150" s="101"/>
      <c r="F1150" s="101"/>
      <c r="G1150" s="101"/>
      <c r="I1150" s="104"/>
      <c r="T1150" s="104"/>
      <c r="U1150" s="100"/>
      <c r="V1150" s="112"/>
      <c r="AA1150" s="11"/>
    </row>
    <row r="1151" spans="1:27">
      <c r="A1151" s="99"/>
      <c r="B1151" s="100"/>
      <c r="C1151" s="100"/>
      <c r="D1151" s="101"/>
      <c r="E1151" s="101"/>
      <c r="F1151" s="101"/>
      <c r="G1151" s="101"/>
      <c r="I1151" s="104"/>
      <c r="T1151" s="104"/>
      <c r="U1151" s="100"/>
      <c r="V1151" s="112"/>
      <c r="AA1151" s="11"/>
    </row>
    <row r="1152" spans="1:27">
      <c r="A1152" s="99"/>
      <c r="B1152" s="100"/>
      <c r="C1152" s="100"/>
      <c r="D1152" s="101"/>
      <c r="E1152" s="101"/>
      <c r="F1152" s="101"/>
      <c r="G1152" s="101"/>
      <c r="I1152" s="104"/>
      <c r="T1152" s="104"/>
      <c r="U1152" s="100"/>
      <c r="V1152" s="112"/>
      <c r="AA1152" s="11"/>
    </row>
    <row r="1153" spans="1:27">
      <c r="A1153" s="99"/>
      <c r="B1153" s="100"/>
      <c r="C1153" s="100"/>
      <c r="D1153" s="101"/>
      <c r="E1153" s="101"/>
      <c r="F1153" s="101"/>
      <c r="G1153" s="101"/>
      <c r="I1153" s="104"/>
      <c r="T1153" s="104"/>
      <c r="U1153" s="100"/>
      <c r="V1153" s="112"/>
      <c r="AA1153" s="11"/>
    </row>
    <row r="1154" spans="1:27">
      <c r="A1154" s="99"/>
      <c r="B1154" s="100"/>
      <c r="C1154" s="100"/>
      <c r="D1154" s="101"/>
      <c r="E1154" s="101"/>
      <c r="F1154" s="101"/>
      <c r="G1154" s="101"/>
      <c r="I1154" s="104"/>
      <c r="T1154" s="104"/>
      <c r="U1154" s="100"/>
      <c r="V1154" s="112"/>
      <c r="AA1154" s="11"/>
    </row>
    <row r="1155" spans="1:27">
      <c r="A1155" s="99"/>
      <c r="B1155" s="100"/>
      <c r="C1155" s="100"/>
      <c r="D1155" s="101"/>
      <c r="E1155" s="101"/>
      <c r="F1155" s="101"/>
      <c r="G1155" s="101"/>
      <c r="I1155" s="104"/>
      <c r="T1155" s="104"/>
      <c r="U1155" s="100"/>
      <c r="V1155" s="112"/>
      <c r="AA1155" s="11"/>
    </row>
    <row r="1156" spans="1:27">
      <c r="A1156" s="99"/>
      <c r="B1156" s="100"/>
      <c r="C1156" s="100"/>
      <c r="D1156" s="101"/>
      <c r="E1156" s="101"/>
      <c r="F1156" s="101"/>
      <c r="G1156" s="101"/>
      <c r="I1156" s="104"/>
      <c r="T1156" s="104"/>
      <c r="U1156" s="100"/>
      <c r="V1156" s="112"/>
      <c r="AA1156" s="11"/>
    </row>
    <row r="1157" spans="1:27">
      <c r="A1157" s="99"/>
      <c r="B1157" s="100"/>
      <c r="C1157" s="100"/>
      <c r="D1157" s="101"/>
      <c r="E1157" s="101"/>
      <c r="F1157" s="101"/>
      <c r="G1157" s="101"/>
      <c r="I1157" s="104"/>
      <c r="T1157" s="104"/>
      <c r="U1157" s="100"/>
      <c r="V1157" s="112"/>
      <c r="AA1157" s="11"/>
    </row>
    <row r="1158" spans="1:27">
      <c r="A1158" s="99"/>
      <c r="B1158" s="100"/>
      <c r="C1158" s="100"/>
      <c r="D1158" s="101"/>
      <c r="E1158" s="101"/>
      <c r="F1158" s="101"/>
      <c r="G1158" s="101"/>
      <c r="I1158" s="104"/>
      <c r="T1158" s="104"/>
      <c r="U1158" s="100"/>
      <c r="V1158" s="112"/>
      <c r="AA1158" s="11"/>
    </row>
    <row r="1159" spans="1:27">
      <c r="A1159" s="99"/>
      <c r="B1159" s="100"/>
      <c r="C1159" s="100"/>
      <c r="D1159" s="101"/>
      <c r="E1159" s="101"/>
      <c r="F1159" s="101"/>
      <c r="G1159" s="101"/>
      <c r="I1159" s="104"/>
      <c r="T1159" s="104"/>
      <c r="U1159" s="100"/>
      <c r="V1159" s="112"/>
      <c r="AA1159" s="11"/>
    </row>
    <row r="1160" spans="1:27">
      <c r="A1160" s="99"/>
      <c r="B1160" s="100"/>
      <c r="C1160" s="100"/>
      <c r="D1160" s="101"/>
      <c r="E1160" s="101"/>
      <c r="F1160" s="101"/>
      <c r="G1160" s="101"/>
      <c r="I1160" s="104"/>
      <c r="T1160" s="104"/>
      <c r="U1160" s="100"/>
      <c r="V1160" s="112"/>
      <c r="AA1160" s="11"/>
    </row>
    <row r="1161" spans="1:27">
      <c r="A1161" s="99"/>
      <c r="B1161" s="100"/>
      <c r="C1161" s="100"/>
      <c r="D1161" s="101"/>
      <c r="E1161" s="101"/>
      <c r="F1161" s="101"/>
      <c r="G1161" s="101"/>
      <c r="I1161" s="104"/>
      <c r="T1161" s="104"/>
      <c r="U1161" s="100"/>
      <c r="V1161" s="112"/>
      <c r="AA1161" s="11"/>
    </row>
    <row r="1162" spans="1:27">
      <c r="A1162" s="99"/>
      <c r="B1162" s="100"/>
      <c r="C1162" s="100"/>
      <c r="D1162" s="101"/>
      <c r="E1162" s="101"/>
      <c r="F1162" s="101"/>
      <c r="G1162" s="101"/>
      <c r="I1162" s="104"/>
      <c r="T1162" s="104"/>
      <c r="U1162" s="100"/>
      <c r="V1162" s="112"/>
      <c r="AA1162" s="11"/>
    </row>
    <row r="1163" spans="1:27">
      <c r="A1163" s="99"/>
      <c r="B1163" s="100"/>
      <c r="C1163" s="100"/>
      <c r="D1163" s="101"/>
      <c r="E1163" s="101"/>
      <c r="F1163" s="101"/>
      <c r="G1163" s="101"/>
      <c r="I1163" s="104"/>
      <c r="T1163" s="104"/>
      <c r="U1163" s="100"/>
      <c r="V1163" s="112"/>
      <c r="AA1163" s="11"/>
    </row>
    <row r="1164" spans="1:27">
      <c r="A1164" s="99"/>
      <c r="B1164" s="100"/>
      <c r="C1164" s="100"/>
      <c r="D1164" s="101"/>
      <c r="E1164" s="101"/>
      <c r="F1164" s="101"/>
      <c r="G1164" s="101"/>
      <c r="I1164" s="104"/>
      <c r="T1164" s="104"/>
      <c r="U1164" s="100"/>
      <c r="V1164" s="112"/>
      <c r="AA1164" s="11"/>
    </row>
    <row r="1165" spans="1:27">
      <c r="A1165" s="99"/>
      <c r="B1165" s="100"/>
      <c r="C1165" s="100"/>
      <c r="D1165" s="101"/>
      <c r="E1165" s="101"/>
      <c r="F1165" s="101"/>
      <c r="G1165" s="101"/>
      <c r="I1165" s="104"/>
      <c r="T1165" s="104"/>
      <c r="U1165" s="100"/>
      <c r="V1165" s="112"/>
      <c r="AA1165" s="11"/>
    </row>
    <row r="1166" spans="1:27">
      <c r="A1166" s="99"/>
      <c r="B1166" s="100"/>
      <c r="C1166" s="100"/>
      <c r="D1166" s="101"/>
      <c r="E1166" s="101"/>
      <c r="F1166" s="101"/>
      <c r="G1166" s="101"/>
      <c r="I1166" s="104"/>
      <c r="T1166" s="104"/>
      <c r="U1166" s="100"/>
      <c r="V1166" s="112"/>
      <c r="AA1166" s="11"/>
    </row>
    <row r="1167" spans="1:27">
      <c r="A1167" s="99"/>
      <c r="B1167" s="100"/>
      <c r="C1167" s="100"/>
      <c r="D1167" s="101"/>
      <c r="E1167" s="101"/>
      <c r="F1167" s="101"/>
      <c r="G1167" s="101"/>
      <c r="I1167" s="104"/>
      <c r="T1167" s="104"/>
      <c r="U1167" s="100"/>
      <c r="V1167" s="112"/>
      <c r="AA1167" s="11"/>
    </row>
    <row r="1168" spans="1:27">
      <c r="A1168" s="99"/>
      <c r="B1168" s="100"/>
      <c r="C1168" s="100"/>
      <c r="D1168" s="101"/>
      <c r="E1168" s="101"/>
      <c r="F1168" s="101"/>
      <c r="G1168" s="101"/>
      <c r="I1168" s="104"/>
      <c r="T1168" s="104"/>
      <c r="U1168" s="100"/>
      <c r="V1168" s="112"/>
      <c r="AA1168" s="11"/>
    </row>
    <row r="1169" spans="1:27">
      <c r="A1169" s="99"/>
      <c r="B1169" s="100"/>
      <c r="C1169" s="100"/>
      <c r="D1169" s="101"/>
      <c r="E1169" s="101"/>
      <c r="F1169" s="101"/>
      <c r="G1169" s="101"/>
      <c r="I1169" s="104"/>
      <c r="T1169" s="104"/>
      <c r="U1169" s="100"/>
      <c r="V1169" s="112"/>
      <c r="AA1169" s="11"/>
    </row>
    <row r="1170" spans="1:27">
      <c r="A1170" s="99"/>
      <c r="B1170" s="100"/>
      <c r="C1170" s="100"/>
      <c r="D1170" s="101"/>
      <c r="E1170" s="101"/>
      <c r="F1170" s="101"/>
      <c r="G1170" s="101"/>
      <c r="I1170" s="104"/>
      <c r="T1170" s="104"/>
      <c r="U1170" s="100"/>
      <c r="V1170" s="112"/>
      <c r="AA1170" s="11"/>
    </row>
    <row r="1171" spans="1:27">
      <c r="A1171" s="99"/>
      <c r="B1171" s="100"/>
      <c r="C1171" s="100"/>
      <c r="D1171" s="101"/>
      <c r="E1171" s="101"/>
      <c r="F1171" s="101"/>
      <c r="G1171" s="101"/>
      <c r="I1171" s="104"/>
      <c r="T1171" s="104"/>
      <c r="U1171" s="100"/>
      <c r="V1171" s="112"/>
      <c r="AA1171" s="11"/>
    </row>
    <row r="1172" spans="1:27">
      <c r="A1172" s="99"/>
      <c r="B1172" s="100"/>
      <c r="C1172" s="100"/>
      <c r="D1172" s="101"/>
      <c r="E1172" s="101"/>
      <c r="F1172" s="101"/>
      <c r="G1172" s="101"/>
      <c r="I1172" s="104"/>
      <c r="T1172" s="104"/>
      <c r="U1172" s="100"/>
      <c r="V1172" s="112"/>
      <c r="AA1172" s="11"/>
    </row>
    <row r="1173" spans="1:27">
      <c r="A1173" s="99"/>
      <c r="B1173" s="100"/>
      <c r="C1173" s="100"/>
      <c r="D1173" s="101"/>
      <c r="E1173" s="101"/>
      <c r="F1173" s="101"/>
      <c r="G1173" s="101"/>
      <c r="I1173" s="104"/>
      <c r="T1173" s="104"/>
      <c r="U1173" s="100"/>
      <c r="V1173" s="112"/>
      <c r="AA1173" s="11"/>
    </row>
    <row r="1174" spans="1:27">
      <c r="A1174" s="99"/>
      <c r="B1174" s="100"/>
      <c r="C1174" s="100"/>
      <c r="D1174" s="101"/>
      <c r="E1174" s="101"/>
      <c r="F1174" s="101"/>
      <c r="G1174" s="101"/>
      <c r="I1174" s="104"/>
      <c r="T1174" s="104"/>
      <c r="U1174" s="100"/>
      <c r="V1174" s="112"/>
      <c r="AA1174" s="11"/>
    </row>
    <row r="1175" spans="1:27">
      <c r="A1175" s="99"/>
      <c r="B1175" s="100"/>
      <c r="C1175" s="100"/>
      <c r="D1175" s="101"/>
      <c r="E1175" s="101"/>
      <c r="F1175" s="101"/>
      <c r="G1175" s="101"/>
      <c r="I1175" s="104"/>
      <c r="T1175" s="104"/>
      <c r="U1175" s="100"/>
      <c r="V1175" s="112"/>
      <c r="AA1175" s="11"/>
    </row>
    <row r="1176" spans="1:27">
      <c r="A1176" s="99"/>
      <c r="B1176" s="100"/>
      <c r="C1176" s="100"/>
      <c r="D1176" s="101"/>
      <c r="E1176" s="101"/>
      <c r="F1176" s="101"/>
      <c r="G1176" s="101"/>
      <c r="I1176" s="104"/>
      <c r="T1176" s="104"/>
      <c r="U1176" s="100"/>
      <c r="V1176" s="112"/>
      <c r="AA1176" s="11"/>
    </row>
    <row r="1177" spans="1:27">
      <c r="A1177" s="99"/>
      <c r="B1177" s="100"/>
      <c r="C1177" s="100"/>
      <c r="D1177" s="101"/>
      <c r="E1177" s="101"/>
      <c r="F1177" s="101"/>
      <c r="G1177" s="101"/>
      <c r="I1177" s="104"/>
      <c r="T1177" s="104"/>
      <c r="U1177" s="100"/>
      <c r="V1177" s="112"/>
      <c r="AA1177" s="11"/>
    </row>
    <row r="1178" spans="1:27">
      <c r="A1178" s="99"/>
      <c r="B1178" s="100"/>
      <c r="C1178" s="100"/>
      <c r="D1178" s="101"/>
      <c r="E1178" s="101"/>
      <c r="F1178" s="101"/>
      <c r="G1178" s="101"/>
      <c r="I1178" s="104"/>
      <c r="T1178" s="104"/>
      <c r="U1178" s="100"/>
      <c r="V1178" s="112"/>
      <c r="AA1178" s="11"/>
    </row>
    <row r="1179" spans="1:27">
      <c r="A1179" s="99"/>
      <c r="B1179" s="100"/>
      <c r="C1179" s="100"/>
      <c r="D1179" s="101"/>
      <c r="E1179" s="101"/>
      <c r="F1179" s="101"/>
      <c r="G1179" s="101"/>
      <c r="I1179" s="104"/>
      <c r="T1179" s="104"/>
      <c r="U1179" s="100"/>
      <c r="V1179" s="112"/>
      <c r="AA1179" s="11"/>
    </row>
    <row r="1180" spans="1:27">
      <c r="A1180" s="99"/>
      <c r="B1180" s="100"/>
      <c r="C1180" s="100"/>
      <c r="D1180" s="101"/>
      <c r="E1180" s="101"/>
      <c r="F1180" s="101"/>
      <c r="G1180" s="101"/>
      <c r="I1180" s="104"/>
      <c r="T1180" s="104"/>
      <c r="U1180" s="100"/>
      <c r="V1180" s="112"/>
      <c r="AA1180" s="11"/>
    </row>
    <row r="1181" spans="1:27">
      <c r="A1181" s="99"/>
      <c r="B1181" s="100"/>
      <c r="C1181" s="100"/>
      <c r="D1181" s="101"/>
      <c r="E1181" s="101"/>
      <c r="F1181" s="101"/>
      <c r="G1181" s="101"/>
      <c r="I1181" s="104"/>
      <c r="T1181" s="104"/>
      <c r="U1181" s="100"/>
      <c r="V1181" s="112"/>
      <c r="AA1181" s="11"/>
    </row>
    <row r="1182" spans="1:27">
      <c r="A1182" s="99"/>
      <c r="B1182" s="100"/>
      <c r="C1182" s="100"/>
      <c r="D1182" s="101"/>
      <c r="E1182" s="101"/>
      <c r="F1182" s="101"/>
      <c r="G1182" s="101"/>
      <c r="I1182" s="104"/>
      <c r="T1182" s="104"/>
      <c r="U1182" s="100"/>
      <c r="V1182" s="112"/>
      <c r="AA1182" s="11"/>
    </row>
    <row r="1183" spans="1:27">
      <c r="A1183" s="99"/>
      <c r="B1183" s="100"/>
      <c r="C1183" s="100"/>
      <c r="D1183" s="101"/>
      <c r="E1183" s="101"/>
      <c r="F1183" s="101"/>
      <c r="G1183" s="101"/>
      <c r="I1183" s="104"/>
      <c r="T1183" s="104"/>
      <c r="U1183" s="100"/>
      <c r="V1183" s="112"/>
      <c r="AA1183" s="11"/>
    </row>
    <row r="1184" spans="1:27">
      <c r="A1184" s="99"/>
      <c r="B1184" s="100"/>
      <c r="C1184" s="100"/>
      <c r="D1184" s="101"/>
      <c r="E1184" s="101"/>
      <c r="F1184" s="101"/>
      <c r="G1184" s="101"/>
      <c r="I1184" s="104"/>
      <c r="T1184" s="104"/>
      <c r="U1184" s="100"/>
      <c r="V1184" s="112"/>
      <c r="AA1184" s="11"/>
    </row>
    <row r="1185" spans="1:27">
      <c r="A1185" s="99"/>
      <c r="B1185" s="100"/>
      <c r="C1185" s="100"/>
      <c r="D1185" s="101"/>
      <c r="E1185" s="101"/>
      <c r="F1185" s="101"/>
      <c r="G1185" s="101"/>
      <c r="I1185" s="104"/>
      <c r="T1185" s="104"/>
      <c r="U1185" s="100"/>
      <c r="V1185" s="112"/>
      <c r="AA1185" s="11"/>
    </row>
    <row r="1186" spans="1:27">
      <c r="A1186" s="99"/>
      <c r="B1186" s="100"/>
      <c r="C1186" s="100"/>
      <c r="D1186" s="101"/>
      <c r="E1186" s="101"/>
      <c r="F1186" s="101"/>
      <c r="G1186" s="101"/>
      <c r="I1186" s="104"/>
      <c r="T1186" s="104"/>
      <c r="U1186" s="100"/>
      <c r="V1186" s="112"/>
      <c r="AA1186" s="11"/>
    </row>
    <row r="1187" spans="1:27">
      <c r="A1187" s="99"/>
      <c r="B1187" s="100"/>
      <c r="C1187" s="100"/>
      <c r="D1187" s="101"/>
      <c r="E1187" s="101"/>
      <c r="F1187" s="101"/>
      <c r="G1187" s="101"/>
      <c r="I1187" s="104"/>
      <c r="T1187" s="104"/>
      <c r="U1187" s="100"/>
      <c r="V1187" s="112"/>
      <c r="AA1187" s="11"/>
    </row>
    <row r="1188" spans="1:27">
      <c r="A1188" s="99"/>
      <c r="B1188" s="100"/>
      <c r="C1188" s="100"/>
      <c r="D1188" s="101"/>
      <c r="E1188" s="101"/>
      <c r="F1188" s="101"/>
      <c r="G1188" s="101"/>
      <c r="I1188" s="104"/>
      <c r="T1188" s="104"/>
      <c r="U1188" s="100"/>
      <c r="V1188" s="112"/>
      <c r="AA1188" s="11"/>
    </row>
    <row r="1189" spans="1:27">
      <c r="A1189" s="99"/>
      <c r="B1189" s="100"/>
      <c r="C1189" s="100"/>
      <c r="D1189" s="101"/>
      <c r="E1189" s="101"/>
      <c r="F1189" s="101"/>
      <c r="G1189" s="101"/>
      <c r="I1189" s="104"/>
      <c r="T1189" s="104"/>
      <c r="U1189" s="100"/>
      <c r="V1189" s="112"/>
      <c r="AA1189" s="11"/>
    </row>
    <row r="1190" spans="1:27"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</sheetData>
  <sortState xmlns:xlrd2="http://schemas.microsoft.com/office/spreadsheetml/2017/richdata2" ref="A2:AD1301">
    <sortCondition ref="T2:T1301"/>
  </sortState>
  <phoneticPr fontId="23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139</v>
      </c>
    </row>
    <row r="3" spans="1:10" ht="15">
      <c r="A3" s="57" t="s">
        <v>149</v>
      </c>
    </row>
    <row r="4" spans="1:10" ht="15">
      <c r="A4" s="98" t="s">
        <v>159</v>
      </c>
    </row>
    <row r="5" spans="1:10" ht="15">
      <c r="A5" s="98" t="s">
        <v>182</v>
      </c>
    </row>
    <row r="6" spans="1:10">
      <c r="A6" s="58"/>
    </row>
    <row r="7" spans="1:10" ht="15.4">
      <c r="A7" s="114" t="s">
        <v>214</v>
      </c>
      <c r="H7" s="115" t="s">
        <v>177</v>
      </c>
    </row>
    <row r="8" spans="1:10">
      <c r="A8" s="11" t="b">
        <v>1</v>
      </c>
    </row>
    <row r="9" spans="1:10" ht="13.15">
      <c r="A9" s="11"/>
      <c r="H9" s="102" t="s">
        <v>178</v>
      </c>
      <c r="I9" s="103" t="s">
        <v>179</v>
      </c>
      <c r="J9" s="103" t="s">
        <v>180</v>
      </c>
    </row>
    <row r="10" spans="1:10" ht="15">
      <c r="A10" s="18" t="s">
        <v>43</v>
      </c>
      <c r="D10" s="17" t="s">
        <v>44</v>
      </c>
      <c r="H10" s="99" t="s">
        <v>183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99" t="s">
        <v>236</v>
      </c>
      <c r="I11" s="3">
        <v>3.5</v>
      </c>
      <c r="J11" s="3">
        <v>3.5</v>
      </c>
    </row>
    <row r="12" spans="1:10" ht="15">
      <c r="D12" s="11" t="s">
        <v>53</v>
      </c>
      <c r="H12" s="99" t="s">
        <v>184</v>
      </c>
      <c r="I12" s="3">
        <v>1</v>
      </c>
      <c r="J12" s="3">
        <v>1</v>
      </c>
    </row>
    <row r="13" spans="1:10" ht="15">
      <c r="D13" s="2" t="s">
        <v>42</v>
      </c>
      <c r="H13" s="99" t="s">
        <v>185</v>
      </c>
      <c r="I13" s="3">
        <v>0</v>
      </c>
      <c r="J13" s="3">
        <v>1</v>
      </c>
    </row>
    <row r="14" spans="1:10" ht="15">
      <c r="D14" s="11" t="s">
        <v>54</v>
      </c>
      <c r="H14" s="99" t="s">
        <v>181</v>
      </c>
      <c r="I14" s="3">
        <v>3.5</v>
      </c>
      <c r="J14" s="3">
        <v>3.5</v>
      </c>
    </row>
    <row r="16" spans="1:10" ht="13.9">
      <c r="A16" s="116" t="s">
        <v>49</v>
      </c>
      <c r="H16" s="115" t="s">
        <v>199</v>
      </c>
    </row>
    <row r="17" spans="1:11">
      <c r="A17" s="2" t="s">
        <v>50</v>
      </c>
    </row>
    <row r="18" spans="1:11" ht="13.15">
      <c r="A18" s="11" t="s">
        <v>48</v>
      </c>
      <c r="H18" s="102" t="s">
        <v>178</v>
      </c>
      <c r="I18" s="103" t="s">
        <v>179</v>
      </c>
      <c r="J18" s="103" t="s">
        <v>180</v>
      </c>
    </row>
    <row r="19" spans="1:11">
      <c r="H19" s="99" t="s">
        <v>200</v>
      </c>
      <c r="I19" s="3">
        <v>0.05</v>
      </c>
      <c r="J19" s="3">
        <v>20</v>
      </c>
    </row>
    <row r="20" spans="1:11" ht="13.9">
      <c r="A20" s="117" t="s">
        <v>61</v>
      </c>
    </row>
    <row r="21" spans="1:11">
      <c r="A21" s="23" t="b">
        <v>0</v>
      </c>
      <c r="H21" s="99" t="s">
        <v>201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5" t="s">
        <v>202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1" t="s">
        <v>206</v>
      </c>
      <c r="I26" s="111"/>
    </row>
    <row r="27" spans="1:11">
      <c r="A27" s="11"/>
      <c r="H27" s="99" t="s">
        <v>163</v>
      </c>
      <c r="I27" s="100">
        <v>5.0999999999999996</v>
      </c>
    </row>
    <row r="28" spans="1:11" ht="13.9">
      <c r="A28" s="117" t="s">
        <v>162</v>
      </c>
      <c r="H28" s="99" t="s">
        <v>203</v>
      </c>
      <c r="I28" s="3">
        <v>6.7999999999999996E-3</v>
      </c>
      <c r="K28" s="3"/>
    </row>
    <row r="29" spans="1:11">
      <c r="A29" s="11" t="b">
        <v>0</v>
      </c>
      <c r="H29" s="99" t="s">
        <v>204</v>
      </c>
      <c r="I29" s="3">
        <v>500</v>
      </c>
      <c r="J29" s="99" t="s">
        <v>205</v>
      </c>
    </row>
    <row r="31" spans="1:11">
      <c r="A31" s="18" t="s">
        <v>43</v>
      </c>
      <c r="B31" s="99" t="s">
        <v>160</v>
      </c>
    </row>
    <row r="33" spans="1:2">
      <c r="A33" s="18" t="s">
        <v>44</v>
      </c>
      <c r="B33" s="99" t="s">
        <v>161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heckBox3">
          <controlPr defaultSize="0" autoLine="0" linkedCell="A29" r:id="rId5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4" name="CheckBox3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3" r:id="rId8" name="CheckBox1">
          <controlPr autoLine="0" linkedCell="A8" r:id="rId9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8" name="Check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Q21"/>
  <sheetViews>
    <sheetView workbookViewId="0">
      <selection activeCell="C5" sqref="C5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7" ht="15">
      <c r="A1" s="48" t="s">
        <v>129</v>
      </c>
    </row>
    <row r="2" spans="1:17" ht="15">
      <c r="A2" s="48"/>
    </row>
    <row r="3" spans="1:17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7" ht="39.75" thickBot="1">
      <c r="A4" s="6" t="s">
        <v>80</v>
      </c>
      <c r="B4" s="7" t="s">
        <v>109</v>
      </c>
      <c r="C4" s="28" t="s">
        <v>92</v>
      </c>
      <c r="D4" s="28" t="s">
        <v>93</v>
      </c>
      <c r="E4" s="28" t="s">
        <v>94</v>
      </c>
      <c r="F4" s="28" t="s">
        <v>134</v>
      </c>
      <c r="G4" s="28" t="s">
        <v>95</v>
      </c>
      <c r="H4" s="28" t="s">
        <v>121</v>
      </c>
      <c r="I4" s="28" t="s">
        <v>118</v>
      </c>
      <c r="K4" s="6" t="s">
        <v>119</v>
      </c>
    </row>
    <row r="5" spans="1:17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160">
        <v>2000</v>
      </c>
      <c r="H5" s="160">
        <v>2000000</v>
      </c>
      <c r="I5" s="49">
        <f>H5*$K$5/1000000</f>
        <v>6.8</v>
      </c>
      <c r="K5" s="131">
        <v>3.4</v>
      </c>
      <c r="L5" s="26" t="s">
        <v>120</v>
      </c>
      <c r="P5" s="99"/>
      <c r="Q5" s="161"/>
    </row>
    <row r="6" spans="1:17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171" t="s">
        <v>276</v>
      </c>
      <c r="G6" s="172">
        <v>1000</v>
      </c>
      <c r="H6" s="172">
        <v>100000</v>
      </c>
      <c r="I6" s="49">
        <f>H6*$K$5/1000000</f>
        <v>0.34</v>
      </c>
      <c r="K6" s="26" t="s">
        <v>123</v>
      </c>
    </row>
    <row r="7" spans="1:17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102</v>
      </c>
      <c r="G7" s="51">
        <v>475</v>
      </c>
      <c r="H7" s="51">
        <v>190000</v>
      </c>
      <c r="I7" s="49">
        <f t="shared" ref="I7:I16" si="0">H7*$K$5/1000000</f>
        <v>0.64600000000000002</v>
      </c>
    </row>
    <row r="8" spans="1:17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103</v>
      </c>
      <c r="G8" s="51">
        <v>240</v>
      </c>
      <c r="H8" s="51">
        <v>95000</v>
      </c>
      <c r="I8" s="49">
        <f t="shared" si="0"/>
        <v>0.32300000000000001</v>
      </c>
    </row>
    <row r="9" spans="1:17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104</v>
      </c>
      <c r="G9" s="51">
        <v>150</v>
      </c>
      <c r="H9" s="51">
        <v>20000</v>
      </c>
      <c r="I9" s="49">
        <f t="shared" si="0"/>
        <v>6.8000000000000005E-2</v>
      </c>
      <c r="K9" s="2" t="s">
        <v>1</v>
      </c>
      <c r="L9" s="2"/>
      <c r="M9" s="3"/>
      <c r="N9" s="2"/>
      <c r="O9" s="2"/>
    </row>
    <row r="10" spans="1:17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105</v>
      </c>
      <c r="G10" s="51">
        <v>75</v>
      </c>
      <c r="H10" s="51">
        <v>16000</v>
      </c>
      <c r="I10" s="49">
        <f t="shared" si="0"/>
        <v>5.4399999999999997E-2</v>
      </c>
      <c r="K10" s="4"/>
      <c r="L10" s="2" t="s">
        <v>2</v>
      </c>
      <c r="M10" s="3"/>
      <c r="N10" s="2"/>
      <c r="O10" s="2"/>
    </row>
    <row r="11" spans="1:17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106</v>
      </c>
      <c r="G11" s="51">
        <v>40</v>
      </c>
      <c r="H11" s="51">
        <v>5600</v>
      </c>
      <c r="I11" s="49">
        <f t="shared" si="0"/>
        <v>1.9040000000000001E-2</v>
      </c>
      <c r="K11" s="5"/>
      <c r="L11" s="26" t="s">
        <v>110</v>
      </c>
      <c r="M11" s="3"/>
      <c r="N11" s="2"/>
      <c r="O11" s="2"/>
    </row>
    <row r="12" spans="1:17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1.0540000000000001E-2</v>
      </c>
    </row>
    <row r="13" spans="1:17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4">
        <v>2000</v>
      </c>
      <c r="I13" s="49">
        <f t="shared" si="0"/>
        <v>6.7999999999999996E-3</v>
      </c>
    </row>
    <row r="14" spans="1:17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7.8200000000000006E-3</v>
      </c>
    </row>
    <row r="15" spans="1:17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107</v>
      </c>
      <c r="G15" s="51">
        <v>1</v>
      </c>
      <c r="H15" s="51">
        <v>1200</v>
      </c>
      <c r="I15" s="49">
        <f t="shared" si="0"/>
        <v>4.0800000000000003E-3</v>
      </c>
    </row>
    <row r="16" spans="1:17" ht="13.15" thickBot="1">
      <c r="A16" s="99" t="s">
        <v>227</v>
      </c>
      <c r="B16" s="100">
        <v>12</v>
      </c>
      <c r="C16" s="149">
        <v>11</v>
      </c>
      <c r="D16" s="150">
        <v>95</v>
      </c>
      <c r="E16" s="150">
        <v>1700</v>
      </c>
      <c r="F16" s="148" t="s">
        <v>102</v>
      </c>
      <c r="G16" s="150">
        <v>1000</v>
      </c>
      <c r="H16" s="150">
        <v>20000</v>
      </c>
      <c r="I16" s="151">
        <f t="shared" si="0"/>
        <v>6.8000000000000005E-2</v>
      </c>
    </row>
    <row r="18" spans="1:8">
      <c r="A18" s="26" t="s">
        <v>108</v>
      </c>
      <c r="H18" s="26" t="s">
        <v>122</v>
      </c>
    </row>
    <row r="19" spans="1:8">
      <c r="H19" s="26" t="s">
        <v>138</v>
      </c>
    </row>
    <row r="20" spans="1:8">
      <c r="A20" s="55" t="s">
        <v>143</v>
      </c>
    </row>
    <row r="21" spans="1:8">
      <c r="A21" s="26" t="s">
        <v>96</v>
      </c>
    </row>
  </sheetData>
  <phoneticPr fontId="33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5" sqref="N5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28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07" customWidth="1"/>
    <col min="17" max="17" width="7.140625" style="99" customWidth="1"/>
    <col min="18" max="18" width="9.140625" style="99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216</v>
      </c>
      <c r="D1" s="29" t="s">
        <v>166</v>
      </c>
      <c r="E1" s="30" t="s">
        <v>167</v>
      </c>
      <c r="F1" s="61" t="s">
        <v>152</v>
      </c>
      <c r="G1" s="62" t="s">
        <v>153</v>
      </c>
      <c r="H1" s="105" t="s">
        <v>186</v>
      </c>
      <c r="I1" s="63" t="s">
        <v>60</v>
      </c>
      <c r="J1" s="64" t="s">
        <v>150</v>
      </c>
      <c r="K1" s="63" t="s">
        <v>154</v>
      </c>
      <c r="L1" s="64" t="s">
        <v>150</v>
      </c>
      <c r="M1" s="63" t="s">
        <v>155</v>
      </c>
      <c r="N1" s="64" t="s">
        <v>150</v>
      </c>
      <c r="O1" s="64"/>
      <c r="P1" s="6" t="s">
        <v>17</v>
      </c>
    </row>
    <row r="2" spans="1:17">
      <c r="A2" s="65" t="s">
        <v>282</v>
      </c>
      <c r="B2" s="66" t="s">
        <v>283</v>
      </c>
      <c r="D2" s="66" t="s">
        <v>175</v>
      </c>
      <c r="F2" s="67" t="s">
        <v>230</v>
      </c>
      <c r="G2" s="67" t="s">
        <v>230</v>
      </c>
      <c r="H2" s="67" t="s">
        <v>230</v>
      </c>
      <c r="I2" s="68">
        <v>6.1361549345811324E-7</v>
      </c>
      <c r="J2" s="67" t="s">
        <v>230</v>
      </c>
      <c r="K2" s="68">
        <v>7.3077730170226757E-2</v>
      </c>
      <c r="L2" s="67" t="s">
        <v>230</v>
      </c>
      <c r="M2" s="68">
        <v>2.5816230568657188</v>
      </c>
      <c r="N2" s="67" t="s">
        <v>230</v>
      </c>
      <c r="P2" s="106" t="s">
        <v>187</v>
      </c>
    </row>
    <row r="3" spans="1:17">
      <c r="A3" s="65" t="s">
        <v>282</v>
      </c>
      <c r="B3" s="66" t="s">
        <v>283</v>
      </c>
      <c r="D3" s="66" t="s">
        <v>175</v>
      </c>
      <c r="F3" s="67" t="s">
        <v>230</v>
      </c>
      <c r="G3" s="67" t="s">
        <v>230</v>
      </c>
      <c r="H3" s="67" t="s">
        <v>230</v>
      </c>
      <c r="I3" s="68">
        <v>6.1361549345811315E-6</v>
      </c>
      <c r="J3" s="67" t="s">
        <v>230</v>
      </c>
      <c r="K3" s="68">
        <v>0.73077730170226751</v>
      </c>
      <c r="L3" s="67" t="s">
        <v>230</v>
      </c>
      <c r="M3" s="68">
        <v>25.81623056865719</v>
      </c>
      <c r="N3" s="67" t="s">
        <v>286</v>
      </c>
      <c r="P3" s="106" t="s">
        <v>188</v>
      </c>
    </row>
    <row r="4" spans="1:17">
      <c r="A4" s="65" t="s">
        <v>284</v>
      </c>
      <c r="B4" s="66" t="s">
        <v>285</v>
      </c>
      <c r="D4" s="66" t="s">
        <v>281</v>
      </c>
      <c r="E4" s="128">
        <v>4.57</v>
      </c>
      <c r="F4" s="67" t="s">
        <v>230</v>
      </c>
      <c r="G4" s="67" t="s">
        <v>230</v>
      </c>
      <c r="H4" s="67" t="s">
        <v>230</v>
      </c>
      <c r="I4" s="68">
        <v>2.9063781661866222E-2</v>
      </c>
      <c r="J4" s="67" t="s">
        <v>286</v>
      </c>
      <c r="K4" s="68">
        <v>1.6026411631469237</v>
      </c>
      <c r="L4" s="67" t="s">
        <v>286</v>
      </c>
      <c r="M4" s="68">
        <v>67.650730402459828</v>
      </c>
      <c r="N4" s="67" t="s">
        <v>286</v>
      </c>
    </row>
    <row r="5" spans="1:17">
      <c r="A5" s="65" t="s">
        <v>284</v>
      </c>
      <c r="B5" s="66" t="s">
        <v>285</v>
      </c>
      <c r="D5" s="66" t="s">
        <v>281</v>
      </c>
      <c r="E5" s="128">
        <v>4.57</v>
      </c>
      <c r="F5" s="67" t="s">
        <v>230</v>
      </c>
      <c r="G5" s="67" t="s">
        <v>230</v>
      </c>
      <c r="H5" s="67" t="s">
        <v>230</v>
      </c>
      <c r="I5" s="68">
        <v>0.29063781661866217</v>
      </c>
      <c r="J5" s="67" t="s">
        <v>286</v>
      </c>
      <c r="K5" s="68">
        <v>16.026411631469234</v>
      </c>
      <c r="L5" s="67" t="s">
        <v>286</v>
      </c>
      <c r="M5" s="68">
        <v>676.50730402459828</v>
      </c>
      <c r="N5" s="67" t="s">
        <v>286</v>
      </c>
      <c r="P5" s="106" t="s">
        <v>189</v>
      </c>
    </row>
    <row r="6" spans="1:17">
      <c r="P6" s="106" t="s">
        <v>190</v>
      </c>
    </row>
    <row r="7" spans="1:17">
      <c r="P7" s="106" t="s">
        <v>191</v>
      </c>
    </row>
    <row r="8" spans="1:17" ht="17.25">
      <c r="P8" s="106" t="s">
        <v>192</v>
      </c>
    </row>
    <row r="9" spans="1:17" ht="17.25">
      <c r="P9" s="106" t="s">
        <v>193</v>
      </c>
    </row>
    <row r="11" spans="1:17" ht="13.15">
      <c r="P11" s="15" t="s">
        <v>194</v>
      </c>
    </row>
    <row r="12" spans="1:17">
      <c r="P12" s="106" t="s">
        <v>195</v>
      </c>
      <c r="Q12" s="100">
        <f>COUNTIF(F2:F50000,"Yes")</f>
        <v>0</v>
      </c>
    </row>
    <row r="13" spans="1:17">
      <c r="P13" s="106" t="s">
        <v>191</v>
      </c>
      <c r="Q13" s="100">
        <f>COUNTIF(J2:J50000,"Yes")</f>
        <v>2</v>
      </c>
    </row>
    <row r="14" spans="1:17" ht="15">
      <c r="P14" s="106" t="s">
        <v>228</v>
      </c>
      <c r="Q14" s="100">
        <f>COUNTIF(N2:N50000,"Yes")</f>
        <v>3</v>
      </c>
    </row>
    <row r="15" spans="1:17" ht="15">
      <c r="P15" s="106" t="s">
        <v>229</v>
      </c>
      <c r="Q15" s="100">
        <f>COUNTIF(M2:M50000,"&gt;=60")</f>
        <v>2</v>
      </c>
    </row>
    <row r="16" spans="1:17">
      <c r="P16" s="106" t="s">
        <v>196</v>
      </c>
      <c r="Q16" s="100">
        <f>COUNTIF(G2:G50000,"Yes")</f>
        <v>0</v>
      </c>
    </row>
    <row r="17" spans="16:18">
      <c r="Q17" s="100">
        <f>COUNT(I2:I50000)</f>
        <v>4</v>
      </c>
      <c r="R17" s="108"/>
    </row>
    <row r="18" spans="16:18">
      <c r="R18" s="108"/>
    </row>
    <row r="19" spans="16:18">
      <c r="P19" s="106" t="s">
        <v>197</v>
      </c>
      <c r="Q19" s="108"/>
      <c r="R19" s="108"/>
    </row>
    <row r="20" spans="16:18">
      <c r="Q20" s="108"/>
      <c r="R20" s="108"/>
    </row>
    <row r="21" spans="16:18">
      <c r="Q21" s="108"/>
      <c r="R21" s="108"/>
    </row>
    <row r="22" spans="16:18">
      <c r="Q22" s="108"/>
      <c r="R22" s="108"/>
    </row>
    <row r="23" spans="16:18">
      <c r="Q23" s="108"/>
      <c r="R23" s="108"/>
    </row>
    <row r="24" spans="16:18">
      <c r="Q24" s="108"/>
      <c r="R24" s="108"/>
    </row>
    <row r="25" spans="16:18">
      <c r="Q25" s="108"/>
      <c r="R25" s="108"/>
    </row>
    <row r="26" spans="16:18">
      <c r="Q26" s="108"/>
      <c r="R26" s="108"/>
    </row>
    <row r="27" spans="16:18">
      <c r="Q27" s="108"/>
      <c r="R27" s="108"/>
    </row>
    <row r="28" spans="16:18">
      <c r="Q28" s="108"/>
      <c r="R28" s="108"/>
    </row>
    <row r="29" spans="16:18">
      <c r="Q29" s="108"/>
      <c r="R29" s="108"/>
    </row>
    <row r="33" spans="2:18">
      <c r="O33" s="65"/>
      <c r="P33" s="99"/>
    </row>
    <row r="34" spans="2:18">
      <c r="O34" s="65"/>
      <c r="P34" s="99"/>
    </row>
    <row r="35" spans="2:18">
      <c r="O35" s="65"/>
      <c r="P35" s="99"/>
    </row>
    <row r="36" spans="2:18">
      <c r="O36" s="65"/>
      <c r="P36" s="99"/>
    </row>
    <row r="37" spans="2:18">
      <c r="O37" s="65"/>
      <c r="P37" s="99"/>
    </row>
    <row r="38" spans="2:18">
      <c r="O38" s="65"/>
      <c r="P38" s="99"/>
    </row>
    <row r="39" spans="2:18">
      <c r="O39" s="65"/>
      <c r="P39" s="99"/>
    </row>
    <row r="40" spans="2:18">
      <c r="O40" s="65"/>
      <c r="P40" s="99"/>
    </row>
    <row r="41" spans="2:18">
      <c r="O41" s="65"/>
      <c r="P41" s="99"/>
    </row>
    <row r="42" spans="2:18">
      <c r="O42" s="65"/>
      <c r="P42" s="99"/>
    </row>
    <row r="43" spans="2:18">
      <c r="O43" s="65"/>
      <c r="P43" s="99"/>
    </row>
    <row r="44" spans="2:18">
      <c r="O44" s="65"/>
      <c r="P44" s="99"/>
    </row>
    <row r="45" spans="2:18">
      <c r="O45" s="65"/>
      <c r="P45" s="99"/>
    </row>
    <row r="46" spans="2:18">
      <c r="I46" s="69"/>
      <c r="O46" s="65"/>
      <c r="P46" s="99"/>
    </row>
    <row r="47" spans="2:18" s="135" customFormat="1">
      <c r="B47" s="136"/>
      <c r="C47" s="136"/>
      <c r="D47" s="136"/>
      <c r="E47" s="137"/>
      <c r="F47" s="138"/>
      <c r="G47" s="138"/>
      <c r="H47" s="138"/>
      <c r="I47" s="139"/>
      <c r="J47" s="138"/>
      <c r="K47" s="139"/>
      <c r="L47" s="138"/>
      <c r="M47" s="139"/>
      <c r="N47" s="138"/>
      <c r="P47" s="126"/>
      <c r="Q47" s="126"/>
      <c r="R47" s="126"/>
    </row>
    <row r="48" spans="2:18" s="135" customFormat="1">
      <c r="B48" s="136"/>
      <c r="C48" s="136"/>
      <c r="D48" s="136"/>
      <c r="E48" s="137"/>
      <c r="F48" s="138"/>
      <c r="G48" s="138"/>
      <c r="H48" s="138"/>
      <c r="I48" s="139"/>
      <c r="J48" s="138"/>
      <c r="K48" s="139"/>
      <c r="L48" s="138"/>
      <c r="M48" s="139"/>
      <c r="N48" s="138"/>
      <c r="P48" s="126"/>
      <c r="Q48" s="126"/>
      <c r="R48" s="126"/>
    </row>
    <row r="49" spans="2:18" s="135" customFormat="1">
      <c r="B49" s="136"/>
      <c r="C49" s="136"/>
      <c r="D49" s="136"/>
      <c r="E49" s="137"/>
      <c r="F49" s="138"/>
      <c r="G49" s="138"/>
      <c r="H49" s="138"/>
      <c r="I49" s="139"/>
      <c r="J49" s="138"/>
      <c r="K49" s="139"/>
      <c r="L49" s="138"/>
      <c r="M49" s="139"/>
      <c r="N49" s="138"/>
      <c r="P49" s="126"/>
      <c r="Q49" s="126"/>
      <c r="R49" s="126"/>
    </row>
    <row r="50" spans="2:18" s="135" customFormat="1">
      <c r="B50" s="136"/>
      <c r="C50" s="136"/>
      <c r="D50" s="136"/>
      <c r="E50" s="137"/>
      <c r="F50" s="138"/>
      <c r="G50" s="138"/>
      <c r="H50" s="138"/>
      <c r="I50" s="139"/>
      <c r="J50" s="138"/>
      <c r="K50" s="139"/>
      <c r="L50" s="138"/>
      <c r="M50" s="139"/>
      <c r="N50" s="138"/>
      <c r="P50" s="126"/>
      <c r="Q50" s="126"/>
      <c r="R50" s="126"/>
    </row>
    <row r="51" spans="2:18" s="135" customFormat="1">
      <c r="B51" s="136"/>
      <c r="C51" s="136"/>
      <c r="D51" s="136"/>
      <c r="E51" s="137"/>
      <c r="F51" s="138"/>
      <c r="G51" s="138"/>
      <c r="H51" s="138"/>
      <c r="I51" s="139"/>
      <c r="J51" s="138"/>
      <c r="K51" s="139"/>
      <c r="L51" s="138"/>
      <c r="M51" s="139"/>
      <c r="N51" s="138"/>
      <c r="P51" s="126"/>
      <c r="Q51" s="126"/>
      <c r="R51" s="126"/>
    </row>
    <row r="52" spans="2:18" s="135" customFormat="1">
      <c r="B52" s="136"/>
      <c r="C52" s="136"/>
      <c r="D52" s="136"/>
      <c r="E52" s="137"/>
      <c r="F52" s="138"/>
      <c r="G52" s="138"/>
      <c r="H52" s="138"/>
      <c r="I52" s="139"/>
      <c r="J52" s="138"/>
      <c r="K52" s="139"/>
      <c r="L52" s="138"/>
      <c r="M52" s="139"/>
      <c r="N52" s="138"/>
      <c r="P52" s="126"/>
      <c r="Q52" s="126"/>
      <c r="R52" s="126"/>
    </row>
    <row r="53" spans="2:18" s="135" customFormat="1">
      <c r="B53" s="136"/>
      <c r="C53" s="136"/>
      <c r="D53" s="136"/>
      <c r="E53" s="137"/>
      <c r="F53" s="138"/>
      <c r="G53" s="138"/>
      <c r="H53" s="138"/>
      <c r="I53" s="139"/>
      <c r="J53" s="138"/>
      <c r="K53" s="139"/>
      <c r="L53" s="138"/>
      <c r="M53" s="139"/>
      <c r="N53" s="138"/>
      <c r="P53" s="126"/>
      <c r="Q53" s="126"/>
      <c r="R53" s="126"/>
    </row>
    <row r="54" spans="2:18">
      <c r="O54" s="65"/>
      <c r="P54" s="99"/>
    </row>
    <row r="55" spans="2:18">
      <c r="O55" s="65"/>
      <c r="P55" s="99"/>
    </row>
    <row r="56" spans="2:18">
      <c r="O56" s="65"/>
      <c r="P56" s="99"/>
    </row>
    <row r="57" spans="2:18">
      <c r="O57" s="65"/>
      <c r="P57" s="99"/>
    </row>
    <row r="58" spans="2:18">
      <c r="O58" s="65"/>
      <c r="P58" s="99"/>
    </row>
    <row r="59" spans="2:18">
      <c r="O59" s="65"/>
      <c r="P59" s="99"/>
    </row>
    <row r="60" spans="2:18">
      <c r="O60" s="65"/>
      <c r="P60" s="99"/>
    </row>
    <row r="61" spans="2:18">
      <c r="O61" s="65"/>
      <c r="P61" s="99"/>
    </row>
    <row r="62" spans="2:18">
      <c r="O62" s="65"/>
      <c r="P62" s="99"/>
    </row>
    <row r="63" spans="2:18">
      <c r="O63" s="65"/>
      <c r="P63" s="99"/>
    </row>
    <row r="64" spans="2:18">
      <c r="O64" s="65"/>
      <c r="P64" s="99"/>
    </row>
    <row r="65" spans="15:16">
      <c r="O65" s="65"/>
      <c r="P65" s="99"/>
    </row>
    <row r="66" spans="15:16">
      <c r="O66" s="65"/>
      <c r="P66" s="99"/>
    </row>
    <row r="67" spans="15:16">
      <c r="O67" s="65"/>
      <c r="P67" s="99"/>
    </row>
    <row r="68" spans="15:16">
      <c r="O68" s="65"/>
      <c r="P68" s="99"/>
    </row>
    <row r="69" spans="15:16">
      <c r="O69" s="65"/>
      <c r="P69" s="99"/>
    </row>
    <row r="70" spans="15:16">
      <c r="O70" s="65"/>
      <c r="P70" s="99"/>
    </row>
    <row r="71" spans="15:16">
      <c r="O71" s="65"/>
      <c r="P71" s="99"/>
    </row>
    <row r="72" spans="15:16">
      <c r="O72" s="65"/>
      <c r="P72" s="99"/>
    </row>
    <row r="73" spans="15:16">
      <c r="O73" s="65"/>
      <c r="P73" s="99"/>
    </row>
    <row r="74" spans="15:16">
      <c r="O74" s="65"/>
      <c r="P74" s="99"/>
    </row>
    <row r="75" spans="15:16">
      <c r="O75" s="65"/>
      <c r="P75" s="99"/>
    </row>
    <row r="76" spans="15:16">
      <c r="O76" s="65"/>
      <c r="P76" s="99"/>
    </row>
    <row r="77" spans="15:16">
      <c r="O77" s="65"/>
      <c r="P77" s="99"/>
    </row>
    <row r="78" spans="15:16">
      <c r="O78" s="65"/>
      <c r="P78" s="99"/>
    </row>
    <row r="79" spans="15:16">
      <c r="O79" s="65"/>
      <c r="P79" s="99"/>
    </row>
    <row r="80" spans="15:16">
      <c r="O80" s="65"/>
      <c r="P80" s="99"/>
    </row>
    <row r="81" spans="15:16">
      <c r="O81" s="65"/>
      <c r="P81" s="99"/>
    </row>
    <row r="82" spans="15:16">
      <c r="O82" s="65"/>
      <c r="P82" s="99"/>
    </row>
    <row r="83" spans="15:16">
      <c r="O83" s="65"/>
      <c r="P83" s="99"/>
    </row>
    <row r="84" spans="15:16">
      <c r="O84" s="65"/>
      <c r="P84" s="99"/>
    </row>
    <row r="85" spans="15:16">
      <c r="O85" s="65"/>
      <c r="P85" s="99"/>
    </row>
    <row r="86" spans="15:16">
      <c r="O86" s="65"/>
      <c r="P86" s="99"/>
    </row>
    <row r="87" spans="15:16">
      <c r="O87" s="65"/>
      <c r="P87" s="99"/>
    </row>
    <row r="88" spans="15:16">
      <c r="O88" s="65"/>
      <c r="P88" s="99"/>
    </row>
    <row r="89" spans="15:16">
      <c r="O89" s="65"/>
      <c r="P89" s="99"/>
    </row>
    <row r="90" spans="15:16">
      <c r="O90" s="65"/>
      <c r="P90" s="99"/>
    </row>
    <row r="91" spans="15:16">
      <c r="O91" s="65"/>
      <c r="P91" s="99"/>
    </row>
    <row r="92" spans="15:16">
      <c r="O92" s="65"/>
      <c r="P92" s="99"/>
    </row>
    <row r="93" spans="15:16">
      <c r="O93" s="65"/>
      <c r="P93" s="99"/>
    </row>
    <row r="94" spans="15:16">
      <c r="O94" s="65"/>
      <c r="P94" s="99"/>
    </row>
    <row r="95" spans="15:16">
      <c r="O95" s="65"/>
      <c r="P95" s="99"/>
    </row>
    <row r="96" spans="15:16">
      <c r="O96" s="65"/>
      <c r="P96" s="99"/>
    </row>
    <row r="97" spans="9:16">
      <c r="O97" s="65"/>
      <c r="P97" s="99"/>
    </row>
    <row r="98" spans="9:16">
      <c r="O98" s="65"/>
      <c r="P98" s="99"/>
    </row>
    <row r="99" spans="9:16">
      <c r="O99" s="65"/>
      <c r="P99" s="99"/>
    </row>
    <row r="100" spans="9:16">
      <c r="O100" s="65"/>
      <c r="P100" s="99"/>
    </row>
    <row r="101" spans="9:16">
      <c r="O101" s="65"/>
      <c r="P101" s="99"/>
    </row>
    <row r="102" spans="9:16">
      <c r="O102" s="65"/>
      <c r="P102" s="99"/>
    </row>
    <row r="103" spans="9:16">
      <c r="O103" s="65"/>
      <c r="P103" s="99"/>
    </row>
    <row r="104" spans="9:16">
      <c r="O104" s="65"/>
      <c r="P104" s="99"/>
    </row>
    <row r="105" spans="9:16">
      <c r="I105" s="69"/>
      <c r="O105" s="65"/>
      <c r="P105" s="99"/>
    </row>
    <row r="106" spans="9:16">
      <c r="O106" s="65"/>
      <c r="P106" s="99"/>
    </row>
    <row r="107" spans="9:16">
      <c r="O107" s="65"/>
      <c r="P107" s="99"/>
    </row>
    <row r="108" spans="9:16">
      <c r="O108" s="65"/>
      <c r="P108" s="99"/>
    </row>
    <row r="109" spans="9:16">
      <c r="O109" s="65"/>
      <c r="P109" s="99"/>
    </row>
    <row r="110" spans="9:16">
      <c r="O110" s="65"/>
      <c r="P110" s="99"/>
    </row>
    <row r="111" spans="9:16">
      <c r="O111" s="65"/>
      <c r="P111" s="99"/>
    </row>
    <row r="112" spans="9:16">
      <c r="O112" s="65"/>
      <c r="P112" s="99"/>
    </row>
    <row r="113" spans="15:16">
      <c r="O113" s="65"/>
      <c r="P113" s="99"/>
    </row>
    <row r="114" spans="15:16">
      <c r="O114" s="65"/>
      <c r="P114" s="99"/>
    </row>
    <row r="115" spans="15:16">
      <c r="O115" s="65"/>
      <c r="P115" s="99"/>
    </row>
    <row r="116" spans="15:16">
      <c r="O116" s="65"/>
      <c r="P116" s="99"/>
    </row>
    <row r="117" spans="15:16">
      <c r="O117" s="65"/>
      <c r="P117" s="99"/>
    </row>
    <row r="118" spans="15:16">
      <c r="O118" s="65"/>
      <c r="P118" s="99"/>
    </row>
    <row r="119" spans="15:16">
      <c r="O119" s="65"/>
      <c r="P119" s="99"/>
    </row>
    <row r="120" spans="15:16">
      <c r="O120" s="65"/>
      <c r="P120" s="99"/>
    </row>
    <row r="121" spans="15:16">
      <c r="O121" s="65"/>
      <c r="P121" s="99"/>
    </row>
    <row r="122" spans="15:16">
      <c r="O122" s="65"/>
      <c r="P122" s="99"/>
    </row>
    <row r="123" spans="15:16">
      <c r="O123" s="65"/>
      <c r="P123" s="99"/>
    </row>
    <row r="124" spans="15:16">
      <c r="O124" s="65"/>
      <c r="P124" s="99"/>
    </row>
    <row r="125" spans="15:16">
      <c r="O125" s="65"/>
      <c r="P125" s="99"/>
    </row>
    <row r="126" spans="15:16">
      <c r="O126" s="65"/>
      <c r="P126" s="99"/>
    </row>
    <row r="127" spans="15:16">
      <c r="O127" s="65"/>
      <c r="P127" s="99"/>
    </row>
    <row r="128" spans="15:16">
      <c r="O128" s="65"/>
      <c r="P128" s="99"/>
    </row>
    <row r="129" spans="15:16">
      <c r="O129" s="65"/>
      <c r="P129" s="99"/>
    </row>
    <row r="130" spans="15:16">
      <c r="O130" s="65"/>
      <c r="P130" s="99"/>
    </row>
    <row r="131" spans="15:16">
      <c r="O131" s="65"/>
      <c r="P131" s="99"/>
    </row>
    <row r="132" spans="15:16">
      <c r="O132" s="65"/>
      <c r="P132" s="99"/>
    </row>
    <row r="133" spans="15:16">
      <c r="O133" s="65"/>
      <c r="P133" s="99"/>
    </row>
    <row r="134" spans="15:16">
      <c r="O134" s="65"/>
      <c r="P134" s="99"/>
    </row>
    <row r="135" spans="15:16">
      <c r="O135" s="65"/>
      <c r="P135" s="99"/>
    </row>
    <row r="136" spans="15:16">
      <c r="O136" s="65"/>
      <c r="P136" s="99"/>
    </row>
    <row r="137" spans="15:16">
      <c r="O137" s="65"/>
      <c r="P137" s="99"/>
    </row>
    <row r="138" spans="15:16">
      <c r="O138" s="65"/>
      <c r="P138" s="99"/>
    </row>
    <row r="139" spans="15:16">
      <c r="O139" s="65"/>
      <c r="P139" s="99"/>
    </row>
    <row r="140" spans="15:16">
      <c r="O140" s="65"/>
      <c r="P140" s="99"/>
    </row>
    <row r="141" spans="15:16">
      <c r="O141" s="65"/>
      <c r="P141" s="99"/>
    </row>
    <row r="142" spans="15:16">
      <c r="O142" s="65"/>
      <c r="P142" s="99"/>
    </row>
    <row r="143" spans="15:16">
      <c r="O143" s="65"/>
      <c r="P143" s="99"/>
    </row>
    <row r="144" spans="15:16">
      <c r="O144" s="65"/>
      <c r="P144" s="99"/>
    </row>
    <row r="145" spans="15:16">
      <c r="O145" s="65"/>
      <c r="P145" s="99"/>
    </row>
    <row r="146" spans="15:16">
      <c r="O146" s="65"/>
      <c r="P146" s="99"/>
    </row>
    <row r="147" spans="15:16">
      <c r="O147" s="65"/>
      <c r="P147" s="99"/>
    </row>
    <row r="148" spans="15:16">
      <c r="O148" s="65"/>
      <c r="P148" s="99"/>
    </row>
    <row r="149" spans="15:16">
      <c r="O149" s="65"/>
      <c r="P149" s="99"/>
    </row>
    <row r="150" spans="15:16">
      <c r="O150" s="65"/>
      <c r="P150" s="99"/>
    </row>
    <row r="151" spans="15:16">
      <c r="O151" s="65"/>
      <c r="P151" s="99"/>
    </row>
    <row r="152" spans="15:16">
      <c r="O152" s="65"/>
      <c r="P152" s="99"/>
    </row>
    <row r="153" spans="15:16">
      <c r="O153" s="65"/>
      <c r="P153" s="99"/>
    </row>
    <row r="154" spans="15:16">
      <c r="O154" s="65"/>
      <c r="P154" s="99"/>
    </row>
    <row r="155" spans="15:16">
      <c r="O155" s="65"/>
      <c r="P155" s="99"/>
    </row>
    <row r="156" spans="15:16">
      <c r="O156" s="65"/>
      <c r="P156" s="99"/>
    </row>
    <row r="157" spans="15:16">
      <c r="O157" s="65"/>
      <c r="P157" s="99"/>
    </row>
    <row r="158" spans="15:16">
      <c r="O158" s="65"/>
      <c r="P158" s="99"/>
    </row>
    <row r="159" spans="15:16">
      <c r="O159" s="65"/>
      <c r="P159" s="99"/>
    </row>
    <row r="160" spans="15:16">
      <c r="O160" s="65"/>
      <c r="P160" s="99"/>
    </row>
    <row r="161" spans="1:16">
      <c r="O161" s="65"/>
      <c r="P161" s="99"/>
    </row>
    <row r="162" spans="1:16">
      <c r="O162" s="65"/>
      <c r="P162" s="99"/>
    </row>
    <row r="163" spans="1:16">
      <c r="O163" s="65"/>
      <c r="P163" s="99"/>
    </row>
    <row r="164" spans="1:16">
      <c r="O164" s="65"/>
      <c r="P164" s="99"/>
    </row>
    <row r="165" spans="1:16">
      <c r="O165" s="65"/>
      <c r="P165" s="99"/>
    </row>
    <row r="166" spans="1:16">
      <c r="O166" s="65"/>
      <c r="P166" s="99"/>
    </row>
    <row r="167" spans="1:16">
      <c r="O167" s="65"/>
      <c r="P167" s="99"/>
    </row>
    <row r="168" spans="1:16">
      <c r="O168" s="65"/>
      <c r="P168" s="99"/>
    </row>
    <row r="169" spans="1:16">
      <c r="O169" s="65"/>
      <c r="P169" s="99"/>
    </row>
    <row r="170" spans="1:16">
      <c r="O170" s="65"/>
      <c r="P170" s="99"/>
    </row>
    <row r="171" spans="1:16">
      <c r="O171" s="65"/>
      <c r="P171" s="99"/>
    </row>
    <row r="172" spans="1:16">
      <c r="O172" s="65"/>
      <c r="P172" s="99"/>
    </row>
    <row r="173" spans="1:16">
      <c r="O173" s="65"/>
      <c r="P173" s="99"/>
    </row>
    <row r="174" spans="1:16">
      <c r="A174" s="70"/>
      <c r="B174" s="71"/>
      <c r="C174" s="71"/>
      <c r="D174" s="71"/>
      <c r="E174" s="129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99"/>
    </row>
    <row r="175" spans="1:16">
      <c r="O175" s="65"/>
      <c r="P175" s="99"/>
    </row>
    <row r="176" spans="1:16">
      <c r="O176" s="65"/>
      <c r="P176" s="99"/>
    </row>
    <row r="177" spans="9:16">
      <c r="O177" s="65"/>
      <c r="P177" s="99"/>
    </row>
    <row r="178" spans="9:16">
      <c r="O178" s="65"/>
      <c r="P178" s="99"/>
    </row>
    <row r="179" spans="9:16">
      <c r="O179" s="65"/>
      <c r="P179" s="99"/>
    </row>
    <row r="180" spans="9:16">
      <c r="O180" s="65"/>
      <c r="P180" s="99"/>
    </row>
    <row r="181" spans="9:16">
      <c r="I181" s="69"/>
      <c r="O181" s="65"/>
      <c r="P181" s="99"/>
    </row>
    <row r="182" spans="9:16">
      <c r="O182" s="65"/>
      <c r="P182" s="99"/>
    </row>
    <row r="183" spans="9:16">
      <c r="O183" s="65"/>
      <c r="P183" s="99"/>
    </row>
    <row r="184" spans="9:16">
      <c r="O184" s="65"/>
      <c r="P184" s="99"/>
    </row>
    <row r="185" spans="9:16">
      <c r="O185" s="65"/>
      <c r="P185" s="99"/>
    </row>
    <row r="186" spans="9:16">
      <c r="O186" s="65"/>
      <c r="P186" s="99"/>
    </row>
    <row r="187" spans="9:16">
      <c r="O187" s="65"/>
      <c r="P187" s="99"/>
    </row>
    <row r="188" spans="9:16">
      <c r="O188" s="65"/>
      <c r="P188" s="99"/>
    </row>
    <row r="189" spans="9:16">
      <c r="O189" s="65"/>
      <c r="P189" s="99"/>
    </row>
    <row r="190" spans="9:16">
      <c r="O190" s="65"/>
      <c r="P190" s="99"/>
    </row>
    <row r="191" spans="9:16">
      <c r="O191" s="65"/>
      <c r="P191" s="99"/>
    </row>
    <row r="192" spans="9:16">
      <c r="O192" s="65"/>
      <c r="P192" s="99"/>
    </row>
    <row r="193" spans="15:16">
      <c r="O193" s="65"/>
      <c r="P193" s="99"/>
    </row>
    <row r="194" spans="15:16">
      <c r="O194" s="65"/>
      <c r="P194" s="99"/>
    </row>
    <row r="195" spans="15:16">
      <c r="O195" s="65"/>
      <c r="P195" s="99"/>
    </row>
    <row r="196" spans="15:16">
      <c r="O196" s="65"/>
      <c r="P196" s="99"/>
    </row>
    <row r="197" spans="15:16">
      <c r="O197" s="65"/>
      <c r="P197" s="99"/>
    </row>
    <row r="198" spans="15:16">
      <c r="O198" s="65"/>
      <c r="P198" s="99"/>
    </row>
    <row r="199" spans="15:16">
      <c r="O199" s="65"/>
      <c r="P199" s="99"/>
    </row>
    <row r="200" spans="15:16">
      <c r="O200" s="65"/>
      <c r="P200" s="99"/>
    </row>
    <row r="201" spans="15:16">
      <c r="O201" s="65"/>
      <c r="P201" s="99"/>
    </row>
    <row r="202" spans="15:16">
      <c r="O202" s="65"/>
      <c r="P202" s="99"/>
    </row>
    <row r="203" spans="15:16">
      <c r="O203" s="65"/>
      <c r="P203" s="99"/>
    </row>
    <row r="204" spans="15:16">
      <c r="O204" s="65"/>
      <c r="P204" s="99"/>
    </row>
    <row r="205" spans="15:16">
      <c r="O205" s="65"/>
      <c r="P205" s="99"/>
    </row>
    <row r="206" spans="15:16">
      <c r="O206" s="65"/>
      <c r="P206" s="99"/>
    </row>
    <row r="207" spans="15:16">
      <c r="O207" s="65"/>
      <c r="P207" s="99"/>
    </row>
    <row r="208" spans="15:16">
      <c r="O208" s="65"/>
      <c r="P208" s="99"/>
    </row>
    <row r="209" spans="15:16">
      <c r="O209" s="65"/>
      <c r="P209" s="99"/>
    </row>
    <row r="210" spans="15:16">
      <c r="O210" s="65"/>
      <c r="P210" s="99"/>
    </row>
    <row r="211" spans="15:16">
      <c r="O211" s="65"/>
      <c r="P211" s="99"/>
    </row>
    <row r="212" spans="15:16">
      <c r="O212" s="65"/>
      <c r="P212" s="99"/>
    </row>
    <row r="213" spans="15:16">
      <c r="O213" s="65"/>
      <c r="P213" s="99"/>
    </row>
    <row r="214" spans="15:16">
      <c r="O214" s="65"/>
      <c r="P214" s="99"/>
    </row>
    <row r="215" spans="15:16">
      <c r="O215" s="65"/>
      <c r="P215" s="99"/>
    </row>
    <row r="216" spans="15:16">
      <c r="O216" s="65"/>
      <c r="P216" s="99"/>
    </row>
    <row r="217" spans="15:16">
      <c r="O217" s="65"/>
      <c r="P217" s="99"/>
    </row>
    <row r="218" spans="15:16">
      <c r="O218" s="65"/>
      <c r="P218" s="99"/>
    </row>
    <row r="219" spans="15:16">
      <c r="O219" s="65"/>
      <c r="P219" s="99"/>
    </row>
    <row r="220" spans="15:16">
      <c r="O220" s="65"/>
      <c r="P220" s="99"/>
    </row>
    <row r="221" spans="15:16">
      <c r="O221" s="65"/>
      <c r="P221" s="99"/>
    </row>
    <row r="222" spans="15:16">
      <c r="O222" s="65"/>
      <c r="P222" s="99"/>
    </row>
    <row r="223" spans="15:16">
      <c r="O223" s="65"/>
      <c r="P223" s="99"/>
    </row>
    <row r="224" spans="15:16">
      <c r="O224" s="65"/>
      <c r="P224" s="99"/>
    </row>
    <row r="225" spans="9:16">
      <c r="I225" s="69"/>
      <c r="O225" s="65"/>
      <c r="P225" s="99"/>
    </row>
    <row r="226" spans="9:16">
      <c r="O226" s="65"/>
      <c r="P226" s="99"/>
    </row>
    <row r="227" spans="9:16">
      <c r="O227" s="65"/>
      <c r="P227" s="99"/>
    </row>
    <row r="228" spans="9:16">
      <c r="O228" s="65"/>
      <c r="P228" s="99"/>
    </row>
    <row r="229" spans="9:16">
      <c r="O229" s="65"/>
      <c r="P229" s="99"/>
    </row>
    <row r="230" spans="9:16">
      <c r="O230" s="65"/>
      <c r="P230" s="99"/>
    </row>
    <row r="231" spans="9:16">
      <c r="O231" s="65"/>
      <c r="P231" s="99"/>
    </row>
    <row r="232" spans="9:16">
      <c r="O232" s="65"/>
      <c r="P232" s="99"/>
    </row>
    <row r="233" spans="9:16">
      <c r="O233" s="65"/>
      <c r="P233" s="99"/>
    </row>
    <row r="234" spans="9:16">
      <c r="O234" s="65"/>
      <c r="P234" s="99"/>
    </row>
    <row r="235" spans="9:16">
      <c r="O235" s="65"/>
      <c r="P235" s="99"/>
    </row>
    <row r="236" spans="9:16">
      <c r="O236" s="65"/>
      <c r="P236" s="99"/>
    </row>
    <row r="237" spans="9:16">
      <c r="O237" s="65"/>
      <c r="P237" s="99"/>
    </row>
    <row r="238" spans="9:16">
      <c r="O238" s="65"/>
      <c r="P238" s="99"/>
    </row>
    <row r="239" spans="9:16">
      <c r="O239" s="65"/>
      <c r="P239" s="99"/>
    </row>
    <row r="240" spans="9:16">
      <c r="O240" s="65"/>
      <c r="P240" s="99"/>
    </row>
    <row r="241" spans="15:16">
      <c r="O241" s="65"/>
      <c r="P241" s="99"/>
    </row>
    <row r="242" spans="15:16">
      <c r="O242" s="65"/>
      <c r="P242" s="99"/>
    </row>
    <row r="243" spans="15:16">
      <c r="O243" s="65"/>
      <c r="P243" s="99"/>
    </row>
    <row r="244" spans="15:16">
      <c r="O244" s="65"/>
      <c r="P244" s="99"/>
    </row>
    <row r="245" spans="15:16">
      <c r="O245" s="65"/>
      <c r="P245" s="99"/>
    </row>
    <row r="246" spans="15:16">
      <c r="O246" s="65"/>
      <c r="P246" s="99"/>
    </row>
    <row r="247" spans="15:16">
      <c r="O247" s="65"/>
      <c r="P247" s="99"/>
    </row>
    <row r="248" spans="15:16">
      <c r="O248" s="65"/>
      <c r="P248" s="99"/>
    </row>
    <row r="249" spans="15:16">
      <c r="O249" s="65"/>
      <c r="P249" s="99"/>
    </row>
    <row r="250" spans="15:16">
      <c r="O250" s="65"/>
      <c r="P250" s="99"/>
    </row>
    <row r="251" spans="15:16">
      <c r="O251" s="65"/>
      <c r="P251" s="99"/>
    </row>
    <row r="252" spans="15:16">
      <c r="O252" s="65"/>
      <c r="P252" s="99"/>
    </row>
    <row r="253" spans="15:16">
      <c r="O253" s="65"/>
      <c r="P253" s="99"/>
    </row>
    <row r="254" spans="15:16">
      <c r="O254" s="65"/>
      <c r="P254" s="99"/>
    </row>
    <row r="255" spans="15:16">
      <c r="O255" s="65"/>
      <c r="P255" s="99"/>
    </row>
    <row r="256" spans="15:16">
      <c r="O256" s="65"/>
      <c r="P256" s="99"/>
    </row>
    <row r="257" spans="15:16">
      <c r="O257" s="65"/>
      <c r="P257" s="99"/>
    </row>
    <row r="258" spans="15:16">
      <c r="O258" s="65"/>
      <c r="P258" s="99"/>
    </row>
    <row r="259" spans="15:16">
      <c r="O259" s="65"/>
      <c r="P259" s="99"/>
    </row>
    <row r="260" spans="15:16">
      <c r="O260" s="65"/>
      <c r="P260" s="99"/>
    </row>
    <row r="261" spans="15:16">
      <c r="O261" s="65"/>
      <c r="P261" s="99"/>
    </row>
    <row r="262" spans="15:16">
      <c r="O262" s="65"/>
      <c r="P262" s="99"/>
    </row>
    <row r="263" spans="15:16">
      <c r="O263" s="65"/>
      <c r="P263" s="99"/>
    </row>
    <row r="264" spans="15:16">
      <c r="O264" s="65"/>
      <c r="P264" s="99"/>
    </row>
    <row r="265" spans="15:16">
      <c r="O265" s="65"/>
      <c r="P265" s="99"/>
    </row>
    <row r="266" spans="15:16">
      <c r="O266" s="65"/>
      <c r="P266" s="99"/>
    </row>
    <row r="267" spans="15:16">
      <c r="O267" s="65"/>
      <c r="P267" s="99"/>
    </row>
    <row r="268" spans="15:16">
      <c r="O268" s="65"/>
      <c r="P268" s="99"/>
    </row>
    <row r="269" spans="15:16">
      <c r="O269" s="65"/>
      <c r="P269" s="99"/>
    </row>
    <row r="270" spans="15:16">
      <c r="O270" s="65"/>
      <c r="P270" s="99"/>
    </row>
    <row r="271" spans="15:16">
      <c r="O271" s="65"/>
      <c r="P271" s="99"/>
    </row>
    <row r="272" spans="15:16">
      <c r="O272" s="65"/>
      <c r="P272" s="99"/>
    </row>
    <row r="273" spans="9:16">
      <c r="O273" s="65"/>
      <c r="P273" s="99"/>
    </row>
    <row r="274" spans="9:16">
      <c r="O274" s="65"/>
      <c r="P274" s="99"/>
    </row>
    <row r="275" spans="9:16">
      <c r="O275" s="65"/>
      <c r="P275" s="99"/>
    </row>
    <row r="276" spans="9:16">
      <c r="O276" s="65"/>
      <c r="P276" s="99"/>
    </row>
    <row r="277" spans="9:16">
      <c r="O277" s="65"/>
      <c r="P277" s="99"/>
    </row>
    <row r="278" spans="9:16">
      <c r="O278" s="65"/>
      <c r="P278" s="99"/>
    </row>
    <row r="279" spans="9:16">
      <c r="O279" s="65"/>
      <c r="P279" s="99"/>
    </row>
    <row r="280" spans="9:16">
      <c r="O280" s="65"/>
      <c r="P280" s="99"/>
    </row>
    <row r="281" spans="9:16">
      <c r="O281" s="65"/>
      <c r="P281" s="99"/>
    </row>
    <row r="282" spans="9:16">
      <c r="O282" s="65"/>
      <c r="P282" s="99"/>
    </row>
    <row r="283" spans="9:16">
      <c r="I283" s="69"/>
      <c r="O283" s="65"/>
      <c r="P283" s="99"/>
    </row>
    <row r="284" spans="9:16">
      <c r="O284" s="65"/>
      <c r="P284" s="99"/>
    </row>
    <row r="285" spans="9:16">
      <c r="O285" s="65"/>
      <c r="P285" s="99"/>
    </row>
    <row r="286" spans="9:16">
      <c r="O286" s="65"/>
      <c r="P286" s="99"/>
    </row>
    <row r="287" spans="9:16">
      <c r="O287" s="65"/>
      <c r="P287" s="99"/>
    </row>
    <row r="288" spans="9:16">
      <c r="O288" s="65"/>
      <c r="P288" s="99"/>
    </row>
    <row r="289" spans="15:16">
      <c r="O289" s="65"/>
      <c r="P289" s="99"/>
    </row>
    <row r="290" spans="15:16">
      <c r="O290" s="65"/>
      <c r="P290" s="99"/>
    </row>
    <row r="291" spans="15:16">
      <c r="O291" s="65"/>
      <c r="P291" s="99"/>
    </row>
    <row r="292" spans="15:16">
      <c r="O292" s="65"/>
      <c r="P292" s="99"/>
    </row>
    <row r="293" spans="15:16">
      <c r="O293" s="65"/>
      <c r="P293" s="99"/>
    </row>
    <row r="294" spans="15:16">
      <c r="O294" s="65"/>
      <c r="P294" s="99"/>
    </row>
    <row r="295" spans="15:16">
      <c r="O295" s="65"/>
      <c r="P295" s="99"/>
    </row>
    <row r="296" spans="15:16">
      <c r="O296" s="65"/>
      <c r="P296" s="99"/>
    </row>
    <row r="297" spans="15:16">
      <c r="O297" s="65"/>
      <c r="P297" s="99"/>
    </row>
    <row r="298" spans="15:16">
      <c r="O298" s="65"/>
      <c r="P298" s="99"/>
    </row>
    <row r="299" spans="15:16">
      <c r="O299" s="65"/>
      <c r="P299" s="99"/>
    </row>
    <row r="300" spans="15:16">
      <c r="O300" s="65"/>
      <c r="P300" s="99"/>
    </row>
    <row r="301" spans="15:16">
      <c r="O301" s="65"/>
      <c r="P301" s="99"/>
    </row>
    <row r="302" spans="15:16">
      <c r="O302" s="65"/>
      <c r="P302" s="99"/>
    </row>
    <row r="303" spans="15:16">
      <c r="O303" s="65"/>
      <c r="P303" s="99"/>
    </row>
    <row r="304" spans="15:16">
      <c r="O304" s="65"/>
      <c r="P304" s="99"/>
    </row>
    <row r="305" spans="9:16">
      <c r="O305" s="65"/>
      <c r="P305" s="99"/>
    </row>
    <row r="306" spans="9:16">
      <c r="O306" s="65"/>
      <c r="P306" s="99"/>
    </row>
    <row r="307" spans="9:16">
      <c r="O307" s="65"/>
      <c r="P307" s="99"/>
    </row>
    <row r="308" spans="9:16">
      <c r="O308" s="65"/>
      <c r="P308" s="99"/>
    </row>
    <row r="309" spans="9:16">
      <c r="O309" s="65"/>
      <c r="P309" s="99"/>
    </row>
    <row r="310" spans="9:16">
      <c r="O310" s="65"/>
      <c r="P310" s="99"/>
    </row>
    <row r="311" spans="9:16">
      <c r="O311" s="65"/>
      <c r="P311" s="99"/>
    </row>
    <row r="312" spans="9:16">
      <c r="O312" s="65"/>
      <c r="P312" s="99"/>
    </row>
    <row r="313" spans="9:16">
      <c r="O313" s="65"/>
      <c r="P313" s="99"/>
    </row>
    <row r="314" spans="9:16">
      <c r="I314" s="69"/>
      <c r="O314" s="65"/>
      <c r="P314" s="99"/>
    </row>
    <row r="315" spans="9:16">
      <c r="O315" s="65"/>
      <c r="P315" s="99"/>
    </row>
    <row r="316" spans="9:16">
      <c r="O316" s="65"/>
      <c r="P316" s="99"/>
    </row>
    <row r="317" spans="9:16">
      <c r="O317" s="65"/>
      <c r="P317" s="99"/>
    </row>
    <row r="318" spans="9:16">
      <c r="O318" s="65"/>
      <c r="P318" s="99"/>
    </row>
    <row r="319" spans="9:16">
      <c r="O319" s="65"/>
      <c r="P319" s="99"/>
    </row>
    <row r="320" spans="9:16">
      <c r="O320" s="65"/>
      <c r="P320" s="99"/>
    </row>
    <row r="321" spans="15:16">
      <c r="O321" s="65"/>
      <c r="P321" s="99"/>
    </row>
    <row r="322" spans="15:16">
      <c r="O322" s="65"/>
      <c r="P322" s="99"/>
    </row>
    <row r="323" spans="15:16">
      <c r="O323" s="65"/>
      <c r="P323" s="99"/>
    </row>
    <row r="324" spans="15:16">
      <c r="O324" s="65"/>
      <c r="P324" s="99"/>
    </row>
    <row r="325" spans="15:16">
      <c r="O325" s="65"/>
      <c r="P325" s="99"/>
    </row>
    <row r="326" spans="15:16">
      <c r="O326" s="65"/>
      <c r="P326" s="99"/>
    </row>
    <row r="327" spans="15:16">
      <c r="O327" s="65"/>
      <c r="P327" s="99"/>
    </row>
    <row r="328" spans="15:16">
      <c r="O328" s="65"/>
      <c r="P328" s="99"/>
    </row>
    <row r="329" spans="15:16">
      <c r="O329" s="65"/>
      <c r="P329" s="99"/>
    </row>
    <row r="330" spans="15:16">
      <c r="O330" s="65"/>
      <c r="P330" s="99"/>
    </row>
    <row r="331" spans="15:16">
      <c r="O331" s="65"/>
      <c r="P331" s="99"/>
    </row>
    <row r="332" spans="15:16">
      <c r="O332" s="65"/>
      <c r="P332" s="99"/>
    </row>
    <row r="333" spans="15:16">
      <c r="O333" s="65"/>
      <c r="P333" s="99"/>
    </row>
    <row r="334" spans="15:16">
      <c r="O334" s="65"/>
      <c r="P334" s="99"/>
    </row>
    <row r="335" spans="15:16">
      <c r="O335" s="65"/>
      <c r="P335" s="99"/>
    </row>
    <row r="336" spans="15:16">
      <c r="O336" s="65"/>
      <c r="P336" s="99"/>
    </row>
    <row r="337" spans="15:16">
      <c r="O337" s="65"/>
      <c r="P337" s="99"/>
    </row>
    <row r="338" spans="15:16">
      <c r="O338" s="65"/>
      <c r="P338" s="99"/>
    </row>
    <row r="339" spans="15:16">
      <c r="O339" s="65"/>
      <c r="P339" s="99"/>
    </row>
    <row r="340" spans="15:16">
      <c r="O340" s="65"/>
      <c r="P340" s="99"/>
    </row>
    <row r="341" spans="15:16">
      <c r="O341" s="65"/>
      <c r="P341" s="99"/>
    </row>
    <row r="342" spans="15:16">
      <c r="O342" s="65"/>
      <c r="P342" s="99"/>
    </row>
    <row r="343" spans="15:16">
      <c r="O343" s="65"/>
      <c r="P343" s="99"/>
    </row>
    <row r="344" spans="15:16">
      <c r="O344" s="65"/>
      <c r="P344" s="99"/>
    </row>
    <row r="345" spans="15:16">
      <c r="O345" s="65"/>
      <c r="P345" s="99"/>
    </row>
    <row r="346" spans="15:16">
      <c r="O346" s="65"/>
      <c r="P346" s="99"/>
    </row>
    <row r="347" spans="15:16">
      <c r="O347" s="65"/>
      <c r="P347" s="99"/>
    </row>
    <row r="348" spans="15:16">
      <c r="O348" s="65"/>
      <c r="P348" s="99"/>
    </row>
    <row r="349" spans="15:16">
      <c r="O349" s="65"/>
      <c r="P349" s="99"/>
    </row>
    <row r="350" spans="15:16">
      <c r="O350" s="65"/>
      <c r="P350" s="99"/>
    </row>
    <row r="351" spans="15:16">
      <c r="O351" s="65"/>
      <c r="P351" s="99"/>
    </row>
    <row r="352" spans="15:16">
      <c r="O352" s="65"/>
      <c r="P352" s="99"/>
    </row>
    <row r="353" spans="15:16">
      <c r="O353" s="65"/>
      <c r="P353" s="99"/>
    </row>
    <row r="354" spans="15:16">
      <c r="O354" s="65"/>
      <c r="P354" s="99"/>
    </row>
    <row r="355" spans="15:16">
      <c r="O355" s="65"/>
      <c r="P355" s="99"/>
    </row>
    <row r="356" spans="15:16">
      <c r="O356" s="65"/>
      <c r="P356" s="99"/>
    </row>
    <row r="357" spans="15:16">
      <c r="O357" s="65"/>
      <c r="P357" s="99"/>
    </row>
    <row r="358" spans="15:16">
      <c r="O358" s="65"/>
      <c r="P358" s="99"/>
    </row>
    <row r="359" spans="15:16">
      <c r="O359" s="65"/>
      <c r="P359" s="99"/>
    </row>
    <row r="360" spans="15:16">
      <c r="O360" s="65"/>
      <c r="P360" s="99"/>
    </row>
    <row r="361" spans="15:16">
      <c r="O361" s="65"/>
      <c r="P361" s="99"/>
    </row>
    <row r="362" spans="15:16">
      <c r="O362" s="65"/>
      <c r="P362" s="99"/>
    </row>
    <row r="363" spans="15:16">
      <c r="O363" s="65"/>
      <c r="P363" s="99"/>
    </row>
    <row r="364" spans="15:16">
      <c r="O364" s="65"/>
      <c r="P364" s="99"/>
    </row>
    <row r="365" spans="15:16">
      <c r="O365" s="65"/>
      <c r="P365" s="99"/>
    </row>
    <row r="366" spans="15:16">
      <c r="O366" s="65"/>
      <c r="P366" s="99"/>
    </row>
    <row r="367" spans="15:16">
      <c r="O367" s="65"/>
      <c r="P367" s="99"/>
    </row>
    <row r="368" spans="15:16">
      <c r="O368" s="65"/>
      <c r="P368" s="99"/>
    </row>
    <row r="369" spans="15:16">
      <c r="O369" s="65"/>
      <c r="P369" s="99"/>
    </row>
    <row r="370" spans="15:16">
      <c r="O370" s="65"/>
      <c r="P370" s="99"/>
    </row>
    <row r="371" spans="15:16">
      <c r="O371" s="65"/>
      <c r="P371" s="99"/>
    </row>
    <row r="372" spans="15:16">
      <c r="O372" s="65"/>
      <c r="P372" s="99"/>
    </row>
    <row r="373" spans="15:16">
      <c r="O373" s="65"/>
      <c r="P373" s="99"/>
    </row>
    <row r="374" spans="15:16">
      <c r="O374" s="65"/>
      <c r="P374" s="99"/>
    </row>
    <row r="375" spans="15:16">
      <c r="O375" s="65"/>
      <c r="P375" s="99"/>
    </row>
    <row r="376" spans="15:16">
      <c r="O376" s="65"/>
      <c r="P376" s="99"/>
    </row>
    <row r="377" spans="15:16">
      <c r="O377" s="65"/>
      <c r="P377" s="99"/>
    </row>
    <row r="378" spans="15:16">
      <c r="O378" s="65"/>
      <c r="P378" s="99"/>
    </row>
    <row r="379" spans="15:16">
      <c r="O379" s="65"/>
      <c r="P379" s="99"/>
    </row>
    <row r="380" spans="15:16">
      <c r="O380" s="65"/>
      <c r="P380" s="99"/>
    </row>
    <row r="381" spans="15:16">
      <c r="O381" s="65"/>
      <c r="P381" s="99"/>
    </row>
    <row r="382" spans="15:16">
      <c r="O382" s="65"/>
      <c r="P382" s="99"/>
    </row>
    <row r="383" spans="15:16">
      <c r="O383" s="65"/>
      <c r="P383" s="99"/>
    </row>
    <row r="384" spans="15:16">
      <c r="O384" s="65"/>
      <c r="P384" s="99"/>
    </row>
    <row r="385" spans="15:16">
      <c r="O385" s="65"/>
      <c r="P385" s="99"/>
    </row>
    <row r="386" spans="15:16">
      <c r="O386" s="65"/>
      <c r="P386" s="99"/>
    </row>
    <row r="387" spans="15:16">
      <c r="O387" s="65"/>
      <c r="P387" s="99"/>
    </row>
    <row r="388" spans="15:16">
      <c r="O388" s="65"/>
      <c r="P388" s="99"/>
    </row>
    <row r="389" spans="15:16">
      <c r="O389" s="65"/>
      <c r="P389" s="99"/>
    </row>
    <row r="390" spans="15:16">
      <c r="O390" s="65"/>
      <c r="P390" s="99"/>
    </row>
    <row r="391" spans="15:16">
      <c r="O391" s="65"/>
      <c r="P391" s="99"/>
    </row>
    <row r="392" spans="15:16">
      <c r="O392" s="65"/>
      <c r="P392" s="99"/>
    </row>
    <row r="393" spans="15:16">
      <c r="O393" s="65"/>
      <c r="P393" s="99"/>
    </row>
    <row r="394" spans="15:16">
      <c r="O394" s="65"/>
      <c r="P394" s="99"/>
    </row>
    <row r="395" spans="15:16">
      <c r="O395" s="65"/>
      <c r="P395" s="99"/>
    </row>
    <row r="396" spans="15:16">
      <c r="O396" s="65"/>
      <c r="P396" s="99"/>
    </row>
    <row r="397" spans="15:16">
      <c r="O397" s="65"/>
      <c r="P397" s="99"/>
    </row>
    <row r="398" spans="15:16">
      <c r="O398" s="65"/>
      <c r="P398" s="99"/>
    </row>
    <row r="399" spans="15:16">
      <c r="O399" s="65"/>
      <c r="P399" s="99"/>
    </row>
    <row r="400" spans="15:16">
      <c r="O400" s="65"/>
      <c r="P400" s="99"/>
    </row>
    <row r="401" spans="2:16">
      <c r="B401" s="65"/>
      <c r="C401" s="65"/>
      <c r="D401" s="65"/>
      <c r="E401" s="130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99"/>
    </row>
    <row r="402" spans="2:16">
      <c r="B402" s="65"/>
      <c r="C402" s="65"/>
      <c r="D402" s="65"/>
      <c r="E402" s="130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99"/>
    </row>
    <row r="403" spans="2:16">
      <c r="B403" s="65"/>
      <c r="C403" s="65"/>
      <c r="D403" s="65"/>
      <c r="E403" s="130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99"/>
    </row>
    <row r="404" spans="2:16">
      <c r="B404" s="65"/>
      <c r="C404" s="65"/>
      <c r="D404" s="65"/>
      <c r="E404" s="130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99"/>
    </row>
    <row r="405" spans="2:16">
      <c r="B405" s="65"/>
      <c r="C405" s="65"/>
      <c r="D405" s="65"/>
      <c r="E405" s="130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99"/>
    </row>
    <row r="406" spans="2:16">
      <c r="B406" s="65"/>
      <c r="C406" s="65"/>
      <c r="D406" s="65"/>
      <c r="E406" s="130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99"/>
    </row>
    <row r="407" spans="2:16">
      <c r="B407" s="65"/>
      <c r="C407" s="65"/>
      <c r="D407" s="65"/>
      <c r="E407" s="130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99"/>
    </row>
    <row r="408" spans="2:16">
      <c r="B408" s="65"/>
      <c r="C408" s="65"/>
      <c r="D408" s="65"/>
      <c r="E408" s="130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99"/>
    </row>
    <row r="409" spans="2:16">
      <c r="B409" s="65"/>
      <c r="C409" s="65"/>
      <c r="D409" s="65"/>
      <c r="E409" s="130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99"/>
    </row>
    <row r="410" spans="2:16">
      <c r="B410" s="65"/>
      <c r="C410" s="65"/>
      <c r="D410" s="65"/>
      <c r="E410" s="130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99"/>
    </row>
    <row r="411" spans="2:16">
      <c r="B411" s="65"/>
      <c r="C411" s="65"/>
      <c r="D411" s="65"/>
      <c r="E411" s="130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99"/>
    </row>
    <row r="412" spans="2:16">
      <c r="B412" s="65"/>
      <c r="C412" s="65"/>
      <c r="D412" s="65"/>
      <c r="E412" s="130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99"/>
    </row>
    <row r="413" spans="2:16">
      <c r="B413" s="65"/>
      <c r="C413" s="65"/>
      <c r="D413" s="65"/>
      <c r="E413" s="130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99"/>
    </row>
    <row r="414" spans="2:16">
      <c r="B414" s="65"/>
      <c r="C414" s="65"/>
      <c r="D414" s="65"/>
      <c r="E414" s="130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99"/>
    </row>
    <row r="415" spans="2:16">
      <c r="B415" s="65"/>
      <c r="C415" s="65"/>
      <c r="D415" s="65"/>
      <c r="E415" s="130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99"/>
    </row>
    <row r="416" spans="2:16">
      <c r="B416" s="65"/>
      <c r="C416" s="65"/>
      <c r="D416" s="65"/>
      <c r="E416" s="130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99"/>
    </row>
    <row r="417" spans="2:16">
      <c r="B417" s="65"/>
      <c r="C417" s="65"/>
      <c r="D417" s="65"/>
      <c r="E417" s="130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99"/>
    </row>
    <row r="418" spans="2:16">
      <c r="B418" s="65"/>
      <c r="C418" s="65"/>
      <c r="D418" s="65"/>
      <c r="E418" s="130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99"/>
    </row>
    <row r="419" spans="2:16">
      <c r="B419" s="65"/>
      <c r="C419" s="65"/>
      <c r="D419" s="65"/>
      <c r="E419" s="130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99"/>
    </row>
    <row r="420" spans="2:16">
      <c r="B420" s="65"/>
      <c r="C420" s="65"/>
      <c r="D420" s="65"/>
      <c r="E420" s="130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99"/>
    </row>
    <row r="421" spans="2:16">
      <c r="B421" s="65"/>
      <c r="C421" s="65"/>
      <c r="D421" s="65"/>
      <c r="E421" s="130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99"/>
    </row>
    <row r="422" spans="2:16">
      <c r="B422" s="65"/>
      <c r="C422" s="65"/>
      <c r="D422" s="65"/>
      <c r="E422" s="130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99"/>
    </row>
    <row r="423" spans="2:16">
      <c r="B423" s="65"/>
      <c r="C423" s="65"/>
      <c r="D423" s="65"/>
      <c r="E423" s="130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99"/>
    </row>
    <row r="424" spans="2:16">
      <c r="B424" s="65"/>
      <c r="C424" s="65"/>
      <c r="D424" s="65"/>
      <c r="E424" s="130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99"/>
    </row>
    <row r="425" spans="2:16">
      <c r="B425" s="65"/>
      <c r="C425" s="65"/>
      <c r="D425" s="65"/>
      <c r="E425" s="130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99"/>
    </row>
    <row r="426" spans="2:16">
      <c r="B426" s="65"/>
      <c r="C426" s="65"/>
      <c r="D426" s="65"/>
      <c r="E426" s="130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99"/>
    </row>
    <row r="427" spans="2:16">
      <c r="B427" s="65"/>
      <c r="C427" s="65"/>
      <c r="D427" s="65"/>
      <c r="E427" s="130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99"/>
    </row>
    <row r="428" spans="2:16">
      <c r="B428" s="65"/>
      <c r="C428" s="65"/>
      <c r="D428" s="65"/>
      <c r="E428" s="130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99"/>
    </row>
    <row r="429" spans="2:16">
      <c r="B429" s="65"/>
      <c r="C429" s="65"/>
      <c r="D429" s="65"/>
      <c r="E429" s="130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99"/>
    </row>
    <row r="430" spans="2:16">
      <c r="B430" s="65"/>
      <c r="C430" s="65"/>
      <c r="D430" s="65"/>
      <c r="E430" s="130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99"/>
    </row>
    <row r="431" spans="2:16">
      <c r="B431" s="65"/>
      <c r="C431" s="65"/>
      <c r="D431" s="65"/>
      <c r="E431" s="130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99"/>
    </row>
    <row r="432" spans="2:16">
      <c r="B432" s="65"/>
      <c r="C432" s="65"/>
      <c r="D432" s="65"/>
      <c r="E432" s="130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99"/>
    </row>
    <row r="433" spans="2:16">
      <c r="B433" s="65"/>
      <c r="C433" s="65"/>
      <c r="D433" s="65"/>
      <c r="E433" s="130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99"/>
    </row>
    <row r="434" spans="2:16">
      <c r="B434" s="65"/>
      <c r="C434" s="65"/>
      <c r="D434" s="65"/>
      <c r="E434" s="130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99"/>
    </row>
    <row r="435" spans="2:16">
      <c r="B435" s="65"/>
      <c r="C435" s="65"/>
      <c r="D435" s="65"/>
      <c r="E435" s="130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99"/>
    </row>
    <row r="436" spans="2:16">
      <c r="B436" s="65"/>
      <c r="C436" s="65"/>
      <c r="D436" s="65"/>
      <c r="E436" s="130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99"/>
    </row>
    <row r="437" spans="2:16">
      <c r="B437" s="65"/>
      <c r="C437" s="65"/>
      <c r="D437" s="65"/>
      <c r="E437" s="130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99"/>
    </row>
    <row r="438" spans="2:16">
      <c r="B438" s="65"/>
      <c r="C438" s="65"/>
      <c r="D438" s="65"/>
      <c r="E438" s="130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99"/>
    </row>
    <row r="439" spans="2:16">
      <c r="B439" s="65"/>
      <c r="C439" s="65"/>
      <c r="D439" s="65"/>
      <c r="E439" s="130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99"/>
    </row>
    <row r="440" spans="2:16">
      <c r="B440" s="65"/>
      <c r="C440" s="65"/>
      <c r="D440" s="65"/>
      <c r="E440" s="130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99"/>
    </row>
    <row r="441" spans="2:16">
      <c r="B441" s="65"/>
      <c r="C441" s="65"/>
      <c r="D441" s="65"/>
      <c r="E441" s="130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99"/>
    </row>
    <row r="442" spans="2:16">
      <c r="B442" s="65"/>
      <c r="C442" s="65"/>
      <c r="D442" s="65"/>
      <c r="E442" s="130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99"/>
    </row>
    <row r="443" spans="2:16">
      <c r="B443" s="65"/>
      <c r="C443" s="65"/>
      <c r="D443" s="65"/>
      <c r="E443" s="130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99"/>
    </row>
    <row r="444" spans="2:16">
      <c r="B444" s="65"/>
      <c r="C444" s="65"/>
      <c r="D444" s="65"/>
      <c r="E444" s="130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99"/>
    </row>
    <row r="445" spans="2:16">
      <c r="B445" s="65"/>
      <c r="C445" s="65"/>
      <c r="D445" s="65"/>
      <c r="E445" s="130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99"/>
    </row>
    <row r="446" spans="2:16">
      <c r="B446" s="65"/>
      <c r="C446" s="65"/>
      <c r="D446" s="65"/>
      <c r="E446" s="130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99"/>
    </row>
    <row r="447" spans="2:16">
      <c r="B447" s="65"/>
      <c r="C447" s="65"/>
      <c r="D447" s="65"/>
      <c r="E447" s="130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99"/>
    </row>
    <row r="448" spans="2:16">
      <c r="B448" s="65"/>
      <c r="C448" s="65"/>
      <c r="D448" s="65"/>
      <c r="E448" s="130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99"/>
    </row>
    <row r="449" spans="2:16">
      <c r="B449" s="65"/>
      <c r="C449" s="65"/>
      <c r="D449" s="65"/>
      <c r="E449" s="130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99"/>
    </row>
    <row r="450" spans="2:16">
      <c r="B450" s="65"/>
      <c r="C450" s="65"/>
      <c r="D450" s="65"/>
      <c r="E450" s="130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99"/>
    </row>
    <row r="451" spans="2:16">
      <c r="B451" s="65"/>
      <c r="C451" s="65"/>
      <c r="D451" s="65"/>
      <c r="E451" s="130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99"/>
    </row>
    <row r="452" spans="2:16">
      <c r="B452" s="65"/>
      <c r="C452" s="65"/>
      <c r="D452" s="65"/>
      <c r="E452" s="130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99"/>
    </row>
    <row r="453" spans="2:16">
      <c r="B453" s="65"/>
      <c r="C453" s="65"/>
      <c r="D453" s="65"/>
      <c r="E453" s="130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99"/>
    </row>
    <row r="454" spans="2:16">
      <c r="B454" s="65"/>
      <c r="C454" s="65"/>
      <c r="D454" s="65"/>
      <c r="E454" s="130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99"/>
    </row>
    <row r="455" spans="2:16">
      <c r="B455" s="65"/>
      <c r="C455" s="65"/>
      <c r="D455" s="65"/>
      <c r="E455" s="130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99"/>
    </row>
    <row r="456" spans="2:16">
      <c r="B456" s="65"/>
      <c r="C456" s="65"/>
      <c r="D456" s="65"/>
      <c r="E456" s="130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99"/>
    </row>
    <row r="457" spans="2:16">
      <c r="B457" s="65"/>
      <c r="C457" s="65"/>
      <c r="D457" s="65"/>
      <c r="E457" s="130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99"/>
    </row>
    <row r="458" spans="2:16">
      <c r="B458" s="65"/>
      <c r="C458" s="65"/>
      <c r="D458" s="65"/>
      <c r="E458" s="130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99"/>
    </row>
    <row r="459" spans="2:16">
      <c r="B459" s="65"/>
      <c r="C459" s="65"/>
      <c r="D459" s="65"/>
      <c r="E459" s="130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99"/>
    </row>
    <row r="460" spans="2:16">
      <c r="B460" s="65"/>
      <c r="C460" s="65"/>
      <c r="D460" s="65"/>
      <c r="E460" s="130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99"/>
    </row>
    <row r="461" spans="2:16">
      <c r="B461" s="65"/>
      <c r="C461" s="65"/>
      <c r="D461" s="65"/>
      <c r="E461" s="130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99"/>
    </row>
    <row r="462" spans="2:16">
      <c r="B462" s="65"/>
      <c r="C462" s="65"/>
      <c r="D462" s="65"/>
      <c r="E462" s="130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99"/>
    </row>
    <row r="463" spans="2:16">
      <c r="B463" s="65"/>
      <c r="C463" s="65"/>
      <c r="D463" s="65"/>
      <c r="E463" s="130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99"/>
    </row>
    <row r="464" spans="2:16">
      <c r="B464" s="65"/>
      <c r="C464" s="65"/>
      <c r="D464" s="65"/>
      <c r="E464" s="130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99"/>
    </row>
    <row r="465" spans="2:16">
      <c r="B465" s="65"/>
      <c r="C465" s="65"/>
      <c r="D465" s="65"/>
      <c r="E465" s="130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99"/>
    </row>
    <row r="466" spans="2:16">
      <c r="B466" s="65"/>
      <c r="C466" s="65"/>
      <c r="D466" s="65"/>
      <c r="E466" s="130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99"/>
    </row>
    <row r="467" spans="2:16">
      <c r="B467" s="65"/>
      <c r="C467" s="65"/>
      <c r="D467" s="65"/>
      <c r="E467" s="130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99"/>
    </row>
    <row r="468" spans="2:16">
      <c r="B468" s="65"/>
      <c r="C468" s="65"/>
      <c r="D468" s="65"/>
      <c r="E468" s="130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99"/>
    </row>
    <row r="469" spans="2:16">
      <c r="B469" s="65"/>
      <c r="C469" s="65"/>
      <c r="D469" s="65"/>
      <c r="E469" s="130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99"/>
    </row>
    <row r="470" spans="2:16">
      <c r="B470" s="65"/>
      <c r="C470" s="65"/>
      <c r="D470" s="65"/>
      <c r="E470" s="130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99"/>
    </row>
    <row r="471" spans="2:16">
      <c r="B471" s="65"/>
      <c r="C471" s="65"/>
      <c r="D471" s="65"/>
      <c r="E471" s="130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99"/>
    </row>
    <row r="472" spans="2:16">
      <c r="B472" s="65"/>
      <c r="C472" s="65"/>
      <c r="D472" s="65"/>
      <c r="E472" s="130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99"/>
    </row>
    <row r="473" spans="2:16">
      <c r="B473" s="65"/>
      <c r="C473" s="65"/>
      <c r="D473" s="65"/>
      <c r="E473" s="130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99"/>
    </row>
    <row r="474" spans="2:16">
      <c r="B474" s="65"/>
      <c r="C474" s="65"/>
      <c r="D474" s="65"/>
      <c r="E474" s="130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99"/>
    </row>
    <row r="475" spans="2:16">
      <c r="B475" s="65"/>
      <c r="C475" s="65"/>
      <c r="D475" s="65"/>
      <c r="E475" s="130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99"/>
    </row>
    <row r="476" spans="2:16">
      <c r="B476" s="65"/>
      <c r="C476" s="65"/>
      <c r="D476" s="65"/>
      <c r="E476" s="130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99"/>
    </row>
    <row r="477" spans="2:16">
      <c r="B477" s="65"/>
      <c r="C477" s="65"/>
      <c r="D477" s="65"/>
      <c r="E477" s="130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99"/>
    </row>
    <row r="478" spans="2:16">
      <c r="B478" s="65"/>
      <c r="C478" s="65"/>
      <c r="D478" s="65"/>
      <c r="E478" s="130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99"/>
    </row>
    <row r="479" spans="2:16">
      <c r="B479" s="65"/>
      <c r="C479" s="65"/>
      <c r="D479" s="65"/>
      <c r="E479" s="130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99"/>
    </row>
    <row r="480" spans="2:16">
      <c r="B480" s="65"/>
      <c r="C480" s="65"/>
      <c r="D480" s="65"/>
      <c r="E480" s="130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99"/>
    </row>
    <row r="481" spans="2:16">
      <c r="B481" s="65"/>
      <c r="C481" s="65"/>
      <c r="D481" s="65"/>
      <c r="E481" s="130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99"/>
    </row>
    <row r="482" spans="2:16">
      <c r="B482" s="65"/>
      <c r="C482" s="65"/>
      <c r="D482" s="65"/>
      <c r="E482" s="130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99"/>
    </row>
    <row r="483" spans="2:16">
      <c r="B483" s="65"/>
      <c r="C483" s="65"/>
      <c r="D483" s="65"/>
      <c r="E483" s="130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99"/>
    </row>
    <row r="484" spans="2:16">
      <c r="B484" s="65"/>
      <c r="C484" s="65"/>
      <c r="D484" s="65"/>
      <c r="E484" s="130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99"/>
    </row>
    <row r="485" spans="2:16">
      <c r="B485" s="65"/>
      <c r="C485" s="65"/>
      <c r="D485" s="65"/>
      <c r="E485" s="130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99"/>
    </row>
    <row r="486" spans="2:16">
      <c r="B486" s="65"/>
      <c r="C486" s="65"/>
      <c r="D486" s="65"/>
      <c r="E486" s="130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99"/>
    </row>
    <row r="487" spans="2:16">
      <c r="B487" s="65"/>
      <c r="C487" s="65"/>
      <c r="D487" s="65"/>
      <c r="E487" s="130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99"/>
    </row>
    <row r="488" spans="2:16">
      <c r="B488" s="65"/>
      <c r="C488" s="65"/>
      <c r="D488" s="65"/>
      <c r="E488" s="130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99"/>
    </row>
    <row r="489" spans="2:16">
      <c r="B489" s="65"/>
      <c r="C489" s="65"/>
      <c r="D489" s="65"/>
      <c r="E489" s="130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99"/>
    </row>
    <row r="490" spans="2:16">
      <c r="B490" s="65"/>
      <c r="C490" s="65"/>
      <c r="D490" s="65"/>
      <c r="E490" s="130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99"/>
    </row>
    <row r="491" spans="2:16">
      <c r="B491" s="65"/>
      <c r="C491" s="65"/>
      <c r="D491" s="65"/>
      <c r="E491" s="130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99"/>
    </row>
    <row r="492" spans="2:16">
      <c r="B492" s="65"/>
      <c r="C492" s="65"/>
      <c r="D492" s="65"/>
      <c r="E492" s="130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99"/>
    </row>
    <row r="493" spans="2:16">
      <c r="B493" s="65"/>
      <c r="C493" s="65"/>
      <c r="D493" s="65"/>
      <c r="E493" s="130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99"/>
    </row>
    <row r="494" spans="2:16">
      <c r="B494" s="65"/>
      <c r="C494" s="65"/>
      <c r="D494" s="65"/>
      <c r="E494" s="130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99"/>
    </row>
    <row r="495" spans="2:16">
      <c r="B495" s="65"/>
      <c r="C495" s="65"/>
      <c r="D495" s="65"/>
      <c r="E495" s="130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99"/>
    </row>
    <row r="496" spans="2:16">
      <c r="B496" s="65"/>
      <c r="C496" s="65"/>
      <c r="D496" s="65"/>
      <c r="E496" s="130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99"/>
    </row>
    <row r="497" spans="2:16">
      <c r="B497" s="65"/>
      <c r="C497" s="65"/>
      <c r="D497" s="65"/>
      <c r="E497" s="130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99"/>
    </row>
    <row r="498" spans="2:16">
      <c r="B498" s="65"/>
      <c r="C498" s="65"/>
      <c r="D498" s="65"/>
      <c r="E498" s="130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99"/>
    </row>
    <row r="499" spans="2:16">
      <c r="B499" s="65"/>
      <c r="C499" s="65"/>
      <c r="D499" s="65"/>
      <c r="E499" s="130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99"/>
    </row>
    <row r="500" spans="2:16">
      <c r="B500" s="65"/>
      <c r="C500" s="65"/>
      <c r="D500" s="65"/>
      <c r="E500" s="130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99"/>
    </row>
    <row r="501" spans="2:16">
      <c r="B501" s="65"/>
      <c r="C501" s="65"/>
      <c r="D501" s="65"/>
      <c r="E501" s="130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99"/>
    </row>
    <row r="502" spans="2:16">
      <c r="B502" s="65"/>
      <c r="C502" s="65"/>
      <c r="D502" s="65"/>
      <c r="E502" s="130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99"/>
    </row>
    <row r="503" spans="2:16">
      <c r="B503" s="65"/>
      <c r="C503" s="65"/>
      <c r="D503" s="65"/>
      <c r="E503" s="130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99"/>
    </row>
    <row r="504" spans="2:16">
      <c r="B504" s="65"/>
      <c r="C504" s="65"/>
      <c r="D504" s="65"/>
      <c r="E504" s="130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99"/>
    </row>
    <row r="505" spans="2:16">
      <c r="B505" s="65"/>
      <c r="C505" s="65"/>
      <c r="D505" s="65"/>
      <c r="E505" s="130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99"/>
    </row>
    <row r="506" spans="2:16">
      <c r="B506" s="65"/>
      <c r="C506" s="65"/>
      <c r="D506" s="65"/>
      <c r="E506" s="130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99"/>
    </row>
    <row r="507" spans="2:16">
      <c r="B507" s="65"/>
      <c r="C507" s="65"/>
      <c r="D507" s="65"/>
      <c r="E507" s="130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99"/>
    </row>
    <row r="508" spans="2:16">
      <c r="B508" s="65"/>
      <c r="C508" s="65"/>
      <c r="D508" s="65"/>
      <c r="E508" s="130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99"/>
    </row>
    <row r="509" spans="2:16">
      <c r="B509" s="65"/>
      <c r="C509" s="65"/>
      <c r="D509" s="65"/>
      <c r="E509" s="130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99"/>
    </row>
    <row r="510" spans="2:16">
      <c r="B510" s="65"/>
      <c r="C510" s="65"/>
      <c r="D510" s="65"/>
      <c r="E510" s="130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99"/>
    </row>
    <row r="511" spans="2:16">
      <c r="B511" s="65"/>
      <c r="C511" s="65"/>
      <c r="D511" s="65"/>
      <c r="E511" s="130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99"/>
    </row>
    <row r="512" spans="2:16">
      <c r="B512" s="65"/>
      <c r="C512" s="65"/>
      <c r="D512" s="65"/>
      <c r="E512" s="130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99"/>
    </row>
    <row r="513" spans="2:16">
      <c r="B513" s="65"/>
      <c r="C513" s="65"/>
      <c r="D513" s="65"/>
      <c r="E513" s="130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99"/>
    </row>
    <row r="514" spans="2:16">
      <c r="B514" s="65"/>
      <c r="C514" s="65"/>
      <c r="D514" s="65"/>
      <c r="E514" s="130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99"/>
    </row>
    <row r="515" spans="2:16">
      <c r="B515" s="65"/>
      <c r="C515" s="65"/>
      <c r="D515" s="65"/>
      <c r="E515" s="130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99"/>
    </row>
    <row r="516" spans="2:16">
      <c r="B516" s="65"/>
      <c r="C516" s="65"/>
      <c r="D516" s="65"/>
      <c r="E516" s="130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99"/>
    </row>
    <row r="517" spans="2:16">
      <c r="B517" s="65"/>
      <c r="C517" s="65"/>
      <c r="D517" s="65"/>
      <c r="E517" s="130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99"/>
    </row>
    <row r="518" spans="2:16">
      <c r="B518" s="65"/>
      <c r="C518" s="65"/>
      <c r="D518" s="65"/>
      <c r="E518" s="130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99"/>
    </row>
    <row r="519" spans="2:16">
      <c r="B519" s="65"/>
      <c r="C519" s="65"/>
      <c r="D519" s="65"/>
      <c r="E519" s="130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99"/>
    </row>
    <row r="520" spans="2:16">
      <c r="B520" s="65"/>
      <c r="C520" s="65"/>
      <c r="D520" s="65"/>
      <c r="E520" s="130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99"/>
    </row>
    <row r="521" spans="2:16">
      <c r="B521" s="65"/>
      <c r="C521" s="65"/>
      <c r="D521" s="65"/>
      <c r="E521" s="130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99"/>
    </row>
    <row r="522" spans="2:16">
      <c r="B522" s="65"/>
      <c r="C522" s="65"/>
      <c r="D522" s="65"/>
      <c r="E522" s="130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99"/>
    </row>
    <row r="523" spans="2:16">
      <c r="B523" s="65"/>
      <c r="C523" s="65"/>
      <c r="D523" s="65"/>
      <c r="E523" s="130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99"/>
    </row>
    <row r="524" spans="2:16">
      <c r="B524" s="65"/>
      <c r="C524" s="65"/>
      <c r="D524" s="65"/>
      <c r="E524" s="130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99"/>
    </row>
    <row r="525" spans="2:16">
      <c r="B525" s="65"/>
      <c r="C525" s="65"/>
      <c r="D525" s="65"/>
      <c r="E525" s="130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99"/>
    </row>
    <row r="526" spans="2:16">
      <c r="B526" s="65"/>
      <c r="C526" s="65"/>
      <c r="D526" s="65"/>
      <c r="E526" s="130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99"/>
    </row>
    <row r="527" spans="2:16">
      <c r="B527" s="65"/>
      <c r="C527" s="65"/>
      <c r="D527" s="65"/>
      <c r="E527" s="130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99"/>
    </row>
    <row r="528" spans="2:16">
      <c r="B528" s="65"/>
      <c r="C528" s="65"/>
      <c r="D528" s="65"/>
      <c r="E528" s="130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99"/>
    </row>
    <row r="529" spans="2:16">
      <c r="B529" s="65"/>
      <c r="C529" s="65"/>
      <c r="D529" s="65"/>
      <c r="E529" s="130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99"/>
    </row>
    <row r="530" spans="2:16">
      <c r="B530" s="65"/>
      <c r="C530" s="65"/>
      <c r="D530" s="65"/>
      <c r="E530" s="130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99"/>
    </row>
    <row r="531" spans="2:16">
      <c r="B531" s="65"/>
      <c r="C531" s="65"/>
      <c r="D531" s="65"/>
      <c r="E531" s="130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99"/>
    </row>
    <row r="532" spans="2:16">
      <c r="B532" s="65"/>
      <c r="C532" s="65"/>
      <c r="D532" s="65"/>
      <c r="E532" s="130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99"/>
    </row>
    <row r="533" spans="2:16">
      <c r="B533" s="65"/>
      <c r="C533" s="65"/>
      <c r="D533" s="65"/>
      <c r="E533" s="130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99"/>
    </row>
    <row r="534" spans="2:16">
      <c r="B534" s="65"/>
      <c r="C534" s="65"/>
      <c r="D534" s="65"/>
      <c r="E534" s="130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99"/>
    </row>
    <row r="535" spans="2:16">
      <c r="B535" s="65"/>
      <c r="C535" s="65"/>
      <c r="D535" s="65"/>
      <c r="E535" s="130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99"/>
    </row>
    <row r="536" spans="2:16">
      <c r="B536" s="65"/>
      <c r="C536" s="65"/>
      <c r="D536" s="65"/>
      <c r="E536" s="130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99"/>
    </row>
    <row r="537" spans="2:16">
      <c r="B537" s="65"/>
      <c r="C537" s="65"/>
      <c r="D537" s="65"/>
      <c r="E537" s="130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99"/>
    </row>
    <row r="538" spans="2:16">
      <c r="B538" s="65"/>
      <c r="C538" s="65"/>
      <c r="D538" s="65"/>
      <c r="E538" s="130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99"/>
    </row>
    <row r="539" spans="2:16">
      <c r="B539" s="65"/>
      <c r="C539" s="65"/>
      <c r="D539" s="65"/>
      <c r="E539" s="130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99"/>
    </row>
    <row r="540" spans="2:16">
      <c r="B540" s="65"/>
      <c r="C540" s="65"/>
      <c r="D540" s="65"/>
      <c r="E540" s="130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99"/>
    </row>
    <row r="541" spans="2:16">
      <c r="B541" s="65"/>
      <c r="C541" s="65"/>
      <c r="D541" s="65"/>
      <c r="E541" s="130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99"/>
    </row>
    <row r="542" spans="2:16">
      <c r="B542" s="65"/>
      <c r="C542" s="65"/>
      <c r="D542" s="65"/>
      <c r="E542" s="130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99"/>
    </row>
    <row r="543" spans="2:16">
      <c r="B543" s="65"/>
      <c r="C543" s="65"/>
      <c r="D543" s="65"/>
      <c r="E543" s="130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99"/>
    </row>
    <row r="544" spans="2:16">
      <c r="B544" s="65"/>
      <c r="C544" s="65"/>
      <c r="D544" s="65"/>
      <c r="E544" s="130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99"/>
    </row>
    <row r="545" spans="2:16">
      <c r="B545" s="65"/>
      <c r="C545" s="65"/>
      <c r="D545" s="65"/>
      <c r="E545" s="130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99"/>
    </row>
    <row r="546" spans="2:16">
      <c r="B546" s="65"/>
      <c r="C546" s="65"/>
      <c r="D546" s="65"/>
      <c r="E546" s="130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99"/>
    </row>
    <row r="547" spans="2:16">
      <c r="B547" s="65"/>
      <c r="C547" s="65"/>
      <c r="D547" s="65"/>
      <c r="E547" s="130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99"/>
    </row>
    <row r="548" spans="2:16">
      <c r="B548" s="65"/>
      <c r="C548" s="65"/>
      <c r="D548" s="65"/>
      <c r="E548" s="130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99"/>
    </row>
    <row r="549" spans="2:16">
      <c r="B549" s="65"/>
      <c r="C549" s="65"/>
      <c r="D549" s="65"/>
      <c r="E549" s="130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99"/>
    </row>
    <row r="550" spans="2:16">
      <c r="B550" s="65"/>
      <c r="C550" s="65"/>
      <c r="D550" s="65"/>
      <c r="E550" s="130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99"/>
    </row>
    <row r="551" spans="2:16">
      <c r="B551" s="65"/>
      <c r="C551" s="65"/>
      <c r="D551" s="65"/>
      <c r="E551" s="130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99"/>
    </row>
    <row r="552" spans="2:16">
      <c r="B552" s="65"/>
      <c r="C552" s="65"/>
      <c r="D552" s="65"/>
      <c r="E552" s="130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99"/>
    </row>
    <row r="553" spans="2:16">
      <c r="B553" s="65"/>
      <c r="C553" s="65"/>
      <c r="D553" s="65"/>
      <c r="E553" s="130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99"/>
    </row>
    <row r="554" spans="2:16">
      <c r="B554" s="65"/>
      <c r="C554" s="65"/>
      <c r="D554" s="65"/>
      <c r="E554" s="130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99"/>
    </row>
    <row r="555" spans="2:16">
      <c r="B555" s="65"/>
      <c r="C555" s="65"/>
      <c r="D555" s="65"/>
      <c r="E555" s="130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99"/>
    </row>
    <row r="556" spans="2:16">
      <c r="B556" s="65"/>
      <c r="C556" s="65"/>
      <c r="D556" s="65"/>
      <c r="E556" s="130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99"/>
    </row>
    <row r="557" spans="2:16">
      <c r="B557" s="65"/>
      <c r="C557" s="65"/>
      <c r="D557" s="65"/>
      <c r="E557" s="130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99"/>
    </row>
    <row r="558" spans="2:16">
      <c r="B558" s="65"/>
      <c r="C558" s="65"/>
      <c r="D558" s="65"/>
      <c r="E558" s="130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99"/>
    </row>
    <row r="559" spans="2:16">
      <c r="B559" s="65"/>
      <c r="C559" s="65"/>
      <c r="D559" s="65"/>
      <c r="E559" s="130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99"/>
    </row>
    <row r="560" spans="2:16">
      <c r="B560" s="65"/>
      <c r="C560" s="65"/>
      <c r="D560" s="65"/>
      <c r="E560" s="130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99"/>
    </row>
    <row r="561" spans="2:16">
      <c r="B561" s="65"/>
      <c r="C561" s="65"/>
      <c r="D561" s="65"/>
      <c r="E561" s="130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99"/>
    </row>
    <row r="562" spans="2:16">
      <c r="B562" s="65"/>
      <c r="C562" s="65"/>
      <c r="D562" s="65"/>
      <c r="E562" s="130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99"/>
    </row>
    <row r="563" spans="2:16">
      <c r="B563" s="65"/>
      <c r="C563" s="65"/>
      <c r="D563" s="65"/>
      <c r="E563" s="130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99"/>
    </row>
    <row r="564" spans="2:16">
      <c r="B564" s="65"/>
      <c r="C564" s="65"/>
      <c r="D564" s="65"/>
      <c r="E564" s="130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99"/>
    </row>
    <row r="565" spans="2:16">
      <c r="B565" s="65"/>
      <c r="C565" s="65"/>
      <c r="D565" s="65"/>
      <c r="E565" s="130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99"/>
    </row>
    <row r="566" spans="2:16">
      <c r="B566" s="65"/>
      <c r="C566" s="65"/>
      <c r="D566" s="65"/>
      <c r="E566" s="130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99"/>
    </row>
    <row r="567" spans="2:16">
      <c r="B567" s="65"/>
      <c r="C567" s="65"/>
      <c r="D567" s="65"/>
      <c r="E567" s="130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99"/>
    </row>
    <row r="568" spans="2:16">
      <c r="B568" s="65"/>
      <c r="C568" s="65"/>
      <c r="D568" s="65"/>
      <c r="E568" s="130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99"/>
    </row>
    <row r="569" spans="2:16">
      <c r="B569" s="65"/>
      <c r="C569" s="65"/>
      <c r="D569" s="65"/>
      <c r="E569" s="130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99"/>
    </row>
    <row r="570" spans="2:16">
      <c r="B570" s="65"/>
      <c r="C570" s="65"/>
      <c r="D570" s="65"/>
      <c r="E570" s="130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99"/>
    </row>
    <row r="571" spans="2:16">
      <c r="B571" s="65"/>
      <c r="C571" s="65"/>
      <c r="D571" s="65"/>
      <c r="E571" s="130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99"/>
    </row>
    <row r="572" spans="2:16">
      <c r="B572" s="65"/>
      <c r="C572" s="65"/>
      <c r="D572" s="65"/>
      <c r="E572" s="130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99"/>
    </row>
    <row r="573" spans="2:16">
      <c r="B573" s="65"/>
      <c r="C573" s="65"/>
      <c r="D573" s="65"/>
      <c r="E573" s="130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99"/>
    </row>
    <row r="574" spans="2:16">
      <c r="B574" s="65"/>
      <c r="C574" s="65"/>
      <c r="D574" s="65"/>
      <c r="E574" s="130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99"/>
    </row>
    <row r="575" spans="2:16">
      <c r="B575" s="65"/>
      <c r="C575" s="65"/>
      <c r="D575" s="65"/>
      <c r="E575" s="130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99"/>
    </row>
    <row r="576" spans="2:16">
      <c r="B576" s="65"/>
      <c r="C576" s="65"/>
      <c r="D576" s="65"/>
      <c r="E576" s="130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99"/>
    </row>
    <row r="577" spans="2:16">
      <c r="B577" s="65"/>
      <c r="C577" s="65"/>
      <c r="D577" s="65"/>
      <c r="E577" s="130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99"/>
    </row>
    <row r="578" spans="2:16">
      <c r="B578" s="65"/>
      <c r="C578" s="65"/>
      <c r="D578" s="65"/>
      <c r="E578" s="130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99"/>
    </row>
    <row r="579" spans="2:16">
      <c r="B579" s="65"/>
      <c r="C579" s="65"/>
      <c r="D579" s="65"/>
      <c r="E579" s="130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99"/>
    </row>
    <row r="580" spans="2:16">
      <c r="B580" s="65"/>
      <c r="C580" s="65"/>
      <c r="D580" s="65"/>
      <c r="E580" s="130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99"/>
    </row>
    <row r="581" spans="2:16">
      <c r="B581" s="65"/>
      <c r="C581" s="65"/>
      <c r="D581" s="65"/>
      <c r="E581" s="130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99"/>
    </row>
    <row r="582" spans="2:16">
      <c r="B582" s="65"/>
      <c r="C582" s="65"/>
      <c r="D582" s="65"/>
      <c r="E582" s="130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99"/>
    </row>
    <row r="583" spans="2:16">
      <c r="B583" s="65"/>
      <c r="C583" s="65"/>
      <c r="D583" s="65"/>
      <c r="E583" s="130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99"/>
    </row>
    <row r="584" spans="2:16">
      <c r="B584" s="65"/>
      <c r="C584" s="65"/>
      <c r="D584" s="65"/>
      <c r="E584" s="130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99"/>
    </row>
    <row r="585" spans="2:16">
      <c r="B585" s="65"/>
      <c r="C585" s="65"/>
      <c r="D585" s="65"/>
      <c r="E585" s="130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99"/>
    </row>
    <row r="586" spans="2:16">
      <c r="B586" s="65"/>
      <c r="C586" s="65"/>
      <c r="D586" s="65"/>
      <c r="E586" s="130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99"/>
    </row>
    <row r="587" spans="2:16">
      <c r="B587" s="65"/>
      <c r="C587" s="65"/>
      <c r="D587" s="65"/>
      <c r="E587" s="130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99"/>
    </row>
    <row r="588" spans="2:16">
      <c r="B588" s="65"/>
      <c r="C588" s="65"/>
      <c r="D588" s="65"/>
      <c r="E588" s="130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99"/>
    </row>
    <row r="589" spans="2:16">
      <c r="B589" s="65"/>
      <c r="C589" s="65"/>
      <c r="D589" s="65"/>
      <c r="E589" s="130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99"/>
    </row>
    <row r="590" spans="2:16">
      <c r="B590" s="65"/>
      <c r="C590" s="65"/>
      <c r="D590" s="65"/>
      <c r="E590" s="130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99"/>
    </row>
    <row r="591" spans="2:16">
      <c r="B591" s="65"/>
      <c r="C591" s="65"/>
      <c r="D591" s="65"/>
      <c r="E591" s="130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99"/>
    </row>
    <row r="592" spans="2:16">
      <c r="B592" s="65"/>
      <c r="C592" s="65"/>
      <c r="D592" s="65"/>
      <c r="E592" s="130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99"/>
    </row>
    <row r="593" spans="2:16">
      <c r="B593" s="65"/>
      <c r="C593" s="65"/>
      <c r="D593" s="65"/>
      <c r="E593" s="130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99"/>
    </row>
    <row r="594" spans="2:16">
      <c r="B594" s="65"/>
      <c r="C594" s="65"/>
      <c r="D594" s="65"/>
      <c r="E594" s="130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99"/>
    </row>
    <row r="595" spans="2:16">
      <c r="B595" s="65"/>
      <c r="C595" s="65"/>
      <c r="D595" s="65"/>
      <c r="E595" s="130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99"/>
    </row>
    <row r="596" spans="2:16">
      <c r="B596" s="65"/>
      <c r="C596" s="65"/>
      <c r="D596" s="65"/>
      <c r="E596" s="130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99"/>
    </row>
    <row r="597" spans="2:16">
      <c r="B597" s="65"/>
      <c r="C597" s="65"/>
      <c r="D597" s="65"/>
      <c r="E597" s="130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99"/>
    </row>
    <row r="598" spans="2:16">
      <c r="B598" s="65"/>
      <c r="C598" s="65"/>
      <c r="D598" s="65"/>
      <c r="E598" s="130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99"/>
    </row>
    <row r="599" spans="2:16">
      <c r="B599" s="65"/>
      <c r="C599" s="65"/>
      <c r="D599" s="65"/>
      <c r="E599" s="130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99"/>
    </row>
    <row r="600" spans="2:16">
      <c r="B600" s="65"/>
      <c r="C600" s="65"/>
      <c r="D600" s="65"/>
      <c r="E600" s="130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99"/>
    </row>
    <row r="601" spans="2:16">
      <c r="B601" s="65"/>
      <c r="C601" s="65"/>
      <c r="D601" s="65"/>
      <c r="E601" s="130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99"/>
    </row>
    <row r="602" spans="2:16">
      <c r="B602" s="65"/>
      <c r="C602" s="65"/>
      <c r="D602" s="65"/>
      <c r="E602" s="130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99"/>
    </row>
    <row r="603" spans="2:16">
      <c r="B603" s="65"/>
      <c r="C603" s="65"/>
      <c r="D603" s="65"/>
      <c r="E603" s="130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99"/>
    </row>
    <row r="604" spans="2:16">
      <c r="B604" s="65"/>
      <c r="C604" s="65"/>
      <c r="D604" s="65"/>
      <c r="E604" s="130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99"/>
    </row>
    <row r="605" spans="2:16">
      <c r="B605" s="65"/>
      <c r="C605" s="65"/>
      <c r="D605" s="65"/>
      <c r="E605" s="130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99"/>
    </row>
    <row r="606" spans="2:16">
      <c r="B606" s="65"/>
      <c r="C606" s="65"/>
      <c r="D606" s="65"/>
      <c r="E606" s="130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99"/>
    </row>
    <row r="607" spans="2:16">
      <c r="B607" s="65"/>
      <c r="C607" s="65"/>
      <c r="D607" s="65"/>
      <c r="E607" s="130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99"/>
    </row>
    <row r="608" spans="2:16">
      <c r="B608" s="65"/>
      <c r="C608" s="65"/>
      <c r="D608" s="65"/>
      <c r="E608" s="130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99"/>
    </row>
    <row r="609" spans="2:16">
      <c r="B609" s="65"/>
      <c r="C609" s="65"/>
      <c r="D609" s="65"/>
      <c r="E609" s="130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99"/>
    </row>
    <row r="610" spans="2:16">
      <c r="B610" s="65"/>
      <c r="C610" s="65"/>
      <c r="D610" s="65"/>
      <c r="E610" s="130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99"/>
    </row>
    <row r="611" spans="2:16">
      <c r="B611" s="65"/>
      <c r="C611" s="65"/>
      <c r="D611" s="65"/>
      <c r="E611" s="130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99"/>
    </row>
    <row r="612" spans="2:16">
      <c r="B612" s="65"/>
      <c r="C612" s="65"/>
      <c r="D612" s="65"/>
      <c r="E612" s="130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99"/>
    </row>
    <row r="613" spans="2:16">
      <c r="B613" s="65"/>
      <c r="C613" s="65"/>
      <c r="D613" s="65"/>
      <c r="E613" s="130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99"/>
    </row>
    <row r="614" spans="2:16">
      <c r="B614" s="65"/>
      <c r="C614" s="65"/>
      <c r="D614" s="65"/>
      <c r="E614" s="130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99"/>
    </row>
    <row r="615" spans="2:16">
      <c r="B615" s="65"/>
      <c r="C615" s="65"/>
      <c r="D615" s="65"/>
      <c r="E615" s="130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99"/>
    </row>
    <row r="616" spans="2:16">
      <c r="B616" s="65"/>
      <c r="C616" s="65"/>
      <c r="D616" s="65"/>
      <c r="E616" s="130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99"/>
    </row>
    <row r="617" spans="2:16">
      <c r="B617" s="65"/>
      <c r="C617" s="65"/>
      <c r="D617" s="65"/>
      <c r="E617" s="130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99"/>
    </row>
    <row r="618" spans="2:16">
      <c r="B618" s="65"/>
      <c r="C618" s="65"/>
      <c r="D618" s="65"/>
      <c r="E618" s="130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99"/>
    </row>
    <row r="619" spans="2:16">
      <c r="B619" s="65"/>
      <c r="C619" s="65"/>
      <c r="D619" s="65"/>
      <c r="E619" s="130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99"/>
    </row>
    <row r="620" spans="2:16">
      <c r="B620" s="65"/>
      <c r="C620" s="65"/>
      <c r="D620" s="65"/>
      <c r="E620" s="130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99"/>
    </row>
    <row r="621" spans="2:16">
      <c r="B621" s="65"/>
      <c r="C621" s="65"/>
      <c r="D621" s="65"/>
      <c r="E621" s="130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99"/>
    </row>
    <row r="622" spans="2:16">
      <c r="B622" s="65"/>
      <c r="C622" s="65"/>
      <c r="D622" s="65"/>
      <c r="E622" s="130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99"/>
    </row>
    <row r="623" spans="2:16">
      <c r="B623" s="65"/>
      <c r="C623" s="65"/>
      <c r="D623" s="65"/>
      <c r="E623" s="130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99"/>
    </row>
    <row r="624" spans="2:16">
      <c r="B624" s="65"/>
      <c r="C624" s="65"/>
      <c r="D624" s="65"/>
      <c r="E624" s="130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99"/>
    </row>
    <row r="625" spans="2:16">
      <c r="B625" s="65"/>
      <c r="C625" s="65"/>
      <c r="D625" s="65"/>
      <c r="E625" s="130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99"/>
    </row>
    <row r="626" spans="2:16">
      <c r="B626" s="65"/>
      <c r="C626" s="65"/>
      <c r="D626" s="65"/>
      <c r="E626" s="130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99"/>
    </row>
    <row r="627" spans="2:16">
      <c r="B627" s="65"/>
      <c r="C627" s="65"/>
      <c r="D627" s="65"/>
      <c r="E627" s="130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99"/>
    </row>
    <row r="628" spans="2:16">
      <c r="B628" s="65"/>
      <c r="C628" s="65"/>
      <c r="D628" s="65"/>
      <c r="E628" s="130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99"/>
    </row>
    <row r="629" spans="2:16">
      <c r="B629" s="65"/>
      <c r="C629" s="65"/>
      <c r="D629" s="65"/>
      <c r="E629" s="130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99"/>
    </row>
    <row r="630" spans="2:16">
      <c r="B630" s="65"/>
      <c r="C630" s="65"/>
      <c r="D630" s="65"/>
      <c r="E630" s="130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99"/>
    </row>
    <row r="631" spans="2:16">
      <c r="B631" s="65"/>
      <c r="C631" s="65"/>
      <c r="D631" s="65"/>
      <c r="E631" s="130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99"/>
    </row>
    <row r="632" spans="2:16">
      <c r="B632" s="65"/>
      <c r="C632" s="65"/>
      <c r="D632" s="65"/>
      <c r="E632" s="130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99"/>
    </row>
    <row r="633" spans="2:16">
      <c r="B633" s="65"/>
      <c r="C633" s="65"/>
      <c r="D633" s="65"/>
      <c r="E633" s="130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99"/>
    </row>
    <row r="634" spans="2:16">
      <c r="B634" s="65"/>
      <c r="C634" s="65"/>
      <c r="D634" s="65"/>
      <c r="E634" s="130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99"/>
    </row>
    <row r="635" spans="2:16">
      <c r="B635" s="65"/>
      <c r="C635" s="65"/>
      <c r="D635" s="65"/>
      <c r="E635" s="130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99"/>
    </row>
    <row r="636" spans="2:16">
      <c r="B636" s="65"/>
      <c r="C636" s="65"/>
      <c r="D636" s="65"/>
      <c r="E636" s="130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99"/>
    </row>
    <row r="637" spans="2:16">
      <c r="B637" s="65"/>
      <c r="C637" s="65"/>
      <c r="D637" s="65"/>
      <c r="E637" s="130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99"/>
    </row>
    <row r="638" spans="2:16">
      <c r="B638" s="65"/>
      <c r="C638" s="65"/>
      <c r="D638" s="65"/>
      <c r="E638" s="130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99"/>
    </row>
    <row r="639" spans="2:16">
      <c r="B639" s="65"/>
      <c r="C639" s="65"/>
      <c r="D639" s="65"/>
      <c r="E639" s="130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99"/>
    </row>
    <row r="640" spans="2:16">
      <c r="B640" s="65"/>
      <c r="C640" s="65"/>
      <c r="D640" s="65"/>
      <c r="E640" s="130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99"/>
    </row>
    <row r="641" spans="2:16">
      <c r="B641" s="65"/>
      <c r="C641" s="65"/>
      <c r="D641" s="65"/>
      <c r="E641" s="130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99"/>
    </row>
    <row r="642" spans="2:16">
      <c r="B642" s="65"/>
      <c r="C642" s="65"/>
      <c r="D642" s="65"/>
      <c r="E642" s="130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99"/>
    </row>
    <row r="643" spans="2:16">
      <c r="B643" s="65"/>
      <c r="C643" s="65"/>
      <c r="D643" s="65"/>
      <c r="E643" s="130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99"/>
    </row>
    <row r="644" spans="2:16">
      <c r="B644" s="65"/>
      <c r="C644" s="65"/>
      <c r="D644" s="65"/>
      <c r="E644" s="130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99"/>
    </row>
    <row r="645" spans="2:16">
      <c r="B645" s="65"/>
      <c r="C645" s="65"/>
      <c r="D645" s="65"/>
      <c r="E645" s="130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99"/>
    </row>
    <row r="646" spans="2:16">
      <c r="B646" s="65"/>
      <c r="C646" s="65"/>
      <c r="D646" s="65"/>
      <c r="E646" s="130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99"/>
    </row>
    <row r="647" spans="2:16">
      <c r="B647" s="65"/>
      <c r="C647" s="65"/>
      <c r="D647" s="65"/>
      <c r="E647" s="130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99"/>
    </row>
    <row r="648" spans="2:16">
      <c r="B648" s="65"/>
      <c r="C648" s="65"/>
      <c r="D648" s="65"/>
      <c r="E648" s="130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99"/>
    </row>
    <row r="649" spans="2:16">
      <c r="B649" s="65"/>
      <c r="C649" s="65"/>
      <c r="D649" s="65"/>
      <c r="E649" s="130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99"/>
    </row>
    <row r="650" spans="2:16">
      <c r="B650" s="65"/>
      <c r="C650" s="65"/>
      <c r="D650" s="65"/>
      <c r="E650" s="130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99"/>
    </row>
    <row r="651" spans="2:16">
      <c r="B651" s="65"/>
      <c r="C651" s="65"/>
      <c r="D651" s="65"/>
      <c r="E651" s="130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99"/>
    </row>
    <row r="652" spans="2:16">
      <c r="B652" s="65"/>
      <c r="C652" s="65"/>
      <c r="D652" s="65"/>
      <c r="E652" s="130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99"/>
    </row>
    <row r="653" spans="2:16">
      <c r="B653" s="65"/>
      <c r="C653" s="65"/>
      <c r="D653" s="65"/>
      <c r="E653" s="130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99"/>
    </row>
    <row r="654" spans="2:16">
      <c r="B654" s="65"/>
      <c r="C654" s="65"/>
      <c r="D654" s="65"/>
      <c r="E654" s="130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99"/>
    </row>
    <row r="655" spans="2:16">
      <c r="B655" s="65"/>
      <c r="C655" s="65"/>
      <c r="D655" s="65"/>
      <c r="E655" s="130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99"/>
    </row>
    <row r="656" spans="2:16">
      <c r="B656" s="65"/>
      <c r="C656" s="65"/>
      <c r="D656" s="65"/>
      <c r="E656" s="130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99"/>
    </row>
    <row r="657" spans="2:16">
      <c r="B657" s="65"/>
      <c r="C657" s="65"/>
      <c r="D657" s="65"/>
      <c r="E657" s="130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99"/>
    </row>
    <row r="658" spans="2:16">
      <c r="B658" s="65"/>
      <c r="C658" s="65"/>
      <c r="D658" s="65"/>
      <c r="E658" s="130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99"/>
    </row>
    <row r="659" spans="2:16">
      <c r="B659" s="65"/>
      <c r="C659" s="65"/>
      <c r="D659" s="65"/>
      <c r="E659" s="130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99"/>
    </row>
    <row r="660" spans="2:16">
      <c r="B660" s="65"/>
      <c r="C660" s="65"/>
      <c r="D660" s="65"/>
      <c r="E660" s="130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99"/>
    </row>
    <row r="661" spans="2:16">
      <c r="B661" s="65"/>
      <c r="C661" s="65"/>
      <c r="D661" s="65"/>
      <c r="E661" s="130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99"/>
    </row>
    <row r="662" spans="2:16">
      <c r="B662" s="65"/>
      <c r="C662" s="65"/>
      <c r="D662" s="65"/>
      <c r="E662" s="130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99"/>
    </row>
    <row r="663" spans="2:16">
      <c r="B663" s="65"/>
      <c r="C663" s="65"/>
      <c r="D663" s="65"/>
      <c r="E663" s="130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99"/>
    </row>
    <row r="664" spans="2:16">
      <c r="B664" s="65"/>
      <c r="C664" s="65"/>
      <c r="D664" s="65"/>
      <c r="E664" s="130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99"/>
    </row>
    <row r="665" spans="2:16">
      <c r="B665" s="65"/>
      <c r="C665" s="65"/>
      <c r="D665" s="65"/>
      <c r="E665" s="130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99"/>
    </row>
    <row r="666" spans="2:16">
      <c r="B666" s="65"/>
      <c r="C666" s="65"/>
      <c r="D666" s="65"/>
      <c r="E666" s="130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99"/>
    </row>
    <row r="667" spans="2:16">
      <c r="B667" s="65"/>
      <c r="C667" s="65"/>
      <c r="D667" s="65"/>
      <c r="E667" s="130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99"/>
    </row>
    <row r="668" spans="2:16">
      <c r="B668" s="65"/>
      <c r="C668" s="65"/>
      <c r="D668" s="65"/>
      <c r="E668" s="130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99"/>
    </row>
    <row r="669" spans="2:16">
      <c r="B669" s="65"/>
      <c r="C669" s="65"/>
      <c r="D669" s="65"/>
      <c r="E669" s="130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99"/>
    </row>
    <row r="670" spans="2:16">
      <c r="B670" s="65"/>
      <c r="C670" s="65"/>
      <c r="D670" s="65"/>
      <c r="E670" s="130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99"/>
    </row>
    <row r="671" spans="2:16">
      <c r="B671" s="65"/>
      <c r="C671" s="65"/>
      <c r="D671" s="65"/>
      <c r="E671" s="130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99"/>
    </row>
    <row r="672" spans="2:16">
      <c r="B672" s="65"/>
      <c r="C672" s="65"/>
      <c r="D672" s="65"/>
      <c r="E672" s="130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99"/>
    </row>
    <row r="673" spans="2:16">
      <c r="B673" s="65"/>
      <c r="C673" s="65"/>
      <c r="D673" s="65"/>
      <c r="E673" s="130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99"/>
    </row>
    <row r="674" spans="2:16">
      <c r="B674" s="65"/>
      <c r="C674" s="65"/>
      <c r="D674" s="65"/>
      <c r="E674" s="130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99"/>
    </row>
    <row r="675" spans="2:16">
      <c r="B675" s="65"/>
      <c r="C675" s="65"/>
      <c r="D675" s="65"/>
      <c r="E675" s="130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99"/>
    </row>
    <row r="676" spans="2:16">
      <c r="B676" s="65"/>
      <c r="C676" s="65"/>
      <c r="D676" s="65"/>
      <c r="E676" s="130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99"/>
    </row>
    <row r="677" spans="2:16">
      <c r="B677" s="65"/>
      <c r="C677" s="65"/>
      <c r="D677" s="65"/>
      <c r="E677" s="130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99"/>
    </row>
    <row r="678" spans="2:16">
      <c r="B678" s="65"/>
      <c r="C678" s="65"/>
      <c r="D678" s="65"/>
      <c r="E678" s="130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99"/>
    </row>
    <row r="679" spans="2:16">
      <c r="B679" s="65"/>
      <c r="C679" s="65"/>
      <c r="D679" s="65"/>
      <c r="E679" s="130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99"/>
    </row>
    <row r="680" spans="2:16">
      <c r="B680" s="65"/>
      <c r="C680" s="65"/>
      <c r="D680" s="65"/>
      <c r="E680" s="130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99"/>
    </row>
    <row r="681" spans="2:16">
      <c r="B681" s="65"/>
      <c r="C681" s="65"/>
      <c r="D681" s="65"/>
      <c r="E681" s="130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99"/>
    </row>
    <row r="682" spans="2:16">
      <c r="B682" s="65"/>
      <c r="C682" s="65"/>
      <c r="D682" s="65"/>
      <c r="E682" s="130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99"/>
    </row>
    <row r="683" spans="2:16">
      <c r="B683" s="65"/>
      <c r="C683" s="65"/>
      <c r="D683" s="65"/>
      <c r="E683" s="130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99"/>
    </row>
    <row r="684" spans="2:16">
      <c r="B684" s="65"/>
      <c r="C684" s="65"/>
      <c r="D684" s="65"/>
      <c r="E684" s="130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99"/>
    </row>
    <row r="685" spans="2:16">
      <c r="B685" s="65"/>
      <c r="C685" s="65"/>
      <c r="D685" s="65"/>
      <c r="E685" s="130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99"/>
    </row>
    <row r="686" spans="2:16">
      <c r="B686" s="65"/>
      <c r="C686" s="65"/>
      <c r="D686" s="65"/>
      <c r="E686" s="130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99"/>
    </row>
    <row r="687" spans="2:16">
      <c r="B687" s="65"/>
      <c r="C687" s="65"/>
      <c r="D687" s="65"/>
      <c r="E687" s="130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99"/>
    </row>
    <row r="688" spans="2:16">
      <c r="B688" s="65"/>
      <c r="C688" s="65"/>
      <c r="D688" s="65"/>
      <c r="E688" s="130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99"/>
    </row>
    <row r="689" spans="2:16">
      <c r="B689" s="65"/>
      <c r="C689" s="65"/>
      <c r="D689" s="65"/>
      <c r="E689" s="130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99"/>
    </row>
    <row r="690" spans="2:16">
      <c r="B690" s="65"/>
      <c r="C690" s="65"/>
      <c r="D690" s="65"/>
      <c r="E690" s="130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99"/>
    </row>
    <row r="691" spans="2:16">
      <c r="B691" s="65"/>
      <c r="C691" s="65"/>
      <c r="D691" s="65"/>
      <c r="E691" s="130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99"/>
    </row>
    <row r="692" spans="2:16">
      <c r="B692" s="65"/>
      <c r="C692" s="65"/>
      <c r="D692" s="65"/>
      <c r="E692" s="130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99"/>
    </row>
    <row r="693" spans="2:16">
      <c r="B693" s="65"/>
      <c r="C693" s="65"/>
      <c r="D693" s="65"/>
      <c r="E693" s="130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99"/>
    </row>
    <row r="694" spans="2:16">
      <c r="B694" s="65"/>
      <c r="C694" s="65"/>
      <c r="D694" s="65"/>
      <c r="E694" s="130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99"/>
    </row>
    <row r="695" spans="2:16">
      <c r="B695" s="65"/>
      <c r="C695" s="65"/>
      <c r="D695" s="65"/>
      <c r="E695" s="130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99"/>
    </row>
    <row r="696" spans="2:16">
      <c r="B696" s="65"/>
      <c r="C696" s="65"/>
      <c r="D696" s="65"/>
      <c r="E696" s="130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99"/>
    </row>
    <row r="697" spans="2:16">
      <c r="B697" s="65"/>
      <c r="C697" s="65"/>
      <c r="D697" s="65"/>
      <c r="E697" s="130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99"/>
    </row>
    <row r="698" spans="2:16">
      <c r="B698" s="65"/>
      <c r="C698" s="65"/>
      <c r="D698" s="65"/>
      <c r="E698" s="130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99"/>
    </row>
    <row r="699" spans="2:16">
      <c r="B699" s="65"/>
      <c r="C699" s="65"/>
      <c r="D699" s="65"/>
      <c r="E699" s="130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99"/>
    </row>
    <row r="700" spans="2:16">
      <c r="B700" s="65"/>
      <c r="C700" s="65"/>
      <c r="D700" s="65"/>
      <c r="E700" s="130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99"/>
    </row>
    <row r="701" spans="2:16">
      <c r="B701" s="65"/>
      <c r="C701" s="65"/>
      <c r="D701" s="65"/>
      <c r="E701" s="130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99"/>
    </row>
    <row r="702" spans="2:16">
      <c r="B702" s="65"/>
      <c r="C702" s="65"/>
      <c r="D702" s="65"/>
      <c r="E702" s="130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99"/>
    </row>
    <row r="703" spans="2:16">
      <c r="B703" s="65"/>
      <c r="C703" s="65"/>
      <c r="D703" s="65"/>
      <c r="E703" s="130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99"/>
    </row>
    <row r="704" spans="2:16">
      <c r="B704" s="65"/>
      <c r="C704" s="65"/>
      <c r="D704" s="65"/>
      <c r="E704" s="130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99"/>
    </row>
    <row r="705" spans="2:16">
      <c r="B705" s="65"/>
      <c r="C705" s="65"/>
      <c r="D705" s="65"/>
      <c r="E705" s="130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99"/>
    </row>
    <row r="706" spans="2:16">
      <c r="B706" s="65"/>
      <c r="C706" s="65"/>
      <c r="D706" s="65"/>
      <c r="E706" s="130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99"/>
    </row>
    <row r="707" spans="2:16">
      <c r="B707" s="65"/>
      <c r="C707" s="65"/>
      <c r="D707" s="65"/>
      <c r="E707" s="130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99"/>
    </row>
    <row r="708" spans="2:16">
      <c r="B708" s="65"/>
      <c r="C708" s="65"/>
      <c r="D708" s="65"/>
      <c r="E708" s="130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99"/>
    </row>
    <row r="709" spans="2:16">
      <c r="B709" s="65"/>
      <c r="C709" s="65"/>
      <c r="D709" s="65"/>
      <c r="E709" s="130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99"/>
    </row>
    <row r="710" spans="2:16">
      <c r="B710" s="65"/>
      <c r="C710" s="65"/>
      <c r="D710" s="65"/>
      <c r="E710" s="130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99"/>
    </row>
    <row r="711" spans="2:16">
      <c r="B711" s="65"/>
      <c r="C711" s="65"/>
      <c r="D711" s="65"/>
      <c r="E711" s="130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99"/>
    </row>
    <row r="712" spans="2:16">
      <c r="B712" s="65"/>
      <c r="C712" s="65"/>
      <c r="D712" s="65"/>
      <c r="E712" s="130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99"/>
    </row>
    <row r="713" spans="2:16">
      <c r="B713" s="65"/>
      <c r="C713" s="65"/>
      <c r="D713" s="65"/>
      <c r="E713" s="130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99"/>
    </row>
    <row r="714" spans="2:16">
      <c r="B714" s="65"/>
      <c r="C714" s="65"/>
      <c r="D714" s="65"/>
      <c r="E714" s="130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99"/>
    </row>
    <row r="715" spans="2:16">
      <c r="B715" s="65"/>
      <c r="C715" s="65"/>
      <c r="D715" s="65"/>
      <c r="E715" s="130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99"/>
    </row>
    <row r="716" spans="2:16">
      <c r="B716" s="65"/>
      <c r="C716" s="65"/>
      <c r="D716" s="65"/>
      <c r="E716" s="130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99"/>
    </row>
    <row r="717" spans="2:16">
      <c r="B717" s="65"/>
      <c r="C717" s="65"/>
      <c r="D717" s="65"/>
      <c r="E717" s="130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99"/>
    </row>
    <row r="718" spans="2:16">
      <c r="B718" s="65"/>
      <c r="C718" s="65"/>
      <c r="D718" s="65"/>
      <c r="E718" s="130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99"/>
    </row>
    <row r="719" spans="2:16">
      <c r="B719" s="65"/>
      <c r="C719" s="65"/>
      <c r="D719" s="65"/>
      <c r="E719" s="130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99"/>
    </row>
    <row r="720" spans="2:16">
      <c r="B720" s="65"/>
      <c r="C720" s="65"/>
      <c r="D720" s="65"/>
      <c r="E720" s="130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99"/>
    </row>
    <row r="721" spans="2:16">
      <c r="B721" s="65"/>
      <c r="C721" s="65"/>
      <c r="D721" s="65"/>
      <c r="E721" s="130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99"/>
    </row>
    <row r="722" spans="2:16">
      <c r="B722" s="65"/>
      <c r="C722" s="65"/>
      <c r="D722" s="65"/>
      <c r="E722" s="130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99"/>
    </row>
    <row r="723" spans="2:16">
      <c r="B723" s="65"/>
      <c r="C723" s="65"/>
      <c r="D723" s="65"/>
      <c r="E723" s="130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99"/>
    </row>
    <row r="724" spans="2:16">
      <c r="B724" s="65"/>
      <c r="C724" s="65"/>
      <c r="D724" s="65"/>
      <c r="E724" s="130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99"/>
    </row>
    <row r="725" spans="2:16">
      <c r="B725" s="65"/>
      <c r="C725" s="65"/>
      <c r="D725" s="65"/>
      <c r="E725" s="130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99"/>
    </row>
    <row r="726" spans="2:16">
      <c r="B726" s="65"/>
      <c r="C726" s="65"/>
      <c r="D726" s="65"/>
      <c r="E726" s="130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99"/>
    </row>
    <row r="727" spans="2:16">
      <c r="B727" s="65"/>
      <c r="C727" s="65"/>
      <c r="D727" s="65"/>
      <c r="E727" s="130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99"/>
    </row>
    <row r="728" spans="2:16">
      <c r="B728" s="65"/>
      <c r="C728" s="65"/>
      <c r="D728" s="65"/>
      <c r="E728" s="130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99"/>
    </row>
    <row r="729" spans="2:16">
      <c r="B729" s="65"/>
      <c r="C729" s="65"/>
      <c r="D729" s="65"/>
      <c r="E729" s="130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99"/>
    </row>
    <row r="730" spans="2:16">
      <c r="B730" s="65"/>
      <c r="C730" s="65"/>
      <c r="D730" s="65"/>
      <c r="E730" s="130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99"/>
    </row>
    <row r="731" spans="2:16">
      <c r="B731" s="65"/>
      <c r="C731" s="65"/>
      <c r="D731" s="65"/>
      <c r="E731" s="130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99"/>
    </row>
    <row r="732" spans="2:16">
      <c r="B732" s="65"/>
      <c r="C732" s="65"/>
      <c r="D732" s="65"/>
      <c r="E732" s="130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99"/>
    </row>
    <row r="733" spans="2:16">
      <c r="B733" s="65"/>
      <c r="C733" s="65"/>
      <c r="D733" s="65"/>
      <c r="E733" s="130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99"/>
    </row>
    <row r="734" spans="2:16">
      <c r="B734" s="65"/>
      <c r="C734" s="65"/>
      <c r="D734" s="65"/>
      <c r="E734" s="130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99"/>
    </row>
    <row r="735" spans="2:16">
      <c r="B735" s="65"/>
      <c r="C735" s="65"/>
      <c r="D735" s="65"/>
      <c r="E735" s="130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99"/>
    </row>
    <row r="736" spans="2:16">
      <c r="B736" s="65"/>
      <c r="C736" s="65"/>
      <c r="D736" s="65"/>
      <c r="E736" s="130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99"/>
    </row>
    <row r="737" spans="2:16">
      <c r="B737" s="65"/>
      <c r="C737" s="65"/>
      <c r="D737" s="65"/>
      <c r="E737" s="130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99"/>
    </row>
    <row r="738" spans="2:16">
      <c r="B738" s="65"/>
      <c r="C738" s="65"/>
      <c r="D738" s="65"/>
      <c r="E738" s="130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99"/>
    </row>
    <row r="739" spans="2:16">
      <c r="B739" s="65"/>
      <c r="C739" s="65"/>
      <c r="D739" s="65"/>
      <c r="E739" s="130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99"/>
    </row>
    <row r="740" spans="2:16">
      <c r="B740" s="65"/>
      <c r="C740" s="65"/>
      <c r="D740" s="65"/>
      <c r="E740" s="130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99"/>
    </row>
    <row r="741" spans="2:16">
      <c r="B741" s="65"/>
      <c r="C741" s="65"/>
      <c r="D741" s="65"/>
      <c r="E741" s="130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99"/>
    </row>
    <row r="742" spans="2:16">
      <c r="B742" s="65"/>
      <c r="C742" s="65"/>
      <c r="D742" s="65"/>
      <c r="E742" s="130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99"/>
    </row>
    <row r="743" spans="2:16">
      <c r="B743" s="65"/>
      <c r="C743" s="65"/>
      <c r="D743" s="65"/>
      <c r="E743" s="130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99"/>
    </row>
    <row r="744" spans="2:16">
      <c r="B744" s="65"/>
      <c r="C744" s="65"/>
      <c r="D744" s="65"/>
      <c r="E744" s="130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99"/>
    </row>
    <row r="745" spans="2:16">
      <c r="B745" s="65"/>
      <c r="C745" s="65"/>
      <c r="D745" s="65"/>
      <c r="E745" s="130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99"/>
    </row>
    <row r="746" spans="2:16">
      <c r="B746" s="65"/>
      <c r="C746" s="65"/>
      <c r="D746" s="65"/>
      <c r="E746" s="130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99"/>
    </row>
    <row r="747" spans="2:16">
      <c r="B747" s="65"/>
      <c r="C747" s="65"/>
      <c r="D747" s="65"/>
      <c r="E747" s="130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99"/>
    </row>
    <row r="748" spans="2:16">
      <c r="B748" s="65"/>
      <c r="C748" s="65"/>
      <c r="D748" s="65"/>
      <c r="E748" s="130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99"/>
    </row>
    <row r="749" spans="2:16">
      <c r="B749" s="65"/>
      <c r="C749" s="65"/>
      <c r="D749" s="65"/>
      <c r="E749" s="130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99"/>
    </row>
    <row r="750" spans="2:16">
      <c r="B750" s="65"/>
      <c r="C750" s="65"/>
      <c r="D750" s="65"/>
      <c r="E750" s="130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99"/>
    </row>
    <row r="751" spans="2:16">
      <c r="B751" s="65"/>
      <c r="C751" s="65"/>
      <c r="D751" s="65"/>
      <c r="E751" s="130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99"/>
    </row>
    <row r="752" spans="2:16">
      <c r="B752" s="65"/>
      <c r="C752" s="65"/>
      <c r="D752" s="65"/>
      <c r="E752" s="130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99"/>
    </row>
    <row r="753" spans="2:16">
      <c r="B753" s="65"/>
      <c r="C753" s="65"/>
      <c r="D753" s="65"/>
      <c r="E753" s="130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99"/>
    </row>
    <row r="754" spans="2:16">
      <c r="B754" s="65"/>
      <c r="C754" s="65"/>
      <c r="D754" s="65"/>
      <c r="E754" s="130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99"/>
    </row>
    <row r="755" spans="2:16">
      <c r="B755" s="65"/>
      <c r="C755" s="65"/>
      <c r="D755" s="65"/>
      <c r="E755" s="130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99"/>
    </row>
    <row r="756" spans="2:16">
      <c r="B756" s="65"/>
      <c r="C756" s="65"/>
      <c r="D756" s="65"/>
      <c r="E756" s="130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99"/>
    </row>
    <row r="757" spans="2:16">
      <c r="B757" s="65"/>
      <c r="C757" s="65"/>
      <c r="D757" s="65"/>
      <c r="E757" s="130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99"/>
    </row>
    <row r="758" spans="2:16">
      <c r="B758" s="65"/>
      <c r="C758" s="65"/>
      <c r="D758" s="65"/>
      <c r="E758" s="130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99"/>
    </row>
    <row r="759" spans="2:16">
      <c r="B759" s="65"/>
      <c r="C759" s="65"/>
      <c r="D759" s="65"/>
      <c r="E759" s="130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99"/>
    </row>
    <row r="760" spans="2:16">
      <c r="B760" s="65"/>
      <c r="C760" s="65"/>
      <c r="D760" s="65"/>
      <c r="E760" s="130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99"/>
    </row>
    <row r="761" spans="2:16">
      <c r="B761" s="65"/>
      <c r="C761" s="65"/>
      <c r="D761" s="65"/>
      <c r="E761" s="130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99"/>
    </row>
    <row r="762" spans="2:16">
      <c r="B762" s="65"/>
      <c r="C762" s="65"/>
      <c r="D762" s="65"/>
      <c r="E762" s="130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99"/>
    </row>
    <row r="763" spans="2:16">
      <c r="B763" s="65"/>
      <c r="C763" s="65"/>
      <c r="D763" s="65"/>
      <c r="E763" s="130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99"/>
    </row>
    <row r="764" spans="2:16">
      <c r="B764" s="65"/>
      <c r="C764" s="65"/>
      <c r="D764" s="65"/>
      <c r="E764" s="130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99"/>
    </row>
    <row r="765" spans="2:16">
      <c r="B765" s="65"/>
      <c r="C765" s="65"/>
      <c r="D765" s="65"/>
      <c r="E765" s="130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99"/>
    </row>
    <row r="766" spans="2:16">
      <c r="B766" s="65"/>
      <c r="C766" s="65"/>
      <c r="D766" s="65"/>
      <c r="E766" s="130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99"/>
    </row>
    <row r="767" spans="2:16">
      <c r="B767" s="65"/>
      <c r="C767" s="65"/>
      <c r="D767" s="65"/>
      <c r="E767" s="130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99"/>
    </row>
    <row r="768" spans="2:16">
      <c r="B768" s="65"/>
      <c r="C768" s="65"/>
      <c r="D768" s="65"/>
      <c r="E768" s="130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99"/>
    </row>
    <row r="769" spans="2:16">
      <c r="B769" s="65"/>
      <c r="C769" s="65"/>
      <c r="D769" s="65"/>
      <c r="E769" s="130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99"/>
    </row>
    <row r="770" spans="2:16">
      <c r="B770" s="65"/>
      <c r="C770" s="65"/>
      <c r="D770" s="65"/>
      <c r="E770" s="130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99"/>
    </row>
    <row r="771" spans="2:16">
      <c r="B771" s="65"/>
      <c r="C771" s="65"/>
      <c r="D771" s="65"/>
      <c r="E771" s="130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99"/>
    </row>
    <row r="772" spans="2:16">
      <c r="B772" s="65"/>
      <c r="C772" s="65"/>
      <c r="D772" s="65"/>
      <c r="E772" s="130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99"/>
    </row>
    <row r="773" spans="2:16">
      <c r="B773" s="65"/>
      <c r="C773" s="65"/>
      <c r="D773" s="65"/>
      <c r="E773" s="130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99"/>
    </row>
    <row r="774" spans="2:16">
      <c r="B774" s="65"/>
      <c r="C774" s="65"/>
      <c r="D774" s="65"/>
      <c r="E774" s="130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99"/>
    </row>
    <row r="775" spans="2:16">
      <c r="B775" s="65"/>
      <c r="C775" s="65"/>
      <c r="D775" s="65"/>
      <c r="E775" s="130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99"/>
    </row>
    <row r="776" spans="2:16">
      <c r="B776" s="65"/>
      <c r="C776" s="65"/>
      <c r="D776" s="65"/>
      <c r="E776" s="130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99"/>
    </row>
    <row r="777" spans="2:16">
      <c r="B777" s="65"/>
      <c r="C777" s="65"/>
      <c r="D777" s="65"/>
      <c r="E777" s="130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99"/>
    </row>
    <row r="778" spans="2:16">
      <c r="B778" s="65"/>
      <c r="C778" s="65"/>
      <c r="D778" s="65"/>
      <c r="E778" s="130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99"/>
    </row>
    <row r="779" spans="2:16">
      <c r="B779" s="65"/>
      <c r="C779" s="65"/>
      <c r="D779" s="65"/>
      <c r="E779" s="130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99"/>
    </row>
    <row r="780" spans="2:16">
      <c r="B780" s="65"/>
      <c r="C780" s="65"/>
      <c r="D780" s="65"/>
      <c r="E780" s="130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99"/>
    </row>
    <row r="781" spans="2:16">
      <c r="B781" s="65"/>
      <c r="C781" s="65"/>
      <c r="D781" s="65"/>
      <c r="E781" s="130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99"/>
    </row>
    <row r="782" spans="2:16">
      <c r="B782" s="65"/>
      <c r="C782" s="65"/>
      <c r="D782" s="65"/>
      <c r="E782" s="130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99"/>
    </row>
    <row r="783" spans="2:16">
      <c r="B783" s="65"/>
      <c r="C783" s="65"/>
      <c r="D783" s="65"/>
      <c r="E783" s="130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99"/>
    </row>
    <row r="784" spans="2:16">
      <c r="B784" s="65"/>
      <c r="C784" s="65"/>
      <c r="D784" s="65"/>
      <c r="E784" s="130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99"/>
    </row>
    <row r="785" spans="2:16">
      <c r="B785" s="65"/>
      <c r="C785" s="65"/>
      <c r="D785" s="65"/>
      <c r="E785" s="130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99"/>
    </row>
    <row r="786" spans="2:16">
      <c r="B786" s="65"/>
      <c r="C786" s="65"/>
      <c r="D786" s="65"/>
      <c r="E786" s="130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99"/>
    </row>
    <row r="787" spans="2:16">
      <c r="B787" s="65"/>
      <c r="C787" s="65"/>
      <c r="D787" s="65"/>
      <c r="E787" s="130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99"/>
    </row>
    <row r="788" spans="2:16">
      <c r="B788" s="65"/>
      <c r="C788" s="65"/>
      <c r="D788" s="65"/>
      <c r="E788" s="130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99"/>
    </row>
    <row r="789" spans="2:16">
      <c r="B789" s="65"/>
      <c r="C789" s="65"/>
      <c r="D789" s="65"/>
      <c r="E789" s="130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99"/>
    </row>
    <row r="790" spans="2:16">
      <c r="B790" s="65"/>
      <c r="C790" s="65"/>
      <c r="D790" s="65"/>
      <c r="E790" s="130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99"/>
    </row>
    <row r="791" spans="2:16">
      <c r="B791" s="65"/>
      <c r="C791" s="65"/>
      <c r="D791" s="65"/>
      <c r="E791" s="130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99"/>
    </row>
    <row r="792" spans="2:16">
      <c r="B792" s="65"/>
      <c r="C792" s="65"/>
      <c r="D792" s="65"/>
      <c r="E792" s="130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99"/>
    </row>
    <row r="793" spans="2:16">
      <c r="B793" s="65"/>
      <c r="C793" s="65"/>
      <c r="D793" s="65"/>
      <c r="E793" s="130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99"/>
    </row>
    <row r="794" spans="2:16">
      <c r="B794" s="65"/>
      <c r="C794" s="65"/>
      <c r="D794" s="65"/>
      <c r="E794" s="130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99"/>
    </row>
    <row r="795" spans="2:16">
      <c r="B795" s="65"/>
      <c r="C795" s="65"/>
      <c r="D795" s="65"/>
      <c r="E795" s="130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99"/>
    </row>
    <row r="796" spans="2:16">
      <c r="B796" s="65"/>
      <c r="C796" s="65"/>
      <c r="D796" s="65"/>
      <c r="E796" s="130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99"/>
    </row>
    <row r="797" spans="2:16">
      <c r="B797" s="65"/>
      <c r="C797" s="65"/>
      <c r="D797" s="65"/>
      <c r="E797" s="130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99"/>
    </row>
    <row r="798" spans="2:16">
      <c r="B798" s="65"/>
      <c r="C798" s="65"/>
      <c r="D798" s="65"/>
      <c r="E798" s="130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99"/>
    </row>
    <row r="799" spans="2:16">
      <c r="B799" s="65"/>
      <c r="C799" s="65"/>
      <c r="D799" s="65"/>
      <c r="E799" s="130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99"/>
    </row>
    <row r="800" spans="2:16">
      <c r="B800" s="65"/>
      <c r="C800" s="65"/>
      <c r="D800" s="65"/>
      <c r="E800" s="130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99"/>
    </row>
    <row r="801" spans="2:16">
      <c r="B801" s="65"/>
      <c r="C801" s="65"/>
      <c r="D801" s="65"/>
      <c r="E801" s="130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99"/>
    </row>
    <row r="802" spans="2:16">
      <c r="B802" s="65"/>
      <c r="C802" s="65"/>
      <c r="D802" s="65"/>
      <c r="E802" s="130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99"/>
    </row>
    <row r="803" spans="2:16">
      <c r="B803" s="65"/>
      <c r="C803" s="65"/>
      <c r="D803" s="65"/>
      <c r="E803" s="130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99"/>
    </row>
    <row r="804" spans="2:16">
      <c r="B804" s="65"/>
      <c r="C804" s="65"/>
      <c r="D804" s="65"/>
      <c r="E804" s="130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99"/>
    </row>
    <row r="805" spans="2:16">
      <c r="B805" s="65"/>
      <c r="C805" s="65"/>
      <c r="D805" s="65"/>
      <c r="E805" s="130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99"/>
    </row>
    <row r="806" spans="2:16">
      <c r="B806" s="65"/>
      <c r="C806" s="65"/>
      <c r="D806" s="65"/>
      <c r="E806" s="130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99"/>
    </row>
    <row r="807" spans="2:16">
      <c r="B807" s="65"/>
      <c r="C807" s="65"/>
      <c r="D807" s="65"/>
      <c r="E807" s="130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99"/>
    </row>
    <row r="808" spans="2:16">
      <c r="B808" s="65"/>
      <c r="C808" s="65"/>
      <c r="D808" s="65"/>
      <c r="E808" s="130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99"/>
    </row>
    <row r="809" spans="2:16">
      <c r="B809" s="65"/>
      <c r="C809" s="65"/>
      <c r="D809" s="65"/>
      <c r="E809" s="130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99"/>
    </row>
    <row r="810" spans="2:16">
      <c r="B810" s="65"/>
      <c r="C810" s="65"/>
      <c r="D810" s="65"/>
      <c r="E810" s="130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99"/>
    </row>
    <row r="811" spans="2:16">
      <c r="B811" s="65"/>
      <c r="C811" s="65"/>
      <c r="D811" s="65"/>
      <c r="E811" s="130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99"/>
    </row>
    <row r="812" spans="2:16">
      <c r="B812" s="65"/>
      <c r="C812" s="65"/>
      <c r="D812" s="65"/>
      <c r="E812" s="130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99"/>
    </row>
    <row r="813" spans="2:16">
      <c r="B813" s="65"/>
      <c r="C813" s="65"/>
      <c r="D813" s="65"/>
      <c r="E813" s="130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99"/>
    </row>
    <row r="814" spans="2:16">
      <c r="B814" s="65"/>
      <c r="C814" s="65"/>
      <c r="D814" s="65"/>
      <c r="E814" s="130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99"/>
    </row>
    <row r="815" spans="2:16">
      <c r="B815" s="65"/>
      <c r="C815" s="65"/>
      <c r="D815" s="65"/>
      <c r="E815" s="130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99"/>
    </row>
    <row r="816" spans="2:16">
      <c r="B816" s="65"/>
      <c r="C816" s="65"/>
      <c r="D816" s="65"/>
      <c r="E816" s="130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99"/>
    </row>
    <row r="817" spans="2:16">
      <c r="B817" s="65"/>
      <c r="C817" s="65"/>
      <c r="D817" s="65"/>
      <c r="E817" s="130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99"/>
    </row>
    <row r="818" spans="2:16">
      <c r="B818" s="65"/>
      <c r="C818" s="65"/>
      <c r="D818" s="65"/>
      <c r="E818" s="130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99"/>
    </row>
    <row r="819" spans="2:16">
      <c r="B819" s="65"/>
      <c r="C819" s="65"/>
      <c r="D819" s="65"/>
      <c r="E819" s="130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99"/>
    </row>
    <row r="820" spans="2:16">
      <c r="B820" s="65"/>
      <c r="C820" s="65"/>
      <c r="D820" s="65"/>
      <c r="E820" s="130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99"/>
    </row>
    <row r="821" spans="2:16">
      <c r="B821" s="65"/>
      <c r="C821" s="65"/>
      <c r="D821" s="65"/>
      <c r="E821" s="130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99"/>
    </row>
    <row r="822" spans="2:16">
      <c r="B822" s="65"/>
      <c r="C822" s="65"/>
      <c r="D822" s="65"/>
      <c r="E822" s="130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99"/>
    </row>
    <row r="823" spans="2:16">
      <c r="B823" s="65"/>
      <c r="C823" s="65"/>
      <c r="D823" s="65"/>
      <c r="E823" s="130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99"/>
    </row>
    <row r="824" spans="2:16">
      <c r="B824" s="65"/>
      <c r="C824" s="65"/>
      <c r="D824" s="65"/>
      <c r="E824" s="130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99"/>
    </row>
    <row r="825" spans="2:16">
      <c r="B825" s="65"/>
      <c r="C825" s="65"/>
      <c r="D825" s="65"/>
      <c r="E825" s="130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99"/>
    </row>
    <row r="826" spans="2:16">
      <c r="B826" s="65"/>
      <c r="C826" s="65"/>
      <c r="D826" s="65"/>
      <c r="E826" s="130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99"/>
    </row>
    <row r="827" spans="2:16">
      <c r="B827" s="65"/>
      <c r="C827" s="65"/>
      <c r="D827" s="65"/>
      <c r="E827" s="130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99"/>
    </row>
    <row r="828" spans="2:16">
      <c r="B828" s="65"/>
      <c r="C828" s="65"/>
      <c r="D828" s="65"/>
      <c r="E828" s="130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99"/>
    </row>
    <row r="829" spans="2:16">
      <c r="B829" s="65"/>
      <c r="C829" s="65"/>
      <c r="D829" s="65"/>
      <c r="E829" s="130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99"/>
    </row>
    <row r="830" spans="2:16">
      <c r="B830" s="65"/>
      <c r="C830" s="65"/>
      <c r="D830" s="65"/>
      <c r="E830" s="130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99"/>
    </row>
    <row r="831" spans="2:16">
      <c r="B831" s="65"/>
      <c r="C831" s="65"/>
      <c r="D831" s="65"/>
      <c r="E831" s="130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99"/>
    </row>
    <row r="832" spans="2:16">
      <c r="B832" s="65"/>
      <c r="C832" s="65"/>
      <c r="D832" s="65"/>
      <c r="E832" s="130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99"/>
    </row>
    <row r="833" spans="2:16">
      <c r="B833" s="65"/>
      <c r="C833" s="65"/>
      <c r="D833" s="65"/>
      <c r="E833" s="130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99"/>
    </row>
    <row r="834" spans="2:16">
      <c r="B834" s="65"/>
      <c r="C834" s="65"/>
      <c r="D834" s="65"/>
      <c r="E834" s="130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99"/>
    </row>
    <row r="835" spans="2:16">
      <c r="B835" s="65"/>
      <c r="C835" s="65"/>
      <c r="D835" s="65"/>
      <c r="E835" s="130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99"/>
    </row>
    <row r="836" spans="2:16">
      <c r="B836" s="65"/>
      <c r="C836" s="65"/>
      <c r="D836" s="65"/>
      <c r="E836" s="130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99"/>
    </row>
    <row r="837" spans="2:16">
      <c r="B837" s="65"/>
      <c r="C837" s="65"/>
      <c r="D837" s="65"/>
      <c r="E837" s="130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99"/>
    </row>
    <row r="838" spans="2:16">
      <c r="B838" s="65"/>
      <c r="C838" s="65"/>
      <c r="D838" s="65"/>
      <c r="E838" s="130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99"/>
    </row>
    <row r="839" spans="2:16">
      <c r="B839" s="65"/>
      <c r="C839" s="65"/>
      <c r="D839" s="65"/>
      <c r="E839" s="130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99"/>
    </row>
    <row r="840" spans="2:16">
      <c r="B840" s="65"/>
      <c r="C840" s="65"/>
      <c r="D840" s="65"/>
      <c r="E840" s="130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99"/>
    </row>
    <row r="841" spans="2:16">
      <c r="B841" s="65"/>
      <c r="C841" s="65"/>
      <c r="D841" s="65"/>
      <c r="E841" s="130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99"/>
    </row>
    <row r="842" spans="2:16">
      <c r="B842" s="65"/>
      <c r="C842" s="65"/>
      <c r="D842" s="65"/>
      <c r="E842" s="130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99"/>
    </row>
    <row r="843" spans="2:16">
      <c r="B843" s="65"/>
      <c r="C843" s="65"/>
      <c r="D843" s="65"/>
      <c r="E843" s="130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99"/>
    </row>
    <row r="844" spans="2:16">
      <c r="B844" s="65"/>
      <c r="C844" s="65"/>
      <c r="D844" s="65"/>
      <c r="E844" s="130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99"/>
    </row>
    <row r="845" spans="2:16">
      <c r="B845" s="65"/>
      <c r="C845" s="65"/>
      <c r="D845" s="65"/>
      <c r="E845" s="130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99"/>
    </row>
    <row r="846" spans="2:16">
      <c r="B846" s="65"/>
      <c r="C846" s="65"/>
      <c r="D846" s="65"/>
      <c r="E846" s="130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99"/>
    </row>
    <row r="847" spans="2:16">
      <c r="B847" s="65"/>
      <c r="C847" s="65"/>
      <c r="D847" s="65"/>
      <c r="E847" s="130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99"/>
    </row>
    <row r="848" spans="2:16">
      <c r="B848" s="65"/>
      <c r="C848" s="65"/>
      <c r="D848" s="65"/>
      <c r="E848" s="130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99"/>
    </row>
    <row r="849" spans="2:16">
      <c r="B849" s="65"/>
      <c r="C849" s="65"/>
      <c r="D849" s="65"/>
      <c r="E849" s="130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99"/>
    </row>
    <row r="850" spans="2:16">
      <c r="B850" s="65"/>
      <c r="C850" s="65"/>
      <c r="D850" s="65"/>
      <c r="E850" s="130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99"/>
    </row>
    <row r="851" spans="2:16">
      <c r="B851" s="65"/>
      <c r="C851" s="65"/>
      <c r="D851" s="65"/>
      <c r="E851" s="130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99"/>
    </row>
    <row r="852" spans="2:16">
      <c r="B852" s="65"/>
      <c r="C852" s="65"/>
      <c r="D852" s="65"/>
      <c r="E852" s="130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99"/>
    </row>
    <row r="853" spans="2:16">
      <c r="B853" s="65"/>
      <c r="C853" s="65"/>
      <c r="D853" s="65"/>
      <c r="E853" s="130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99"/>
    </row>
    <row r="854" spans="2:16">
      <c r="B854" s="65"/>
      <c r="C854" s="65"/>
      <c r="D854" s="65"/>
      <c r="E854" s="130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99"/>
    </row>
    <row r="855" spans="2:16">
      <c r="B855" s="65"/>
      <c r="C855" s="65"/>
      <c r="D855" s="65"/>
      <c r="E855" s="130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99"/>
    </row>
    <row r="856" spans="2:16">
      <c r="B856" s="65"/>
      <c r="C856" s="65"/>
      <c r="D856" s="65"/>
      <c r="E856" s="130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99"/>
    </row>
    <row r="857" spans="2:16">
      <c r="B857" s="65"/>
      <c r="C857" s="65"/>
      <c r="D857" s="65"/>
      <c r="E857" s="130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99"/>
    </row>
    <row r="858" spans="2:16">
      <c r="B858" s="65"/>
      <c r="C858" s="65"/>
      <c r="D858" s="65"/>
      <c r="E858" s="130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99"/>
    </row>
    <row r="859" spans="2:16">
      <c r="B859" s="65"/>
      <c r="C859" s="65"/>
      <c r="D859" s="65"/>
      <c r="E859" s="130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99"/>
    </row>
    <row r="860" spans="2:16">
      <c r="B860" s="65"/>
      <c r="C860" s="65"/>
      <c r="D860" s="65"/>
      <c r="E860" s="130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99"/>
    </row>
    <row r="861" spans="2:16">
      <c r="B861" s="65"/>
      <c r="C861" s="65"/>
      <c r="D861" s="65"/>
      <c r="E861" s="130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99"/>
    </row>
    <row r="862" spans="2:16">
      <c r="B862" s="65"/>
      <c r="C862" s="65"/>
      <c r="D862" s="65"/>
      <c r="E862" s="130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99"/>
    </row>
    <row r="863" spans="2:16">
      <c r="B863" s="65"/>
      <c r="C863" s="65"/>
      <c r="D863" s="65"/>
      <c r="E863" s="130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99"/>
    </row>
    <row r="864" spans="2:16">
      <c r="B864" s="65"/>
      <c r="C864" s="65"/>
      <c r="D864" s="65"/>
      <c r="E864" s="130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99"/>
    </row>
    <row r="865" spans="2:16">
      <c r="B865" s="65"/>
      <c r="C865" s="65"/>
      <c r="D865" s="65"/>
      <c r="E865" s="130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99"/>
    </row>
    <row r="866" spans="2:16">
      <c r="B866" s="65"/>
      <c r="C866" s="65"/>
      <c r="D866" s="65"/>
      <c r="E866" s="130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99"/>
    </row>
    <row r="867" spans="2:16">
      <c r="B867" s="65"/>
      <c r="C867" s="65"/>
      <c r="D867" s="65"/>
      <c r="E867" s="130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99"/>
    </row>
    <row r="868" spans="2:16">
      <c r="B868" s="65"/>
      <c r="C868" s="65"/>
      <c r="D868" s="65"/>
      <c r="E868" s="130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99"/>
    </row>
    <row r="869" spans="2:16">
      <c r="B869" s="65"/>
      <c r="C869" s="65"/>
      <c r="D869" s="65"/>
      <c r="E869" s="130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99"/>
    </row>
    <row r="870" spans="2:16">
      <c r="B870" s="65"/>
      <c r="C870" s="65"/>
      <c r="D870" s="65"/>
      <c r="E870" s="130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99"/>
    </row>
    <row r="871" spans="2:16">
      <c r="B871" s="65"/>
      <c r="C871" s="65"/>
      <c r="D871" s="65"/>
      <c r="E871" s="130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99"/>
    </row>
    <row r="872" spans="2:16">
      <c r="B872" s="65"/>
      <c r="C872" s="65"/>
      <c r="D872" s="65"/>
      <c r="E872" s="130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99"/>
    </row>
    <row r="873" spans="2:16">
      <c r="B873" s="65"/>
      <c r="C873" s="65"/>
      <c r="D873" s="65"/>
      <c r="E873" s="130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99"/>
    </row>
    <row r="874" spans="2:16">
      <c r="B874" s="65"/>
      <c r="C874" s="65"/>
      <c r="D874" s="65"/>
      <c r="E874" s="130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99"/>
    </row>
    <row r="875" spans="2:16">
      <c r="B875" s="65"/>
      <c r="C875" s="65"/>
      <c r="D875" s="65"/>
      <c r="E875" s="130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99"/>
    </row>
    <row r="876" spans="2:16">
      <c r="B876" s="65"/>
      <c r="C876" s="65"/>
      <c r="D876" s="65"/>
      <c r="E876" s="130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99"/>
    </row>
    <row r="877" spans="2:16">
      <c r="B877" s="65"/>
      <c r="C877" s="65"/>
      <c r="D877" s="65"/>
      <c r="E877" s="130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99"/>
    </row>
    <row r="878" spans="2:16">
      <c r="B878" s="65"/>
      <c r="C878" s="65"/>
      <c r="D878" s="65"/>
      <c r="E878" s="130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99"/>
    </row>
    <row r="879" spans="2:16">
      <c r="B879" s="65"/>
      <c r="C879" s="65"/>
      <c r="D879" s="65"/>
      <c r="E879" s="130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99"/>
    </row>
    <row r="880" spans="2:16">
      <c r="B880" s="65"/>
      <c r="C880" s="65"/>
      <c r="D880" s="65"/>
      <c r="E880" s="130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99"/>
    </row>
    <row r="881" spans="2:16">
      <c r="B881" s="65"/>
      <c r="C881" s="65"/>
      <c r="D881" s="65"/>
      <c r="E881" s="130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99"/>
    </row>
    <row r="882" spans="2:16">
      <c r="B882" s="65"/>
      <c r="C882" s="65"/>
      <c r="D882" s="65"/>
      <c r="E882" s="130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99"/>
    </row>
    <row r="883" spans="2:16">
      <c r="B883" s="65"/>
      <c r="C883" s="65"/>
      <c r="D883" s="65"/>
      <c r="E883" s="130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99"/>
    </row>
    <row r="884" spans="2:16">
      <c r="B884" s="65"/>
      <c r="C884" s="65"/>
      <c r="D884" s="65"/>
      <c r="E884" s="130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99"/>
    </row>
    <row r="885" spans="2:16">
      <c r="B885" s="65"/>
      <c r="C885" s="65"/>
      <c r="D885" s="65"/>
      <c r="E885" s="130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99"/>
    </row>
    <row r="886" spans="2:16">
      <c r="B886" s="65"/>
      <c r="C886" s="65"/>
      <c r="D886" s="65"/>
      <c r="E886" s="130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99"/>
    </row>
    <row r="887" spans="2:16">
      <c r="B887" s="65"/>
      <c r="C887" s="65"/>
      <c r="D887" s="65"/>
      <c r="E887" s="130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99"/>
    </row>
    <row r="888" spans="2:16">
      <c r="B888" s="65"/>
      <c r="C888" s="65"/>
      <c r="D888" s="65"/>
      <c r="E888" s="130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99"/>
    </row>
    <row r="889" spans="2:16">
      <c r="B889" s="65"/>
      <c r="C889" s="65"/>
      <c r="D889" s="65"/>
      <c r="E889" s="130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99"/>
    </row>
    <row r="890" spans="2:16">
      <c r="B890" s="65"/>
      <c r="C890" s="65"/>
      <c r="D890" s="65"/>
      <c r="E890" s="130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99"/>
    </row>
    <row r="891" spans="2:16">
      <c r="B891" s="65"/>
      <c r="C891" s="65"/>
      <c r="D891" s="65"/>
      <c r="E891" s="130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99"/>
    </row>
    <row r="892" spans="2:16">
      <c r="B892" s="65"/>
      <c r="C892" s="65"/>
      <c r="D892" s="65"/>
      <c r="E892" s="130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99"/>
    </row>
    <row r="893" spans="2:16">
      <c r="B893" s="65"/>
      <c r="C893" s="65"/>
      <c r="D893" s="65"/>
      <c r="E893" s="130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99"/>
    </row>
    <row r="894" spans="2:16">
      <c r="B894" s="65"/>
      <c r="C894" s="65"/>
      <c r="D894" s="65"/>
      <c r="E894" s="130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99"/>
    </row>
    <row r="895" spans="2:16">
      <c r="B895" s="65"/>
      <c r="C895" s="65"/>
      <c r="D895" s="65"/>
      <c r="E895" s="130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99"/>
    </row>
    <row r="896" spans="2:16">
      <c r="B896" s="65"/>
      <c r="C896" s="65"/>
      <c r="D896" s="65"/>
      <c r="E896" s="130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99"/>
    </row>
    <row r="897" spans="2:16">
      <c r="B897" s="65"/>
      <c r="C897" s="65"/>
      <c r="D897" s="65"/>
      <c r="E897" s="130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99"/>
    </row>
    <row r="898" spans="2:16">
      <c r="B898" s="65"/>
      <c r="C898" s="65"/>
      <c r="D898" s="65"/>
      <c r="E898" s="130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99"/>
    </row>
    <row r="899" spans="2:16">
      <c r="B899" s="65"/>
      <c r="C899" s="65"/>
      <c r="D899" s="65"/>
      <c r="E899" s="130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99"/>
    </row>
    <row r="900" spans="2:16">
      <c r="B900" s="65"/>
      <c r="C900" s="65"/>
      <c r="D900" s="65"/>
      <c r="E900" s="130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99"/>
    </row>
    <row r="901" spans="2:16">
      <c r="B901" s="65"/>
      <c r="C901" s="65"/>
      <c r="D901" s="65"/>
      <c r="E901" s="130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99"/>
    </row>
    <row r="902" spans="2:16">
      <c r="B902" s="65"/>
      <c r="C902" s="65"/>
      <c r="D902" s="65"/>
      <c r="E902" s="130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99"/>
    </row>
    <row r="903" spans="2:16">
      <c r="B903" s="65"/>
      <c r="C903" s="65"/>
      <c r="D903" s="65"/>
      <c r="E903" s="130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99"/>
    </row>
    <row r="904" spans="2:16">
      <c r="B904" s="65"/>
      <c r="C904" s="65"/>
      <c r="D904" s="65"/>
      <c r="E904" s="130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99"/>
    </row>
    <row r="905" spans="2:16">
      <c r="B905" s="65"/>
      <c r="C905" s="65"/>
      <c r="D905" s="65"/>
      <c r="E905" s="130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99"/>
    </row>
    <row r="906" spans="2:16">
      <c r="B906" s="65"/>
      <c r="C906" s="65"/>
      <c r="D906" s="65"/>
      <c r="E906" s="130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99"/>
    </row>
    <row r="907" spans="2:16">
      <c r="B907" s="65"/>
      <c r="C907" s="65"/>
      <c r="D907" s="65"/>
      <c r="E907" s="130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99"/>
    </row>
    <row r="908" spans="2:16">
      <c r="B908" s="65"/>
      <c r="C908" s="65"/>
      <c r="D908" s="65"/>
      <c r="E908" s="130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99"/>
    </row>
    <row r="909" spans="2:16">
      <c r="B909" s="65"/>
      <c r="C909" s="65"/>
      <c r="D909" s="65"/>
      <c r="E909" s="130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99"/>
    </row>
    <row r="910" spans="2:16">
      <c r="B910" s="65"/>
      <c r="C910" s="65"/>
      <c r="D910" s="65"/>
      <c r="E910" s="130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99"/>
    </row>
    <row r="911" spans="2:16">
      <c r="B911" s="65"/>
      <c r="C911" s="65"/>
      <c r="D911" s="65"/>
      <c r="E911" s="130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99"/>
    </row>
    <row r="912" spans="2:16">
      <c r="B912" s="65"/>
      <c r="C912" s="65"/>
      <c r="D912" s="65"/>
      <c r="E912" s="130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99"/>
    </row>
    <row r="913" spans="2:16">
      <c r="B913" s="65"/>
      <c r="C913" s="65"/>
      <c r="D913" s="65"/>
      <c r="E913" s="130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99"/>
    </row>
    <row r="914" spans="2:16">
      <c r="B914" s="65"/>
      <c r="C914" s="65"/>
      <c r="D914" s="65"/>
      <c r="E914" s="130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99"/>
    </row>
    <row r="915" spans="2:16">
      <c r="B915" s="65"/>
      <c r="C915" s="65"/>
      <c r="D915" s="65"/>
      <c r="E915" s="130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99"/>
    </row>
    <row r="916" spans="2:16">
      <c r="B916" s="65"/>
      <c r="C916" s="65"/>
      <c r="D916" s="65"/>
      <c r="E916" s="130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99"/>
    </row>
    <row r="917" spans="2:16">
      <c r="B917" s="65"/>
      <c r="C917" s="65"/>
      <c r="D917" s="65"/>
      <c r="E917" s="130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99"/>
    </row>
    <row r="918" spans="2:16">
      <c r="B918" s="65"/>
      <c r="C918" s="65"/>
      <c r="D918" s="65"/>
      <c r="E918" s="130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99"/>
    </row>
    <row r="919" spans="2:16">
      <c r="B919" s="65"/>
      <c r="C919" s="65"/>
      <c r="D919" s="65"/>
      <c r="E919" s="130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99"/>
    </row>
    <row r="920" spans="2:16">
      <c r="B920" s="65"/>
      <c r="C920" s="65"/>
      <c r="D920" s="65"/>
      <c r="E920" s="130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99"/>
    </row>
    <row r="921" spans="2:16">
      <c r="B921" s="65"/>
      <c r="C921" s="65"/>
      <c r="D921" s="65"/>
      <c r="E921" s="130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99"/>
    </row>
    <row r="922" spans="2:16">
      <c r="B922" s="65"/>
      <c r="C922" s="65"/>
      <c r="D922" s="65"/>
      <c r="E922" s="130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99"/>
    </row>
    <row r="923" spans="2:16">
      <c r="B923" s="65"/>
      <c r="C923" s="65"/>
      <c r="D923" s="65"/>
      <c r="E923" s="130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99"/>
    </row>
    <row r="924" spans="2:16">
      <c r="B924" s="65"/>
      <c r="C924" s="65"/>
      <c r="D924" s="65"/>
      <c r="E924" s="130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99"/>
    </row>
    <row r="925" spans="2:16">
      <c r="B925" s="65"/>
      <c r="C925" s="65"/>
      <c r="D925" s="65"/>
      <c r="E925" s="130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99"/>
    </row>
    <row r="926" spans="2:16">
      <c r="B926" s="65"/>
      <c r="C926" s="65"/>
      <c r="D926" s="65"/>
      <c r="E926" s="130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99"/>
    </row>
    <row r="927" spans="2:16">
      <c r="B927" s="65"/>
      <c r="C927" s="65"/>
      <c r="D927" s="65"/>
      <c r="E927" s="130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99"/>
    </row>
    <row r="928" spans="2:16">
      <c r="B928" s="65"/>
      <c r="C928" s="65"/>
      <c r="D928" s="65"/>
      <c r="E928" s="130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99"/>
    </row>
    <row r="929" spans="2:16">
      <c r="B929" s="65"/>
      <c r="C929" s="65"/>
      <c r="D929" s="65"/>
      <c r="E929" s="130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99"/>
    </row>
    <row r="930" spans="2:16">
      <c r="B930" s="65"/>
      <c r="C930" s="65"/>
      <c r="D930" s="65"/>
      <c r="E930" s="130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99"/>
    </row>
    <row r="931" spans="2:16">
      <c r="B931" s="65"/>
      <c r="C931" s="65"/>
      <c r="D931" s="65"/>
      <c r="E931" s="130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99"/>
    </row>
    <row r="932" spans="2:16">
      <c r="B932" s="65"/>
      <c r="C932" s="65"/>
      <c r="D932" s="65"/>
      <c r="E932" s="130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99"/>
    </row>
    <row r="933" spans="2:16">
      <c r="B933" s="65"/>
      <c r="C933" s="65"/>
      <c r="D933" s="65"/>
      <c r="E933" s="130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99"/>
    </row>
    <row r="934" spans="2:16">
      <c r="B934" s="65"/>
      <c r="C934" s="65"/>
      <c r="D934" s="65"/>
      <c r="E934" s="130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99"/>
    </row>
    <row r="935" spans="2:16">
      <c r="B935" s="65"/>
      <c r="C935" s="65"/>
      <c r="D935" s="65"/>
      <c r="E935" s="130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99"/>
    </row>
    <row r="936" spans="2:16">
      <c r="B936" s="65"/>
      <c r="C936" s="65"/>
      <c r="D936" s="65"/>
      <c r="E936" s="130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99"/>
    </row>
    <row r="937" spans="2:16">
      <c r="B937" s="65"/>
      <c r="C937" s="65"/>
      <c r="D937" s="65"/>
      <c r="E937" s="130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99"/>
    </row>
    <row r="938" spans="2:16">
      <c r="B938" s="65"/>
      <c r="C938" s="65"/>
      <c r="D938" s="65"/>
      <c r="E938" s="130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99"/>
    </row>
    <row r="939" spans="2:16">
      <c r="B939" s="65"/>
      <c r="C939" s="65"/>
      <c r="D939" s="65"/>
      <c r="E939" s="130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99"/>
    </row>
    <row r="940" spans="2:16">
      <c r="B940" s="65"/>
      <c r="C940" s="65"/>
      <c r="D940" s="65"/>
      <c r="E940" s="130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99"/>
    </row>
    <row r="941" spans="2:16">
      <c r="B941" s="65"/>
      <c r="C941" s="65"/>
      <c r="D941" s="65"/>
      <c r="E941" s="130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99"/>
    </row>
    <row r="942" spans="2:16">
      <c r="B942" s="65"/>
      <c r="C942" s="65"/>
      <c r="D942" s="65"/>
      <c r="E942" s="130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99"/>
    </row>
    <row r="943" spans="2:16">
      <c r="B943" s="65"/>
      <c r="C943" s="65"/>
      <c r="D943" s="65"/>
      <c r="E943" s="130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99"/>
    </row>
    <row r="944" spans="2:16">
      <c r="B944" s="65"/>
      <c r="C944" s="65"/>
      <c r="D944" s="65"/>
      <c r="E944" s="130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99"/>
    </row>
    <row r="945" spans="2:16">
      <c r="B945" s="65"/>
      <c r="C945" s="65"/>
      <c r="D945" s="65"/>
      <c r="E945" s="130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99"/>
    </row>
    <row r="946" spans="2:16">
      <c r="B946" s="65"/>
      <c r="C946" s="65"/>
      <c r="D946" s="65"/>
      <c r="E946" s="130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99"/>
    </row>
    <row r="947" spans="2:16">
      <c r="B947" s="65"/>
      <c r="C947" s="65"/>
      <c r="D947" s="65"/>
      <c r="E947" s="130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99"/>
    </row>
    <row r="948" spans="2:16">
      <c r="B948" s="65"/>
      <c r="C948" s="65"/>
      <c r="D948" s="65"/>
      <c r="E948" s="130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99"/>
    </row>
    <row r="949" spans="2:16">
      <c r="B949" s="65"/>
      <c r="C949" s="65"/>
      <c r="D949" s="65"/>
      <c r="E949" s="130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99"/>
    </row>
    <row r="950" spans="2:16">
      <c r="B950" s="65"/>
      <c r="C950" s="65"/>
      <c r="D950" s="65"/>
      <c r="E950" s="130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99"/>
    </row>
    <row r="951" spans="2:16">
      <c r="B951" s="65"/>
      <c r="C951" s="65"/>
      <c r="D951" s="65"/>
      <c r="E951" s="130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99"/>
    </row>
    <row r="952" spans="2:16">
      <c r="B952" s="65"/>
      <c r="C952" s="65"/>
      <c r="D952" s="65"/>
      <c r="E952" s="130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99"/>
    </row>
    <row r="953" spans="2:16">
      <c r="B953" s="65"/>
      <c r="C953" s="65"/>
      <c r="D953" s="65"/>
      <c r="E953" s="130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99"/>
    </row>
    <row r="954" spans="2:16">
      <c r="B954" s="65"/>
      <c r="C954" s="65"/>
      <c r="D954" s="65"/>
      <c r="E954" s="130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99"/>
    </row>
    <row r="955" spans="2:16">
      <c r="B955" s="65"/>
      <c r="C955" s="65"/>
      <c r="D955" s="65"/>
      <c r="E955" s="130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99"/>
    </row>
    <row r="956" spans="2:16">
      <c r="B956" s="65"/>
      <c r="C956" s="65"/>
      <c r="D956" s="65"/>
      <c r="E956" s="130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99"/>
    </row>
    <row r="957" spans="2:16">
      <c r="B957" s="65"/>
      <c r="C957" s="65"/>
      <c r="D957" s="65"/>
      <c r="E957" s="130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99"/>
    </row>
    <row r="958" spans="2:16">
      <c r="B958" s="65"/>
      <c r="C958" s="65"/>
      <c r="D958" s="65"/>
      <c r="E958" s="130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99"/>
    </row>
    <row r="959" spans="2:16">
      <c r="B959" s="65"/>
      <c r="C959" s="65"/>
      <c r="D959" s="65"/>
      <c r="E959" s="130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99"/>
    </row>
    <row r="960" spans="2:16">
      <c r="B960" s="65"/>
      <c r="C960" s="65"/>
      <c r="D960" s="65"/>
      <c r="E960" s="130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99"/>
    </row>
    <row r="961" spans="2:16">
      <c r="B961" s="65"/>
      <c r="C961" s="65"/>
      <c r="D961" s="65"/>
      <c r="E961" s="130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99"/>
    </row>
    <row r="962" spans="2:16">
      <c r="B962" s="65"/>
      <c r="C962" s="65"/>
      <c r="D962" s="65"/>
      <c r="E962" s="130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99"/>
    </row>
    <row r="963" spans="2:16">
      <c r="B963" s="65"/>
      <c r="C963" s="65"/>
      <c r="D963" s="65"/>
      <c r="E963" s="130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99"/>
    </row>
    <row r="964" spans="2:16">
      <c r="B964" s="65"/>
      <c r="C964" s="65"/>
      <c r="D964" s="65"/>
      <c r="E964" s="130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99"/>
    </row>
    <row r="965" spans="2:16">
      <c r="B965" s="65"/>
      <c r="C965" s="65"/>
      <c r="D965" s="65"/>
      <c r="E965" s="130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99"/>
    </row>
    <row r="966" spans="2:16">
      <c r="B966" s="65"/>
      <c r="C966" s="65"/>
      <c r="D966" s="65"/>
      <c r="E966" s="130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99"/>
    </row>
    <row r="967" spans="2:16">
      <c r="B967" s="65"/>
      <c r="C967" s="65"/>
      <c r="D967" s="65"/>
      <c r="E967" s="130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99"/>
    </row>
    <row r="968" spans="2:16">
      <c r="B968" s="65"/>
      <c r="C968" s="65"/>
      <c r="D968" s="65"/>
      <c r="E968" s="130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99"/>
    </row>
    <row r="969" spans="2:16">
      <c r="B969" s="65"/>
      <c r="C969" s="65"/>
      <c r="D969" s="65"/>
      <c r="E969" s="130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99"/>
    </row>
    <row r="970" spans="2:16">
      <c r="B970" s="65"/>
      <c r="C970" s="65"/>
      <c r="D970" s="65"/>
      <c r="E970" s="130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99"/>
    </row>
    <row r="971" spans="2:16">
      <c r="B971" s="65"/>
      <c r="C971" s="65"/>
      <c r="D971" s="65"/>
      <c r="E971" s="130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99"/>
    </row>
    <row r="972" spans="2:16">
      <c r="B972" s="65"/>
      <c r="C972" s="65"/>
      <c r="D972" s="65"/>
      <c r="E972" s="130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99"/>
    </row>
    <row r="973" spans="2:16">
      <c r="B973" s="65"/>
      <c r="C973" s="65"/>
      <c r="D973" s="65"/>
      <c r="E973" s="130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99"/>
    </row>
    <row r="974" spans="2:16">
      <c r="B974" s="65"/>
      <c r="C974" s="65"/>
      <c r="D974" s="65"/>
      <c r="E974" s="130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99"/>
    </row>
    <row r="975" spans="2:16">
      <c r="B975" s="65"/>
      <c r="C975" s="65"/>
      <c r="D975" s="65"/>
      <c r="E975" s="130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99"/>
    </row>
    <row r="976" spans="2:16">
      <c r="B976" s="65"/>
      <c r="C976" s="65"/>
      <c r="D976" s="65"/>
      <c r="E976" s="130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99"/>
    </row>
    <row r="977" spans="2:16">
      <c r="B977" s="65"/>
      <c r="C977" s="65"/>
      <c r="D977" s="65"/>
      <c r="E977" s="130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99"/>
    </row>
    <row r="978" spans="2:16">
      <c r="B978" s="65"/>
      <c r="C978" s="65"/>
      <c r="D978" s="65"/>
      <c r="E978" s="130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99"/>
    </row>
    <row r="979" spans="2:16">
      <c r="B979" s="65"/>
      <c r="C979" s="65"/>
      <c r="D979" s="65"/>
      <c r="E979" s="130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99"/>
    </row>
    <row r="980" spans="2:16">
      <c r="B980" s="65"/>
      <c r="C980" s="65"/>
      <c r="D980" s="65"/>
      <c r="E980" s="130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99"/>
    </row>
    <row r="981" spans="2:16">
      <c r="B981" s="65"/>
      <c r="C981" s="65"/>
      <c r="D981" s="65"/>
      <c r="E981" s="130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99"/>
    </row>
    <row r="982" spans="2:16">
      <c r="B982" s="65"/>
      <c r="C982" s="65"/>
      <c r="D982" s="65"/>
      <c r="E982" s="130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99"/>
    </row>
    <row r="983" spans="2:16">
      <c r="B983" s="65"/>
      <c r="C983" s="65"/>
      <c r="D983" s="65"/>
      <c r="E983" s="130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99"/>
    </row>
    <row r="984" spans="2:16">
      <c r="B984" s="65"/>
      <c r="C984" s="65"/>
      <c r="D984" s="65"/>
      <c r="E984" s="130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99"/>
    </row>
    <row r="985" spans="2:16">
      <c r="B985" s="65"/>
      <c r="C985" s="65"/>
      <c r="D985" s="65"/>
      <c r="E985" s="130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99"/>
    </row>
    <row r="986" spans="2:16">
      <c r="B986" s="65"/>
      <c r="C986" s="65"/>
      <c r="D986" s="65"/>
      <c r="E986" s="130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99"/>
    </row>
    <row r="987" spans="2:16">
      <c r="B987" s="65"/>
      <c r="C987" s="65"/>
      <c r="D987" s="65"/>
      <c r="E987" s="130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99"/>
    </row>
    <row r="988" spans="2:16">
      <c r="B988" s="65"/>
      <c r="C988" s="65"/>
      <c r="D988" s="65"/>
      <c r="E988" s="130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99"/>
    </row>
    <row r="989" spans="2:16">
      <c r="B989" s="65"/>
      <c r="C989" s="65"/>
      <c r="D989" s="65"/>
      <c r="E989" s="130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99"/>
    </row>
    <row r="990" spans="2:16">
      <c r="B990" s="65"/>
      <c r="C990" s="65"/>
      <c r="D990" s="65"/>
      <c r="E990" s="130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99"/>
    </row>
    <row r="991" spans="2:16">
      <c r="B991" s="65"/>
      <c r="C991" s="65"/>
      <c r="D991" s="65"/>
      <c r="E991" s="130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99"/>
    </row>
    <row r="992" spans="2:16">
      <c r="B992" s="65"/>
      <c r="C992" s="65"/>
      <c r="D992" s="65"/>
      <c r="E992" s="130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99"/>
    </row>
    <row r="993" spans="2:16">
      <c r="B993" s="65"/>
      <c r="C993" s="65"/>
      <c r="D993" s="65"/>
      <c r="E993" s="130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99"/>
    </row>
    <row r="994" spans="2:16">
      <c r="B994" s="65"/>
      <c r="C994" s="65"/>
      <c r="D994" s="65"/>
      <c r="E994" s="130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99"/>
    </row>
    <row r="995" spans="2:16">
      <c r="B995" s="65"/>
      <c r="C995" s="65"/>
      <c r="D995" s="65"/>
      <c r="E995" s="130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99"/>
    </row>
    <row r="996" spans="2:16">
      <c r="B996" s="65"/>
      <c r="C996" s="65"/>
      <c r="D996" s="65"/>
      <c r="E996" s="130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99"/>
    </row>
    <row r="997" spans="2:16">
      <c r="B997" s="65"/>
      <c r="C997" s="65"/>
      <c r="D997" s="65"/>
      <c r="E997" s="130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99"/>
    </row>
    <row r="998" spans="2:16">
      <c r="B998" s="65"/>
      <c r="C998" s="65"/>
      <c r="D998" s="65"/>
      <c r="E998" s="130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99"/>
    </row>
    <row r="999" spans="2:16">
      <c r="B999" s="65"/>
      <c r="C999" s="65"/>
      <c r="D999" s="65"/>
      <c r="E999" s="130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99"/>
    </row>
    <row r="1000" spans="2:16">
      <c r="B1000" s="65"/>
      <c r="C1000" s="65"/>
      <c r="D1000" s="65"/>
      <c r="E1000" s="130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99"/>
    </row>
    <row r="1001" spans="2:16">
      <c r="B1001" s="65"/>
      <c r="C1001" s="65"/>
      <c r="D1001" s="65"/>
      <c r="E1001" s="130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99"/>
    </row>
    <row r="1002" spans="2:16">
      <c r="B1002" s="65"/>
      <c r="C1002" s="65"/>
      <c r="D1002" s="65"/>
      <c r="E1002" s="130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99"/>
    </row>
    <row r="1003" spans="2:16">
      <c r="B1003" s="65"/>
      <c r="C1003" s="65"/>
      <c r="D1003" s="65"/>
      <c r="E1003" s="130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99"/>
    </row>
    <row r="1004" spans="2:16">
      <c r="B1004" s="65"/>
      <c r="C1004" s="65"/>
      <c r="D1004" s="65"/>
      <c r="E1004" s="130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99"/>
    </row>
    <row r="1005" spans="2:16">
      <c r="B1005" s="65"/>
      <c r="C1005" s="65"/>
      <c r="D1005" s="65"/>
      <c r="E1005" s="130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99"/>
    </row>
    <row r="1006" spans="2:16">
      <c r="B1006" s="65"/>
      <c r="C1006" s="65"/>
      <c r="D1006" s="65"/>
      <c r="E1006" s="130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99"/>
    </row>
    <row r="1007" spans="2:16">
      <c r="B1007" s="65"/>
      <c r="C1007" s="65"/>
      <c r="D1007" s="65"/>
      <c r="E1007" s="130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99"/>
    </row>
    <row r="1008" spans="2:16">
      <c r="B1008" s="65"/>
      <c r="C1008" s="65"/>
      <c r="D1008" s="65"/>
      <c r="E1008" s="130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99"/>
    </row>
    <row r="1009" spans="2:16">
      <c r="B1009" s="65"/>
      <c r="C1009" s="65"/>
      <c r="D1009" s="65"/>
      <c r="E1009" s="130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99"/>
    </row>
    <row r="1010" spans="2:16">
      <c r="B1010" s="65"/>
      <c r="C1010" s="65"/>
      <c r="D1010" s="65"/>
      <c r="E1010" s="130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99"/>
    </row>
    <row r="1011" spans="2:16">
      <c r="B1011" s="65"/>
      <c r="C1011" s="65"/>
      <c r="D1011" s="65"/>
      <c r="E1011" s="130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99"/>
    </row>
    <row r="1012" spans="2:16">
      <c r="B1012" s="65"/>
      <c r="C1012" s="65"/>
      <c r="D1012" s="65"/>
      <c r="E1012" s="130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99"/>
    </row>
    <row r="1013" spans="2:16">
      <c r="B1013" s="65"/>
      <c r="C1013" s="65"/>
      <c r="D1013" s="65"/>
      <c r="E1013" s="130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99"/>
    </row>
    <row r="1014" spans="2:16">
      <c r="B1014" s="65"/>
      <c r="C1014" s="65"/>
      <c r="D1014" s="65"/>
      <c r="E1014" s="130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99"/>
    </row>
    <row r="1015" spans="2:16">
      <c r="B1015" s="65"/>
      <c r="C1015" s="65"/>
      <c r="D1015" s="65"/>
      <c r="E1015" s="130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99"/>
    </row>
    <row r="1016" spans="2:16">
      <c r="B1016" s="65"/>
      <c r="C1016" s="65"/>
      <c r="D1016" s="65"/>
      <c r="E1016" s="130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99"/>
    </row>
    <row r="1017" spans="2:16">
      <c r="B1017" s="65"/>
      <c r="C1017" s="65"/>
      <c r="D1017" s="65"/>
      <c r="E1017" s="130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99"/>
    </row>
    <row r="1018" spans="2:16">
      <c r="B1018" s="65"/>
      <c r="C1018" s="65"/>
      <c r="D1018" s="65"/>
      <c r="E1018" s="130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99"/>
    </row>
    <row r="1019" spans="2:16">
      <c r="B1019" s="65"/>
      <c r="C1019" s="65"/>
      <c r="D1019" s="65"/>
      <c r="E1019" s="130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99"/>
    </row>
    <row r="1020" spans="2:16">
      <c r="B1020" s="65"/>
      <c r="C1020" s="65"/>
      <c r="D1020" s="65"/>
      <c r="E1020" s="130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99"/>
    </row>
    <row r="1021" spans="2:16">
      <c r="B1021" s="65"/>
      <c r="C1021" s="65"/>
      <c r="D1021" s="65"/>
      <c r="E1021" s="130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99"/>
    </row>
    <row r="1022" spans="2:16">
      <c r="B1022" s="65"/>
      <c r="C1022" s="65"/>
      <c r="D1022" s="65"/>
      <c r="E1022" s="130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99"/>
    </row>
    <row r="1023" spans="2:16">
      <c r="B1023" s="65"/>
      <c r="C1023" s="65"/>
      <c r="D1023" s="65"/>
      <c r="E1023" s="130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99"/>
    </row>
    <row r="1024" spans="2:16">
      <c r="B1024" s="65"/>
      <c r="C1024" s="65"/>
      <c r="D1024" s="65"/>
      <c r="E1024" s="130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99"/>
    </row>
    <row r="1025" spans="2:16">
      <c r="B1025" s="65"/>
      <c r="C1025" s="65"/>
      <c r="D1025" s="65"/>
      <c r="E1025" s="130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99"/>
    </row>
    <row r="1026" spans="2:16">
      <c r="B1026" s="65"/>
      <c r="C1026" s="65"/>
      <c r="D1026" s="65"/>
      <c r="E1026" s="130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99"/>
    </row>
    <row r="1027" spans="2:16">
      <c r="B1027" s="65"/>
      <c r="C1027" s="65"/>
      <c r="D1027" s="65"/>
      <c r="E1027" s="130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99"/>
    </row>
    <row r="1028" spans="2:16">
      <c r="B1028" s="65"/>
      <c r="C1028" s="65"/>
      <c r="D1028" s="65"/>
      <c r="E1028" s="130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99"/>
    </row>
    <row r="1029" spans="2:16">
      <c r="B1029" s="65"/>
      <c r="C1029" s="65"/>
      <c r="D1029" s="65"/>
      <c r="E1029" s="130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99"/>
    </row>
    <row r="1030" spans="2:16">
      <c r="B1030" s="65"/>
      <c r="C1030" s="65"/>
      <c r="D1030" s="65"/>
      <c r="E1030" s="130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99"/>
    </row>
    <row r="1031" spans="2:16">
      <c r="B1031" s="65"/>
      <c r="C1031" s="65"/>
      <c r="D1031" s="65"/>
      <c r="E1031" s="130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99"/>
    </row>
    <row r="1032" spans="2:16">
      <c r="B1032" s="65"/>
      <c r="C1032" s="65"/>
      <c r="D1032" s="65"/>
      <c r="E1032" s="130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99"/>
    </row>
    <row r="1033" spans="2:16">
      <c r="B1033" s="65"/>
      <c r="C1033" s="65"/>
      <c r="D1033" s="65"/>
      <c r="E1033" s="130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99"/>
    </row>
    <row r="1034" spans="2:16">
      <c r="B1034" s="65"/>
      <c r="C1034" s="65"/>
      <c r="D1034" s="65"/>
      <c r="E1034" s="130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99"/>
    </row>
    <row r="1035" spans="2:16">
      <c r="B1035" s="65"/>
      <c r="C1035" s="65"/>
      <c r="D1035" s="65"/>
      <c r="E1035" s="130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99"/>
    </row>
    <row r="1036" spans="2:16">
      <c r="B1036" s="65"/>
      <c r="C1036" s="65"/>
      <c r="D1036" s="65"/>
      <c r="E1036" s="130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99"/>
    </row>
    <row r="1037" spans="2:16">
      <c r="B1037" s="65"/>
      <c r="C1037" s="65"/>
      <c r="D1037" s="65"/>
      <c r="E1037" s="130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99"/>
    </row>
    <row r="1038" spans="2:16">
      <c r="B1038" s="65"/>
      <c r="C1038" s="65"/>
      <c r="D1038" s="65"/>
      <c r="E1038" s="130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99"/>
    </row>
    <row r="1039" spans="2:16">
      <c r="B1039" s="65"/>
      <c r="C1039" s="65"/>
      <c r="D1039" s="65"/>
      <c r="E1039" s="130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99"/>
    </row>
    <row r="1040" spans="2:16">
      <c r="B1040" s="65"/>
      <c r="C1040" s="65"/>
      <c r="D1040" s="65"/>
      <c r="E1040" s="130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99"/>
    </row>
    <row r="1041" spans="2:16">
      <c r="B1041" s="65"/>
      <c r="C1041" s="65"/>
      <c r="D1041" s="65"/>
      <c r="E1041" s="130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99"/>
    </row>
    <row r="1042" spans="2:16">
      <c r="B1042" s="65"/>
      <c r="C1042" s="65"/>
      <c r="D1042" s="65"/>
      <c r="E1042" s="130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99"/>
    </row>
    <row r="1043" spans="2:16">
      <c r="B1043" s="65"/>
      <c r="C1043" s="65"/>
      <c r="D1043" s="65"/>
      <c r="E1043" s="130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99"/>
    </row>
    <row r="1044" spans="2:16">
      <c r="B1044" s="65"/>
      <c r="C1044" s="65"/>
      <c r="D1044" s="65"/>
      <c r="E1044" s="130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99"/>
    </row>
    <row r="1045" spans="2:16">
      <c r="B1045" s="65"/>
      <c r="C1045" s="65"/>
      <c r="D1045" s="65"/>
      <c r="E1045" s="130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99"/>
    </row>
    <row r="1046" spans="2:16">
      <c r="B1046" s="65"/>
      <c r="C1046" s="65"/>
      <c r="D1046" s="65"/>
      <c r="E1046" s="130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99"/>
    </row>
    <row r="1047" spans="2:16">
      <c r="B1047" s="65"/>
      <c r="C1047" s="65"/>
      <c r="D1047" s="65"/>
      <c r="E1047" s="130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99"/>
    </row>
    <row r="1048" spans="2:16">
      <c r="B1048" s="65"/>
      <c r="C1048" s="65"/>
      <c r="D1048" s="65"/>
      <c r="E1048" s="130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99"/>
    </row>
    <row r="1049" spans="2:16">
      <c r="B1049" s="65"/>
      <c r="C1049" s="65"/>
      <c r="D1049" s="65"/>
      <c r="E1049" s="130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99"/>
    </row>
    <row r="1050" spans="2:16">
      <c r="B1050" s="65"/>
      <c r="C1050" s="65"/>
      <c r="D1050" s="65"/>
      <c r="E1050" s="130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99"/>
    </row>
    <row r="1051" spans="2:16">
      <c r="B1051" s="65"/>
      <c r="C1051" s="65"/>
      <c r="D1051" s="65"/>
      <c r="E1051" s="130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99"/>
    </row>
    <row r="1052" spans="2:16">
      <c r="B1052" s="65"/>
      <c r="C1052" s="65"/>
      <c r="D1052" s="65"/>
      <c r="E1052" s="130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99"/>
    </row>
    <row r="1053" spans="2:16">
      <c r="B1053" s="65"/>
      <c r="C1053" s="65"/>
      <c r="D1053" s="65"/>
      <c r="E1053" s="130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99"/>
    </row>
    <row r="1054" spans="2:16">
      <c r="B1054" s="65"/>
      <c r="C1054" s="65"/>
      <c r="D1054" s="65"/>
      <c r="E1054" s="130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99"/>
    </row>
    <row r="1055" spans="2:16">
      <c r="B1055" s="65"/>
      <c r="C1055" s="65"/>
      <c r="D1055" s="65"/>
      <c r="E1055" s="130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99"/>
    </row>
    <row r="1056" spans="2:16">
      <c r="B1056" s="65"/>
      <c r="C1056" s="65"/>
      <c r="D1056" s="65"/>
      <c r="E1056" s="130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99"/>
    </row>
    <row r="1057" spans="2:16">
      <c r="B1057" s="65"/>
      <c r="C1057" s="65"/>
      <c r="D1057" s="65"/>
      <c r="E1057" s="130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99"/>
    </row>
    <row r="1058" spans="2:16">
      <c r="B1058" s="65"/>
      <c r="C1058" s="65"/>
      <c r="D1058" s="65"/>
      <c r="E1058" s="130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99"/>
    </row>
    <row r="1059" spans="2:16">
      <c r="B1059" s="65"/>
      <c r="C1059" s="65"/>
      <c r="D1059" s="65"/>
      <c r="E1059" s="130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99"/>
    </row>
    <row r="1060" spans="2:16">
      <c r="B1060" s="65"/>
      <c r="C1060" s="65"/>
      <c r="D1060" s="65"/>
      <c r="E1060" s="130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99"/>
    </row>
    <row r="1061" spans="2:16">
      <c r="B1061" s="65"/>
      <c r="C1061" s="65"/>
      <c r="D1061" s="65"/>
      <c r="E1061" s="130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99"/>
    </row>
    <row r="1062" spans="2:16">
      <c r="B1062" s="65"/>
      <c r="C1062" s="65"/>
      <c r="D1062" s="65"/>
      <c r="E1062" s="130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99"/>
    </row>
    <row r="1063" spans="2:16">
      <c r="B1063" s="65"/>
      <c r="C1063" s="65"/>
      <c r="D1063" s="65"/>
      <c r="E1063" s="130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99"/>
    </row>
    <row r="1064" spans="2:16">
      <c r="B1064" s="65"/>
      <c r="C1064" s="65"/>
      <c r="D1064" s="65"/>
      <c r="E1064" s="130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99"/>
    </row>
    <row r="1065" spans="2:16">
      <c r="B1065" s="65"/>
      <c r="C1065" s="65"/>
      <c r="D1065" s="65"/>
      <c r="E1065" s="130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99"/>
    </row>
    <row r="1066" spans="2:16">
      <c r="B1066" s="65"/>
      <c r="C1066" s="65"/>
      <c r="D1066" s="65"/>
      <c r="E1066" s="130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99"/>
    </row>
    <row r="1067" spans="2:16">
      <c r="B1067" s="65"/>
      <c r="C1067" s="65"/>
      <c r="D1067" s="65"/>
      <c r="E1067" s="130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99"/>
    </row>
    <row r="1068" spans="2:16">
      <c r="B1068" s="65"/>
      <c r="C1068" s="65"/>
      <c r="D1068" s="65"/>
      <c r="E1068" s="130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99"/>
    </row>
    <row r="1069" spans="2:16">
      <c r="B1069" s="65"/>
      <c r="C1069" s="65"/>
      <c r="D1069" s="65"/>
      <c r="E1069" s="130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99"/>
    </row>
    <row r="1070" spans="2:16">
      <c r="B1070" s="65"/>
      <c r="C1070" s="65"/>
      <c r="D1070" s="65"/>
      <c r="E1070" s="130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99"/>
    </row>
    <row r="1071" spans="2:16">
      <c r="B1071" s="65"/>
      <c r="C1071" s="65"/>
      <c r="D1071" s="65"/>
      <c r="E1071" s="130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99"/>
    </row>
    <row r="1072" spans="2:16">
      <c r="B1072" s="65"/>
      <c r="C1072" s="65"/>
      <c r="D1072" s="65"/>
      <c r="E1072" s="130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99"/>
    </row>
    <row r="1073" spans="2:16">
      <c r="B1073" s="65"/>
      <c r="C1073" s="65"/>
      <c r="D1073" s="65"/>
      <c r="E1073" s="130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99"/>
    </row>
    <row r="1074" spans="2:16">
      <c r="B1074" s="65"/>
      <c r="C1074" s="65"/>
      <c r="D1074" s="65"/>
      <c r="E1074" s="130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99"/>
    </row>
    <row r="1075" spans="2:16">
      <c r="B1075" s="65"/>
      <c r="C1075" s="65"/>
      <c r="D1075" s="65"/>
      <c r="E1075" s="130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99"/>
    </row>
    <row r="1076" spans="2:16">
      <c r="B1076" s="65"/>
      <c r="C1076" s="65"/>
      <c r="D1076" s="65"/>
      <c r="E1076" s="130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99"/>
    </row>
    <row r="1077" spans="2:16">
      <c r="B1077" s="65"/>
      <c r="C1077" s="65"/>
      <c r="D1077" s="65"/>
      <c r="E1077" s="130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99"/>
    </row>
    <row r="1078" spans="2:16">
      <c r="B1078" s="65"/>
      <c r="C1078" s="65"/>
      <c r="D1078" s="65"/>
      <c r="E1078" s="130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99"/>
    </row>
    <row r="1079" spans="2:16">
      <c r="B1079" s="65"/>
      <c r="C1079" s="65"/>
      <c r="D1079" s="65"/>
      <c r="E1079" s="130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99"/>
    </row>
    <row r="1080" spans="2:16">
      <c r="B1080" s="65"/>
      <c r="C1080" s="65"/>
      <c r="D1080" s="65"/>
      <c r="E1080" s="130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99"/>
    </row>
    <row r="1081" spans="2:16">
      <c r="B1081" s="65"/>
      <c r="C1081" s="65"/>
      <c r="D1081" s="65"/>
      <c r="E1081" s="130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99"/>
    </row>
    <row r="1082" spans="2:16">
      <c r="B1082" s="65"/>
      <c r="C1082" s="65"/>
      <c r="D1082" s="65"/>
      <c r="E1082" s="130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99"/>
    </row>
    <row r="1083" spans="2:16">
      <c r="B1083" s="65"/>
      <c r="C1083" s="65"/>
      <c r="D1083" s="65"/>
      <c r="E1083" s="130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99"/>
    </row>
    <row r="1084" spans="2:16">
      <c r="B1084" s="65"/>
      <c r="C1084" s="65"/>
      <c r="D1084" s="65"/>
      <c r="E1084" s="130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99"/>
    </row>
    <row r="1085" spans="2:16">
      <c r="B1085" s="65"/>
      <c r="C1085" s="65"/>
      <c r="D1085" s="65"/>
      <c r="E1085" s="130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99"/>
    </row>
    <row r="1086" spans="2:16">
      <c r="B1086" s="65"/>
      <c r="C1086" s="65"/>
      <c r="D1086" s="65"/>
      <c r="E1086" s="130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99"/>
    </row>
    <row r="1087" spans="2:16">
      <c r="B1087" s="65"/>
      <c r="C1087" s="65"/>
      <c r="D1087" s="65"/>
      <c r="E1087" s="130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99"/>
    </row>
    <row r="1088" spans="2:16">
      <c r="B1088" s="65"/>
      <c r="C1088" s="65"/>
      <c r="D1088" s="65"/>
      <c r="E1088" s="130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99"/>
    </row>
    <row r="1089" spans="2:16">
      <c r="B1089" s="65"/>
      <c r="C1089" s="65"/>
      <c r="D1089" s="65"/>
      <c r="E1089" s="130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99"/>
    </row>
    <row r="1090" spans="2:16">
      <c r="B1090" s="65"/>
      <c r="C1090" s="65"/>
      <c r="D1090" s="65"/>
      <c r="E1090" s="130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99"/>
    </row>
    <row r="1091" spans="2:16">
      <c r="B1091" s="65"/>
      <c r="C1091" s="65"/>
      <c r="D1091" s="65"/>
      <c r="E1091" s="130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99"/>
    </row>
    <row r="1092" spans="2:16">
      <c r="B1092" s="65"/>
      <c r="C1092" s="65"/>
      <c r="D1092" s="65"/>
      <c r="E1092" s="130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99"/>
    </row>
    <row r="1093" spans="2:16">
      <c r="B1093" s="65"/>
      <c r="C1093" s="65"/>
      <c r="D1093" s="65"/>
      <c r="E1093" s="130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99"/>
    </row>
    <row r="1094" spans="2:16">
      <c r="B1094" s="65"/>
      <c r="C1094" s="65"/>
      <c r="D1094" s="65"/>
      <c r="E1094" s="130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99"/>
    </row>
    <row r="1095" spans="2:16">
      <c r="B1095" s="65"/>
      <c r="C1095" s="65"/>
      <c r="D1095" s="65"/>
      <c r="E1095" s="130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99"/>
    </row>
    <row r="1096" spans="2:16">
      <c r="B1096" s="65"/>
      <c r="C1096" s="65"/>
      <c r="D1096" s="65"/>
      <c r="E1096" s="130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99"/>
    </row>
    <row r="1097" spans="2:16">
      <c r="B1097" s="65"/>
      <c r="C1097" s="65"/>
      <c r="D1097" s="65"/>
      <c r="E1097" s="130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99"/>
    </row>
    <row r="1098" spans="2:16">
      <c r="B1098" s="65"/>
      <c r="C1098" s="65"/>
      <c r="D1098" s="65"/>
      <c r="E1098" s="130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99"/>
    </row>
    <row r="1099" spans="2:16">
      <c r="B1099" s="65"/>
      <c r="C1099" s="65"/>
      <c r="D1099" s="65"/>
      <c r="E1099" s="130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99"/>
    </row>
    <row r="1100" spans="2:16">
      <c r="B1100" s="65"/>
      <c r="C1100" s="65"/>
      <c r="D1100" s="65"/>
      <c r="E1100" s="130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99"/>
    </row>
    <row r="1101" spans="2:16">
      <c r="B1101" s="65"/>
      <c r="C1101" s="65"/>
      <c r="D1101" s="65"/>
      <c r="E1101" s="130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99"/>
    </row>
    <row r="1102" spans="2:16">
      <c r="B1102" s="65"/>
      <c r="C1102" s="65"/>
      <c r="D1102" s="65"/>
      <c r="E1102" s="130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99"/>
    </row>
    <row r="1103" spans="2:16">
      <c r="B1103" s="65"/>
      <c r="C1103" s="65"/>
      <c r="D1103" s="65"/>
      <c r="E1103" s="130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99"/>
    </row>
    <row r="1104" spans="2:16">
      <c r="B1104" s="65"/>
      <c r="C1104" s="65"/>
      <c r="D1104" s="65"/>
      <c r="E1104" s="130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99"/>
    </row>
    <row r="1105" spans="2:16">
      <c r="B1105" s="65"/>
      <c r="C1105" s="65"/>
      <c r="D1105" s="65"/>
      <c r="E1105" s="130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99"/>
    </row>
    <row r="1106" spans="2:16">
      <c r="B1106" s="65"/>
      <c r="C1106" s="65"/>
      <c r="D1106" s="65"/>
      <c r="E1106" s="130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99"/>
    </row>
    <row r="1107" spans="2:16">
      <c r="B1107" s="65"/>
      <c r="C1107" s="65"/>
      <c r="D1107" s="65"/>
      <c r="E1107" s="130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99"/>
    </row>
    <row r="1108" spans="2:16">
      <c r="B1108" s="65"/>
      <c r="C1108" s="65"/>
      <c r="D1108" s="65"/>
      <c r="E1108" s="130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99"/>
    </row>
    <row r="1109" spans="2:16">
      <c r="B1109" s="65"/>
      <c r="C1109" s="65"/>
      <c r="D1109" s="65"/>
      <c r="E1109" s="130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99"/>
    </row>
    <row r="1110" spans="2:16">
      <c r="B1110" s="65"/>
      <c r="C1110" s="65"/>
      <c r="D1110" s="65"/>
      <c r="E1110" s="130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99"/>
    </row>
    <row r="1111" spans="2:16">
      <c r="B1111" s="65"/>
      <c r="C1111" s="65"/>
      <c r="D1111" s="65"/>
      <c r="E1111" s="130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99"/>
    </row>
    <row r="1112" spans="2:16">
      <c r="B1112" s="65"/>
      <c r="C1112" s="65"/>
      <c r="D1112" s="65"/>
      <c r="E1112" s="130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99"/>
    </row>
    <row r="1113" spans="2:16">
      <c r="B1113" s="65"/>
      <c r="C1113" s="65"/>
      <c r="D1113" s="65"/>
      <c r="E1113" s="130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99"/>
    </row>
    <row r="1114" spans="2:16">
      <c r="B1114" s="65"/>
      <c r="C1114" s="65"/>
      <c r="D1114" s="65"/>
      <c r="E1114" s="130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99"/>
    </row>
    <row r="1115" spans="2:16">
      <c r="B1115" s="65"/>
      <c r="C1115" s="65"/>
      <c r="D1115" s="65"/>
      <c r="E1115" s="130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99"/>
    </row>
    <row r="1116" spans="2:16">
      <c r="B1116" s="65"/>
      <c r="C1116" s="65"/>
      <c r="D1116" s="65"/>
      <c r="E1116" s="130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99"/>
    </row>
    <row r="1117" spans="2:16">
      <c r="B1117" s="65"/>
      <c r="C1117" s="65"/>
      <c r="D1117" s="65"/>
      <c r="E1117" s="130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99"/>
    </row>
    <row r="1118" spans="2:16">
      <c r="B1118" s="65"/>
      <c r="C1118" s="65"/>
      <c r="D1118" s="65"/>
      <c r="E1118" s="130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99"/>
    </row>
    <row r="1119" spans="2:16">
      <c r="B1119" s="65"/>
      <c r="C1119" s="65"/>
      <c r="D1119" s="65"/>
      <c r="E1119" s="130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99"/>
    </row>
    <row r="1120" spans="2:16">
      <c r="B1120" s="65"/>
      <c r="C1120" s="65"/>
      <c r="D1120" s="65"/>
      <c r="E1120" s="130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99"/>
    </row>
    <row r="1121" spans="2:16">
      <c r="B1121" s="65"/>
      <c r="C1121" s="65"/>
      <c r="D1121" s="65"/>
      <c r="E1121" s="130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99"/>
    </row>
    <row r="1122" spans="2:16">
      <c r="B1122" s="65"/>
      <c r="C1122" s="65"/>
      <c r="D1122" s="65"/>
      <c r="E1122" s="130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99"/>
    </row>
    <row r="1123" spans="2:16">
      <c r="B1123" s="65"/>
      <c r="C1123" s="65"/>
      <c r="D1123" s="65"/>
      <c r="E1123" s="130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99"/>
    </row>
    <row r="1124" spans="2:16">
      <c r="B1124" s="65"/>
      <c r="C1124" s="65"/>
      <c r="D1124" s="65"/>
      <c r="E1124" s="130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99"/>
    </row>
    <row r="1125" spans="2:16">
      <c r="B1125" s="65"/>
      <c r="C1125" s="65"/>
      <c r="D1125" s="65"/>
      <c r="E1125" s="130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99"/>
    </row>
    <row r="1126" spans="2:16">
      <c r="B1126" s="65"/>
      <c r="C1126" s="65"/>
      <c r="D1126" s="65"/>
      <c r="E1126" s="130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99"/>
    </row>
    <row r="1127" spans="2:16">
      <c r="B1127" s="65"/>
      <c r="C1127" s="65"/>
      <c r="D1127" s="65"/>
      <c r="E1127" s="130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99"/>
    </row>
    <row r="1128" spans="2:16">
      <c r="B1128" s="65"/>
      <c r="C1128" s="65"/>
      <c r="D1128" s="65"/>
      <c r="E1128" s="130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99"/>
    </row>
    <row r="1129" spans="2:16">
      <c r="B1129" s="65"/>
      <c r="C1129" s="65"/>
      <c r="D1129" s="65"/>
      <c r="E1129" s="130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99"/>
    </row>
    <row r="1130" spans="2:16">
      <c r="B1130" s="65"/>
      <c r="C1130" s="65"/>
      <c r="D1130" s="65"/>
      <c r="E1130" s="130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99"/>
    </row>
    <row r="1131" spans="2:16">
      <c r="B1131" s="65"/>
      <c r="C1131" s="65"/>
      <c r="D1131" s="65"/>
      <c r="E1131" s="130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99"/>
    </row>
    <row r="1132" spans="2:16">
      <c r="B1132" s="65"/>
      <c r="C1132" s="65"/>
      <c r="D1132" s="65"/>
      <c r="E1132" s="130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99"/>
    </row>
    <row r="1133" spans="2:16">
      <c r="B1133" s="65"/>
      <c r="C1133" s="65"/>
      <c r="D1133" s="65"/>
      <c r="E1133" s="130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99"/>
    </row>
    <row r="1134" spans="2:16">
      <c r="B1134" s="65"/>
      <c r="C1134" s="65"/>
      <c r="D1134" s="65"/>
      <c r="E1134" s="130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99"/>
    </row>
    <row r="1135" spans="2:16">
      <c r="B1135" s="65"/>
      <c r="C1135" s="65"/>
      <c r="D1135" s="65"/>
      <c r="E1135" s="130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99"/>
    </row>
    <row r="1136" spans="2:16">
      <c r="B1136" s="65"/>
      <c r="C1136" s="65"/>
      <c r="D1136" s="65"/>
      <c r="E1136" s="130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99"/>
    </row>
    <row r="1137" spans="2:16">
      <c r="B1137" s="65"/>
      <c r="C1137" s="65"/>
      <c r="D1137" s="65"/>
      <c r="E1137" s="130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99"/>
    </row>
    <row r="1138" spans="2:16">
      <c r="B1138" s="65"/>
      <c r="C1138" s="65"/>
      <c r="D1138" s="65"/>
      <c r="E1138" s="130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99"/>
    </row>
    <row r="1139" spans="2:16">
      <c r="B1139" s="65"/>
      <c r="C1139" s="65"/>
      <c r="D1139" s="65"/>
      <c r="E1139" s="130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99"/>
    </row>
    <row r="1140" spans="2:16">
      <c r="B1140" s="65"/>
      <c r="C1140" s="65"/>
      <c r="D1140" s="65"/>
      <c r="E1140" s="130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99"/>
    </row>
    <row r="1141" spans="2:16">
      <c r="B1141" s="65"/>
      <c r="C1141" s="65"/>
      <c r="D1141" s="65"/>
      <c r="E1141" s="130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99"/>
    </row>
    <row r="1142" spans="2:16">
      <c r="B1142" s="65"/>
      <c r="C1142" s="65"/>
      <c r="D1142" s="65"/>
      <c r="E1142" s="130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99"/>
    </row>
    <row r="1143" spans="2:16">
      <c r="B1143" s="65"/>
      <c r="C1143" s="65"/>
      <c r="D1143" s="65"/>
      <c r="E1143" s="130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99"/>
    </row>
    <row r="1144" spans="2:16">
      <c r="B1144" s="65"/>
      <c r="C1144" s="65"/>
      <c r="D1144" s="65"/>
      <c r="E1144" s="130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99"/>
    </row>
    <row r="1145" spans="2:16">
      <c r="B1145" s="65"/>
      <c r="C1145" s="65"/>
      <c r="D1145" s="65"/>
      <c r="E1145" s="130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99"/>
    </row>
    <row r="1146" spans="2:16">
      <c r="B1146" s="65"/>
      <c r="C1146" s="65"/>
      <c r="D1146" s="65"/>
      <c r="E1146" s="130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99"/>
    </row>
    <row r="1147" spans="2:16">
      <c r="B1147" s="65"/>
      <c r="C1147" s="65"/>
      <c r="D1147" s="65"/>
      <c r="E1147" s="130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99"/>
    </row>
    <row r="1148" spans="2:16">
      <c r="B1148" s="65"/>
      <c r="C1148" s="65"/>
      <c r="D1148" s="65"/>
      <c r="E1148" s="130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99"/>
    </row>
    <row r="1149" spans="2:16">
      <c r="B1149" s="65"/>
      <c r="C1149" s="65"/>
      <c r="D1149" s="65"/>
      <c r="E1149" s="130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99"/>
    </row>
    <row r="1150" spans="2:16">
      <c r="B1150" s="65"/>
      <c r="C1150" s="65"/>
      <c r="D1150" s="65"/>
      <c r="E1150" s="130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99"/>
    </row>
    <row r="1151" spans="2:16">
      <c r="B1151" s="65"/>
      <c r="C1151" s="65"/>
      <c r="D1151" s="65"/>
      <c r="E1151" s="130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99"/>
    </row>
    <row r="1152" spans="2:16">
      <c r="B1152" s="65"/>
      <c r="C1152" s="65"/>
      <c r="D1152" s="65"/>
      <c r="E1152" s="130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99"/>
    </row>
    <row r="1153" spans="2:16">
      <c r="B1153" s="65"/>
      <c r="C1153" s="65"/>
      <c r="D1153" s="65"/>
      <c r="E1153" s="130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99"/>
    </row>
    <row r="1154" spans="2:16">
      <c r="B1154" s="65"/>
      <c r="C1154" s="65"/>
      <c r="D1154" s="65"/>
      <c r="E1154" s="130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99"/>
    </row>
    <row r="1155" spans="2:16">
      <c r="B1155" s="65"/>
      <c r="C1155" s="65"/>
      <c r="D1155" s="65"/>
      <c r="E1155" s="130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99"/>
    </row>
    <row r="1156" spans="2:16">
      <c r="B1156" s="65"/>
      <c r="C1156" s="65"/>
      <c r="D1156" s="65"/>
      <c r="E1156" s="130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99"/>
    </row>
    <row r="1157" spans="2:16">
      <c r="B1157" s="65"/>
      <c r="C1157" s="65"/>
      <c r="D1157" s="65"/>
      <c r="E1157" s="130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99"/>
    </row>
    <row r="1158" spans="2:16">
      <c r="B1158" s="65"/>
      <c r="C1158" s="65"/>
      <c r="D1158" s="65"/>
      <c r="E1158" s="130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99"/>
    </row>
    <row r="1159" spans="2:16">
      <c r="B1159" s="65"/>
      <c r="C1159" s="65"/>
      <c r="D1159" s="65"/>
      <c r="E1159" s="130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99"/>
    </row>
    <row r="1160" spans="2:16">
      <c r="B1160" s="65"/>
      <c r="C1160" s="65"/>
      <c r="D1160" s="65"/>
      <c r="E1160" s="130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99"/>
    </row>
    <row r="1161" spans="2:16">
      <c r="B1161" s="65"/>
      <c r="C1161" s="65"/>
      <c r="D1161" s="65"/>
      <c r="E1161" s="130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99"/>
    </row>
    <row r="1162" spans="2:16">
      <c r="B1162" s="65"/>
      <c r="C1162" s="65"/>
      <c r="D1162" s="65"/>
      <c r="E1162" s="130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99"/>
    </row>
    <row r="1163" spans="2:16">
      <c r="B1163" s="65"/>
      <c r="C1163" s="65"/>
      <c r="D1163" s="65"/>
      <c r="E1163" s="130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99"/>
    </row>
    <row r="1164" spans="2:16">
      <c r="B1164" s="65"/>
      <c r="C1164" s="65"/>
      <c r="D1164" s="65"/>
      <c r="E1164" s="130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99"/>
    </row>
    <row r="1165" spans="2:16">
      <c r="B1165" s="65"/>
      <c r="C1165" s="65"/>
      <c r="D1165" s="65"/>
      <c r="E1165" s="130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99"/>
    </row>
    <row r="1166" spans="2:16">
      <c r="B1166" s="65"/>
      <c r="C1166" s="65"/>
      <c r="D1166" s="65"/>
      <c r="E1166" s="130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99"/>
    </row>
    <row r="1167" spans="2:16">
      <c r="B1167" s="65"/>
      <c r="C1167" s="65"/>
      <c r="D1167" s="65"/>
      <c r="E1167" s="130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99"/>
    </row>
    <row r="1168" spans="2:16">
      <c r="B1168" s="65"/>
      <c r="C1168" s="65"/>
      <c r="D1168" s="65"/>
      <c r="E1168" s="130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99"/>
    </row>
    <row r="1169" spans="2:16">
      <c r="B1169" s="65"/>
      <c r="C1169" s="65"/>
      <c r="D1169" s="65"/>
      <c r="E1169" s="130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99"/>
    </row>
    <row r="1170" spans="2:16">
      <c r="B1170" s="65"/>
      <c r="C1170" s="65"/>
      <c r="D1170" s="65"/>
      <c r="E1170" s="130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99"/>
    </row>
    <row r="1171" spans="2:16">
      <c r="B1171" s="65"/>
      <c r="C1171" s="65"/>
      <c r="D1171" s="65"/>
      <c r="E1171" s="130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99"/>
    </row>
    <row r="1172" spans="2:16">
      <c r="B1172" s="65"/>
      <c r="C1172" s="65"/>
      <c r="D1172" s="65"/>
      <c r="E1172" s="130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99"/>
    </row>
    <row r="1173" spans="2:16">
      <c r="B1173" s="65"/>
      <c r="C1173" s="65"/>
      <c r="D1173" s="65"/>
      <c r="E1173" s="130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99"/>
    </row>
    <row r="1174" spans="2:16">
      <c r="B1174" s="65"/>
      <c r="C1174" s="65"/>
      <c r="D1174" s="65"/>
      <c r="E1174" s="130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99"/>
    </row>
    <row r="1175" spans="2:16">
      <c r="B1175" s="65"/>
      <c r="C1175" s="65"/>
      <c r="D1175" s="65"/>
      <c r="E1175" s="130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99"/>
    </row>
    <row r="1176" spans="2:16">
      <c r="B1176" s="65"/>
      <c r="C1176" s="65"/>
      <c r="D1176" s="65"/>
      <c r="E1176" s="130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99"/>
    </row>
    <row r="1177" spans="2:16">
      <c r="B1177" s="65"/>
      <c r="C1177" s="65"/>
      <c r="D1177" s="65"/>
      <c r="E1177" s="130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99"/>
    </row>
    <row r="1178" spans="2:16">
      <c r="B1178" s="65"/>
      <c r="C1178" s="65"/>
      <c r="D1178" s="65"/>
      <c r="E1178" s="130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99"/>
    </row>
    <row r="1179" spans="2:16">
      <c r="B1179" s="65"/>
      <c r="C1179" s="65"/>
      <c r="D1179" s="65"/>
      <c r="E1179" s="130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99"/>
    </row>
    <row r="1180" spans="2:16">
      <c r="B1180" s="65"/>
      <c r="C1180" s="65"/>
      <c r="D1180" s="65"/>
      <c r="E1180" s="130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99"/>
    </row>
    <row r="1181" spans="2:16">
      <c r="B1181" s="65"/>
      <c r="C1181" s="65"/>
      <c r="D1181" s="65"/>
      <c r="E1181" s="130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99"/>
    </row>
    <row r="1182" spans="2:16">
      <c r="B1182" s="65"/>
      <c r="C1182" s="65"/>
      <c r="D1182" s="65"/>
      <c r="E1182" s="130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99"/>
    </row>
    <row r="1183" spans="2:16">
      <c r="B1183" s="65"/>
      <c r="C1183" s="65"/>
      <c r="D1183" s="65"/>
      <c r="E1183" s="130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99"/>
    </row>
    <row r="1184" spans="2:16">
      <c r="B1184" s="65"/>
      <c r="C1184" s="65"/>
      <c r="D1184" s="65"/>
      <c r="E1184" s="130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99"/>
    </row>
    <row r="1185" spans="2:16">
      <c r="B1185" s="65"/>
      <c r="C1185" s="65"/>
      <c r="D1185" s="65"/>
      <c r="E1185" s="130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99"/>
    </row>
    <row r="1186" spans="2:16">
      <c r="B1186" s="65"/>
      <c r="C1186" s="65"/>
      <c r="D1186" s="65"/>
      <c r="E1186" s="130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99"/>
    </row>
    <row r="1187" spans="2:16">
      <c r="B1187" s="65"/>
      <c r="C1187" s="65"/>
      <c r="D1187" s="65"/>
      <c r="E1187" s="130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99"/>
    </row>
    <row r="1188" spans="2:16">
      <c r="B1188" s="65"/>
      <c r="C1188" s="65"/>
      <c r="D1188" s="65"/>
      <c r="E1188" s="130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99"/>
    </row>
    <row r="1189" spans="2:16">
      <c r="B1189" s="65"/>
      <c r="C1189" s="65"/>
      <c r="D1189" s="65"/>
      <c r="E1189" s="130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99"/>
    </row>
    <row r="1190" spans="2:16">
      <c r="B1190" s="65"/>
      <c r="C1190" s="65"/>
      <c r="D1190" s="65"/>
      <c r="E1190" s="130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99"/>
    </row>
    <row r="1191" spans="2:16">
      <c r="B1191" s="65"/>
      <c r="C1191" s="65"/>
      <c r="D1191" s="65"/>
      <c r="E1191" s="130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99"/>
    </row>
    <row r="1192" spans="2:16">
      <c r="B1192" s="65"/>
      <c r="C1192" s="65"/>
      <c r="D1192" s="65"/>
      <c r="E1192" s="130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99"/>
    </row>
    <row r="1193" spans="2:16">
      <c r="B1193" s="65"/>
      <c r="C1193" s="65"/>
      <c r="D1193" s="65"/>
      <c r="E1193" s="130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99"/>
    </row>
    <row r="1194" spans="2:16">
      <c r="B1194" s="65"/>
      <c r="C1194" s="65"/>
      <c r="D1194" s="65"/>
      <c r="E1194" s="130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99"/>
    </row>
    <row r="1195" spans="2:16">
      <c r="B1195" s="65"/>
      <c r="C1195" s="65"/>
      <c r="D1195" s="65"/>
      <c r="E1195" s="130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99"/>
    </row>
    <row r="1196" spans="2:16">
      <c r="B1196" s="65"/>
      <c r="C1196" s="65"/>
      <c r="D1196" s="65"/>
      <c r="E1196" s="130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99"/>
    </row>
    <row r="1197" spans="2:16">
      <c r="B1197" s="65"/>
      <c r="C1197" s="65"/>
      <c r="D1197" s="65"/>
      <c r="E1197" s="130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99"/>
    </row>
    <row r="1198" spans="2:16">
      <c r="B1198" s="65"/>
      <c r="C1198" s="65"/>
      <c r="D1198" s="65"/>
      <c r="E1198" s="130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99"/>
    </row>
    <row r="1199" spans="2:16">
      <c r="B1199" s="65"/>
      <c r="C1199" s="65"/>
      <c r="D1199" s="65"/>
      <c r="E1199" s="130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99"/>
    </row>
    <row r="1200" spans="2:16">
      <c r="B1200" s="65"/>
      <c r="C1200" s="65"/>
      <c r="D1200" s="65"/>
      <c r="E1200" s="130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99"/>
    </row>
    <row r="1201" spans="5:18" s="65" customFormat="1">
      <c r="E1201" s="130"/>
      <c r="P1201" s="99"/>
      <c r="Q1201" s="99"/>
      <c r="R1201" s="99"/>
    </row>
    <row r="1202" spans="5:18" s="65" customFormat="1">
      <c r="E1202" s="130"/>
      <c r="P1202" s="99"/>
      <c r="Q1202" s="99"/>
      <c r="R1202" s="99"/>
    </row>
    <row r="1203" spans="5:18" s="65" customFormat="1">
      <c r="E1203" s="130"/>
      <c r="P1203" s="99"/>
      <c r="Q1203" s="99"/>
      <c r="R1203" s="99"/>
    </row>
    <row r="1204" spans="5:18" s="65" customFormat="1">
      <c r="E1204" s="130"/>
      <c r="P1204" s="99"/>
      <c r="Q1204" s="99"/>
      <c r="R1204" s="99"/>
    </row>
    <row r="1205" spans="5:18" s="65" customFormat="1">
      <c r="E1205" s="130"/>
      <c r="P1205" s="99"/>
      <c r="Q1205" s="99"/>
      <c r="R1205" s="99"/>
    </row>
    <row r="1206" spans="5:18" s="65" customFormat="1">
      <c r="E1206" s="130"/>
      <c r="P1206" s="99"/>
      <c r="Q1206" s="99"/>
      <c r="R1206" s="99"/>
    </row>
    <row r="1207" spans="5:18" s="65" customFormat="1">
      <c r="E1207" s="130"/>
      <c r="P1207" s="99"/>
      <c r="Q1207" s="99"/>
      <c r="R1207" s="99"/>
    </row>
    <row r="1208" spans="5:18" s="65" customFormat="1">
      <c r="E1208" s="130"/>
      <c r="P1208" s="99"/>
      <c r="Q1208" s="99"/>
      <c r="R1208" s="99"/>
    </row>
    <row r="1209" spans="5:18" s="65" customFormat="1">
      <c r="E1209" s="130"/>
      <c r="P1209" s="99"/>
      <c r="Q1209" s="99"/>
      <c r="R1209" s="99"/>
    </row>
    <row r="1210" spans="5:18" s="65" customFormat="1">
      <c r="E1210" s="130"/>
      <c r="P1210" s="99"/>
      <c r="Q1210" s="99"/>
      <c r="R1210" s="99"/>
    </row>
    <row r="1211" spans="5:18" s="65" customFormat="1">
      <c r="E1211" s="130"/>
      <c r="P1211" s="99"/>
      <c r="Q1211" s="99"/>
      <c r="R1211" s="99"/>
    </row>
    <row r="1212" spans="5:18" s="65" customFormat="1">
      <c r="E1212" s="130"/>
      <c r="P1212" s="99"/>
      <c r="Q1212" s="99"/>
      <c r="R1212" s="99"/>
    </row>
    <row r="1213" spans="5:18" s="65" customFormat="1">
      <c r="E1213" s="130"/>
      <c r="P1213" s="99"/>
      <c r="Q1213" s="99"/>
      <c r="R1213" s="99"/>
    </row>
    <row r="1214" spans="5:18" s="65" customFormat="1">
      <c r="E1214" s="130"/>
      <c r="P1214" s="99"/>
      <c r="Q1214" s="99"/>
      <c r="R1214" s="99"/>
    </row>
    <row r="1215" spans="5:18" s="65" customFormat="1">
      <c r="E1215" s="130"/>
      <c r="P1215" s="99"/>
      <c r="Q1215" s="99"/>
      <c r="R1215" s="99"/>
    </row>
    <row r="1216" spans="5:18" s="65" customFormat="1">
      <c r="E1216" s="130"/>
      <c r="P1216" s="99"/>
      <c r="Q1216" s="99"/>
      <c r="R1216" s="99"/>
    </row>
    <row r="1217" spans="5:18" s="65" customFormat="1">
      <c r="E1217" s="130"/>
      <c r="P1217" s="99"/>
      <c r="Q1217" s="99"/>
      <c r="R1217" s="99"/>
    </row>
    <row r="1218" spans="5:18" s="65" customFormat="1">
      <c r="E1218" s="130"/>
      <c r="P1218" s="99"/>
      <c r="Q1218" s="99"/>
      <c r="R1218" s="99"/>
    </row>
    <row r="1219" spans="5:18" s="65" customFormat="1">
      <c r="E1219" s="130"/>
      <c r="P1219" s="99"/>
      <c r="Q1219" s="99"/>
      <c r="R1219" s="99"/>
    </row>
    <row r="1220" spans="5:18" s="65" customFormat="1">
      <c r="E1220" s="130"/>
      <c r="P1220" s="99"/>
      <c r="Q1220" s="99"/>
      <c r="R1220" s="99"/>
    </row>
    <row r="1221" spans="5:18" s="65" customFormat="1">
      <c r="E1221" s="130"/>
      <c r="P1221" s="99"/>
      <c r="Q1221" s="99"/>
      <c r="R1221" s="99"/>
    </row>
    <row r="1222" spans="5:18" s="65" customFormat="1">
      <c r="E1222" s="130"/>
      <c r="P1222" s="99"/>
      <c r="Q1222" s="99"/>
      <c r="R1222" s="99"/>
    </row>
    <row r="1223" spans="5:18" s="65" customFormat="1">
      <c r="E1223" s="130"/>
      <c r="P1223" s="99"/>
      <c r="Q1223" s="99"/>
      <c r="R1223" s="99"/>
    </row>
    <row r="1224" spans="5:18" s="65" customFormat="1">
      <c r="E1224" s="130"/>
      <c r="P1224" s="99"/>
      <c r="Q1224" s="99"/>
      <c r="R1224" s="99"/>
    </row>
    <row r="1225" spans="5:18" s="65" customFormat="1">
      <c r="E1225" s="130"/>
      <c r="P1225" s="99"/>
      <c r="Q1225" s="99"/>
      <c r="R1225" s="99"/>
    </row>
    <row r="1226" spans="5:18" s="65" customFormat="1">
      <c r="E1226" s="130"/>
      <c r="P1226" s="99"/>
      <c r="Q1226" s="99"/>
      <c r="R1226" s="99"/>
    </row>
    <row r="1227" spans="5:18" s="65" customFormat="1">
      <c r="E1227" s="130"/>
      <c r="P1227" s="99"/>
      <c r="Q1227" s="99"/>
      <c r="R1227" s="99"/>
    </row>
    <row r="1228" spans="5:18" s="65" customFormat="1">
      <c r="E1228" s="130"/>
      <c r="P1228" s="99"/>
      <c r="Q1228" s="99"/>
      <c r="R1228" s="99"/>
    </row>
    <row r="1229" spans="5:18" s="65" customFormat="1">
      <c r="E1229" s="130"/>
      <c r="P1229" s="99"/>
      <c r="Q1229" s="99"/>
      <c r="R1229" s="99"/>
    </row>
    <row r="1230" spans="5:18" s="65" customFormat="1">
      <c r="E1230" s="130"/>
      <c r="P1230" s="99"/>
      <c r="Q1230" s="99"/>
      <c r="R1230" s="99"/>
    </row>
    <row r="1231" spans="5:18" s="65" customFormat="1">
      <c r="E1231" s="130"/>
      <c r="P1231" s="99"/>
      <c r="Q1231" s="99"/>
      <c r="R1231" s="99"/>
    </row>
    <row r="1232" spans="5:18" s="65" customFormat="1">
      <c r="E1232" s="130"/>
      <c r="P1232" s="99"/>
      <c r="Q1232" s="99"/>
      <c r="R1232" s="99"/>
    </row>
    <row r="1233" spans="5:18" s="65" customFormat="1">
      <c r="E1233" s="130"/>
      <c r="P1233" s="99"/>
      <c r="Q1233" s="99"/>
      <c r="R1233" s="99"/>
    </row>
    <row r="1234" spans="5:18" s="65" customFormat="1">
      <c r="E1234" s="130"/>
      <c r="P1234" s="99"/>
      <c r="Q1234" s="99"/>
      <c r="R1234" s="99"/>
    </row>
    <row r="1235" spans="5:18" s="65" customFormat="1">
      <c r="E1235" s="130"/>
      <c r="P1235" s="99"/>
      <c r="Q1235" s="99"/>
      <c r="R1235" s="99"/>
    </row>
    <row r="1236" spans="5:18" s="65" customFormat="1">
      <c r="E1236" s="130"/>
      <c r="P1236" s="99"/>
      <c r="Q1236" s="99"/>
      <c r="R1236" s="99"/>
    </row>
    <row r="1237" spans="5:18" s="65" customFormat="1">
      <c r="E1237" s="130"/>
      <c r="P1237" s="99"/>
      <c r="Q1237" s="99"/>
      <c r="R1237" s="99"/>
    </row>
    <row r="1238" spans="5:18" s="65" customFormat="1">
      <c r="E1238" s="130"/>
      <c r="P1238" s="99"/>
      <c r="Q1238" s="99"/>
      <c r="R1238" s="99"/>
    </row>
    <row r="1239" spans="5:18" s="65" customFormat="1">
      <c r="E1239" s="130"/>
      <c r="P1239" s="99"/>
      <c r="Q1239" s="99"/>
      <c r="R1239" s="99"/>
    </row>
    <row r="1240" spans="5:18" s="65" customFormat="1">
      <c r="E1240" s="130"/>
      <c r="P1240" s="99"/>
      <c r="Q1240" s="99"/>
      <c r="R1240" s="99"/>
    </row>
    <row r="1241" spans="5:18" s="65" customFormat="1">
      <c r="E1241" s="130"/>
      <c r="P1241" s="99"/>
      <c r="Q1241" s="99"/>
      <c r="R1241" s="99"/>
    </row>
    <row r="1242" spans="5:18" s="65" customFormat="1">
      <c r="E1242" s="130"/>
      <c r="P1242" s="99"/>
      <c r="Q1242" s="99"/>
      <c r="R1242" s="99"/>
    </row>
    <row r="1243" spans="5:18" s="65" customFormat="1">
      <c r="E1243" s="130"/>
      <c r="P1243" s="99"/>
      <c r="Q1243" s="99"/>
      <c r="R1243" s="99"/>
    </row>
    <row r="1244" spans="5:18" s="65" customFormat="1">
      <c r="E1244" s="130"/>
      <c r="P1244" s="99"/>
      <c r="Q1244" s="99"/>
      <c r="R1244" s="99"/>
    </row>
    <row r="1245" spans="5:18" s="65" customFormat="1">
      <c r="E1245" s="130"/>
      <c r="P1245" s="99"/>
      <c r="Q1245" s="99"/>
      <c r="R1245" s="99"/>
    </row>
    <row r="1246" spans="5:18" s="65" customFormat="1">
      <c r="E1246" s="130"/>
      <c r="P1246" s="99"/>
      <c r="Q1246" s="99"/>
      <c r="R1246" s="99"/>
    </row>
    <row r="1247" spans="5:18" s="65" customFormat="1">
      <c r="E1247" s="130"/>
      <c r="P1247" s="99"/>
      <c r="Q1247" s="99"/>
      <c r="R1247" s="99"/>
    </row>
    <row r="1248" spans="5:18" s="65" customFormat="1">
      <c r="E1248" s="130"/>
      <c r="P1248" s="99"/>
      <c r="Q1248" s="99"/>
      <c r="R1248" s="99"/>
    </row>
    <row r="1249" spans="5:18" s="65" customFormat="1">
      <c r="E1249" s="130"/>
      <c r="P1249" s="99"/>
      <c r="Q1249" s="99"/>
      <c r="R1249" s="99"/>
    </row>
    <row r="1250" spans="5:18" s="65" customFormat="1">
      <c r="E1250" s="130"/>
      <c r="P1250" s="99"/>
      <c r="Q1250" s="99"/>
      <c r="R1250" s="99"/>
    </row>
    <row r="1251" spans="5:18" s="65" customFormat="1">
      <c r="E1251" s="130"/>
      <c r="P1251" s="99"/>
      <c r="Q1251" s="99"/>
      <c r="R1251" s="99"/>
    </row>
    <row r="1252" spans="5:18" s="65" customFormat="1">
      <c r="E1252" s="130"/>
      <c r="P1252" s="99"/>
      <c r="Q1252" s="99"/>
      <c r="R1252" s="99"/>
    </row>
    <row r="1253" spans="5:18" s="65" customFormat="1">
      <c r="E1253" s="130"/>
      <c r="P1253" s="99"/>
      <c r="Q1253" s="99"/>
      <c r="R1253" s="99"/>
    </row>
    <row r="1254" spans="5:18" s="65" customFormat="1">
      <c r="E1254" s="130"/>
      <c r="P1254" s="99"/>
      <c r="Q1254" s="99"/>
      <c r="R1254" s="99"/>
    </row>
    <row r="1255" spans="5:18" s="65" customFormat="1">
      <c r="E1255" s="130"/>
      <c r="P1255" s="99"/>
      <c r="Q1255" s="99"/>
      <c r="R1255" s="99"/>
    </row>
    <row r="1256" spans="5:18" s="65" customFormat="1">
      <c r="E1256" s="130"/>
      <c r="P1256" s="99"/>
      <c r="Q1256" s="99"/>
      <c r="R1256" s="99"/>
    </row>
    <row r="1257" spans="5:18" s="65" customFormat="1">
      <c r="E1257" s="130"/>
      <c r="P1257" s="99"/>
      <c r="Q1257" s="99"/>
      <c r="R1257" s="99"/>
    </row>
    <row r="1258" spans="5:18" s="65" customFormat="1">
      <c r="E1258" s="130"/>
      <c r="P1258" s="99"/>
      <c r="Q1258" s="99"/>
      <c r="R1258" s="99"/>
    </row>
    <row r="1259" spans="5:18" s="65" customFormat="1">
      <c r="E1259" s="130"/>
      <c r="P1259" s="99"/>
      <c r="Q1259" s="99"/>
      <c r="R1259" s="99"/>
    </row>
    <row r="1260" spans="5:18" s="65" customFormat="1">
      <c r="E1260" s="130"/>
      <c r="P1260" s="99"/>
      <c r="Q1260" s="99"/>
      <c r="R1260" s="99"/>
    </row>
    <row r="1261" spans="5:18" s="65" customFormat="1">
      <c r="E1261" s="130"/>
      <c r="P1261" s="99"/>
      <c r="Q1261" s="99"/>
      <c r="R1261" s="99"/>
    </row>
    <row r="1262" spans="5:18" s="65" customFormat="1">
      <c r="E1262" s="130"/>
      <c r="P1262" s="99"/>
      <c r="Q1262" s="99"/>
      <c r="R1262" s="99"/>
    </row>
    <row r="1263" spans="5:18" s="65" customFormat="1">
      <c r="E1263" s="130"/>
      <c r="P1263" s="99"/>
      <c r="Q1263" s="99"/>
      <c r="R1263" s="99"/>
    </row>
    <row r="1264" spans="5:18" s="65" customFormat="1">
      <c r="E1264" s="130"/>
      <c r="P1264" s="99"/>
      <c r="Q1264" s="99"/>
      <c r="R1264" s="99"/>
    </row>
    <row r="1265" spans="5:18" s="65" customFormat="1">
      <c r="E1265" s="130"/>
      <c r="P1265" s="99"/>
      <c r="Q1265" s="99"/>
      <c r="R1265" s="99"/>
    </row>
    <row r="1266" spans="5:18" s="65" customFormat="1">
      <c r="E1266" s="130"/>
      <c r="P1266" s="99"/>
      <c r="Q1266" s="99"/>
      <c r="R1266" s="99"/>
    </row>
    <row r="1267" spans="5:18" s="65" customFormat="1">
      <c r="E1267" s="130"/>
      <c r="P1267" s="99"/>
      <c r="Q1267" s="99"/>
      <c r="R1267" s="99"/>
    </row>
    <row r="1268" spans="5:18" s="65" customFormat="1">
      <c r="E1268" s="130"/>
      <c r="P1268" s="99"/>
      <c r="Q1268" s="99"/>
      <c r="R1268" s="99"/>
    </row>
    <row r="1269" spans="5:18" s="65" customFormat="1">
      <c r="E1269" s="130"/>
      <c r="P1269" s="99"/>
      <c r="Q1269" s="99"/>
      <c r="R1269" s="99"/>
    </row>
    <row r="1270" spans="5:18" s="65" customFormat="1">
      <c r="E1270" s="130"/>
      <c r="P1270" s="99"/>
      <c r="Q1270" s="99"/>
      <c r="R1270" s="99"/>
    </row>
    <row r="1271" spans="5:18" s="65" customFormat="1">
      <c r="E1271" s="130"/>
      <c r="P1271" s="99"/>
      <c r="Q1271" s="99"/>
      <c r="R1271" s="99"/>
    </row>
    <row r="1272" spans="5:18" s="65" customFormat="1">
      <c r="E1272" s="130"/>
      <c r="P1272" s="99"/>
      <c r="Q1272" s="99"/>
      <c r="R1272" s="99"/>
    </row>
    <row r="1273" spans="5:18" s="65" customFormat="1">
      <c r="E1273" s="130"/>
      <c r="P1273" s="99"/>
      <c r="Q1273" s="99"/>
      <c r="R1273" s="99"/>
    </row>
    <row r="1274" spans="5:18" s="65" customFormat="1">
      <c r="E1274" s="130"/>
      <c r="P1274" s="99"/>
      <c r="Q1274" s="99"/>
      <c r="R1274" s="99"/>
    </row>
    <row r="1275" spans="5:18" s="65" customFormat="1">
      <c r="E1275" s="130"/>
      <c r="P1275" s="99"/>
      <c r="Q1275" s="99"/>
      <c r="R1275" s="99"/>
    </row>
    <row r="1276" spans="5:18" s="65" customFormat="1">
      <c r="E1276" s="130"/>
      <c r="P1276" s="99"/>
      <c r="Q1276" s="99"/>
      <c r="R1276" s="99"/>
    </row>
    <row r="1277" spans="5:18" s="65" customFormat="1">
      <c r="E1277" s="130"/>
      <c r="P1277" s="99"/>
      <c r="Q1277" s="99"/>
      <c r="R1277" s="99"/>
    </row>
    <row r="1278" spans="5:18" s="65" customFormat="1">
      <c r="E1278" s="130"/>
      <c r="P1278" s="99"/>
      <c r="Q1278" s="99"/>
      <c r="R1278" s="99"/>
    </row>
    <row r="1279" spans="5:18" s="65" customFormat="1">
      <c r="E1279" s="130"/>
      <c r="P1279" s="99"/>
      <c r="Q1279" s="99"/>
      <c r="R1279" s="99"/>
    </row>
    <row r="1280" spans="5:18" s="65" customFormat="1">
      <c r="E1280" s="130"/>
      <c r="P1280" s="99"/>
      <c r="Q1280" s="99"/>
      <c r="R1280" s="99"/>
    </row>
    <row r="1281" spans="5:18" s="65" customFormat="1">
      <c r="E1281" s="130"/>
      <c r="P1281" s="99"/>
      <c r="Q1281" s="99"/>
      <c r="R1281" s="99"/>
    </row>
    <row r="1282" spans="5:18" s="65" customFormat="1">
      <c r="E1282" s="130"/>
      <c r="P1282" s="99"/>
      <c r="Q1282" s="99"/>
      <c r="R1282" s="99"/>
    </row>
    <row r="1283" spans="5:18" s="65" customFormat="1">
      <c r="E1283" s="130"/>
      <c r="P1283" s="99"/>
      <c r="Q1283" s="99"/>
      <c r="R1283" s="99"/>
    </row>
    <row r="1284" spans="5:18" s="65" customFormat="1">
      <c r="E1284" s="130"/>
      <c r="P1284" s="99"/>
      <c r="Q1284" s="99"/>
      <c r="R1284" s="99"/>
    </row>
    <row r="1285" spans="5:18" s="65" customFormat="1">
      <c r="E1285" s="130"/>
      <c r="P1285" s="99"/>
      <c r="Q1285" s="99"/>
      <c r="R1285" s="99"/>
    </row>
    <row r="1286" spans="5:18" s="65" customFormat="1">
      <c r="E1286" s="130"/>
      <c r="P1286" s="99"/>
      <c r="Q1286" s="99"/>
      <c r="R1286" s="99"/>
    </row>
    <row r="1287" spans="5:18" s="65" customFormat="1">
      <c r="E1287" s="130"/>
      <c r="P1287" s="99"/>
      <c r="Q1287" s="99"/>
      <c r="R1287" s="99"/>
    </row>
    <row r="1288" spans="5:18" s="65" customFormat="1">
      <c r="E1288" s="130"/>
      <c r="P1288" s="99"/>
      <c r="Q1288" s="99"/>
      <c r="R1288" s="99"/>
    </row>
    <row r="1289" spans="5:18" s="65" customFormat="1">
      <c r="E1289" s="130"/>
      <c r="P1289" s="99"/>
      <c r="Q1289" s="99"/>
      <c r="R1289" s="99"/>
    </row>
    <row r="1290" spans="5:18" s="65" customFormat="1">
      <c r="E1290" s="130"/>
      <c r="P1290" s="99"/>
      <c r="Q1290" s="99"/>
      <c r="R1290" s="99"/>
    </row>
    <row r="1291" spans="5:18" s="65" customFormat="1">
      <c r="E1291" s="130"/>
      <c r="P1291" s="99"/>
      <c r="Q1291" s="99"/>
      <c r="R1291" s="99"/>
    </row>
    <row r="1292" spans="5:18" s="65" customFormat="1">
      <c r="E1292" s="130"/>
      <c r="P1292" s="99"/>
      <c r="Q1292" s="99"/>
      <c r="R1292" s="99"/>
    </row>
    <row r="1293" spans="5:18" s="65" customFormat="1">
      <c r="E1293" s="130"/>
      <c r="P1293" s="99"/>
      <c r="Q1293" s="99"/>
      <c r="R1293" s="99"/>
    </row>
    <row r="1294" spans="5:18" s="65" customFormat="1">
      <c r="E1294" s="130"/>
      <c r="P1294" s="99"/>
      <c r="Q1294" s="99"/>
      <c r="R1294" s="99"/>
    </row>
    <row r="1295" spans="5:18" s="65" customFormat="1">
      <c r="E1295" s="130"/>
      <c r="P1295" s="99"/>
      <c r="Q1295" s="99"/>
      <c r="R1295" s="99"/>
    </row>
    <row r="1296" spans="5:18" s="65" customFormat="1">
      <c r="E1296" s="130"/>
      <c r="P1296" s="99"/>
      <c r="Q1296" s="99"/>
      <c r="R1296" s="99"/>
    </row>
    <row r="1297" spans="5:18" s="65" customFormat="1">
      <c r="E1297" s="130"/>
      <c r="P1297" s="99"/>
      <c r="Q1297" s="99"/>
      <c r="R1297" s="99"/>
    </row>
    <row r="1298" spans="5:18" s="65" customFormat="1">
      <c r="E1298" s="130"/>
      <c r="P1298" s="99"/>
      <c r="Q1298" s="99"/>
      <c r="R1298" s="99"/>
    </row>
    <row r="1299" spans="5:18" s="65" customFormat="1">
      <c r="E1299" s="130"/>
      <c r="P1299" s="99"/>
      <c r="Q1299" s="99"/>
      <c r="R1299" s="99"/>
    </row>
    <row r="1300" spans="5:18" s="65" customFormat="1">
      <c r="E1300" s="130"/>
      <c r="P1300" s="99"/>
      <c r="Q1300" s="99"/>
      <c r="R1300" s="99"/>
    </row>
    <row r="1301" spans="5:18" s="65" customFormat="1">
      <c r="E1301" s="130"/>
      <c r="P1301" s="99"/>
      <c r="Q1301" s="99"/>
      <c r="R1301" s="99"/>
    </row>
    <row r="1302" spans="5:18" s="65" customFormat="1">
      <c r="E1302" s="130"/>
      <c r="P1302" s="99"/>
      <c r="Q1302" s="99"/>
      <c r="R1302" s="99"/>
    </row>
    <row r="1303" spans="5:18" s="65" customFormat="1">
      <c r="E1303" s="130"/>
      <c r="P1303" s="99"/>
      <c r="Q1303" s="99"/>
      <c r="R1303" s="99"/>
    </row>
    <row r="1304" spans="5:18" s="65" customFormat="1">
      <c r="E1304" s="130"/>
      <c r="P1304" s="99"/>
      <c r="Q1304" s="99"/>
      <c r="R1304" s="99"/>
    </row>
    <row r="1305" spans="5:18" s="65" customFormat="1">
      <c r="E1305" s="130"/>
      <c r="P1305" s="99"/>
      <c r="Q1305" s="99"/>
      <c r="R1305" s="99"/>
    </row>
    <row r="1306" spans="5:18" s="65" customFormat="1">
      <c r="E1306" s="130"/>
      <c r="P1306" s="99"/>
      <c r="Q1306" s="99"/>
      <c r="R1306" s="99"/>
    </row>
    <row r="1307" spans="5:18" s="65" customFormat="1">
      <c r="E1307" s="130"/>
      <c r="P1307" s="99"/>
      <c r="Q1307" s="99"/>
      <c r="R1307" s="99"/>
    </row>
    <row r="1308" spans="5:18" s="65" customFormat="1">
      <c r="E1308" s="130"/>
      <c r="P1308" s="99"/>
      <c r="Q1308" s="99"/>
      <c r="R1308" s="99"/>
    </row>
    <row r="1309" spans="5:18" s="65" customFormat="1">
      <c r="E1309" s="130"/>
      <c r="P1309" s="99"/>
      <c r="Q1309" s="99"/>
      <c r="R1309" s="99"/>
    </row>
    <row r="1310" spans="5:18" s="65" customFormat="1">
      <c r="E1310" s="130"/>
      <c r="P1310" s="99"/>
      <c r="Q1310" s="99"/>
      <c r="R1310" s="99"/>
    </row>
    <row r="1311" spans="5:18" s="65" customFormat="1">
      <c r="E1311" s="130"/>
      <c r="P1311" s="99"/>
      <c r="Q1311" s="99"/>
      <c r="R1311" s="99"/>
    </row>
    <row r="1312" spans="5:18" s="65" customFormat="1">
      <c r="E1312" s="130"/>
      <c r="P1312" s="99"/>
      <c r="Q1312" s="99"/>
      <c r="R1312" s="99"/>
    </row>
    <row r="1313" spans="5:18" s="65" customFormat="1">
      <c r="E1313" s="130"/>
      <c r="P1313" s="99"/>
      <c r="Q1313" s="99"/>
      <c r="R1313" s="99"/>
    </row>
    <row r="1314" spans="5:18" s="65" customFormat="1">
      <c r="E1314" s="130"/>
      <c r="P1314" s="99"/>
      <c r="Q1314" s="99"/>
      <c r="R1314" s="99"/>
    </row>
    <row r="1315" spans="5:18" s="65" customFormat="1">
      <c r="E1315" s="130"/>
      <c r="P1315" s="99"/>
      <c r="Q1315" s="99"/>
      <c r="R1315" s="99"/>
    </row>
    <row r="1316" spans="5:18" s="65" customFormat="1">
      <c r="E1316" s="130"/>
      <c r="P1316" s="99"/>
      <c r="Q1316" s="99"/>
      <c r="R1316" s="99"/>
    </row>
    <row r="1317" spans="5:18" s="65" customFormat="1">
      <c r="E1317" s="130"/>
      <c r="P1317" s="99"/>
      <c r="Q1317" s="99"/>
      <c r="R1317" s="99"/>
    </row>
    <row r="1318" spans="5:18" s="65" customFormat="1">
      <c r="E1318" s="130"/>
      <c r="P1318" s="99"/>
      <c r="Q1318" s="99"/>
      <c r="R1318" s="99"/>
    </row>
    <row r="1319" spans="5:18" s="65" customFormat="1">
      <c r="E1319" s="130"/>
      <c r="P1319" s="99"/>
      <c r="Q1319" s="99"/>
      <c r="R1319" s="99"/>
    </row>
    <row r="1320" spans="5:18" s="65" customFormat="1">
      <c r="E1320" s="130"/>
      <c r="P1320" s="99"/>
      <c r="Q1320" s="99"/>
      <c r="R1320" s="99"/>
    </row>
    <row r="1321" spans="5:18" s="65" customFormat="1">
      <c r="E1321" s="130"/>
      <c r="P1321" s="99"/>
      <c r="Q1321" s="99"/>
      <c r="R1321" s="99"/>
    </row>
    <row r="1322" spans="5:18" s="65" customFormat="1">
      <c r="E1322" s="130"/>
      <c r="P1322" s="99"/>
      <c r="Q1322" s="99"/>
      <c r="R1322" s="99"/>
    </row>
    <row r="1323" spans="5:18" s="65" customFormat="1">
      <c r="E1323" s="130"/>
      <c r="P1323" s="99"/>
      <c r="Q1323" s="99"/>
      <c r="R1323" s="99"/>
    </row>
    <row r="1324" spans="5:18" s="65" customFormat="1">
      <c r="E1324" s="130"/>
      <c r="P1324" s="99"/>
      <c r="Q1324" s="99"/>
      <c r="R1324" s="99"/>
    </row>
    <row r="1325" spans="5:18" s="65" customFormat="1">
      <c r="E1325" s="130"/>
      <c r="P1325" s="99"/>
      <c r="Q1325" s="99"/>
      <c r="R1325" s="99"/>
    </row>
    <row r="1326" spans="5:18" s="65" customFormat="1">
      <c r="E1326" s="130"/>
      <c r="P1326" s="99"/>
      <c r="Q1326" s="99"/>
      <c r="R1326" s="99"/>
    </row>
    <row r="1327" spans="5:18" s="65" customFormat="1">
      <c r="E1327" s="130"/>
      <c r="P1327" s="99"/>
      <c r="Q1327" s="99"/>
      <c r="R1327" s="99"/>
    </row>
    <row r="1328" spans="5:18" s="65" customFormat="1">
      <c r="E1328" s="130"/>
      <c r="P1328" s="99"/>
      <c r="Q1328" s="99"/>
      <c r="R1328" s="99"/>
    </row>
    <row r="1329" spans="5:18" s="65" customFormat="1">
      <c r="E1329" s="130"/>
      <c r="P1329" s="99"/>
      <c r="Q1329" s="99"/>
      <c r="R1329" s="99"/>
    </row>
    <row r="1330" spans="5:18" s="65" customFormat="1">
      <c r="E1330" s="130"/>
      <c r="P1330" s="99"/>
      <c r="Q1330" s="99"/>
      <c r="R1330" s="99"/>
    </row>
    <row r="1331" spans="5:18" s="65" customFormat="1">
      <c r="E1331" s="130"/>
      <c r="P1331" s="99"/>
      <c r="Q1331" s="99"/>
      <c r="R1331" s="99"/>
    </row>
    <row r="1332" spans="5:18" s="65" customFormat="1">
      <c r="E1332" s="130"/>
      <c r="P1332" s="99"/>
      <c r="Q1332" s="99"/>
      <c r="R1332" s="99"/>
    </row>
    <row r="1333" spans="5:18" s="65" customFormat="1">
      <c r="E1333" s="130"/>
      <c r="P1333" s="99"/>
      <c r="Q1333" s="99"/>
      <c r="R1333" s="99"/>
    </row>
    <row r="1334" spans="5:18" s="65" customFormat="1">
      <c r="E1334" s="130"/>
      <c r="P1334" s="99"/>
      <c r="Q1334" s="99"/>
      <c r="R1334" s="99"/>
    </row>
    <row r="1335" spans="5:18" s="65" customFormat="1">
      <c r="E1335" s="130"/>
      <c r="P1335" s="99"/>
      <c r="Q1335" s="99"/>
      <c r="R1335" s="99"/>
    </row>
    <row r="1336" spans="5:18" s="65" customFormat="1">
      <c r="E1336" s="130"/>
      <c r="P1336" s="99"/>
      <c r="Q1336" s="99"/>
      <c r="R1336" s="99"/>
    </row>
    <row r="1337" spans="5:18" s="65" customFormat="1">
      <c r="E1337" s="130"/>
      <c r="P1337" s="99"/>
      <c r="Q1337" s="99"/>
      <c r="R1337" s="99"/>
    </row>
    <row r="1338" spans="5:18" s="65" customFormat="1">
      <c r="E1338" s="130"/>
      <c r="P1338" s="99"/>
      <c r="Q1338" s="99"/>
      <c r="R1338" s="99"/>
    </row>
    <row r="1339" spans="5:18" s="65" customFormat="1">
      <c r="E1339" s="130"/>
      <c r="P1339" s="99"/>
      <c r="Q1339" s="99"/>
      <c r="R1339" s="99"/>
    </row>
    <row r="1340" spans="5:18" s="65" customFormat="1">
      <c r="E1340" s="130"/>
      <c r="P1340" s="99"/>
      <c r="Q1340" s="99"/>
      <c r="R1340" s="99"/>
    </row>
    <row r="1341" spans="5:18" s="65" customFormat="1">
      <c r="E1341" s="130"/>
      <c r="P1341" s="99"/>
      <c r="Q1341" s="99"/>
      <c r="R1341" s="99"/>
    </row>
    <row r="1342" spans="5:18" s="65" customFormat="1">
      <c r="E1342" s="130"/>
      <c r="P1342" s="99"/>
      <c r="Q1342" s="99"/>
      <c r="R1342" s="99"/>
    </row>
    <row r="1343" spans="5:18" s="65" customFormat="1">
      <c r="E1343" s="130"/>
      <c r="P1343" s="99"/>
      <c r="Q1343" s="99"/>
      <c r="R1343" s="99"/>
    </row>
    <row r="1344" spans="5:18" s="65" customFormat="1">
      <c r="E1344" s="130"/>
      <c r="P1344" s="99"/>
      <c r="Q1344" s="99"/>
      <c r="R1344" s="99"/>
    </row>
    <row r="1345" spans="5:18" s="65" customFormat="1">
      <c r="E1345" s="130"/>
      <c r="P1345" s="99"/>
      <c r="Q1345" s="99"/>
      <c r="R1345" s="99"/>
    </row>
    <row r="1346" spans="5:18" s="65" customFormat="1">
      <c r="E1346" s="130"/>
      <c r="P1346" s="99"/>
      <c r="Q1346" s="99"/>
      <c r="R1346" s="99"/>
    </row>
    <row r="1347" spans="5:18" s="65" customFormat="1">
      <c r="E1347" s="130"/>
      <c r="P1347" s="99"/>
      <c r="Q1347" s="99"/>
      <c r="R1347" s="99"/>
    </row>
    <row r="1348" spans="5:18" s="65" customFormat="1">
      <c r="E1348" s="130"/>
      <c r="P1348" s="99"/>
      <c r="Q1348" s="99"/>
      <c r="R1348" s="99"/>
    </row>
    <row r="1349" spans="5:18" s="65" customFormat="1">
      <c r="E1349" s="130"/>
      <c r="P1349" s="99"/>
      <c r="Q1349" s="99"/>
      <c r="R1349" s="99"/>
    </row>
    <row r="1350" spans="5:18" s="65" customFormat="1">
      <c r="E1350" s="130"/>
      <c r="P1350" s="99"/>
      <c r="Q1350" s="99"/>
      <c r="R1350" s="99"/>
    </row>
    <row r="1351" spans="5:18" s="65" customFormat="1">
      <c r="E1351" s="130"/>
      <c r="P1351" s="99"/>
      <c r="Q1351" s="99"/>
      <c r="R1351" s="99"/>
    </row>
    <row r="1352" spans="5:18" s="65" customFormat="1">
      <c r="E1352" s="130"/>
      <c r="P1352" s="99"/>
      <c r="Q1352" s="99"/>
      <c r="R1352" s="99"/>
    </row>
    <row r="1353" spans="5:18" s="65" customFormat="1">
      <c r="E1353" s="130"/>
      <c r="P1353" s="99"/>
      <c r="Q1353" s="99"/>
      <c r="R1353" s="99"/>
    </row>
    <row r="1354" spans="5:18" s="65" customFormat="1">
      <c r="E1354" s="130"/>
      <c r="P1354" s="99"/>
      <c r="Q1354" s="99"/>
      <c r="R1354" s="99"/>
    </row>
    <row r="1355" spans="5:18" s="65" customFormat="1">
      <c r="E1355" s="130"/>
      <c r="P1355" s="99"/>
      <c r="Q1355" s="99"/>
      <c r="R1355" s="99"/>
    </row>
    <row r="1356" spans="5:18" s="65" customFormat="1">
      <c r="E1356" s="130"/>
      <c r="P1356" s="99"/>
      <c r="Q1356" s="99"/>
      <c r="R1356" s="99"/>
    </row>
    <row r="1357" spans="5:18" s="65" customFormat="1">
      <c r="E1357" s="130"/>
      <c r="P1357" s="99"/>
      <c r="Q1357" s="99"/>
      <c r="R1357" s="99"/>
    </row>
    <row r="1358" spans="5:18" s="65" customFormat="1">
      <c r="E1358" s="130"/>
      <c r="P1358" s="99"/>
      <c r="Q1358" s="99"/>
      <c r="R1358" s="99"/>
    </row>
    <row r="1359" spans="5:18" s="65" customFormat="1">
      <c r="E1359" s="130"/>
      <c r="P1359" s="99"/>
      <c r="Q1359" s="99"/>
      <c r="R1359" s="99"/>
    </row>
    <row r="1360" spans="5:18" s="65" customFormat="1">
      <c r="E1360" s="130"/>
      <c r="P1360" s="99"/>
      <c r="Q1360" s="99"/>
      <c r="R1360" s="99"/>
    </row>
    <row r="1361" spans="5:18" s="65" customFormat="1">
      <c r="E1361" s="130"/>
      <c r="P1361" s="99"/>
      <c r="Q1361" s="99"/>
      <c r="R1361" s="99"/>
    </row>
    <row r="1362" spans="5:18" s="65" customFormat="1">
      <c r="E1362" s="130"/>
      <c r="P1362" s="99"/>
      <c r="Q1362" s="99"/>
      <c r="R1362" s="99"/>
    </row>
    <row r="1363" spans="5:18" s="65" customFormat="1">
      <c r="E1363" s="130"/>
      <c r="P1363" s="99"/>
      <c r="Q1363" s="99"/>
      <c r="R1363" s="99"/>
    </row>
    <row r="1364" spans="5:18" s="65" customFormat="1">
      <c r="E1364" s="130"/>
      <c r="P1364" s="99"/>
      <c r="Q1364" s="99"/>
      <c r="R1364" s="99"/>
    </row>
    <row r="1365" spans="5:18" s="65" customFormat="1">
      <c r="E1365" s="130"/>
      <c r="P1365" s="99"/>
      <c r="Q1365" s="99"/>
      <c r="R1365" s="99"/>
    </row>
    <row r="1366" spans="5:18" s="65" customFormat="1">
      <c r="E1366" s="130"/>
      <c r="P1366" s="99"/>
      <c r="Q1366" s="99"/>
      <c r="R1366" s="99"/>
    </row>
    <row r="1367" spans="5:18" s="65" customFormat="1">
      <c r="E1367" s="130"/>
      <c r="P1367" s="99"/>
      <c r="Q1367" s="99"/>
      <c r="R1367" s="99"/>
    </row>
    <row r="1368" spans="5:18" s="65" customFormat="1">
      <c r="E1368" s="130"/>
      <c r="P1368" s="99"/>
      <c r="Q1368" s="99"/>
      <c r="R1368" s="99"/>
    </row>
    <row r="1369" spans="5:18" s="65" customFormat="1">
      <c r="E1369" s="130"/>
      <c r="P1369" s="99"/>
      <c r="Q1369" s="99"/>
      <c r="R1369" s="99"/>
    </row>
    <row r="1370" spans="5:18" s="65" customFormat="1">
      <c r="E1370" s="130"/>
      <c r="P1370" s="99"/>
      <c r="Q1370" s="99"/>
      <c r="R1370" s="99"/>
    </row>
    <row r="1371" spans="5:18" s="65" customFormat="1">
      <c r="E1371" s="130"/>
      <c r="P1371" s="99"/>
      <c r="Q1371" s="99"/>
      <c r="R1371" s="99"/>
    </row>
    <row r="1372" spans="5:18" s="65" customFormat="1">
      <c r="E1372" s="130"/>
      <c r="P1372" s="99"/>
      <c r="Q1372" s="99"/>
      <c r="R1372" s="99"/>
    </row>
    <row r="1373" spans="5:18" s="65" customFormat="1">
      <c r="E1373" s="130"/>
      <c r="P1373" s="99"/>
      <c r="Q1373" s="99"/>
      <c r="R1373" s="99"/>
    </row>
    <row r="1374" spans="5:18" s="65" customFormat="1">
      <c r="E1374" s="130"/>
      <c r="P1374" s="99"/>
      <c r="Q1374" s="99"/>
      <c r="R1374" s="99"/>
    </row>
    <row r="1375" spans="5:18" s="65" customFormat="1">
      <c r="E1375" s="130"/>
      <c r="P1375" s="99"/>
      <c r="Q1375" s="99"/>
      <c r="R1375" s="99"/>
    </row>
    <row r="1376" spans="5:18" s="65" customFormat="1">
      <c r="E1376" s="130"/>
      <c r="P1376" s="99"/>
      <c r="Q1376" s="99"/>
      <c r="R1376" s="99"/>
    </row>
    <row r="1377" spans="5:18" s="65" customFormat="1">
      <c r="E1377" s="130"/>
      <c r="P1377" s="99"/>
      <c r="Q1377" s="99"/>
      <c r="R1377" s="99"/>
    </row>
    <row r="1378" spans="5:18" s="65" customFormat="1">
      <c r="E1378" s="130"/>
      <c r="P1378" s="99"/>
      <c r="Q1378" s="99"/>
      <c r="R1378" s="99"/>
    </row>
    <row r="1379" spans="5:18" s="65" customFormat="1">
      <c r="E1379" s="130"/>
      <c r="P1379" s="99"/>
      <c r="Q1379" s="99"/>
      <c r="R1379" s="99"/>
    </row>
    <row r="1380" spans="5:18" s="65" customFormat="1">
      <c r="E1380" s="130"/>
      <c r="P1380" s="99"/>
      <c r="Q1380" s="99"/>
      <c r="R1380" s="99"/>
    </row>
    <row r="1381" spans="5:18" s="65" customFormat="1">
      <c r="E1381" s="130"/>
      <c r="P1381" s="99"/>
      <c r="Q1381" s="99"/>
      <c r="R1381" s="99"/>
    </row>
    <row r="1382" spans="5:18" s="65" customFormat="1">
      <c r="E1382" s="130"/>
      <c r="P1382" s="99"/>
      <c r="Q1382" s="99"/>
      <c r="R1382" s="99"/>
    </row>
    <row r="1383" spans="5:18" s="65" customFormat="1">
      <c r="E1383" s="130"/>
      <c r="P1383" s="99"/>
      <c r="Q1383" s="99"/>
      <c r="R1383" s="99"/>
    </row>
    <row r="1384" spans="5:18" s="65" customFormat="1">
      <c r="E1384" s="130"/>
      <c r="P1384" s="99"/>
      <c r="Q1384" s="99"/>
      <c r="R1384" s="99"/>
    </row>
    <row r="1385" spans="5:18" s="65" customFormat="1">
      <c r="E1385" s="130"/>
      <c r="P1385" s="99"/>
      <c r="Q1385" s="99"/>
      <c r="R1385" s="99"/>
    </row>
    <row r="1386" spans="5:18" s="65" customFormat="1">
      <c r="E1386" s="130"/>
      <c r="P1386" s="99"/>
      <c r="Q1386" s="99"/>
      <c r="R1386" s="99"/>
    </row>
    <row r="1387" spans="5:18" s="65" customFormat="1">
      <c r="E1387" s="130"/>
      <c r="P1387" s="99"/>
      <c r="Q1387" s="99"/>
      <c r="R1387" s="99"/>
    </row>
    <row r="1388" spans="5:18" s="65" customFormat="1">
      <c r="E1388" s="130"/>
      <c r="P1388" s="99"/>
      <c r="Q1388" s="99"/>
      <c r="R1388" s="99"/>
    </row>
    <row r="1389" spans="5:18" s="65" customFormat="1">
      <c r="E1389" s="130"/>
      <c r="P1389" s="99"/>
      <c r="Q1389" s="99"/>
      <c r="R1389" s="99"/>
    </row>
    <row r="1390" spans="5:18" s="65" customFormat="1">
      <c r="E1390" s="130"/>
      <c r="P1390" s="99"/>
      <c r="Q1390" s="99"/>
      <c r="R1390" s="99"/>
    </row>
    <row r="1391" spans="5:18" s="65" customFormat="1">
      <c r="E1391" s="130"/>
      <c r="P1391" s="99"/>
      <c r="Q1391" s="99"/>
      <c r="R1391" s="99"/>
    </row>
    <row r="1392" spans="5:18" s="65" customFormat="1">
      <c r="E1392" s="130"/>
      <c r="P1392" s="99"/>
      <c r="Q1392" s="99"/>
      <c r="R1392" s="99"/>
    </row>
    <row r="1393" spans="5:18" s="65" customFormat="1">
      <c r="E1393" s="130"/>
      <c r="P1393" s="99"/>
      <c r="Q1393" s="99"/>
      <c r="R1393" s="99"/>
    </row>
    <row r="1394" spans="5:18" s="65" customFormat="1">
      <c r="E1394" s="130"/>
      <c r="P1394" s="99"/>
      <c r="Q1394" s="99"/>
      <c r="R1394" s="99"/>
    </row>
    <row r="1395" spans="5:18" s="65" customFormat="1">
      <c r="E1395" s="130"/>
      <c r="P1395" s="99"/>
      <c r="Q1395" s="99"/>
      <c r="R1395" s="99"/>
    </row>
    <row r="1396" spans="5:18" s="65" customFormat="1">
      <c r="E1396" s="130"/>
      <c r="P1396" s="99"/>
      <c r="Q1396" s="99"/>
      <c r="R1396" s="99"/>
    </row>
    <row r="1397" spans="5:18" s="65" customFormat="1">
      <c r="E1397" s="130"/>
      <c r="P1397" s="99"/>
      <c r="Q1397" s="99"/>
      <c r="R1397" s="99"/>
    </row>
    <row r="1398" spans="5:18" s="65" customFormat="1">
      <c r="E1398" s="130"/>
      <c r="P1398" s="99"/>
      <c r="Q1398" s="99"/>
      <c r="R1398" s="99"/>
    </row>
    <row r="1399" spans="5:18" s="65" customFormat="1">
      <c r="E1399" s="130"/>
      <c r="P1399" s="99"/>
      <c r="Q1399" s="99"/>
      <c r="R1399" s="99"/>
    </row>
    <row r="1400" spans="5:18" s="65" customFormat="1">
      <c r="E1400" s="130"/>
      <c r="P1400" s="99"/>
      <c r="Q1400" s="99"/>
      <c r="R1400" s="99"/>
    </row>
    <row r="1401" spans="5:18" s="65" customFormat="1">
      <c r="E1401" s="130"/>
      <c r="P1401" s="99"/>
      <c r="Q1401" s="99"/>
      <c r="R1401" s="99"/>
    </row>
    <row r="1402" spans="5:18" s="65" customFormat="1">
      <c r="E1402" s="130"/>
      <c r="P1402" s="99"/>
      <c r="Q1402" s="99"/>
      <c r="R1402" s="99"/>
    </row>
    <row r="1403" spans="5:18" s="65" customFormat="1">
      <c r="E1403" s="130"/>
      <c r="P1403" s="99"/>
      <c r="Q1403" s="99"/>
      <c r="R1403" s="99"/>
    </row>
    <row r="1404" spans="5:18" s="65" customFormat="1">
      <c r="E1404" s="130"/>
      <c r="P1404" s="99"/>
      <c r="Q1404" s="99"/>
      <c r="R1404" s="99"/>
    </row>
    <row r="1405" spans="5:18" s="65" customFormat="1">
      <c r="E1405" s="130"/>
      <c r="P1405" s="99"/>
      <c r="Q1405" s="99"/>
      <c r="R1405" s="99"/>
    </row>
    <row r="1406" spans="5:18" s="65" customFormat="1">
      <c r="E1406" s="130"/>
      <c r="P1406" s="99"/>
      <c r="Q1406" s="99"/>
      <c r="R1406" s="99"/>
    </row>
    <row r="1407" spans="5:18" s="65" customFormat="1">
      <c r="E1407" s="130"/>
      <c r="P1407" s="99"/>
      <c r="Q1407" s="99"/>
      <c r="R1407" s="99"/>
    </row>
    <row r="1408" spans="5:18" s="65" customFormat="1">
      <c r="E1408" s="130"/>
      <c r="P1408" s="99"/>
      <c r="Q1408" s="99"/>
      <c r="R1408" s="99"/>
    </row>
    <row r="1409" spans="5:18" s="65" customFormat="1">
      <c r="E1409" s="130"/>
      <c r="P1409" s="99"/>
      <c r="Q1409" s="99"/>
      <c r="R1409" s="99"/>
    </row>
    <row r="1410" spans="5:18" s="65" customFormat="1">
      <c r="E1410" s="130"/>
      <c r="P1410" s="99"/>
      <c r="Q1410" s="99"/>
      <c r="R1410" s="99"/>
    </row>
    <row r="1411" spans="5:18" s="65" customFormat="1">
      <c r="E1411" s="130"/>
      <c r="P1411" s="99"/>
      <c r="Q1411" s="99"/>
      <c r="R1411" s="99"/>
    </row>
    <row r="1412" spans="5:18" s="65" customFormat="1">
      <c r="E1412" s="130"/>
      <c r="P1412" s="99"/>
      <c r="Q1412" s="99"/>
      <c r="R1412" s="99"/>
    </row>
    <row r="1413" spans="5:18" s="65" customFormat="1">
      <c r="E1413" s="130"/>
      <c r="P1413" s="99"/>
      <c r="Q1413" s="99"/>
      <c r="R1413" s="99"/>
    </row>
    <row r="1414" spans="5:18" s="65" customFormat="1">
      <c r="E1414" s="130"/>
      <c r="P1414" s="99"/>
      <c r="Q1414" s="99"/>
      <c r="R1414" s="99"/>
    </row>
    <row r="1415" spans="5:18" s="65" customFormat="1">
      <c r="E1415" s="130"/>
      <c r="P1415" s="99"/>
      <c r="Q1415" s="99"/>
      <c r="R1415" s="99"/>
    </row>
    <row r="1416" spans="5:18" s="65" customFormat="1">
      <c r="E1416" s="130"/>
      <c r="P1416" s="99"/>
      <c r="Q1416" s="99"/>
      <c r="R1416" s="99"/>
    </row>
    <row r="1417" spans="5:18" s="65" customFormat="1">
      <c r="E1417" s="130"/>
      <c r="P1417" s="99"/>
      <c r="Q1417" s="99"/>
      <c r="R1417" s="99"/>
    </row>
    <row r="1418" spans="5:18" s="65" customFormat="1">
      <c r="E1418" s="130"/>
      <c r="P1418" s="99"/>
      <c r="Q1418" s="99"/>
      <c r="R1418" s="99"/>
    </row>
    <row r="1419" spans="5:18" s="65" customFormat="1">
      <c r="E1419" s="130"/>
      <c r="P1419" s="99"/>
      <c r="Q1419" s="99"/>
      <c r="R1419" s="99"/>
    </row>
    <row r="1420" spans="5:18" s="65" customFormat="1">
      <c r="E1420" s="130"/>
      <c r="P1420" s="99"/>
      <c r="Q1420" s="99"/>
      <c r="R1420" s="99"/>
    </row>
    <row r="1421" spans="5:18" s="65" customFormat="1">
      <c r="E1421" s="130"/>
      <c r="P1421" s="99"/>
      <c r="Q1421" s="99"/>
      <c r="R1421" s="99"/>
    </row>
    <row r="1422" spans="5:18" s="65" customFormat="1">
      <c r="E1422" s="130"/>
      <c r="P1422" s="99"/>
      <c r="Q1422" s="99"/>
      <c r="R1422" s="99"/>
    </row>
    <row r="1423" spans="5:18" s="65" customFormat="1">
      <c r="E1423" s="130"/>
      <c r="P1423" s="99"/>
      <c r="Q1423" s="99"/>
      <c r="R1423" s="99"/>
    </row>
    <row r="1424" spans="5:18" s="65" customFormat="1">
      <c r="E1424" s="130"/>
      <c r="P1424" s="99"/>
      <c r="Q1424" s="99"/>
      <c r="R1424" s="99"/>
    </row>
    <row r="1425" spans="5:18" s="65" customFormat="1">
      <c r="E1425" s="130"/>
      <c r="P1425" s="99"/>
      <c r="Q1425" s="99"/>
      <c r="R1425" s="99"/>
    </row>
    <row r="1426" spans="5:18" s="65" customFormat="1">
      <c r="E1426" s="130"/>
      <c r="P1426" s="99"/>
      <c r="Q1426" s="99"/>
      <c r="R1426" s="99"/>
    </row>
    <row r="1427" spans="5:18" s="65" customFormat="1">
      <c r="E1427" s="130"/>
      <c r="P1427" s="99"/>
      <c r="Q1427" s="99"/>
      <c r="R1427" s="99"/>
    </row>
    <row r="1428" spans="5:18" s="65" customFormat="1">
      <c r="E1428" s="130"/>
      <c r="P1428" s="99"/>
      <c r="Q1428" s="99"/>
      <c r="R1428" s="99"/>
    </row>
    <row r="1429" spans="5:18" s="65" customFormat="1">
      <c r="E1429" s="130"/>
      <c r="P1429" s="99"/>
      <c r="Q1429" s="99"/>
      <c r="R1429" s="99"/>
    </row>
    <row r="1430" spans="5:18" s="65" customFormat="1">
      <c r="E1430" s="130"/>
      <c r="P1430" s="99"/>
      <c r="Q1430" s="99"/>
      <c r="R1430" s="99"/>
    </row>
    <row r="1431" spans="5:18" s="65" customFormat="1">
      <c r="E1431" s="130"/>
      <c r="P1431" s="99"/>
      <c r="Q1431" s="99"/>
      <c r="R1431" s="99"/>
    </row>
    <row r="1432" spans="5:18" s="65" customFormat="1">
      <c r="E1432" s="130"/>
      <c r="P1432" s="99"/>
      <c r="Q1432" s="99"/>
      <c r="R1432" s="99"/>
    </row>
    <row r="1433" spans="5:18" s="65" customFormat="1">
      <c r="E1433" s="130"/>
      <c r="P1433" s="99"/>
      <c r="Q1433" s="99"/>
      <c r="R1433" s="99"/>
    </row>
    <row r="1434" spans="5:18" s="65" customFormat="1">
      <c r="E1434" s="130"/>
      <c r="P1434" s="99"/>
      <c r="Q1434" s="99"/>
      <c r="R1434" s="99"/>
    </row>
    <row r="1435" spans="5:18" s="65" customFormat="1">
      <c r="E1435" s="130"/>
      <c r="P1435" s="99"/>
      <c r="Q1435" s="99"/>
      <c r="R1435" s="99"/>
    </row>
    <row r="1436" spans="5:18" s="65" customFormat="1">
      <c r="E1436" s="130"/>
      <c r="P1436" s="99"/>
      <c r="Q1436" s="99"/>
      <c r="R1436" s="99"/>
    </row>
    <row r="1437" spans="5:18" s="65" customFormat="1">
      <c r="E1437" s="130"/>
      <c r="P1437" s="99"/>
      <c r="Q1437" s="99"/>
      <c r="R1437" s="99"/>
    </row>
    <row r="1438" spans="5:18" s="65" customFormat="1">
      <c r="E1438" s="130"/>
      <c r="P1438" s="99"/>
      <c r="Q1438" s="99"/>
      <c r="R1438" s="99"/>
    </row>
    <row r="1439" spans="5:18" s="65" customFormat="1">
      <c r="E1439" s="130"/>
      <c r="P1439" s="99"/>
      <c r="Q1439" s="99"/>
      <c r="R1439" s="99"/>
    </row>
    <row r="1440" spans="5:18" s="65" customFormat="1">
      <c r="E1440" s="130"/>
      <c r="P1440" s="99"/>
      <c r="Q1440" s="99"/>
      <c r="R1440" s="99"/>
    </row>
    <row r="1441" spans="5:18" s="65" customFormat="1">
      <c r="E1441" s="130"/>
      <c r="P1441" s="99"/>
      <c r="Q1441" s="99"/>
      <c r="R1441" s="99"/>
    </row>
    <row r="1442" spans="5:18" s="65" customFormat="1">
      <c r="E1442" s="130"/>
      <c r="P1442" s="99"/>
      <c r="Q1442" s="99"/>
      <c r="R1442" s="99"/>
    </row>
    <row r="1443" spans="5:18" s="65" customFormat="1">
      <c r="E1443" s="130"/>
      <c r="P1443" s="99"/>
      <c r="Q1443" s="99"/>
      <c r="R1443" s="99"/>
    </row>
    <row r="1444" spans="5:18" s="65" customFormat="1">
      <c r="E1444" s="130"/>
      <c r="P1444" s="99"/>
      <c r="Q1444" s="99"/>
      <c r="R1444" s="99"/>
    </row>
    <row r="1445" spans="5:18" s="65" customFormat="1">
      <c r="E1445" s="130"/>
      <c r="P1445" s="99"/>
      <c r="Q1445" s="99"/>
      <c r="R1445" s="99"/>
    </row>
    <row r="1446" spans="5:18" s="65" customFormat="1">
      <c r="E1446" s="130"/>
      <c r="P1446" s="99"/>
      <c r="Q1446" s="99"/>
      <c r="R1446" s="99"/>
    </row>
    <row r="1447" spans="5:18" s="65" customFormat="1">
      <c r="E1447" s="130"/>
      <c r="P1447" s="99"/>
      <c r="Q1447" s="99"/>
      <c r="R1447" s="99"/>
    </row>
    <row r="1448" spans="5:18" s="65" customFormat="1">
      <c r="E1448" s="130"/>
      <c r="P1448" s="99"/>
      <c r="Q1448" s="99"/>
      <c r="R1448" s="99"/>
    </row>
    <row r="1449" spans="5:18" s="65" customFormat="1">
      <c r="E1449" s="130"/>
      <c r="P1449" s="99"/>
      <c r="Q1449" s="99"/>
      <c r="R1449" s="99"/>
    </row>
    <row r="1450" spans="5:18" s="65" customFormat="1">
      <c r="E1450" s="130"/>
      <c r="P1450" s="99"/>
      <c r="Q1450" s="99"/>
      <c r="R1450" s="99"/>
    </row>
    <row r="1451" spans="5:18" s="65" customFormat="1">
      <c r="E1451" s="130"/>
      <c r="P1451" s="99"/>
      <c r="Q1451" s="99"/>
      <c r="R1451" s="99"/>
    </row>
    <row r="1452" spans="5:18" s="65" customFormat="1">
      <c r="E1452" s="130"/>
      <c r="P1452" s="99"/>
      <c r="Q1452" s="99"/>
      <c r="R1452" s="99"/>
    </row>
    <row r="1453" spans="5:18" s="65" customFormat="1">
      <c r="E1453" s="130"/>
      <c r="P1453" s="99"/>
      <c r="Q1453" s="99"/>
      <c r="R1453" s="99"/>
    </row>
    <row r="1454" spans="5:18" s="65" customFormat="1">
      <c r="E1454" s="130"/>
      <c r="P1454" s="99"/>
      <c r="Q1454" s="99"/>
      <c r="R1454" s="99"/>
    </row>
    <row r="1455" spans="5:18" s="65" customFormat="1">
      <c r="E1455" s="130"/>
      <c r="P1455" s="99"/>
      <c r="Q1455" s="99"/>
      <c r="R1455" s="99"/>
    </row>
    <row r="1456" spans="5:18" s="65" customFormat="1">
      <c r="E1456" s="130"/>
      <c r="P1456" s="99"/>
      <c r="Q1456" s="99"/>
      <c r="R1456" s="99"/>
    </row>
    <row r="1457" spans="5:18" s="65" customFormat="1">
      <c r="E1457" s="130"/>
      <c r="P1457" s="99"/>
      <c r="Q1457" s="99"/>
      <c r="R1457" s="99"/>
    </row>
    <row r="1458" spans="5:18" s="65" customFormat="1">
      <c r="E1458" s="130"/>
      <c r="P1458" s="99"/>
      <c r="Q1458" s="99"/>
      <c r="R1458" s="99"/>
    </row>
    <row r="1459" spans="5:18" s="65" customFormat="1">
      <c r="E1459" s="130"/>
      <c r="P1459" s="99"/>
      <c r="Q1459" s="99"/>
      <c r="R1459" s="99"/>
    </row>
    <row r="1460" spans="5:18" s="65" customFormat="1">
      <c r="E1460" s="130"/>
      <c r="P1460" s="99"/>
      <c r="Q1460" s="99"/>
      <c r="R1460" s="99"/>
    </row>
    <row r="1461" spans="5:18" s="65" customFormat="1">
      <c r="E1461" s="130"/>
      <c r="P1461" s="99"/>
      <c r="Q1461" s="99"/>
      <c r="R1461" s="99"/>
    </row>
    <row r="1462" spans="5:18" s="65" customFormat="1">
      <c r="E1462" s="130"/>
      <c r="P1462" s="99"/>
      <c r="Q1462" s="99"/>
      <c r="R1462" s="99"/>
    </row>
    <row r="1463" spans="5:18" s="65" customFormat="1">
      <c r="E1463" s="130"/>
      <c r="P1463" s="99"/>
      <c r="Q1463" s="99"/>
      <c r="R1463" s="99"/>
    </row>
    <row r="1464" spans="5:18" s="65" customFormat="1">
      <c r="E1464" s="130"/>
      <c r="P1464" s="99"/>
      <c r="Q1464" s="99"/>
      <c r="R1464" s="99"/>
    </row>
    <row r="1465" spans="5:18" s="65" customFormat="1">
      <c r="E1465" s="130"/>
      <c r="P1465" s="99"/>
      <c r="Q1465" s="99"/>
      <c r="R1465" s="99"/>
    </row>
    <row r="1466" spans="5:18" s="65" customFormat="1">
      <c r="E1466" s="130"/>
      <c r="P1466" s="99"/>
      <c r="Q1466" s="99"/>
      <c r="R1466" s="99"/>
    </row>
    <row r="1467" spans="5:18" s="65" customFormat="1">
      <c r="E1467" s="130"/>
      <c r="P1467" s="99"/>
      <c r="Q1467" s="99"/>
      <c r="R1467" s="99"/>
    </row>
    <row r="1468" spans="5:18" s="65" customFormat="1">
      <c r="E1468" s="130"/>
      <c r="P1468" s="99"/>
      <c r="Q1468" s="99"/>
      <c r="R1468" s="99"/>
    </row>
    <row r="1469" spans="5:18" s="65" customFormat="1">
      <c r="E1469" s="130"/>
      <c r="P1469" s="99"/>
      <c r="Q1469" s="99"/>
      <c r="R1469" s="99"/>
    </row>
    <row r="1470" spans="5:18" s="65" customFormat="1">
      <c r="E1470" s="130"/>
      <c r="P1470" s="99"/>
      <c r="Q1470" s="99"/>
      <c r="R1470" s="99"/>
    </row>
    <row r="1471" spans="5:18" s="65" customFormat="1">
      <c r="E1471" s="130"/>
      <c r="P1471" s="99"/>
      <c r="Q1471" s="99"/>
      <c r="R1471" s="99"/>
    </row>
    <row r="1472" spans="5:18" s="65" customFormat="1">
      <c r="E1472" s="130"/>
      <c r="P1472" s="99"/>
      <c r="Q1472" s="99"/>
      <c r="R1472" s="99"/>
    </row>
    <row r="1473" spans="5:18" s="65" customFormat="1">
      <c r="E1473" s="130"/>
      <c r="P1473" s="99"/>
      <c r="Q1473" s="99"/>
      <c r="R1473" s="99"/>
    </row>
    <row r="1474" spans="5:18" s="65" customFormat="1">
      <c r="E1474" s="130"/>
      <c r="P1474" s="99"/>
      <c r="Q1474" s="99"/>
      <c r="R1474" s="99"/>
    </row>
    <row r="1475" spans="5:18" s="65" customFormat="1">
      <c r="E1475" s="130"/>
      <c r="P1475" s="99"/>
      <c r="Q1475" s="99"/>
      <c r="R1475" s="99"/>
    </row>
    <row r="1476" spans="5:18" s="65" customFormat="1">
      <c r="E1476" s="130"/>
      <c r="P1476" s="99"/>
      <c r="Q1476" s="99"/>
      <c r="R1476" s="99"/>
    </row>
    <row r="1477" spans="5:18" s="65" customFormat="1">
      <c r="E1477" s="130"/>
      <c r="P1477" s="99"/>
      <c r="Q1477" s="99"/>
      <c r="R1477" s="99"/>
    </row>
    <row r="1478" spans="5:18" s="65" customFormat="1">
      <c r="E1478" s="130"/>
      <c r="P1478" s="99"/>
      <c r="Q1478" s="99"/>
      <c r="R1478" s="99"/>
    </row>
    <row r="1479" spans="5:18" s="65" customFormat="1">
      <c r="E1479" s="130"/>
      <c r="P1479" s="99"/>
      <c r="Q1479" s="99"/>
      <c r="R1479" s="99"/>
    </row>
    <row r="1480" spans="5:18" s="65" customFormat="1">
      <c r="E1480" s="130"/>
      <c r="P1480" s="99"/>
      <c r="Q1480" s="99"/>
      <c r="R1480" s="99"/>
    </row>
    <row r="1481" spans="5:18" s="65" customFormat="1">
      <c r="E1481" s="130"/>
      <c r="P1481" s="99"/>
      <c r="Q1481" s="99"/>
      <c r="R1481" s="99"/>
    </row>
    <row r="1482" spans="5:18" s="65" customFormat="1">
      <c r="E1482" s="130"/>
      <c r="P1482" s="99"/>
      <c r="Q1482" s="99"/>
      <c r="R1482" s="99"/>
    </row>
    <row r="1483" spans="5:18" s="65" customFormat="1">
      <c r="E1483" s="130"/>
      <c r="P1483" s="99"/>
      <c r="Q1483" s="99"/>
      <c r="R1483" s="99"/>
    </row>
    <row r="1484" spans="5:18" s="65" customFormat="1">
      <c r="E1484" s="130"/>
      <c r="P1484" s="99"/>
      <c r="Q1484" s="99"/>
      <c r="R1484" s="99"/>
    </row>
    <row r="1485" spans="5:18" s="65" customFormat="1">
      <c r="E1485" s="130"/>
      <c r="P1485" s="99"/>
      <c r="Q1485" s="99"/>
      <c r="R1485" s="99"/>
    </row>
    <row r="1486" spans="5:18" s="65" customFormat="1">
      <c r="E1486" s="130"/>
      <c r="P1486" s="99"/>
      <c r="Q1486" s="99"/>
      <c r="R1486" s="99"/>
    </row>
    <row r="1487" spans="5:18" s="65" customFormat="1">
      <c r="E1487" s="130"/>
      <c r="P1487" s="99"/>
      <c r="Q1487" s="99"/>
      <c r="R1487" s="99"/>
    </row>
    <row r="1488" spans="5:18" s="65" customFormat="1">
      <c r="E1488" s="130"/>
      <c r="P1488" s="99"/>
      <c r="Q1488" s="99"/>
      <c r="R1488" s="99"/>
    </row>
    <row r="1489" spans="5:18" s="65" customFormat="1">
      <c r="E1489" s="130"/>
      <c r="P1489" s="99"/>
      <c r="Q1489" s="99"/>
      <c r="R1489" s="99"/>
    </row>
    <row r="1490" spans="5:18" s="65" customFormat="1">
      <c r="E1490" s="130"/>
      <c r="P1490" s="99"/>
      <c r="Q1490" s="99"/>
      <c r="R1490" s="99"/>
    </row>
    <row r="1491" spans="5:18" s="65" customFormat="1">
      <c r="E1491" s="130"/>
      <c r="P1491" s="99"/>
      <c r="Q1491" s="99"/>
      <c r="R1491" s="99"/>
    </row>
    <row r="1492" spans="5:18" s="65" customFormat="1">
      <c r="E1492" s="130"/>
      <c r="P1492" s="99"/>
      <c r="Q1492" s="99"/>
      <c r="R1492" s="99"/>
    </row>
    <row r="1493" spans="5:18" s="65" customFormat="1">
      <c r="E1493" s="130"/>
      <c r="P1493" s="99"/>
      <c r="Q1493" s="99"/>
      <c r="R1493" s="99"/>
    </row>
    <row r="1494" spans="5:18" s="65" customFormat="1">
      <c r="E1494" s="130"/>
      <c r="P1494" s="99"/>
      <c r="Q1494" s="99"/>
      <c r="R1494" s="99"/>
    </row>
    <row r="1495" spans="5:18" s="65" customFormat="1">
      <c r="E1495" s="130"/>
      <c r="P1495" s="99"/>
      <c r="Q1495" s="99"/>
      <c r="R1495" s="99"/>
    </row>
    <row r="1496" spans="5:18" s="65" customFormat="1">
      <c r="E1496" s="130"/>
      <c r="P1496" s="99"/>
      <c r="Q1496" s="99"/>
      <c r="R1496" s="99"/>
    </row>
    <row r="1497" spans="5:18" s="65" customFormat="1">
      <c r="E1497" s="130"/>
      <c r="P1497" s="99"/>
      <c r="Q1497" s="99"/>
      <c r="R1497" s="99"/>
    </row>
    <row r="1498" spans="5:18" s="65" customFormat="1">
      <c r="E1498" s="130"/>
      <c r="P1498" s="99"/>
      <c r="Q1498" s="99"/>
      <c r="R1498" s="99"/>
    </row>
    <row r="1499" spans="5:18" s="65" customFormat="1">
      <c r="E1499" s="130"/>
      <c r="P1499" s="99"/>
      <c r="Q1499" s="99"/>
      <c r="R1499" s="99"/>
    </row>
    <row r="1500" spans="5:18" s="65" customFormat="1">
      <c r="E1500" s="130"/>
      <c r="P1500" s="99"/>
      <c r="Q1500" s="99"/>
      <c r="R1500" s="99"/>
    </row>
    <row r="1501" spans="5:18" s="65" customFormat="1">
      <c r="E1501" s="130"/>
      <c r="P1501" s="99"/>
      <c r="Q1501" s="99"/>
      <c r="R1501" s="99"/>
    </row>
    <row r="1502" spans="5:18" s="65" customFormat="1">
      <c r="E1502" s="130"/>
      <c r="P1502" s="99"/>
      <c r="Q1502" s="99"/>
      <c r="R1502" s="99"/>
    </row>
    <row r="1503" spans="5:18" s="65" customFormat="1">
      <c r="E1503" s="130"/>
      <c r="P1503" s="99"/>
      <c r="Q1503" s="99"/>
      <c r="R1503" s="99"/>
    </row>
    <row r="1504" spans="5:18" s="65" customFormat="1">
      <c r="E1504" s="130"/>
      <c r="P1504" s="99"/>
      <c r="Q1504" s="99"/>
      <c r="R1504" s="99"/>
    </row>
    <row r="1505" spans="5:18" s="65" customFormat="1">
      <c r="E1505" s="130"/>
      <c r="P1505" s="99"/>
      <c r="Q1505" s="99"/>
      <c r="R1505" s="99"/>
    </row>
    <row r="1506" spans="5:18" s="65" customFormat="1">
      <c r="E1506" s="130"/>
      <c r="P1506" s="99"/>
      <c r="Q1506" s="99"/>
      <c r="R1506" s="99"/>
    </row>
    <row r="1507" spans="5:18" s="65" customFormat="1">
      <c r="E1507" s="130"/>
      <c r="P1507" s="99"/>
      <c r="Q1507" s="99"/>
      <c r="R1507" s="99"/>
    </row>
    <row r="1508" spans="5:18" s="65" customFormat="1">
      <c r="E1508" s="130"/>
      <c r="P1508" s="99"/>
      <c r="Q1508" s="99"/>
      <c r="R1508" s="99"/>
    </row>
    <row r="1509" spans="5:18" s="65" customFormat="1">
      <c r="E1509" s="130"/>
      <c r="P1509" s="99"/>
      <c r="Q1509" s="99"/>
      <c r="R1509" s="99"/>
    </row>
    <row r="1510" spans="5:18" s="65" customFormat="1">
      <c r="E1510" s="130"/>
      <c r="P1510" s="99"/>
      <c r="Q1510" s="99"/>
      <c r="R1510" s="99"/>
    </row>
    <row r="1511" spans="5:18" s="65" customFormat="1">
      <c r="E1511" s="130"/>
      <c r="P1511" s="99"/>
      <c r="Q1511" s="99"/>
      <c r="R1511" s="99"/>
    </row>
    <row r="1512" spans="5:18" s="65" customFormat="1">
      <c r="E1512" s="130"/>
      <c r="P1512" s="99"/>
      <c r="Q1512" s="99"/>
      <c r="R1512" s="99"/>
    </row>
    <row r="1513" spans="5:18" s="65" customFormat="1">
      <c r="E1513" s="130"/>
      <c r="P1513" s="99"/>
      <c r="Q1513" s="99"/>
      <c r="R1513" s="99"/>
    </row>
    <row r="1514" spans="5:18" s="65" customFormat="1">
      <c r="E1514" s="130"/>
      <c r="P1514" s="99"/>
      <c r="Q1514" s="99"/>
      <c r="R1514" s="99"/>
    </row>
    <row r="1515" spans="5:18" s="65" customFormat="1">
      <c r="E1515" s="130"/>
      <c r="P1515" s="99"/>
      <c r="Q1515" s="99"/>
      <c r="R1515" s="99"/>
    </row>
    <row r="1516" spans="5:18" s="65" customFormat="1">
      <c r="E1516" s="130"/>
      <c r="P1516" s="99"/>
      <c r="Q1516" s="99"/>
      <c r="R1516" s="99"/>
    </row>
    <row r="1517" spans="5:18" s="65" customFormat="1">
      <c r="E1517" s="130"/>
      <c r="P1517" s="99"/>
      <c r="Q1517" s="99"/>
      <c r="R1517" s="99"/>
    </row>
    <row r="1518" spans="5:18" s="65" customFormat="1">
      <c r="E1518" s="130"/>
      <c r="P1518" s="99"/>
      <c r="Q1518" s="99"/>
      <c r="R1518" s="99"/>
    </row>
    <row r="1519" spans="5:18" s="65" customFormat="1">
      <c r="E1519" s="130"/>
      <c r="P1519" s="99"/>
      <c r="Q1519" s="99"/>
      <c r="R1519" s="99"/>
    </row>
    <row r="1520" spans="5:18" s="65" customFormat="1">
      <c r="E1520" s="130"/>
      <c r="P1520" s="99"/>
      <c r="Q1520" s="99"/>
      <c r="R1520" s="99"/>
    </row>
    <row r="1521" spans="5:18" s="65" customFormat="1">
      <c r="E1521" s="130"/>
      <c r="P1521" s="99"/>
      <c r="Q1521" s="99"/>
      <c r="R1521" s="99"/>
    </row>
    <row r="1522" spans="5:18" s="65" customFormat="1">
      <c r="E1522" s="130"/>
      <c r="P1522" s="99"/>
      <c r="Q1522" s="99"/>
      <c r="R1522" s="99"/>
    </row>
    <row r="1523" spans="5:18" s="65" customFormat="1">
      <c r="E1523" s="130"/>
      <c r="P1523" s="99"/>
      <c r="Q1523" s="99"/>
      <c r="R1523" s="99"/>
    </row>
    <row r="1524" spans="5:18" s="65" customFormat="1">
      <c r="E1524" s="130"/>
      <c r="P1524" s="99"/>
      <c r="Q1524" s="99"/>
      <c r="R1524" s="99"/>
    </row>
    <row r="1525" spans="5:18" s="65" customFormat="1">
      <c r="E1525" s="130"/>
      <c r="P1525" s="99"/>
      <c r="Q1525" s="99"/>
      <c r="R1525" s="99"/>
    </row>
    <row r="1526" spans="5:18" s="65" customFormat="1">
      <c r="E1526" s="130"/>
      <c r="P1526" s="99"/>
      <c r="Q1526" s="99"/>
      <c r="R1526" s="99"/>
    </row>
    <row r="1527" spans="5:18" s="65" customFormat="1">
      <c r="E1527" s="130"/>
      <c r="P1527" s="99"/>
      <c r="Q1527" s="99"/>
      <c r="R1527" s="99"/>
    </row>
    <row r="1528" spans="5:18" s="65" customFormat="1">
      <c r="E1528" s="130"/>
      <c r="P1528" s="99"/>
      <c r="Q1528" s="99"/>
      <c r="R1528" s="99"/>
    </row>
    <row r="1529" spans="5:18" s="65" customFormat="1">
      <c r="E1529" s="130"/>
      <c r="P1529" s="99"/>
      <c r="Q1529" s="99"/>
      <c r="R1529" s="99"/>
    </row>
    <row r="1530" spans="5:18" s="65" customFormat="1">
      <c r="E1530" s="130"/>
      <c r="P1530" s="99"/>
      <c r="Q1530" s="99"/>
      <c r="R1530" s="99"/>
    </row>
    <row r="1531" spans="5:18" s="65" customFormat="1">
      <c r="E1531" s="130"/>
      <c r="P1531" s="99"/>
      <c r="Q1531" s="99"/>
      <c r="R1531" s="99"/>
    </row>
    <row r="1532" spans="5:18" s="65" customFormat="1">
      <c r="E1532" s="130"/>
      <c r="P1532" s="99"/>
      <c r="Q1532" s="99"/>
      <c r="R1532" s="99"/>
    </row>
    <row r="1533" spans="5:18" s="65" customFormat="1">
      <c r="E1533" s="130"/>
      <c r="P1533" s="99"/>
      <c r="Q1533" s="99"/>
      <c r="R1533" s="99"/>
    </row>
    <row r="1534" spans="5:18" s="65" customFormat="1">
      <c r="E1534" s="130"/>
      <c r="P1534" s="99"/>
      <c r="Q1534" s="99"/>
      <c r="R1534" s="99"/>
    </row>
    <row r="1535" spans="5:18" s="65" customFormat="1">
      <c r="E1535" s="130"/>
      <c r="P1535" s="99"/>
      <c r="Q1535" s="99"/>
      <c r="R1535" s="99"/>
    </row>
    <row r="1536" spans="5:18" s="65" customFormat="1">
      <c r="E1536" s="130"/>
      <c r="P1536" s="99"/>
      <c r="Q1536" s="99"/>
      <c r="R1536" s="99"/>
    </row>
    <row r="1537" spans="5:18" s="65" customFormat="1">
      <c r="E1537" s="130"/>
      <c r="P1537" s="99"/>
      <c r="Q1537" s="99"/>
      <c r="R1537" s="99"/>
    </row>
    <row r="1538" spans="5:18" s="65" customFormat="1">
      <c r="E1538" s="130"/>
      <c r="P1538" s="99"/>
      <c r="Q1538" s="99"/>
      <c r="R1538" s="99"/>
    </row>
    <row r="1539" spans="5:18" s="65" customFormat="1">
      <c r="E1539" s="130"/>
      <c r="P1539" s="99"/>
      <c r="Q1539" s="99"/>
      <c r="R1539" s="99"/>
    </row>
    <row r="1540" spans="5:18" s="65" customFormat="1">
      <c r="E1540" s="130"/>
      <c r="P1540" s="99"/>
      <c r="Q1540" s="99"/>
      <c r="R1540" s="99"/>
    </row>
    <row r="1541" spans="5:18" s="65" customFormat="1">
      <c r="E1541" s="130"/>
      <c r="P1541" s="99"/>
      <c r="Q1541" s="99"/>
      <c r="R1541" s="99"/>
    </row>
    <row r="1542" spans="5:18" s="65" customFormat="1">
      <c r="E1542" s="130"/>
      <c r="P1542" s="99"/>
      <c r="Q1542" s="99"/>
      <c r="R1542" s="99"/>
    </row>
    <row r="1543" spans="5:18" s="65" customFormat="1">
      <c r="E1543" s="130"/>
      <c r="P1543" s="99"/>
      <c r="Q1543" s="99"/>
      <c r="R1543" s="99"/>
    </row>
    <row r="1544" spans="5:18" s="65" customFormat="1">
      <c r="E1544" s="130"/>
      <c r="P1544" s="99"/>
      <c r="Q1544" s="99"/>
      <c r="R1544" s="99"/>
    </row>
    <row r="1545" spans="5:18" s="65" customFormat="1">
      <c r="E1545" s="130"/>
      <c r="P1545" s="99"/>
      <c r="Q1545" s="99"/>
      <c r="R1545" s="99"/>
    </row>
    <row r="1546" spans="5:18" s="65" customFormat="1">
      <c r="E1546" s="130"/>
      <c r="P1546" s="99"/>
      <c r="Q1546" s="99"/>
      <c r="R1546" s="99"/>
    </row>
    <row r="1547" spans="5:18" s="65" customFormat="1">
      <c r="E1547" s="130"/>
      <c r="P1547" s="99"/>
      <c r="Q1547" s="99"/>
      <c r="R1547" s="99"/>
    </row>
    <row r="1548" spans="5:18" s="65" customFormat="1">
      <c r="E1548" s="130"/>
      <c r="P1548" s="99"/>
      <c r="Q1548" s="99"/>
      <c r="R1548" s="99"/>
    </row>
    <row r="1549" spans="5:18" s="65" customFormat="1">
      <c r="E1549" s="130"/>
      <c r="P1549" s="99"/>
      <c r="Q1549" s="99"/>
      <c r="R1549" s="99"/>
    </row>
    <row r="1550" spans="5:18" s="65" customFormat="1">
      <c r="E1550" s="130"/>
      <c r="P1550" s="99"/>
      <c r="Q1550" s="99"/>
      <c r="R1550" s="99"/>
    </row>
    <row r="1551" spans="5:18" s="65" customFormat="1">
      <c r="E1551" s="130"/>
      <c r="P1551" s="99"/>
      <c r="Q1551" s="99"/>
      <c r="R1551" s="99"/>
    </row>
    <row r="1552" spans="5:18" s="65" customFormat="1">
      <c r="E1552" s="130"/>
      <c r="P1552" s="99"/>
      <c r="Q1552" s="99"/>
      <c r="R1552" s="99"/>
    </row>
    <row r="1553" spans="5:18" s="65" customFormat="1">
      <c r="E1553" s="130"/>
      <c r="P1553" s="99"/>
      <c r="Q1553" s="99"/>
      <c r="R1553" s="99"/>
    </row>
    <row r="1554" spans="5:18" s="65" customFormat="1">
      <c r="E1554" s="130"/>
      <c r="P1554" s="99"/>
      <c r="Q1554" s="99"/>
      <c r="R1554" s="99"/>
    </row>
    <row r="1555" spans="5:18" s="65" customFormat="1">
      <c r="E1555" s="130"/>
      <c r="P1555" s="99"/>
      <c r="Q1555" s="99"/>
      <c r="R1555" s="99"/>
    </row>
    <row r="1556" spans="5:18" s="65" customFormat="1">
      <c r="E1556" s="130"/>
      <c r="P1556" s="99"/>
      <c r="Q1556" s="99"/>
      <c r="R1556" s="99"/>
    </row>
    <row r="1557" spans="5:18" s="65" customFormat="1">
      <c r="E1557" s="130"/>
      <c r="P1557" s="99"/>
      <c r="Q1557" s="99"/>
      <c r="R1557" s="99"/>
    </row>
    <row r="1558" spans="5:18" s="65" customFormat="1">
      <c r="E1558" s="130"/>
      <c r="P1558" s="99"/>
      <c r="Q1558" s="99"/>
      <c r="R1558" s="99"/>
    </row>
    <row r="1559" spans="5:18" s="65" customFormat="1">
      <c r="E1559" s="130"/>
      <c r="P1559" s="99"/>
      <c r="Q1559" s="99"/>
      <c r="R1559" s="99"/>
    </row>
    <row r="1560" spans="5:18" s="65" customFormat="1">
      <c r="E1560" s="130"/>
      <c r="P1560" s="99"/>
      <c r="Q1560" s="99"/>
      <c r="R1560" s="99"/>
    </row>
    <row r="1561" spans="5:18" s="65" customFormat="1">
      <c r="E1561" s="130"/>
      <c r="P1561" s="99"/>
      <c r="Q1561" s="99"/>
      <c r="R1561" s="99"/>
    </row>
    <row r="1562" spans="5:18" s="65" customFormat="1">
      <c r="E1562" s="130"/>
      <c r="P1562" s="99"/>
      <c r="Q1562" s="99"/>
      <c r="R1562" s="99"/>
    </row>
    <row r="1563" spans="5:18" s="65" customFormat="1">
      <c r="E1563" s="130"/>
      <c r="P1563" s="99"/>
      <c r="Q1563" s="99"/>
      <c r="R1563" s="99"/>
    </row>
    <row r="1564" spans="5:18" s="65" customFormat="1">
      <c r="E1564" s="130"/>
      <c r="P1564" s="99"/>
      <c r="Q1564" s="99"/>
      <c r="R1564" s="99"/>
    </row>
    <row r="1565" spans="5:18" s="65" customFormat="1">
      <c r="E1565" s="130"/>
      <c r="P1565" s="99"/>
      <c r="Q1565" s="99"/>
      <c r="R1565" s="99"/>
    </row>
    <row r="1566" spans="5:18" s="65" customFormat="1">
      <c r="E1566" s="130"/>
      <c r="P1566" s="99"/>
      <c r="Q1566" s="99"/>
      <c r="R1566" s="99"/>
    </row>
    <row r="1567" spans="5:18" s="65" customFormat="1">
      <c r="E1567" s="130"/>
      <c r="P1567" s="99"/>
      <c r="Q1567" s="99"/>
      <c r="R1567" s="99"/>
    </row>
    <row r="1568" spans="5:18" s="65" customFormat="1">
      <c r="E1568" s="130"/>
      <c r="P1568" s="99"/>
      <c r="Q1568" s="99"/>
      <c r="R1568" s="99"/>
    </row>
    <row r="1569" spans="5:18" s="65" customFormat="1">
      <c r="E1569" s="130"/>
      <c r="P1569" s="99"/>
      <c r="Q1569" s="99"/>
      <c r="R1569" s="99"/>
    </row>
    <row r="1570" spans="5:18" s="65" customFormat="1">
      <c r="E1570" s="130"/>
      <c r="P1570" s="99"/>
      <c r="Q1570" s="99"/>
      <c r="R1570" s="99"/>
    </row>
    <row r="1571" spans="5:18" s="65" customFormat="1">
      <c r="E1571" s="130"/>
      <c r="P1571" s="99"/>
      <c r="Q1571" s="99"/>
      <c r="R1571" s="99"/>
    </row>
    <row r="1572" spans="5:18" s="65" customFormat="1">
      <c r="E1572" s="130"/>
      <c r="P1572" s="99"/>
      <c r="Q1572" s="99"/>
      <c r="R1572" s="99"/>
    </row>
    <row r="1573" spans="5:18" s="65" customFormat="1">
      <c r="E1573" s="130"/>
      <c r="P1573" s="99"/>
      <c r="Q1573" s="99"/>
      <c r="R1573" s="99"/>
    </row>
    <row r="1574" spans="5:18" s="65" customFormat="1">
      <c r="E1574" s="130"/>
      <c r="P1574" s="99"/>
      <c r="Q1574" s="99"/>
      <c r="R1574" s="99"/>
    </row>
    <row r="1575" spans="5:18" s="65" customFormat="1">
      <c r="E1575" s="130"/>
      <c r="P1575" s="99"/>
      <c r="Q1575" s="99"/>
      <c r="R1575" s="99"/>
    </row>
    <row r="1576" spans="5:18" s="65" customFormat="1">
      <c r="E1576" s="130"/>
      <c r="P1576" s="99"/>
      <c r="Q1576" s="99"/>
      <c r="R1576" s="99"/>
    </row>
    <row r="1577" spans="5:18" s="65" customFormat="1">
      <c r="E1577" s="130"/>
      <c r="P1577" s="99"/>
      <c r="Q1577" s="99"/>
      <c r="R1577" s="99"/>
    </row>
    <row r="1578" spans="5:18" s="65" customFormat="1">
      <c r="E1578" s="130"/>
      <c r="P1578" s="99"/>
      <c r="Q1578" s="99"/>
      <c r="R1578" s="99"/>
    </row>
    <row r="1579" spans="5:18" s="65" customFormat="1">
      <c r="E1579" s="130"/>
      <c r="P1579" s="99"/>
      <c r="Q1579" s="99"/>
      <c r="R1579" s="99"/>
    </row>
    <row r="1580" spans="5:18" s="65" customFormat="1">
      <c r="E1580" s="130"/>
      <c r="P1580" s="99"/>
      <c r="Q1580" s="99"/>
      <c r="R1580" s="99"/>
    </row>
    <row r="1581" spans="5:18" s="65" customFormat="1">
      <c r="E1581" s="130"/>
      <c r="P1581" s="99"/>
      <c r="Q1581" s="99"/>
      <c r="R1581" s="99"/>
    </row>
    <row r="1582" spans="5:18" s="65" customFormat="1">
      <c r="E1582" s="130"/>
      <c r="P1582" s="99"/>
      <c r="Q1582" s="99"/>
      <c r="R1582" s="99"/>
    </row>
    <row r="1583" spans="5:18" s="65" customFormat="1">
      <c r="E1583" s="130"/>
      <c r="P1583" s="99"/>
      <c r="Q1583" s="99"/>
      <c r="R1583" s="99"/>
    </row>
    <row r="1584" spans="5:18" s="65" customFormat="1">
      <c r="E1584" s="130"/>
      <c r="P1584" s="99"/>
      <c r="Q1584" s="99"/>
      <c r="R1584" s="99"/>
    </row>
    <row r="1585" spans="5:18" s="65" customFormat="1">
      <c r="E1585" s="130"/>
      <c r="P1585" s="99"/>
      <c r="Q1585" s="99"/>
      <c r="R1585" s="99"/>
    </row>
    <row r="1586" spans="5:18" s="65" customFormat="1">
      <c r="E1586" s="130"/>
      <c r="P1586" s="99"/>
      <c r="Q1586" s="99"/>
      <c r="R1586" s="99"/>
    </row>
    <row r="1587" spans="5:18" s="65" customFormat="1">
      <c r="E1587" s="130"/>
      <c r="P1587" s="99"/>
      <c r="Q1587" s="99"/>
      <c r="R1587" s="99"/>
    </row>
    <row r="1588" spans="5:18" s="65" customFormat="1">
      <c r="E1588" s="130"/>
      <c r="P1588" s="99"/>
      <c r="Q1588" s="99"/>
      <c r="R1588" s="99"/>
    </row>
    <row r="1589" spans="5:18" s="65" customFormat="1">
      <c r="E1589" s="130"/>
      <c r="P1589" s="99"/>
      <c r="Q1589" s="99"/>
      <c r="R1589" s="99"/>
    </row>
    <row r="1590" spans="5:18" s="65" customFormat="1">
      <c r="E1590" s="130"/>
      <c r="P1590" s="99"/>
      <c r="Q1590" s="99"/>
      <c r="R1590" s="99"/>
    </row>
    <row r="1591" spans="5:18" s="65" customFormat="1">
      <c r="E1591" s="130"/>
      <c r="P1591" s="99"/>
      <c r="Q1591" s="99"/>
      <c r="R1591" s="99"/>
    </row>
    <row r="1592" spans="5:18" s="65" customFormat="1">
      <c r="E1592" s="130"/>
      <c r="P1592" s="99"/>
      <c r="Q1592" s="99"/>
      <c r="R1592" s="99"/>
    </row>
    <row r="1593" spans="5:18" s="65" customFormat="1">
      <c r="E1593" s="130"/>
      <c r="P1593" s="99"/>
      <c r="Q1593" s="99"/>
      <c r="R1593" s="99"/>
    </row>
    <row r="1594" spans="5:18" s="65" customFormat="1">
      <c r="E1594" s="130"/>
      <c r="P1594" s="99"/>
      <c r="Q1594" s="99"/>
      <c r="R1594" s="99"/>
    </row>
    <row r="1595" spans="5:18" s="65" customFormat="1">
      <c r="E1595" s="130"/>
      <c r="P1595" s="99"/>
      <c r="Q1595" s="99"/>
      <c r="R1595" s="99"/>
    </row>
    <row r="1596" spans="5:18" s="65" customFormat="1">
      <c r="E1596" s="130"/>
      <c r="P1596" s="99"/>
      <c r="Q1596" s="99"/>
      <c r="R1596" s="99"/>
    </row>
    <row r="1597" spans="5:18" s="65" customFormat="1">
      <c r="E1597" s="130"/>
      <c r="P1597" s="99"/>
      <c r="Q1597" s="99"/>
      <c r="R1597" s="99"/>
    </row>
    <row r="1598" spans="5:18" s="65" customFormat="1">
      <c r="E1598" s="130"/>
      <c r="P1598" s="99"/>
      <c r="Q1598" s="99"/>
      <c r="R1598" s="99"/>
    </row>
    <row r="1599" spans="5:18" s="65" customFormat="1">
      <c r="E1599" s="130"/>
      <c r="P1599" s="99"/>
      <c r="Q1599" s="99"/>
      <c r="R1599" s="99"/>
    </row>
    <row r="1600" spans="5:18" s="65" customFormat="1">
      <c r="E1600" s="130"/>
      <c r="P1600" s="99"/>
      <c r="Q1600" s="99"/>
      <c r="R1600" s="99"/>
    </row>
    <row r="1601" spans="5:18" s="65" customFormat="1">
      <c r="E1601" s="130"/>
      <c r="P1601" s="99"/>
      <c r="Q1601" s="99"/>
      <c r="R1601" s="99"/>
    </row>
    <row r="1602" spans="5:18" s="65" customFormat="1">
      <c r="E1602" s="130"/>
      <c r="P1602" s="99"/>
      <c r="Q1602" s="99"/>
      <c r="R1602" s="99"/>
    </row>
    <row r="1603" spans="5:18" s="65" customFormat="1">
      <c r="E1603" s="130"/>
      <c r="P1603" s="99"/>
      <c r="Q1603" s="99"/>
      <c r="R1603" s="99"/>
    </row>
    <row r="1604" spans="5:18" s="65" customFormat="1">
      <c r="E1604" s="130"/>
      <c r="P1604" s="99"/>
      <c r="Q1604" s="99"/>
      <c r="R1604" s="99"/>
    </row>
    <row r="1605" spans="5:18" s="65" customFormat="1">
      <c r="E1605" s="130"/>
      <c r="P1605" s="99"/>
      <c r="Q1605" s="99"/>
      <c r="R1605" s="99"/>
    </row>
    <row r="1606" spans="5:18" s="65" customFormat="1">
      <c r="E1606" s="130"/>
      <c r="P1606" s="99"/>
      <c r="Q1606" s="99"/>
      <c r="R1606" s="99"/>
    </row>
    <row r="1607" spans="5:18" s="65" customFormat="1">
      <c r="E1607" s="130"/>
      <c r="P1607" s="99"/>
      <c r="Q1607" s="99"/>
      <c r="R1607" s="99"/>
    </row>
    <row r="1608" spans="5:18" s="65" customFormat="1">
      <c r="E1608" s="130"/>
      <c r="P1608" s="99"/>
      <c r="Q1608" s="99"/>
      <c r="R1608" s="99"/>
    </row>
    <row r="1609" spans="5:18" s="65" customFormat="1">
      <c r="E1609" s="130"/>
      <c r="P1609" s="99"/>
      <c r="Q1609" s="99"/>
      <c r="R1609" s="99"/>
    </row>
    <row r="1610" spans="5:18" s="65" customFormat="1">
      <c r="E1610" s="130"/>
      <c r="P1610" s="99"/>
      <c r="Q1610" s="99"/>
      <c r="R1610" s="99"/>
    </row>
    <row r="1611" spans="5:18" s="65" customFormat="1">
      <c r="E1611" s="130"/>
      <c r="P1611" s="99"/>
      <c r="Q1611" s="99"/>
      <c r="R1611" s="99"/>
    </row>
    <row r="1612" spans="5:18" s="65" customFormat="1">
      <c r="E1612" s="130"/>
      <c r="P1612" s="99"/>
      <c r="Q1612" s="99"/>
      <c r="R1612" s="99"/>
    </row>
    <row r="1613" spans="5:18" s="65" customFormat="1">
      <c r="E1613" s="130"/>
      <c r="P1613" s="99"/>
      <c r="Q1613" s="99"/>
      <c r="R1613" s="99"/>
    </row>
    <row r="1614" spans="5:18" s="65" customFormat="1">
      <c r="E1614" s="130"/>
      <c r="P1614" s="99"/>
      <c r="Q1614" s="99"/>
      <c r="R1614" s="99"/>
    </row>
    <row r="1615" spans="5:18" s="65" customFormat="1">
      <c r="E1615" s="130"/>
      <c r="P1615" s="99"/>
      <c r="Q1615" s="99"/>
      <c r="R1615" s="99"/>
    </row>
    <row r="1616" spans="5:18" s="65" customFormat="1">
      <c r="E1616" s="130"/>
      <c r="P1616" s="99"/>
      <c r="Q1616" s="99"/>
      <c r="R1616" s="99"/>
    </row>
    <row r="1617" spans="5:18" s="65" customFormat="1">
      <c r="E1617" s="130"/>
      <c r="P1617" s="99"/>
      <c r="Q1617" s="99"/>
      <c r="R1617" s="99"/>
    </row>
    <row r="1618" spans="5:18" s="65" customFormat="1">
      <c r="E1618" s="130"/>
      <c r="P1618" s="99"/>
      <c r="Q1618" s="99"/>
      <c r="R1618" s="99"/>
    </row>
    <row r="1619" spans="5:18" s="65" customFormat="1">
      <c r="E1619" s="130"/>
      <c r="P1619" s="99"/>
      <c r="Q1619" s="99"/>
      <c r="R1619" s="99"/>
    </row>
    <row r="1620" spans="5:18" s="65" customFormat="1">
      <c r="E1620" s="130"/>
      <c r="P1620" s="99"/>
      <c r="Q1620" s="99"/>
      <c r="R1620" s="99"/>
    </row>
    <row r="1621" spans="5:18" s="65" customFormat="1">
      <c r="E1621" s="130"/>
      <c r="P1621" s="99"/>
      <c r="Q1621" s="99"/>
      <c r="R1621" s="99"/>
    </row>
    <row r="1622" spans="5:18" s="65" customFormat="1">
      <c r="E1622" s="130"/>
      <c r="P1622" s="99"/>
      <c r="Q1622" s="99"/>
      <c r="R1622" s="99"/>
    </row>
    <row r="1623" spans="5:18" s="65" customFormat="1">
      <c r="E1623" s="130"/>
      <c r="P1623" s="99"/>
      <c r="Q1623" s="99"/>
      <c r="R1623" s="99"/>
    </row>
    <row r="1624" spans="5:18" s="65" customFormat="1">
      <c r="E1624" s="130"/>
      <c r="P1624" s="99"/>
      <c r="Q1624" s="99"/>
      <c r="R1624" s="99"/>
    </row>
    <row r="1625" spans="5:18" s="65" customFormat="1">
      <c r="E1625" s="130"/>
      <c r="P1625" s="99"/>
      <c r="Q1625" s="99"/>
      <c r="R1625" s="99"/>
    </row>
    <row r="1626" spans="5:18" s="65" customFormat="1">
      <c r="E1626" s="130"/>
      <c r="P1626" s="99"/>
      <c r="Q1626" s="99"/>
      <c r="R1626" s="99"/>
    </row>
    <row r="1627" spans="5:18" s="65" customFormat="1">
      <c r="E1627" s="130"/>
      <c r="P1627" s="99"/>
      <c r="Q1627" s="99"/>
      <c r="R1627" s="99"/>
    </row>
    <row r="1628" spans="5:18" s="65" customFormat="1">
      <c r="E1628" s="130"/>
      <c r="P1628" s="99"/>
      <c r="Q1628" s="99"/>
      <c r="R1628" s="99"/>
    </row>
    <row r="1629" spans="5:18" s="65" customFormat="1">
      <c r="E1629" s="130"/>
      <c r="P1629" s="99"/>
      <c r="Q1629" s="99"/>
      <c r="R1629" s="99"/>
    </row>
    <row r="1630" spans="5:18" s="65" customFormat="1">
      <c r="E1630" s="130"/>
      <c r="P1630" s="99"/>
      <c r="Q1630" s="99"/>
      <c r="R1630" s="99"/>
    </row>
    <row r="1631" spans="5:18" s="65" customFormat="1">
      <c r="E1631" s="130"/>
      <c r="P1631" s="99"/>
      <c r="Q1631" s="99"/>
      <c r="R1631" s="99"/>
    </row>
    <row r="1632" spans="5:18" s="65" customFormat="1">
      <c r="E1632" s="130"/>
      <c r="P1632" s="99"/>
      <c r="Q1632" s="99"/>
      <c r="R1632" s="99"/>
    </row>
    <row r="1633" spans="5:18" s="65" customFormat="1">
      <c r="E1633" s="130"/>
      <c r="P1633" s="99"/>
      <c r="Q1633" s="99"/>
      <c r="R1633" s="99"/>
    </row>
    <row r="1634" spans="5:18" s="65" customFormat="1">
      <c r="E1634" s="130"/>
      <c r="P1634" s="99"/>
      <c r="Q1634" s="99"/>
      <c r="R1634" s="99"/>
    </row>
    <row r="1635" spans="5:18" s="65" customFormat="1">
      <c r="E1635" s="130"/>
      <c r="P1635" s="99"/>
      <c r="Q1635" s="99"/>
      <c r="R1635" s="99"/>
    </row>
    <row r="1636" spans="5:18" s="65" customFormat="1">
      <c r="E1636" s="130"/>
      <c r="P1636" s="99"/>
      <c r="Q1636" s="99"/>
      <c r="R1636" s="99"/>
    </row>
    <row r="1637" spans="5:18" s="65" customFormat="1">
      <c r="E1637" s="130"/>
      <c r="P1637" s="99"/>
      <c r="Q1637" s="99"/>
      <c r="R1637" s="99"/>
    </row>
    <row r="1638" spans="5:18" s="65" customFormat="1">
      <c r="E1638" s="130"/>
      <c r="P1638" s="99"/>
      <c r="Q1638" s="99"/>
      <c r="R1638" s="99"/>
    </row>
    <row r="1639" spans="5:18" s="65" customFormat="1">
      <c r="E1639" s="130"/>
      <c r="P1639" s="99"/>
      <c r="Q1639" s="99"/>
      <c r="R1639" s="99"/>
    </row>
    <row r="1640" spans="5:18" s="65" customFormat="1">
      <c r="E1640" s="130"/>
      <c r="P1640" s="99"/>
      <c r="Q1640" s="99"/>
      <c r="R1640" s="99"/>
    </row>
    <row r="1641" spans="5:18" s="65" customFormat="1">
      <c r="E1641" s="130"/>
      <c r="P1641" s="99"/>
      <c r="Q1641" s="99"/>
      <c r="R1641" s="99"/>
    </row>
    <row r="1642" spans="5:18" s="65" customFormat="1">
      <c r="E1642" s="130"/>
      <c r="P1642" s="99"/>
      <c r="Q1642" s="99"/>
      <c r="R1642" s="99"/>
    </row>
    <row r="1643" spans="5:18" s="65" customFormat="1">
      <c r="E1643" s="130"/>
      <c r="P1643" s="99"/>
      <c r="Q1643" s="99"/>
      <c r="R1643" s="99"/>
    </row>
    <row r="1644" spans="5:18" s="65" customFormat="1">
      <c r="E1644" s="130"/>
      <c r="P1644" s="99"/>
      <c r="Q1644" s="99"/>
      <c r="R1644" s="99"/>
    </row>
    <row r="1645" spans="5:18" s="65" customFormat="1">
      <c r="E1645" s="130"/>
      <c r="P1645" s="99"/>
      <c r="Q1645" s="99"/>
      <c r="R1645" s="99"/>
    </row>
    <row r="1646" spans="5:18" s="65" customFormat="1">
      <c r="E1646" s="130"/>
      <c r="P1646" s="99"/>
      <c r="Q1646" s="99"/>
      <c r="R1646" s="99"/>
    </row>
    <row r="1647" spans="5:18" s="65" customFormat="1">
      <c r="E1647" s="130"/>
      <c r="P1647" s="99"/>
      <c r="Q1647" s="99"/>
      <c r="R1647" s="99"/>
    </row>
    <row r="1648" spans="5:18" s="65" customFormat="1">
      <c r="E1648" s="130"/>
      <c r="P1648" s="99"/>
      <c r="Q1648" s="99"/>
      <c r="R1648" s="99"/>
    </row>
    <row r="1649" spans="5:18" s="65" customFormat="1">
      <c r="E1649" s="130"/>
      <c r="P1649" s="99"/>
      <c r="Q1649" s="99"/>
      <c r="R1649" s="99"/>
    </row>
    <row r="1650" spans="5:18" s="65" customFormat="1">
      <c r="E1650" s="130"/>
      <c r="P1650" s="99"/>
      <c r="Q1650" s="99"/>
      <c r="R1650" s="99"/>
    </row>
    <row r="1651" spans="5:18" s="65" customFormat="1">
      <c r="E1651" s="130"/>
      <c r="P1651" s="99"/>
      <c r="Q1651" s="99"/>
      <c r="R1651" s="99"/>
    </row>
    <row r="1652" spans="5:18" s="65" customFormat="1">
      <c r="E1652" s="130"/>
      <c r="P1652" s="99"/>
      <c r="Q1652" s="99"/>
      <c r="R1652" s="99"/>
    </row>
    <row r="1653" spans="5:18" s="65" customFormat="1">
      <c r="E1653" s="130"/>
      <c r="P1653" s="99"/>
      <c r="Q1653" s="99"/>
      <c r="R1653" s="99"/>
    </row>
    <row r="1654" spans="5:18" s="65" customFormat="1">
      <c r="E1654" s="130"/>
      <c r="P1654" s="99"/>
      <c r="Q1654" s="99"/>
      <c r="R1654" s="99"/>
    </row>
    <row r="1655" spans="5:18" s="65" customFormat="1">
      <c r="E1655" s="130"/>
      <c r="P1655" s="99"/>
      <c r="Q1655" s="99"/>
      <c r="R1655" s="99"/>
    </row>
    <row r="1656" spans="5:18" s="65" customFormat="1">
      <c r="E1656" s="130"/>
      <c r="P1656" s="99"/>
      <c r="Q1656" s="99"/>
      <c r="R1656" s="99"/>
    </row>
    <row r="1657" spans="5:18" s="65" customFormat="1">
      <c r="E1657" s="130"/>
      <c r="P1657" s="99"/>
      <c r="Q1657" s="99"/>
      <c r="R1657" s="99"/>
    </row>
    <row r="1658" spans="5:18" s="65" customFormat="1">
      <c r="E1658" s="130"/>
      <c r="P1658" s="99"/>
      <c r="Q1658" s="99"/>
      <c r="R1658" s="99"/>
    </row>
    <row r="1659" spans="5:18" s="65" customFormat="1">
      <c r="E1659" s="130"/>
      <c r="P1659" s="99"/>
      <c r="Q1659" s="99"/>
      <c r="R1659" s="99"/>
    </row>
    <row r="1660" spans="5:18" s="65" customFormat="1">
      <c r="E1660" s="130"/>
      <c r="P1660" s="99"/>
      <c r="Q1660" s="99"/>
      <c r="R1660" s="99"/>
    </row>
    <row r="1661" spans="5:18" s="65" customFormat="1">
      <c r="E1661" s="130"/>
      <c r="P1661" s="99"/>
      <c r="Q1661" s="99"/>
      <c r="R1661" s="99"/>
    </row>
    <row r="1662" spans="5:18" s="65" customFormat="1">
      <c r="E1662" s="130"/>
      <c r="P1662" s="99"/>
      <c r="Q1662" s="99"/>
      <c r="R1662" s="99"/>
    </row>
    <row r="1663" spans="5:18" s="65" customFormat="1">
      <c r="E1663" s="130"/>
      <c r="P1663" s="99"/>
      <c r="Q1663" s="99"/>
      <c r="R1663" s="99"/>
    </row>
    <row r="1664" spans="5:18" s="65" customFormat="1">
      <c r="E1664" s="130"/>
      <c r="P1664" s="99"/>
      <c r="Q1664" s="99"/>
      <c r="R1664" s="99"/>
    </row>
    <row r="1665" spans="5:18" s="65" customFormat="1">
      <c r="E1665" s="130"/>
      <c r="P1665" s="99"/>
      <c r="Q1665" s="99"/>
      <c r="R1665" s="99"/>
    </row>
    <row r="1666" spans="5:18" s="65" customFormat="1">
      <c r="E1666" s="130"/>
      <c r="P1666" s="99"/>
      <c r="Q1666" s="99"/>
      <c r="R1666" s="99"/>
    </row>
    <row r="1667" spans="5:18" s="65" customFormat="1">
      <c r="E1667" s="130"/>
      <c r="P1667" s="99"/>
      <c r="Q1667" s="99"/>
      <c r="R1667" s="99"/>
    </row>
    <row r="1668" spans="5:18" s="65" customFormat="1">
      <c r="E1668" s="130"/>
      <c r="P1668" s="99"/>
      <c r="Q1668" s="99"/>
      <c r="R1668" s="99"/>
    </row>
    <row r="1669" spans="5:18" s="65" customFormat="1">
      <c r="E1669" s="130"/>
      <c r="P1669" s="99"/>
      <c r="Q1669" s="99"/>
      <c r="R1669" s="99"/>
    </row>
    <row r="1670" spans="5:18" s="65" customFormat="1">
      <c r="E1670" s="130"/>
      <c r="P1670" s="99"/>
      <c r="Q1670" s="99"/>
      <c r="R1670" s="99"/>
    </row>
    <row r="1671" spans="5:18" s="65" customFormat="1">
      <c r="E1671" s="130"/>
      <c r="P1671" s="99"/>
      <c r="Q1671" s="99"/>
      <c r="R1671" s="99"/>
    </row>
    <row r="1672" spans="5:18" s="65" customFormat="1">
      <c r="E1672" s="130"/>
      <c r="P1672" s="99"/>
      <c r="Q1672" s="99"/>
      <c r="R1672" s="99"/>
    </row>
    <row r="1673" spans="5:18" s="65" customFormat="1">
      <c r="E1673" s="130"/>
      <c r="P1673" s="99"/>
      <c r="Q1673" s="99"/>
      <c r="R1673" s="99"/>
    </row>
    <row r="1674" spans="5:18" s="65" customFormat="1">
      <c r="E1674" s="130"/>
      <c r="P1674" s="99"/>
      <c r="Q1674" s="99"/>
      <c r="R1674" s="99"/>
    </row>
    <row r="1675" spans="5:18" s="65" customFormat="1">
      <c r="E1675" s="130"/>
      <c r="P1675" s="99"/>
      <c r="Q1675" s="99"/>
      <c r="R1675" s="99"/>
    </row>
    <row r="1676" spans="5:18" s="65" customFormat="1">
      <c r="E1676" s="130"/>
      <c r="P1676" s="99"/>
      <c r="Q1676" s="99"/>
      <c r="R1676" s="99"/>
    </row>
    <row r="1677" spans="5:18" s="65" customFormat="1">
      <c r="E1677" s="130"/>
      <c r="P1677" s="99"/>
      <c r="Q1677" s="99"/>
      <c r="R1677" s="99"/>
    </row>
    <row r="1678" spans="5:18" s="65" customFormat="1">
      <c r="E1678" s="130"/>
      <c r="P1678" s="99"/>
      <c r="Q1678" s="99"/>
      <c r="R1678" s="99"/>
    </row>
    <row r="1679" spans="5:18" s="65" customFormat="1">
      <c r="E1679" s="130"/>
      <c r="P1679" s="99"/>
      <c r="Q1679" s="99"/>
      <c r="R1679" s="99"/>
    </row>
    <row r="1680" spans="5:18" s="65" customFormat="1">
      <c r="E1680" s="130"/>
      <c r="P1680" s="99"/>
      <c r="Q1680" s="99"/>
      <c r="R1680" s="99"/>
    </row>
    <row r="1681" spans="5:18" s="65" customFormat="1">
      <c r="E1681" s="130"/>
      <c r="P1681" s="99"/>
      <c r="Q1681" s="99"/>
      <c r="R1681" s="99"/>
    </row>
    <row r="1682" spans="5:18" s="65" customFormat="1">
      <c r="E1682" s="130"/>
      <c r="P1682" s="99"/>
      <c r="Q1682" s="99"/>
      <c r="R1682" s="99"/>
    </row>
    <row r="1683" spans="5:18" s="65" customFormat="1">
      <c r="E1683" s="130"/>
      <c r="P1683" s="99"/>
      <c r="Q1683" s="99"/>
      <c r="R1683" s="99"/>
    </row>
    <row r="1684" spans="5:18" s="65" customFormat="1">
      <c r="E1684" s="130"/>
      <c r="P1684" s="99"/>
      <c r="Q1684" s="99"/>
      <c r="R1684" s="99"/>
    </row>
    <row r="1685" spans="5:18" s="65" customFormat="1">
      <c r="E1685" s="130"/>
      <c r="P1685" s="99"/>
      <c r="Q1685" s="99"/>
      <c r="R1685" s="99"/>
    </row>
    <row r="1686" spans="5:18" s="65" customFormat="1">
      <c r="E1686" s="130"/>
      <c r="P1686" s="99"/>
      <c r="Q1686" s="99"/>
      <c r="R1686" s="99"/>
    </row>
    <row r="1687" spans="5:18" s="65" customFormat="1">
      <c r="E1687" s="130"/>
      <c r="P1687" s="99"/>
      <c r="Q1687" s="99"/>
      <c r="R1687" s="99"/>
    </row>
    <row r="1688" spans="5:18" s="65" customFormat="1">
      <c r="E1688" s="130"/>
      <c r="P1688" s="99"/>
      <c r="Q1688" s="99"/>
      <c r="R1688" s="99"/>
    </row>
    <row r="1689" spans="5:18" s="65" customFormat="1">
      <c r="E1689" s="130"/>
      <c r="P1689" s="99"/>
      <c r="Q1689" s="99"/>
      <c r="R1689" s="99"/>
    </row>
    <row r="1690" spans="5:18" s="65" customFormat="1">
      <c r="E1690" s="130"/>
      <c r="P1690" s="99"/>
      <c r="Q1690" s="99"/>
      <c r="R1690" s="99"/>
    </row>
    <row r="1691" spans="5:18" s="65" customFormat="1">
      <c r="E1691" s="130"/>
      <c r="P1691" s="99"/>
      <c r="Q1691" s="99"/>
      <c r="R1691" s="99"/>
    </row>
    <row r="1692" spans="5:18" s="65" customFormat="1">
      <c r="E1692" s="130"/>
      <c r="P1692" s="99"/>
      <c r="Q1692" s="99"/>
      <c r="R1692" s="99"/>
    </row>
    <row r="1693" spans="5:18" s="65" customFormat="1">
      <c r="E1693" s="130"/>
      <c r="P1693" s="99"/>
      <c r="Q1693" s="99"/>
      <c r="R1693" s="99"/>
    </row>
    <row r="1694" spans="5:18" s="65" customFormat="1">
      <c r="E1694" s="130"/>
      <c r="P1694" s="99"/>
      <c r="Q1694" s="99"/>
      <c r="R1694" s="99"/>
    </row>
    <row r="1695" spans="5:18" s="65" customFormat="1">
      <c r="E1695" s="130"/>
      <c r="P1695" s="99"/>
      <c r="Q1695" s="99"/>
      <c r="R1695" s="99"/>
    </row>
    <row r="1696" spans="5:18" s="65" customFormat="1">
      <c r="E1696" s="130"/>
      <c r="P1696" s="99"/>
      <c r="Q1696" s="99"/>
      <c r="R1696" s="99"/>
    </row>
    <row r="1697" spans="5:18" s="65" customFormat="1">
      <c r="E1697" s="130"/>
      <c r="P1697" s="99"/>
      <c r="Q1697" s="99"/>
      <c r="R1697" s="99"/>
    </row>
    <row r="1698" spans="5:18" s="65" customFormat="1">
      <c r="E1698" s="130"/>
      <c r="P1698" s="99"/>
      <c r="Q1698" s="99"/>
      <c r="R1698" s="99"/>
    </row>
    <row r="1699" spans="5:18" s="65" customFormat="1">
      <c r="E1699" s="130"/>
      <c r="P1699" s="99"/>
      <c r="Q1699" s="99"/>
      <c r="R1699" s="99"/>
    </row>
    <row r="1700" spans="5:18" s="65" customFormat="1">
      <c r="E1700" s="130"/>
      <c r="P1700" s="99"/>
      <c r="Q1700" s="99"/>
      <c r="R1700" s="99"/>
    </row>
    <row r="1701" spans="5:18" s="65" customFormat="1">
      <c r="E1701" s="130"/>
      <c r="P1701" s="99"/>
      <c r="Q1701" s="99"/>
      <c r="R1701" s="99"/>
    </row>
    <row r="1702" spans="5:18" s="65" customFormat="1">
      <c r="E1702" s="130"/>
      <c r="P1702" s="99"/>
      <c r="Q1702" s="99"/>
      <c r="R1702" s="99"/>
    </row>
    <row r="1703" spans="5:18" s="65" customFormat="1">
      <c r="E1703" s="130"/>
      <c r="P1703" s="99"/>
      <c r="Q1703" s="99"/>
      <c r="R1703" s="99"/>
    </row>
    <row r="1704" spans="5:18" s="65" customFormat="1">
      <c r="E1704" s="130"/>
      <c r="P1704" s="99"/>
      <c r="Q1704" s="99"/>
      <c r="R1704" s="99"/>
    </row>
    <row r="1705" spans="5:18" s="65" customFormat="1">
      <c r="E1705" s="130"/>
      <c r="P1705" s="99"/>
      <c r="Q1705" s="99"/>
      <c r="R1705" s="99"/>
    </row>
    <row r="1706" spans="5:18" s="65" customFormat="1">
      <c r="E1706" s="130"/>
      <c r="P1706" s="99"/>
      <c r="Q1706" s="99"/>
      <c r="R1706" s="99"/>
    </row>
    <row r="1707" spans="5:18" s="65" customFormat="1">
      <c r="E1707" s="130"/>
      <c r="P1707" s="99"/>
      <c r="Q1707" s="99"/>
      <c r="R1707" s="99"/>
    </row>
    <row r="1708" spans="5:18" s="65" customFormat="1">
      <c r="E1708" s="130"/>
      <c r="P1708" s="99"/>
      <c r="Q1708" s="99"/>
      <c r="R1708" s="99"/>
    </row>
    <row r="1709" spans="5:18" s="65" customFormat="1">
      <c r="E1709" s="130"/>
      <c r="P1709" s="99"/>
      <c r="Q1709" s="99"/>
      <c r="R1709" s="99"/>
    </row>
    <row r="1710" spans="5:18" s="65" customFormat="1">
      <c r="E1710" s="130"/>
      <c r="P1710" s="99"/>
      <c r="Q1710" s="99"/>
      <c r="R1710" s="99"/>
    </row>
    <row r="1711" spans="5:18" s="65" customFormat="1">
      <c r="E1711" s="130"/>
      <c r="P1711" s="99"/>
      <c r="Q1711" s="99"/>
      <c r="R1711" s="99"/>
    </row>
    <row r="1712" spans="5:18" s="65" customFormat="1">
      <c r="E1712" s="130"/>
      <c r="P1712" s="99"/>
      <c r="Q1712" s="99"/>
      <c r="R1712" s="99"/>
    </row>
    <row r="1713" spans="5:18" s="65" customFormat="1">
      <c r="E1713" s="130"/>
      <c r="P1713" s="99"/>
      <c r="Q1713" s="99"/>
      <c r="R1713" s="99"/>
    </row>
    <row r="1714" spans="5:18" s="65" customFormat="1">
      <c r="E1714" s="130"/>
      <c r="P1714" s="99"/>
      <c r="Q1714" s="99"/>
      <c r="R1714" s="99"/>
    </row>
    <row r="1715" spans="5:18" s="65" customFormat="1">
      <c r="E1715" s="130"/>
      <c r="P1715" s="99"/>
      <c r="Q1715" s="99"/>
      <c r="R1715" s="99"/>
    </row>
    <row r="1716" spans="5:18" s="65" customFormat="1">
      <c r="E1716" s="130"/>
      <c r="P1716" s="99"/>
      <c r="Q1716" s="99"/>
      <c r="R1716" s="99"/>
    </row>
    <row r="1717" spans="5:18" s="65" customFormat="1">
      <c r="E1717" s="130"/>
      <c r="P1717" s="99"/>
      <c r="Q1717" s="99"/>
      <c r="R1717" s="99"/>
    </row>
    <row r="1718" spans="5:18" s="65" customFormat="1">
      <c r="E1718" s="130"/>
      <c r="P1718" s="99"/>
      <c r="Q1718" s="99"/>
      <c r="R1718" s="99"/>
    </row>
    <row r="1719" spans="5:18" s="65" customFormat="1">
      <c r="E1719" s="130"/>
      <c r="P1719" s="99"/>
      <c r="Q1719" s="99"/>
      <c r="R1719" s="99"/>
    </row>
    <row r="1720" spans="5:18" s="65" customFormat="1">
      <c r="E1720" s="130"/>
      <c r="P1720" s="99"/>
      <c r="Q1720" s="99"/>
      <c r="R1720" s="99"/>
    </row>
    <row r="1721" spans="5:18" s="65" customFormat="1">
      <c r="E1721" s="130"/>
      <c r="P1721" s="99"/>
      <c r="Q1721" s="99"/>
      <c r="R1721" s="99"/>
    </row>
    <row r="1722" spans="5:18" s="65" customFormat="1">
      <c r="E1722" s="130"/>
      <c r="P1722" s="99"/>
      <c r="Q1722" s="99"/>
      <c r="R1722" s="99"/>
    </row>
    <row r="1723" spans="5:18" s="65" customFormat="1">
      <c r="E1723" s="130"/>
      <c r="P1723" s="99"/>
      <c r="Q1723" s="99"/>
      <c r="R1723" s="99"/>
    </row>
    <row r="1724" spans="5:18" s="65" customFormat="1">
      <c r="E1724" s="130"/>
      <c r="P1724" s="99"/>
      <c r="Q1724" s="99"/>
      <c r="R1724" s="99"/>
    </row>
    <row r="1725" spans="5:18" s="65" customFormat="1">
      <c r="E1725" s="130"/>
      <c r="P1725" s="99"/>
      <c r="Q1725" s="99"/>
      <c r="R1725" s="99"/>
    </row>
    <row r="1726" spans="5:18" s="65" customFormat="1">
      <c r="E1726" s="130"/>
      <c r="P1726" s="99"/>
      <c r="Q1726" s="99"/>
      <c r="R1726" s="99"/>
    </row>
    <row r="1727" spans="5:18" s="65" customFormat="1">
      <c r="E1727" s="130"/>
      <c r="P1727" s="99"/>
      <c r="Q1727" s="99"/>
      <c r="R1727" s="99"/>
    </row>
    <row r="1728" spans="5:18" s="65" customFormat="1">
      <c r="E1728" s="130"/>
      <c r="P1728" s="99"/>
      <c r="Q1728" s="99"/>
      <c r="R1728" s="99"/>
    </row>
    <row r="1729" spans="5:18" s="65" customFormat="1">
      <c r="E1729" s="130"/>
      <c r="P1729" s="99"/>
      <c r="Q1729" s="99"/>
      <c r="R1729" s="99"/>
    </row>
    <row r="1730" spans="5:18" s="65" customFormat="1">
      <c r="E1730" s="130"/>
      <c r="P1730" s="99"/>
      <c r="Q1730" s="99"/>
      <c r="R1730" s="99"/>
    </row>
    <row r="1731" spans="5:18" s="65" customFormat="1">
      <c r="E1731" s="130"/>
      <c r="P1731" s="99"/>
      <c r="Q1731" s="99"/>
      <c r="R1731" s="99"/>
    </row>
    <row r="1732" spans="5:18" s="65" customFormat="1">
      <c r="E1732" s="130"/>
      <c r="P1732" s="99"/>
      <c r="Q1732" s="99"/>
      <c r="R1732" s="99"/>
    </row>
    <row r="1733" spans="5:18" s="65" customFormat="1">
      <c r="E1733" s="130"/>
      <c r="P1733" s="99"/>
      <c r="Q1733" s="99"/>
      <c r="R1733" s="99"/>
    </row>
    <row r="1734" spans="5:18" s="65" customFormat="1">
      <c r="E1734" s="130"/>
      <c r="P1734" s="99"/>
      <c r="Q1734" s="99"/>
      <c r="R1734" s="99"/>
    </row>
    <row r="1735" spans="5:18" s="65" customFormat="1">
      <c r="E1735" s="130"/>
      <c r="P1735" s="99"/>
      <c r="Q1735" s="99"/>
      <c r="R1735" s="99"/>
    </row>
    <row r="1736" spans="5:18" s="65" customFormat="1">
      <c r="E1736" s="130"/>
      <c r="P1736" s="99"/>
      <c r="Q1736" s="99"/>
      <c r="R1736" s="99"/>
    </row>
    <row r="1737" spans="5:18" s="65" customFormat="1">
      <c r="E1737" s="130"/>
      <c r="P1737" s="99"/>
      <c r="Q1737" s="99"/>
      <c r="R1737" s="99"/>
    </row>
    <row r="1738" spans="5:18" s="65" customFormat="1">
      <c r="E1738" s="130"/>
      <c r="P1738" s="99"/>
      <c r="Q1738" s="99"/>
      <c r="R1738" s="99"/>
    </row>
    <row r="1739" spans="5:18" s="65" customFormat="1">
      <c r="E1739" s="130"/>
      <c r="P1739" s="99"/>
      <c r="Q1739" s="99"/>
      <c r="R1739" s="99"/>
    </row>
    <row r="1740" spans="5:18" s="65" customFormat="1">
      <c r="E1740" s="130"/>
      <c r="P1740" s="99"/>
      <c r="Q1740" s="99"/>
      <c r="R1740" s="99"/>
    </row>
    <row r="1741" spans="5:18" s="65" customFormat="1">
      <c r="E1741" s="130"/>
      <c r="P1741" s="99"/>
      <c r="Q1741" s="99"/>
      <c r="R1741" s="99"/>
    </row>
    <row r="1742" spans="5:18" s="65" customFormat="1">
      <c r="E1742" s="130"/>
      <c r="P1742" s="99"/>
      <c r="Q1742" s="99"/>
      <c r="R1742" s="99"/>
    </row>
    <row r="1743" spans="5:18" s="65" customFormat="1">
      <c r="E1743" s="130"/>
      <c r="P1743" s="99"/>
      <c r="Q1743" s="99"/>
      <c r="R1743" s="99"/>
    </row>
    <row r="1744" spans="5:18" s="65" customFormat="1">
      <c r="E1744" s="130"/>
      <c r="P1744" s="99"/>
      <c r="Q1744" s="99"/>
      <c r="R1744" s="99"/>
    </row>
    <row r="1745" spans="5:18" s="65" customFormat="1">
      <c r="E1745" s="130"/>
      <c r="P1745" s="99"/>
      <c r="Q1745" s="99"/>
      <c r="R1745" s="99"/>
    </row>
    <row r="1746" spans="5:18" s="65" customFormat="1">
      <c r="E1746" s="130"/>
      <c r="P1746" s="99"/>
      <c r="Q1746" s="99"/>
      <c r="R1746" s="99"/>
    </row>
    <row r="1747" spans="5:18" s="65" customFormat="1">
      <c r="E1747" s="130"/>
      <c r="P1747" s="99"/>
      <c r="Q1747" s="99"/>
      <c r="R1747" s="99"/>
    </row>
    <row r="1748" spans="5:18" s="65" customFormat="1">
      <c r="E1748" s="130"/>
      <c r="P1748" s="99"/>
      <c r="Q1748" s="99"/>
      <c r="R1748" s="99"/>
    </row>
    <row r="1749" spans="5:18" s="65" customFormat="1">
      <c r="E1749" s="130"/>
      <c r="P1749" s="99"/>
      <c r="Q1749" s="99"/>
      <c r="R1749" s="99"/>
    </row>
    <row r="1750" spans="5:18" s="65" customFormat="1">
      <c r="E1750" s="130"/>
      <c r="P1750" s="99"/>
      <c r="Q1750" s="99"/>
      <c r="R1750" s="99"/>
    </row>
    <row r="1751" spans="5:18" s="65" customFormat="1">
      <c r="E1751" s="130"/>
      <c r="P1751" s="99"/>
      <c r="Q1751" s="99"/>
      <c r="R1751" s="99"/>
    </row>
    <row r="1752" spans="5:18" s="65" customFormat="1">
      <c r="E1752" s="130"/>
      <c r="P1752" s="99"/>
      <c r="Q1752" s="99"/>
      <c r="R1752" s="99"/>
    </row>
    <row r="1753" spans="5:18" s="65" customFormat="1">
      <c r="E1753" s="130"/>
      <c r="P1753" s="99"/>
      <c r="Q1753" s="99"/>
      <c r="R1753" s="99"/>
    </row>
    <row r="1754" spans="5:18" s="65" customFormat="1">
      <c r="E1754" s="130"/>
      <c r="P1754" s="99"/>
      <c r="Q1754" s="99"/>
      <c r="R1754" s="99"/>
    </row>
    <row r="1755" spans="5:18" s="65" customFormat="1">
      <c r="E1755" s="130"/>
      <c r="P1755" s="99"/>
      <c r="Q1755" s="99"/>
      <c r="R1755" s="99"/>
    </row>
    <row r="1756" spans="5:18" s="65" customFormat="1">
      <c r="E1756" s="130"/>
      <c r="P1756" s="99"/>
      <c r="Q1756" s="99"/>
      <c r="R1756" s="99"/>
    </row>
    <row r="1757" spans="5:18" s="65" customFormat="1">
      <c r="E1757" s="130"/>
      <c r="P1757" s="99"/>
      <c r="Q1757" s="99"/>
      <c r="R1757" s="99"/>
    </row>
    <row r="1758" spans="5:18" s="65" customFormat="1">
      <c r="E1758" s="130"/>
      <c r="P1758" s="99"/>
      <c r="Q1758" s="99"/>
      <c r="R1758" s="99"/>
    </row>
    <row r="1759" spans="5:18" s="65" customFormat="1">
      <c r="E1759" s="130"/>
      <c r="P1759" s="99"/>
      <c r="Q1759" s="99"/>
      <c r="R1759" s="99"/>
    </row>
    <row r="1760" spans="5:18" s="65" customFormat="1">
      <c r="E1760" s="130"/>
      <c r="P1760" s="99"/>
      <c r="Q1760" s="99"/>
      <c r="R1760" s="99"/>
    </row>
    <row r="1761" spans="5:18" s="65" customFormat="1">
      <c r="E1761" s="130"/>
      <c r="P1761" s="99"/>
      <c r="Q1761" s="99"/>
      <c r="R1761" s="99"/>
    </row>
    <row r="1762" spans="5:18" s="65" customFormat="1">
      <c r="E1762" s="130"/>
      <c r="P1762" s="99"/>
      <c r="Q1762" s="99"/>
      <c r="R1762" s="99"/>
    </row>
    <row r="1763" spans="5:18" s="65" customFormat="1">
      <c r="E1763" s="130"/>
      <c r="P1763" s="99"/>
      <c r="Q1763" s="99"/>
      <c r="R1763" s="99"/>
    </row>
    <row r="1764" spans="5:18" s="65" customFormat="1">
      <c r="E1764" s="130"/>
      <c r="P1764" s="99"/>
      <c r="Q1764" s="99"/>
      <c r="R1764" s="99"/>
    </row>
    <row r="1765" spans="5:18" s="65" customFormat="1">
      <c r="E1765" s="130"/>
      <c r="P1765" s="99"/>
      <c r="Q1765" s="99"/>
      <c r="R1765" s="99"/>
    </row>
    <row r="1766" spans="5:18" s="65" customFormat="1">
      <c r="E1766" s="130"/>
      <c r="P1766" s="99"/>
      <c r="Q1766" s="99"/>
      <c r="R1766" s="99"/>
    </row>
    <row r="1767" spans="5:18" s="65" customFormat="1">
      <c r="E1767" s="130"/>
      <c r="P1767" s="99"/>
      <c r="Q1767" s="99"/>
      <c r="R1767" s="99"/>
    </row>
    <row r="1768" spans="5:18" s="65" customFormat="1">
      <c r="E1768" s="130"/>
      <c r="P1768" s="99"/>
      <c r="Q1768" s="99"/>
      <c r="R1768" s="99"/>
    </row>
    <row r="1769" spans="5:18" s="65" customFormat="1">
      <c r="E1769" s="130"/>
      <c r="P1769" s="99"/>
      <c r="Q1769" s="99"/>
      <c r="R1769" s="99"/>
    </row>
    <row r="1770" spans="5:18" s="65" customFormat="1">
      <c r="E1770" s="130"/>
      <c r="P1770" s="99"/>
      <c r="Q1770" s="99"/>
      <c r="R1770" s="99"/>
    </row>
    <row r="1771" spans="5:18" s="65" customFormat="1">
      <c r="E1771" s="130"/>
      <c r="P1771" s="99"/>
      <c r="Q1771" s="99"/>
      <c r="R1771" s="99"/>
    </row>
    <row r="1772" spans="5:18" s="65" customFormat="1">
      <c r="E1772" s="130"/>
      <c r="P1772" s="99"/>
      <c r="Q1772" s="99"/>
      <c r="R1772" s="99"/>
    </row>
    <row r="1773" spans="5:18" s="65" customFormat="1">
      <c r="E1773" s="130"/>
      <c r="P1773" s="99"/>
      <c r="Q1773" s="99"/>
      <c r="R1773" s="99"/>
    </row>
    <row r="1774" spans="5:18" s="65" customFormat="1">
      <c r="E1774" s="130"/>
      <c r="P1774" s="99"/>
      <c r="Q1774" s="99"/>
      <c r="R1774" s="99"/>
    </row>
    <row r="1775" spans="5:18" s="65" customFormat="1">
      <c r="E1775" s="130"/>
      <c r="P1775" s="99"/>
      <c r="Q1775" s="99"/>
      <c r="R1775" s="99"/>
    </row>
    <row r="1776" spans="5:18" s="65" customFormat="1">
      <c r="E1776" s="130"/>
      <c r="P1776" s="99"/>
      <c r="Q1776" s="99"/>
      <c r="R1776" s="99"/>
    </row>
    <row r="1777" spans="5:18" s="65" customFormat="1">
      <c r="E1777" s="130"/>
      <c r="P1777" s="99"/>
      <c r="Q1777" s="99"/>
      <c r="R1777" s="99"/>
    </row>
    <row r="1778" spans="5:18" s="65" customFormat="1">
      <c r="E1778" s="130"/>
      <c r="P1778" s="99"/>
      <c r="Q1778" s="99"/>
      <c r="R1778" s="99"/>
    </row>
    <row r="1779" spans="5:18" s="65" customFormat="1">
      <c r="E1779" s="130"/>
      <c r="P1779" s="99"/>
      <c r="Q1779" s="99"/>
      <c r="R1779" s="99"/>
    </row>
    <row r="1780" spans="5:18" s="65" customFormat="1">
      <c r="E1780" s="130"/>
      <c r="P1780" s="99"/>
      <c r="Q1780" s="99"/>
      <c r="R1780" s="99"/>
    </row>
    <row r="1781" spans="5:18" s="65" customFormat="1">
      <c r="E1781" s="130"/>
      <c r="P1781" s="99"/>
      <c r="Q1781" s="99"/>
      <c r="R1781" s="99"/>
    </row>
    <row r="1782" spans="5:18" s="65" customFormat="1">
      <c r="E1782" s="130"/>
      <c r="P1782" s="99"/>
      <c r="Q1782" s="99"/>
      <c r="R1782" s="99"/>
    </row>
    <row r="1783" spans="5:18" s="65" customFormat="1">
      <c r="E1783" s="130"/>
      <c r="P1783" s="99"/>
      <c r="Q1783" s="99"/>
      <c r="R1783" s="99"/>
    </row>
    <row r="1784" spans="5:18" s="65" customFormat="1">
      <c r="E1784" s="130"/>
      <c r="P1784" s="99"/>
      <c r="Q1784" s="99"/>
      <c r="R1784" s="99"/>
    </row>
    <row r="1785" spans="5:18" s="65" customFormat="1">
      <c r="E1785" s="130"/>
      <c r="P1785" s="99"/>
      <c r="Q1785" s="99"/>
      <c r="R1785" s="99"/>
    </row>
    <row r="1786" spans="5:18" s="65" customFormat="1">
      <c r="E1786" s="130"/>
      <c r="P1786" s="99"/>
      <c r="Q1786" s="99"/>
      <c r="R1786" s="99"/>
    </row>
    <row r="1787" spans="5:18" s="65" customFormat="1">
      <c r="E1787" s="130"/>
      <c r="P1787" s="99"/>
      <c r="Q1787" s="99"/>
      <c r="R1787" s="99"/>
    </row>
    <row r="1788" spans="5:18" s="65" customFormat="1">
      <c r="E1788" s="130"/>
      <c r="P1788" s="99"/>
      <c r="Q1788" s="99"/>
      <c r="R1788" s="99"/>
    </row>
    <row r="1789" spans="5:18" s="65" customFormat="1">
      <c r="E1789" s="130"/>
      <c r="P1789" s="99"/>
      <c r="Q1789" s="99"/>
      <c r="R1789" s="99"/>
    </row>
    <row r="1790" spans="5:18" s="65" customFormat="1">
      <c r="E1790" s="130"/>
      <c r="P1790" s="99"/>
      <c r="Q1790" s="99"/>
      <c r="R1790" s="99"/>
    </row>
    <row r="1791" spans="5:18" s="65" customFormat="1">
      <c r="E1791" s="130"/>
      <c r="P1791" s="99"/>
      <c r="Q1791" s="99"/>
      <c r="R1791" s="99"/>
    </row>
    <row r="1792" spans="5:18" s="65" customFormat="1">
      <c r="E1792" s="130"/>
      <c r="P1792" s="99"/>
      <c r="Q1792" s="99"/>
      <c r="R1792" s="99"/>
    </row>
    <row r="1793" spans="5:18" s="65" customFormat="1">
      <c r="E1793" s="130"/>
      <c r="P1793" s="99"/>
      <c r="Q1793" s="99"/>
      <c r="R1793" s="99"/>
    </row>
    <row r="1794" spans="5:18" s="65" customFormat="1">
      <c r="E1794" s="130"/>
      <c r="P1794" s="99"/>
      <c r="Q1794" s="99"/>
      <c r="R1794" s="99"/>
    </row>
    <row r="1795" spans="5:18" s="65" customFormat="1">
      <c r="E1795" s="130"/>
      <c r="P1795" s="99"/>
      <c r="Q1795" s="99"/>
      <c r="R1795" s="99"/>
    </row>
    <row r="1796" spans="5:18" s="65" customFormat="1">
      <c r="E1796" s="130"/>
      <c r="P1796" s="99"/>
      <c r="Q1796" s="99"/>
      <c r="R1796" s="99"/>
    </row>
    <row r="1797" spans="5:18" s="65" customFormat="1">
      <c r="E1797" s="130"/>
      <c r="P1797" s="99"/>
      <c r="Q1797" s="99"/>
      <c r="R1797" s="99"/>
    </row>
    <row r="1798" spans="5:18" s="65" customFormat="1">
      <c r="E1798" s="130"/>
      <c r="P1798" s="99"/>
      <c r="Q1798" s="99"/>
      <c r="R1798" s="99"/>
    </row>
    <row r="1799" spans="5:18" s="65" customFormat="1">
      <c r="E1799" s="130"/>
      <c r="P1799" s="99"/>
      <c r="Q1799" s="99"/>
      <c r="R1799" s="99"/>
    </row>
    <row r="1800" spans="5:18" s="65" customFormat="1">
      <c r="E1800" s="130"/>
      <c r="P1800" s="99"/>
      <c r="Q1800" s="99"/>
      <c r="R1800" s="99"/>
    </row>
    <row r="1801" spans="5:18" s="65" customFormat="1">
      <c r="E1801" s="130"/>
      <c r="P1801" s="99"/>
      <c r="Q1801" s="99"/>
      <c r="R1801" s="99"/>
    </row>
    <row r="1802" spans="5:18" s="65" customFormat="1">
      <c r="E1802" s="130"/>
      <c r="P1802" s="99"/>
      <c r="Q1802" s="99"/>
      <c r="R1802" s="99"/>
    </row>
    <row r="1803" spans="5:18" s="65" customFormat="1">
      <c r="E1803" s="130"/>
      <c r="P1803" s="99"/>
      <c r="Q1803" s="99"/>
      <c r="R1803" s="99"/>
    </row>
    <row r="1804" spans="5:18" s="65" customFormat="1">
      <c r="E1804" s="130"/>
      <c r="P1804" s="99"/>
      <c r="Q1804" s="99"/>
      <c r="R1804" s="99"/>
    </row>
    <row r="1805" spans="5:18" s="65" customFormat="1">
      <c r="E1805" s="130"/>
      <c r="P1805" s="99"/>
      <c r="Q1805" s="99"/>
      <c r="R1805" s="99"/>
    </row>
    <row r="1806" spans="5:18" s="65" customFormat="1">
      <c r="E1806" s="130"/>
      <c r="P1806" s="99"/>
      <c r="Q1806" s="99"/>
      <c r="R1806" s="99"/>
    </row>
    <row r="1807" spans="5:18" s="65" customFormat="1">
      <c r="E1807" s="130"/>
      <c r="P1807" s="99"/>
      <c r="Q1807" s="99"/>
      <c r="R1807" s="99"/>
    </row>
    <row r="1808" spans="5:18" s="65" customFormat="1">
      <c r="E1808" s="130"/>
      <c r="P1808" s="99"/>
      <c r="Q1808" s="99"/>
      <c r="R1808" s="99"/>
    </row>
    <row r="1809" spans="5:18" s="65" customFormat="1">
      <c r="E1809" s="130"/>
      <c r="P1809" s="99"/>
      <c r="Q1809" s="99"/>
      <c r="R1809" s="99"/>
    </row>
    <row r="1810" spans="5:18" s="65" customFormat="1">
      <c r="E1810" s="130"/>
      <c r="P1810" s="99"/>
      <c r="Q1810" s="99"/>
      <c r="R1810" s="99"/>
    </row>
    <row r="1811" spans="5:18" s="65" customFormat="1">
      <c r="E1811" s="130"/>
      <c r="P1811" s="99"/>
      <c r="Q1811" s="99"/>
      <c r="R1811" s="99"/>
    </row>
    <row r="1812" spans="5:18" s="65" customFormat="1">
      <c r="E1812" s="130"/>
      <c r="P1812" s="99"/>
      <c r="Q1812" s="99"/>
      <c r="R1812" s="99"/>
    </row>
    <row r="1813" spans="5:18" s="65" customFormat="1">
      <c r="E1813" s="130"/>
      <c r="P1813" s="99"/>
      <c r="Q1813" s="99"/>
      <c r="R1813" s="99"/>
    </row>
    <row r="1814" spans="5:18" s="65" customFormat="1">
      <c r="E1814" s="130"/>
      <c r="P1814" s="99"/>
      <c r="Q1814" s="99"/>
      <c r="R1814" s="99"/>
    </row>
    <row r="1815" spans="5:18" s="65" customFormat="1">
      <c r="E1815" s="130"/>
      <c r="P1815" s="99"/>
      <c r="Q1815" s="99"/>
      <c r="R1815" s="99"/>
    </row>
    <row r="1816" spans="5:18" s="65" customFormat="1">
      <c r="E1816" s="130"/>
      <c r="P1816" s="99"/>
      <c r="Q1816" s="99"/>
      <c r="R1816" s="99"/>
    </row>
    <row r="1817" spans="5:18" s="65" customFormat="1">
      <c r="E1817" s="130"/>
      <c r="P1817" s="99"/>
      <c r="Q1817" s="99"/>
      <c r="R1817" s="99"/>
    </row>
    <row r="1818" spans="5:18" s="65" customFormat="1">
      <c r="E1818" s="130"/>
      <c r="P1818" s="99"/>
      <c r="Q1818" s="99"/>
      <c r="R1818" s="99"/>
    </row>
    <row r="1819" spans="5:18" s="65" customFormat="1">
      <c r="E1819" s="130"/>
      <c r="P1819" s="99"/>
      <c r="Q1819" s="99"/>
      <c r="R1819" s="99"/>
    </row>
    <row r="1820" spans="5:18" s="65" customFormat="1">
      <c r="E1820" s="130"/>
      <c r="P1820" s="99"/>
      <c r="Q1820" s="99"/>
      <c r="R1820" s="99"/>
    </row>
    <row r="1821" spans="5:18" s="65" customFormat="1">
      <c r="E1821" s="130"/>
      <c r="P1821" s="99"/>
      <c r="Q1821" s="99"/>
      <c r="R1821" s="99"/>
    </row>
    <row r="1822" spans="5:18" s="65" customFormat="1">
      <c r="E1822" s="130"/>
      <c r="P1822" s="99"/>
      <c r="Q1822" s="99"/>
      <c r="R1822" s="99"/>
    </row>
    <row r="1823" spans="5:18" s="65" customFormat="1">
      <c r="E1823" s="130"/>
      <c r="P1823" s="99"/>
      <c r="Q1823" s="99"/>
      <c r="R1823" s="99"/>
    </row>
    <row r="1824" spans="5:18" s="65" customFormat="1">
      <c r="E1824" s="130"/>
      <c r="P1824" s="99"/>
      <c r="Q1824" s="99"/>
      <c r="R1824" s="99"/>
    </row>
    <row r="1825" spans="5:18" s="65" customFormat="1">
      <c r="E1825" s="130"/>
      <c r="P1825" s="99"/>
      <c r="Q1825" s="99"/>
      <c r="R1825" s="99"/>
    </row>
    <row r="1826" spans="5:18" s="65" customFormat="1">
      <c r="E1826" s="130"/>
      <c r="P1826" s="99"/>
      <c r="Q1826" s="99"/>
      <c r="R1826" s="99"/>
    </row>
    <row r="1827" spans="5:18" s="65" customFormat="1">
      <c r="E1827" s="130"/>
      <c r="P1827" s="99"/>
      <c r="Q1827" s="99"/>
      <c r="R1827" s="99"/>
    </row>
    <row r="1828" spans="5:18" s="65" customFormat="1">
      <c r="E1828" s="130"/>
      <c r="P1828" s="99"/>
      <c r="Q1828" s="99"/>
      <c r="R1828" s="99"/>
    </row>
    <row r="1829" spans="5:18" s="65" customFormat="1">
      <c r="E1829" s="130"/>
      <c r="P1829" s="99"/>
      <c r="Q1829" s="99"/>
      <c r="R1829" s="99"/>
    </row>
    <row r="1830" spans="5:18" s="65" customFormat="1">
      <c r="E1830" s="130"/>
      <c r="P1830" s="99"/>
      <c r="Q1830" s="99"/>
      <c r="R1830" s="99"/>
    </row>
    <row r="1831" spans="5:18" s="65" customFormat="1">
      <c r="E1831" s="130"/>
      <c r="P1831" s="99"/>
      <c r="Q1831" s="99"/>
      <c r="R1831" s="99"/>
    </row>
    <row r="1832" spans="5:18" s="65" customFormat="1">
      <c r="E1832" s="130"/>
      <c r="P1832" s="99"/>
      <c r="Q1832" s="99"/>
      <c r="R1832" s="99"/>
    </row>
    <row r="1833" spans="5:18" s="65" customFormat="1">
      <c r="E1833" s="130"/>
      <c r="P1833" s="99"/>
      <c r="Q1833" s="99"/>
      <c r="R1833" s="99"/>
    </row>
    <row r="1834" spans="5:18" s="65" customFormat="1">
      <c r="E1834" s="130"/>
      <c r="P1834" s="99"/>
      <c r="Q1834" s="99"/>
      <c r="R1834" s="99"/>
    </row>
    <row r="1835" spans="5:18" s="65" customFormat="1">
      <c r="E1835" s="130"/>
      <c r="P1835" s="99"/>
      <c r="Q1835" s="99"/>
      <c r="R1835" s="99"/>
    </row>
    <row r="1836" spans="5:18" s="65" customFormat="1">
      <c r="E1836" s="130"/>
      <c r="P1836" s="99"/>
      <c r="Q1836" s="99"/>
      <c r="R1836" s="99"/>
    </row>
    <row r="1837" spans="5:18" s="65" customFormat="1">
      <c r="E1837" s="130"/>
      <c r="P1837" s="99"/>
      <c r="Q1837" s="99"/>
      <c r="R1837" s="99"/>
    </row>
    <row r="1838" spans="5:18" s="65" customFormat="1">
      <c r="E1838" s="130"/>
      <c r="P1838" s="99"/>
      <c r="Q1838" s="99"/>
      <c r="R1838" s="99"/>
    </row>
    <row r="1839" spans="5:18" s="65" customFormat="1">
      <c r="E1839" s="130"/>
      <c r="P1839" s="99"/>
      <c r="Q1839" s="99"/>
      <c r="R1839" s="99"/>
    </row>
    <row r="1840" spans="5:18" s="65" customFormat="1">
      <c r="E1840" s="130"/>
      <c r="P1840" s="99"/>
      <c r="Q1840" s="99"/>
      <c r="R1840" s="99"/>
    </row>
    <row r="1841" spans="5:18" s="65" customFormat="1">
      <c r="E1841" s="130"/>
      <c r="P1841" s="99"/>
      <c r="Q1841" s="99"/>
      <c r="R1841" s="99"/>
    </row>
    <row r="1842" spans="5:18" s="65" customFormat="1">
      <c r="E1842" s="130"/>
      <c r="P1842" s="99"/>
      <c r="Q1842" s="99"/>
      <c r="R1842" s="99"/>
    </row>
    <row r="1843" spans="5:18" s="65" customFormat="1">
      <c r="E1843" s="130"/>
      <c r="P1843" s="99"/>
      <c r="Q1843" s="99"/>
      <c r="R1843" s="99"/>
    </row>
    <row r="1844" spans="5:18" s="65" customFormat="1">
      <c r="E1844" s="130"/>
      <c r="P1844" s="99"/>
      <c r="Q1844" s="99"/>
      <c r="R1844" s="99"/>
    </row>
    <row r="1845" spans="5:18" s="65" customFormat="1">
      <c r="E1845" s="130"/>
      <c r="P1845" s="99"/>
      <c r="Q1845" s="99"/>
      <c r="R1845" s="99"/>
    </row>
    <row r="1846" spans="5:18" s="65" customFormat="1">
      <c r="E1846" s="130"/>
      <c r="P1846" s="99"/>
      <c r="Q1846" s="99"/>
      <c r="R1846" s="99"/>
    </row>
    <row r="1847" spans="5:18" s="65" customFormat="1">
      <c r="E1847" s="130"/>
      <c r="P1847" s="99"/>
      <c r="Q1847" s="99"/>
      <c r="R1847" s="99"/>
    </row>
    <row r="1848" spans="5:18" s="65" customFormat="1">
      <c r="E1848" s="130"/>
      <c r="P1848" s="99"/>
      <c r="Q1848" s="99"/>
      <c r="R1848" s="99"/>
    </row>
    <row r="1849" spans="5:18" s="65" customFormat="1">
      <c r="E1849" s="130"/>
      <c r="P1849" s="99"/>
      <c r="Q1849" s="99"/>
      <c r="R1849" s="99"/>
    </row>
    <row r="1850" spans="5:18" s="65" customFormat="1">
      <c r="E1850" s="130"/>
      <c r="P1850" s="99"/>
      <c r="Q1850" s="99"/>
      <c r="R1850" s="99"/>
    </row>
    <row r="1851" spans="5:18" s="65" customFormat="1">
      <c r="E1851" s="130"/>
      <c r="P1851" s="99"/>
      <c r="Q1851" s="99"/>
      <c r="R1851" s="99"/>
    </row>
    <row r="1852" spans="5:18" s="65" customFormat="1">
      <c r="E1852" s="130"/>
      <c r="P1852" s="99"/>
      <c r="Q1852" s="99"/>
      <c r="R1852" s="99"/>
    </row>
    <row r="1853" spans="5:18" s="65" customFormat="1">
      <c r="E1853" s="130"/>
      <c r="P1853" s="99"/>
      <c r="Q1853" s="99"/>
      <c r="R1853" s="99"/>
    </row>
    <row r="1854" spans="5:18" s="65" customFormat="1">
      <c r="E1854" s="130"/>
      <c r="P1854" s="99"/>
      <c r="Q1854" s="99"/>
      <c r="R1854" s="99"/>
    </row>
    <row r="1855" spans="5:18" s="65" customFormat="1">
      <c r="E1855" s="130"/>
      <c r="P1855" s="99"/>
      <c r="Q1855" s="99"/>
      <c r="R1855" s="99"/>
    </row>
    <row r="1856" spans="5:18" s="65" customFormat="1">
      <c r="E1856" s="130"/>
      <c r="P1856" s="99"/>
      <c r="Q1856" s="99"/>
      <c r="R1856" s="99"/>
    </row>
    <row r="1857" spans="5:18" s="65" customFormat="1">
      <c r="E1857" s="130"/>
      <c r="P1857" s="99"/>
      <c r="Q1857" s="99"/>
      <c r="R1857" s="99"/>
    </row>
    <row r="1858" spans="5:18" s="65" customFormat="1">
      <c r="E1858" s="130"/>
      <c r="P1858" s="99"/>
      <c r="Q1858" s="99"/>
      <c r="R1858" s="99"/>
    </row>
    <row r="1859" spans="5:18" s="65" customFormat="1">
      <c r="E1859" s="130"/>
      <c r="P1859" s="99"/>
      <c r="Q1859" s="99"/>
      <c r="R1859" s="99"/>
    </row>
    <row r="1860" spans="5:18" s="65" customFormat="1">
      <c r="E1860" s="130"/>
      <c r="P1860" s="99"/>
      <c r="Q1860" s="99"/>
      <c r="R1860" s="99"/>
    </row>
    <row r="1861" spans="5:18" s="65" customFormat="1">
      <c r="E1861" s="130"/>
      <c r="P1861" s="99"/>
      <c r="Q1861" s="99"/>
      <c r="R1861" s="99"/>
    </row>
    <row r="1862" spans="5:18" s="65" customFormat="1">
      <c r="E1862" s="130"/>
      <c r="P1862" s="99"/>
      <c r="Q1862" s="99"/>
      <c r="R1862" s="99"/>
    </row>
    <row r="1863" spans="5:18" s="65" customFormat="1">
      <c r="E1863" s="130"/>
      <c r="P1863" s="99"/>
      <c r="Q1863" s="99"/>
      <c r="R1863" s="99"/>
    </row>
    <row r="1864" spans="5:18" s="65" customFormat="1">
      <c r="E1864" s="130"/>
      <c r="P1864" s="99"/>
      <c r="Q1864" s="99"/>
      <c r="R1864" s="99"/>
    </row>
    <row r="1865" spans="5:18" s="65" customFormat="1">
      <c r="E1865" s="130"/>
      <c r="P1865" s="99"/>
      <c r="Q1865" s="99"/>
      <c r="R1865" s="99"/>
    </row>
    <row r="1866" spans="5:18" s="65" customFormat="1">
      <c r="E1866" s="130"/>
      <c r="P1866" s="99"/>
      <c r="Q1866" s="99"/>
      <c r="R1866" s="99"/>
    </row>
    <row r="1867" spans="5:18" s="65" customFormat="1">
      <c r="E1867" s="130"/>
      <c r="P1867" s="99"/>
      <c r="Q1867" s="99"/>
      <c r="R1867" s="99"/>
    </row>
    <row r="1868" spans="5:18" s="65" customFormat="1">
      <c r="E1868" s="130"/>
      <c r="P1868" s="99"/>
      <c r="Q1868" s="99"/>
      <c r="R1868" s="99"/>
    </row>
    <row r="1869" spans="5:18" s="65" customFormat="1">
      <c r="E1869" s="130"/>
      <c r="P1869" s="99"/>
      <c r="Q1869" s="99"/>
      <c r="R1869" s="99"/>
    </row>
    <row r="1870" spans="5:18" s="65" customFormat="1">
      <c r="E1870" s="130"/>
      <c r="P1870" s="99"/>
      <c r="Q1870" s="99"/>
      <c r="R1870" s="99"/>
    </row>
    <row r="1871" spans="5:18" s="65" customFormat="1">
      <c r="E1871" s="130"/>
      <c r="P1871" s="99"/>
      <c r="Q1871" s="99"/>
      <c r="R1871" s="99"/>
    </row>
    <row r="1872" spans="5:18" s="65" customFormat="1">
      <c r="E1872" s="130"/>
      <c r="P1872" s="99"/>
      <c r="Q1872" s="99"/>
      <c r="R1872" s="99"/>
    </row>
    <row r="1873" spans="5:18" s="65" customFormat="1">
      <c r="E1873" s="130"/>
      <c r="P1873" s="99"/>
      <c r="Q1873" s="99"/>
      <c r="R1873" s="99"/>
    </row>
    <row r="1874" spans="5:18" s="65" customFormat="1">
      <c r="E1874" s="130"/>
      <c r="P1874" s="99"/>
      <c r="Q1874" s="99"/>
      <c r="R1874" s="99"/>
    </row>
    <row r="1875" spans="5:18" s="65" customFormat="1">
      <c r="E1875" s="130"/>
      <c r="P1875" s="99"/>
      <c r="Q1875" s="99"/>
      <c r="R1875" s="99"/>
    </row>
    <row r="1876" spans="5:18" s="65" customFormat="1">
      <c r="E1876" s="130"/>
      <c r="P1876" s="99"/>
      <c r="Q1876" s="99"/>
      <c r="R1876" s="99"/>
    </row>
    <row r="1877" spans="5:18" s="65" customFormat="1">
      <c r="E1877" s="130"/>
      <c r="P1877" s="99"/>
      <c r="Q1877" s="99"/>
      <c r="R1877" s="99"/>
    </row>
    <row r="1878" spans="5:18" s="65" customFormat="1">
      <c r="E1878" s="130"/>
      <c r="P1878" s="99"/>
      <c r="Q1878" s="99"/>
      <c r="R1878" s="99"/>
    </row>
    <row r="1879" spans="5:18" s="65" customFormat="1">
      <c r="E1879" s="130"/>
      <c r="P1879" s="99"/>
      <c r="Q1879" s="99"/>
      <c r="R1879" s="99"/>
    </row>
    <row r="1880" spans="5:18" s="65" customFormat="1">
      <c r="E1880" s="130"/>
      <c r="P1880" s="99"/>
      <c r="Q1880" s="99"/>
      <c r="R1880" s="99"/>
    </row>
    <row r="1881" spans="5:18" s="65" customFormat="1">
      <c r="E1881" s="130"/>
      <c r="P1881" s="99"/>
      <c r="Q1881" s="99"/>
      <c r="R1881" s="99"/>
    </row>
    <row r="1882" spans="5:18" s="65" customFormat="1">
      <c r="E1882" s="130"/>
      <c r="P1882" s="99"/>
      <c r="Q1882" s="99"/>
      <c r="R1882" s="99"/>
    </row>
    <row r="1883" spans="5:18" s="65" customFormat="1">
      <c r="E1883" s="130"/>
      <c r="P1883" s="99"/>
      <c r="Q1883" s="99"/>
      <c r="R1883" s="99"/>
    </row>
    <row r="1884" spans="5:18" s="65" customFormat="1">
      <c r="E1884" s="130"/>
      <c r="P1884" s="99"/>
      <c r="Q1884" s="99"/>
      <c r="R1884" s="99"/>
    </row>
    <row r="1885" spans="5:18" s="65" customFormat="1">
      <c r="E1885" s="130"/>
      <c r="P1885" s="99"/>
      <c r="Q1885" s="99"/>
      <c r="R1885" s="99"/>
    </row>
    <row r="1886" spans="5:18" s="65" customFormat="1">
      <c r="E1886" s="130"/>
      <c r="P1886" s="99"/>
      <c r="Q1886" s="99"/>
      <c r="R1886" s="99"/>
    </row>
    <row r="1887" spans="5:18" s="65" customFormat="1">
      <c r="E1887" s="130"/>
      <c r="P1887" s="99"/>
      <c r="Q1887" s="99"/>
      <c r="R1887" s="99"/>
    </row>
    <row r="1888" spans="5:18" s="65" customFormat="1">
      <c r="E1888" s="130"/>
      <c r="P1888" s="99"/>
      <c r="Q1888" s="99"/>
      <c r="R1888" s="99"/>
    </row>
    <row r="1889" spans="5:18" s="65" customFormat="1">
      <c r="E1889" s="130"/>
      <c r="P1889" s="99"/>
      <c r="Q1889" s="99"/>
      <c r="R1889" s="99"/>
    </row>
    <row r="1890" spans="5:18" s="65" customFormat="1">
      <c r="E1890" s="130"/>
      <c r="P1890" s="99"/>
      <c r="Q1890" s="99"/>
      <c r="R1890" s="99"/>
    </row>
    <row r="1891" spans="5:18" s="65" customFormat="1">
      <c r="E1891" s="130"/>
      <c r="P1891" s="99"/>
      <c r="Q1891" s="99"/>
      <c r="R1891" s="99"/>
    </row>
    <row r="1892" spans="5:18" s="65" customFormat="1">
      <c r="E1892" s="130"/>
      <c r="P1892" s="99"/>
      <c r="Q1892" s="99"/>
      <c r="R1892" s="99"/>
    </row>
    <row r="1893" spans="5:18" s="65" customFormat="1">
      <c r="E1893" s="130"/>
      <c r="P1893" s="99"/>
      <c r="Q1893" s="99"/>
      <c r="R1893" s="99"/>
    </row>
    <row r="1894" spans="5:18" s="65" customFormat="1">
      <c r="E1894" s="130"/>
      <c r="P1894" s="99"/>
      <c r="Q1894" s="99"/>
      <c r="R1894" s="99"/>
    </row>
    <row r="1895" spans="5:18" s="65" customFormat="1">
      <c r="E1895" s="130"/>
      <c r="P1895" s="99"/>
      <c r="Q1895" s="99"/>
      <c r="R1895" s="99"/>
    </row>
    <row r="1896" spans="5:18" s="65" customFormat="1">
      <c r="E1896" s="130"/>
      <c r="P1896" s="99"/>
      <c r="Q1896" s="99"/>
      <c r="R1896" s="99"/>
    </row>
    <row r="1897" spans="5:18" s="65" customFormat="1">
      <c r="E1897" s="130"/>
      <c r="P1897" s="99"/>
      <c r="Q1897" s="99"/>
      <c r="R1897" s="99"/>
    </row>
    <row r="1898" spans="5:18" s="65" customFormat="1">
      <c r="E1898" s="130"/>
      <c r="P1898" s="99"/>
      <c r="Q1898" s="99"/>
      <c r="R1898" s="99"/>
    </row>
    <row r="1899" spans="5:18" s="65" customFormat="1">
      <c r="E1899" s="130"/>
      <c r="P1899" s="99"/>
      <c r="Q1899" s="99"/>
      <c r="R1899" s="99"/>
    </row>
    <row r="1900" spans="5:18" s="65" customFormat="1">
      <c r="E1900" s="130"/>
      <c r="P1900" s="99"/>
      <c r="Q1900" s="99"/>
      <c r="R1900" s="99"/>
    </row>
    <row r="1901" spans="5:18" s="65" customFormat="1">
      <c r="E1901" s="130"/>
      <c r="P1901" s="99"/>
      <c r="Q1901" s="99"/>
      <c r="R1901" s="99"/>
    </row>
    <row r="1902" spans="5:18" s="65" customFormat="1">
      <c r="E1902" s="130"/>
      <c r="P1902" s="99"/>
      <c r="Q1902" s="99"/>
      <c r="R1902" s="99"/>
    </row>
    <row r="1903" spans="5:18" s="65" customFormat="1">
      <c r="E1903" s="130"/>
      <c r="P1903" s="99"/>
      <c r="Q1903" s="99"/>
      <c r="R1903" s="99"/>
    </row>
    <row r="1904" spans="5:18" s="65" customFormat="1">
      <c r="E1904" s="130"/>
      <c r="P1904" s="99"/>
      <c r="Q1904" s="99"/>
      <c r="R1904" s="99"/>
    </row>
    <row r="1905" spans="5:18" s="65" customFormat="1">
      <c r="E1905" s="130"/>
      <c r="P1905" s="99"/>
      <c r="Q1905" s="99"/>
      <c r="R1905" s="99"/>
    </row>
    <row r="1906" spans="5:18" s="65" customFormat="1">
      <c r="E1906" s="130"/>
      <c r="P1906" s="99"/>
      <c r="Q1906" s="99"/>
      <c r="R1906" s="99"/>
    </row>
    <row r="1907" spans="5:18" s="65" customFormat="1">
      <c r="E1907" s="130"/>
      <c r="P1907" s="99"/>
      <c r="Q1907" s="99"/>
      <c r="R1907" s="99"/>
    </row>
    <row r="1908" spans="5:18" s="65" customFormat="1">
      <c r="E1908" s="130"/>
      <c r="P1908" s="99"/>
      <c r="Q1908" s="99"/>
      <c r="R1908" s="99"/>
    </row>
    <row r="1909" spans="5:18" s="65" customFormat="1">
      <c r="E1909" s="130"/>
      <c r="P1909" s="99"/>
      <c r="Q1909" s="99"/>
      <c r="R1909" s="99"/>
    </row>
    <row r="1910" spans="5:18" s="65" customFormat="1">
      <c r="E1910" s="130"/>
      <c r="P1910" s="99"/>
      <c r="Q1910" s="99"/>
      <c r="R1910" s="99"/>
    </row>
    <row r="1911" spans="5:18" s="65" customFormat="1">
      <c r="E1911" s="130"/>
      <c r="P1911" s="99"/>
      <c r="Q1911" s="99"/>
      <c r="R1911" s="99"/>
    </row>
    <row r="1912" spans="5:18" s="65" customFormat="1">
      <c r="E1912" s="130"/>
      <c r="P1912" s="99"/>
      <c r="Q1912" s="99"/>
      <c r="R1912" s="99"/>
    </row>
    <row r="1913" spans="5:18" s="65" customFormat="1">
      <c r="E1913" s="130"/>
      <c r="P1913" s="99"/>
      <c r="Q1913" s="99"/>
      <c r="R1913" s="99"/>
    </row>
    <row r="1914" spans="5:18" s="65" customFormat="1">
      <c r="E1914" s="130"/>
      <c r="P1914" s="99"/>
      <c r="Q1914" s="99"/>
      <c r="R1914" s="99"/>
    </row>
    <row r="1915" spans="5:18" s="65" customFormat="1">
      <c r="E1915" s="130"/>
      <c r="P1915" s="99"/>
      <c r="Q1915" s="99"/>
      <c r="R1915" s="99"/>
    </row>
    <row r="1916" spans="5:18" s="65" customFormat="1">
      <c r="E1916" s="130"/>
      <c r="P1916" s="99"/>
      <c r="Q1916" s="99"/>
      <c r="R1916" s="99"/>
    </row>
    <row r="1917" spans="5:18" s="65" customFormat="1">
      <c r="E1917" s="130"/>
      <c r="P1917" s="99"/>
      <c r="Q1917" s="99"/>
      <c r="R1917" s="99"/>
    </row>
    <row r="1918" spans="5:18" s="65" customFormat="1">
      <c r="E1918" s="130"/>
      <c r="P1918" s="99"/>
      <c r="Q1918" s="99"/>
      <c r="R1918" s="99"/>
    </row>
    <row r="1919" spans="5:18" s="65" customFormat="1">
      <c r="E1919" s="130"/>
      <c r="P1919" s="99"/>
      <c r="Q1919" s="99"/>
      <c r="R1919" s="99"/>
    </row>
    <row r="1920" spans="5:18" s="65" customFormat="1">
      <c r="E1920" s="130"/>
      <c r="P1920" s="99"/>
      <c r="Q1920" s="99"/>
      <c r="R1920" s="99"/>
    </row>
    <row r="1921" spans="5:18" s="65" customFormat="1">
      <c r="E1921" s="130"/>
      <c r="P1921" s="99"/>
      <c r="Q1921" s="99"/>
      <c r="R1921" s="99"/>
    </row>
    <row r="1922" spans="5:18" s="65" customFormat="1">
      <c r="E1922" s="130"/>
      <c r="P1922" s="99"/>
      <c r="Q1922" s="99"/>
      <c r="R1922" s="99"/>
    </row>
    <row r="1923" spans="5:18" s="65" customFormat="1">
      <c r="E1923" s="130"/>
      <c r="P1923" s="99"/>
      <c r="Q1923" s="99"/>
      <c r="R1923" s="99"/>
    </row>
    <row r="1924" spans="5:18" s="65" customFormat="1">
      <c r="E1924" s="130"/>
      <c r="P1924" s="99"/>
      <c r="Q1924" s="99"/>
      <c r="R1924" s="99"/>
    </row>
    <row r="1925" spans="5:18" s="65" customFormat="1">
      <c r="E1925" s="130"/>
      <c r="P1925" s="99"/>
      <c r="Q1925" s="99"/>
      <c r="R1925" s="99"/>
    </row>
    <row r="1926" spans="5:18" s="65" customFormat="1">
      <c r="E1926" s="130"/>
      <c r="P1926" s="99"/>
      <c r="Q1926" s="99"/>
      <c r="R1926" s="99"/>
    </row>
    <row r="1927" spans="5:18" s="65" customFormat="1">
      <c r="E1927" s="130"/>
      <c r="P1927" s="99"/>
      <c r="Q1927" s="99"/>
      <c r="R1927" s="99"/>
    </row>
    <row r="1928" spans="5:18" s="65" customFormat="1">
      <c r="E1928" s="130"/>
      <c r="P1928" s="99"/>
      <c r="Q1928" s="99"/>
      <c r="R1928" s="99"/>
    </row>
    <row r="1929" spans="5:18" s="65" customFormat="1">
      <c r="E1929" s="130"/>
      <c r="P1929" s="99"/>
      <c r="Q1929" s="99"/>
      <c r="R1929" s="99"/>
    </row>
    <row r="1930" spans="5:18" s="65" customFormat="1">
      <c r="E1930" s="130"/>
      <c r="P1930" s="99"/>
      <c r="Q1930" s="99"/>
      <c r="R1930" s="99"/>
    </row>
    <row r="1931" spans="5:18" s="65" customFormat="1">
      <c r="E1931" s="130"/>
      <c r="P1931" s="99"/>
      <c r="Q1931" s="99"/>
      <c r="R1931" s="99"/>
    </row>
    <row r="1932" spans="5:18" s="65" customFormat="1">
      <c r="E1932" s="130"/>
      <c r="P1932" s="99"/>
      <c r="Q1932" s="99"/>
      <c r="R1932" s="99"/>
    </row>
    <row r="1933" spans="5:18" s="65" customFormat="1">
      <c r="E1933" s="130"/>
      <c r="P1933" s="99"/>
      <c r="Q1933" s="99"/>
      <c r="R1933" s="99"/>
    </row>
    <row r="1934" spans="5:18" s="65" customFormat="1">
      <c r="E1934" s="130"/>
      <c r="P1934" s="99"/>
      <c r="Q1934" s="99"/>
      <c r="R1934" s="99"/>
    </row>
    <row r="1935" spans="5:18" s="65" customFormat="1">
      <c r="E1935" s="130"/>
      <c r="P1935" s="99"/>
      <c r="Q1935" s="99"/>
      <c r="R1935" s="99"/>
    </row>
    <row r="1936" spans="5:18" s="65" customFormat="1">
      <c r="E1936" s="130"/>
      <c r="P1936" s="99"/>
      <c r="Q1936" s="99"/>
      <c r="R1936" s="99"/>
    </row>
    <row r="1937" spans="5:18" s="65" customFormat="1">
      <c r="E1937" s="130"/>
      <c r="P1937" s="99"/>
      <c r="Q1937" s="99"/>
      <c r="R1937" s="99"/>
    </row>
    <row r="1938" spans="5:18" s="65" customFormat="1">
      <c r="E1938" s="130"/>
      <c r="P1938" s="99"/>
      <c r="Q1938" s="99"/>
      <c r="R1938" s="99"/>
    </row>
    <row r="1939" spans="5:18" s="65" customFormat="1">
      <c r="E1939" s="130"/>
      <c r="P1939" s="99"/>
      <c r="Q1939" s="99"/>
      <c r="R1939" s="99"/>
    </row>
    <row r="1940" spans="5:18" s="65" customFormat="1">
      <c r="E1940" s="130"/>
      <c r="P1940" s="99"/>
      <c r="Q1940" s="99"/>
      <c r="R1940" s="99"/>
    </row>
    <row r="1941" spans="5:18" s="65" customFormat="1">
      <c r="E1941" s="130"/>
      <c r="P1941" s="99"/>
      <c r="Q1941" s="99"/>
      <c r="R1941" s="99"/>
    </row>
    <row r="1942" spans="5:18" s="65" customFormat="1">
      <c r="E1942" s="130"/>
      <c r="P1942" s="99"/>
      <c r="Q1942" s="99"/>
      <c r="R1942" s="99"/>
    </row>
    <row r="1943" spans="5:18" s="65" customFormat="1">
      <c r="E1943" s="130"/>
      <c r="P1943" s="99"/>
      <c r="Q1943" s="99"/>
      <c r="R1943" s="99"/>
    </row>
    <row r="1944" spans="5:18" s="65" customFormat="1">
      <c r="E1944" s="130"/>
      <c r="P1944" s="99"/>
      <c r="Q1944" s="99"/>
      <c r="R1944" s="99"/>
    </row>
    <row r="1945" spans="5:18" s="65" customFormat="1">
      <c r="E1945" s="130"/>
      <c r="P1945" s="99"/>
      <c r="Q1945" s="99"/>
      <c r="R1945" s="99"/>
    </row>
    <row r="1946" spans="5:18" s="65" customFormat="1">
      <c r="E1946" s="130"/>
      <c r="P1946" s="99"/>
      <c r="Q1946" s="99"/>
      <c r="R1946" s="99"/>
    </row>
    <row r="1947" spans="5:18" s="65" customFormat="1">
      <c r="E1947" s="130"/>
      <c r="P1947" s="99"/>
      <c r="Q1947" s="99"/>
      <c r="R1947" s="99"/>
    </row>
    <row r="1948" spans="5:18" s="65" customFormat="1">
      <c r="E1948" s="130"/>
      <c r="P1948" s="99"/>
      <c r="Q1948" s="99"/>
      <c r="R1948" s="99"/>
    </row>
    <row r="1949" spans="5:18" s="65" customFormat="1">
      <c r="E1949" s="130"/>
      <c r="P1949" s="99"/>
      <c r="Q1949" s="99"/>
      <c r="R1949" s="99"/>
    </row>
    <row r="1950" spans="5:18" s="65" customFormat="1">
      <c r="E1950" s="130"/>
      <c r="P1950" s="99"/>
      <c r="Q1950" s="99"/>
      <c r="R1950" s="99"/>
    </row>
    <row r="1951" spans="5:18" s="65" customFormat="1">
      <c r="E1951" s="130"/>
      <c r="P1951" s="99"/>
      <c r="Q1951" s="99"/>
      <c r="R1951" s="99"/>
    </row>
    <row r="1952" spans="5:18" s="65" customFormat="1">
      <c r="E1952" s="130"/>
      <c r="P1952" s="99"/>
      <c r="Q1952" s="99"/>
      <c r="R1952" s="99"/>
    </row>
    <row r="1953" spans="5:18" s="65" customFormat="1">
      <c r="E1953" s="130"/>
      <c r="P1953" s="99"/>
      <c r="Q1953" s="99"/>
      <c r="R1953" s="99"/>
    </row>
    <row r="1954" spans="5:18" s="65" customFormat="1">
      <c r="E1954" s="130"/>
      <c r="P1954" s="99"/>
      <c r="Q1954" s="99"/>
      <c r="R1954" s="99"/>
    </row>
    <row r="1955" spans="5:18" s="65" customFormat="1">
      <c r="E1955" s="130"/>
      <c r="P1955" s="99"/>
      <c r="Q1955" s="99"/>
      <c r="R1955" s="99"/>
    </row>
    <row r="1956" spans="5:18" s="65" customFormat="1">
      <c r="E1956" s="130"/>
      <c r="P1956" s="99"/>
      <c r="Q1956" s="99"/>
      <c r="R1956" s="99"/>
    </row>
    <row r="1957" spans="5:18" s="65" customFormat="1">
      <c r="E1957" s="130"/>
      <c r="P1957" s="99"/>
      <c r="Q1957" s="99"/>
      <c r="R1957" s="99"/>
    </row>
    <row r="1958" spans="5:18" s="65" customFormat="1">
      <c r="E1958" s="130"/>
      <c r="P1958" s="99"/>
      <c r="Q1958" s="99"/>
      <c r="R1958" s="99"/>
    </row>
    <row r="1959" spans="5:18" s="65" customFormat="1">
      <c r="E1959" s="130"/>
      <c r="P1959" s="99"/>
      <c r="Q1959" s="99"/>
      <c r="R1959" s="99"/>
    </row>
    <row r="1960" spans="5:18" s="65" customFormat="1">
      <c r="E1960" s="130"/>
      <c r="P1960" s="99"/>
      <c r="Q1960" s="99"/>
      <c r="R1960" s="99"/>
    </row>
    <row r="1961" spans="5:18" s="65" customFormat="1">
      <c r="E1961" s="130"/>
      <c r="P1961" s="99"/>
      <c r="Q1961" s="99"/>
      <c r="R1961" s="99"/>
    </row>
    <row r="1962" spans="5:18" s="65" customFormat="1">
      <c r="E1962" s="130"/>
      <c r="P1962" s="99"/>
      <c r="Q1962" s="99"/>
      <c r="R1962" s="99"/>
    </row>
    <row r="1963" spans="5:18" s="65" customFormat="1">
      <c r="E1963" s="130"/>
      <c r="P1963" s="99"/>
      <c r="Q1963" s="99"/>
      <c r="R1963" s="99"/>
    </row>
    <row r="1964" spans="5:18" s="65" customFormat="1">
      <c r="E1964" s="130"/>
      <c r="P1964" s="99"/>
      <c r="Q1964" s="99"/>
      <c r="R1964" s="99"/>
    </row>
    <row r="1965" spans="5:18" s="65" customFormat="1">
      <c r="E1965" s="130"/>
      <c r="P1965" s="99"/>
      <c r="Q1965" s="99"/>
      <c r="R1965" s="99"/>
    </row>
    <row r="1966" spans="5:18" s="65" customFormat="1">
      <c r="E1966" s="130"/>
      <c r="P1966" s="99"/>
      <c r="Q1966" s="99"/>
      <c r="R1966" s="99"/>
    </row>
    <row r="1967" spans="5:18" s="65" customFormat="1">
      <c r="E1967" s="130"/>
      <c r="P1967" s="99"/>
      <c r="Q1967" s="99"/>
      <c r="R1967" s="99"/>
    </row>
    <row r="1968" spans="5:18" s="65" customFormat="1">
      <c r="E1968" s="130"/>
      <c r="P1968" s="99"/>
      <c r="Q1968" s="99"/>
      <c r="R1968" s="99"/>
    </row>
    <row r="1969" spans="5:18" s="65" customFormat="1">
      <c r="E1969" s="130"/>
      <c r="P1969" s="99"/>
      <c r="Q1969" s="99"/>
      <c r="R1969" s="99"/>
    </row>
    <row r="1970" spans="5:18" s="65" customFormat="1">
      <c r="E1970" s="130"/>
      <c r="P1970" s="99"/>
      <c r="Q1970" s="99"/>
      <c r="R1970" s="99"/>
    </row>
    <row r="1971" spans="5:18" s="65" customFormat="1">
      <c r="E1971" s="130"/>
      <c r="P1971" s="99"/>
      <c r="Q1971" s="99"/>
      <c r="R1971" s="99"/>
    </row>
    <row r="1972" spans="5:18" s="65" customFormat="1">
      <c r="E1972" s="130"/>
      <c r="P1972" s="99"/>
      <c r="Q1972" s="99"/>
      <c r="R1972" s="99"/>
    </row>
    <row r="1973" spans="5:18" s="65" customFormat="1">
      <c r="E1973" s="130"/>
      <c r="P1973" s="99"/>
      <c r="Q1973" s="99"/>
      <c r="R1973" s="99"/>
    </row>
    <row r="1974" spans="5:18" s="65" customFormat="1">
      <c r="E1974" s="130"/>
      <c r="P1974" s="99"/>
      <c r="Q1974" s="99"/>
      <c r="R1974" s="99"/>
    </row>
    <row r="1975" spans="5:18" s="65" customFormat="1">
      <c r="E1975" s="130"/>
      <c r="P1975" s="99"/>
      <c r="Q1975" s="99"/>
      <c r="R1975" s="99"/>
    </row>
    <row r="1976" spans="5:18" s="65" customFormat="1">
      <c r="E1976" s="130"/>
      <c r="P1976" s="99"/>
      <c r="Q1976" s="99"/>
      <c r="R1976" s="99"/>
    </row>
    <row r="1977" spans="5:18" s="65" customFormat="1">
      <c r="E1977" s="130"/>
      <c r="P1977" s="99"/>
      <c r="Q1977" s="99"/>
      <c r="R1977" s="99"/>
    </row>
    <row r="1978" spans="5:18" s="65" customFormat="1">
      <c r="E1978" s="130"/>
      <c r="P1978" s="99"/>
      <c r="Q1978" s="99"/>
      <c r="R1978" s="99"/>
    </row>
    <row r="1979" spans="5:18" s="65" customFormat="1">
      <c r="E1979" s="130"/>
      <c r="P1979" s="99"/>
      <c r="Q1979" s="99"/>
      <c r="R1979" s="99"/>
    </row>
    <row r="1980" spans="5:18" s="65" customFormat="1">
      <c r="E1980" s="130"/>
      <c r="P1980" s="99"/>
      <c r="Q1980" s="99"/>
      <c r="R1980" s="99"/>
    </row>
    <row r="1981" spans="5:18" s="65" customFormat="1">
      <c r="E1981" s="130"/>
      <c r="P1981" s="99"/>
      <c r="Q1981" s="99"/>
      <c r="R1981" s="99"/>
    </row>
    <row r="1982" spans="5:18" s="65" customFormat="1">
      <c r="E1982" s="130"/>
      <c r="P1982" s="99"/>
      <c r="Q1982" s="99"/>
      <c r="R1982" s="99"/>
    </row>
    <row r="1983" spans="5:18" s="65" customFormat="1">
      <c r="E1983" s="130"/>
      <c r="P1983" s="99"/>
      <c r="Q1983" s="99"/>
      <c r="R1983" s="99"/>
    </row>
    <row r="1984" spans="5:18" s="65" customFormat="1">
      <c r="E1984" s="130"/>
      <c r="P1984" s="99"/>
      <c r="Q1984" s="99"/>
      <c r="R1984" s="99"/>
    </row>
    <row r="1985" spans="5:18" s="65" customFormat="1">
      <c r="E1985" s="130"/>
      <c r="P1985" s="99"/>
      <c r="Q1985" s="99"/>
      <c r="R1985" s="99"/>
    </row>
    <row r="1986" spans="5:18" s="65" customFormat="1">
      <c r="E1986" s="130"/>
      <c r="P1986" s="99"/>
      <c r="Q1986" s="99"/>
      <c r="R1986" s="99"/>
    </row>
    <row r="1987" spans="5:18" s="65" customFormat="1">
      <c r="E1987" s="130"/>
      <c r="P1987" s="99"/>
      <c r="Q1987" s="99"/>
      <c r="R1987" s="99"/>
    </row>
    <row r="1988" spans="5:18" s="65" customFormat="1">
      <c r="E1988" s="130"/>
      <c r="P1988" s="99"/>
      <c r="Q1988" s="99"/>
      <c r="R1988" s="99"/>
    </row>
    <row r="1989" spans="5:18" s="65" customFormat="1">
      <c r="E1989" s="130"/>
      <c r="P1989" s="99"/>
      <c r="Q1989" s="99"/>
      <c r="R1989" s="99"/>
    </row>
    <row r="1990" spans="5:18" s="65" customFormat="1">
      <c r="E1990" s="130"/>
      <c r="P1990" s="99"/>
      <c r="Q1990" s="99"/>
      <c r="R1990" s="99"/>
    </row>
    <row r="1991" spans="5:18" s="65" customFormat="1">
      <c r="E1991" s="130"/>
      <c r="P1991" s="99"/>
      <c r="Q1991" s="99"/>
      <c r="R1991" s="99"/>
    </row>
    <row r="1992" spans="5:18" s="65" customFormat="1">
      <c r="E1992" s="130"/>
      <c r="P1992" s="99"/>
      <c r="Q1992" s="99"/>
      <c r="R1992" s="99"/>
    </row>
    <row r="1993" spans="5:18" s="65" customFormat="1">
      <c r="E1993" s="130"/>
      <c r="P1993" s="99"/>
      <c r="Q1993" s="99"/>
      <c r="R1993" s="99"/>
    </row>
    <row r="1994" spans="5:18" s="65" customFormat="1">
      <c r="E1994" s="130"/>
      <c r="P1994" s="99"/>
      <c r="Q1994" s="99"/>
      <c r="R1994" s="99"/>
    </row>
    <row r="1995" spans="5:18" s="65" customFormat="1">
      <c r="E1995" s="130"/>
      <c r="P1995" s="99"/>
      <c r="Q1995" s="99"/>
      <c r="R1995" s="99"/>
    </row>
    <row r="1996" spans="5:18" s="65" customFormat="1">
      <c r="E1996" s="130"/>
      <c r="P1996" s="99"/>
      <c r="Q1996" s="99"/>
      <c r="R1996" s="99"/>
    </row>
    <row r="1997" spans="5:18" s="65" customFormat="1">
      <c r="E1997" s="130"/>
      <c r="P1997" s="99"/>
      <c r="Q1997" s="99"/>
      <c r="R1997" s="99"/>
    </row>
    <row r="1998" spans="5:18" s="65" customFormat="1">
      <c r="E1998" s="130"/>
      <c r="P1998" s="99"/>
      <c r="Q1998" s="99"/>
      <c r="R1998" s="99"/>
    </row>
    <row r="1999" spans="5:18" s="65" customFormat="1">
      <c r="E1999" s="130"/>
      <c r="P1999" s="99"/>
      <c r="Q1999" s="99"/>
      <c r="R1999" s="99"/>
    </row>
    <row r="2000" spans="5:18" s="65" customFormat="1">
      <c r="E2000" s="130"/>
      <c r="P2000" s="99"/>
      <c r="Q2000" s="99"/>
      <c r="R2000" s="99"/>
    </row>
    <row r="2001" spans="5:18" s="65" customFormat="1">
      <c r="E2001" s="130"/>
      <c r="P2001" s="99"/>
      <c r="Q2001" s="99"/>
      <c r="R2001" s="99"/>
    </row>
    <row r="2002" spans="5:18" s="65" customFormat="1">
      <c r="E2002" s="130"/>
      <c r="P2002" s="99"/>
      <c r="Q2002" s="99"/>
      <c r="R2002" s="99"/>
    </row>
    <row r="2003" spans="5:18" s="65" customFormat="1">
      <c r="E2003" s="130"/>
      <c r="P2003" s="99"/>
      <c r="Q2003" s="99"/>
      <c r="R2003" s="99"/>
    </row>
    <row r="2004" spans="5:18" s="65" customFormat="1">
      <c r="E2004" s="130"/>
      <c r="P2004" s="99"/>
      <c r="Q2004" s="99"/>
      <c r="R2004" s="99"/>
    </row>
    <row r="2005" spans="5:18" s="65" customFormat="1">
      <c r="E2005" s="130"/>
      <c r="P2005" s="99"/>
      <c r="Q2005" s="99"/>
      <c r="R2005" s="99"/>
    </row>
    <row r="2006" spans="5:18" s="65" customFormat="1">
      <c r="E2006" s="130"/>
      <c r="P2006" s="99"/>
      <c r="Q2006" s="99"/>
      <c r="R2006" s="99"/>
    </row>
    <row r="2007" spans="5:18" s="65" customFormat="1">
      <c r="E2007" s="130"/>
      <c r="P2007" s="99"/>
      <c r="Q2007" s="99"/>
      <c r="R2007" s="99"/>
    </row>
    <row r="2008" spans="5:18" s="65" customFormat="1">
      <c r="E2008" s="130"/>
      <c r="P2008" s="99"/>
      <c r="Q2008" s="99"/>
      <c r="R2008" s="99"/>
    </row>
    <row r="2009" spans="5:18" s="65" customFormat="1">
      <c r="E2009" s="130"/>
      <c r="P2009" s="99"/>
      <c r="Q2009" s="99"/>
      <c r="R2009" s="99"/>
    </row>
    <row r="2010" spans="5:18" s="65" customFormat="1">
      <c r="E2010" s="130"/>
      <c r="P2010" s="99"/>
      <c r="Q2010" s="99"/>
      <c r="R2010" s="99"/>
    </row>
    <row r="2011" spans="5:18" s="65" customFormat="1">
      <c r="E2011" s="130"/>
      <c r="P2011" s="99"/>
      <c r="Q2011" s="99"/>
      <c r="R2011" s="99"/>
    </row>
    <row r="2012" spans="5:18" s="65" customFormat="1">
      <c r="E2012" s="130"/>
      <c r="P2012" s="99"/>
      <c r="Q2012" s="99"/>
      <c r="R2012" s="99"/>
    </row>
    <row r="2013" spans="5:18" s="65" customFormat="1">
      <c r="E2013" s="130"/>
      <c r="P2013" s="99"/>
      <c r="Q2013" s="99"/>
      <c r="R2013" s="99"/>
    </row>
    <row r="2014" spans="5:18" s="65" customFormat="1">
      <c r="E2014" s="130"/>
      <c r="P2014" s="99"/>
      <c r="Q2014" s="99"/>
      <c r="R2014" s="99"/>
    </row>
    <row r="2015" spans="5:18" s="65" customFormat="1">
      <c r="E2015" s="130"/>
      <c r="P2015" s="99"/>
      <c r="Q2015" s="99"/>
      <c r="R2015" s="99"/>
    </row>
    <row r="2016" spans="5:18" s="65" customFormat="1">
      <c r="E2016" s="130"/>
      <c r="P2016" s="99"/>
      <c r="Q2016" s="99"/>
      <c r="R2016" s="99"/>
    </row>
    <row r="2017" spans="5:18" s="65" customFormat="1">
      <c r="E2017" s="130"/>
      <c r="P2017" s="99"/>
      <c r="Q2017" s="99"/>
      <c r="R2017" s="99"/>
    </row>
    <row r="2018" spans="5:18" s="65" customFormat="1">
      <c r="E2018" s="130"/>
      <c r="P2018" s="99"/>
      <c r="Q2018" s="99"/>
      <c r="R2018" s="99"/>
    </row>
    <row r="2019" spans="5:18" s="65" customFormat="1">
      <c r="E2019" s="130"/>
      <c r="P2019" s="99"/>
      <c r="Q2019" s="99"/>
      <c r="R2019" s="99"/>
    </row>
    <row r="2020" spans="5:18" s="65" customFormat="1">
      <c r="E2020" s="130"/>
      <c r="P2020" s="99"/>
      <c r="Q2020" s="99"/>
      <c r="R2020" s="99"/>
    </row>
    <row r="2021" spans="5:18" s="65" customFormat="1">
      <c r="E2021" s="130"/>
      <c r="P2021" s="99"/>
      <c r="Q2021" s="99"/>
      <c r="R2021" s="99"/>
    </row>
    <row r="2022" spans="5:18" s="65" customFormat="1">
      <c r="E2022" s="130"/>
      <c r="P2022" s="99"/>
      <c r="Q2022" s="99"/>
      <c r="R2022" s="99"/>
    </row>
    <row r="2023" spans="5:18" s="65" customFormat="1">
      <c r="E2023" s="130"/>
      <c r="P2023" s="99"/>
      <c r="Q2023" s="99"/>
      <c r="R2023" s="99"/>
    </row>
    <row r="2024" spans="5:18" s="65" customFormat="1">
      <c r="E2024" s="130"/>
      <c r="P2024" s="99"/>
      <c r="Q2024" s="99"/>
      <c r="R2024" s="99"/>
    </row>
    <row r="2025" spans="5:18" s="65" customFormat="1">
      <c r="E2025" s="130"/>
      <c r="P2025" s="99"/>
      <c r="Q2025" s="99"/>
      <c r="R2025" s="99"/>
    </row>
    <row r="2026" spans="5:18" s="65" customFormat="1">
      <c r="E2026" s="130"/>
      <c r="P2026" s="99"/>
      <c r="Q2026" s="99"/>
      <c r="R2026" s="99"/>
    </row>
    <row r="2027" spans="5:18" s="65" customFormat="1">
      <c r="E2027" s="130"/>
      <c r="P2027" s="99"/>
      <c r="Q2027" s="99"/>
      <c r="R2027" s="99"/>
    </row>
    <row r="2028" spans="5:18" s="65" customFormat="1">
      <c r="E2028" s="130"/>
      <c r="P2028" s="99"/>
      <c r="Q2028" s="99"/>
      <c r="R2028" s="99"/>
    </row>
    <row r="2029" spans="5:18" s="65" customFormat="1">
      <c r="E2029" s="130"/>
      <c r="P2029" s="99"/>
      <c r="Q2029" s="99"/>
      <c r="R2029" s="99"/>
    </row>
    <row r="2030" spans="5:18" s="65" customFormat="1">
      <c r="E2030" s="130"/>
      <c r="P2030" s="99"/>
      <c r="Q2030" s="99"/>
      <c r="R2030" s="99"/>
    </row>
    <row r="2031" spans="5:18" s="65" customFormat="1">
      <c r="E2031" s="130"/>
      <c r="P2031" s="99"/>
      <c r="Q2031" s="99"/>
      <c r="R2031" s="99"/>
    </row>
    <row r="2032" spans="5:18" s="65" customFormat="1">
      <c r="E2032" s="130"/>
      <c r="P2032" s="99"/>
      <c r="Q2032" s="99"/>
      <c r="R2032" s="99"/>
    </row>
    <row r="2033" spans="5:18" s="65" customFormat="1">
      <c r="E2033" s="130"/>
      <c r="P2033" s="99"/>
      <c r="Q2033" s="99"/>
      <c r="R2033" s="99"/>
    </row>
    <row r="2034" spans="5:18" s="65" customFormat="1">
      <c r="E2034" s="130"/>
      <c r="P2034" s="99"/>
      <c r="Q2034" s="99"/>
      <c r="R2034" s="99"/>
    </row>
    <row r="2035" spans="5:18" s="65" customFormat="1">
      <c r="E2035" s="130"/>
      <c r="P2035" s="99"/>
      <c r="Q2035" s="99"/>
      <c r="R2035" s="99"/>
    </row>
    <row r="2036" spans="5:18" s="65" customFormat="1">
      <c r="E2036" s="130"/>
      <c r="P2036" s="99"/>
      <c r="Q2036" s="99"/>
      <c r="R2036" s="99"/>
    </row>
    <row r="2037" spans="5:18" s="65" customFormat="1">
      <c r="E2037" s="130"/>
      <c r="P2037" s="99"/>
      <c r="Q2037" s="99"/>
      <c r="R2037" s="99"/>
    </row>
    <row r="2038" spans="5:18" s="65" customFormat="1">
      <c r="E2038" s="130"/>
      <c r="P2038" s="99"/>
      <c r="Q2038" s="99"/>
      <c r="R2038" s="99"/>
    </row>
    <row r="2039" spans="5:18" s="65" customFormat="1">
      <c r="E2039" s="130"/>
      <c r="P2039" s="99"/>
      <c r="Q2039" s="99"/>
      <c r="R2039" s="99"/>
    </row>
    <row r="2040" spans="5:18" s="65" customFormat="1">
      <c r="E2040" s="130"/>
      <c r="P2040" s="99"/>
      <c r="Q2040" s="99"/>
      <c r="R2040" s="99"/>
    </row>
    <row r="2041" spans="5:18" s="65" customFormat="1">
      <c r="E2041" s="130"/>
      <c r="P2041" s="99"/>
      <c r="Q2041" s="99"/>
      <c r="R2041" s="99"/>
    </row>
    <row r="2042" spans="5:18" s="65" customFormat="1">
      <c r="E2042" s="130"/>
      <c r="P2042" s="99"/>
      <c r="Q2042" s="99"/>
      <c r="R2042" s="99"/>
    </row>
    <row r="2043" spans="5:18" s="65" customFormat="1">
      <c r="E2043" s="130"/>
      <c r="P2043" s="99"/>
      <c r="Q2043" s="99"/>
      <c r="R2043" s="99"/>
    </row>
    <row r="2044" spans="5:18" s="65" customFormat="1">
      <c r="E2044" s="130"/>
      <c r="P2044" s="99"/>
      <c r="Q2044" s="99"/>
      <c r="R2044" s="99"/>
    </row>
    <row r="2045" spans="5:18" s="65" customFormat="1">
      <c r="E2045" s="130"/>
      <c r="P2045" s="99"/>
      <c r="Q2045" s="99"/>
      <c r="R2045" s="99"/>
    </row>
    <row r="2046" spans="5:18" s="65" customFormat="1">
      <c r="E2046" s="130"/>
      <c r="P2046" s="99"/>
      <c r="Q2046" s="99"/>
      <c r="R2046" s="99"/>
    </row>
    <row r="2047" spans="5:18" s="65" customFormat="1">
      <c r="E2047" s="130"/>
      <c r="P2047" s="99"/>
      <c r="Q2047" s="99"/>
      <c r="R2047" s="99"/>
    </row>
    <row r="2048" spans="5:18" s="65" customFormat="1">
      <c r="E2048" s="130"/>
      <c r="P2048" s="99"/>
      <c r="Q2048" s="99"/>
      <c r="R2048" s="99"/>
    </row>
    <row r="2049" spans="5:18" s="65" customFormat="1">
      <c r="E2049" s="130"/>
      <c r="P2049" s="99"/>
      <c r="Q2049" s="99"/>
      <c r="R2049" s="99"/>
    </row>
    <row r="2050" spans="5:18" s="65" customFormat="1">
      <c r="E2050" s="130"/>
      <c r="P2050" s="99"/>
      <c r="Q2050" s="99"/>
      <c r="R2050" s="99"/>
    </row>
    <row r="2051" spans="5:18" s="65" customFormat="1">
      <c r="E2051" s="130"/>
      <c r="P2051" s="99"/>
      <c r="Q2051" s="99"/>
      <c r="R2051" s="99"/>
    </row>
    <row r="2052" spans="5:18" s="65" customFormat="1">
      <c r="E2052" s="130"/>
      <c r="P2052" s="99"/>
      <c r="Q2052" s="99"/>
      <c r="R2052" s="99"/>
    </row>
    <row r="2053" spans="5:18" s="65" customFormat="1">
      <c r="E2053" s="130"/>
      <c r="P2053" s="99"/>
      <c r="Q2053" s="99"/>
      <c r="R2053" s="99"/>
    </row>
    <row r="2054" spans="5:18" s="65" customFormat="1">
      <c r="E2054" s="130"/>
      <c r="P2054" s="99"/>
      <c r="Q2054" s="99"/>
      <c r="R2054" s="99"/>
    </row>
    <row r="2055" spans="5:18" s="65" customFormat="1">
      <c r="E2055" s="130"/>
      <c r="P2055" s="99"/>
      <c r="Q2055" s="99"/>
      <c r="R2055" s="99"/>
    </row>
    <row r="2056" spans="5:18" s="65" customFormat="1">
      <c r="E2056" s="130"/>
      <c r="P2056" s="99"/>
      <c r="Q2056" s="99"/>
      <c r="R2056" s="99"/>
    </row>
    <row r="2057" spans="5:18" s="65" customFormat="1">
      <c r="E2057" s="130"/>
      <c r="P2057" s="99"/>
      <c r="Q2057" s="99"/>
      <c r="R2057" s="99"/>
    </row>
    <row r="2058" spans="5:18" s="65" customFormat="1">
      <c r="E2058" s="130"/>
      <c r="P2058" s="99"/>
      <c r="Q2058" s="99"/>
      <c r="R2058" s="99"/>
    </row>
    <row r="2059" spans="5:18" s="65" customFormat="1">
      <c r="E2059" s="130"/>
      <c r="P2059" s="99"/>
      <c r="Q2059" s="99"/>
      <c r="R2059" s="99"/>
    </row>
    <row r="2060" spans="5:18" s="65" customFormat="1">
      <c r="E2060" s="130"/>
      <c r="P2060" s="99"/>
      <c r="Q2060" s="99"/>
      <c r="R2060" s="99"/>
    </row>
    <row r="2061" spans="5:18" s="65" customFormat="1">
      <c r="E2061" s="130"/>
      <c r="P2061" s="99"/>
      <c r="Q2061" s="99"/>
      <c r="R2061" s="99"/>
    </row>
    <row r="2062" spans="5:18" s="65" customFormat="1">
      <c r="E2062" s="130"/>
      <c r="P2062" s="99"/>
      <c r="Q2062" s="99"/>
      <c r="R2062" s="99"/>
    </row>
    <row r="2063" spans="5:18" s="65" customFormat="1">
      <c r="E2063" s="130"/>
      <c r="P2063" s="99"/>
      <c r="Q2063" s="99"/>
      <c r="R2063" s="99"/>
    </row>
    <row r="2064" spans="5:18" s="65" customFormat="1">
      <c r="E2064" s="130"/>
      <c r="P2064" s="99"/>
      <c r="Q2064" s="99"/>
      <c r="R2064" s="99"/>
    </row>
    <row r="2065" spans="5:18" s="65" customFormat="1">
      <c r="E2065" s="130"/>
      <c r="P2065" s="99"/>
      <c r="Q2065" s="99"/>
      <c r="R2065" s="99"/>
    </row>
    <row r="2066" spans="5:18" s="65" customFormat="1">
      <c r="E2066" s="130"/>
      <c r="P2066" s="99"/>
      <c r="Q2066" s="99"/>
      <c r="R2066" s="99"/>
    </row>
    <row r="2067" spans="5:18" s="65" customFormat="1">
      <c r="E2067" s="130"/>
      <c r="P2067" s="99"/>
      <c r="Q2067" s="99"/>
      <c r="R2067" s="99"/>
    </row>
    <row r="2068" spans="5:18" s="65" customFormat="1">
      <c r="E2068" s="130"/>
      <c r="P2068" s="99"/>
      <c r="Q2068" s="99"/>
      <c r="R2068" s="99"/>
    </row>
    <row r="2069" spans="5:18" s="65" customFormat="1">
      <c r="E2069" s="130"/>
      <c r="P2069" s="99"/>
      <c r="Q2069" s="99"/>
      <c r="R2069" s="99"/>
    </row>
    <row r="2070" spans="5:18" s="65" customFormat="1">
      <c r="E2070" s="130"/>
      <c r="P2070" s="99"/>
      <c r="Q2070" s="99"/>
      <c r="R2070" s="99"/>
    </row>
    <row r="2071" spans="5:18" s="65" customFormat="1">
      <c r="E2071" s="130"/>
      <c r="P2071" s="99"/>
      <c r="Q2071" s="99"/>
      <c r="R2071" s="99"/>
    </row>
    <row r="2072" spans="5:18" s="65" customFormat="1">
      <c r="E2072" s="130"/>
      <c r="P2072" s="99"/>
      <c r="Q2072" s="99"/>
      <c r="R2072" s="99"/>
    </row>
    <row r="2073" spans="5:18" s="65" customFormat="1">
      <c r="E2073" s="130"/>
      <c r="P2073" s="99"/>
      <c r="Q2073" s="99"/>
      <c r="R2073" s="99"/>
    </row>
    <row r="2074" spans="5:18" s="65" customFormat="1">
      <c r="E2074" s="130"/>
      <c r="P2074" s="99"/>
      <c r="Q2074" s="99"/>
      <c r="R2074" s="99"/>
    </row>
    <row r="2075" spans="5:18" s="65" customFormat="1">
      <c r="E2075" s="130"/>
      <c r="P2075" s="99"/>
      <c r="Q2075" s="99"/>
      <c r="R2075" s="99"/>
    </row>
    <row r="2076" spans="5:18" s="65" customFormat="1">
      <c r="E2076" s="130"/>
      <c r="P2076" s="99"/>
      <c r="Q2076" s="99"/>
      <c r="R2076" s="99"/>
    </row>
    <row r="2077" spans="5:18" s="65" customFormat="1">
      <c r="E2077" s="130"/>
      <c r="P2077" s="99"/>
      <c r="Q2077" s="99"/>
      <c r="R2077" s="99"/>
    </row>
    <row r="2078" spans="5:18" s="65" customFormat="1">
      <c r="E2078" s="130"/>
      <c r="P2078" s="99"/>
      <c r="Q2078" s="99"/>
      <c r="R2078" s="99"/>
    </row>
    <row r="2079" spans="5:18" s="65" customFormat="1">
      <c r="E2079" s="130"/>
      <c r="P2079" s="99"/>
      <c r="Q2079" s="99"/>
      <c r="R2079" s="99"/>
    </row>
    <row r="2080" spans="5:18" s="65" customFormat="1">
      <c r="E2080" s="130"/>
      <c r="P2080" s="99"/>
      <c r="Q2080" s="99"/>
      <c r="R2080" s="99"/>
    </row>
    <row r="2081" spans="5:18" s="65" customFormat="1">
      <c r="E2081" s="130"/>
      <c r="P2081" s="99"/>
      <c r="Q2081" s="99"/>
      <c r="R2081" s="99"/>
    </row>
    <row r="2082" spans="5:18" s="65" customFormat="1">
      <c r="E2082" s="130"/>
      <c r="P2082" s="99"/>
      <c r="Q2082" s="99"/>
      <c r="R2082" s="99"/>
    </row>
    <row r="2083" spans="5:18" s="65" customFormat="1">
      <c r="E2083" s="130"/>
      <c r="P2083" s="99"/>
      <c r="Q2083" s="99"/>
      <c r="R2083" s="99"/>
    </row>
    <row r="2084" spans="5:18" s="65" customFormat="1">
      <c r="E2084" s="130"/>
      <c r="P2084" s="99"/>
      <c r="Q2084" s="99"/>
      <c r="R2084" s="99"/>
    </row>
    <row r="2085" spans="5:18" s="65" customFormat="1">
      <c r="E2085" s="130"/>
      <c r="P2085" s="99"/>
      <c r="Q2085" s="99"/>
      <c r="R2085" s="99"/>
    </row>
    <row r="2086" spans="5:18" s="65" customFormat="1">
      <c r="E2086" s="130"/>
      <c r="P2086" s="99"/>
      <c r="Q2086" s="99"/>
      <c r="R2086" s="99"/>
    </row>
    <row r="2087" spans="5:18" s="65" customFormat="1">
      <c r="E2087" s="130"/>
      <c r="P2087" s="99"/>
      <c r="Q2087" s="99"/>
      <c r="R2087" s="99"/>
    </row>
    <row r="2088" spans="5:18" s="65" customFormat="1">
      <c r="E2088" s="130"/>
      <c r="P2088" s="99"/>
      <c r="Q2088" s="99"/>
      <c r="R2088" s="99"/>
    </row>
    <row r="2089" spans="5:18" s="65" customFormat="1">
      <c r="E2089" s="130"/>
      <c r="P2089" s="99"/>
      <c r="Q2089" s="99"/>
      <c r="R2089" s="99"/>
    </row>
    <row r="2090" spans="5:18" s="65" customFormat="1">
      <c r="E2090" s="130"/>
      <c r="P2090" s="99"/>
      <c r="Q2090" s="99"/>
      <c r="R2090" s="99"/>
    </row>
    <row r="2091" spans="5:18" s="65" customFormat="1">
      <c r="E2091" s="130"/>
      <c r="P2091" s="99"/>
      <c r="Q2091" s="99"/>
      <c r="R2091" s="99"/>
    </row>
    <row r="2092" spans="5:18" s="65" customFormat="1">
      <c r="E2092" s="130"/>
      <c r="P2092" s="99"/>
      <c r="Q2092" s="99"/>
      <c r="R2092" s="99"/>
    </row>
    <row r="2093" spans="5:18" s="65" customFormat="1">
      <c r="E2093" s="130"/>
      <c r="P2093" s="99"/>
      <c r="Q2093" s="99"/>
      <c r="R2093" s="99"/>
    </row>
    <row r="2094" spans="5:18" s="65" customFormat="1">
      <c r="E2094" s="130"/>
      <c r="P2094" s="99"/>
      <c r="Q2094" s="99"/>
      <c r="R2094" s="99"/>
    </row>
    <row r="2095" spans="5:18" s="65" customFormat="1">
      <c r="E2095" s="130"/>
      <c r="P2095" s="99"/>
      <c r="Q2095" s="99"/>
      <c r="R2095" s="99"/>
    </row>
    <row r="2096" spans="5:18" s="65" customFormat="1">
      <c r="E2096" s="130"/>
      <c r="P2096" s="99"/>
      <c r="Q2096" s="99"/>
      <c r="R2096" s="99"/>
    </row>
    <row r="2097" spans="5:18" s="65" customFormat="1">
      <c r="E2097" s="130"/>
      <c r="P2097" s="99"/>
      <c r="Q2097" s="99"/>
      <c r="R2097" s="99"/>
    </row>
    <row r="2098" spans="5:18" s="65" customFormat="1">
      <c r="E2098" s="130"/>
      <c r="P2098" s="99"/>
      <c r="Q2098" s="99"/>
      <c r="R2098" s="99"/>
    </row>
    <row r="2099" spans="5:18" s="65" customFormat="1">
      <c r="E2099" s="130"/>
      <c r="P2099" s="99"/>
      <c r="Q2099" s="99"/>
      <c r="R2099" s="99"/>
    </row>
    <row r="2100" spans="5:18" s="65" customFormat="1">
      <c r="E2100" s="130"/>
      <c r="P2100" s="99"/>
      <c r="Q2100" s="99"/>
      <c r="R2100" s="99"/>
    </row>
    <row r="2101" spans="5:18" s="65" customFormat="1">
      <c r="E2101" s="130"/>
      <c r="P2101" s="99"/>
      <c r="Q2101" s="99"/>
      <c r="R2101" s="99"/>
    </row>
    <row r="2102" spans="5:18" s="65" customFormat="1">
      <c r="E2102" s="130"/>
      <c r="P2102" s="99"/>
      <c r="Q2102" s="99"/>
      <c r="R2102" s="99"/>
    </row>
    <row r="2103" spans="5:18" s="65" customFormat="1">
      <c r="E2103" s="130"/>
      <c r="P2103" s="99"/>
      <c r="Q2103" s="99"/>
      <c r="R2103" s="99"/>
    </row>
    <row r="2104" spans="5:18" s="65" customFormat="1">
      <c r="E2104" s="130"/>
      <c r="P2104" s="99"/>
      <c r="Q2104" s="99"/>
      <c r="R2104" s="99"/>
    </row>
    <row r="2105" spans="5:18" s="65" customFormat="1">
      <c r="E2105" s="130"/>
      <c r="P2105" s="99"/>
      <c r="Q2105" s="99"/>
      <c r="R2105" s="99"/>
    </row>
    <row r="2106" spans="5:18" s="65" customFormat="1">
      <c r="E2106" s="130"/>
      <c r="P2106" s="99"/>
      <c r="Q2106" s="99"/>
      <c r="R2106" s="99"/>
    </row>
    <row r="2107" spans="5:18" s="65" customFormat="1">
      <c r="E2107" s="130"/>
      <c r="P2107" s="99"/>
      <c r="Q2107" s="99"/>
      <c r="R2107" s="99"/>
    </row>
    <row r="2108" spans="5:18" s="65" customFormat="1">
      <c r="E2108" s="130"/>
      <c r="P2108" s="99"/>
      <c r="Q2108" s="99"/>
      <c r="R2108" s="99"/>
    </row>
    <row r="2109" spans="5:18" s="65" customFormat="1">
      <c r="E2109" s="130"/>
      <c r="P2109" s="99"/>
      <c r="Q2109" s="99"/>
      <c r="R2109" s="99"/>
    </row>
    <row r="2110" spans="5:18" s="65" customFormat="1">
      <c r="E2110" s="130"/>
      <c r="P2110" s="99"/>
      <c r="Q2110" s="99"/>
      <c r="R2110" s="99"/>
    </row>
    <row r="2111" spans="5:18" s="65" customFormat="1">
      <c r="E2111" s="130"/>
      <c r="P2111" s="99"/>
      <c r="Q2111" s="99"/>
      <c r="R2111" s="99"/>
    </row>
    <row r="2112" spans="5:18" s="65" customFormat="1">
      <c r="E2112" s="130"/>
      <c r="P2112" s="99"/>
      <c r="Q2112" s="99"/>
      <c r="R2112" s="99"/>
    </row>
    <row r="2113" spans="5:18" s="65" customFormat="1">
      <c r="E2113" s="130"/>
      <c r="P2113" s="99"/>
      <c r="Q2113" s="99"/>
      <c r="R2113" s="99"/>
    </row>
    <row r="2114" spans="5:18" s="65" customFormat="1">
      <c r="E2114" s="130"/>
      <c r="P2114" s="99"/>
      <c r="Q2114" s="99"/>
      <c r="R2114" s="99"/>
    </row>
    <row r="2115" spans="5:18" s="65" customFormat="1">
      <c r="E2115" s="130"/>
      <c r="P2115" s="99"/>
      <c r="Q2115" s="99"/>
      <c r="R2115" s="99"/>
    </row>
    <row r="2116" spans="5:18" s="65" customFormat="1">
      <c r="E2116" s="130"/>
      <c r="P2116" s="99"/>
      <c r="Q2116" s="99"/>
      <c r="R2116" s="99"/>
    </row>
    <row r="2117" spans="5:18" s="65" customFormat="1">
      <c r="E2117" s="130"/>
      <c r="P2117" s="99"/>
      <c r="Q2117" s="99"/>
      <c r="R2117" s="99"/>
    </row>
    <row r="2118" spans="5:18" s="65" customFormat="1">
      <c r="E2118" s="130"/>
      <c r="P2118" s="99"/>
      <c r="Q2118" s="99"/>
      <c r="R2118" s="99"/>
    </row>
    <row r="2119" spans="5:18" s="65" customFormat="1">
      <c r="E2119" s="130"/>
      <c r="P2119" s="99"/>
      <c r="Q2119" s="99"/>
      <c r="R2119" s="99"/>
    </row>
    <row r="2120" spans="5:18" s="65" customFormat="1">
      <c r="E2120" s="130"/>
      <c r="P2120" s="99"/>
      <c r="Q2120" s="99"/>
      <c r="R2120" s="99"/>
    </row>
    <row r="2121" spans="5:18" s="65" customFormat="1">
      <c r="E2121" s="130"/>
      <c r="P2121" s="99"/>
      <c r="Q2121" s="99"/>
      <c r="R2121" s="99"/>
    </row>
    <row r="2122" spans="5:18" s="65" customFormat="1">
      <c r="E2122" s="130"/>
      <c r="P2122" s="99"/>
      <c r="Q2122" s="99"/>
      <c r="R2122" s="99"/>
    </row>
    <row r="2123" spans="5:18" s="65" customFormat="1">
      <c r="E2123" s="130"/>
      <c r="P2123" s="99"/>
      <c r="Q2123" s="99"/>
      <c r="R2123" s="99"/>
    </row>
    <row r="2124" spans="5:18" s="65" customFormat="1">
      <c r="E2124" s="130"/>
      <c r="P2124" s="99"/>
      <c r="Q2124" s="99"/>
      <c r="R2124" s="99"/>
    </row>
    <row r="2125" spans="5:18" s="65" customFormat="1">
      <c r="E2125" s="130"/>
      <c r="P2125" s="99"/>
      <c r="Q2125" s="99"/>
      <c r="R2125" s="99"/>
    </row>
    <row r="2126" spans="5:18" s="65" customFormat="1">
      <c r="E2126" s="130"/>
      <c r="P2126" s="99"/>
      <c r="Q2126" s="99"/>
      <c r="R2126" s="99"/>
    </row>
    <row r="2127" spans="5:18" s="65" customFormat="1">
      <c r="E2127" s="130"/>
      <c r="P2127" s="99"/>
      <c r="Q2127" s="99"/>
      <c r="R2127" s="99"/>
    </row>
    <row r="2128" spans="5:18" s="65" customFormat="1">
      <c r="E2128" s="130"/>
      <c r="P2128" s="99"/>
      <c r="Q2128" s="99"/>
      <c r="R2128" s="99"/>
    </row>
    <row r="2129" spans="5:18" s="65" customFormat="1">
      <c r="E2129" s="130"/>
      <c r="P2129" s="99"/>
      <c r="Q2129" s="99"/>
      <c r="R2129" s="99"/>
    </row>
    <row r="2130" spans="5:18" s="65" customFormat="1">
      <c r="E2130" s="130"/>
      <c r="P2130" s="99"/>
      <c r="Q2130" s="99"/>
      <c r="R2130" s="99"/>
    </row>
    <row r="2131" spans="5:18" s="65" customFormat="1">
      <c r="E2131" s="130"/>
      <c r="P2131" s="99"/>
      <c r="Q2131" s="99"/>
      <c r="R2131" s="99"/>
    </row>
    <row r="2132" spans="5:18" s="65" customFormat="1">
      <c r="E2132" s="130"/>
      <c r="P2132" s="99"/>
      <c r="Q2132" s="99"/>
      <c r="R2132" s="99"/>
    </row>
    <row r="2133" spans="5:18" s="65" customFormat="1">
      <c r="E2133" s="130"/>
      <c r="P2133" s="99"/>
      <c r="Q2133" s="99"/>
      <c r="R2133" s="99"/>
    </row>
    <row r="2134" spans="5:18" s="65" customFormat="1">
      <c r="E2134" s="130"/>
      <c r="P2134" s="99"/>
      <c r="Q2134" s="99"/>
      <c r="R2134" s="99"/>
    </row>
    <row r="2135" spans="5:18" s="65" customFormat="1">
      <c r="E2135" s="130"/>
      <c r="P2135" s="99"/>
      <c r="Q2135" s="99"/>
      <c r="R2135" s="99"/>
    </row>
    <row r="2136" spans="5:18" s="65" customFormat="1">
      <c r="E2136" s="130"/>
      <c r="P2136" s="99"/>
      <c r="Q2136" s="99"/>
      <c r="R2136" s="99"/>
    </row>
    <row r="2137" spans="5:18" s="65" customFormat="1">
      <c r="E2137" s="130"/>
      <c r="P2137" s="99"/>
      <c r="Q2137" s="99"/>
      <c r="R2137" s="99"/>
    </row>
    <row r="2138" spans="5:18" s="65" customFormat="1">
      <c r="E2138" s="130"/>
      <c r="P2138" s="99"/>
      <c r="Q2138" s="99"/>
      <c r="R2138" s="99"/>
    </row>
    <row r="2139" spans="5:18" s="65" customFormat="1">
      <c r="E2139" s="130"/>
      <c r="P2139" s="99"/>
      <c r="Q2139" s="99"/>
      <c r="R2139" s="99"/>
    </row>
    <row r="2140" spans="5:18" s="65" customFormat="1">
      <c r="E2140" s="130"/>
      <c r="P2140" s="99"/>
      <c r="Q2140" s="99"/>
      <c r="R2140" s="99"/>
    </row>
    <row r="2141" spans="5:18" s="65" customFormat="1">
      <c r="E2141" s="130"/>
      <c r="P2141" s="99"/>
      <c r="Q2141" s="99"/>
      <c r="R2141" s="99"/>
    </row>
    <row r="2142" spans="5:18" s="65" customFormat="1">
      <c r="E2142" s="130"/>
      <c r="P2142" s="99"/>
      <c r="Q2142" s="99"/>
      <c r="R2142" s="99"/>
    </row>
    <row r="2143" spans="5:18" s="65" customFormat="1">
      <c r="E2143" s="130"/>
      <c r="P2143" s="99"/>
      <c r="Q2143" s="99"/>
      <c r="R2143" s="99"/>
    </row>
    <row r="2144" spans="5:18" s="65" customFormat="1">
      <c r="E2144" s="130"/>
      <c r="P2144" s="99"/>
      <c r="Q2144" s="99"/>
      <c r="R2144" s="99"/>
    </row>
    <row r="2145" spans="5:18" s="65" customFormat="1">
      <c r="E2145" s="130"/>
      <c r="P2145" s="99"/>
      <c r="Q2145" s="99"/>
      <c r="R2145" s="99"/>
    </row>
    <row r="2146" spans="5:18" s="65" customFormat="1">
      <c r="E2146" s="130"/>
      <c r="P2146" s="99"/>
      <c r="Q2146" s="99"/>
      <c r="R2146" s="99"/>
    </row>
    <row r="2147" spans="5:18" s="65" customFormat="1">
      <c r="E2147" s="130"/>
      <c r="P2147" s="99"/>
      <c r="Q2147" s="99"/>
      <c r="R2147" s="99"/>
    </row>
    <row r="2148" spans="5:18" s="65" customFormat="1">
      <c r="E2148" s="130"/>
      <c r="P2148" s="99"/>
      <c r="Q2148" s="99"/>
      <c r="R2148" s="99"/>
    </row>
    <row r="2149" spans="5:18" s="65" customFormat="1">
      <c r="E2149" s="130"/>
      <c r="P2149" s="99"/>
      <c r="Q2149" s="99"/>
      <c r="R2149" s="99"/>
    </row>
    <row r="2150" spans="5:18" s="65" customFormat="1">
      <c r="E2150" s="130"/>
      <c r="P2150" s="99"/>
      <c r="Q2150" s="99"/>
      <c r="R2150" s="99"/>
    </row>
    <row r="2151" spans="5:18" s="65" customFormat="1">
      <c r="E2151" s="130"/>
      <c r="P2151" s="99"/>
      <c r="Q2151" s="99"/>
      <c r="R2151" s="99"/>
    </row>
    <row r="2152" spans="5:18" s="65" customFormat="1">
      <c r="E2152" s="130"/>
      <c r="P2152" s="99"/>
      <c r="Q2152" s="99"/>
      <c r="R2152" s="99"/>
    </row>
    <row r="2153" spans="5:18" s="65" customFormat="1">
      <c r="E2153" s="130"/>
      <c r="P2153" s="99"/>
      <c r="Q2153" s="99"/>
      <c r="R2153" s="99"/>
    </row>
    <row r="2154" spans="5:18" s="65" customFormat="1">
      <c r="E2154" s="130"/>
      <c r="P2154" s="99"/>
      <c r="Q2154" s="99"/>
      <c r="R2154" s="99"/>
    </row>
    <row r="2155" spans="5:18" s="65" customFormat="1">
      <c r="E2155" s="130"/>
      <c r="P2155" s="99"/>
      <c r="Q2155" s="99"/>
      <c r="R2155" s="99"/>
    </row>
    <row r="2156" spans="5:18" s="65" customFormat="1">
      <c r="E2156" s="130"/>
      <c r="P2156" s="99"/>
      <c r="Q2156" s="99"/>
      <c r="R2156" s="99"/>
    </row>
    <row r="2157" spans="5:18" s="65" customFormat="1">
      <c r="E2157" s="130"/>
      <c r="P2157" s="99"/>
      <c r="Q2157" s="99"/>
      <c r="R2157" s="99"/>
    </row>
    <row r="2158" spans="5:18" s="65" customFormat="1">
      <c r="E2158" s="130"/>
      <c r="P2158" s="99"/>
      <c r="Q2158" s="99"/>
      <c r="R2158" s="99"/>
    </row>
    <row r="2159" spans="5:18" s="65" customFormat="1">
      <c r="E2159" s="130"/>
      <c r="P2159" s="99"/>
      <c r="Q2159" s="99"/>
      <c r="R2159" s="99"/>
    </row>
    <row r="2160" spans="5:18" s="65" customFormat="1">
      <c r="E2160" s="130"/>
      <c r="P2160" s="99"/>
      <c r="Q2160" s="99"/>
      <c r="R2160" s="99"/>
    </row>
    <row r="2161" spans="5:18" s="65" customFormat="1">
      <c r="E2161" s="130"/>
      <c r="P2161" s="99"/>
      <c r="Q2161" s="99"/>
      <c r="R2161" s="99"/>
    </row>
    <row r="2162" spans="5:18" s="65" customFormat="1">
      <c r="E2162" s="130"/>
      <c r="P2162" s="99"/>
      <c r="Q2162" s="99"/>
      <c r="R2162" s="99"/>
    </row>
    <row r="2163" spans="5:18" s="65" customFormat="1">
      <c r="E2163" s="130"/>
      <c r="P2163" s="99"/>
      <c r="Q2163" s="99"/>
      <c r="R2163" s="99"/>
    </row>
    <row r="2164" spans="5:18" s="65" customFormat="1">
      <c r="E2164" s="130"/>
      <c r="P2164" s="99"/>
      <c r="Q2164" s="99"/>
      <c r="R2164" s="99"/>
    </row>
    <row r="2165" spans="5:18" s="65" customFormat="1">
      <c r="E2165" s="130"/>
      <c r="P2165" s="99"/>
      <c r="Q2165" s="99"/>
      <c r="R2165" s="99"/>
    </row>
    <row r="2166" spans="5:18" s="65" customFormat="1">
      <c r="E2166" s="130"/>
      <c r="P2166" s="99"/>
      <c r="Q2166" s="99"/>
      <c r="R2166" s="99"/>
    </row>
    <row r="2167" spans="5:18" s="65" customFormat="1">
      <c r="E2167" s="130"/>
      <c r="P2167" s="99"/>
      <c r="Q2167" s="99"/>
      <c r="R2167" s="99"/>
    </row>
    <row r="2168" spans="5:18" s="65" customFormat="1">
      <c r="E2168" s="130"/>
      <c r="P2168" s="99"/>
      <c r="Q2168" s="99"/>
      <c r="R2168" s="99"/>
    </row>
    <row r="2169" spans="5:18" s="65" customFormat="1">
      <c r="E2169" s="130"/>
      <c r="P2169" s="99"/>
      <c r="Q2169" s="99"/>
      <c r="R2169" s="99"/>
    </row>
    <row r="2170" spans="5:18" s="65" customFormat="1">
      <c r="E2170" s="130"/>
      <c r="P2170" s="99"/>
      <c r="Q2170" s="99"/>
      <c r="R2170" s="99"/>
    </row>
    <row r="2171" spans="5:18" s="65" customFormat="1">
      <c r="E2171" s="130"/>
      <c r="P2171" s="99"/>
      <c r="Q2171" s="99"/>
      <c r="R2171" s="99"/>
    </row>
    <row r="2172" spans="5:18" s="65" customFormat="1">
      <c r="E2172" s="130"/>
      <c r="P2172" s="99"/>
      <c r="Q2172" s="99"/>
      <c r="R2172" s="99"/>
    </row>
    <row r="2173" spans="5:18" s="65" customFormat="1">
      <c r="E2173" s="130"/>
      <c r="P2173" s="99"/>
      <c r="Q2173" s="99"/>
      <c r="R2173" s="99"/>
    </row>
    <row r="2174" spans="5:18" s="65" customFormat="1">
      <c r="E2174" s="130"/>
      <c r="P2174" s="99"/>
      <c r="Q2174" s="99"/>
      <c r="R2174" s="99"/>
    </row>
    <row r="2175" spans="5:18" s="65" customFormat="1">
      <c r="E2175" s="130"/>
      <c r="P2175" s="99"/>
      <c r="Q2175" s="99"/>
      <c r="R2175" s="99"/>
    </row>
    <row r="2176" spans="5:18" s="65" customFormat="1">
      <c r="E2176" s="130"/>
      <c r="P2176" s="99"/>
      <c r="Q2176" s="99"/>
      <c r="R2176" s="99"/>
    </row>
    <row r="2177" spans="5:18" s="65" customFormat="1">
      <c r="E2177" s="130"/>
      <c r="P2177" s="99"/>
      <c r="Q2177" s="99"/>
      <c r="R2177" s="99"/>
    </row>
    <row r="2178" spans="5:18" s="65" customFormat="1">
      <c r="E2178" s="130"/>
      <c r="P2178" s="99"/>
      <c r="Q2178" s="99"/>
      <c r="R2178" s="99"/>
    </row>
    <row r="2179" spans="5:18" s="65" customFormat="1">
      <c r="E2179" s="130"/>
      <c r="P2179" s="99"/>
      <c r="Q2179" s="99"/>
      <c r="R2179" s="99"/>
    </row>
    <row r="2180" spans="5:18" s="65" customFormat="1">
      <c r="E2180" s="130"/>
      <c r="P2180" s="99"/>
      <c r="Q2180" s="99"/>
      <c r="R2180" s="99"/>
    </row>
    <row r="2181" spans="5:18" s="65" customFormat="1">
      <c r="E2181" s="130"/>
      <c r="P2181" s="99"/>
      <c r="Q2181" s="99"/>
      <c r="R2181" s="99"/>
    </row>
    <row r="2182" spans="5:18" s="65" customFormat="1">
      <c r="E2182" s="130"/>
      <c r="P2182" s="99"/>
      <c r="Q2182" s="99"/>
      <c r="R2182" s="99"/>
    </row>
    <row r="2183" spans="5:18" s="65" customFormat="1">
      <c r="E2183" s="130"/>
      <c r="P2183" s="99"/>
      <c r="Q2183" s="99"/>
      <c r="R2183" s="99"/>
    </row>
    <row r="2184" spans="5:18" s="65" customFormat="1">
      <c r="E2184" s="130"/>
      <c r="P2184" s="99"/>
      <c r="Q2184" s="99"/>
      <c r="R2184" s="99"/>
    </row>
    <row r="2185" spans="5:18" s="65" customFormat="1">
      <c r="E2185" s="130"/>
      <c r="P2185" s="99"/>
      <c r="Q2185" s="99"/>
      <c r="R2185" s="99"/>
    </row>
    <row r="2186" spans="5:18" s="65" customFormat="1">
      <c r="E2186" s="130"/>
      <c r="P2186" s="99"/>
      <c r="Q2186" s="99"/>
      <c r="R2186" s="99"/>
    </row>
    <row r="2187" spans="5:18" s="65" customFormat="1">
      <c r="E2187" s="130"/>
      <c r="P2187" s="99"/>
      <c r="Q2187" s="99"/>
      <c r="R2187" s="99"/>
    </row>
    <row r="2188" spans="5:18" s="65" customFormat="1">
      <c r="E2188" s="130"/>
      <c r="P2188" s="99"/>
      <c r="Q2188" s="99"/>
      <c r="R2188" s="99"/>
    </row>
    <row r="2189" spans="5:18" s="65" customFormat="1">
      <c r="E2189" s="130"/>
      <c r="P2189" s="99"/>
      <c r="Q2189" s="99"/>
      <c r="R2189" s="99"/>
    </row>
    <row r="2190" spans="5:18" s="65" customFormat="1">
      <c r="E2190" s="130"/>
      <c r="P2190" s="99"/>
      <c r="Q2190" s="99"/>
      <c r="R2190" s="99"/>
    </row>
    <row r="2191" spans="5:18" s="65" customFormat="1">
      <c r="E2191" s="130"/>
      <c r="P2191" s="99"/>
      <c r="Q2191" s="99"/>
      <c r="R2191" s="99"/>
    </row>
    <row r="2192" spans="5:18" s="65" customFormat="1">
      <c r="E2192" s="130"/>
      <c r="P2192" s="99"/>
      <c r="Q2192" s="99"/>
      <c r="R2192" s="99"/>
    </row>
    <row r="2193" spans="5:18" s="65" customFormat="1">
      <c r="E2193" s="130"/>
      <c r="P2193" s="99"/>
      <c r="Q2193" s="99"/>
      <c r="R2193" s="99"/>
    </row>
    <row r="2194" spans="5:18" s="65" customFormat="1">
      <c r="E2194" s="130"/>
      <c r="P2194" s="99"/>
      <c r="Q2194" s="99"/>
      <c r="R2194" s="99"/>
    </row>
    <row r="2195" spans="5:18" s="65" customFormat="1">
      <c r="E2195" s="130"/>
      <c r="P2195" s="99"/>
      <c r="Q2195" s="99"/>
      <c r="R2195" s="99"/>
    </row>
    <row r="2196" spans="5:18" s="65" customFormat="1">
      <c r="E2196" s="130"/>
      <c r="P2196" s="99"/>
      <c r="Q2196" s="99"/>
      <c r="R2196" s="99"/>
    </row>
    <row r="2197" spans="5:18" s="65" customFormat="1">
      <c r="E2197" s="130"/>
      <c r="P2197" s="99"/>
      <c r="Q2197" s="99"/>
      <c r="R2197" s="99"/>
    </row>
    <row r="2198" spans="5:18" s="65" customFormat="1">
      <c r="E2198" s="130"/>
      <c r="P2198" s="99"/>
      <c r="Q2198" s="99"/>
      <c r="R2198" s="99"/>
    </row>
    <row r="2199" spans="5:18" s="65" customFormat="1">
      <c r="E2199" s="130"/>
      <c r="P2199" s="99"/>
      <c r="Q2199" s="99"/>
      <c r="R2199" s="99"/>
    </row>
    <row r="2200" spans="5:18" s="65" customFormat="1">
      <c r="E2200" s="130"/>
      <c r="P2200" s="99"/>
      <c r="Q2200" s="99"/>
      <c r="R2200" s="99"/>
    </row>
    <row r="2201" spans="5:18" s="65" customFormat="1">
      <c r="E2201" s="130"/>
      <c r="P2201" s="99"/>
      <c r="Q2201" s="99"/>
      <c r="R2201" s="99"/>
    </row>
    <row r="2202" spans="5:18" s="65" customFormat="1">
      <c r="E2202" s="130"/>
      <c r="P2202" s="99"/>
      <c r="Q2202" s="99"/>
      <c r="R2202" s="99"/>
    </row>
    <row r="2203" spans="5:18" s="65" customFormat="1">
      <c r="E2203" s="130"/>
      <c r="P2203" s="99"/>
      <c r="Q2203" s="99"/>
      <c r="R2203" s="99"/>
    </row>
    <row r="2204" spans="5:18" s="65" customFormat="1">
      <c r="E2204" s="130"/>
      <c r="P2204" s="99"/>
      <c r="Q2204" s="99"/>
      <c r="R2204" s="99"/>
    </row>
    <row r="2205" spans="5:18" s="65" customFormat="1">
      <c r="E2205" s="130"/>
      <c r="P2205" s="99"/>
      <c r="Q2205" s="99"/>
      <c r="R2205" s="99"/>
    </row>
    <row r="2206" spans="5:18" s="65" customFormat="1">
      <c r="E2206" s="130"/>
      <c r="P2206" s="99"/>
      <c r="Q2206" s="99"/>
      <c r="R2206" s="99"/>
    </row>
    <row r="2207" spans="5:18" s="65" customFormat="1">
      <c r="E2207" s="130"/>
      <c r="P2207" s="99"/>
      <c r="Q2207" s="99"/>
      <c r="R2207" s="99"/>
    </row>
    <row r="2208" spans="5:18" s="65" customFormat="1">
      <c r="E2208" s="130"/>
      <c r="P2208" s="99"/>
      <c r="Q2208" s="99"/>
      <c r="R2208" s="99"/>
    </row>
    <row r="2209" spans="5:18" s="65" customFormat="1">
      <c r="E2209" s="130"/>
      <c r="P2209" s="99"/>
      <c r="Q2209" s="99"/>
      <c r="R2209" s="99"/>
    </row>
    <row r="2210" spans="5:18" s="65" customFormat="1">
      <c r="E2210" s="130"/>
      <c r="P2210" s="99"/>
      <c r="Q2210" s="99"/>
      <c r="R2210" s="99"/>
    </row>
    <row r="2211" spans="5:18" s="65" customFormat="1">
      <c r="E2211" s="130"/>
      <c r="P2211" s="99"/>
      <c r="Q2211" s="99"/>
      <c r="R2211" s="99"/>
    </row>
    <row r="2212" spans="5:18" s="65" customFormat="1">
      <c r="E2212" s="130"/>
      <c r="P2212" s="99"/>
      <c r="Q2212" s="99"/>
      <c r="R2212" s="99"/>
    </row>
    <row r="2213" spans="5:18" s="65" customFormat="1">
      <c r="E2213" s="130"/>
      <c r="P2213" s="99"/>
      <c r="Q2213" s="99"/>
      <c r="R2213" s="99"/>
    </row>
    <row r="2214" spans="5:18" s="65" customFormat="1">
      <c r="E2214" s="130"/>
      <c r="P2214" s="99"/>
      <c r="Q2214" s="99"/>
      <c r="R2214" s="99"/>
    </row>
    <row r="2215" spans="5:18" s="65" customFormat="1">
      <c r="E2215" s="130"/>
      <c r="P2215" s="99"/>
      <c r="Q2215" s="99"/>
      <c r="R2215" s="99"/>
    </row>
    <row r="2216" spans="5:18" s="65" customFormat="1">
      <c r="E2216" s="130"/>
      <c r="P2216" s="99"/>
      <c r="Q2216" s="99"/>
      <c r="R2216" s="99"/>
    </row>
    <row r="2217" spans="5:18" s="65" customFormat="1">
      <c r="E2217" s="130"/>
      <c r="P2217" s="99"/>
      <c r="Q2217" s="99"/>
      <c r="R2217" s="99"/>
    </row>
    <row r="2218" spans="5:18" s="65" customFormat="1">
      <c r="E2218" s="130"/>
      <c r="P2218" s="99"/>
      <c r="Q2218" s="99"/>
      <c r="R2218" s="99"/>
    </row>
    <row r="2219" spans="5:18" s="65" customFormat="1">
      <c r="E2219" s="130"/>
      <c r="P2219" s="99"/>
      <c r="Q2219" s="99"/>
      <c r="R2219" s="99"/>
    </row>
    <row r="2220" spans="5:18" s="65" customFormat="1">
      <c r="E2220" s="130"/>
      <c r="P2220" s="99"/>
      <c r="Q2220" s="99"/>
      <c r="R2220" s="99"/>
    </row>
    <row r="2221" spans="5:18" s="65" customFormat="1">
      <c r="E2221" s="130"/>
      <c r="P2221" s="99"/>
      <c r="Q2221" s="99"/>
      <c r="R2221" s="99"/>
    </row>
    <row r="2222" spans="5:18" s="65" customFormat="1">
      <c r="E2222" s="130"/>
      <c r="P2222" s="99"/>
      <c r="Q2222" s="99"/>
      <c r="R2222" s="99"/>
    </row>
    <row r="2223" spans="5:18" s="65" customFormat="1">
      <c r="E2223" s="130"/>
      <c r="P2223" s="99"/>
      <c r="Q2223" s="99"/>
      <c r="R2223" s="99"/>
    </row>
    <row r="2224" spans="5:18" s="65" customFormat="1">
      <c r="E2224" s="130"/>
      <c r="P2224" s="99"/>
      <c r="Q2224" s="99"/>
      <c r="R2224" s="99"/>
    </row>
    <row r="2225" spans="5:18" s="65" customFormat="1">
      <c r="E2225" s="130"/>
      <c r="P2225" s="99"/>
      <c r="Q2225" s="99"/>
      <c r="R2225" s="99"/>
    </row>
    <row r="2226" spans="5:18" s="65" customFormat="1">
      <c r="E2226" s="130"/>
      <c r="P2226" s="99"/>
      <c r="Q2226" s="99"/>
      <c r="R2226" s="99"/>
    </row>
    <row r="2227" spans="5:18" s="65" customFormat="1">
      <c r="E2227" s="130"/>
      <c r="P2227" s="99"/>
      <c r="Q2227" s="99"/>
      <c r="R2227" s="99"/>
    </row>
    <row r="2228" spans="5:18" s="65" customFormat="1">
      <c r="E2228" s="130"/>
      <c r="P2228" s="99"/>
      <c r="Q2228" s="99"/>
      <c r="R2228" s="99"/>
    </row>
    <row r="2229" spans="5:18" s="65" customFormat="1">
      <c r="E2229" s="130"/>
      <c r="P2229" s="99"/>
      <c r="Q2229" s="99"/>
      <c r="R2229" s="99"/>
    </row>
    <row r="2230" spans="5:18" s="65" customFormat="1">
      <c r="E2230" s="130"/>
      <c r="P2230" s="99"/>
      <c r="Q2230" s="99"/>
      <c r="R2230" s="99"/>
    </row>
    <row r="2231" spans="5:18" s="65" customFormat="1">
      <c r="E2231" s="130"/>
      <c r="P2231" s="99"/>
      <c r="Q2231" s="99"/>
      <c r="R2231" s="99"/>
    </row>
    <row r="2232" spans="5:18" s="65" customFormat="1">
      <c r="E2232" s="130"/>
      <c r="P2232" s="99"/>
      <c r="Q2232" s="99"/>
      <c r="R2232" s="99"/>
    </row>
    <row r="2233" spans="5:18" s="65" customFormat="1">
      <c r="E2233" s="130"/>
      <c r="P2233" s="99"/>
      <c r="Q2233" s="99"/>
      <c r="R2233" s="99"/>
    </row>
    <row r="2234" spans="5:18" s="65" customFormat="1">
      <c r="E2234" s="130"/>
      <c r="P2234" s="99"/>
      <c r="Q2234" s="99"/>
      <c r="R2234" s="99"/>
    </row>
    <row r="2235" spans="5:18" s="65" customFormat="1">
      <c r="E2235" s="130"/>
      <c r="P2235" s="99"/>
      <c r="Q2235" s="99"/>
      <c r="R2235" s="99"/>
    </row>
    <row r="2236" spans="5:18" s="65" customFormat="1">
      <c r="E2236" s="130"/>
      <c r="P2236" s="99"/>
      <c r="Q2236" s="99"/>
      <c r="R2236" s="99"/>
    </row>
    <row r="2237" spans="5:18" s="65" customFormat="1">
      <c r="E2237" s="130"/>
      <c r="P2237" s="99"/>
      <c r="Q2237" s="99"/>
      <c r="R2237" s="99"/>
    </row>
    <row r="2238" spans="5:18" s="65" customFormat="1">
      <c r="E2238" s="130"/>
      <c r="P2238" s="99"/>
      <c r="Q2238" s="99"/>
      <c r="R2238" s="99"/>
    </row>
    <row r="2239" spans="5:18" s="65" customFormat="1">
      <c r="E2239" s="130"/>
      <c r="P2239" s="99"/>
      <c r="Q2239" s="99"/>
      <c r="R2239" s="99"/>
    </row>
    <row r="2240" spans="5:18" s="65" customFormat="1">
      <c r="E2240" s="130"/>
      <c r="P2240" s="99"/>
      <c r="Q2240" s="99"/>
      <c r="R2240" s="99"/>
    </row>
    <row r="2241" spans="5:18" s="65" customFormat="1">
      <c r="E2241" s="130"/>
      <c r="P2241" s="99"/>
      <c r="Q2241" s="99"/>
      <c r="R2241" s="99"/>
    </row>
    <row r="2242" spans="5:18" s="65" customFormat="1">
      <c r="E2242" s="130"/>
      <c r="P2242" s="99"/>
      <c r="Q2242" s="99"/>
      <c r="R2242" s="99"/>
    </row>
    <row r="2243" spans="5:18" s="65" customFormat="1">
      <c r="E2243" s="130"/>
      <c r="P2243" s="99"/>
      <c r="Q2243" s="99"/>
      <c r="R2243" s="99"/>
    </row>
    <row r="2244" spans="5:18" s="65" customFormat="1">
      <c r="E2244" s="130"/>
      <c r="P2244" s="99"/>
      <c r="Q2244" s="99"/>
      <c r="R2244" s="99"/>
    </row>
    <row r="2245" spans="5:18" s="65" customFormat="1">
      <c r="E2245" s="130"/>
      <c r="P2245" s="99"/>
      <c r="Q2245" s="99"/>
      <c r="R2245" s="99"/>
    </row>
    <row r="2246" spans="5:18" s="65" customFormat="1">
      <c r="E2246" s="130"/>
      <c r="P2246" s="99"/>
      <c r="Q2246" s="99"/>
      <c r="R2246" s="99"/>
    </row>
    <row r="2247" spans="5:18" s="65" customFormat="1">
      <c r="E2247" s="130"/>
      <c r="P2247" s="99"/>
      <c r="Q2247" s="99"/>
      <c r="R2247" s="99"/>
    </row>
    <row r="2248" spans="5:18" s="65" customFormat="1">
      <c r="E2248" s="130"/>
      <c r="P2248" s="99"/>
      <c r="Q2248" s="99"/>
      <c r="R2248" s="99"/>
    </row>
    <row r="2249" spans="5:18" s="65" customFormat="1">
      <c r="E2249" s="130"/>
      <c r="P2249" s="99"/>
      <c r="Q2249" s="99"/>
      <c r="R2249" s="99"/>
    </row>
    <row r="2250" spans="5:18" s="65" customFormat="1">
      <c r="E2250" s="130"/>
      <c r="P2250" s="99"/>
      <c r="Q2250" s="99"/>
      <c r="R2250" s="99"/>
    </row>
    <row r="2251" spans="5:18" s="65" customFormat="1">
      <c r="E2251" s="130"/>
      <c r="P2251" s="99"/>
      <c r="Q2251" s="99"/>
      <c r="R2251" s="99"/>
    </row>
    <row r="2252" spans="5:18" s="65" customFormat="1">
      <c r="E2252" s="130"/>
      <c r="P2252" s="99"/>
      <c r="Q2252" s="99"/>
      <c r="R2252" s="99"/>
    </row>
    <row r="2253" spans="5:18" s="65" customFormat="1">
      <c r="E2253" s="130"/>
      <c r="P2253" s="99"/>
      <c r="Q2253" s="99"/>
      <c r="R2253" s="99"/>
    </row>
    <row r="2254" spans="5:18" s="65" customFormat="1">
      <c r="E2254" s="130"/>
      <c r="P2254" s="99"/>
      <c r="Q2254" s="99"/>
      <c r="R2254" s="99"/>
    </row>
    <row r="2255" spans="5:18" s="65" customFormat="1">
      <c r="E2255" s="130"/>
      <c r="P2255" s="99"/>
      <c r="Q2255" s="99"/>
      <c r="R2255" s="99"/>
    </row>
    <row r="2256" spans="5:18" s="65" customFormat="1">
      <c r="E2256" s="130"/>
      <c r="P2256" s="99"/>
      <c r="Q2256" s="99"/>
      <c r="R2256" s="99"/>
    </row>
    <row r="2257" spans="5:18" s="65" customFormat="1">
      <c r="E2257" s="130"/>
      <c r="P2257" s="99"/>
      <c r="Q2257" s="99"/>
      <c r="R2257" s="99"/>
    </row>
    <row r="2258" spans="5:18" s="65" customFormat="1">
      <c r="E2258" s="130"/>
      <c r="P2258" s="99"/>
      <c r="Q2258" s="99"/>
      <c r="R2258" s="99"/>
    </row>
    <row r="2259" spans="5:18" s="65" customFormat="1">
      <c r="E2259" s="130"/>
      <c r="P2259" s="99"/>
      <c r="Q2259" s="99"/>
      <c r="R2259" s="99"/>
    </row>
    <row r="2260" spans="5:18" s="65" customFormat="1">
      <c r="E2260" s="130"/>
      <c r="P2260" s="99"/>
      <c r="Q2260" s="99"/>
      <c r="R2260" s="99"/>
    </row>
    <row r="2261" spans="5:18" s="65" customFormat="1">
      <c r="E2261" s="130"/>
      <c r="P2261" s="99"/>
      <c r="Q2261" s="99"/>
      <c r="R2261" s="99"/>
    </row>
    <row r="2262" spans="5:18" s="65" customFormat="1">
      <c r="E2262" s="130"/>
      <c r="P2262" s="99"/>
      <c r="Q2262" s="99"/>
      <c r="R2262" s="99"/>
    </row>
    <row r="2263" spans="5:18" s="65" customFormat="1">
      <c r="E2263" s="130"/>
      <c r="P2263" s="99"/>
      <c r="Q2263" s="99"/>
      <c r="R2263" s="99"/>
    </row>
    <row r="2264" spans="5:18" s="65" customFormat="1">
      <c r="E2264" s="130"/>
      <c r="P2264" s="99"/>
      <c r="Q2264" s="99"/>
      <c r="R2264" s="99"/>
    </row>
    <row r="2265" spans="5:18" s="65" customFormat="1">
      <c r="E2265" s="130"/>
      <c r="P2265" s="99"/>
      <c r="Q2265" s="99"/>
      <c r="R2265" s="99"/>
    </row>
    <row r="2266" spans="5:18" s="65" customFormat="1">
      <c r="E2266" s="130"/>
      <c r="P2266" s="99"/>
      <c r="Q2266" s="99"/>
      <c r="R2266" s="99"/>
    </row>
    <row r="2267" spans="5:18" s="65" customFormat="1">
      <c r="E2267" s="130"/>
      <c r="P2267" s="99"/>
      <c r="Q2267" s="99"/>
      <c r="R2267" s="99"/>
    </row>
    <row r="2268" spans="5:18" s="65" customFormat="1">
      <c r="E2268" s="130"/>
      <c r="P2268" s="99"/>
      <c r="Q2268" s="99"/>
      <c r="R2268" s="99"/>
    </row>
    <row r="2269" spans="5:18" s="65" customFormat="1">
      <c r="E2269" s="130"/>
      <c r="P2269" s="99"/>
      <c r="Q2269" s="99"/>
      <c r="R2269" s="99"/>
    </row>
    <row r="2270" spans="5:18" s="65" customFormat="1">
      <c r="E2270" s="130"/>
      <c r="P2270" s="99"/>
      <c r="Q2270" s="99"/>
      <c r="R2270" s="99"/>
    </row>
    <row r="2271" spans="5:18" s="65" customFormat="1">
      <c r="E2271" s="130"/>
      <c r="P2271" s="99"/>
      <c r="Q2271" s="99"/>
      <c r="R2271" s="99"/>
    </row>
    <row r="2272" spans="5:18" s="65" customFormat="1">
      <c r="E2272" s="130"/>
      <c r="P2272" s="99"/>
      <c r="Q2272" s="99"/>
      <c r="R2272" s="99"/>
    </row>
    <row r="2273" spans="5:18" s="65" customFormat="1">
      <c r="E2273" s="130"/>
      <c r="P2273" s="99"/>
      <c r="Q2273" s="99"/>
      <c r="R2273" s="99"/>
    </row>
    <row r="2274" spans="5:18" s="65" customFormat="1">
      <c r="E2274" s="130"/>
      <c r="P2274" s="99"/>
      <c r="Q2274" s="99"/>
      <c r="R2274" s="99"/>
    </row>
    <row r="2275" spans="5:18" s="65" customFormat="1">
      <c r="E2275" s="130"/>
      <c r="P2275" s="99"/>
      <c r="Q2275" s="99"/>
      <c r="R2275" s="99"/>
    </row>
    <row r="2276" spans="5:18" s="65" customFormat="1">
      <c r="E2276" s="130"/>
      <c r="P2276" s="99"/>
      <c r="Q2276" s="99"/>
      <c r="R2276" s="99"/>
    </row>
    <row r="2277" spans="5:18" s="65" customFormat="1">
      <c r="E2277" s="130"/>
      <c r="P2277" s="99"/>
      <c r="Q2277" s="99"/>
      <c r="R2277" s="99"/>
    </row>
    <row r="2278" spans="5:18" s="65" customFormat="1">
      <c r="E2278" s="130"/>
      <c r="P2278" s="99"/>
      <c r="Q2278" s="99"/>
      <c r="R2278" s="99"/>
    </row>
    <row r="2279" spans="5:18" s="65" customFormat="1">
      <c r="E2279" s="130"/>
      <c r="P2279" s="99"/>
      <c r="Q2279" s="99"/>
      <c r="R2279" s="99"/>
    </row>
    <row r="2280" spans="5:18" s="65" customFormat="1">
      <c r="E2280" s="130"/>
      <c r="P2280" s="99"/>
      <c r="Q2280" s="99"/>
      <c r="R2280" s="99"/>
    </row>
    <row r="2281" spans="5:18" s="65" customFormat="1">
      <c r="E2281" s="130"/>
      <c r="P2281" s="99"/>
      <c r="Q2281" s="99"/>
      <c r="R2281" s="99"/>
    </row>
    <row r="2282" spans="5:18" s="65" customFormat="1">
      <c r="E2282" s="130"/>
      <c r="P2282" s="99"/>
      <c r="Q2282" s="99"/>
      <c r="R2282" s="99"/>
    </row>
    <row r="2283" spans="5:18" s="65" customFormat="1">
      <c r="E2283" s="130"/>
      <c r="P2283" s="99"/>
      <c r="Q2283" s="99"/>
      <c r="R2283" s="99"/>
    </row>
    <row r="2284" spans="5:18" s="65" customFormat="1">
      <c r="E2284" s="130"/>
      <c r="P2284" s="99"/>
      <c r="Q2284" s="99"/>
      <c r="R2284" s="99"/>
    </row>
    <row r="2285" spans="5:18" s="65" customFormat="1">
      <c r="E2285" s="130"/>
      <c r="P2285" s="99"/>
      <c r="Q2285" s="99"/>
      <c r="R2285" s="99"/>
    </row>
    <row r="2286" spans="5:18" s="65" customFormat="1">
      <c r="E2286" s="130"/>
      <c r="P2286" s="99"/>
      <c r="Q2286" s="99"/>
      <c r="R2286" s="99"/>
    </row>
    <row r="2287" spans="5:18" s="65" customFormat="1">
      <c r="E2287" s="130"/>
      <c r="P2287" s="99"/>
      <c r="Q2287" s="99"/>
      <c r="R2287" s="99"/>
    </row>
    <row r="2288" spans="5:18" s="65" customFormat="1">
      <c r="E2288" s="130"/>
      <c r="P2288" s="99"/>
      <c r="Q2288" s="99"/>
      <c r="R2288" s="99"/>
    </row>
    <row r="2289" spans="5:18" s="65" customFormat="1">
      <c r="E2289" s="130"/>
      <c r="P2289" s="99"/>
      <c r="Q2289" s="99"/>
      <c r="R2289" s="99"/>
    </row>
    <row r="2290" spans="5:18" s="65" customFormat="1">
      <c r="E2290" s="130"/>
      <c r="P2290" s="99"/>
      <c r="Q2290" s="99"/>
      <c r="R2290" s="99"/>
    </row>
    <row r="2291" spans="5:18" s="65" customFormat="1">
      <c r="E2291" s="130"/>
      <c r="P2291" s="99"/>
      <c r="Q2291" s="99"/>
      <c r="R2291" s="99"/>
    </row>
    <row r="2292" spans="5:18" s="65" customFormat="1">
      <c r="E2292" s="130"/>
      <c r="P2292" s="99"/>
      <c r="Q2292" s="99"/>
      <c r="R2292" s="99"/>
    </row>
    <row r="2293" spans="5:18" s="65" customFormat="1">
      <c r="E2293" s="130"/>
      <c r="P2293" s="99"/>
      <c r="Q2293" s="99"/>
      <c r="R2293" s="99"/>
    </row>
    <row r="2294" spans="5:18" s="65" customFormat="1">
      <c r="E2294" s="130"/>
      <c r="P2294" s="99"/>
      <c r="Q2294" s="99"/>
      <c r="R2294" s="99"/>
    </row>
    <row r="2295" spans="5:18" s="65" customFormat="1">
      <c r="E2295" s="130"/>
      <c r="P2295" s="99"/>
      <c r="Q2295" s="99"/>
      <c r="R2295" s="99"/>
    </row>
    <row r="2296" spans="5:18" s="65" customFormat="1">
      <c r="E2296" s="130"/>
      <c r="P2296" s="99"/>
      <c r="Q2296" s="99"/>
      <c r="R2296" s="99"/>
    </row>
    <row r="2297" spans="5:18" s="65" customFormat="1">
      <c r="E2297" s="130"/>
      <c r="P2297" s="99"/>
      <c r="Q2297" s="99"/>
      <c r="R2297" s="99"/>
    </row>
    <row r="2298" spans="5:18" s="65" customFormat="1">
      <c r="E2298" s="130"/>
      <c r="P2298" s="99"/>
      <c r="Q2298" s="99"/>
      <c r="R2298" s="99"/>
    </row>
    <row r="2299" spans="5:18" s="65" customFormat="1">
      <c r="E2299" s="130"/>
      <c r="P2299" s="99"/>
      <c r="Q2299" s="99"/>
      <c r="R2299" s="99"/>
    </row>
    <row r="2300" spans="5:18" s="65" customFormat="1">
      <c r="E2300" s="130"/>
      <c r="P2300" s="99"/>
      <c r="Q2300" s="99"/>
      <c r="R2300" s="99"/>
    </row>
    <row r="2301" spans="5:18" s="65" customFormat="1">
      <c r="E2301" s="130"/>
      <c r="P2301" s="99"/>
      <c r="Q2301" s="99"/>
      <c r="R2301" s="99"/>
    </row>
    <row r="2302" spans="5:18" s="65" customFormat="1">
      <c r="E2302" s="130"/>
      <c r="P2302" s="99"/>
      <c r="Q2302" s="99"/>
      <c r="R2302" s="99"/>
    </row>
    <row r="2303" spans="5:18" s="65" customFormat="1">
      <c r="E2303" s="130"/>
      <c r="P2303" s="99"/>
      <c r="Q2303" s="99"/>
      <c r="R2303" s="99"/>
    </row>
    <row r="2304" spans="5:18" s="65" customFormat="1">
      <c r="E2304" s="130"/>
      <c r="P2304" s="99"/>
      <c r="Q2304" s="99"/>
      <c r="R2304" s="99"/>
    </row>
    <row r="2305" spans="5:18" s="65" customFormat="1">
      <c r="E2305" s="130"/>
      <c r="P2305" s="99"/>
      <c r="Q2305" s="99"/>
      <c r="R2305" s="99"/>
    </row>
    <row r="2306" spans="5:18" s="65" customFormat="1">
      <c r="E2306" s="130"/>
      <c r="P2306" s="99"/>
      <c r="Q2306" s="99"/>
      <c r="R2306" s="99"/>
    </row>
    <row r="2307" spans="5:18" s="65" customFormat="1">
      <c r="E2307" s="130"/>
      <c r="P2307" s="99"/>
      <c r="Q2307" s="99"/>
      <c r="R2307" s="99"/>
    </row>
    <row r="2308" spans="5:18" s="65" customFormat="1">
      <c r="E2308" s="130"/>
      <c r="P2308" s="99"/>
      <c r="Q2308" s="99"/>
      <c r="R2308" s="99"/>
    </row>
    <row r="2309" spans="5:18" s="65" customFormat="1">
      <c r="E2309" s="130"/>
      <c r="P2309" s="99"/>
      <c r="Q2309" s="99"/>
      <c r="R2309" s="99"/>
    </row>
    <row r="2310" spans="5:18" s="65" customFormat="1">
      <c r="E2310" s="130"/>
      <c r="P2310" s="99"/>
      <c r="Q2310" s="99"/>
      <c r="R2310" s="99"/>
    </row>
    <row r="2311" spans="5:18" s="65" customFormat="1">
      <c r="E2311" s="130"/>
      <c r="P2311" s="99"/>
      <c r="Q2311" s="99"/>
      <c r="R2311" s="99"/>
    </row>
    <row r="2312" spans="5:18" s="65" customFormat="1">
      <c r="E2312" s="130"/>
      <c r="P2312" s="99"/>
      <c r="Q2312" s="99"/>
      <c r="R2312" s="99"/>
    </row>
    <row r="2313" spans="5:18" s="65" customFormat="1">
      <c r="E2313" s="130"/>
      <c r="P2313" s="99"/>
      <c r="Q2313" s="99"/>
      <c r="R2313" s="99"/>
    </row>
    <row r="2314" spans="5:18" s="65" customFormat="1">
      <c r="E2314" s="130"/>
      <c r="P2314" s="99"/>
      <c r="Q2314" s="99"/>
      <c r="R2314" s="99"/>
    </row>
    <row r="2315" spans="5:18" s="65" customFormat="1">
      <c r="E2315" s="130"/>
      <c r="P2315" s="99"/>
      <c r="Q2315" s="99"/>
      <c r="R2315" s="99"/>
    </row>
    <row r="2316" spans="5:18" s="65" customFormat="1">
      <c r="E2316" s="130"/>
      <c r="P2316" s="99"/>
      <c r="Q2316" s="99"/>
      <c r="R2316" s="99"/>
    </row>
    <row r="2317" spans="5:18" s="65" customFormat="1">
      <c r="E2317" s="130"/>
      <c r="P2317" s="99"/>
      <c r="Q2317" s="99"/>
      <c r="R2317" s="99"/>
    </row>
    <row r="2318" spans="5:18" s="65" customFormat="1">
      <c r="E2318" s="130"/>
      <c r="P2318" s="99"/>
      <c r="Q2318" s="99"/>
      <c r="R2318" s="99"/>
    </row>
    <row r="2319" spans="5:18" s="65" customFormat="1">
      <c r="E2319" s="130"/>
      <c r="P2319" s="99"/>
      <c r="Q2319" s="99"/>
      <c r="R2319" s="99"/>
    </row>
    <row r="2320" spans="5:18" s="65" customFormat="1">
      <c r="E2320" s="130"/>
      <c r="P2320" s="99"/>
      <c r="Q2320" s="99"/>
      <c r="R2320" s="99"/>
    </row>
    <row r="2321" spans="5:18" s="65" customFormat="1">
      <c r="E2321" s="130"/>
      <c r="P2321" s="99"/>
      <c r="Q2321" s="99"/>
      <c r="R2321" s="99"/>
    </row>
    <row r="2322" spans="5:18" s="65" customFormat="1">
      <c r="E2322" s="130"/>
      <c r="P2322" s="99"/>
      <c r="Q2322" s="99"/>
      <c r="R2322" s="99"/>
    </row>
    <row r="2323" spans="5:18" s="65" customFormat="1">
      <c r="E2323" s="130"/>
      <c r="P2323" s="99"/>
      <c r="Q2323" s="99"/>
      <c r="R2323" s="99"/>
    </row>
    <row r="2324" spans="5:18" s="65" customFormat="1">
      <c r="E2324" s="130"/>
      <c r="P2324" s="99"/>
      <c r="Q2324" s="99"/>
      <c r="R2324" s="99"/>
    </row>
    <row r="2325" spans="5:18" s="65" customFormat="1">
      <c r="E2325" s="130"/>
      <c r="P2325" s="99"/>
      <c r="Q2325" s="99"/>
      <c r="R2325" s="99"/>
    </row>
    <row r="2326" spans="5:18" s="65" customFormat="1">
      <c r="E2326" s="130"/>
      <c r="P2326" s="99"/>
      <c r="Q2326" s="99"/>
      <c r="R2326" s="99"/>
    </row>
    <row r="2327" spans="5:18" s="65" customFormat="1">
      <c r="E2327" s="130"/>
      <c r="P2327" s="99"/>
      <c r="Q2327" s="99"/>
      <c r="R2327" s="99"/>
    </row>
    <row r="2328" spans="5:18" s="65" customFormat="1">
      <c r="E2328" s="130"/>
      <c r="P2328" s="99"/>
      <c r="Q2328" s="99"/>
      <c r="R2328" s="99"/>
    </row>
    <row r="2329" spans="5:18" s="65" customFormat="1">
      <c r="E2329" s="130"/>
      <c r="P2329" s="99"/>
      <c r="Q2329" s="99"/>
      <c r="R2329" s="99"/>
    </row>
    <row r="2330" spans="5:18" s="65" customFormat="1">
      <c r="E2330" s="130"/>
      <c r="P2330" s="99"/>
      <c r="Q2330" s="99"/>
      <c r="R2330" s="99"/>
    </row>
    <row r="2331" spans="5:18" s="65" customFormat="1">
      <c r="E2331" s="130"/>
      <c r="P2331" s="99"/>
      <c r="Q2331" s="99"/>
      <c r="R2331" s="99"/>
    </row>
    <row r="2332" spans="5:18" s="65" customFormat="1">
      <c r="E2332" s="130"/>
      <c r="P2332" s="99"/>
      <c r="Q2332" s="99"/>
      <c r="R2332" s="99"/>
    </row>
    <row r="2333" spans="5:18" s="65" customFormat="1">
      <c r="E2333" s="130"/>
      <c r="P2333" s="99"/>
      <c r="Q2333" s="99"/>
      <c r="R2333" s="99"/>
    </row>
    <row r="2334" spans="5:18" s="65" customFormat="1">
      <c r="E2334" s="130"/>
      <c r="P2334" s="99"/>
      <c r="Q2334" s="99"/>
      <c r="R2334" s="99"/>
    </row>
    <row r="2335" spans="5:18" s="65" customFormat="1">
      <c r="E2335" s="130"/>
      <c r="P2335" s="99"/>
      <c r="Q2335" s="99"/>
      <c r="R2335" s="99"/>
    </row>
    <row r="2336" spans="5:18" s="65" customFormat="1">
      <c r="E2336" s="130"/>
      <c r="P2336" s="99"/>
      <c r="Q2336" s="99"/>
      <c r="R2336" s="99"/>
    </row>
    <row r="2337" spans="5:18" s="65" customFormat="1">
      <c r="E2337" s="130"/>
      <c r="P2337" s="99"/>
      <c r="Q2337" s="99"/>
      <c r="R2337" s="99"/>
    </row>
    <row r="2338" spans="5:18" s="65" customFormat="1">
      <c r="E2338" s="130"/>
      <c r="P2338" s="99"/>
      <c r="Q2338" s="99"/>
      <c r="R2338" s="99"/>
    </row>
    <row r="2339" spans="5:18" s="65" customFormat="1">
      <c r="E2339" s="130"/>
      <c r="P2339" s="99"/>
      <c r="Q2339" s="99"/>
      <c r="R2339" s="99"/>
    </row>
    <row r="2340" spans="5:18" s="65" customFormat="1">
      <c r="E2340" s="130"/>
      <c r="P2340" s="99"/>
      <c r="Q2340" s="99"/>
      <c r="R2340" s="99"/>
    </row>
    <row r="2341" spans="5:18" s="65" customFormat="1">
      <c r="E2341" s="130"/>
      <c r="P2341" s="99"/>
      <c r="Q2341" s="99"/>
      <c r="R2341" s="99"/>
    </row>
    <row r="2342" spans="5:18" s="65" customFormat="1">
      <c r="E2342" s="130"/>
      <c r="P2342" s="99"/>
      <c r="Q2342" s="99"/>
      <c r="R2342" s="99"/>
    </row>
    <row r="2343" spans="5:18" s="65" customFormat="1">
      <c r="E2343" s="130"/>
      <c r="P2343" s="99"/>
      <c r="Q2343" s="99"/>
      <c r="R2343" s="99"/>
    </row>
    <row r="2344" spans="5:18" s="65" customFormat="1">
      <c r="E2344" s="130"/>
      <c r="P2344" s="99"/>
      <c r="Q2344" s="99"/>
      <c r="R2344" s="99"/>
    </row>
    <row r="2345" spans="5:18" s="65" customFormat="1">
      <c r="E2345" s="130"/>
      <c r="P2345" s="99"/>
      <c r="Q2345" s="99"/>
      <c r="R2345" s="99"/>
    </row>
    <row r="2346" spans="5:18" s="65" customFormat="1">
      <c r="E2346" s="130"/>
      <c r="P2346" s="99"/>
      <c r="Q2346" s="99"/>
      <c r="R2346" s="99"/>
    </row>
    <row r="2347" spans="5:18" s="65" customFormat="1">
      <c r="E2347" s="130"/>
      <c r="P2347" s="99"/>
      <c r="Q2347" s="99"/>
      <c r="R2347" s="99"/>
    </row>
    <row r="2348" spans="5:18" s="65" customFormat="1">
      <c r="E2348" s="130"/>
      <c r="P2348" s="99"/>
      <c r="Q2348" s="99"/>
      <c r="R2348" s="99"/>
    </row>
    <row r="2349" spans="5:18" s="65" customFormat="1">
      <c r="E2349" s="130"/>
      <c r="P2349" s="99"/>
      <c r="Q2349" s="99"/>
      <c r="R2349" s="99"/>
    </row>
    <row r="2350" spans="5:18" s="65" customFormat="1">
      <c r="E2350" s="130"/>
      <c r="P2350" s="99"/>
      <c r="Q2350" s="99"/>
      <c r="R2350" s="99"/>
    </row>
    <row r="2351" spans="5:18" s="65" customFormat="1">
      <c r="E2351" s="130"/>
      <c r="P2351" s="99"/>
      <c r="Q2351" s="99"/>
      <c r="R2351" s="99"/>
    </row>
    <row r="2352" spans="5:18" s="65" customFormat="1">
      <c r="E2352" s="130"/>
      <c r="P2352" s="99"/>
      <c r="Q2352" s="99"/>
      <c r="R2352" s="99"/>
    </row>
    <row r="2353" spans="5:18" s="65" customFormat="1">
      <c r="E2353" s="130"/>
      <c r="P2353" s="99"/>
      <c r="Q2353" s="99"/>
      <c r="R2353" s="99"/>
    </row>
    <row r="2354" spans="5:18" s="65" customFormat="1">
      <c r="E2354" s="130"/>
      <c r="P2354" s="99"/>
      <c r="Q2354" s="99"/>
      <c r="R2354" s="99"/>
    </row>
    <row r="2355" spans="5:18" s="65" customFormat="1">
      <c r="E2355" s="130"/>
      <c r="P2355" s="99"/>
      <c r="Q2355" s="99"/>
      <c r="R2355" s="99"/>
    </row>
    <row r="2356" spans="5:18" s="65" customFormat="1">
      <c r="E2356" s="130"/>
      <c r="P2356" s="99"/>
      <c r="Q2356" s="99"/>
      <c r="R2356" s="99"/>
    </row>
    <row r="2357" spans="5:18" s="65" customFormat="1">
      <c r="E2357" s="130"/>
      <c r="P2357" s="99"/>
      <c r="Q2357" s="99"/>
      <c r="R2357" s="99"/>
    </row>
    <row r="2358" spans="5:18" s="65" customFormat="1">
      <c r="E2358" s="130"/>
      <c r="P2358" s="99"/>
      <c r="Q2358" s="99"/>
      <c r="R2358" s="99"/>
    </row>
    <row r="2359" spans="5:18" s="65" customFormat="1">
      <c r="E2359" s="130"/>
      <c r="P2359" s="99"/>
      <c r="Q2359" s="99"/>
      <c r="R2359" s="99"/>
    </row>
    <row r="2360" spans="5:18" s="65" customFormat="1">
      <c r="E2360" s="130"/>
      <c r="P2360" s="99"/>
      <c r="Q2360" s="99"/>
      <c r="R2360" s="99"/>
    </row>
    <row r="2361" spans="5:18" s="65" customFormat="1">
      <c r="E2361" s="130"/>
      <c r="P2361" s="99"/>
      <c r="Q2361" s="99"/>
      <c r="R2361" s="99"/>
    </row>
    <row r="2362" spans="5:18" s="65" customFormat="1">
      <c r="E2362" s="130"/>
      <c r="P2362" s="99"/>
      <c r="Q2362" s="99"/>
      <c r="R2362" s="99"/>
    </row>
    <row r="2363" spans="5:18" s="65" customFormat="1">
      <c r="E2363" s="130"/>
      <c r="P2363" s="99"/>
      <c r="Q2363" s="99"/>
      <c r="R2363" s="99"/>
    </row>
    <row r="2364" spans="5:18" s="65" customFormat="1">
      <c r="E2364" s="130"/>
      <c r="P2364" s="99"/>
      <c r="Q2364" s="99"/>
      <c r="R2364" s="99"/>
    </row>
    <row r="2365" spans="5:18" s="65" customFormat="1">
      <c r="E2365" s="130"/>
      <c r="P2365" s="99"/>
      <c r="Q2365" s="99"/>
      <c r="R2365" s="99"/>
    </row>
    <row r="2366" spans="5:18" s="65" customFormat="1">
      <c r="E2366" s="130"/>
      <c r="P2366" s="99"/>
      <c r="Q2366" s="99"/>
      <c r="R2366" s="99"/>
    </row>
    <row r="2367" spans="5:18" s="65" customFormat="1">
      <c r="E2367" s="130"/>
      <c r="P2367" s="99"/>
      <c r="Q2367" s="99"/>
      <c r="R2367" s="99"/>
    </row>
    <row r="2368" spans="5:18" s="65" customFormat="1">
      <c r="E2368" s="130"/>
      <c r="P2368" s="99"/>
      <c r="Q2368" s="99"/>
      <c r="R2368" s="99"/>
    </row>
    <row r="2369" spans="5:18" s="65" customFormat="1">
      <c r="E2369" s="130"/>
      <c r="P2369" s="99"/>
      <c r="Q2369" s="99"/>
      <c r="R2369" s="99"/>
    </row>
    <row r="2370" spans="5:18" s="65" customFormat="1">
      <c r="E2370" s="130"/>
      <c r="P2370" s="99"/>
      <c r="Q2370" s="99"/>
      <c r="R2370" s="99"/>
    </row>
    <row r="2371" spans="5:18" s="65" customFormat="1">
      <c r="E2371" s="130"/>
      <c r="P2371" s="99"/>
      <c r="Q2371" s="99"/>
      <c r="R2371" s="99"/>
    </row>
    <row r="2372" spans="5:18" s="65" customFormat="1">
      <c r="E2372" s="130"/>
      <c r="P2372" s="99"/>
      <c r="Q2372" s="99"/>
      <c r="R2372" s="99"/>
    </row>
    <row r="2373" spans="5:18" s="65" customFormat="1">
      <c r="E2373" s="130"/>
      <c r="P2373" s="99"/>
      <c r="Q2373" s="99"/>
      <c r="R2373" s="99"/>
    </row>
    <row r="2374" spans="5:18" s="65" customFormat="1">
      <c r="E2374" s="130"/>
      <c r="P2374" s="99"/>
      <c r="Q2374" s="99"/>
      <c r="R2374" s="99"/>
    </row>
    <row r="2375" spans="5:18" s="65" customFormat="1">
      <c r="E2375" s="130"/>
      <c r="P2375" s="99"/>
      <c r="Q2375" s="99"/>
      <c r="R2375" s="99"/>
    </row>
    <row r="2376" spans="5:18" s="65" customFormat="1">
      <c r="E2376" s="130"/>
      <c r="P2376" s="99"/>
      <c r="Q2376" s="99"/>
      <c r="R2376" s="99"/>
    </row>
    <row r="2377" spans="5:18" s="65" customFormat="1">
      <c r="E2377" s="130"/>
      <c r="P2377" s="99"/>
      <c r="Q2377" s="99"/>
      <c r="R2377" s="99"/>
    </row>
    <row r="2378" spans="5:18" s="65" customFormat="1">
      <c r="E2378" s="130"/>
      <c r="P2378" s="99"/>
      <c r="Q2378" s="99"/>
      <c r="R2378" s="99"/>
    </row>
    <row r="2379" spans="5:18" s="65" customFormat="1">
      <c r="E2379" s="130"/>
      <c r="P2379" s="99"/>
      <c r="Q2379" s="99"/>
      <c r="R2379" s="99"/>
    </row>
    <row r="2380" spans="5:18" s="65" customFormat="1">
      <c r="E2380" s="130"/>
      <c r="P2380" s="99"/>
      <c r="Q2380" s="99"/>
      <c r="R2380" s="99"/>
    </row>
    <row r="2381" spans="5:18" s="65" customFormat="1">
      <c r="E2381" s="130"/>
      <c r="P2381" s="99"/>
      <c r="Q2381" s="99"/>
      <c r="R2381" s="99"/>
    </row>
    <row r="2382" spans="5:18" s="65" customFormat="1">
      <c r="E2382" s="130"/>
      <c r="P2382" s="99"/>
      <c r="Q2382" s="99"/>
      <c r="R2382" s="99"/>
    </row>
    <row r="2383" spans="5:18" s="65" customFormat="1">
      <c r="E2383" s="130"/>
      <c r="P2383" s="99"/>
      <c r="Q2383" s="99"/>
      <c r="R2383" s="99"/>
    </row>
    <row r="2384" spans="5:18" s="65" customFormat="1">
      <c r="E2384" s="130"/>
      <c r="P2384" s="99"/>
      <c r="Q2384" s="99"/>
      <c r="R2384" s="99"/>
    </row>
    <row r="2385" spans="5:18" s="65" customFormat="1">
      <c r="E2385" s="130"/>
      <c r="P2385" s="99"/>
      <c r="Q2385" s="99"/>
      <c r="R2385" s="99"/>
    </row>
    <row r="2386" spans="5:18" s="65" customFormat="1">
      <c r="E2386" s="130"/>
      <c r="P2386" s="99"/>
      <c r="Q2386" s="99"/>
      <c r="R2386" s="99"/>
    </row>
    <row r="2387" spans="5:18" s="65" customFormat="1">
      <c r="E2387" s="130"/>
      <c r="P2387" s="99"/>
      <c r="Q2387" s="99"/>
      <c r="R2387" s="99"/>
    </row>
    <row r="2388" spans="5:18" s="65" customFormat="1">
      <c r="E2388" s="130"/>
      <c r="P2388" s="99"/>
      <c r="Q2388" s="99"/>
      <c r="R2388" s="99"/>
    </row>
    <row r="2389" spans="5:18" s="65" customFormat="1">
      <c r="E2389" s="130"/>
      <c r="P2389" s="99"/>
      <c r="Q2389" s="99"/>
      <c r="R2389" s="99"/>
    </row>
    <row r="2390" spans="5:18" s="65" customFormat="1">
      <c r="E2390" s="130"/>
      <c r="P2390" s="99"/>
      <c r="Q2390" s="99"/>
      <c r="R2390" s="99"/>
    </row>
    <row r="2391" spans="5:18" s="65" customFormat="1">
      <c r="E2391" s="130"/>
      <c r="P2391" s="99"/>
      <c r="Q2391" s="99"/>
      <c r="R2391" s="99"/>
    </row>
    <row r="2392" spans="5:18" s="65" customFormat="1">
      <c r="E2392" s="130"/>
      <c r="P2392" s="99"/>
      <c r="Q2392" s="99"/>
      <c r="R2392" s="99"/>
    </row>
    <row r="2393" spans="5:18" s="65" customFormat="1">
      <c r="E2393" s="130"/>
      <c r="P2393" s="99"/>
      <c r="Q2393" s="99"/>
      <c r="R2393" s="99"/>
    </row>
    <row r="2394" spans="5:18" s="65" customFormat="1">
      <c r="E2394" s="130"/>
      <c r="P2394" s="99"/>
      <c r="Q2394" s="99"/>
      <c r="R2394" s="99"/>
    </row>
    <row r="2395" spans="5:18" s="65" customFormat="1">
      <c r="E2395" s="130"/>
      <c r="P2395" s="99"/>
      <c r="Q2395" s="99"/>
      <c r="R2395" s="99"/>
    </row>
    <row r="2396" spans="5:18" s="65" customFormat="1">
      <c r="E2396" s="130"/>
      <c r="P2396" s="99"/>
      <c r="Q2396" s="99"/>
      <c r="R2396" s="99"/>
    </row>
    <row r="2397" spans="5:18" s="65" customFormat="1">
      <c r="E2397" s="130"/>
      <c r="P2397" s="99"/>
      <c r="Q2397" s="99"/>
      <c r="R2397" s="99"/>
    </row>
    <row r="2398" spans="5:18" s="65" customFormat="1">
      <c r="E2398" s="130"/>
      <c r="P2398" s="99"/>
      <c r="Q2398" s="99"/>
      <c r="R2398" s="99"/>
    </row>
    <row r="2399" spans="5:18" s="65" customFormat="1">
      <c r="E2399" s="130"/>
      <c r="P2399" s="99"/>
      <c r="Q2399" s="99"/>
      <c r="R2399" s="99"/>
    </row>
    <row r="2400" spans="5:18" s="65" customFormat="1">
      <c r="E2400" s="130"/>
      <c r="P2400" s="99"/>
      <c r="Q2400" s="99"/>
      <c r="R2400" s="99"/>
    </row>
    <row r="2401" spans="5:18" s="65" customFormat="1">
      <c r="E2401" s="130"/>
      <c r="P2401" s="99"/>
      <c r="Q2401" s="99"/>
      <c r="R2401" s="99"/>
    </row>
    <row r="2402" spans="5:18" s="65" customFormat="1">
      <c r="E2402" s="130"/>
      <c r="P2402" s="99"/>
      <c r="Q2402" s="99"/>
      <c r="R2402" s="99"/>
    </row>
    <row r="2403" spans="5:18" s="65" customFormat="1">
      <c r="E2403" s="130"/>
      <c r="P2403" s="99"/>
      <c r="Q2403" s="99"/>
      <c r="R2403" s="99"/>
    </row>
    <row r="2404" spans="5:18" s="65" customFormat="1">
      <c r="E2404" s="130"/>
      <c r="P2404" s="99"/>
      <c r="Q2404" s="99"/>
      <c r="R2404" s="99"/>
    </row>
    <row r="2405" spans="5:18" s="65" customFormat="1">
      <c r="E2405" s="130"/>
      <c r="P2405" s="99"/>
      <c r="Q2405" s="99"/>
      <c r="R2405" s="99"/>
    </row>
    <row r="2406" spans="5:18" s="65" customFormat="1">
      <c r="E2406" s="130"/>
      <c r="P2406" s="99"/>
      <c r="Q2406" s="99"/>
      <c r="R2406" s="99"/>
    </row>
    <row r="2407" spans="5:18" s="65" customFormat="1">
      <c r="E2407" s="130"/>
      <c r="P2407" s="99"/>
      <c r="Q2407" s="99"/>
      <c r="R2407" s="99"/>
    </row>
    <row r="2408" spans="5:18" s="65" customFormat="1">
      <c r="E2408" s="130"/>
      <c r="P2408" s="99"/>
      <c r="Q2408" s="99"/>
      <c r="R2408" s="99"/>
    </row>
    <row r="2409" spans="5:18" s="65" customFormat="1">
      <c r="E2409" s="130"/>
      <c r="P2409" s="99"/>
      <c r="Q2409" s="99"/>
      <c r="R2409" s="99"/>
    </row>
    <row r="2410" spans="5:18" s="65" customFormat="1">
      <c r="E2410" s="130"/>
      <c r="P2410" s="99"/>
      <c r="Q2410" s="99"/>
      <c r="R2410" s="99"/>
    </row>
    <row r="2411" spans="5:18" s="65" customFormat="1">
      <c r="E2411" s="130"/>
      <c r="P2411" s="99"/>
      <c r="Q2411" s="99"/>
      <c r="R2411" s="99"/>
    </row>
    <row r="2412" spans="5:18" s="65" customFormat="1">
      <c r="E2412" s="130"/>
      <c r="P2412" s="99"/>
      <c r="Q2412" s="99"/>
      <c r="R2412" s="99"/>
    </row>
    <row r="2413" spans="5:18" s="65" customFormat="1">
      <c r="E2413" s="130"/>
      <c r="P2413" s="99"/>
      <c r="Q2413" s="99"/>
      <c r="R2413" s="99"/>
    </row>
    <row r="2414" spans="5:18" s="65" customFormat="1">
      <c r="E2414" s="130"/>
      <c r="P2414" s="99"/>
      <c r="Q2414" s="99"/>
      <c r="R2414" s="99"/>
    </row>
    <row r="2415" spans="5:18" s="65" customFormat="1">
      <c r="E2415" s="130"/>
      <c r="P2415" s="99"/>
      <c r="Q2415" s="99"/>
      <c r="R2415" s="99"/>
    </row>
    <row r="2416" spans="5:18" s="65" customFormat="1">
      <c r="E2416" s="130"/>
      <c r="P2416" s="99"/>
      <c r="Q2416" s="99"/>
      <c r="R2416" s="99"/>
    </row>
    <row r="2417" spans="5:18" s="65" customFormat="1">
      <c r="E2417" s="130"/>
      <c r="P2417" s="99"/>
      <c r="Q2417" s="99"/>
      <c r="R2417" s="99"/>
    </row>
    <row r="2418" spans="5:18" s="65" customFormat="1">
      <c r="E2418" s="130"/>
      <c r="P2418" s="99"/>
      <c r="Q2418" s="99"/>
      <c r="R2418" s="99"/>
    </row>
    <row r="2419" spans="5:18" s="65" customFormat="1">
      <c r="E2419" s="130"/>
      <c r="P2419" s="99"/>
      <c r="Q2419" s="99"/>
      <c r="R2419" s="99"/>
    </row>
    <row r="2420" spans="5:18" s="65" customFormat="1">
      <c r="E2420" s="130"/>
      <c r="P2420" s="99"/>
      <c r="Q2420" s="99"/>
      <c r="R2420" s="99"/>
    </row>
    <row r="2421" spans="5:18" s="65" customFormat="1">
      <c r="E2421" s="130"/>
      <c r="P2421" s="99"/>
      <c r="Q2421" s="99"/>
      <c r="R2421" s="99"/>
    </row>
    <row r="2422" spans="5:18" s="65" customFormat="1">
      <c r="E2422" s="130"/>
      <c r="P2422" s="99"/>
      <c r="Q2422" s="99"/>
      <c r="R2422" s="99"/>
    </row>
    <row r="2423" spans="5:18" s="65" customFormat="1">
      <c r="E2423" s="130"/>
      <c r="P2423" s="99"/>
      <c r="Q2423" s="99"/>
      <c r="R2423" s="99"/>
    </row>
    <row r="2424" spans="5:18" s="65" customFormat="1">
      <c r="E2424" s="130"/>
      <c r="P2424" s="99"/>
      <c r="Q2424" s="99"/>
      <c r="R2424" s="99"/>
    </row>
    <row r="2425" spans="5:18" s="65" customFormat="1">
      <c r="E2425" s="130"/>
      <c r="P2425" s="99"/>
      <c r="Q2425" s="99"/>
      <c r="R2425" s="99"/>
    </row>
    <row r="2426" spans="5:18" s="65" customFormat="1">
      <c r="E2426" s="130"/>
      <c r="P2426" s="99"/>
      <c r="Q2426" s="99"/>
      <c r="R2426" s="99"/>
    </row>
    <row r="2427" spans="5:18" s="65" customFormat="1">
      <c r="E2427" s="130"/>
      <c r="P2427" s="99"/>
      <c r="Q2427" s="99"/>
      <c r="R2427" s="99"/>
    </row>
    <row r="2428" spans="5:18" s="65" customFormat="1">
      <c r="E2428" s="130"/>
      <c r="P2428" s="99"/>
      <c r="Q2428" s="99"/>
      <c r="R2428" s="99"/>
    </row>
    <row r="2429" spans="5:18" s="65" customFormat="1">
      <c r="E2429" s="130"/>
      <c r="P2429" s="99"/>
      <c r="Q2429" s="99"/>
      <c r="R2429" s="99"/>
    </row>
    <row r="2430" spans="5:18" s="65" customFormat="1">
      <c r="E2430" s="130"/>
      <c r="P2430" s="99"/>
      <c r="Q2430" s="99"/>
      <c r="R2430" s="99"/>
    </row>
    <row r="2431" spans="5:18" s="65" customFormat="1">
      <c r="E2431" s="130"/>
      <c r="P2431" s="99"/>
      <c r="Q2431" s="99"/>
      <c r="R2431" s="99"/>
    </row>
    <row r="2432" spans="5:18" s="65" customFormat="1">
      <c r="E2432" s="130"/>
      <c r="P2432" s="99"/>
      <c r="Q2432" s="99"/>
      <c r="R2432" s="99"/>
    </row>
    <row r="2433" spans="5:18" s="65" customFormat="1">
      <c r="E2433" s="130"/>
      <c r="P2433" s="99"/>
      <c r="Q2433" s="99"/>
      <c r="R2433" s="99"/>
    </row>
    <row r="2434" spans="5:18" s="65" customFormat="1">
      <c r="E2434" s="130"/>
      <c r="P2434" s="99"/>
      <c r="Q2434" s="99"/>
      <c r="R2434" s="99"/>
    </row>
    <row r="2435" spans="5:18" s="65" customFormat="1">
      <c r="E2435" s="130"/>
      <c r="P2435" s="99"/>
      <c r="Q2435" s="99"/>
      <c r="R2435" s="99"/>
    </row>
    <row r="2436" spans="5:18" s="65" customFormat="1">
      <c r="E2436" s="130"/>
      <c r="P2436" s="99"/>
      <c r="Q2436" s="99"/>
      <c r="R2436" s="99"/>
    </row>
    <row r="2437" spans="5:18" s="65" customFormat="1">
      <c r="E2437" s="130"/>
      <c r="P2437" s="99"/>
      <c r="Q2437" s="99"/>
      <c r="R2437" s="99"/>
    </row>
    <row r="2438" spans="5:18" s="65" customFormat="1">
      <c r="E2438" s="130"/>
      <c r="P2438" s="99"/>
      <c r="Q2438" s="99"/>
      <c r="R2438" s="99"/>
    </row>
    <row r="2439" spans="5:18" s="65" customFormat="1">
      <c r="E2439" s="130"/>
      <c r="P2439" s="99"/>
      <c r="Q2439" s="99"/>
      <c r="R2439" s="99"/>
    </row>
    <row r="2440" spans="5:18" s="65" customFormat="1">
      <c r="E2440" s="130"/>
      <c r="P2440" s="99"/>
      <c r="Q2440" s="99"/>
      <c r="R2440" s="99"/>
    </row>
    <row r="2441" spans="5:18" s="65" customFormat="1">
      <c r="E2441" s="130"/>
      <c r="P2441" s="99"/>
      <c r="Q2441" s="99"/>
      <c r="R2441" s="99"/>
    </row>
    <row r="2442" spans="5:18" s="65" customFormat="1">
      <c r="E2442" s="130"/>
      <c r="P2442" s="99"/>
      <c r="Q2442" s="99"/>
      <c r="R2442" s="99"/>
    </row>
    <row r="2443" spans="5:18" s="65" customFormat="1">
      <c r="E2443" s="130"/>
      <c r="P2443" s="99"/>
      <c r="Q2443" s="99"/>
      <c r="R2443" s="99"/>
    </row>
    <row r="2444" spans="5:18" s="65" customFormat="1">
      <c r="E2444" s="130"/>
      <c r="P2444" s="99"/>
      <c r="Q2444" s="99"/>
      <c r="R2444" s="99"/>
    </row>
    <row r="2445" spans="5:18" s="65" customFormat="1">
      <c r="E2445" s="130"/>
      <c r="P2445" s="99"/>
      <c r="Q2445" s="99"/>
      <c r="R2445" s="99"/>
    </row>
    <row r="2446" spans="5:18" s="65" customFormat="1">
      <c r="E2446" s="130"/>
      <c r="P2446" s="99"/>
      <c r="Q2446" s="99"/>
      <c r="R2446" s="99"/>
    </row>
    <row r="2447" spans="5:18" s="65" customFormat="1">
      <c r="E2447" s="130"/>
      <c r="P2447" s="99"/>
      <c r="Q2447" s="99"/>
      <c r="R2447" s="99"/>
    </row>
    <row r="2448" spans="5:18" s="65" customFormat="1">
      <c r="E2448" s="130"/>
      <c r="P2448" s="99"/>
      <c r="Q2448" s="99"/>
      <c r="R2448" s="99"/>
    </row>
    <row r="2449" spans="5:18" s="65" customFormat="1">
      <c r="E2449" s="130"/>
      <c r="P2449" s="99"/>
      <c r="Q2449" s="99"/>
      <c r="R2449" s="99"/>
    </row>
    <row r="2450" spans="5:18" s="65" customFormat="1">
      <c r="E2450" s="130"/>
      <c r="P2450" s="99"/>
      <c r="Q2450" s="99"/>
      <c r="R2450" s="99"/>
    </row>
    <row r="2451" spans="5:18" s="65" customFormat="1">
      <c r="E2451" s="130"/>
      <c r="P2451" s="99"/>
      <c r="Q2451" s="99"/>
      <c r="R2451" s="99"/>
    </row>
    <row r="2452" spans="5:18" s="65" customFormat="1">
      <c r="E2452" s="130"/>
      <c r="P2452" s="99"/>
      <c r="Q2452" s="99"/>
      <c r="R2452" s="99"/>
    </row>
    <row r="2453" spans="5:18" s="65" customFormat="1">
      <c r="E2453" s="130"/>
      <c r="P2453" s="99"/>
      <c r="Q2453" s="99"/>
      <c r="R2453" s="99"/>
    </row>
    <row r="2454" spans="5:18" s="65" customFormat="1">
      <c r="E2454" s="130"/>
      <c r="P2454" s="99"/>
      <c r="Q2454" s="99"/>
      <c r="R2454" s="99"/>
    </row>
    <row r="2455" spans="5:18" s="65" customFormat="1">
      <c r="E2455" s="130"/>
      <c r="P2455" s="99"/>
      <c r="Q2455" s="99"/>
      <c r="R2455" s="99"/>
    </row>
    <row r="2456" spans="5:18" s="65" customFormat="1">
      <c r="E2456" s="130"/>
      <c r="P2456" s="99"/>
      <c r="Q2456" s="99"/>
      <c r="R2456" s="99"/>
    </row>
    <row r="2457" spans="5:18" s="65" customFormat="1">
      <c r="E2457" s="130"/>
      <c r="P2457" s="99"/>
      <c r="Q2457" s="99"/>
      <c r="R2457" s="99"/>
    </row>
    <row r="2458" spans="5:18" s="65" customFormat="1">
      <c r="E2458" s="130"/>
      <c r="P2458" s="99"/>
      <c r="Q2458" s="99"/>
      <c r="R2458" s="99"/>
    </row>
    <row r="2459" spans="5:18" s="65" customFormat="1">
      <c r="E2459" s="130"/>
      <c r="P2459" s="99"/>
      <c r="Q2459" s="99"/>
      <c r="R2459" s="99"/>
    </row>
    <row r="2460" spans="5:18" s="65" customFormat="1">
      <c r="E2460" s="130"/>
      <c r="P2460" s="99"/>
      <c r="Q2460" s="99"/>
      <c r="R2460" s="99"/>
    </row>
    <row r="2461" spans="5:18" s="65" customFormat="1">
      <c r="E2461" s="130"/>
      <c r="P2461" s="99"/>
      <c r="Q2461" s="99"/>
      <c r="R2461" s="99"/>
    </row>
    <row r="2462" spans="5:18" s="65" customFormat="1">
      <c r="E2462" s="130"/>
      <c r="P2462" s="99"/>
      <c r="Q2462" s="99"/>
      <c r="R2462" s="99"/>
    </row>
    <row r="2463" spans="5:18" s="65" customFormat="1">
      <c r="E2463" s="130"/>
      <c r="P2463" s="99"/>
      <c r="Q2463" s="99"/>
      <c r="R2463" s="99"/>
    </row>
    <row r="2464" spans="5:18" s="65" customFormat="1">
      <c r="E2464" s="130"/>
      <c r="P2464" s="99"/>
      <c r="Q2464" s="99"/>
      <c r="R2464" s="99"/>
    </row>
    <row r="2465" spans="5:18" s="65" customFormat="1">
      <c r="E2465" s="130"/>
      <c r="P2465" s="99"/>
      <c r="Q2465" s="99"/>
      <c r="R2465" s="99"/>
    </row>
    <row r="2466" spans="5:18" s="65" customFormat="1">
      <c r="E2466" s="130"/>
      <c r="P2466" s="99"/>
      <c r="Q2466" s="99"/>
      <c r="R2466" s="99"/>
    </row>
    <row r="2467" spans="5:18" s="65" customFormat="1">
      <c r="E2467" s="130"/>
      <c r="P2467" s="99"/>
      <c r="Q2467" s="99"/>
      <c r="R2467" s="99"/>
    </row>
    <row r="2468" spans="5:18" s="65" customFormat="1">
      <c r="E2468" s="130"/>
      <c r="P2468" s="99"/>
      <c r="Q2468" s="99"/>
      <c r="R2468" s="99"/>
    </row>
    <row r="2469" spans="5:18" s="65" customFormat="1">
      <c r="E2469" s="130"/>
      <c r="P2469" s="99"/>
      <c r="Q2469" s="99"/>
      <c r="R2469" s="99"/>
    </row>
    <row r="2470" spans="5:18" s="65" customFormat="1">
      <c r="E2470" s="130"/>
      <c r="P2470" s="99"/>
      <c r="Q2470" s="99"/>
      <c r="R2470" s="99"/>
    </row>
    <row r="2471" spans="5:18" s="65" customFormat="1">
      <c r="E2471" s="130"/>
      <c r="P2471" s="99"/>
      <c r="Q2471" s="99"/>
      <c r="R2471" s="99"/>
    </row>
    <row r="2472" spans="5:18" s="65" customFormat="1">
      <c r="E2472" s="130"/>
      <c r="P2472" s="99"/>
      <c r="Q2472" s="99"/>
      <c r="R2472" s="99"/>
    </row>
    <row r="2473" spans="5:18" s="65" customFormat="1">
      <c r="E2473" s="130"/>
      <c r="P2473" s="99"/>
      <c r="Q2473" s="99"/>
      <c r="R2473" s="99"/>
    </row>
    <row r="2474" spans="5:18" s="65" customFormat="1">
      <c r="E2474" s="130"/>
      <c r="P2474" s="99"/>
      <c r="Q2474" s="99"/>
      <c r="R2474" s="99"/>
    </row>
    <row r="2475" spans="5:18" s="65" customFormat="1">
      <c r="E2475" s="130"/>
      <c r="P2475" s="99"/>
      <c r="Q2475" s="99"/>
      <c r="R2475" s="99"/>
    </row>
    <row r="2476" spans="5:18" s="65" customFormat="1">
      <c r="E2476" s="130"/>
      <c r="P2476" s="99"/>
      <c r="Q2476" s="99"/>
      <c r="R2476" s="99"/>
    </row>
    <row r="2477" spans="5:18" s="65" customFormat="1">
      <c r="E2477" s="130"/>
      <c r="P2477" s="99"/>
      <c r="Q2477" s="99"/>
      <c r="R2477" s="99"/>
    </row>
    <row r="2478" spans="5:18" s="65" customFormat="1">
      <c r="E2478" s="130"/>
      <c r="P2478" s="99"/>
      <c r="Q2478" s="99"/>
      <c r="R2478" s="99"/>
    </row>
    <row r="2479" spans="5:18" s="65" customFormat="1">
      <c r="E2479" s="130"/>
      <c r="P2479" s="99"/>
      <c r="Q2479" s="99"/>
      <c r="R2479" s="99"/>
    </row>
    <row r="2480" spans="5:18" s="65" customFormat="1">
      <c r="E2480" s="130"/>
      <c r="P2480" s="99"/>
      <c r="Q2480" s="99"/>
      <c r="R2480" s="99"/>
    </row>
    <row r="2481" spans="5:18" s="65" customFormat="1">
      <c r="E2481" s="130"/>
      <c r="P2481" s="99"/>
      <c r="Q2481" s="99"/>
      <c r="R2481" s="99"/>
    </row>
    <row r="2482" spans="5:18" s="65" customFormat="1">
      <c r="E2482" s="130"/>
      <c r="P2482" s="99"/>
      <c r="Q2482" s="99"/>
      <c r="R2482" s="99"/>
    </row>
    <row r="2483" spans="5:18" s="65" customFormat="1">
      <c r="E2483" s="130"/>
      <c r="P2483" s="99"/>
      <c r="Q2483" s="99"/>
      <c r="R2483" s="99"/>
    </row>
    <row r="2484" spans="5:18" s="65" customFormat="1">
      <c r="E2484" s="130"/>
      <c r="P2484" s="99"/>
      <c r="Q2484" s="99"/>
      <c r="R2484" s="99"/>
    </row>
    <row r="2485" spans="5:18" s="65" customFormat="1">
      <c r="E2485" s="130"/>
      <c r="P2485" s="99"/>
      <c r="Q2485" s="99"/>
      <c r="R2485" s="99"/>
    </row>
    <row r="2486" spans="5:18" s="65" customFormat="1">
      <c r="E2486" s="130"/>
      <c r="P2486" s="99"/>
      <c r="Q2486" s="99"/>
      <c r="R2486" s="99"/>
    </row>
    <row r="2487" spans="5:18" s="65" customFormat="1">
      <c r="E2487" s="130"/>
      <c r="P2487" s="99"/>
      <c r="Q2487" s="99"/>
      <c r="R2487" s="99"/>
    </row>
    <row r="2488" spans="5:18" s="65" customFormat="1">
      <c r="E2488" s="130"/>
      <c r="P2488" s="99"/>
      <c r="Q2488" s="99"/>
      <c r="R2488" s="99"/>
    </row>
    <row r="2489" spans="5:18" s="65" customFormat="1">
      <c r="E2489" s="130"/>
      <c r="P2489" s="99"/>
      <c r="Q2489" s="99"/>
      <c r="R2489" s="99"/>
    </row>
    <row r="2490" spans="5:18" s="65" customFormat="1">
      <c r="E2490" s="130"/>
      <c r="P2490" s="99"/>
      <c r="Q2490" s="99"/>
      <c r="R2490" s="99"/>
    </row>
    <row r="2491" spans="5:18" s="65" customFormat="1">
      <c r="E2491" s="130"/>
      <c r="P2491" s="99"/>
      <c r="Q2491" s="99"/>
      <c r="R2491" s="99"/>
    </row>
    <row r="2492" spans="5:18" s="65" customFormat="1">
      <c r="E2492" s="130"/>
      <c r="P2492" s="99"/>
      <c r="Q2492" s="99"/>
      <c r="R2492" s="99"/>
    </row>
    <row r="2493" spans="5:18" s="65" customFormat="1">
      <c r="E2493" s="130"/>
      <c r="P2493" s="99"/>
      <c r="Q2493" s="99"/>
      <c r="R2493" s="99"/>
    </row>
    <row r="2494" spans="5:18" s="65" customFormat="1">
      <c r="E2494" s="130"/>
      <c r="P2494" s="99"/>
      <c r="Q2494" s="99"/>
      <c r="R2494" s="99"/>
    </row>
    <row r="2495" spans="5:18" s="65" customFormat="1">
      <c r="E2495" s="130"/>
      <c r="P2495" s="99"/>
      <c r="Q2495" s="99"/>
      <c r="R2495" s="99"/>
    </row>
    <row r="2496" spans="5:18" s="65" customFormat="1">
      <c r="E2496" s="130"/>
      <c r="P2496" s="99"/>
      <c r="Q2496" s="99"/>
      <c r="R2496" s="99"/>
    </row>
    <row r="2497" spans="5:18" s="65" customFormat="1">
      <c r="E2497" s="130"/>
      <c r="P2497" s="99"/>
      <c r="Q2497" s="99"/>
      <c r="R2497" s="99"/>
    </row>
    <row r="2498" spans="5:18" s="65" customFormat="1">
      <c r="E2498" s="130"/>
      <c r="P2498" s="99"/>
      <c r="Q2498" s="99"/>
      <c r="R2498" s="99"/>
    </row>
    <row r="2499" spans="5:18" s="65" customFormat="1">
      <c r="E2499" s="130"/>
      <c r="P2499" s="99"/>
      <c r="Q2499" s="99"/>
      <c r="R2499" s="99"/>
    </row>
    <row r="2500" spans="5:18" s="65" customFormat="1">
      <c r="E2500" s="130"/>
      <c r="P2500" s="99"/>
      <c r="Q2500" s="99"/>
      <c r="R2500" s="99"/>
    </row>
    <row r="2501" spans="5:18" s="65" customFormat="1">
      <c r="E2501" s="130"/>
      <c r="P2501" s="99"/>
      <c r="Q2501" s="99"/>
      <c r="R2501" s="99"/>
    </row>
    <row r="2502" spans="5:18" s="65" customFormat="1">
      <c r="E2502" s="130"/>
      <c r="P2502" s="99"/>
      <c r="Q2502" s="99"/>
      <c r="R2502" s="99"/>
    </row>
    <row r="2503" spans="5:18" s="65" customFormat="1">
      <c r="E2503" s="130"/>
      <c r="P2503" s="99"/>
      <c r="Q2503" s="99"/>
      <c r="R2503" s="99"/>
    </row>
    <row r="2504" spans="5:18" s="65" customFormat="1">
      <c r="E2504" s="130"/>
      <c r="P2504" s="99"/>
      <c r="Q2504" s="99"/>
      <c r="R2504" s="99"/>
    </row>
    <row r="2505" spans="5:18" s="65" customFormat="1">
      <c r="E2505" s="130"/>
      <c r="P2505" s="99"/>
      <c r="Q2505" s="99"/>
      <c r="R2505" s="99"/>
    </row>
    <row r="2506" spans="5:18" s="65" customFormat="1">
      <c r="E2506" s="130"/>
      <c r="P2506" s="99"/>
      <c r="Q2506" s="99"/>
      <c r="R2506" s="99"/>
    </row>
    <row r="2507" spans="5:18" s="65" customFormat="1">
      <c r="E2507" s="130"/>
      <c r="P2507" s="99"/>
      <c r="Q2507" s="99"/>
      <c r="R2507" s="99"/>
    </row>
    <row r="2508" spans="5:18" s="65" customFormat="1">
      <c r="E2508" s="130"/>
      <c r="P2508" s="99"/>
      <c r="Q2508" s="99"/>
      <c r="R2508" s="99"/>
    </row>
    <row r="2509" spans="5:18" s="65" customFormat="1">
      <c r="E2509" s="130"/>
      <c r="P2509" s="99"/>
      <c r="Q2509" s="99"/>
      <c r="R2509" s="99"/>
    </row>
    <row r="2510" spans="5:18" s="65" customFormat="1">
      <c r="E2510" s="130"/>
      <c r="P2510" s="99"/>
      <c r="Q2510" s="99"/>
      <c r="R2510" s="99"/>
    </row>
    <row r="2511" spans="5:18" s="65" customFormat="1">
      <c r="E2511" s="130"/>
      <c r="P2511" s="99"/>
      <c r="Q2511" s="99"/>
      <c r="R2511" s="99"/>
    </row>
    <row r="2512" spans="5:18" s="65" customFormat="1">
      <c r="E2512" s="130"/>
      <c r="P2512" s="99"/>
      <c r="Q2512" s="99"/>
      <c r="R2512" s="99"/>
    </row>
    <row r="2513" spans="5:18" s="65" customFormat="1">
      <c r="E2513" s="130"/>
      <c r="P2513" s="99"/>
      <c r="Q2513" s="99"/>
      <c r="R2513" s="99"/>
    </row>
    <row r="2514" spans="5:18" s="65" customFormat="1">
      <c r="E2514" s="130"/>
      <c r="P2514" s="99"/>
      <c r="Q2514" s="99"/>
      <c r="R2514" s="99"/>
    </row>
    <row r="2515" spans="5:18" s="65" customFormat="1">
      <c r="E2515" s="130"/>
      <c r="P2515" s="99"/>
      <c r="Q2515" s="99"/>
      <c r="R2515" s="99"/>
    </row>
    <row r="2516" spans="5:18" s="65" customFormat="1">
      <c r="E2516" s="130"/>
      <c r="P2516" s="99"/>
      <c r="Q2516" s="99"/>
      <c r="R2516" s="99"/>
    </row>
    <row r="2517" spans="5:18" s="65" customFormat="1">
      <c r="E2517" s="130"/>
      <c r="P2517" s="99"/>
      <c r="Q2517" s="99"/>
      <c r="R2517" s="99"/>
    </row>
    <row r="2518" spans="5:18" s="65" customFormat="1">
      <c r="E2518" s="130"/>
      <c r="P2518" s="99"/>
      <c r="Q2518" s="99"/>
      <c r="R2518" s="99"/>
    </row>
    <row r="2519" spans="5:18" s="65" customFormat="1">
      <c r="E2519" s="130"/>
      <c r="P2519" s="99"/>
      <c r="Q2519" s="99"/>
      <c r="R2519" s="99"/>
    </row>
    <row r="2520" spans="5:18" s="65" customFormat="1">
      <c r="E2520" s="130"/>
      <c r="P2520" s="99"/>
      <c r="Q2520" s="99"/>
      <c r="R2520" s="99"/>
    </row>
    <row r="2521" spans="5:18" s="65" customFormat="1">
      <c r="E2521" s="130"/>
      <c r="P2521" s="99"/>
      <c r="Q2521" s="99"/>
      <c r="R2521" s="99"/>
    </row>
    <row r="2522" spans="5:18" s="65" customFormat="1">
      <c r="E2522" s="130"/>
      <c r="P2522" s="99"/>
      <c r="Q2522" s="99"/>
      <c r="R2522" s="99"/>
    </row>
    <row r="2523" spans="5:18" s="65" customFormat="1">
      <c r="E2523" s="130"/>
      <c r="P2523" s="99"/>
      <c r="Q2523" s="99"/>
      <c r="R2523" s="99"/>
    </row>
    <row r="2524" spans="5:18" s="65" customFormat="1">
      <c r="E2524" s="130"/>
      <c r="P2524" s="99"/>
      <c r="Q2524" s="99"/>
      <c r="R2524" s="99"/>
    </row>
    <row r="2525" spans="5:18" s="65" customFormat="1">
      <c r="E2525" s="130"/>
      <c r="P2525" s="99"/>
      <c r="Q2525" s="99"/>
      <c r="R2525" s="99"/>
    </row>
    <row r="2526" spans="5:18" s="65" customFormat="1">
      <c r="E2526" s="130"/>
      <c r="P2526" s="99"/>
      <c r="Q2526" s="99"/>
      <c r="R2526" s="99"/>
    </row>
    <row r="2527" spans="5:18" s="65" customFormat="1">
      <c r="E2527" s="130"/>
      <c r="P2527" s="99"/>
      <c r="Q2527" s="99"/>
      <c r="R2527" s="99"/>
    </row>
    <row r="2528" spans="5:18" s="65" customFormat="1">
      <c r="E2528" s="130"/>
      <c r="P2528" s="99"/>
      <c r="Q2528" s="99"/>
      <c r="R2528" s="99"/>
    </row>
    <row r="2529" spans="5:18" s="65" customFormat="1">
      <c r="E2529" s="130"/>
      <c r="P2529" s="99"/>
      <c r="Q2529" s="99"/>
      <c r="R2529" s="99"/>
    </row>
    <row r="2530" spans="5:18" s="65" customFormat="1">
      <c r="E2530" s="130"/>
      <c r="P2530" s="99"/>
      <c r="Q2530" s="99"/>
      <c r="R2530" s="99"/>
    </row>
    <row r="2531" spans="5:18" s="65" customFormat="1">
      <c r="E2531" s="130"/>
      <c r="P2531" s="99"/>
      <c r="Q2531" s="99"/>
      <c r="R2531" s="99"/>
    </row>
    <row r="2532" spans="5:18" s="65" customFormat="1">
      <c r="E2532" s="130"/>
      <c r="P2532" s="99"/>
      <c r="Q2532" s="99"/>
      <c r="R2532" s="99"/>
    </row>
    <row r="2533" spans="5:18" s="65" customFormat="1">
      <c r="E2533" s="130"/>
      <c r="P2533" s="99"/>
      <c r="Q2533" s="99"/>
      <c r="R2533" s="99"/>
    </row>
    <row r="2534" spans="5:18" s="65" customFormat="1">
      <c r="E2534" s="130"/>
      <c r="P2534" s="99"/>
      <c r="Q2534" s="99"/>
      <c r="R2534" s="99"/>
    </row>
    <row r="2535" spans="5:18" s="65" customFormat="1">
      <c r="E2535" s="130"/>
      <c r="P2535" s="99"/>
      <c r="Q2535" s="99"/>
      <c r="R2535" s="99"/>
    </row>
    <row r="2536" spans="5:18" s="65" customFormat="1">
      <c r="E2536" s="130"/>
      <c r="P2536" s="99"/>
      <c r="Q2536" s="99"/>
      <c r="R2536" s="99"/>
    </row>
    <row r="2537" spans="5:18" s="65" customFormat="1">
      <c r="E2537" s="130"/>
      <c r="P2537" s="99"/>
      <c r="Q2537" s="99"/>
      <c r="R2537" s="99"/>
    </row>
    <row r="2538" spans="5:18" s="65" customFormat="1">
      <c r="E2538" s="130"/>
      <c r="P2538" s="99"/>
      <c r="Q2538" s="99"/>
      <c r="R2538" s="99"/>
    </row>
    <row r="2539" spans="5:18" s="65" customFormat="1">
      <c r="E2539" s="130"/>
      <c r="P2539" s="99"/>
      <c r="Q2539" s="99"/>
      <c r="R2539" s="99"/>
    </row>
    <row r="2540" spans="5:18" s="65" customFormat="1">
      <c r="E2540" s="130"/>
      <c r="P2540" s="99"/>
      <c r="Q2540" s="99"/>
      <c r="R2540" s="99"/>
    </row>
    <row r="2541" spans="5:18" s="65" customFormat="1">
      <c r="E2541" s="130"/>
      <c r="P2541" s="99"/>
      <c r="Q2541" s="99"/>
      <c r="R2541" s="99"/>
    </row>
    <row r="2542" spans="5:18" s="65" customFormat="1">
      <c r="E2542" s="130"/>
      <c r="P2542" s="99"/>
      <c r="Q2542" s="99"/>
      <c r="R2542" s="99"/>
    </row>
    <row r="2543" spans="5:18" s="65" customFormat="1">
      <c r="E2543" s="130"/>
      <c r="P2543" s="99"/>
      <c r="Q2543" s="99"/>
      <c r="R2543" s="99"/>
    </row>
    <row r="2544" spans="5:18" s="65" customFormat="1">
      <c r="E2544" s="130"/>
      <c r="P2544" s="99"/>
      <c r="Q2544" s="99"/>
      <c r="R2544" s="99"/>
    </row>
    <row r="2545" spans="5:18" s="65" customFormat="1">
      <c r="E2545" s="130"/>
      <c r="P2545" s="99"/>
      <c r="Q2545" s="99"/>
      <c r="R2545" s="99"/>
    </row>
    <row r="2546" spans="5:18" s="65" customFormat="1">
      <c r="E2546" s="130"/>
      <c r="P2546" s="99"/>
      <c r="Q2546" s="99"/>
      <c r="R2546" s="99"/>
    </row>
    <row r="2547" spans="5:18" s="65" customFormat="1">
      <c r="E2547" s="130"/>
      <c r="P2547" s="99"/>
      <c r="Q2547" s="99"/>
      <c r="R2547" s="99"/>
    </row>
    <row r="2548" spans="5:18" s="65" customFormat="1">
      <c r="E2548" s="130"/>
      <c r="P2548" s="99"/>
      <c r="Q2548" s="99"/>
      <c r="R2548" s="99"/>
    </row>
    <row r="2549" spans="5:18" s="65" customFormat="1">
      <c r="E2549" s="130"/>
      <c r="P2549" s="99"/>
      <c r="Q2549" s="99"/>
      <c r="R2549" s="99"/>
    </row>
    <row r="2550" spans="5:18" s="65" customFormat="1">
      <c r="E2550" s="130"/>
      <c r="P2550" s="99"/>
      <c r="Q2550" s="99"/>
      <c r="R2550" s="99"/>
    </row>
    <row r="2551" spans="5:18" s="65" customFormat="1">
      <c r="E2551" s="130"/>
      <c r="P2551" s="99"/>
      <c r="Q2551" s="99"/>
      <c r="R2551" s="99"/>
    </row>
    <row r="2552" spans="5:18" s="65" customFormat="1">
      <c r="E2552" s="130"/>
      <c r="P2552" s="99"/>
      <c r="Q2552" s="99"/>
      <c r="R2552" s="99"/>
    </row>
    <row r="2553" spans="5:18" s="65" customFormat="1">
      <c r="E2553" s="130"/>
      <c r="P2553" s="99"/>
      <c r="Q2553" s="99"/>
      <c r="R2553" s="99"/>
    </row>
    <row r="2554" spans="5:18" s="65" customFormat="1">
      <c r="E2554" s="130"/>
      <c r="P2554" s="99"/>
      <c r="Q2554" s="99"/>
      <c r="R2554" s="99"/>
    </row>
    <row r="2555" spans="5:18" s="65" customFormat="1">
      <c r="E2555" s="130"/>
      <c r="P2555" s="99"/>
      <c r="Q2555" s="99"/>
      <c r="R2555" s="99"/>
    </row>
    <row r="2556" spans="5:18" s="65" customFormat="1">
      <c r="E2556" s="130"/>
      <c r="P2556" s="99"/>
      <c r="Q2556" s="99"/>
      <c r="R2556" s="99"/>
    </row>
    <row r="2557" spans="5:18" s="65" customFormat="1">
      <c r="E2557" s="130"/>
      <c r="P2557" s="99"/>
      <c r="Q2557" s="99"/>
      <c r="R2557" s="99"/>
    </row>
    <row r="2558" spans="5:18" s="65" customFormat="1">
      <c r="E2558" s="130"/>
      <c r="P2558" s="99"/>
      <c r="Q2558" s="99"/>
      <c r="R2558" s="99"/>
    </row>
    <row r="2559" spans="5:18" s="65" customFormat="1">
      <c r="E2559" s="130"/>
      <c r="P2559" s="99"/>
      <c r="Q2559" s="99"/>
      <c r="R2559" s="99"/>
    </row>
    <row r="2560" spans="5:18" s="65" customFormat="1">
      <c r="E2560" s="130"/>
      <c r="P2560" s="99"/>
      <c r="Q2560" s="99"/>
      <c r="R2560" s="99"/>
    </row>
    <row r="2561" spans="5:18" s="65" customFormat="1">
      <c r="E2561" s="130"/>
      <c r="P2561" s="99"/>
      <c r="Q2561" s="99"/>
      <c r="R2561" s="99"/>
    </row>
    <row r="2562" spans="5:18" s="65" customFormat="1">
      <c r="E2562" s="130"/>
      <c r="P2562" s="99"/>
      <c r="Q2562" s="99"/>
      <c r="R2562" s="99"/>
    </row>
    <row r="2563" spans="5:18" s="65" customFormat="1">
      <c r="E2563" s="130"/>
      <c r="P2563" s="99"/>
      <c r="Q2563" s="99"/>
      <c r="R2563" s="99"/>
    </row>
    <row r="2564" spans="5:18" s="65" customFormat="1">
      <c r="E2564" s="130"/>
      <c r="P2564" s="99"/>
      <c r="Q2564" s="99"/>
      <c r="R2564" s="99"/>
    </row>
    <row r="2565" spans="5:18" s="65" customFormat="1">
      <c r="E2565" s="130"/>
      <c r="P2565" s="99"/>
      <c r="Q2565" s="99"/>
      <c r="R2565" s="99"/>
    </row>
    <row r="2566" spans="5:18" s="65" customFormat="1">
      <c r="E2566" s="130"/>
      <c r="P2566" s="99"/>
      <c r="Q2566" s="99"/>
      <c r="R2566" s="99"/>
    </row>
    <row r="2567" spans="5:18" s="65" customFormat="1">
      <c r="E2567" s="130"/>
      <c r="P2567" s="99"/>
      <c r="Q2567" s="99"/>
      <c r="R2567" s="99"/>
    </row>
    <row r="2568" spans="5:18" s="65" customFormat="1">
      <c r="E2568" s="130"/>
      <c r="P2568" s="99"/>
      <c r="Q2568" s="99"/>
      <c r="R2568" s="99"/>
    </row>
    <row r="2569" spans="5:18" s="65" customFormat="1">
      <c r="E2569" s="130"/>
      <c r="P2569" s="99"/>
      <c r="Q2569" s="99"/>
      <c r="R2569" s="99"/>
    </row>
    <row r="2570" spans="5:18" s="65" customFormat="1">
      <c r="E2570" s="130"/>
      <c r="P2570" s="99"/>
      <c r="Q2570" s="99"/>
      <c r="R2570" s="99"/>
    </row>
    <row r="2571" spans="5:18" s="65" customFormat="1">
      <c r="E2571" s="130"/>
      <c r="P2571" s="99"/>
      <c r="Q2571" s="99"/>
      <c r="R2571" s="99"/>
    </row>
    <row r="2572" spans="5:18" s="65" customFormat="1">
      <c r="E2572" s="130"/>
      <c r="P2572" s="99"/>
      <c r="Q2572" s="99"/>
      <c r="R2572" s="99"/>
    </row>
    <row r="2573" spans="5:18" s="65" customFormat="1">
      <c r="E2573" s="130"/>
      <c r="P2573" s="99"/>
      <c r="Q2573" s="99"/>
      <c r="R2573" s="99"/>
    </row>
    <row r="2574" spans="5:18" s="65" customFormat="1">
      <c r="E2574" s="130"/>
      <c r="P2574" s="99"/>
      <c r="Q2574" s="99"/>
      <c r="R2574" s="99"/>
    </row>
    <row r="2575" spans="5:18" s="65" customFormat="1">
      <c r="E2575" s="130"/>
      <c r="P2575" s="99"/>
      <c r="Q2575" s="99"/>
      <c r="R2575" s="99"/>
    </row>
    <row r="2576" spans="5:18" s="65" customFormat="1">
      <c r="E2576" s="130"/>
      <c r="P2576" s="99"/>
      <c r="Q2576" s="99"/>
      <c r="R2576" s="99"/>
    </row>
    <row r="2577" spans="5:18" s="65" customFormat="1">
      <c r="E2577" s="130"/>
      <c r="P2577" s="99"/>
      <c r="Q2577" s="99"/>
      <c r="R2577" s="99"/>
    </row>
    <row r="2578" spans="5:18" s="65" customFormat="1">
      <c r="E2578" s="130"/>
      <c r="P2578" s="99"/>
      <c r="Q2578" s="99"/>
      <c r="R2578" s="99"/>
    </row>
    <row r="2579" spans="5:18" s="65" customFormat="1">
      <c r="E2579" s="130"/>
      <c r="P2579" s="99"/>
      <c r="Q2579" s="99"/>
      <c r="R2579" s="99"/>
    </row>
    <row r="2580" spans="5:18" s="65" customFormat="1">
      <c r="E2580" s="130"/>
      <c r="P2580" s="99"/>
      <c r="Q2580" s="99"/>
      <c r="R2580" s="99"/>
    </row>
    <row r="2581" spans="5:18" s="65" customFormat="1">
      <c r="E2581" s="130"/>
      <c r="P2581" s="99"/>
      <c r="Q2581" s="99"/>
      <c r="R2581" s="99"/>
    </row>
    <row r="2582" spans="5:18" s="65" customFormat="1">
      <c r="E2582" s="130"/>
      <c r="P2582" s="99"/>
      <c r="Q2582" s="99"/>
      <c r="R2582" s="99"/>
    </row>
    <row r="2583" spans="5:18" s="65" customFormat="1">
      <c r="E2583" s="130"/>
      <c r="P2583" s="99"/>
      <c r="Q2583" s="99"/>
      <c r="R2583" s="99"/>
    </row>
    <row r="2584" spans="5:18" s="65" customFormat="1">
      <c r="E2584" s="130"/>
      <c r="P2584" s="99"/>
      <c r="Q2584" s="99"/>
      <c r="R2584" s="99"/>
    </row>
    <row r="2585" spans="5:18" s="65" customFormat="1">
      <c r="E2585" s="130"/>
      <c r="P2585" s="99"/>
      <c r="Q2585" s="99"/>
      <c r="R2585" s="99"/>
    </row>
    <row r="2586" spans="5:18" s="65" customFormat="1">
      <c r="E2586" s="130"/>
      <c r="P2586" s="99"/>
      <c r="Q2586" s="99"/>
      <c r="R2586" s="99"/>
    </row>
    <row r="2587" spans="5:18" s="65" customFormat="1">
      <c r="E2587" s="130"/>
      <c r="P2587" s="99"/>
      <c r="Q2587" s="99"/>
      <c r="R2587" s="99"/>
    </row>
    <row r="2588" spans="5:18" s="65" customFormat="1">
      <c r="E2588" s="130"/>
      <c r="P2588" s="99"/>
      <c r="Q2588" s="99"/>
      <c r="R2588" s="99"/>
    </row>
    <row r="2589" spans="5:18" s="65" customFormat="1">
      <c r="E2589" s="130"/>
      <c r="P2589" s="99"/>
      <c r="Q2589" s="99"/>
      <c r="R2589" s="99"/>
    </row>
    <row r="2590" spans="5:18" s="65" customFormat="1">
      <c r="E2590" s="130"/>
      <c r="P2590" s="99"/>
      <c r="Q2590" s="99"/>
      <c r="R2590" s="99"/>
    </row>
    <row r="2591" spans="5:18" s="65" customFormat="1">
      <c r="E2591" s="130"/>
      <c r="P2591" s="99"/>
      <c r="Q2591" s="99"/>
      <c r="R2591" s="99"/>
    </row>
    <row r="2592" spans="5:18" s="65" customFormat="1">
      <c r="E2592" s="130"/>
      <c r="P2592" s="99"/>
      <c r="Q2592" s="99"/>
      <c r="R2592" s="99"/>
    </row>
    <row r="2593" spans="5:18" s="65" customFormat="1">
      <c r="E2593" s="130"/>
      <c r="P2593" s="99"/>
      <c r="Q2593" s="99"/>
      <c r="R2593" s="99"/>
    </row>
    <row r="2594" spans="5:18" s="65" customFormat="1">
      <c r="E2594" s="130"/>
      <c r="P2594" s="99"/>
      <c r="Q2594" s="99"/>
      <c r="R2594" s="99"/>
    </row>
    <row r="2595" spans="5:18" s="65" customFormat="1">
      <c r="E2595" s="130"/>
      <c r="P2595" s="99"/>
      <c r="Q2595" s="99"/>
      <c r="R2595" s="99"/>
    </row>
    <row r="2596" spans="5:18" s="65" customFormat="1">
      <c r="E2596" s="130"/>
      <c r="P2596" s="99"/>
      <c r="Q2596" s="99"/>
      <c r="R2596" s="99"/>
    </row>
    <row r="2597" spans="5:18" s="65" customFormat="1">
      <c r="E2597" s="130"/>
      <c r="P2597" s="99"/>
      <c r="Q2597" s="99"/>
      <c r="R2597" s="99"/>
    </row>
    <row r="2598" spans="5:18" s="65" customFormat="1">
      <c r="E2598" s="130"/>
      <c r="P2598" s="99"/>
      <c r="Q2598" s="99"/>
      <c r="R2598" s="99"/>
    </row>
    <row r="2599" spans="5:18" s="65" customFormat="1">
      <c r="E2599" s="130"/>
      <c r="P2599" s="99"/>
      <c r="Q2599" s="99"/>
      <c r="R2599" s="99"/>
    </row>
    <row r="2600" spans="5:18" s="65" customFormat="1">
      <c r="E2600" s="130"/>
      <c r="P2600" s="99"/>
      <c r="Q2600" s="99"/>
      <c r="R2600" s="99"/>
    </row>
    <row r="2601" spans="5:18" s="65" customFormat="1">
      <c r="E2601" s="130"/>
      <c r="P2601" s="99"/>
      <c r="Q2601" s="99"/>
      <c r="R2601" s="99"/>
    </row>
    <row r="2602" spans="5:18" s="65" customFormat="1">
      <c r="E2602" s="130"/>
      <c r="P2602" s="99"/>
      <c r="Q2602" s="99"/>
      <c r="R2602" s="99"/>
    </row>
    <row r="2603" spans="5:18" s="65" customFormat="1">
      <c r="E2603" s="130"/>
      <c r="P2603" s="99"/>
      <c r="Q2603" s="99"/>
      <c r="R2603" s="99"/>
    </row>
    <row r="2604" spans="5:18" s="65" customFormat="1">
      <c r="E2604" s="130"/>
      <c r="P2604" s="99"/>
      <c r="Q2604" s="99"/>
      <c r="R2604" s="99"/>
    </row>
    <row r="2605" spans="5:18" s="65" customFormat="1">
      <c r="E2605" s="130"/>
      <c r="P2605" s="99"/>
      <c r="Q2605" s="99"/>
      <c r="R2605" s="99"/>
    </row>
    <row r="2606" spans="5:18" s="65" customFormat="1">
      <c r="E2606" s="130"/>
      <c r="P2606" s="99"/>
      <c r="Q2606" s="99"/>
      <c r="R2606" s="99"/>
    </row>
    <row r="2607" spans="5:18" s="65" customFormat="1">
      <c r="E2607" s="130"/>
      <c r="P2607" s="99"/>
      <c r="Q2607" s="99"/>
      <c r="R2607" s="99"/>
    </row>
    <row r="2608" spans="5:18" s="65" customFormat="1">
      <c r="E2608" s="130"/>
      <c r="P2608" s="99"/>
      <c r="Q2608" s="99"/>
      <c r="R2608" s="99"/>
    </row>
    <row r="2609" spans="5:18" s="65" customFormat="1">
      <c r="E2609" s="130"/>
      <c r="P2609" s="99"/>
      <c r="Q2609" s="99"/>
      <c r="R2609" s="99"/>
    </row>
    <row r="2610" spans="5:18" s="65" customFormat="1">
      <c r="E2610" s="130"/>
      <c r="P2610" s="99"/>
      <c r="Q2610" s="99"/>
      <c r="R2610" s="99"/>
    </row>
    <row r="2611" spans="5:18" s="65" customFormat="1">
      <c r="E2611" s="130"/>
      <c r="P2611" s="99"/>
      <c r="Q2611" s="99"/>
      <c r="R2611" s="99"/>
    </row>
    <row r="2612" spans="5:18" s="65" customFormat="1">
      <c r="E2612" s="130"/>
      <c r="P2612" s="99"/>
      <c r="Q2612" s="99"/>
      <c r="R2612" s="99"/>
    </row>
    <row r="2613" spans="5:18" s="65" customFormat="1">
      <c r="E2613" s="130"/>
      <c r="P2613" s="99"/>
      <c r="Q2613" s="99"/>
      <c r="R2613" s="99"/>
    </row>
    <row r="2614" spans="5:18" s="65" customFormat="1">
      <c r="E2614" s="130"/>
      <c r="P2614" s="99"/>
      <c r="Q2614" s="99"/>
      <c r="R2614" s="99"/>
    </row>
    <row r="2615" spans="5:18" s="65" customFormat="1">
      <c r="E2615" s="130"/>
      <c r="P2615" s="99"/>
      <c r="Q2615" s="99"/>
      <c r="R2615" s="99"/>
    </row>
    <row r="2616" spans="5:18" s="65" customFormat="1">
      <c r="E2616" s="130"/>
      <c r="P2616" s="99"/>
      <c r="Q2616" s="99"/>
      <c r="R2616" s="99"/>
    </row>
    <row r="2617" spans="5:18" s="65" customFormat="1">
      <c r="E2617" s="130"/>
      <c r="P2617" s="99"/>
      <c r="Q2617" s="99"/>
      <c r="R2617" s="99"/>
    </row>
    <row r="2618" spans="5:18" s="65" customFormat="1">
      <c r="E2618" s="130"/>
      <c r="P2618" s="99"/>
      <c r="Q2618" s="99"/>
      <c r="R2618" s="99"/>
    </row>
    <row r="2619" spans="5:18" s="65" customFormat="1">
      <c r="E2619" s="130"/>
      <c r="P2619" s="99"/>
      <c r="Q2619" s="99"/>
      <c r="R2619" s="99"/>
    </row>
    <row r="2620" spans="5:18" s="65" customFormat="1">
      <c r="E2620" s="130"/>
      <c r="P2620" s="99"/>
      <c r="Q2620" s="99"/>
      <c r="R2620" s="99"/>
    </row>
    <row r="2621" spans="5:18" s="65" customFormat="1">
      <c r="E2621" s="130"/>
      <c r="P2621" s="99"/>
      <c r="Q2621" s="99"/>
      <c r="R2621" s="99"/>
    </row>
    <row r="2622" spans="5:18" s="65" customFormat="1">
      <c r="E2622" s="130"/>
      <c r="P2622" s="99"/>
      <c r="Q2622" s="99"/>
      <c r="R2622" s="99"/>
    </row>
    <row r="2623" spans="5:18" s="65" customFormat="1">
      <c r="E2623" s="130"/>
      <c r="P2623" s="99"/>
      <c r="Q2623" s="99"/>
      <c r="R2623" s="99"/>
    </row>
    <row r="2624" spans="5:18" s="65" customFormat="1">
      <c r="E2624" s="130"/>
      <c r="P2624" s="99"/>
      <c r="Q2624" s="99"/>
      <c r="R2624" s="99"/>
    </row>
    <row r="2625" spans="5:18" s="65" customFormat="1">
      <c r="E2625" s="130"/>
      <c r="P2625" s="99"/>
      <c r="Q2625" s="99"/>
      <c r="R2625" s="99"/>
    </row>
    <row r="2626" spans="5:18" s="65" customFormat="1">
      <c r="E2626" s="130"/>
      <c r="P2626" s="99"/>
      <c r="Q2626" s="99"/>
      <c r="R2626" s="99"/>
    </row>
    <row r="2627" spans="5:18" s="65" customFormat="1">
      <c r="E2627" s="130"/>
      <c r="P2627" s="99"/>
      <c r="Q2627" s="99"/>
      <c r="R2627" s="99"/>
    </row>
    <row r="2628" spans="5:18" s="65" customFormat="1">
      <c r="E2628" s="130"/>
      <c r="P2628" s="99"/>
      <c r="Q2628" s="99"/>
      <c r="R2628" s="99"/>
    </row>
    <row r="2629" spans="5:18" s="65" customFormat="1">
      <c r="E2629" s="130"/>
      <c r="P2629" s="99"/>
      <c r="Q2629" s="99"/>
      <c r="R2629" s="99"/>
    </row>
    <row r="2630" spans="5:18" s="65" customFormat="1">
      <c r="E2630" s="130"/>
      <c r="P2630" s="99"/>
      <c r="Q2630" s="99"/>
      <c r="R2630" s="99"/>
    </row>
    <row r="2631" spans="5:18" s="65" customFormat="1">
      <c r="E2631" s="130"/>
      <c r="P2631" s="99"/>
      <c r="Q2631" s="99"/>
      <c r="R2631" s="99"/>
    </row>
    <row r="2632" spans="5:18" s="65" customFormat="1">
      <c r="E2632" s="130"/>
      <c r="P2632" s="99"/>
      <c r="Q2632" s="99"/>
      <c r="R2632" s="99"/>
    </row>
    <row r="2633" spans="5:18" s="65" customFormat="1">
      <c r="E2633" s="130"/>
      <c r="P2633" s="99"/>
      <c r="Q2633" s="99"/>
      <c r="R2633" s="99"/>
    </row>
    <row r="2634" spans="5:18" s="65" customFormat="1">
      <c r="E2634" s="130"/>
      <c r="P2634" s="99"/>
      <c r="Q2634" s="99"/>
      <c r="R2634" s="99"/>
    </row>
    <row r="2635" spans="5:18" s="65" customFormat="1">
      <c r="E2635" s="130"/>
      <c r="P2635" s="99"/>
      <c r="Q2635" s="99"/>
      <c r="R2635" s="99"/>
    </row>
    <row r="2636" spans="5:18" s="65" customFormat="1">
      <c r="E2636" s="130"/>
      <c r="P2636" s="99"/>
      <c r="Q2636" s="99"/>
      <c r="R2636" s="99"/>
    </row>
    <row r="2637" spans="5:18" s="65" customFormat="1">
      <c r="E2637" s="130"/>
      <c r="P2637" s="99"/>
      <c r="Q2637" s="99"/>
      <c r="R2637" s="99"/>
    </row>
    <row r="2638" spans="5:18" s="65" customFormat="1">
      <c r="E2638" s="130"/>
      <c r="P2638" s="99"/>
      <c r="Q2638" s="99"/>
      <c r="R2638" s="99"/>
    </row>
    <row r="2639" spans="5:18" s="65" customFormat="1">
      <c r="E2639" s="130"/>
      <c r="P2639" s="99"/>
      <c r="Q2639" s="99"/>
      <c r="R2639" s="99"/>
    </row>
    <row r="2640" spans="5:18" s="65" customFormat="1">
      <c r="E2640" s="130"/>
      <c r="P2640" s="99"/>
      <c r="Q2640" s="99"/>
      <c r="R2640" s="99"/>
    </row>
    <row r="2641" spans="5:18" s="65" customFormat="1">
      <c r="E2641" s="130"/>
      <c r="P2641" s="99"/>
      <c r="Q2641" s="99"/>
      <c r="R2641" s="99"/>
    </row>
    <row r="2642" spans="5:18" s="65" customFormat="1">
      <c r="E2642" s="130"/>
      <c r="P2642" s="99"/>
      <c r="Q2642" s="99"/>
      <c r="R2642" s="99"/>
    </row>
    <row r="2643" spans="5:18" s="65" customFormat="1">
      <c r="E2643" s="130"/>
      <c r="P2643" s="99"/>
      <c r="Q2643" s="99"/>
      <c r="R2643" s="99"/>
    </row>
    <row r="2644" spans="5:18" s="65" customFormat="1">
      <c r="E2644" s="130"/>
      <c r="P2644" s="99"/>
      <c r="Q2644" s="99"/>
      <c r="R2644" s="99"/>
    </row>
    <row r="2645" spans="5:18" s="65" customFormat="1">
      <c r="E2645" s="130"/>
      <c r="P2645" s="99"/>
      <c r="Q2645" s="99"/>
      <c r="R2645" s="99"/>
    </row>
    <row r="2646" spans="5:18" s="65" customFormat="1">
      <c r="E2646" s="130"/>
      <c r="P2646" s="99"/>
      <c r="Q2646" s="99"/>
      <c r="R2646" s="99"/>
    </row>
    <row r="2647" spans="5:18" s="65" customFormat="1">
      <c r="E2647" s="130"/>
      <c r="P2647" s="99"/>
      <c r="Q2647" s="99"/>
      <c r="R2647" s="99"/>
    </row>
    <row r="2648" spans="5:18" s="65" customFormat="1">
      <c r="E2648" s="130"/>
      <c r="P2648" s="99"/>
      <c r="Q2648" s="99"/>
      <c r="R2648" s="99"/>
    </row>
    <row r="2649" spans="5:18" s="65" customFormat="1">
      <c r="E2649" s="130"/>
      <c r="P2649" s="99"/>
      <c r="Q2649" s="99"/>
      <c r="R2649" s="99"/>
    </row>
    <row r="2650" spans="5:18" s="65" customFormat="1">
      <c r="E2650" s="130"/>
      <c r="P2650" s="99"/>
      <c r="Q2650" s="99"/>
      <c r="R2650" s="99"/>
    </row>
    <row r="2651" spans="5:18" s="65" customFormat="1">
      <c r="E2651" s="130"/>
      <c r="P2651" s="99"/>
      <c r="Q2651" s="99"/>
      <c r="R2651" s="99"/>
    </row>
    <row r="2652" spans="5:18" s="65" customFormat="1">
      <c r="E2652" s="130"/>
      <c r="P2652" s="99"/>
      <c r="Q2652" s="99"/>
      <c r="R2652" s="99"/>
    </row>
    <row r="2653" spans="5:18" s="65" customFormat="1">
      <c r="E2653" s="130"/>
      <c r="P2653" s="99"/>
      <c r="Q2653" s="99"/>
      <c r="R2653" s="99"/>
    </row>
    <row r="2654" spans="5:18" s="65" customFormat="1">
      <c r="E2654" s="130"/>
      <c r="P2654" s="99"/>
      <c r="Q2654" s="99"/>
      <c r="R2654" s="99"/>
    </row>
    <row r="2655" spans="5:18" s="65" customFormat="1">
      <c r="E2655" s="130"/>
      <c r="P2655" s="99"/>
      <c r="Q2655" s="99"/>
      <c r="R2655" s="99"/>
    </row>
    <row r="2656" spans="5:18" s="65" customFormat="1">
      <c r="E2656" s="130"/>
      <c r="P2656" s="99"/>
      <c r="Q2656" s="99"/>
      <c r="R2656" s="99"/>
    </row>
    <row r="2657" spans="5:18" s="65" customFormat="1">
      <c r="E2657" s="130"/>
      <c r="P2657" s="99"/>
      <c r="Q2657" s="99"/>
      <c r="R2657" s="99"/>
    </row>
    <row r="2658" spans="5:18" s="65" customFormat="1">
      <c r="E2658" s="130"/>
      <c r="P2658" s="99"/>
      <c r="Q2658" s="99"/>
      <c r="R2658" s="99"/>
    </row>
    <row r="2659" spans="5:18" s="65" customFormat="1">
      <c r="E2659" s="130"/>
      <c r="P2659" s="99"/>
      <c r="Q2659" s="99"/>
      <c r="R2659" s="99"/>
    </row>
    <row r="2660" spans="5:18" s="65" customFormat="1">
      <c r="E2660" s="130"/>
      <c r="P2660" s="99"/>
      <c r="Q2660" s="99"/>
      <c r="R2660" s="99"/>
    </row>
    <row r="2661" spans="5:18" s="65" customFormat="1">
      <c r="E2661" s="130"/>
      <c r="P2661" s="99"/>
      <c r="Q2661" s="99"/>
      <c r="R2661" s="99"/>
    </row>
    <row r="2662" spans="5:18" s="65" customFormat="1">
      <c r="E2662" s="130"/>
      <c r="P2662" s="99"/>
      <c r="Q2662" s="99"/>
      <c r="R2662" s="99"/>
    </row>
    <row r="2663" spans="5:18" s="65" customFormat="1">
      <c r="E2663" s="130"/>
      <c r="P2663" s="99"/>
      <c r="Q2663" s="99"/>
      <c r="R2663" s="99"/>
    </row>
    <row r="2664" spans="5:18" s="65" customFormat="1">
      <c r="E2664" s="130"/>
      <c r="P2664" s="99"/>
      <c r="Q2664" s="99"/>
      <c r="R2664" s="99"/>
    </row>
    <row r="2665" spans="5:18" s="65" customFormat="1">
      <c r="E2665" s="130"/>
      <c r="P2665" s="99"/>
      <c r="Q2665" s="99"/>
      <c r="R2665" s="99"/>
    </row>
    <row r="2666" spans="5:18" s="65" customFormat="1">
      <c r="E2666" s="130"/>
      <c r="P2666" s="99"/>
      <c r="Q2666" s="99"/>
      <c r="R2666" s="99"/>
    </row>
    <row r="2667" spans="5:18" s="65" customFormat="1">
      <c r="E2667" s="130"/>
      <c r="P2667" s="99"/>
      <c r="Q2667" s="99"/>
      <c r="R2667" s="99"/>
    </row>
    <row r="2668" spans="5:18" s="65" customFormat="1">
      <c r="E2668" s="130"/>
      <c r="P2668" s="99"/>
      <c r="Q2668" s="99"/>
      <c r="R2668" s="99"/>
    </row>
    <row r="2669" spans="5:18" s="65" customFormat="1">
      <c r="E2669" s="130"/>
      <c r="P2669" s="99"/>
      <c r="Q2669" s="99"/>
      <c r="R2669" s="99"/>
    </row>
    <row r="2670" spans="5:18" s="65" customFormat="1">
      <c r="E2670" s="130"/>
      <c r="P2670" s="99"/>
      <c r="Q2670" s="99"/>
      <c r="R2670" s="99"/>
    </row>
    <row r="2671" spans="5:18" s="65" customFormat="1">
      <c r="E2671" s="130"/>
      <c r="P2671" s="99"/>
      <c r="Q2671" s="99"/>
      <c r="R2671" s="99"/>
    </row>
    <row r="2672" spans="5:18" s="65" customFormat="1">
      <c r="E2672" s="130"/>
      <c r="P2672" s="99"/>
      <c r="Q2672" s="99"/>
      <c r="R2672" s="99"/>
    </row>
    <row r="2673" spans="5:18" s="65" customFormat="1">
      <c r="E2673" s="130"/>
      <c r="P2673" s="99"/>
      <c r="Q2673" s="99"/>
      <c r="R2673" s="99"/>
    </row>
    <row r="2674" spans="5:18" s="65" customFormat="1">
      <c r="E2674" s="130"/>
      <c r="P2674" s="99"/>
      <c r="Q2674" s="99"/>
      <c r="R2674" s="99"/>
    </row>
    <row r="2675" spans="5:18" s="65" customFormat="1">
      <c r="E2675" s="130"/>
      <c r="P2675" s="99"/>
      <c r="Q2675" s="99"/>
      <c r="R2675" s="99"/>
    </row>
    <row r="2676" spans="5:18" s="65" customFormat="1">
      <c r="E2676" s="130"/>
      <c r="P2676" s="99"/>
      <c r="Q2676" s="99"/>
      <c r="R2676" s="99"/>
    </row>
    <row r="2677" spans="5:18" s="65" customFormat="1">
      <c r="E2677" s="130"/>
      <c r="P2677" s="99"/>
      <c r="Q2677" s="99"/>
      <c r="R2677" s="99"/>
    </row>
    <row r="2678" spans="5:18" s="65" customFormat="1">
      <c r="E2678" s="130"/>
      <c r="P2678" s="99"/>
      <c r="Q2678" s="99"/>
      <c r="R2678" s="99"/>
    </row>
    <row r="2679" spans="5:18" s="65" customFormat="1">
      <c r="E2679" s="130"/>
      <c r="P2679" s="99"/>
      <c r="Q2679" s="99"/>
      <c r="R2679" s="99"/>
    </row>
    <row r="2680" spans="5:18" s="65" customFormat="1">
      <c r="E2680" s="130"/>
      <c r="P2680" s="99"/>
      <c r="Q2680" s="99"/>
      <c r="R2680" s="99"/>
    </row>
    <row r="2681" spans="5:18" s="65" customFormat="1">
      <c r="E2681" s="130"/>
      <c r="P2681" s="99"/>
      <c r="Q2681" s="99"/>
      <c r="R2681" s="99"/>
    </row>
    <row r="2682" spans="5:18" s="65" customFormat="1">
      <c r="E2682" s="130"/>
      <c r="P2682" s="99"/>
      <c r="Q2682" s="99"/>
      <c r="R2682" s="99"/>
    </row>
    <row r="2683" spans="5:18" s="65" customFormat="1">
      <c r="E2683" s="130"/>
      <c r="P2683" s="99"/>
      <c r="Q2683" s="99"/>
      <c r="R2683" s="99"/>
    </row>
    <row r="2684" spans="5:18" s="65" customFormat="1">
      <c r="E2684" s="130"/>
      <c r="P2684" s="99"/>
      <c r="Q2684" s="99"/>
      <c r="R2684" s="99"/>
    </row>
    <row r="2685" spans="5:18" s="65" customFormat="1">
      <c r="E2685" s="130"/>
      <c r="P2685" s="99"/>
      <c r="Q2685" s="99"/>
      <c r="R2685" s="99"/>
    </row>
    <row r="2686" spans="5:18" s="65" customFormat="1">
      <c r="E2686" s="130"/>
      <c r="P2686" s="99"/>
      <c r="Q2686" s="99"/>
      <c r="R2686" s="99"/>
    </row>
    <row r="2687" spans="5:18" s="65" customFormat="1">
      <c r="E2687" s="130"/>
      <c r="P2687" s="99"/>
      <c r="Q2687" s="99"/>
      <c r="R2687" s="99"/>
    </row>
    <row r="2688" spans="5:18" s="65" customFormat="1">
      <c r="E2688" s="130"/>
      <c r="P2688" s="99"/>
      <c r="Q2688" s="99"/>
      <c r="R2688" s="99"/>
    </row>
    <row r="2689" spans="5:18" s="65" customFormat="1">
      <c r="E2689" s="130"/>
      <c r="P2689" s="99"/>
      <c r="Q2689" s="99"/>
      <c r="R2689" s="99"/>
    </row>
    <row r="2690" spans="5:18" s="65" customFormat="1">
      <c r="E2690" s="130"/>
      <c r="P2690" s="99"/>
      <c r="Q2690" s="99"/>
      <c r="R2690" s="99"/>
    </row>
    <row r="2691" spans="5:18" s="65" customFormat="1">
      <c r="E2691" s="130"/>
      <c r="P2691" s="99"/>
      <c r="Q2691" s="99"/>
      <c r="R2691" s="99"/>
    </row>
    <row r="2692" spans="5:18" s="65" customFormat="1">
      <c r="E2692" s="130"/>
      <c r="P2692" s="99"/>
      <c r="Q2692" s="99"/>
      <c r="R2692" s="99"/>
    </row>
    <row r="2693" spans="5:18" s="65" customFormat="1">
      <c r="E2693" s="130"/>
      <c r="P2693" s="99"/>
      <c r="Q2693" s="99"/>
      <c r="R2693" s="99"/>
    </row>
    <row r="2694" spans="5:18" s="65" customFormat="1">
      <c r="E2694" s="130"/>
      <c r="P2694" s="99"/>
      <c r="Q2694" s="99"/>
      <c r="R2694" s="99"/>
    </row>
    <row r="2695" spans="5:18" s="65" customFormat="1">
      <c r="E2695" s="130"/>
      <c r="P2695" s="99"/>
      <c r="Q2695" s="99"/>
      <c r="R2695" s="99"/>
    </row>
    <row r="2696" spans="5:18" s="65" customFormat="1">
      <c r="E2696" s="130"/>
      <c r="P2696" s="99"/>
      <c r="Q2696" s="99"/>
      <c r="R2696" s="99"/>
    </row>
    <row r="2697" spans="5:18" s="65" customFormat="1">
      <c r="E2697" s="130"/>
      <c r="P2697" s="99"/>
      <c r="Q2697" s="99"/>
      <c r="R2697" s="99"/>
    </row>
    <row r="2698" spans="5:18" s="65" customFormat="1">
      <c r="E2698" s="130"/>
      <c r="P2698" s="99"/>
      <c r="Q2698" s="99"/>
      <c r="R2698" s="99"/>
    </row>
    <row r="2699" spans="5:18" s="65" customFormat="1">
      <c r="E2699" s="130"/>
      <c r="P2699" s="99"/>
      <c r="Q2699" s="99"/>
      <c r="R2699" s="99"/>
    </row>
    <row r="2700" spans="5:18" s="65" customFormat="1">
      <c r="E2700" s="130"/>
      <c r="P2700" s="99"/>
      <c r="Q2700" s="99"/>
      <c r="R2700" s="99"/>
    </row>
    <row r="2701" spans="5:18" s="65" customFormat="1">
      <c r="E2701" s="130"/>
      <c r="P2701" s="99"/>
      <c r="Q2701" s="99"/>
      <c r="R2701" s="99"/>
    </row>
    <row r="2702" spans="5:18" s="65" customFormat="1">
      <c r="E2702" s="130"/>
      <c r="P2702" s="99"/>
      <c r="Q2702" s="99"/>
      <c r="R2702" s="99"/>
    </row>
    <row r="2703" spans="5:18" s="65" customFormat="1">
      <c r="E2703" s="130"/>
      <c r="P2703" s="99"/>
      <c r="Q2703" s="99"/>
      <c r="R2703" s="99"/>
    </row>
    <row r="2704" spans="5:18" s="65" customFormat="1">
      <c r="E2704" s="130"/>
      <c r="P2704" s="99"/>
      <c r="Q2704" s="99"/>
      <c r="R2704" s="99"/>
    </row>
    <row r="2705" spans="5:18" s="65" customFormat="1">
      <c r="E2705" s="130"/>
      <c r="P2705" s="99"/>
      <c r="Q2705" s="99"/>
      <c r="R2705" s="99"/>
    </row>
    <row r="2706" spans="5:18" s="65" customFormat="1">
      <c r="E2706" s="130"/>
      <c r="P2706" s="99"/>
      <c r="Q2706" s="99"/>
      <c r="R2706" s="99"/>
    </row>
    <row r="2707" spans="5:18" s="65" customFormat="1">
      <c r="E2707" s="130"/>
      <c r="P2707" s="99"/>
      <c r="Q2707" s="99"/>
      <c r="R2707" s="99"/>
    </row>
    <row r="2708" spans="5:18" s="65" customFormat="1">
      <c r="E2708" s="130"/>
      <c r="P2708" s="99"/>
      <c r="Q2708" s="99"/>
      <c r="R2708" s="99"/>
    </row>
    <row r="2709" spans="5:18" s="65" customFormat="1">
      <c r="E2709" s="130"/>
      <c r="P2709" s="99"/>
      <c r="Q2709" s="99"/>
      <c r="R2709" s="99"/>
    </row>
    <row r="2710" spans="5:18" s="65" customFormat="1">
      <c r="E2710" s="130"/>
      <c r="P2710" s="99"/>
      <c r="Q2710" s="99"/>
      <c r="R2710" s="99"/>
    </row>
    <row r="2711" spans="5:18" s="65" customFormat="1">
      <c r="E2711" s="130"/>
      <c r="P2711" s="99"/>
      <c r="Q2711" s="99"/>
      <c r="R2711" s="99"/>
    </row>
    <row r="2712" spans="5:18" s="65" customFormat="1">
      <c r="E2712" s="130"/>
      <c r="P2712" s="99"/>
      <c r="Q2712" s="99"/>
      <c r="R2712" s="99"/>
    </row>
    <row r="2713" spans="5:18" s="65" customFormat="1">
      <c r="E2713" s="130"/>
      <c r="P2713" s="99"/>
      <c r="Q2713" s="99"/>
      <c r="R2713" s="99"/>
    </row>
    <row r="2714" spans="5:18" s="65" customFormat="1">
      <c r="E2714" s="130"/>
      <c r="P2714" s="99"/>
      <c r="Q2714" s="99"/>
      <c r="R2714" s="99"/>
    </row>
    <row r="2715" spans="5:18" s="65" customFormat="1">
      <c r="E2715" s="130"/>
      <c r="P2715" s="99"/>
      <c r="Q2715" s="99"/>
      <c r="R2715" s="99"/>
    </row>
    <row r="2716" spans="5:18" s="65" customFormat="1">
      <c r="E2716" s="130"/>
      <c r="P2716" s="99"/>
      <c r="Q2716" s="99"/>
      <c r="R2716" s="99"/>
    </row>
    <row r="2717" spans="5:18" s="65" customFormat="1">
      <c r="E2717" s="130"/>
      <c r="P2717" s="99"/>
      <c r="Q2717" s="99"/>
      <c r="R2717" s="99"/>
    </row>
    <row r="2718" spans="5:18" s="65" customFormat="1">
      <c r="E2718" s="130"/>
      <c r="P2718" s="99"/>
      <c r="Q2718" s="99"/>
      <c r="R2718" s="99"/>
    </row>
    <row r="2719" spans="5:18" s="65" customFormat="1">
      <c r="E2719" s="130"/>
      <c r="P2719" s="99"/>
      <c r="Q2719" s="99"/>
      <c r="R2719" s="99"/>
    </row>
    <row r="2720" spans="5:18" s="65" customFormat="1">
      <c r="E2720" s="130"/>
      <c r="P2720" s="99"/>
      <c r="Q2720" s="99"/>
      <c r="R2720" s="99"/>
    </row>
    <row r="2721" spans="5:18" s="65" customFormat="1">
      <c r="E2721" s="130"/>
      <c r="P2721" s="99"/>
      <c r="Q2721" s="99"/>
      <c r="R2721" s="99"/>
    </row>
    <row r="2722" spans="5:18" s="65" customFormat="1">
      <c r="E2722" s="130"/>
      <c r="P2722" s="99"/>
      <c r="Q2722" s="99"/>
      <c r="R2722" s="99"/>
    </row>
    <row r="2723" spans="5:18" s="65" customFormat="1">
      <c r="E2723" s="130"/>
      <c r="P2723" s="99"/>
      <c r="Q2723" s="99"/>
      <c r="R2723" s="99"/>
    </row>
    <row r="2724" spans="5:18" s="65" customFormat="1">
      <c r="E2724" s="130"/>
      <c r="P2724" s="99"/>
      <c r="Q2724" s="99"/>
      <c r="R2724" s="99"/>
    </row>
    <row r="2725" spans="5:18" s="65" customFormat="1">
      <c r="E2725" s="130"/>
      <c r="P2725" s="99"/>
      <c r="Q2725" s="99"/>
      <c r="R2725" s="99"/>
    </row>
    <row r="2726" spans="5:18" s="65" customFormat="1">
      <c r="E2726" s="130"/>
      <c r="P2726" s="99"/>
      <c r="Q2726" s="99"/>
      <c r="R2726" s="99"/>
    </row>
    <row r="2727" spans="5:18" s="65" customFormat="1">
      <c r="E2727" s="130"/>
      <c r="P2727" s="99"/>
      <c r="Q2727" s="99"/>
      <c r="R2727" s="99"/>
    </row>
    <row r="2728" spans="5:18" s="65" customFormat="1">
      <c r="E2728" s="130"/>
      <c r="P2728" s="99"/>
      <c r="Q2728" s="99"/>
      <c r="R2728" s="99"/>
    </row>
    <row r="2729" spans="5:18" s="65" customFormat="1">
      <c r="E2729" s="130"/>
      <c r="P2729" s="99"/>
      <c r="Q2729" s="99"/>
      <c r="R2729" s="99"/>
    </row>
    <row r="2730" spans="5:18" s="65" customFormat="1">
      <c r="E2730" s="130"/>
      <c r="P2730" s="99"/>
      <c r="Q2730" s="99"/>
      <c r="R2730" s="99"/>
    </row>
    <row r="2731" spans="5:18" s="65" customFormat="1">
      <c r="E2731" s="130"/>
      <c r="P2731" s="99"/>
      <c r="Q2731" s="99"/>
      <c r="R2731" s="99"/>
    </row>
    <row r="2732" spans="5:18" s="65" customFormat="1">
      <c r="E2732" s="130"/>
      <c r="P2732" s="99"/>
      <c r="Q2732" s="99"/>
      <c r="R2732" s="99"/>
    </row>
    <row r="2733" spans="5:18" s="65" customFormat="1">
      <c r="E2733" s="130"/>
      <c r="P2733" s="99"/>
      <c r="Q2733" s="99"/>
      <c r="R2733" s="99"/>
    </row>
    <row r="2734" spans="5:18" s="65" customFormat="1">
      <c r="E2734" s="130"/>
      <c r="P2734" s="99"/>
      <c r="Q2734" s="99"/>
      <c r="R2734" s="99"/>
    </row>
    <row r="2735" spans="5:18" s="65" customFormat="1">
      <c r="E2735" s="130"/>
      <c r="P2735" s="99"/>
      <c r="Q2735" s="99"/>
      <c r="R2735" s="99"/>
    </row>
    <row r="2736" spans="5:18" s="65" customFormat="1">
      <c r="E2736" s="130"/>
      <c r="P2736" s="99"/>
      <c r="Q2736" s="99"/>
      <c r="R2736" s="99"/>
    </row>
    <row r="2737" spans="5:18" s="65" customFormat="1">
      <c r="E2737" s="130"/>
      <c r="P2737" s="99"/>
      <c r="Q2737" s="99"/>
      <c r="R2737" s="99"/>
    </row>
    <row r="2738" spans="5:18" s="65" customFormat="1">
      <c r="E2738" s="130"/>
      <c r="P2738" s="99"/>
      <c r="Q2738" s="99"/>
      <c r="R2738" s="99"/>
    </row>
    <row r="2739" spans="5:18" s="65" customFormat="1">
      <c r="E2739" s="130"/>
      <c r="P2739" s="99"/>
      <c r="Q2739" s="99"/>
      <c r="R2739" s="99"/>
    </row>
    <row r="2740" spans="5:18" s="65" customFormat="1">
      <c r="E2740" s="130"/>
      <c r="P2740" s="99"/>
      <c r="Q2740" s="99"/>
      <c r="R2740" s="99"/>
    </row>
    <row r="2741" spans="5:18" s="65" customFormat="1">
      <c r="E2741" s="130"/>
      <c r="P2741" s="99"/>
      <c r="Q2741" s="99"/>
      <c r="R2741" s="99"/>
    </row>
    <row r="2742" spans="5:18" s="65" customFormat="1">
      <c r="E2742" s="130"/>
      <c r="P2742" s="99"/>
      <c r="Q2742" s="99"/>
      <c r="R2742" s="99"/>
    </row>
    <row r="2743" spans="5:18" s="65" customFormat="1">
      <c r="E2743" s="130"/>
      <c r="P2743" s="99"/>
      <c r="Q2743" s="99"/>
      <c r="R2743" s="99"/>
    </row>
    <row r="2744" spans="5:18" s="65" customFormat="1">
      <c r="E2744" s="130"/>
      <c r="P2744" s="99"/>
      <c r="Q2744" s="99"/>
      <c r="R2744" s="99"/>
    </row>
    <row r="2745" spans="5:18" s="65" customFormat="1">
      <c r="E2745" s="130"/>
      <c r="P2745" s="99"/>
      <c r="Q2745" s="99"/>
      <c r="R2745" s="99"/>
    </row>
    <row r="2746" spans="5:18" s="65" customFormat="1">
      <c r="E2746" s="130"/>
      <c r="P2746" s="99"/>
      <c r="Q2746" s="99"/>
      <c r="R2746" s="99"/>
    </row>
    <row r="2747" spans="5:18" s="65" customFormat="1">
      <c r="E2747" s="130"/>
      <c r="P2747" s="99"/>
      <c r="Q2747" s="99"/>
      <c r="R2747" s="99"/>
    </row>
    <row r="2748" spans="5:18" s="65" customFormat="1">
      <c r="E2748" s="130"/>
      <c r="P2748" s="99"/>
      <c r="Q2748" s="99"/>
      <c r="R2748" s="99"/>
    </row>
    <row r="2749" spans="5:18" s="65" customFormat="1">
      <c r="E2749" s="130"/>
      <c r="P2749" s="99"/>
      <c r="Q2749" s="99"/>
      <c r="R2749" s="99"/>
    </row>
    <row r="2750" spans="5:18" s="65" customFormat="1">
      <c r="E2750" s="130"/>
      <c r="P2750" s="99"/>
      <c r="Q2750" s="99"/>
      <c r="R2750" s="99"/>
    </row>
    <row r="2751" spans="5:18" s="65" customFormat="1">
      <c r="E2751" s="130"/>
      <c r="P2751" s="99"/>
      <c r="Q2751" s="99"/>
      <c r="R2751" s="99"/>
    </row>
    <row r="2752" spans="5:18" s="65" customFormat="1">
      <c r="E2752" s="130"/>
      <c r="P2752" s="99"/>
      <c r="Q2752" s="99"/>
      <c r="R2752" s="99"/>
    </row>
    <row r="2753" spans="5:18" s="65" customFormat="1">
      <c r="E2753" s="130"/>
      <c r="P2753" s="99"/>
      <c r="Q2753" s="99"/>
      <c r="R2753" s="99"/>
    </row>
    <row r="2754" spans="5:18" s="65" customFormat="1">
      <c r="E2754" s="130"/>
      <c r="P2754" s="99"/>
      <c r="Q2754" s="99"/>
      <c r="R2754" s="99"/>
    </row>
    <row r="2755" spans="5:18" s="65" customFormat="1">
      <c r="E2755" s="130"/>
      <c r="P2755" s="99"/>
      <c r="Q2755" s="99"/>
      <c r="R2755" s="99"/>
    </row>
    <row r="2756" spans="5:18" s="65" customFormat="1">
      <c r="E2756" s="130"/>
      <c r="P2756" s="99"/>
      <c r="Q2756" s="99"/>
      <c r="R2756" s="99"/>
    </row>
    <row r="2757" spans="5:18" s="65" customFormat="1">
      <c r="E2757" s="130"/>
      <c r="P2757" s="99"/>
      <c r="Q2757" s="99"/>
      <c r="R2757" s="99"/>
    </row>
    <row r="2758" spans="5:18" s="65" customFormat="1">
      <c r="E2758" s="130"/>
      <c r="P2758" s="99"/>
      <c r="Q2758" s="99"/>
      <c r="R2758" s="99"/>
    </row>
    <row r="2759" spans="5:18" s="65" customFormat="1">
      <c r="E2759" s="130"/>
      <c r="P2759" s="99"/>
      <c r="Q2759" s="99"/>
      <c r="R2759" s="99"/>
    </row>
    <row r="2760" spans="5:18" s="65" customFormat="1">
      <c r="E2760" s="130"/>
      <c r="P2760" s="99"/>
      <c r="Q2760" s="99"/>
      <c r="R2760" s="99"/>
    </row>
    <row r="2761" spans="5:18" s="65" customFormat="1">
      <c r="E2761" s="130"/>
      <c r="P2761" s="99"/>
      <c r="Q2761" s="99"/>
      <c r="R2761" s="99"/>
    </row>
    <row r="2762" spans="5:18" s="65" customFormat="1">
      <c r="E2762" s="130"/>
      <c r="P2762" s="99"/>
      <c r="Q2762" s="99"/>
      <c r="R2762" s="99"/>
    </row>
    <row r="2763" spans="5:18" s="65" customFormat="1">
      <c r="E2763" s="130"/>
      <c r="P2763" s="99"/>
      <c r="Q2763" s="99"/>
      <c r="R2763" s="99"/>
    </row>
    <row r="2764" spans="5:18" s="65" customFormat="1">
      <c r="E2764" s="130"/>
      <c r="P2764" s="99"/>
      <c r="Q2764" s="99"/>
      <c r="R2764" s="99"/>
    </row>
    <row r="2765" spans="5:18" s="65" customFormat="1">
      <c r="E2765" s="130"/>
      <c r="P2765" s="99"/>
      <c r="Q2765" s="99"/>
      <c r="R2765" s="99"/>
    </row>
    <row r="2766" spans="5:18" s="65" customFormat="1">
      <c r="E2766" s="130"/>
      <c r="P2766" s="99"/>
      <c r="Q2766" s="99"/>
      <c r="R2766" s="99"/>
    </row>
    <row r="2767" spans="5:18" s="65" customFormat="1">
      <c r="E2767" s="130"/>
      <c r="P2767" s="99"/>
      <c r="Q2767" s="99"/>
      <c r="R2767" s="99"/>
    </row>
    <row r="2768" spans="5:18" s="65" customFormat="1">
      <c r="E2768" s="130"/>
      <c r="P2768" s="99"/>
      <c r="Q2768" s="99"/>
      <c r="R2768" s="99"/>
    </row>
    <row r="2769" spans="5:18" s="65" customFormat="1">
      <c r="E2769" s="130"/>
      <c r="P2769" s="99"/>
      <c r="Q2769" s="99"/>
      <c r="R2769" s="99"/>
    </row>
    <row r="2770" spans="5:18" s="65" customFormat="1">
      <c r="E2770" s="130"/>
      <c r="P2770" s="99"/>
      <c r="Q2770" s="99"/>
      <c r="R2770" s="99"/>
    </row>
    <row r="2771" spans="5:18" s="65" customFormat="1">
      <c r="E2771" s="130"/>
      <c r="P2771" s="99"/>
      <c r="Q2771" s="99"/>
      <c r="R2771" s="99"/>
    </row>
    <row r="2772" spans="5:18" s="65" customFormat="1">
      <c r="E2772" s="130"/>
      <c r="P2772" s="99"/>
      <c r="Q2772" s="99"/>
      <c r="R2772" s="99"/>
    </row>
    <row r="2773" spans="5:18" s="65" customFormat="1">
      <c r="E2773" s="130"/>
      <c r="P2773" s="99"/>
      <c r="Q2773" s="99"/>
      <c r="R2773" s="99"/>
    </row>
    <row r="2774" spans="5:18" s="65" customFormat="1">
      <c r="E2774" s="130"/>
      <c r="P2774" s="99"/>
      <c r="Q2774" s="99"/>
      <c r="R2774" s="99"/>
    </row>
    <row r="2775" spans="5:18" s="65" customFormat="1">
      <c r="E2775" s="130"/>
      <c r="P2775" s="99"/>
      <c r="Q2775" s="99"/>
      <c r="R2775" s="99"/>
    </row>
    <row r="2776" spans="5:18" s="65" customFormat="1">
      <c r="E2776" s="130"/>
      <c r="P2776" s="99"/>
      <c r="Q2776" s="99"/>
      <c r="R2776" s="99"/>
    </row>
    <row r="2777" spans="5:18" s="65" customFormat="1">
      <c r="E2777" s="130"/>
      <c r="P2777" s="99"/>
      <c r="Q2777" s="99"/>
      <c r="R2777" s="99"/>
    </row>
    <row r="2778" spans="5:18" s="65" customFormat="1">
      <c r="E2778" s="130"/>
      <c r="P2778" s="99"/>
      <c r="Q2778" s="99"/>
      <c r="R2778" s="99"/>
    </row>
    <row r="2779" spans="5:18" s="65" customFormat="1">
      <c r="E2779" s="130"/>
      <c r="P2779" s="99"/>
      <c r="Q2779" s="99"/>
      <c r="R2779" s="99"/>
    </row>
    <row r="2780" spans="5:18" s="65" customFormat="1">
      <c r="E2780" s="130"/>
      <c r="P2780" s="99"/>
      <c r="Q2780" s="99"/>
      <c r="R2780" s="99"/>
    </row>
    <row r="2781" spans="5:18" s="65" customFormat="1">
      <c r="E2781" s="130"/>
      <c r="P2781" s="99"/>
      <c r="Q2781" s="99"/>
      <c r="R2781" s="99"/>
    </row>
    <row r="2782" spans="5:18" s="65" customFormat="1">
      <c r="E2782" s="130"/>
      <c r="P2782" s="99"/>
      <c r="Q2782" s="99"/>
      <c r="R2782" s="99"/>
    </row>
    <row r="2783" spans="5:18" s="65" customFormat="1">
      <c r="E2783" s="130"/>
      <c r="P2783" s="99"/>
      <c r="Q2783" s="99"/>
      <c r="R2783" s="99"/>
    </row>
    <row r="2784" spans="5:18" s="65" customFormat="1">
      <c r="E2784" s="130"/>
      <c r="P2784" s="99"/>
      <c r="Q2784" s="99"/>
      <c r="R2784" s="99"/>
    </row>
    <row r="2785" spans="5:18" s="65" customFormat="1">
      <c r="E2785" s="130"/>
      <c r="P2785" s="99"/>
      <c r="Q2785" s="99"/>
      <c r="R2785" s="99"/>
    </row>
    <row r="2786" spans="5:18" s="65" customFormat="1">
      <c r="E2786" s="130"/>
      <c r="P2786" s="99"/>
      <c r="Q2786" s="99"/>
      <c r="R2786" s="99"/>
    </row>
    <row r="2787" spans="5:18" s="65" customFormat="1">
      <c r="E2787" s="130"/>
      <c r="P2787" s="99"/>
      <c r="Q2787" s="99"/>
      <c r="R2787" s="99"/>
    </row>
    <row r="2788" spans="5:18" s="65" customFormat="1">
      <c r="E2788" s="130"/>
      <c r="P2788" s="99"/>
      <c r="Q2788" s="99"/>
      <c r="R2788" s="99"/>
    </row>
    <row r="2789" spans="5:18" s="65" customFormat="1">
      <c r="E2789" s="130"/>
      <c r="P2789" s="99"/>
      <c r="Q2789" s="99"/>
      <c r="R2789" s="99"/>
    </row>
    <row r="2790" spans="5:18" s="65" customFormat="1">
      <c r="E2790" s="130"/>
      <c r="P2790" s="99"/>
      <c r="Q2790" s="99"/>
      <c r="R2790" s="99"/>
    </row>
    <row r="2791" spans="5:18" s="65" customFormat="1">
      <c r="E2791" s="130"/>
      <c r="P2791" s="99"/>
      <c r="Q2791" s="99"/>
      <c r="R2791" s="99"/>
    </row>
    <row r="2792" spans="5:18" s="65" customFormat="1">
      <c r="E2792" s="130"/>
      <c r="P2792" s="99"/>
      <c r="Q2792" s="99"/>
      <c r="R2792" s="99"/>
    </row>
    <row r="2793" spans="5:18" s="65" customFormat="1">
      <c r="E2793" s="130"/>
      <c r="P2793" s="99"/>
      <c r="Q2793" s="99"/>
      <c r="R2793" s="99"/>
    </row>
    <row r="2794" spans="5:18" s="65" customFormat="1">
      <c r="E2794" s="130"/>
      <c r="P2794" s="99"/>
      <c r="Q2794" s="99"/>
      <c r="R2794" s="99"/>
    </row>
    <row r="2795" spans="5:18" s="65" customFormat="1">
      <c r="E2795" s="130"/>
      <c r="P2795" s="99"/>
      <c r="Q2795" s="99"/>
      <c r="R2795" s="99"/>
    </row>
    <row r="2796" spans="5:18" s="65" customFormat="1">
      <c r="E2796" s="130"/>
      <c r="P2796" s="99"/>
      <c r="Q2796" s="99"/>
      <c r="R2796" s="99"/>
    </row>
    <row r="2797" spans="5:18" s="65" customFormat="1">
      <c r="E2797" s="130"/>
      <c r="P2797" s="99"/>
      <c r="Q2797" s="99"/>
      <c r="R2797" s="99"/>
    </row>
    <row r="2798" spans="5:18" s="65" customFormat="1">
      <c r="E2798" s="130"/>
      <c r="P2798" s="99"/>
      <c r="Q2798" s="99"/>
      <c r="R2798" s="99"/>
    </row>
    <row r="2799" spans="5:18" s="65" customFormat="1">
      <c r="E2799" s="130"/>
      <c r="P2799" s="99"/>
      <c r="Q2799" s="99"/>
      <c r="R2799" s="99"/>
    </row>
    <row r="2800" spans="5:18" s="65" customFormat="1">
      <c r="E2800" s="130"/>
      <c r="P2800" s="99"/>
      <c r="Q2800" s="99"/>
      <c r="R2800" s="99"/>
    </row>
    <row r="2801" spans="5:18" s="65" customFormat="1">
      <c r="E2801" s="130"/>
      <c r="P2801" s="99"/>
      <c r="Q2801" s="99"/>
      <c r="R2801" s="99"/>
    </row>
    <row r="2802" spans="5:18" s="65" customFormat="1">
      <c r="E2802" s="130"/>
      <c r="P2802" s="99"/>
      <c r="Q2802" s="99"/>
      <c r="R2802" s="99"/>
    </row>
    <row r="2803" spans="5:18" s="65" customFormat="1">
      <c r="E2803" s="130"/>
      <c r="P2803" s="99"/>
      <c r="Q2803" s="99"/>
      <c r="R2803" s="99"/>
    </row>
    <row r="2804" spans="5:18" s="65" customFormat="1">
      <c r="E2804" s="130"/>
      <c r="P2804" s="99"/>
      <c r="Q2804" s="99"/>
      <c r="R2804" s="99"/>
    </row>
    <row r="2805" spans="5:18" s="65" customFormat="1">
      <c r="E2805" s="130"/>
      <c r="P2805" s="99"/>
      <c r="Q2805" s="99"/>
      <c r="R2805" s="99"/>
    </row>
    <row r="2806" spans="5:18" s="65" customFormat="1">
      <c r="E2806" s="130"/>
      <c r="P2806" s="99"/>
      <c r="Q2806" s="99"/>
      <c r="R2806" s="99"/>
    </row>
    <row r="2807" spans="5:18" s="65" customFormat="1">
      <c r="E2807" s="130"/>
      <c r="P2807" s="99"/>
      <c r="Q2807" s="99"/>
      <c r="R2807" s="99"/>
    </row>
    <row r="2808" spans="5:18" s="65" customFormat="1">
      <c r="E2808" s="130"/>
      <c r="P2808" s="99"/>
      <c r="Q2808" s="99"/>
      <c r="R2808" s="99"/>
    </row>
    <row r="2809" spans="5:18" s="65" customFormat="1">
      <c r="E2809" s="130"/>
      <c r="P2809" s="99"/>
      <c r="Q2809" s="99"/>
      <c r="R2809" s="99"/>
    </row>
    <row r="2810" spans="5:18" s="65" customFormat="1">
      <c r="E2810" s="130"/>
      <c r="P2810" s="99"/>
      <c r="Q2810" s="99"/>
      <c r="R2810" s="99"/>
    </row>
    <row r="2811" spans="5:18" s="65" customFormat="1">
      <c r="E2811" s="130"/>
      <c r="P2811" s="99"/>
      <c r="Q2811" s="99"/>
      <c r="R2811" s="99"/>
    </row>
    <row r="2812" spans="5:18" s="65" customFormat="1">
      <c r="E2812" s="130"/>
      <c r="P2812" s="99"/>
      <c r="Q2812" s="99"/>
      <c r="R2812" s="99"/>
    </row>
    <row r="2813" spans="5:18" s="65" customFormat="1">
      <c r="E2813" s="130"/>
      <c r="P2813" s="99"/>
      <c r="Q2813" s="99"/>
      <c r="R2813" s="99"/>
    </row>
    <row r="2814" spans="5:18" s="65" customFormat="1">
      <c r="E2814" s="130"/>
      <c r="P2814" s="99"/>
      <c r="Q2814" s="99"/>
      <c r="R2814" s="99"/>
    </row>
    <row r="2815" spans="5:18" s="65" customFormat="1">
      <c r="E2815" s="130"/>
      <c r="P2815" s="99"/>
      <c r="Q2815" s="99"/>
      <c r="R2815" s="99"/>
    </row>
    <row r="2816" spans="5:18" s="65" customFormat="1">
      <c r="E2816" s="130"/>
      <c r="P2816" s="99"/>
      <c r="Q2816" s="99"/>
      <c r="R2816" s="99"/>
    </row>
    <row r="2817" spans="5:18" s="65" customFormat="1">
      <c r="E2817" s="130"/>
      <c r="P2817" s="99"/>
      <c r="Q2817" s="99"/>
      <c r="R2817" s="99"/>
    </row>
    <row r="2818" spans="5:18" s="65" customFormat="1">
      <c r="E2818" s="130"/>
      <c r="P2818" s="99"/>
      <c r="Q2818" s="99"/>
      <c r="R2818" s="99"/>
    </row>
    <row r="2819" spans="5:18" s="65" customFormat="1">
      <c r="E2819" s="130"/>
      <c r="P2819" s="99"/>
      <c r="Q2819" s="99"/>
      <c r="R2819" s="99"/>
    </row>
    <row r="2820" spans="5:18" s="65" customFormat="1">
      <c r="E2820" s="130"/>
      <c r="P2820" s="99"/>
      <c r="Q2820" s="99"/>
      <c r="R2820" s="99"/>
    </row>
    <row r="2821" spans="5:18" s="65" customFormat="1">
      <c r="E2821" s="130"/>
      <c r="P2821" s="99"/>
      <c r="Q2821" s="99"/>
      <c r="R2821" s="99"/>
    </row>
    <row r="2822" spans="5:18" s="65" customFormat="1">
      <c r="E2822" s="130"/>
      <c r="P2822" s="99"/>
      <c r="Q2822" s="99"/>
      <c r="R2822" s="99"/>
    </row>
    <row r="2823" spans="5:18" s="65" customFormat="1">
      <c r="E2823" s="130"/>
      <c r="P2823" s="99"/>
      <c r="Q2823" s="99"/>
      <c r="R2823" s="99"/>
    </row>
    <row r="2824" spans="5:18" s="65" customFormat="1">
      <c r="E2824" s="130"/>
      <c r="P2824" s="99"/>
      <c r="Q2824" s="99"/>
      <c r="R2824" s="99"/>
    </row>
    <row r="2825" spans="5:18" s="65" customFormat="1">
      <c r="E2825" s="130"/>
      <c r="P2825" s="99"/>
      <c r="Q2825" s="99"/>
      <c r="R2825" s="99"/>
    </row>
    <row r="2826" spans="5:18" s="65" customFormat="1">
      <c r="E2826" s="130"/>
      <c r="P2826" s="99"/>
      <c r="Q2826" s="99"/>
      <c r="R2826" s="99"/>
    </row>
    <row r="2827" spans="5:18" s="65" customFormat="1">
      <c r="E2827" s="130"/>
      <c r="P2827" s="99"/>
      <c r="Q2827" s="99"/>
      <c r="R2827" s="99"/>
    </row>
    <row r="2828" spans="5:18" s="65" customFormat="1">
      <c r="E2828" s="130"/>
      <c r="P2828" s="99"/>
      <c r="Q2828" s="99"/>
      <c r="R2828" s="99"/>
    </row>
    <row r="2829" spans="5:18" s="65" customFormat="1">
      <c r="E2829" s="130"/>
      <c r="P2829" s="99"/>
      <c r="Q2829" s="99"/>
      <c r="R2829" s="99"/>
    </row>
    <row r="2830" spans="5:18" s="65" customFormat="1">
      <c r="E2830" s="130"/>
      <c r="P2830" s="99"/>
      <c r="Q2830" s="99"/>
      <c r="R2830" s="99"/>
    </row>
    <row r="2831" spans="5:18" s="65" customFormat="1">
      <c r="E2831" s="130"/>
      <c r="P2831" s="99"/>
      <c r="Q2831" s="99"/>
      <c r="R2831" s="99"/>
    </row>
    <row r="2832" spans="5:18" s="65" customFormat="1">
      <c r="E2832" s="130"/>
      <c r="P2832" s="99"/>
      <c r="Q2832" s="99"/>
      <c r="R2832" s="99"/>
    </row>
    <row r="2833" spans="5:18" s="65" customFormat="1">
      <c r="E2833" s="130"/>
      <c r="P2833" s="99"/>
      <c r="Q2833" s="99"/>
      <c r="R2833" s="99"/>
    </row>
    <row r="2834" spans="5:18" s="65" customFormat="1">
      <c r="E2834" s="130"/>
      <c r="P2834" s="99"/>
      <c r="Q2834" s="99"/>
      <c r="R2834" s="99"/>
    </row>
    <row r="2835" spans="5:18" s="65" customFormat="1">
      <c r="E2835" s="130"/>
      <c r="P2835" s="99"/>
      <c r="Q2835" s="99"/>
      <c r="R2835" s="99"/>
    </row>
    <row r="2836" spans="5:18" s="65" customFormat="1">
      <c r="E2836" s="130"/>
      <c r="P2836" s="99"/>
      <c r="Q2836" s="99"/>
      <c r="R2836" s="99"/>
    </row>
    <row r="2837" spans="5:18" s="65" customFormat="1">
      <c r="E2837" s="130"/>
      <c r="P2837" s="99"/>
      <c r="Q2837" s="99"/>
      <c r="R2837" s="99"/>
    </row>
    <row r="2838" spans="5:18" s="65" customFormat="1">
      <c r="E2838" s="130"/>
      <c r="P2838" s="99"/>
      <c r="Q2838" s="99"/>
      <c r="R2838" s="99"/>
    </row>
    <row r="2839" spans="5:18" s="65" customFormat="1">
      <c r="E2839" s="130"/>
      <c r="P2839" s="99"/>
      <c r="Q2839" s="99"/>
      <c r="R2839" s="99"/>
    </row>
    <row r="2840" spans="5:18" s="65" customFormat="1">
      <c r="E2840" s="130"/>
      <c r="P2840" s="99"/>
      <c r="Q2840" s="99"/>
      <c r="R2840" s="99"/>
    </row>
    <row r="2841" spans="5:18" s="65" customFormat="1">
      <c r="E2841" s="130"/>
      <c r="P2841" s="99"/>
      <c r="Q2841" s="99"/>
      <c r="R2841" s="99"/>
    </row>
    <row r="2842" spans="5:18" s="65" customFormat="1">
      <c r="E2842" s="130"/>
      <c r="P2842" s="99"/>
      <c r="Q2842" s="99"/>
      <c r="R2842" s="99"/>
    </row>
    <row r="2843" spans="5:18" s="65" customFormat="1">
      <c r="E2843" s="130"/>
      <c r="P2843" s="99"/>
      <c r="Q2843" s="99"/>
      <c r="R2843" s="99"/>
    </row>
    <row r="2844" spans="5:18" s="65" customFormat="1">
      <c r="E2844" s="130"/>
      <c r="P2844" s="99"/>
      <c r="Q2844" s="99"/>
      <c r="R2844" s="99"/>
    </row>
    <row r="2845" spans="5:18" s="65" customFormat="1">
      <c r="E2845" s="130"/>
      <c r="P2845" s="99"/>
      <c r="Q2845" s="99"/>
      <c r="R2845" s="99"/>
    </row>
    <row r="2846" spans="5:18" s="65" customFormat="1">
      <c r="E2846" s="130"/>
      <c r="P2846" s="99"/>
      <c r="Q2846" s="99"/>
      <c r="R2846" s="99"/>
    </row>
    <row r="2847" spans="5:18" s="65" customFormat="1">
      <c r="E2847" s="130"/>
      <c r="P2847" s="99"/>
      <c r="Q2847" s="99"/>
      <c r="R2847" s="99"/>
    </row>
    <row r="2848" spans="5:18" s="65" customFormat="1">
      <c r="E2848" s="130"/>
      <c r="P2848" s="99"/>
      <c r="Q2848" s="99"/>
      <c r="R2848" s="99"/>
    </row>
    <row r="2849" spans="5:18" s="65" customFormat="1">
      <c r="E2849" s="130"/>
      <c r="P2849" s="99"/>
      <c r="Q2849" s="99"/>
      <c r="R2849" s="99"/>
    </row>
    <row r="2850" spans="5:18" s="65" customFormat="1">
      <c r="E2850" s="130"/>
      <c r="P2850" s="99"/>
      <c r="Q2850" s="99"/>
      <c r="R2850" s="99"/>
    </row>
    <row r="2851" spans="5:18" s="65" customFormat="1">
      <c r="E2851" s="130"/>
      <c r="P2851" s="99"/>
      <c r="Q2851" s="99"/>
      <c r="R2851" s="99"/>
    </row>
    <row r="2852" spans="5:18" s="65" customFormat="1">
      <c r="E2852" s="130"/>
      <c r="P2852" s="99"/>
      <c r="Q2852" s="99"/>
      <c r="R2852" s="99"/>
    </row>
    <row r="2853" spans="5:18" s="65" customFormat="1">
      <c r="E2853" s="130"/>
      <c r="P2853" s="99"/>
      <c r="Q2853" s="99"/>
      <c r="R2853" s="99"/>
    </row>
    <row r="2854" spans="5:18" s="65" customFormat="1">
      <c r="E2854" s="130"/>
      <c r="P2854" s="99"/>
      <c r="Q2854" s="99"/>
      <c r="R2854" s="99"/>
    </row>
    <row r="2855" spans="5:18" s="65" customFormat="1">
      <c r="E2855" s="130"/>
      <c r="P2855" s="99"/>
      <c r="Q2855" s="99"/>
      <c r="R2855" s="99"/>
    </row>
    <row r="2856" spans="5:18" s="65" customFormat="1">
      <c r="E2856" s="130"/>
      <c r="P2856" s="99"/>
      <c r="Q2856" s="99"/>
      <c r="R2856" s="99"/>
    </row>
    <row r="2857" spans="5:18" s="65" customFormat="1">
      <c r="E2857" s="130"/>
      <c r="P2857" s="99"/>
      <c r="Q2857" s="99"/>
      <c r="R2857" s="99"/>
    </row>
    <row r="2858" spans="5:18" s="65" customFormat="1">
      <c r="E2858" s="130"/>
      <c r="P2858" s="99"/>
      <c r="Q2858" s="99"/>
      <c r="R2858" s="99"/>
    </row>
    <row r="2859" spans="5:18" s="65" customFormat="1">
      <c r="E2859" s="130"/>
      <c r="P2859" s="99"/>
      <c r="Q2859" s="99"/>
      <c r="R2859" s="99"/>
    </row>
    <row r="2860" spans="5:18" s="65" customFormat="1">
      <c r="E2860" s="130"/>
      <c r="P2860" s="99"/>
      <c r="Q2860" s="99"/>
      <c r="R2860" s="99"/>
    </row>
    <row r="2861" spans="5:18" s="65" customFormat="1">
      <c r="E2861" s="130"/>
      <c r="P2861" s="99"/>
      <c r="Q2861" s="99"/>
      <c r="R2861" s="99"/>
    </row>
    <row r="2862" spans="5:18" s="65" customFormat="1">
      <c r="E2862" s="130"/>
      <c r="P2862" s="99"/>
      <c r="Q2862" s="99"/>
      <c r="R2862" s="99"/>
    </row>
    <row r="2863" spans="5:18" s="65" customFormat="1">
      <c r="E2863" s="130"/>
      <c r="P2863" s="99"/>
      <c r="Q2863" s="99"/>
      <c r="R2863" s="99"/>
    </row>
    <row r="2864" spans="5:18" s="65" customFormat="1">
      <c r="E2864" s="130"/>
      <c r="P2864" s="99"/>
      <c r="Q2864" s="99"/>
      <c r="R2864" s="99"/>
    </row>
    <row r="2865" spans="5:18" s="65" customFormat="1">
      <c r="E2865" s="130"/>
      <c r="P2865" s="99"/>
      <c r="Q2865" s="99"/>
      <c r="R2865" s="99"/>
    </row>
    <row r="2866" spans="5:18" s="65" customFormat="1">
      <c r="E2866" s="130"/>
      <c r="P2866" s="99"/>
      <c r="Q2866" s="99"/>
      <c r="R2866" s="99"/>
    </row>
    <row r="2867" spans="5:18" s="65" customFormat="1">
      <c r="E2867" s="130"/>
      <c r="P2867" s="99"/>
      <c r="Q2867" s="99"/>
      <c r="R2867" s="99"/>
    </row>
    <row r="2868" spans="5:18" s="65" customFormat="1">
      <c r="E2868" s="130"/>
      <c r="P2868" s="99"/>
      <c r="Q2868" s="99"/>
      <c r="R2868" s="99"/>
    </row>
    <row r="2869" spans="5:18" s="65" customFormat="1">
      <c r="E2869" s="130"/>
      <c r="P2869" s="99"/>
      <c r="Q2869" s="99"/>
      <c r="R2869" s="99"/>
    </row>
    <row r="2870" spans="5:18" s="65" customFormat="1">
      <c r="E2870" s="130"/>
      <c r="P2870" s="99"/>
      <c r="Q2870" s="99"/>
      <c r="R2870" s="99"/>
    </row>
    <row r="2871" spans="5:18" s="65" customFormat="1">
      <c r="E2871" s="130"/>
      <c r="P2871" s="99"/>
      <c r="Q2871" s="99"/>
      <c r="R2871" s="99"/>
    </row>
    <row r="2872" spans="5:18" s="65" customFormat="1">
      <c r="E2872" s="130"/>
      <c r="P2872" s="99"/>
      <c r="Q2872" s="99"/>
      <c r="R2872" s="99"/>
    </row>
    <row r="2873" spans="5:18" s="65" customFormat="1">
      <c r="E2873" s="130"/>
      <c r="P2873" s="99"/>
      <c r="Q2873" s="99"/>
      <c r="R2873" s="99"/>
    </row>
    <row r="2874" spans="5:18" s="65" customFormat="1">
      <c r="E2874" s="130"/>
      <c r="P2874" s="99"/>
      <c r="Q2874" s="99"/>
      <c r="R2874" s="99"/>
    </row>
    <row r="2875" spans="5:18" s="65" customFormat="1">
      <c r="E2875" s="130"/>
      <c r="P2875" s="99"/>
      <c r="Q2875" s="99"/>
      <c r="R2875" s="99"/>
    </row>
    <row r="2876" spans="5:18" s="65" customFormat="1">
      <c r="E2876" s="130"/>
      <c r="P2876" s="99"/>
      <c r="Q2876" s="99"/>
      <c r="R2876" s="99"/>
    </row>
    <row r="2877" spans="5:18" s="65" customFormat="1">
      <c r="E2877" s="130"/>
      <c r="P2877" s="99"/>
      <c r="Q2877" s="99"/>
      <c r="R2877" s="99"/>
    </row>
    <row r="2878" spans="5:18" s="65" customFormat="1">
      <c r="E2878" s="130"/>
      <c r="P2878" s="99"/>
      <c r="Q2878" s="99"/>
      <c r="R2878" s="99"/>
    </row>
    <row r="2879" spans="5:18" s="65" customFormat="1">
      <c r="E2879" s="130"/>
      <c r="P2879" s="99"/>
      <c r="Q2879" s="99"/>
      <c r="R2879" s="99"/>
    </row>
    <row r="2880" spans="5:18" s="65" customFormat="1">
      <c r="E2880" s="130"/>
      <c r="P2880" s="99"/>
      <c r="Q2880" s="99"/>
      <c r="R2880" s="99"/>
    </row>
    <row r="2881" spans="5:18" s="65" customFormat="1">
      <c r="E2881" s="130"/>
      <c r="P2881" s="99"/>
      <c r="Q2881" s="99"/>
      <c r="R2881" s="99"/>
    </row>
    <row r="2882" spans="5:18" s="65" customFormat="1">
      <c r="E2882" s="130"/>
      <c r="P2882" s="99"/>
      <c r="Q2882" s="99"/>
      <c r="R2882" s="99"/>
    </row>
    <row r="2883" spans="5:18" s="65" customFormat="1">
      <c r="E2883" s="130"/>
      <c r="P2883" s="99"/>
      <c r="Q2883" s="99"/>
      <c r="R2883" s="99"/>
    </row>
    <row r="2884" spans="5:18" s="65" customFormat="1">
      <c r="E2884" s="130"/>
      <c r="P2884" s="99"/>
      <c r="Q2884" s="99"/>
      <c r="R2884" s="99"/>
    </row>
    <row r="2885" spans="5:18" s="65" customFormat="1">
      <c r="E2885" s="130"/>
      <c r="P2885" s="99"/>
      <c r="Q2885" s="99"/>
      <c r="R2885" s="99"/>
    </row>
    <row r="2886" spans="5:18" s="65" customFormat="1">
      <c r="E2886" s="130"/>
      <c r="P2886" s="99"/>
      <c r="Q2886" s="99"/>
      <c r="R2886" s="99"/>
    </row>
    <row r="2887" spans="5:18" s="65" customFormat="1">
      <c r="E2887" s="130"/>
      <c r="P2887" s="99"/>
      <c r="Q2887" s="99"/>
      <c r="R2887" s="99"/>
    </row>
    <row r="2888" spans="5:18" s="65" customFormat="1">
      <c r="E2888" s="130"/>
      <c r="P2888" s="99"/>
      <c r="Q2888" s="99"/>
      <c r="R2888" s="99"/>
    </row>
    <row r="2889" spans="5:18" s="65" customFormat="1">
      <c r="E2889" s="130"/>
      <c r="P2889" s="99"/>
      <c r="Q2889" s="99"/>
      <c r="R2889" s="99"/>
    </row>
    <row r="2890" spans="5:18" s="65" customFormat="1">
      <c r="E2890" s="130"/>
      <c r="P2890" s="99"/>
      <c r="Q2890" s="99"/>
      <c r="R2890" s="99"/>
    </row>
    <row r="2891" spans="5:18" s="65" customFormat="1">
      <c r="E2891" s="130"/>
      <c r="P2891" s="99"/>
      <c r="Q2891" s="99"/>
      <c r="R2891" s="99"/>
    </row>
    <row r="2892" spans="5:18" s="65" customFormat="1">
      <c r="E2892" s="130"/>
      <c r="P2892" s="99"/>
      <c r="Q2892" s="99"/>
      <c r="R2892" s="99"/>
    </row>
    <row r="2893" spans="5:18" s="65" customFormat="1">
      <c r="E2893" s="130"/>
      <c r="P2893" s="99"/>
      <c r="Q2893" s="99"/>
      <c r="R2893" s="99"/>
    </row>
    <row r="2894" spans="5:18" s="65" customFormat="1">
      <c r="E2894" s="130"/>
      <c r="P2894" s="99"/>
      <c r="Q2894" s="99"/>
      <c r="R2894" s="99"/>
    </row>
    <row r="2895" spans="5:18" s="65" customFormat="1">
      <c r="E2895" s="130"/>
      <c r="P2895" s="99"/>
      <c r="Q2895" s="99"/>
      <c r="R2895" s="99"/>
    </row>
    <row r="2896" spans="5:18" s="65" customFormat="1">
      <c r="E2896" s="130"/>
      <c r="P2896" s="99"/>
      <c r="Q2896" s="99"/>
      <c r="R2896" s="99"/>
    </row>
    <row r="2897" spans="5:18" s="65" customFormat="1">
      <c r="E2897" s="130"/>
      <c r="P2897" s="99"/>
      <c r="Q2897" s="99"/>
      <c r="R2897" s="99"/>
    </row>
    <row r="2898" spans="5:18" s="65" customFormat="1">
      <c r="E2898" s="130"/>
      <c r="P2898" s="99"/>
      <c r="Q2898" s="99"/>
      <c r="R2898" s="99"/>
    </row>
    <row r="2899" spans="5:18" s="65" customFormat="1">
      <c r="E2899" s="130"/>
      <c r="P2899" s="99"/>
      <c r="Q2899" s="99"/>
      <c r="R2899" s="99"/>
    </row>
    <row r="2900" spans="5:18" s="65" customFormat="1">
      <c r="E2900" s="130"/>
      <c r="P2900" s="99"/>
      <c r="Q2900" s="99"/>
      <c r="R2900" s="99"/>
    </row>
    <row r="2901" spans="5:18" s="65" customFormat="1">
      <c r="E2901" s="130"/>
      <c r="P2901" s="99"/>
      <c r="Q2901" s="99"/>
      <c r="R2901" s="99"/>
    </row>
    <row r="2902" spans="5:18" s="65" customFormat="1">
      <c r="E2902" s="130"/>
      <c r="P2902" s="99"/>
      <c r="Q2902" s="99"/>
      <c r="R2902" s="99"/>
    </row>
    <row r="2903" spans="5:18" s="65" customFormat="1">
      <c r="E2903" s="130"/>
      <c r="P2903" s="99"/>
      <c r="Q2903" s="99"/>
      <c r="R2903" s="99"/>
    </row>
    <row r="2904" spans="5:18" s="65" customFormat="1">
      <c r="E2904" s="130"/>
      <c r="P2904" s="99"/>
      <c r="Q2904" s="99"/>
      <c r="R2904" s="99"/>
    </row>
    <row r="2905" spans="5:18" s="65" customFormat="1">
      <c r="E2905" s="130"/>
      <c r="P2905" s="99"/>
      <c r="Q2905" s="99"/>
      <c r="R2905" s="99"/>
    </row>
    <row r="2906" spans="5:18" s="65" customFormat="1">
      <c r="E2906" s="130"/>
      <c r="P2906" s="99"/>
      <c r="Q2906" s="99"/>
      <c r="R2906" s="99"/>
    </row>
    <row r="2907" spans="5:18" s="65" customFormat="1">
      <c r="E2907" s="130"/>
      <c r="P2907" s="99"/>
      <c r="Q2907" s="99"/>
      <c r="R2907" s="99"/>
    </row>
    <row r="2908" spans="5:18" s="65" customFormat="1">
      <c r="E2908" s="130"/>
      <c r="P2908" s="99"/>
      <c r="Q2908" s="99"/>
      <c r="R2908" s="99"/>
    </row>
    <row r="2909" spans="5:18" s="65" customFormat="1">
      <c r="E2909" s="130"/>
      <c r="P2909" s="99"/>
      <c r="Q2909" s="99"/>
      <c r="R2909" s="99"/>
    </row>
    <row r="2910" spans="5:18" s="65" customFormat="1">
      <c r="E2910" s="130"/>
      <c r="P2910" s="99"/>
      <c r="Q2910" s="99"/>
      <c r="R2910" s="99"/>
    </row>
    <row r="2911" spans="5:18" s="65" customFormat="1">
      <c r="E2911" s="130"/>
      <c r="P2911" s="99"/>
      <c r="Q2911" s="99"/>
      <c r="R2911" s="99"/>
    </row>
    <row r="2912" spans="5:18" s="65" customFormat="1">
      <c r="E2912" s="130"/>
      <c r="P2912" s="99"/>
      <c r="Q2912" s="99"/>
      <c r="R2912" s="99"/>
    </row>
    <row r="2913" spans="5:18" s="65" customFormat="1">
      <c r="E2913" s="130"/>
      <c r="P2913" s="99"/>
      <c r="Q2913" s="99"/>
      <c r="R2913" s="99"/>
    </row>
    <row r="2914" spans="5:18" s="65" customFormat="1">
      <c r="E2914" s="130"/>
      <c r="P2914" s="99"/>
      <c r="Q2914" s="99"/>
      <c r="R2914" s="99"/>
    </row>
    <row r="2915" spans="5:18" s="65" customFormat="1">
      <c r="E2915" s="130"/>
      <c r="P2915" s="99"/>
      <c r="Q2915" s="99"/>
      <c r="R2915" s="99"/>
    </row>
    <row r="2916" spans="5:18" s="65" customFormat="1">
      <c r="E2916" s="130"/>
      <c r="P2916" s="99"/>
      <c r="Q2916" s="99"/>
      <c r="R2916" s="99"/>
    </row>
    <row r="2917" spans="5:18" s="65" customFormat="1">
      <c r="E2917" s="130"/>
      <c r="P2917" s="99"/>
      <c r="Q2917" s="99"/>
      <c r="R2917" s="99"/>
    </row>
    <row r="2918" spans="5:18" s="65" customFormat="1">
      <c r="E2918" s="130"/>
      <c r="P2918" s="99"/>
      <c r="Q2918" s="99"/>
      <c r="R2918" s="99"/>
    </row>
    <row r="2919" spans="5:18" s="65" customFormat="1">
      <c r="E2919" s="130"/>
      <c r="P2919" s="99"/>
      <c r="Q2919" s="99"/>
      <c r="R2919" s="99"/>
    </row>
    <row r="2920" spans="5:18" s="65" customFormat="1">
      <c r="E2920" s="130"/>
      <c r="P2920" s="99"/>
      <c r="Q2920" s="99"/>
      <c r="R2920" s="99"/>
    </row>
    <row r="2921" spans="5:18" s="65" customFormat="1">
      <c r="E2921" s="130"/>
      <c r="P2921" s="99"/>
      <c r="Q2921" s="99"/>
      <c r="R2921" s="99"/>
    </row>
    <row r="2922" spans="5:18" s="65" customFormat="1">
      <c r="E2922" s="130"/>
      <c r="P2922" s="99"/>
      <c r="Q2922" s="99"/>
      <c r="R2922" s="99"/>
    </row>
    <row r="2923" spans="5:18" s="65" customFormat="1">
      <c r="E2923" s="130"/>
      <c r="P2923" s="99"/>
      <c r="Q2923" s="99"/>
      <c r="R2923" s="99"/>
    </row>
    <row r="2924" spans="5:18" s="65" customFormat="1">
      <c r="E2924" s="130"/>
      <c r="P2924" s="99"/>
      <c r="Q2924" s="99"/>
      <c r="R2924" s="99"/>
    </row>
    <row r="2925" spans="5:18" s="65" customFormat="1">
      <c r="E2925" s="130"/>
      <c r="P2925" s="99"/>
      <c r="Q2925" s="99"/>
      <c r="R2925" s="99"/>
    </row>
    <row r="2926" spans="5:18" s="65" customFormat="1">
      <c r="E2926" s="130"/>
      <c r="P2926" s="99"/>
      <c r="Q2926" s="99"/>
      <c r="R2926" s="99"/>
    </row>
    <row r="2927" spans="5:18" s="65" customFormat="1">
      <c r="E2927" s="130"/>
      <c r="P2927" s="99"/>
      <c r="Q2927" s="99"/>
      <c r="R2927" s="99"/>
    </row>
    <row r="2928" spans="5:18" s="65" customFormat="1">
      <c r="E2928" s="130"/>
      <c r="P2928" s="99"/>
      <c r="Q2928" s="99"/>
      <c r="R2928" s="99"/>
    </row>
    <row r="2929" spans="5:18" s="65" customFormat="1">
      <c r="E2929" s="130"/>
      <c r="P2929" s="99"/>
      <c r="Q2929" s="99"/>
      <c r="R2929" s="99"/>
    </row>
    <row r="2930" spans="5:18" s="65" customFormat="1">
      <c r="E2930" s="130"/>
      <c r="P2930" s="99"/>
      <c r="Q2930" s="99"/>
      <c r="R2930" s="99"/>
    </row>
    <row r="2931" spans="5:18" s="65" customFormat="1">
      <c r="E2931" s="130"/>
      <c r="P2931" s="99"/>
      <c r="Q2931" s="99"/>
      <c r="R2931" s="99"/>
    </row>
    <row r="2932" spans="5:18" s="65" customFormat="1">
      <c r="E2932" s="130"/>
      <c r="P2932" s="99"/>
      <c r="Q2932" s="99"/>
      <c r="R2932" s="99"/>
    </row>
    <row r="2933" spans="5:18" s="65" customFormat="1">
      <c r="E2933" s="130"/>
      <c r="P2933" s="99"/>
      <c r="Q2933" s="99"/>
      <c r="R2933" s="99"/>
    </row>
    <row r="2934" spans="5:18" s="65" customFormat="1">
      <c r="E2934" s="130"/>
      <c r="P2934" s="99"/>
      <c r="Q2934" s="99"/>
      <c r="R2934" s="99"/>
    </row>
    <row r="2935" spans="5:18" s="65" customFormat="1">
      <c r="E2935" s="130"/>
      <c r="P2935" s="99"/>
      <c r="Q2935" s="99"/>
      <c r="R2935" s="99"/>
    </row>
    <row r="2936" spans="5:18" s="65" customFormat="1">
      <c r="E2936" s="130"/>
      <c r="P2936" s="99"/>
      <c r="Q2936" s="99"/>
      <c r="R2936" s="99"/>
    </row>
    <row r="2937" spans="5:18" s="65" customFormat="1">
      <c r="E2937" s="130"/>
      <c r="P2937" s="99"/>
      <c r="Q2937" s="99"/>
      <c r="R2937" s="99"/>
    </row>
    <row r="2938" spans="5:18" s="65" customFormat="1">
      <c r="E2938" s="130"/>
      <c r="P2938" s="99"/>
      <c r="Q2938" s="99"/>
      <c r="R2938" s="99"/>
    </row>
    <row r="2939" spans="5:18" s="65" customFormat="1">
      <c r="E2939" s="130"/>
      <c r="P2939" s="99"/>
      <c r="Q2939" s="99"/>
      <c r="R2939" s="99"/>
    </row>
    <row r="2940" spans="5:18" s="65" customFormat="1">
      <c r="E2940" s="130"/>
      <c r="P2940" s="99"/>
      <c r="Q2940" s="99"/>
      <c r="R2940" s="99"/>
    </row>
    <row r="2941" spans="5:18" s="65" customFormat="1">
      <c r="E2941" s="130"/>
      <c r="P2941" s="99"/>
      <c r="Q2941" s="99"/>
      <c r="R2941" s="99"/>
    </row>
    <row r="2942" spans="5:18" s="65" customFormat="1">
      <c r="E2942" s="130"/>
      <c r="P2942" s="99"/>
      <c r="Q2942" s="99"/>
      <c r="R2942" s="99"/>
    </row>
    <row r="2943" spans="5:18" s="65" customFormat="1">
      <c r="E2943" s="130"/>
      <c r="P2943" s="99"/>
      <c r="Q2943" s="99"/>
      <c r="R2943" s="99"/>
    </row>
    <row r="2944" spans="5:18" s="65" customFormat="1">
      <c r="E2944" s="130"/>
      <c r="P2944" s="99"/>
      <c r="Q2944" s="99"/>
      <c r="R2944" s="99"/>
    </row>
    <row r="2945" spans="5:18" s="65" customFormat="1">
      <c r="E2945" s="130"/>
      <c r="P2945" s="99"/>
      <c r="Q2945" s="99"/>
      <c r="R2945" s="99"/>
    </row>
    <row r="2946" spans="5:18" s="65" customFormat="1">
      <c r="E2946" s="130"/>
      <c r="P2946" s="99"/>
      <c r="Q2946" s="99"/>
      <c r="R2946" s="99"/>
    </row>
    <row r="2947" spans="5:18" s="65" customFormat="1">
      <c r="E2947" s="130"/>
      <c r="P2947" s="99"/>
      <c r="Q2947" s="99"/>
      <c r="R2947" s="99"/>
    </row>
    <row r="2948" spans="5:18" s="65" customFormat="1">
      <c r="E2948" s="130"/>
      <c r="P2948" s="99"/>
      <c r="Q2948" s="99"/>
      <c r="R2948" s="99"/>
    </row>
    <row r="2949" spans="5:18" s="65" customFormat="1">
      <c r="E2949" s="130"/>
      <c r="P2949" s="99"/>
      <c r="Q2949" s="99"/>
      <c r="R2949" s="99"/>
    </row>
    <row r="2950" spans="5:18" s="65" customFormat="1">
      <c r="E2950" s="130"/>
      <c r="P2950" s="99"/>
      <c r="Q2950" s="99"/>
      <c r="R2950" s="99"/>
    </row>
    <row r="2951" spans="5:18" s="65" customFormat="1">
      <c r="E2951" s="130"/>
      <c r="P2951" s="99"/>
      <c r="Q2951" s="99"/>
      <c r="R2951" s="99"/>
    </row>
    <row r="2952" spans="5:18" s="65" customFormat="1">
      <c r="E2952" s="130"/>
      <c r="P2952" s="99"/>
      <c r="Q2952" s="99"/>
      <c r="R2952" s="99"/>
    </row>
    <row r="2953" spans="5:18" s="65" customFormat="1">
      <c r="E2953" s="130"/>
      <c r="P2953" s="99"/>
      <c r="Q2953" s="99"/>
      <c r="R2953" s="99"/>
    </row>
    <row r="2954" spans="5:18" s="65" customFormat="1">
      <c r="E2954" s="130"/>
      <c r="P2954" s="99"/>
      <c r="Q2954" s="99"/>
      <c r="R2954" s="99"/>
    </row>
    <row r="2955" spans="5:18" s="65" customFormat="1">
      <c r="E2955" s="130"/>
      <c r="P2955" s="99"/>
      <c r="Q2955" s="99"/>
      <c r="R2955" s="99"/>
    </row>
    <row r="2956" spans="5:18" s="65" customFormat="1">
      <c r="E2956" s="130"/>
      <c r="P2956" s="99"/>
      <c r="Q2956" s="99"/>
      <c r="R2956" s="99"/>
    </row>
    <row r="2957" spans="5:18" s="65" customFormat="1">
      <c r="E2957" s="130"/>
      <c r="P2957" s="99"/>
      <c r="Q2957" s="99"/>
      <c r="R2957" s="99"/>
    </row>
    <row r="2958" spans="5:18" s="65" customFormat="1">
      <c r="E2958" s="130"/>
      <c r="P2958" s="99"/>
      <c r="Q2958" s="99"/>
      <c r="R2958" s="99"/>
    </row>
    <row r="2959" spans="5:18" s="65" customFormat="1">
      <c r="E2959" s="130"/>
      <c r="P2959" s="99"/>
      <c r="Q2959" s="99"/>
      <c r="R2959" s="99"/>
    </row>
    <row r="2960" spans="5:18" s="65" customFormat="1">
      <c r="E2960" s="130"/>
      <c r="P2960" s="99"/>
      <c r="Q2960" s="99"/>
      <c r="R2960" s="99"/>
    </row>
    <row r="2961" spans="5:18" s="65" customFormat="1">
      <c r="E2961" s="130"/>
      <c r="P2961" s="99"/>
      <c r="Q2961" s="99"/>
      <c r="R2961" s="99"/>
    </row>
    <row r="2962" spans="5:18" s="65" customFormat="1">
      <c r="E2962" s="130"/>
      <c r="P2962" s="99"/>
      <c r="Q2962" s="99"/>
      <c r="R2962" s="99"/>
    </row>
    <row r="2963" spans="5:18" s="65" customFormat="1">
      <c r="E2963" s="130"/>
      <c r="P2963" s="99"/>
      <c r="Q2963" s="99"/>
      <c r="R2963" s="99"/>
    </row>
    <row r="2964" spans="5:18" s="65" customFormat="1">
      <c r="E2964" s="130"/>
      <c r="P2964" s="99"/>
      <c r="Q2964" s="99"/>
      <c r="R2964" s="99"/>
    </row>
    <row r="2965" spans="5:18" s="65" customFormat="1">
      <c r="E2965" s="130"/>
      <c r="P2965" s="99"/>
      <c r="Q2965" s="99"/>
      <c r="R2965" s="99"/>
    </row>
    <row r="2966" spans="5:18" s="65" customFormat="1">
      <c r="E2966" s="130"/>
      <c r="P2966" s="99"/>
      <c r="Q2966" s="99"/>
      <c r="R2966" s="99"/>
    </row>
    <row r="2967" spans="5:18" s="65" customFormat="1">
      <c r="E2967" s="130"/>
      <c r="P2967" s="99"/>
      <c r="Q2967" s="99"/>
      <c r="R2967" s="99"/>
    </row>
    <row r="2968" spans="5:18" s="65" customFormat="1">
      <c r="E2968" s="130"/>
      <c r="P2968" s="99"/>
      <c r="Q2968" s="99"/>
      <c r="R2968" s="99"/>
    </row>
    <row r="2969" spans="5:18" s="65" customFormat="1">
      <c r="E2969" s="130"/>
      <c r="P2969" s="99"/>
      <c r="Q2969" s="99"/>
      <c r="R2969" s="99"/>
    </row>
    <row r="2970" spans="5:18" s="65" customFormat="1">
      <c r="E2970" s="130"/>
      <c r="P2970" s="99"/>
      <c r="Q2970" s="99"/>
      <c r="R2970" s="99"/>
    </row>
    <row r="2971" spans="5:18" s="65" customFormat="1">
      <c r="E2971" s="130"/>
      <c r="P2971" s="99"/>
      <c r="Q2971" s="99"/>
      <c r="R2971" s="99"/>
    </row>
    <row r="2972" spans="5:18" s="65" customFormat="1">
      <c r="E2972" s="130"/>
      <c r="P2972" s="99"/>
      <c r="Q2972" s="99"/>
      <c r="R2972" s="99"/>
    </row>
    <row r="2973" spans="5:18" s="65" customFormat="1">
      <c r="E2973" s="130"/>
      <c r="P2973" s="99"/>
      <c r="Q2973" s="99"/>
      <c r="R2973" s="99"/>
    </row>
    <row r="2974" spans="5:18" s="65" customFormat="1">
      <c r="E2974" s="130"/>
      <c r="P2974" s="99"/>
      <c r="Q2974" s="99"/>
      <c r="R2974" s="99"/>
    </row>
    <row r="2975" spans="5:18" s="65" customFormat="1">
      <c r="E2975" s="130"/>
      <c r="P2975" s="99"/>
      <c r="Q2975" s="99"/>
      <c r="R2975" s="99"/>
    </row>
    <row r="2976" spans="5:18" s="65" customFormat="1">
      <c r="E2976" s="130"/>
      <c r="P2976" s="99"/>
      <c r="Q2976" s="99"/>
      <c r="R2976" s="99"/>
    </row>
    <row r="2977" spans="5:18" s="65" customFormat="1">
      <c r="E2977" s="130"/>
      <c r="P2977" s="99"/>
      <c r="Q2977" s="99"/>
      <c r="R2977" s="99"/>
    </row>
    <row r="2978" spans="5:18" s="65" customFormat="1">
      <c r="E2978" s="130"/>
      <c r="P2978" s="99"/>
      <c r="Q2978" s="99"/>
      <c r="R2978" s="99"/>
    </row>
    <row r="2979" spans="5:18" s="65" customFormat="1">
      <c r="E2979" s="130"/>
      <c r="P2979" s="99"/>
      <c r="Q2979" s="99"/>
      <c r="R2979" s="99"/>
    </row>
    <row r="2980" spans="5:18" s="65" customFormat="1">
      <c r="E2980" s="130"/>
      <c r="P2980" s="99"/>
      <c r="Q2980" s="99"/>
      <c r="R2980" s="99"/>
    </row>
    <row r="2981" spans="5:18" s="65" customFormat="1">
      <c r="E2981" s="130"/>
      <c r="P2981" s="99"/>
      <c r="Q2981" s="99"/>
      <c r="R2981" s="99"/>
    </row>
    <row r="2982" spans="5:18" s="65" customFormat="1">
      <c r="E2982" s="130"/>
      <c r="P2982" s="99"/>
      <c r="Q2982" s="99"/>
      <c r="R2982" s="99"/>
    </row>
    <row r="2983" spans="5:18" s="65" customFormat="1">
      <c r="E2983" s="130"/>
      <c r="P2983" s="99"/>
      <c r="Q2983" s="99"/>
      <c r="R2983" s="99"/>
    </row>
    <row r="2984" spans="5:18" s="65" customFormat="1">
      <c r="E2984" s="130"/>
      <c r="P2984" s="99"/>
      <c r="Q2984" s="99"/>
      <c r="R2984" s="99"/>
    </row>
    <row r="2985" spans="5:18" s="65" customFormat="1">
      <c r="E2985" s="130"/>
      <c r="P2985" s="99"/>
      <c r="Q2985" s="99"/>
      <c r="R2985" s="99"/>
    </row>
    <row r="2986" spans="5:18" s="65" customFormat="1">
      <c r="E2986" s="130"/>
      <c r="P2986" s="99"/>
      <c r="Q2986" s="99"/>
      <c r="R2986" s="99"/>
    </row>
    <row r="2987" spans="5:18" s="65" customFormat="1">
      <c r="E2987" s="130"/>
      <c r="P2987" s="99"/>
      <c r="Q2987" s="99"/>
      <c r="R2987" s="99"/>
    </row>
    <row r="2988" spans="5:18" s="65" customFormat="1">
      <c r="E2988" s="130"/>
      <c r="P2988" s="99"/>
      <c r="Q2988" s="99"/>
      <c r="R2988" s="99"/>
    </row>
    <row r="2989" spans="5:18" s="65" customFormat="1">
      <c r="E2989" s="130"/>
      <c r="P2989" s="99"/>
      <c r="Q2989" s="99"/>
      <c r="R2989" s="99"/>
    </row>
    <row r="2990" spans="5:18" s="65" customFormat="1">
      <c r="E2990" s="130"/>
      <c r="P2990" s="99"/>
      <c r="Q2990" s="99"/>
      <c r="R2990" s="99"/>
    </row>
    <row r="2991" spans="5:18" s="65" customFormat="1">
      <c r="E2991" s="130"/>
      <c r="P2991" s="99"/>
      <c r="Q2991" s="99"/>
      <c r="R2991" s="99"/>
    </row>
    <row r="2992" spans="5:18" s="65" customFormat="1">
      <c r="E2992" s="130"/>
      <c r="P2992" s="99"/>
      <c r="Q2992" s="99"/>
      <c r="R2992" s="99"/>
    </row>
    <row r="2993" spans="5:18" s="65" customFormat="1">
      <c r="E2993" s="130"/>
      <c r="P2993" s="99"/>
      <c r="Q2993" s="99"/>
      <c r="R2993" s="99"/>
    </row>
    <row r="2994" spans="5:18" s="65" customFormat="1">
      <c r="E2994" s="130"/>
      <c r="P2994" s="99"/>
      <c r="Q2994" s="99"/>
      <c r="R2994" s="99"/>
    </row>
    <row r="2995" spans="5:18" s="65" customFormat="1">
      <c r="E2995" s="130"/>
      <c r="P2995" s="99"/>
      <c r="Q2995" s="99"/>
      <c r="R2995" s="99"/>
    </row>
    <row r="2996" spans="5:18" s="65" customFormat="1">
      <c r="E2996" s="130"/>
      <c r="P2996" s="99"/>
      <c r="Q2996" s="99"/>
      <c r="R2996" s="99"/>
    </row>
    <row r="2997" spans="5:18" s="65" customFormat="1">
      <c r="E2997" s="130"/>
      <c r="P2997" s="99"/>
      <c r="Q2997" s="99"/>
      <c r="R2997" s="99"/>
    </row>
    <row r="2998" spans="5:18" s="65" customFormat="1">
      <c r="E2998" s="130"/>
      <c r="P2998" s="99"/>
      <c r="Q2998" s="99"/>
      <c r="R2998" s="99"/>
    </row>
    <row r="2999" spans="5:18" s="65" customFormat="1">
      <c r="E2999" s="130"/>
      <c r="P2999" s="99"/>
      <c r="Q2999" s="99"/>
      <c r="R2999" s="99"/>
    </row>
    <row r="3000" spans="5:18" s="65" customFormat="1">
      <c r="E3000" s="130"/>
      <c r="P3000" s="99"/>
      <c r="Q3000" s="99"/>
      <c r="R3000" s="99"/>
    </row>
    <row r="3001" spans="5:18" s="65" customFormat="1">
      <c r="E3001" s="130"/>
      <c r="P3001" s="99"/>
      <c r="Q3001" s="99"/>
      <c r="R3001" s="99"/>
    </row>
    <row r="3002" spans="5:18" s="65" customFormat="1">
      <c r="E3002" s="130"/>
      <c r="P3002" s="99"/>
      <c r="Q3002" s="99"/>
      <c r="R3002" s="99"/>
    </row>
    <row r="3003" spans="5:18" s="65" customFormat="1">
      <c r="E3003" s="130"/>
      <c r="P3003" s="99"/>
      <c r="Q3003" s="99"/>
      <c r="R3003" s="99"/>
    </row>
    <row r="3004" spans="5:18" s="65" customFormat="1">
      <c r="E3004" s="130"/>
      <c r="P3004" s="99"/>
      <c r="Q3004" s="99"/>
      <c r="R3004" s="99"/>
    </row>
    <row r="3005" spans="5:18" s="65" customFormat="1">
      <c r="E3005" s="130"/>
      <c r="P3005" s="99"/>
      <c r="Q3005" s="99"/>
      <c r="R3005" s="99"/>
    </row>
    <row r="3006" spans="5:18" s="65" customFormat="1">
      <c r="E3006" s="130"/>
      <c r="P3006" s="99"/>
      <c r="Q3006" s="99"/>
      <c r="R3006" s="99"/>
    </row>
    <row r="3007" spans="5:18" s="65" customFormat="1">
      <c r="E3007" s="130"/>
      <c r="P3007" s="99"/>
      <c r="Q3007" s="99"/>
      <c r="R3007" s="99"/>
    </row>
    <row r="3008" spans="5:18" s="65" customFormat="1">
      <c r="E3008" s="130"/>
      <c r="P3008" s="99"/>
      <c r="Q3008" s="99"/>
      <c r="R3008" s="99"/>
    </row>
    <row r="3009" spans="5:18" s="65" customFormat="1">
      <c r="E3009" s="130"/>
      <c r="P3009" s="99"/>
      <c r="Q3009" s="99"/>
      <c r="R3009" s="99"/>
    </row>
    <row r="3010" spans="5:18" s="65" customFormat="1">
      <c r="E3010" s="130"/>
      <c r="P3010" s="99"/>
      <c r="Q3010" s="99"/>
      <c r="R3010" s="99"/>
    </row>
    <row r="3011" spans="5:18" s="65" customFormat="1">
      <c r="E3011" s="130"/>
      <c r="P3011" s="99"/>
      <c r="Q3011" s="99"/>
      <c r="R3011" s="99"/>
    </row>
    <row r="3012" spans="5:18" s="65" customFormat="1">
      <c r="E3012" s="130"/>
      <c r="P3012" s="99"/>
      <c r="Q3012" s="99"/>
      <c r="R3012" s="99"/>
    </row>
    <row r="3013" spans="5:18" s="65" customFormat="1">
      <c r="E3013" s="130"/>
      <c r="P3013" s="99"/>
      <c r="Q3013" s="99"/>
      <c r="R3013" s="99"/>
    </row>
    <row r="3014" spans="5:18" s="65" customFormat="1">
      <c r="E3014" s="130"/>
      <c r="P3014" s="99"/>
      <c r="Q3014" s="99"/>
      <c r="R3014" s="99"/>
    </row>
    <row r="3015" spans="5:18" s="65" customFormat="1">
      <c r="E3015" s="130"/>
      <c r="P3015" s="99"/>
      <c r="Q3015" s="99"/>
      <c r="R3015" s="99"/>
    </row>
    <row r="3016" spans="5:18" s="65" customFormat="1">
      <c r="E3016" s="130"/>
      <c r="P3016" s="99"/>
      <c r="Q3016" s="99"/>
      <c r="R3016" s="99"/>
    </row>
    <row r="3017" spans="5:18" s="65" customFormat="1">
      <c r="E3017" s="130"/>
      <c r="P3017" s="99"/>
      <c r="Q3017" s="99"/>
      <c r="R3017" s="99"/>
    </row>
    <row r="3018" spans="5:18" s="65" customFormat="1">
      <c r="E3018" s="130"/>
      <c r="P3018" s="99"/>
      <c r="Q3018" s="99"/>
      <c r="R3018" s="99"/>
    </row>
    <row r="3019" spans="5:18" s="65" customFormat="1">
      <c r="E3019" s="130"/>
      <c r="P3019" s="99"/>
      <c r="Q3019" s="99"/>
      <c r="R3019" s="99"/>
    </row>
    <row r="3020" spans="5:18" s="65" customFormat="1">
      <c r="E3020" s="130"/>
      <c r="P3020" s="99"/>
      <c r="Q3020" s="99"/>
      <c r="R3020" s="99"/>
    </row>
    <row r="3021" spans="5:18" s="65" customFormat="1">
      <c r="E3021" s="130"/>
      <c r="P3021" s="99"/>
      <c r="Q3021" s="99"/>
      <c r="R3021" s="99"/>
    </row>
    <row r="3022" spans="5:18" s="65" customFormat="1">
      <c r="E3022" s="130"/>
      <c r="P3022" s="99"/>
      <c r="Q3022" s="99"/>
      <c r="R3022" s="99"/>
    </row>
    <row r="3023" spans="5:18" s="65" customFormat="1">
      <c r="E3023" s="130"/>
      <c r="P3023" s="99"/>
      <c r="Q3023" s="99"/>
      <c r="R3023" s="99"/>
    </row>
    <row r="3024" spans="5:18" s="65" customFormat="1">
      <c r="E3024" s="130"/>
      <c r="P3024" s="99"/>
      <c r="Q3024" s="99"/>
      <c r="R3024" s="99"/>
    </row>
    <row r="3025" spans="5:18" s="65" customFormat="1">
      <c r="E3025" s="130"/>
      <c r="P3025" s="99"/>
      <c r="Q3025" s="99"/>
      <c r="R3025" s="99"/>
    </row>
    <row r="3026" spans="5:18" s="65" customFormat="1">
      <c r="E3026" s="130"/>
      <c r="P3026" s="99"/>
      <c r="Q3026" s="99"/>
      <c r="R3026" s="99"/>
    </row>
    <row r="3027" spans="5:18" s="65" customFormat="1">
      <c r="E3027" s="130"/>
      <c r="P3027" s="99"/>
      <c r="Q3027" s="99"/>
      <c r="R3027" s="99"/>
    </row>
    <row r="3028" spans="5:18" s="65" customFormat="1">
      <c r="E3028" s="130"/>
      <c r="P3028" s="99"/>
      <c r="Q3028" s="99"/>
      <c r="R3028" s="99"/>
    </row>
    <row r="3029" spans="5:18" s="65" customFormat="1">
      <c r="E3029" s="130"/>
      <c r="P3029" s="99"/>
      <c r="Q3029" s="99"/>
      <c r="R3029" s="99"/>
    </row>
    <row r="3030" spans="5:18" s="65" customFormat="1">
      <c r="E3030" s="130"/>
      <c r="P3030" s="99"/>
      <c r="Q3030" s="99"/>
      <c r="R3030" s="99"/>
    </row>
    <row r="3031" spans="5:18" s="65" customFormat="1">
      <c r="E3031" s="130"/>
      <c r="P3031" s="99"/>
      <c r="Q3031" s="99"/>
      <c r="R3031" s="99"/>
    </row>
    <row r="3032" spans="5:18" s="65" customFormat="1">
      <c r="E3032" s="130"/>
      <c r="P3032" s="99"/>
      <c r="Q3032" s="99"/>
      <c r="R3032" s="99"/>
    </row>
    <row r="3033" spans="5:18" s="65" customFormat="1">
      <c r="E3033" s="130"/>
      <c r="P3033" s="99"/>
      <c r="Q3033" s="99"/>
      <c r="R3033" s="99"/>
    </row>
    <row r="3034" spans="5:18" s="65" customFormat="1">
      <c r="E3034" s="130"/>
      <c r="P3034" s="99"/>
      <c r="Q3034" s="99"/>
      <c r="R3034" s="99"/>
    </row>
    <row r="3035" spans="5:18" s="65" customFormat="1">
      <c r="E3035" s="130"/>
      <c r="P3035" s="99"/>
      <c r="Q3035" s="99"/>
      <c r="R3035" s="99"/>
    </row>
    <row r="3036" spans="5:18" s="65" customFormat="1">
      <c r="E3036" s="130"/>
      <c r="P3036" s="99"/>
      <c r="Q3036" s="99"/>
      <c r="R3036" s="99"/>
    </row>
    <row r="3037" spans="5:18" s="65" customFormat="1">
      <c r="E3037" s="130"/>
      <c r="P3037" s="99"/>
      <c r="Q3037" s="99"/>
      <c r="R3037" s="99"/>
    </row>
    <row r="3038" spans="5:18" s="65" customFormat="1">
      <c r="E3038" s="130"/>
      <c r="P3038" s="99"/>
      <c r="Q3038" s="99"/>
      <c r="R3038" s="99"/>
    </row>
    <row r="3039" spans="5:18" s="65" customFormat="1">
      <c r="E3039" s="130"/>
      <c r="P3039" s="99"/>
      <c r="Q3039" s="99"/>
      <c r="R3039" s="99"/>
    </row>
    <row r="3040" spans="5:18" s="65" customFormat="1">
      <c r="E3040" s="130"/>
      <c r="P3040" s="99"/>
      <c r="Q3040" s="99"/>
      <c r="R3040" s="99"/>
    </row>
    <row r="3041" spans="5:18" s="65" customFormat="1">
      <c r="E3041" s="130"/>
      <c r="P3041" s="99"/>
      <c r="Q3041" s="99"/>
      <c r="R3041" s="99"/>
    </row>
    <row r="3042" spans="5:18" s="65" customFormat="1">
      <c r="E3042" s="130"/>
      <c r="P3042" s="99"/>
      <c r="Q3042" s="99"/>
      <c r="R3042" s="99"/>
    </row>
    <row r="3043" spans="5:18" s="65" customFormat="1">
      <c r="E3043" s="130"/>
      <c r="P3043" s="99"/>
      <c r="Q3043" s="99"/>
      <c r="R3043" s="99"/>
    </row>
    <row r="3044" spans="5:18" s="65" customFormat="1">
      <c r="E3044" s="130"/>
      <c r="P3044" s="99"/>
      <c r="Q3044" s="99"/>
      <c r="R3044" s="99"/>
    </row>
    <row r="3045" spans="5:18" s="65" customFormat="1">
      <c r="E3045" s="130"/>
      <c r="P3045" s="99"/>
      <c r="Q3045" s="99"/>
      <c r="R3045" s="99"/>
    </row>
    <row r="3046" spans="5:18" s="65" customFormat="1">
      <c r="E3046" s="130"/>
      <c r="P3046" s="99"/>
      <c r="Q3046" s="99"/>
      <c r="R3046" s="99"/>
    </row>
    <row r="3047" spans="5:18" s="65" customFormat="1">
      <c r="E3047" s="130"/>
      <c r="P3047" s="99"/>
      <c r="Q3047" s="99"/>
      <c r="R3047" s="99"/>
    </row>
    <row r="3048" spans="5:18" s="65" customFormat="1">
      <c r="E3048" s="130"/>
      <c r="P3048" s="99"/>
      <c r="Q3048" s="99"/>
      <c r="R3048" s="99"/>
    </row>
    <row r="3049" spans="5:18" s="65" customFormat="1">
      <c r="E3049" s="130"/>
      <c r="P3049" s="99"/>
      <c r="Q3049" s="99"/>
      <c r="R3049" s="99"/>
    </row>
    <row r="3050" spans="5:18" s="65" customFormat="1">
      <c r="E3050" s="130"/>
      <c r="P3050" s="99"/>
      <c r="Q3050" s="99"/>
      <c r="R3050" s="99"/>
    </row>
    <row r="3051" spans="5:18" s="65" customFormat="1">
      <c r="E3051" s="130"/>
      <c r="P3051" s="99"/>
      <c r="Q3051" s="99"/>
      <c r="R3051" s="99"/>
    </row>
    <row r="3052" spans="5:18" s="65" customFormat="1">
      <c r="E3052" s="130"/>
      <c r="P3052" s="99"/>
      <c r="Q3052" s="99"/>
      <c r="R3052" s="99"/>
    </row>
    <row r="3053" spans="5:18" s="65" customFormat="1">
      <c r="E3053" s="130"/>
      <c r="P3053" s="99"/>
      <c r="Q3053" s="99"/>
      <c r="R3053" s="99"/>
    </row>
    <row r="3054" spans="5:18" s="65" customFormat="1">
      <c r="E3054" s="130"/>
      <c r="P3054" s="99"/>
      <c r="Q3054" s="99"/>
      <c r="R3054" s="99"/>
    </row>
    <row r="3055" spans="5:18" s="65" customFormat="1">
      <c r="E3055" s="130"/>
      <c r="P3055" s="99"/>
      <c r="Q3055" s="99"/>
      <c r="R3055" s="99"/>
    </row>
    <row r="3056" spans="5:18" s="65" customFormat="1">
      <c r="E3056" s="130"/>
      <c r="P3056" s="99"/>
      <c r="Q3056" s="99"/>
      <c r="R3056" s="99"/>
    </row>
    <row r="3057" spans="5:18" s="65" customFormat="1">
      <c r="E3057" s="130"/>
      <c r="P3057" s="99"/>
      <c r="Q3057" s="99"/>
      <c r="R3057" s="99"/>
    </row>
    <row r="3058" spans="5:18" s="65" customFormat="1">
      <c r="E3058" s="130"/>
      <c r="P3058" s="99"/>
      <c r="Q3058" s="99"/>
      <c r="R3058" s="99"/>
    </row>
    <row r="3059" spans="5:18" s="65" customFormat="1">
      <c r="E3059" s="130"/>
      <c r="P3059" s="99"/>
      <c r="Q3059" s="99"/>
      <c r="R3059" s="99"/>
    </row>
    <row r="3060" spans="5:18" s="65" customFormat="1">
      <c r="E3060" s="130"/>
      <c r="P3060" s="99"/>
      <c r="Q3060" s="99"/>
      <c r="R3060" s="99"/>
    </row>
    <row r="3061" spans="5:18" s="65" customFormat="1">
      <c r="E3061" s="130"/>
      <c r="P3061" s="99"/>
      <c r="Q3061" s="99"/>
      <c r="R3061" s="99"/>
    </row>
    <row r="3062" spans="5:18" s="65" customFormat="1">
      <c r="E3062" s="130"/>
      <c r="P3062" s="99"/>
      <c r="Q3062" s="99"/>
      <c r="R3062" s="99"/>
    </row>
    <row r="3063" spans="5:18" s="65" customFormat="1">
      <c r="E3063" s="130"/>
      <c r="P3063" s="99"/>
      <c r="Q3063" s="99"/>
      <c r="R3063" s="99"/>
    </row>
    <row r="3064" spans="5:18" s="65" customFormat="1">
      <c r="E3064" s="130"/>
      <c r="P3064" s="99"/>
      <c r="Q3064" s="99"/>
      <c r="R3064" s="99"/>
    </row>
    <row r="3065" spans="5:18" s="65" customFormat="1">
      <c r="E3065" s="130"/>
      <c r="P3065" s="99"/>
      <c r="Q3065" s="99"/>
      <c r="R3065" s="99"/>
    </row>
    <row r="3066" spans="5:18" s="65" customFormat="1">
      <c r="E3066" s="130"/>
      <c r="P3066" s="99"/>
      <c r="Q3066" s="99"/>
      <c r="R3066" s="99"/>
    </row>
    <row r="3067" spans="5:18" s="65" customFormat="1">
      <c r="E3067" s="130"/>
      <c r="P3067" s="99"/>
      <c r="Q3067" s="99"/>
      <c r="R3067" s="99"/>
    </row>
    <row r="3068" spans="5:18" s="65" customFormat="1">
      <c r="E3068" s="130"/>
      <c r="P3068" s="99"/>
      <c r="Q3068" s="99"/>
      <c r="R3068" s="99"/>
    </row>
    <row r="3069" spans="5:18" s="65" customFormat="1">
      <c r="E3069" s="130"/>
      <c r="P3069" s="99"/>
      <c r="Q3069" s="99"/>
      <c r="R3069" s="99"/>
    </row>
    <row r="3070" spans="5:18" s="65" customFormat="1">
      <c r="E3070" s="130"/>
      <c r="P3070" s="99"/>
      <c r="Q3070" s="99"/>
      <c r="R3070" s="99"/>
    </row>
    <row r="3071" spans="5:18" s="65" customFormat="1">
      <c r="E3071" s="130"/>
      <c r="P3071" s="99"/>
      <c r="Q3071" s="99"/>
      <c r="R3071" s="99"/>
    </row>
    <row r="3072" spans="5:18" s="65" customFormat="1">
      <c r="E3072" s="130"/>
      <c r="P3072" s="99"/>
      <c r="Q3072" s="99"/>
      <c r="R3072" s="99"/>
    </row>
    <row r="3073" spans="5:18" s="65" customFormat="1">
      <c r="E3073" s="130"/>
      <c r="P3073" s="99"/>
      <c r="Q3073" s="99"/>
      <c r="R3073" s="99"/>
    </row>
    <row r="3074" spans="5:18" s="65" customFormat="1">
      <c r="E3074" s="130"/>
      <c r="P3074" s="99"/>
      <c r="Q3074" s="99"/>
      <c r="R3074" s="99"/>
    </row>
    <row r="3075" spans="5:18" s="65" customFormat="1">
      <c r="E3075" s="130"/>
      <c r="P3075" s="99"/>
      <c r="Q3075" s="99"/>
      <c r="R3075" s="99"/>
    </row>
    <row r="3076" spans="5:18" s="65" customFormat="1">
      <c r="E3076" s="130"/>
      <c r="P3076" s="99"/>
      <c r="Q3076" s="99"/>
      <c r="R3076" s="99"/>
    </row>
    <row r="3077" spans="5:18" s="65" customFormat="1">
      <c r="E3077" s="130"/>
      <c r="P3077" s="99"/>
      <c r="Q3077" s="99"/>
      <c r="R3077" s="99"/>
    </row>
    <row r="3078" spans="5:18" s="65" customFormat="1">
      <c r="E3078" s="130"/>
      <c r="P3078" s="99"/>
      <c r="Q3078" s="99"/>
      <c r="R3078" s="99"/>
    </row>
    <row r="3079" spans="5:18" s="65" customFormat="1">
      <c r="E3079" s="130"/>
      <c r="P3079" s="99"/>
      <c r="Q3079" s="99"/>
      <c r="R3079" s="99"/>
    </row>
    <row r="3080" spans="5:18" s="65" customFormat="1">
      <c r="E3080" s="130"/>
      <c r="P3080" s="99"/>
      <c r="Q3080" s="99"/>
      <c r="R3080" s="99"/>
    </row>
    <row r="3081" spans="5:18" s="65" customFormat="1">
      <c r="E3081" s="130"/>
      <c r="P3081" s="99"/>
      <c r="Q3081" s="99"/>
      <c r="R3081" s="99"/>
    </row>
    <row r="3082" spans="5:18" s="65" customFormat="1">
      <c r="E3082" s="130"/>
      <c r="P3082" s="99"/>
      <c r="Q3082" s="99"/>
      <c r="R3082" s="99"/>
    </row>
    <row r="3083" spans="5:18" s="65" customFormat="1">
      <c r="E3083" s="130"/>
      <c r="P3083" s="99"/>
      <c r="Q3083" s="99"/>
      <c r="R3083" s="99"/>
    </row>
    <row r="3084" spans="5:18" s="65" customFormat="1">
      <c r="E3084" s="130"/>
      <c r="P3084" s="99"/>
      <c r="Q3084" s="99"/>
      <c r="R3084" s="99"/>
    </row>
    <row r="3085" spans="5:18" s="65" customFormat="1">
      <c r="E3085" s="130"/>
      <c r="P3085" s="99"/>
      <c r="Q3085" s="99"/>
      <c r="R3085" s="99"/>
    </row>
    <row r="3086" spans="5:18" s="65" customFormat="1">
      <c r="E3086" s="130"/>
      <c r="P3086" s="99"/>
      <c r="Q3086" s="99"/>
      <c r="R3086" s="99"/>
    </row>
    <row r="3087" spans="5:18" s="65" customFormat="1">
      <c r="E3087" s="130"/>
      <c r="P3087" s="99"/>
      <c r="Q3087" s="99"/>
      <c r="R3087" s="99"/>
    </row>
    <row r="3088" spans="5:18" s="65" customFormat="1">
      <c r="E3088" s="130"/>
      <c r="P3088" s="99"/>
      <c r="Q3088" s="99"/>
      <c r="R3088" s="99"/>
    </row>
    <row r="3089" spans="5:18" s="65" customFormat="1">
      <c r="E3089" s="130"/>
      <c r="P3089" s="99"/>
      <c r="Q3089" s="99"/>
      <c r="R3089" s="99"/>
    </row>
    <row r="3090" spans="5:18" s="65" customFormat="1">
      <c r="E3090" s="130"/>
      <c r="P3090" s="99"/>
      <c r="Q3090" s="99"/>
      <c r="R3090" s="99"/>
    </row>
    <row r="3091" spans="5:18" s="65" customFormat="1">
      <c r="E3091" s="130"/>
      <c r="P3091" s="99"/>
      <c r="Q3091" s="99"/>
      <c r="R3091" s="99"/>
    </row>
    <row r="3092" spans="5:18" s="65" customFormat="1">
      <c r="E3092" s="130"/>
      <c r="P3092" s="99"/>
      <c r="Q3092" s="99"/>
      <c r="R3092" s="99"/>
    </row>
    <row r="3093" spans="5:18" s="65" customFormat="1">
      <c r="E3093" s="130"/>
      <c r="P3093" s="99"/>
      <c r="Q3093" s="99"/>
      <c r="R3093" s="99"/>
    </row>
    <row r="3094" spans="5:18" s="65" customFormat="1">
      <c r="E3094" s="130"/>
      <c r="P3094" s="99"/>
      <c r="Q3094" s="99"/>
      <c r="R3094" s="99"/>
    </row>
    <row r="3095" spans="5:18" s="65" customFormat="1">
      <c r="E3095" s="130"/>
      <c r="P3095" s="99"/>
      <c r="Q3095" s="99"/>
      <c r="R3095" s="99"/>
    </row>
    <row r="3096" spans="5:18" s="65" customFormat="1">
      <c r="E3096" s="130"/>
      <c r="P3096" s="99"/>
      <c r="Q3096" s="99"/>
      <c r="R3096" s="99"/>
    </row>
    <row r="3097" spans="5:18" s="65" customFormat="1">
      <c r="E3097" s="130"/>
      <c r="P3097" s="99"/>
      <c r="Q3097" s="99"/>
      <c r="R3097" s="99"/>
    </row>
    <row r="3098" spans="5:18" s="65" customFormat="1">
      <c r="E3098" s="130"/>
      <c r="P3098" s="99"/>
      <c r="Q3098" s="99"/>
      <c r="R3098" s="99"/>
    </row>
    <row r="3099" spans="5:18" s="65" customFormat="1">
      <c r="E3099" s="130"/>
      <c r="P3099" s="99"/>
      <c r="Q3099" s="99"/>
      <c r="R3099" s="99"/>
    </row>
    <row r="3100" spans="5:18" s="65" customFormat="1">
      <c r="E3100" s="130"/>
      <c r="P3100" s="99"/>
      <c r="Q3100" s="99"/>
      <c r="R3100" s="99"/>
    </row>
    <row r="3101" spans="5:18" s="65" customFormat="1">
      <c r="E3101" s="130"/>
      <c r="P3101" s="99"/>
      <c r="Q3101" s="99"/>
      <c r="R3101" s="99"/>
    </row>
    <row r="3102" spans="5:18" s="65" customFormat="1">
      <c r="E3102" s="130"/>
      <c r="P3102" s="99"/>
      <c r="Q3102" s="99"/>
      <c r="R3102" s="99"/>
    </row>
    <row r="3103" spans="5:18" s="65" customFormat="1">
      <c r="E3103" s="130"/>
      <c r="P3103" s="99"/>
      <c r="Q3103" s="99"/>
      <c r="R3103" s="99"/>
    </row>
    <row r="3104" spans="5:18" s="65" customFormat="1">
      <c r="E3104" s="130"/>
      <c r="P3104" s="99"/>
      <c r="Q3104" s="99"/>
      <c r="R3104" s="99"/>
    </row>
    <row r="3105" spans="5:18" s="65" customFormat="1">
      <c r="E3105" s="130"/>
      <c r="P3105" s="99"/>
      <c r="Q3105" s="99"/>
      <c r="R3105" s="99"/>
    </row>
    <row r="3106" spans="5:18" s="65" customFormat="1">
      <c r="E3106" s="130"/>
      <c r="P3106" s="99"/>
      <c r="Q3106" s="99"/>
      <c r="R3106" s="99"/>
    </row>
    <row r="3107" spans="5:18" s="65" customFormat="1">
      <c r="E3107" s="130"/>
      <c r="P3107" s="99"/>
      <c r="Q3107" s="99"/>
      <c r="R3107" s="99"/>
    </row>
    <row r="3108" spans="5:18" s="65" customFormat="1">
      <c r="E3108" s="130"/>
      <c r="P3108" s="99"/>
      <c r="Q3108" s="99"/>
      <c r="R3108" s="99"/>
    </row>
    <row r="3109" spans="5:18" s="65" customFormat="1">
      <c r="E3109" s="130"/>
      <c r="P3109" s="99"/>
      <c r="Q3109" s="99"/>
      <c r="R3109" s="99"/>
    </row>
    <row r="3110" spans="5:18" s="65" customFormat="1">
      <c r="E3110" s="130"/>
      <c r="P3110" s="99"/>
      <c r="Q3110" s="99"/>
      <c r="R3110" s="99"/>
    </row>
    <row r="3111" spans="5:18" s="65" customFormat="1">
      <c r="E3111" s="130"/>
      <c r="P3111" s="99"/>
      <c r="Q3111" s="99"/>
      <c r="R3111" s="99"/>
    </row>
    <row r="3112" spans="5:18" s="65" customFormat="1">
      <c r="E3112" s="130"/>
      <c r="P3112" s="99"/>
      <c r="Q3112" s="99"/>
      <c r="R3112" s="99"/>
    </row>
    <row r="3113" spans="5:18" s="65" customFormat="1">
      <c r="E3113" s="130"/>
      <c r="P3113" s="99"/>
      <c r="Q3113" s="99"/>
      <c r="R3113" s="99"/>
    </row>
    <row r="3114" spans="5:18" s="65" customFormat="1">
      <c r="E3114" s="130"/>
      <c r="P3114" s="99"/>
      <c r="Q3114" s="99"/>
      <c r="R3114" s="99"/>
    </row>
    <row r="3115" spans="5:18" s="65" customFormat="1">
      <c r="E3115" s="130"/>
      <c r="P3115" s="99"/>
      <c r="Q3115" s="99"/>
      <c r="R3115" s="99"/>
    </row>
    <row r="3116" spans="5:18" s="65" customFormat="1">
      <c r="E3116" s="130"/>
      <c r="P3116" s="99"/>
      <c r="Q3116" s="99"/>
      <c r="R3116" s="99"/>
    </row>
    <row r="3117" spans="5:18" s="65" customFormat="1">
      <c r="E3117" s="130"/>
      <c r="P3117" s="99"/>
      <c r="Q3117" s="99"/>
      <c r="R3117" s="99"/>
    </row>
    <row r="3118" spans="5:18" s="65" customFormat="1">
      <c r="E3118" s="130"/>
      <c r="P3118" s="99"/>
      <c r="Q3118" s="99"/>
      <c r="R3118" s="99"/>
    </row>
    <row r="3119" spans="5:18" s="65" customFormat="1">
      <c r="E3119" s="130"/>
      <c r="P3119" s="99"/>
      <c r="Q3119" s="99"/>
      <c r="R3119" s="99"/>
    </row>
    <row r="3120" spans="5:18" s="65" customFormat="1">
      <c r="E3120" s="130"/>
      <c r="P3120" s="99"/>
      <c r="Q3120" s="99"/>
      <c r="R3120" s="99"/>
    </row>
    <row r="3121" spans="5:18" s="65" customFormat="1">
      <c r="E3121" s="130"/>
      <c r="P3121" s="99"/>
      <c r="Q3121" s="99"/>
      <c r="R3121" s="99"/>
    </row>
    <row r="3122" spans="5:18" s="65" customFormat="1">
      <c r="E3122" s="130"/>
      <c r="P3122" s="99"/>
      <c r="Q3122" s="99"/>
      <c r="R3122" s="99"/>
    </row>
    <row r="3123" spans="5:18" s="65" customFormat="1">
      <c r="E3123" s="130"/>
      <c r="P3123" s="99"/>
      <c r="Q3123" s="99"/>
      <c r="R3123" s="99"/>
    </row>
    <row r="3124" spans="5:18" s="65" customFormat="1">
      <c r="E3124" s="130"/>
      <c r="P3124" s="99"/>
      <c r="Q3124" s="99"/>
      <c r="R3124" s="99"/>
    </row>
    <row r="3125" spans="5:18" s="65" customFormat="1">
      <c r="E3125" s="130"/>
      <c r="P3125" s="99"/>
      <c r="Q3125" s="99"/>
      <c r="R3125" s="99"/>
    </row>
    <row r="3126" spans="5:18" s="65" customFormat="1">
      <c r="E3126" s="130"/>
      <c r="P3126" s="99"/>
      <c r="Q3126" s="99"/>
      <c r="R3126" s="99"/>
    </row>
    <row r="3127" spans="5:18" s="65" customFormat="1">
      <c r="E3127" s="130"/>
      <c r="P3127" s="99"/>
      <c r="Q3127" s="99"/>
      <c r="R3127" s="99"/>
    </row>
    <row r="3128" spans="5:18" s="65" customFormat="1">
      <c r="E3128" s="130"/>
      <c r="P3128" s="99"/>
      <c r="Q3128" s="99"/>
      <c r="R3128" s="99"/>
    </row>
    <row r="3129" spans="5:18" s="65" customFormat="1">
      <c r="E3129" s="130"/>
      <c r="P3129" s="99"/>
      <c r="Q3129" s="99"/>
      <c r="R3129" s="99"/>
    </row>
    <row r="3130" spans="5:18" s="65" customFormat="1">
      <c r="E3130" s="130"/>
      <c r="P3130" s="99"/>
      <c r="Q3130" s="99"/>
      <c r="R3130" s="99"/>
    </row>
    <row r="3131" spans="5:18" s="65" customFormat="1">
      <c r="E3131" s="130"/>
      <c r="P3131" s="99"/>
      <c r="Q3131" s="99"/>
      <c r="R3131" s="99"/>
    </row>
    <row r="3132" spans="5:18" s="65" customFormat="1">
      <c r="E3132" s="130"/>
      <c r="P3132" s="99"/>
      <c r="Q3132" s="99"/>
      <c r="R3132" s="99"/>
    </row>
    <row r="3133" spans="5:18" s="65" customFormat="1">
      <c r="E3133" s="130"/>
      <c r="P3133" s="99"/>
      <c r="Q3133" s="99"/>
      <c r="R3133" s="99"/>
    </row>
    <row r="3134" spans="5:18" s="65" customFormat="1">
      <c r="E3134" s="130"/>
      <c r="P3134" s="99"/>
      <c r="Q3134" s="99"/>
      <c r="R3134" s="99"/>
    </row>
    <row r="3135" spans="5:18" s="65" customFormat="1">
      <c r="E3135" s="130"/>
      <c r="P3135" s="99"/>
      <c r="Q3135" s="99"/>
      <c r="R3135" s="99"/>
    </row>
    <row r="3136" spans="5:18" s="65" customFormat="1">
      <c r="E3136" s="130"/>
      <c r="P3136" s="99"/>
      <c r="Q3136" s="99"/>
      <c r="R3136" s="99"/>
    </row>
    <row r="3137" spans="5:18" s="65" customFormat="1">
      <c r="E3137" s="130"/>
      <c r="P3137" s="99"/>
      <c r="Q3137" s="99"/>
      <c r="R3137" s="99"/>
    </row>
    <row r="3138" spans="5:18" s="65" customFormat="1">
      <c r="E3138" s="130"/>
      <c r="P3138" s="99"/>
      <c r="Q3138" s="99"/>
      <c r="R3138" s="99"/>
    </row>
    <row r="3139" spans="5:18" s="65" customFormat="1">
      <c r="E3139" s="130"/>
      <c r="P3139" s="99"/>
      <c r="Q3139" s="99"/>
      <c r="R3139" s="99"/>
    </row>
    <row r="3140" spans="5:18" s="65" customFormat="1">
      <c r="E3140" s="130"/>
      <c r="P3140" s="99"/>
      <c r="Q3140" s="99"/>
      <c r="R3140" s="99"/>
    </row>
    <row r="3141" spans="5:18" s="65" customFormat="1">
      <c r="E3141" s="130"/>
      <c r="P3141" s="99"/>
      <c r="Q3141" s="99"/>
      <c r="R3141" s="99"/>
    </row>
    <row r="3142" spans="5:18" s="65" customFormat="1">
      <c r="E3142" s="130"/>
      <c r="P3142" s="99"/>
      <c r="Q3142" s="99"/>
      <c r="R3142" s="99"/>
    </row>
    <row r="3143" spans="5:18" s="65" customFormat="1">
      <c r="E3143" s="130"/>
      <c r="P3143" s="99"/>
      <c r="Q3143" s="99"/>
      <c r="R3143" s="99"/>
    </row>
    <row r="3144" spans="5:18" s="65" customFormat="1">
      <c r="E3144" s="130"/>
      <c r="P3144" s="99"/>
      <c r="Q3144" s="99"/>
      <c r="R3144" s="99"/>
    </row>
    <row r="3145" spans="5:18" s="65" customFormat="1">
      <c r="E3145" s="130"/>
      <c r="P3145" s="99"/>
      <c r="Q3145" s="99"/>
      <c r="R3145" s="99"/>
    </row>
    <row r="3146" spans="5:18" s="65" customFormat="1">
      <c r="E3146" s="130"/>
      <c r="P3146" s="99"/>
      <c r="Q3146" s="99"/>
      <c r="R3146" s="99"/>
    </row>
    <row r="3147" spans="5:18" s="65" customFormat="1">
      <c r="E3147" s="130"/>
      <c r="P3147" s="99"/>
      <c r="Q3147" s="99"/>
      <c r="R3147" s="99"/>
    </row>
    <row r="3148" spans="5:18" s="65" customFormat="1">
      <c r="E3148" s="130"/>
      <c r="P3148" s="99"/>
      <c r="Q3148" s="99"/>
      <c r="R3148" s="99"/>
    </row>
    <row r="3149" spans="5:18" s="65" customFormat="1">
      <c r="E3149" s="130"/>
      <c r="P3149" s="99"/>
      <c r="Q3149" s="99"/>
      <c r="R3149" s="99"/>
    </row>
    <row r="3150" spans="5:18" s="65" customFormat="1">
      <c r="E3150" s="130"/>
      <c r="P3150" s="99"/>
      <c r="Q3150" s="99"/>
      <c r="R3150" s="99"/>
    </row>
    <row r="3151" spans="5:18" s="65" customFormat="1">
      <c r="E3151" s="130"/>
      <c r="P3151" s="99"/>
      <c r="Q3151" s="99"/>
      <c r="R3151" s="99"/>
    </row>
    <row r="3152" spans="5:18" s="65" customFormat="1">
      <c r="E3152" s="130"/>
      <c r="P3152" s="99"/>
      <c r="Q3152" s="99"/>
      <c r="R3152" s="99"/>
    </row>
    <row r="3153" spans="5:18" s="65" customFormat="1">
      <c r="E3153" s="130"/>
      <c r="P3153" s="99"/>
      <c r="Q3153" s="99"/>
      <c r="R3153" s="99"/>
    </row>
    <row r="3154" spans="5:18" s="65" customFormat="1">
      <c r="E3154" s="130"/>
      <c r="P3154" s="99"/>
      <c r="Q3154" s="99"/>
      <c r="R3154" s="99"/>
    </row>
    <row r="3155" spans="5:18" s="65" customFormat="1">
      <c r="E3155" s="130"/>
      <c r="P3155" s="99"/>
      <c r="Q3155" s="99"/>
      <c r="R3155" s="99"/>
    </row>
    <row r="3156" spans="5:18" s="65" customFormat="1">
      <c r="E3156" s="130"/>
      <c r="P3156" s="99"/>
      <c r="Q3156" s="99"/>
      <c r="R3156" s="99"/>
    </row>
    <row r="3157" spans="5:18" s="65" customFormat="1">
      <c r="E3157" s="130"/>
      <c r="P3157" s="99"/>
      <c r="Q3157" s="99"/>
      <c r="R3157" s="99"/>
    </row>
    <row r="3158" spans="5:18" s="65" customFormat="1">
      <c r="E3158" s="130"/>
      <c r="P3158" s="99"/>
      <c r="Q3158" s="99"/>
      <c r="R3158" s="99"/>
    </row>
    <row r="3159" spans="5:18" s="65" customFormat="1">
      <c r="E3159" s="130"/>
      <c r="P3159" s="99"/>
      <c r="Q3159" s="99"/>
      <c r="R3159" s="99"/>
    </row>
    <row r="3160" spans="5:18" s="65" customFormat="1">
      <c r="E3160" s="130"/>
      <c r="P3160" s="99"/>
      <c r="Q3160" s="99"/>
      <c r="R3160" s="99"/>
    </row>
    <row r="3161" spans="5:18" s="65" customFormat="1">
      <c r="E3161" s="130"/>
      <c r="P3161" s="99"/>
      <c r="Q3161" s="99"/>
      <c r="R3161" s="99"/>
    </row>
    <row r="3162" spans="5:18" s="65" customFormat="1">
      <c r="E3162" s="130"/>
      <c r="P3162" s="99"/>
      <c r="Q3162" s="99"/>
      <c r="R3162" s="99"/>
    </row>
    <row r="3163" spans="5:18" s="65" customFormat="1">
      <c r="E3163" s="130"/>
      <c r="P3163" s="99"/>
      <c r="Q3163" s="99"/>
      <c r="R3163" s="99"/>
    </row>
    <row r="3164" spans="5:18" s="65" customFormat="1">
      <c r="E3164" s="130"/>
      <c r="P3164" s="99"/>
      <c r="Q3164" s="99"/>
      <c r="R3164" s="99"/>
    </row>
    <row r="3165" spans="5:18" s="65" customFormat="1">
      <c r="E3165" s="130"/>
      <c r="P3165" s="99"/>
      <c r="Q3165" s="99"/>
      <c r="R3165" s="99"/>
    </row>
    <row r="3166" spans="5:18" s="65" customFormat="1">
      <c r="E3166" s="130"/>
      <c r="P3166" s="99"/>
      <c r="Q3166" s="99"/>
      <c r="R3166" s="99"/>
    </row>
    <row r="3167" spans="5:18" s="65" customFormat="1">
      <c r="E3167" s="130"/>
      <c r="P3167" s="99"/>
      <c r="Q3167" s="99"/>
      <c r="R3167" s="99"/>
    </row>
    <row r="3168" spans="5:18" s="65" customFormat="1">
      <c r="E3168" s="130"/>
      <c r="P3168" s="99"/>
      <c r="Q3168" s="99"/>
      <c r="R3168" s="99"/>
    </row>
    <row r="3169" spans="5:18" s="65" customFormat="1">
      <c r="E3169" s="130"/>
      <c r="P3169" s="99"/>
      <c r="Q3169" s="99"/>
      <c r="R3169" s="99"/>
    </row>
    <row r="3170" spans="5:18" s="65" customFormat="1">
      <c r="E3170" s="130"/>
      <c r="P3170" s="99"/>
      <c r="Q3170" s="99"/>
      <c r="R3170" s="99"/>
    </row>
    <row r="3171" spans="5:18" s="65" customFormat="1">
      <c r="E3171" s="130"/>
      <c r="P3171" s="99"/>
      <c r="Q3171" s="99"/>
      <c r="R3171" s="99"/>
    </row>
    <row r="3172" spans="5:18" s="65" customFormat="1">
      <c r="E3172" s="130"/>
      <c r="P3172" s="99"/>
      <c r="Q3172" s="99"/>
      <c r="R3172" s="99"/>
    </row>
    <row r="3173" spans="5:18" s="65" customFormat="1">
      <c r="E3173" s="130"/>
      <c r="P3173" s="99"/>
      <c r="Q3173" s="99"/>
      <c r="R3173" s="99"/>
    </row>
    <row r="3174" spans="5:18" s="65" customFormat="1">
      <c r="E3174" s="130"/>
      <c r="P3174" s="99"/>
      <c r="Q3174" s="99"/>
      <c r="R3174" s="99"/>
    </row>
    <row r="3175" spans="5:18" s="65" customFormat="1">
      <c r="E3175" s="130"/>
      <c r="P3175" s="99"/>
      <c r="Q3175" s="99"/>
      <c r="R3175" s="99"/>
    </row>
    <row r="3176" spans="5:18" s="65" customFormat="1">
      <c r="E3176" s="130"/>
      <c r="P3176" s="99"/>
      <c r="Q3176" s="99"/>
      <c r="R3176" s="99"/>
    </row>
    <row r="3177" spans="5:18" s="65" customFormat="1">
      <c r="E3177" s="130"/>
      <c r="P3177" s="99"/>
      <c r="Q3177" s="99"/>
      <c r="R3177" s="99"/>
    </row>
    <row r="3178" spans="5:18" s="65" customFormat="1">
      <c r="E3178" s="130"/>
      <c r="P3178" s="99"/>
      <c r="Q3178" s="99"/>
      <c r="R3178" s="99"/>
    </row>
    <row r="3179" spans="5:18" s="65" customFormat="1">
      <c r="E3179" s="130"/>
      <c r="P3179" s="99"/>
      <c r="Q3179" s="99"/>
      <c r="R3179" s="99"/>
    </row>
    <row r="3180" spans="5:18" s="65" customFormat="1">
      <c r="E3180" s="130"/>
      <c r="P3180" s="99"/>
      <c r="Q3180" s="99"/>
      <c r="R3180" s="99"/>
    </row>
    <row r="3181" spans="5:18" s="65" customFormat="1">
      <c r="E3181" s="130"/>
      <c r="P3181" s="99"/>
      <c r="Q3181" s="99"/>
      <c r="R3181" s="99"/>
    </row>
    <row r="3182" spans="5:18" s="65" customFormat="1">
      <c r="E3182" s="130"/>
      <c r="P3182" s="99"/>
      <c r="Q3182" s="99"/>
      <c r="R3182" s="99"/>
    </row>
    <row r="3183" spans="5:18" s="65" customFormat="1">
      <c r="E3183" s="130"/>
      <c r="P3183" s="99"/>
      <c r="Q3183" s="99"/>
      <c r="R3183" s="99"/>
    </row>
    <row r="3184" spans="5:18" s="65" customFormat="1">
      <c r="E3184" s="130"/>
      <c r="P3184" s="99"/>
      <c r="Q3184" s="99"/>
      <c r="R3184" s="99"/>
    </row>
    <row r="3185" spans="5:18" s="65" customFormat="1">
      <c r="E3185" s="130"/>
      <c r="P3185" s="99"/>
      <c r="Q3185" s="99"/>
      <c r="R3185" s="99"/>
    </row>
    <row r="3186" spans="5:18" s="65" customFormat="1">
      <c r="E3186" s="130"/>
      <c r="P3186" s="99"/>
      <c r="Q3186" s="99"/>
      <c r="R3186" s="99"/>
    </row>
    <row r="3187" spans="5:18" s="65" customFormat="1">
      <c r="E3187" s="130"/>
      <c r="P3187" s="99"/>
      <c r="Q3187" s="99"/>
      <c r="R3187" s="99"/>
    </row>
    <row r="3188" spans="5:18" s="65" customFormat="1">
      <c r="E3188" s="130"/>
      <c r="P3188" s="99"/>
      <c r="Q3188" s="99"/>
      <c r="R3188" s="99"/>
    </row>
    <row r="3189" spans="5:18" s="65" customFormat="1">
      <c r="E3189" s="130"/>
      <c r="P3189" s="99"/>
      <c r="Q3189" s="99"/>
      <c r="R3189" s="99"/>
    </row>
    <row r="3190" spans="5:18" s="65" customFormat="1">
      <c r="E3190" s="130"/>
      <c r="P3190" s="99"/>
      <c r="Q3190" s="99"/>
      <c r="R3190" s="99"/>
    </row>
    <row r="3191" spans="5:18" s="65" customFormat="1">
      <c r="E3191" s="130"/>
      <c r="P3191" s="99"/>
      <c r="Q3191" s="99"/>
      <c r="R3191" s="99"/>
    </row>
    <row r="3192" spans="5:18" s="65" customFormat="1">
      <c r="E3192" s="130"/>
      <c r="P3192" s="99"/>
      <c r="Q3192" s="99"/>
      <c r="R3192" s="99"/>
    </row>
    <row r="3193" spans="5:18" s="65" customFormat="1">
      <c r="E3193" s="130"/>
      <c r="P3193" s="99"/>
      <c r="Q3193" s="99"/>
      <c r="R3193" s="99"/>
    </row>
    <row r="3194" spans="5:18" s="65" customFormat="1">
      <c r="E3194" s="130"/>
      <c r="P3194" s="99"/>
      <c r="Q3194" s="99"/>
      <c r="R3194" s="99"/>
    </row>
    <row r="3195" spans="5:18" s="65" customFormat="1">
      <c r="E3195" s="130"/>
      <c r="P3195" s="99"/>
      <c r="Q3195" s="99"/>
      <c r="R3195" s="99"/>
    </row>
    <row r="3196" spans="5:18" s="65" customFormat="1">
      <c r="E3196" s="130"/>
      <c r="P3196" s="99"/>
      <c r="Q3196" s="99"/>
      <c r="R3196" s="99"/>
    </row>
    <row r="3197" spans="5:18" s="65" customFormat="1">
      <c r="E3197" s="130"/>
      <c r="P3197" s="99"/>
      <c r="Q3197" s="99"/>
      <c r="R3197" s="99"/>
    </row>
    <row r="3198" spans="5:18" s="65" customFormat="1">
      <c r="E3198" s="130"/>
      <c r="P3198" s="99"/>
      <c r="Q3198" s="99"/>
      <c r="R3198" s="99"/>
    </row>
    <row r="3199" spans="5:18" s="65" customFormat="1">
      <c r="E3199" s="130"/>
      <c r="P3199" s="99"/>
      <c r="Q3199" s="99"/>
      <c r="R3199" s="99"/>
    </row>
    <row r="3200" spans="5:18" s="65" customFormat="1">
      <c r="E3200" s="130"/>
      <c r="P3200" s="99"/>
      <c r="Q3200" s="99"/>
      <c r="R3200" s="99"/>
    </row>
    <row r="3201" spans="5:18" s="65" customFormat="1">
      <c r="E3201" s="130"/>
      <c r="P3201" s="99"/>
      <c r="Q3201" s="99"/>
      <c r="R3201" s="99"/>
    </row>
    <row r="3202" spans="5:18" s="65" customFormat="1">
      <c r="E3202" s="130"/>
      <c r="P3202" s="99"/>
      <c r="Q3202" s="99"/>
      <c r="R3202" s="99"/>
    </row>
    <row r="3203" spans="5:18" s="65" customFormat="1">
      <c r="E3203" s="130"/>
      <c r="P3203" s="99"/>
      <c r="Q3203" s="99"/>
      <c r="R3203" s="99"/>
    </row>
    <row r="3204" spans="5:18" s="65" customFormat="1">
      <c r="E3204" s="130"/>
      <c r="P3204" s="99"/>
      <c r="Q3204" s="99"/>
      <c r="R3204" s="99"/>
    </row>
    <row r="3205" spans="5:18" s="65" customFormat="1">
      <c r="E3205" s="130"/>
      <c r="P3205" s="99"/>
      <c r="Q3205" s="99"/>
      <c r="R3205" s="99"/>
    </row>
    <row r="3206" spans="5:18" s="65" customFormat="1">
      <c r="E3206" s="130"/>
      <c r="P3206" s="99"/>
      <c r="Q3206" s="99"/>
      <c r="R3206" s="99"/>
    </row>
    <row r="3207" spans="5:18" s="65" customFormat="1">
      <c r="E3207" s="130"/>
      <c r="P3207" s="99"/>
      <c r="Q3207" s="99"/>
      <c r="R3207" s="99"/>
    </row>
    <row r="3208" spans="5:18" s="65" customFormat="1">
      <c r="E3208" s="130"/>
      <c r="P3208" s="99"/>
      <c r="Q3208" s="99"/>
      <c r="R3208" s="99"/>
    </row>
    <row r="3209" spans="5:18" s="65" customFormat="1">
      <c r="E3209" s="130"/>
      <c r="P3209" s="99"/>
      <c r="Q3209" s="99"/>
      <c r="R3209" s="99"/>
    </row>
    <row r="3210" spans="5:18" s="65" customFormat="1">
      <c r="E3210" s="130"/>
      <c r="P3210" s="99"/>
      <c r="Q3210" s="99"/>
      <c r="R3210" s="99"/>
    </row>
    <row r="3211" spans="5:18" s="65" customFormat="1">
      <c r="E3211" s="130"/>
      <c r="P3211" s="99"/>
      <c r="Q3211" s="99"/>
      <c r="R3211" s="99"/>
    </row>
    <row r="3212" spans="5:18" s="65" customFormat="1">
      <c r="E3212" s="130"/>
      <c r="P3212" s="99"/>
      <c r="Q3212" s="99"/>
      <c r="R3212" s="99"/>
    </row>
    <row r="3213" spans="5:18" s="65" customFormat="1">
      <c r="E3213" s="130"/>
      <c r="P3213" s="99"/>
      <c r="Q3213" s="99"/>
      <c r="R3213" s="99"/>
    </row>
    <row r="3214" spans="5:18" s="65" customFormat="1">
      <c r="E3214" s="130"/>
      <c r="P3214" s="99"/>
      <c r="Q3214" s="99"/>
      <c r="R3214" s="99"/>
    </row>
    <row r="3215" spans="5:18" s="65" customFormat="1">
      <c r="E3215" s="130"/>
      <c r="P3215" s="99"/>
      <c r="Q3215" s="99"/>
      <c r="R3215" s="99"/>
    </row>
    <row r="3216" spans="5:18" s="65" customFormat="1">
      <c r="E3216" s="130"/>
      <c r="P3216" s="99"/>
      <c r="Q3216" s="99"/>
      <c r="R3216" s="99"/>
    </row>
    <row r="3217" spans="5:18" s="65" customFormat="1">
      <c r="E3217" s="130"/>
      <c r="P3217" s="99"/>
      <c r="Q3217" s="99"/>
      <c r="R3217" s="99"/>
    </row>
    <row r="3218" spans="5:18" s="65" customFormat="1">
      <c r="E3218" s="130"/>
      <c r="P3218" s="99"/>
      <c r="Q3218" s="99"/>
      <c r="R3218" s="99"/>
    </row>
    <row r="3219" spans="5:18" s="65" customFormat="1">
      <c r="E3219" s="130"/>
      <c r="P3219" s="99"/>
      <c r="Q3219" s="99"/>
      <c r="R3219" s="99"/>
    </row>
    <row r="3220" spans="5:18" s="65" customFormat="1">
      <c r="E3220" s="130"/>
      <c r="P3220" s="99"/>
      <c r="Q3220" s="99"/>
      <c r="R3220" s="99"/>
    </row>
    <row r="3221" spans="5:18" s="65" customFormat="1">
      <c r="E3221" s="130"/>
      <c r="P3221" s="99"/>
      <c r="Q3221" s="99"/>
      <c r="R3221" s="99"/>
    </row>
    <row r="3222" spans="5:18" s="65" customFormat="1">
      <c r="E3222" s="130"/>
      <c r="P3222" s="99"/>
      <c r="Q3222" s="99"/>
      <c r="R3222" s="99"/>
    </row>
    <row r="3223" spans="5:18" s="65" customFormat="1">
      <c r="E3223" s="130"/>
      <c r="P3223" s="99"/>
      <c r="Q3223" s="99"/>
      <c r="R3223" s="99"/>
    </row>
    <row r="3224" spans="5:18" s="65" customFormat="1">
      <c r="E3224" s="130"/>
      <c r="P3224" s="99"/>
      <c r="Q3224" s="99"/>
      <c r="R3224" s="99"/>
    </row>
    <row r="3225" spans="5:18" s="65" customFormat="1">
      <c r="E3225" s="130"/>
      <c r="P3225" s="99"/>
      <c r="Q3225" s="99"/>
      <c r="R3225" s="99"/>
    </row>
    <row r="3226" spans="5:18" s="65" customFormat="1">
      <c r="E3226" s="130"/>
      <c r="P3226" s="99"/>
      <c r="Q3226" s="99"/>
      <c r="R3226" s="99"/>
    </row>
    <row r="3227" spans="5:18" s="65" customFormat="1">
      <c r="E3227" s="130"/>
      <c r="P3227" s="99"/>
      <c r="Q3227" s="99"/>
      <c r="R3227" s="99"/>
    </row>
    <row r="3228" spans="5:18" s="65" customFormat="1">
      <c r="E3228" s="130"/>
      <c r="P3228" s="99"/>
      <c r="Q3228" s="99"/>
      <c r="R3228" s="99"/>
    </row>
    <row r="3229" spans="5:18" s="65" customFormat="1">
      <c r="E3229" s="130"/>
      <c r="P3229" s="99"/>
      <c r="Q3229" s="99"/>
      <c r="R3229" s="99"/>
    </row>
    <row r="3230" spans="5:18" s="65" customFormat="1">
      <c r="E3230" s="130"/>
      <c r="P3230" s="99"/>
      <c r="Q3230" s="99"/>
      <c r="R3230" s="99"/>
    </row>
    <row r="3231" spans="5:18" s="65" customFormat="1">
      <c r="E3231" s="130"/>
      <c r="P3231" s="99"/>
      <c r="Q3231" s="99"/>
      <c r="R3231" s="99"/>
    </row>
    <row r="3232" spans="5:18" s="65" customFormat="1">
      <c r="E3232" s="130"/>
      <c r="P3232" s="99"/>
      <c r="Q3232" s="99"/>
      <c r="R3232" s="99"/>
    </row>
    <row r="3233" spans="5:18" s="65" customFormat="1">
      <c r="E3233" s="130"/>
      <c r="P3233" s="99"/>
      <c r="Q3233" s="99"/>
      <c r="R3233" s="99"/>
    </row>
    <row r="3234" spans="5:18" s="65" customFormat="1">
      <c r="E3234" s="130"/>
      <c r="P3234" s="99"/>
      <c r="Q3234" s="99"/>
      <c r="R3234" s="99"/>
    </row>
    <row r="3235" spans="5:18" s="65" customFormat="1">
      <c r="E3235" s="130"/>
      <c r="P3235" s="99"/>
      <c r="Q3235" s="99"/>
      <c r="R3235" s="99"/>
    </row>
    <row r="3236" spans="5:18" s="65" customFormat="1">
      <c r="E3236" s="130"/>
      <c r="P3236" s="99"/>
      <c r="Q3236" s="99"/>
      <c r="R3236" s="99"/>
    </row>
    <row r="3237" spans="5:18" s="65" customFormat="1">
      <c r="E3237" s="130"/>
      <c r="P3237" s="99"/>
      <c r="Q3237" s="99"/>
      <c r="R3237" s="99"/>
    </row>
    <row r="3238" spans="5:18" s="65" customFormat="1">
      <c r="E3238" s="130"/>
      <c r="P3238" s="99"/>
      <c r="Q3238" s="99"/>
      <c r="R3238" s="99"/>
    </row>
    <row r="3239" spans="5:18" s="65" customFormat="1">
      <c r="E3239" s="130"/>
      <c r="P3239" s="99"/>
      <c r="Q3239" s="99"/>
      <c r="R3239" s="99"/>
    </row>
    <row r="3240" spans="5:18" s="65" customFormat="1">
      <c r="E3240" s="130"/>
      <c r="P3240" s="99"/>
      <c r="Q3240" s="99"/>
      <c r="R3240" s="99"/>
    </row>
    <row r="3241" spans="5:18" s="65" customFormat="1">
      <c r="E3241" s="130"/>
      <c r="P3241" s="99"/>
      <c r="Q3241" s="99"/>
      <c r="R3241" s="99"/>
    </row>
    <row r="3242" spans="5:18" s="65" customFormat="1">
      <c r="E3242" s="130"/>
      <c r="P3242" s="99"/>
      <c r="Q3242" s="99"/>
      <c r="R3242" s="99"/>
    </row>
    <row r="3243" spans="5:18" s="65" customFormat="1">
      <c r="E3243" s="130"/>
      <c r="P3243" s="99"/>
      <c r="Q3243" s="99"/>
      <c r="R3243" s="99"/>
    </row>
    <row r="3244" spans="5:18" s="65" customFormat="1">
      <c r="E3244" s="130"/>
      <c r="P3244" s="99"/>
      <c r="Q3244" s="99"/>
      <c r="R3244" s="99"/>
    </row>
    <row r="3245" spans="5:18" s="65" customFormat="1">
      <c r="E3245" s="130"/>
      <c r="P3245" s="99"/>
      <c r="Q3245" s="99"/>
      <c r="R3245" s="99"/>
    </row>
    <row r="3246" spans="5:18" s="65" customFormat="1">
      <c r="E3246" s="130"/>
      <c r="P3246" s="99"/>
      <c r="Q3246" s="99"/>
      <c r="R3246" s="99"/>
    </row>
    <row r="3247" spans="5:18" s="65" customFormat="1">
      <c r="E3247" s="130"/>
      <c r="P3247" s="99"/>
      <c r="Q3247" s="99"/>
      <c r="R3247" s="99"/>
    </row>
    <row r="3248" spans="5:18" s="65" customFormat="1">
      <c r="E3248" s="130"/>
      <c r="P3248" s="99"/>
      <c r="Q3248" s="99"/>
      <c r="R3248" s="99"/>
    </row>
    <row r="3249" spans="5:18" s="65" customFormat="1">
      <c r="E3249" s="130"/>
      <c r="P3249" s="99"/>
      <c r="Q3249" s="99"/>
      <c r="R3249" s="99"/>
    </row>
    <row r="3250" spans="5:18" s="65" customFormat="1">
      <c r="E3250" s="130"/>
      <c r="P3250" s="99"/>
      <c r="Q3250" s="99"/>
      <c r="R3250" s="99"/>
    </row>
    <row r="3251" spans="5:18" s="65" customFormat="1">
      <c r="E3251" s="130"/>
      <c r="P3251" s="99"/>
      <c r="Q3251" s="99"/>
      <c r="R3251" s="99"/>
    </row>
    <row r="3252" spans="5:18" s="65" customFormat="1">
      <c r="E3252" s="130"/>
      <c r="P3252" s="99"/>
      <c r="Q3252" s="99"/>
      <c r="R3252" s="99"/>
    </row>
    <row r="3253" spans="5:18" s="65" customFormat="1">
      <c r="E3253" s="130"/>
      <c r="P3253" s="99"/>
      <c r="Q3253" s="99"/>
      <c r="R3253" s="99"/>
    </row>
    <row r="3254" spans="5:18" s="65" customFormat="1">
      <c r="E3254" s="130"/>
      <c r="P3254" s="99"/>
      <c r="Q3254" s="99"/>
      <c r="R3254" s="99"/>
    </row>
    <row r="3255" spans="5:18" s="65" customFormat="1">
      <c r="E3255" s="130"/>
      <c r="P3255" s="99"/>
      <c r="Q3255" s="99"/>
      <c r="R3255" s="99"/>
    </row>
    <row r="3256" spans="5:18" s="65" customFormat="1">
      <c r="E3256" s="130"/>
      <c r="P3256" s="99"/>
      <c r="Q3256" s="99"/>
      <c r="R3256" s="99"/>
    </row>
    <row r="3257" spans="5:18" s="65" customFormat="1">
      <c r="E3257" s="130"/>
      <c r="P3257" s="99"/>
      <c r="Q3257" s="99"/>
      <c r="R3257" s="99"/>
    </row>
    <row r="3258" spans="5:18" s="65" customFormat="1">
      <c r="E3258" s="130"/>
      <c r="P3258" s="99"/>
      <c r="Q3258" s="99"/>
      <c r="R3258" s="99"/>
    </row>
    <row r="3259" spans="5:18" s="65" customFormat="1">
      <c r="E3259" s="130"/>
      <c r="P3259" s="99"/>
      <c r="Q3259" s="99"/>
      <c r="R3259" s="99"/>
    </row>
    <row r="3260" spans="5:18" s="65" customFormat="1">
      <c r="E3260" s="130"/>
      <c r="P3260" s="99"/>
      <c r="Q3260" s="99"/>
      <c r="R3260" s="99"/>
    </row>
    <row r="3261" spans="5:18" s="65" customFormat="1">
      <c r="E3261" s="130"/>
      <c r="P3261" s="99"/>
      <c r="Q3261" s="99"/>
      <c r="R3261" s="99"/>
    </row>
    <row r="3262" spans="5:18" s="65" customFormat="1">
      <c r="E3262" s="130"/>
      <c r="P3262" s="99"/>
      <c r="Q3262" s="99"/>
      <c r="R3262" s="99"/>
    </row>
    <row r="3263" spans="5:18" s="65" customFormat="1">
      <c r="E3263" s="130"/>
      <c r="P3263" s="99"/>
      <c r="Q3263" s="99"/>
      <c r="R3263" s="99"/>
    </row>
    <row r="3264" spans="5:18" s="65" customFormat="1">
      <c r="E3264" s="130"/>
      <c r="P3264" s="99"/>
      <c r="Q3264" s="99"/>
      <c r="R3264" s="99"/>
    </row>
    <row r="3265" spans="5:18" s="65" customFormat="1">
      <c r="E3265" s="130"/>
      <c r="P3265" s="99"/>
      <c r="Q3265" s="99"/>
      <c r="R3265" s="99"/>
    </row>
    <row r="3266" spans="5:18" s="65" customFormat="1">
      <c r="E3266" s="130"/>
      <c r="P3266" s="99"/>
      <c r="Q3266" s="99"/>
      <c r="R3266" s="99"/>
    </row>
    <row r="3267" spans="5:18" s="65" customFormat="1">
      <c r="E3267" s="130"/>
      <c r="P3267" s="99"/>
      <c r="Q3267" s="99"/>
      <c r="R3267" s="99"/>
    </row>
    <row r="3268" spans="5:18" s="65" customFormat="1">
      <c r="E3268" s="130"/>
      <c r="P3268" s="99"/>
      <c r="Q3268" s="99"/>
      <c r="R3268" s="99"/>
    </row>
    <row r="3269" spans="5:18" s="65" customFormat="1">
      <c r="E3269" s="130"/>
      <c r="P3269" s="99"/>
      <c r="Q3269" s="99"/>
      <c r="R3269" s="99"/>
    </row>
    <row r="3270" spans="5:18" s="65" customFormat="1">
      <c r="E3270" s="130"/>
      <c r="P3270" s="99"/>
      <c r="Q3270" s="99"/>
      <c r="R3270" s="99"/>
    </row>
    <row r="3271" spans="5:18" s="65" customFormat="1">
      <c r="E3271" s="130"/>
      <c r="P3271" s="99"/>
      <c r="Q3271" s="99"/>
      <c r="R3271" s="99"/>
    </row>
    <row r="3272" spans="5:18" s="65" customFormat="1">
      <c r="E3272" s="130"/>
      <c r="P3272" s="99"/>
      <c r="Q3272" s="99"/>
      <c r="R3272" s="99"/>
    </row>
    <row r="3273" spans="5:18" s="65" customFormat="1">
      <c r="E3273" s="130"/>
      <c r="P3273" s="99"/>
      <c r="Q3273" s="99"/>
      <c r="R3273" s="99"/>
    </row>
    <row r="3274" spans="5:18" s="65" customFormat="1">
      <c r="E3274" s="130"/>
      <c r="P3274" s="99"/>
      <c r="Q3274" s="99"/>
      <c r="R3274" s="99"/>
    </row>
    <row r="3275" spans="5:18" s="65" customFormat="1">
      <c r="E3275" s="130"/>
      <c r="P3275" s="99"/>
      <c r="Q3275" s="99"/>
      <c r="R3275" s="99"/>
    </row>
    <row r="3276" spans="5:18" s="65" customFormat="1">
      <c r="E3276" s="130"/>
      <c r="P3276" s="99"/>
      <c r="Q3276" s="99"/>
      <c r="R3276" s="99"/>
    </row>
    <row r="3277" spans="5:18" s="65" customFormat="1">
      <c r="E3277" s="130"/>
      <c r="P3277" s="99"/>
      <c r="Q3277" s="99"/>
      <c r="R3277" s="99"/>
    </row>
    <row r="3278" spans="5:18" s="65" customFormat="1">
      <c r="E3278" s="130"/>
      <c r="P3278" s="99"/>
      <c r="Q3278" s="99"/>
      <c r="R3278" s="99"/>
    </row>
    <row r="3279" spans="5:18" s="65" customFormat="1">
      <c r="E3279" s="130"/>
      <c r="P3279" s="99"/>
      <c r="Q3279" s="99"/>
      <c r="R3279" s="99"/>
    </row>
    <row r="3280" spans="5:18" s="65" customFormat="1">
      <c r="E3280" s="130"/>
      <c r="P3280" s="99"/>
      <c r="Q3280" s="99"/>
      <c r="R3280" s="99"/>
    </row>
    <row r="3281" spans="5:18" s="65" customFormat="1">
      <c r="E3281" s="130"/>
      <c r="P3281" s="99"/>
      <c r="Q3281" s="99"/>
      <c r="R3281" s="99"/>
    </row>
    <row r="3282" spans="5:18" s="65" customFormat="1">
      <c r="E3282" s="130"/>
      <c r="P3282" s="99"/>
      <c r="Q3282" s="99"/>
      <c r="R3282" s="99"/>
    </row>
    <row r="3283" spans="5:18" s="65" customFormat="1">
      <c r="E3283" s="130"/>
      <c r="P3283" s="99"/>
      <c r="Q3283" s="99"/>
      <c r="R3283" s="99"/>
    </row>
    <row r="3284" spans="5:18" s="65" customFormat="1">
      <c r="E3284" s="130"/>
      <c r="P3284" s="99"/>
      <c r="Q3284" s="99"/>
      <c r="R3284" s="99"/>
    </row>
    <row r="3285" spans="5:18" s="65" customFormat="1">
      <c r="E3285" s="130"/>
      <c r="P3285" s="99"/>
      <c r="Q3285" s="99"/>
      <c r="R3285" s="99"/>
    </row>
    <row r="3286" spans="5:18" s="65" customFormat="1">
      <c r="E3286" s="130"/>
      <c r="P3286" s="99"/>
      <c r="Q3286" s="99"/>
      <c r="R3286" s="99"/>
    </row>
    <row r="3287" spans="5:18" s="65" customFormat="1">
      <c r="E3287" s="130"/>
      <c r="P3287" s="99"/>
      <c r="Q3287" s="99"/>
      <c r="R3287" s="99"/>
    </row>
    <row r="3288" spans="5:18" s="65" customFormat="1">
      <c r="E3288" s="130"/>
      <c r="P3288" s="99"/>
      <c r="Q3288" s="99"/>
      <c r="R3288" s="99"/>
    </row>
    <row r="3289" spans="5:18" s="65" customFormat="1">
      <c r="E3289" s="130"/>
      <c r="P3289" s="99"/>
      <c r="Q3289" s="99"/>
      <c r="R3289" s="99"/>
    </row>
    <row r="3290" spans="5:18" s="65" customFormat="1">
      <c r="E3290" s="130"/>
      <c r="P3290" s="99"/>
      <c r="Q3290" s="99"/>
      <c r="R3290" s="99"/>
    </row>
    <row r="3291" spans="5:18" s="65" customFormat="1">
      <c r="E3291" s="130"/>
      <c r="P3291" s="99"/>
      <c r="Q3291" s="99"/>
      <c r="R3291" s="99"/>
    </row>
    <row r="3292" spans="5:18" s="65" customFormat="1">
      <c r="E3292" s="130"/>
      <c r="P3292" s="99"/>
      <c r="Q3292" s="99"/>
      <c r="R3292" s="99"/>
    </row>
    <row r="3293" spans="5:18" s="65" customFormat="1">
      <c r="E3293" s="130"/>
      <c r="P3293" s="99"/>
      <c r="Q3293" s="99"/>
      <c r="R3293" s="99"/>
    </row>
    <row r="3294" spans="5:18" s="65" customFormat="1">
      <c r="E3294" s="130"/>
      <c r="P3294" s="99"/>
      <c r="Q3294" s="99"/>
      <c r="R3294" s="99"/>
    </row>
    <row r="3295" spans="5:18" s="65" customFormat="1">
      <c r="E3295" s="130"/>
      <c r="P3295" s="99"/>
      <c r="Q3295" s="99"/>
      <c r="R3295" s="99"/>
    </row>
    <row r="3296" spans="5:18" s="65" customFormat="1">
      <c r="E3296" s="130"/>
      <c r="P3296" s="99"/>
      <c r="Q3296" s="99"/>
      <c r="R3296" s="99"/>
    </row>
    <row r="3297" spans="5:18" s="65" customFormat="1">
      <c r="E3297" s="130"/>
      <c r="P3297" s="99"/>
      <c r="Q3297" s="99"/>
      <c r="R3297" s="99"/>
    </row>
    <row r="3298" spans="5:18" s="65" customFormat="1">
      <c r="E3298" s="130"/>
      <c r="P3298" s="99"/>
      <c r="Q3298" s="99"/>
      <c r="R3298" s="99"/>
    </row>
    <row r="3299" spans="5:18" s="65" customFormat="1">
      <c r="E3299" s="130"/>
      <c r="P3299" s="99"/>
      <c r="Q3299" s="99"/>
      <c r="R3299" s="99"/>
    </row>
    <row r="3300" spans="5:18" s="65" customFormat="1">
      <c r="E3300" s="130"/>
      <c r="P3300" s="99"/>
      <c r="Q3300" s="99"/>
      <c r="R3300" s="99"/>
    </row>
    <row r="3301" spans="5:18" s="65" customFormat="1">
      <c r="E3301" s="130"/>
      <c r="P3301" s="99"/>
      <c r="Q3301" s="99"/>
      <c r="R3301" s="99"/>
    </row>
    <row r="3302" spans="5:18" s="65" customFormat="1">
      <c r="E3302" s="130"/>
      <c r="P3302" s="99"/>
      <c r="Q3302" s="99"/>
      <c r="R3302" s="99"/>
    </row>
    <row r="3303" spans="5:18" s="65" customFormat="1">
      <c r="E3303" s="130"/>
      <c r="P3303" s="99"/>
      <c r="Q3303" s="99"/>
      <c r="R3303" s="99"/>
    </row>
    <row r="3304" spans="5:18" s="65" customFormat="1">
      <c r="E3304" s="130"/>
      <c r="P3304" s="99"/>
      <c r="Q3304" s="99"/>
      <c r="R3304" s="99"/>
    </row>
    <row r="3305" spans="5:18" s="65" customFormat="1">
      <c r="E3305" s="130"/>
      <c r="P3305" s="99"/>
      <c r="Q3305" s="99"/>
      <c r="R3305" s="99"/>
    </row>
    <row r="3306" spans="5:18" s="65" customFormat="1">
      <c r="E3306" s="130"/>
      <c r="P3306" s="99"/>
      <c r="Q3306" s="99"/>
      <c r="R3306" s="99"/>
    </row>
    <row r="3307" spans="5:18" s="65" customFormat="1">
      <c r="E3307" s="130"/>
      <c r="P3307" s="99"/>
      <c r="Q3307" s="99"/>
      <c r="R3307" s="99"/>
    </row>
    <row r="3308" spans="5:18" s="65" customFormat="1">
      <c r="E3308" s="130"/>
      <c r="P3308" s="99"/>
      <c r="Q3308" s="99"/>
      <c r="R3308" s="99"/>
    </row>
    <row r="3309" spans="5:18" s="65" customFormat="1">
      <c r="E3309" s="130"/>
      <c r="P3309" s="99"/>
      <c r="Q3309" s="99"/>
      <c r="R3309" s="99"/>
    </row>
    <row r="3310" spans="5:18" s="65" customFormat="1">
      <c r="E3310" s="130"/>
      <c r="P3310" s="99"/>
      <c r="Q3310" s="99"/>
      <c r="R3310" s="99"/>
    </row>
    <row r="3311" spans="5:18" s="65" customFormat="1">
      <c r="E3311" s="130"/>
      <c r="P3311" s="99"/>
      <c r="Q3311" s="99"/>
      <c r="R3311" s="99"/>
    </row>
    <row r="3312" spans="5:18" s="65" customFormat="1">
      <c r="E3312" s="130"/>
      <c r="P3312" s="99"/>
      <c r="Q3312" s="99"/>
      <c r="R3312" s="99"/>
    </row>
    <row r="3313" spans="5:18" s="65" customFormat="1">
      <c r="E3313" s="130"/>
      <c r="P3313" s="99"/>
      <c r="Q3313" s="99"/>
      <c r="R3313" s="99"/>
    </row>
    <row r="3314" spans="5:18" s="65" customFormat="1">
      <c r="E3314" s="130"/>
      <c r="P3314" s="99"/>
      <c r="Q3314" s="99"/>
      <c r="R3314" s="99"/>
    </row>
    <row r="3315" spans="5:18" s="65" customFormat="1">
      <c r="E3315" s="130"/>
      <c r="P3315" s="99"/>
      <c r="Q3315" s="99"/>
      <c r="R3315" s="99"/>
    </row>
    <row r="3316" spans="5:18" s="65" customFormat="1">
      <c r="E3316" s="130"/>
      <c r="P3316" s="99"/>
      <c r="Q3316" s="99"/>
      <c r="R3316" s="99"/>
    </row>
    <row r="3317" spans="5:18" s="65" customFormat="1">
      <c r="E3317" s="130"/>
      <c r="P3317" s="99"/>
      <c r="Q3317" s="99"/>
      <c r="R3317" s="99"/>
    </row>
    <row r="3318" spans="5:18" s="65" customFormat="1">
      <c r="E3318" s="130"/>
      <c r="P3318" s="99"/>
      <c r="Q3318" s="99"/>
      <c r="R3318" s="99"/>
    </row>
    <row r="3319" spans="5:18" s="65" customFormat="1">
      <c r="E3319" s="130"/>
      <c r="P3319" s="99"/>
      <c r="Q3319" s="99"/>
      <c r="R3319" s="99"/>
    </row>
    <row r="3320" spans="5:18" s="65" customFormat="1">
      <c r="E3320" s="130"/>
      <c r="P3320" s="99"/>
      <c r="Q3320" s="99"/>
      <c r="R3320" s="99"/>
    </row>
    <row r="3321" spans="5:18" s="65" customFormat="1">
      <c r="E3321" s="130"/>
      <c r="P3321" s="99"/>
      <c r="Q3321" s="99"/>
      <c r="R3321" s="99"/>
    </row>
    <row r="3322" spans="5:18" s="65" customFormat="1">
      <c r="E3322" s="130"/>
      <c r="P3322" s="99"/>
      <c r="Q3322" s="99"/>
      <c r="R3322" s="99"/>
    </row>
    <row r="3323" spans="5:18" s="65" customFormat="1">
      <c r="E3323" s="130"/>
      <c r="P3323" s="99"/>
      <c r="Q3323" s="99"/>
      <c r="R3323" s="99"/>
    </row>
    <row r="3324" spans="5:18" s="65" customFormat="1">
      <c r="E3324" s="130"/>
      <c r="P3324" s="99"/>
      <c r="Q3324" s="99"/>
      <c r="R3324" s="99"/>
    </row>
    <row r="3325" spans="5:18" s="65" customFormat="1">
      <c r="E3325" s="130"/>
      <c r="P3325" s="99"/>
      <c r="Q3325" s="99"/>
      <c r="R3325" s="99"/>
    </row>
    <row r="3326" spans="5:18" s="65" customFormat="1">
      <c r="E3326" s="130"/>
      <c r="P3326" s="99"/>
      <c r="Q3326" s="99"/>
      <c r="R3326" s="99"/>
    </row>
    <row r="3327" spans="5:18" s="65" customFormat="1">
      <c r="E3327" s="130"/>
      <c r="P3327" s="99"/>
      <c r="Q3327" s="99"/>
      <c r="R3327" s="99"/>
    </row>
    <row r="3328" spans="5:18" s="65" customFormat="1">
      <c r="E3328" s="130"/>
      <c r="P3328" s="99"/>
      <c r="Q3328" s="99"/>
      <c r="R3328" s="99"/>
    </row>
    <row r="3329" spans="5:18" s="65" customFormat="1">
      <c r="E3329" s="130"/>
      <c r="P3329" s="99"/>
      <c r="Q3329" s="99"/>
      <c r="R3329" s="99"/>
    </row>
    <row r="3330" spans="5:18" s="65" customFormat="1">
      <c r="E3330" s="130"/>
      <c r="P3330" s="99"/>
      <c r="Q3330" s="99"/>
      <c r="R3330" s="99"/>
    </row>
    <row r="3331" spans="5:18" s="65" customFormat="1">
      <c r="E3331" s="130"/>
      <c r="P3331" s="99"/>
      <c r="Q3331" s="99"/>
      <c r="R3331" s="99"/>
    </row>
    <row r="3332" spans="5:18" s="65" customFormat="1">
      <c r="E3332" s="130"/>
      <c r="P3332" s="99"/>
      <c r="Q3332" s="99"/>
      <c r="R3332" s="99"/>
    </row>
    <row r="3333" spans="5:18" s="65" customFormat="1">
      <c r="E3333" s="130"/>
      <c r="P3333" s="99"/>
      <c r="Q3333" s="99"/>
      <c r="R3333" s="99"/>
    </row>
    <row r="3334" spans="5:18" s="65" customFormat="1">
      <c r="E3334" s="130"/>
      <c r="P3334" s="99"/>
      <c r="Q3334" s="99"/>
      <c r="R3334" s="99"/>
    </row>
    <row r="3335" spans="5:18" s="65" customFormat="1">
      <c r="E3335" s="130"/>
      <c r="P3335" s="99"/>
      <c r="Q3335" s="99"/>
      <c r="R3335" s="99"/>
    </row>
    <row r="3336" spans="5:18" s="65" customFormat="1">
      <c r="E3336" s="130"/>
      <c r="P3336" s="99"/>
      <c r="Q3336" s="99"/>
      <c r="R3336" s="99"/>
    </row>
    <row r="3337" spans="5:18" s="65" customFormat="1">
      <c r="E3337" s="130"/>
      <c r="P3337" s="99"/>
      <c r="Q3337" s="99"/>
      <c r="R3337" s="99"/>
    </row>
    <row r="3338" spans="5:18" s="65" customFormat="1">
      <c r="E3338" s="130"/>
      <c r="P3338" s="99"/>
      <c r="Q3338" s="99"/>
      <c r="R3338" s="99"/>
    </row>
    <row r="3339" spans="5:18" s="65" customFormat="1">
      <c r="E3339" s="130"/>
      <c r="P3339" s="99"/>
      <c r="Q3339" s="99"/>
      <c r="R3339" s="99"/>
    </row>
    <row r="3340" spans="5:18" s="65" customFormat="1">
      <c r="E3340" s="130"/>
      <c r="P3340" s="99"/>
      <c r="Q3340" s="99"/>
      <c r="R3340" s="99"/>
    </row>
    <row r="3341" spans="5:18" s="65" customFormat="1">
      <c r="E3341" s="130"/>
      <c r="P3341" s="99"/>
      <c r="Q3341" s="99"/>
      <c r="R3341" s="99"/>
    </row>
    <row r="3342" spans="5:18" s="65" customFormat="1">
      <c r="E3342" s="130"/>
      <c r="P3342" s="99"/>
      <c r="Q3342" s="99"/>
      <c r="R3342" s="99"/>
    </row>
    <row r="3343" spans="5:18" s="65" customFormat="1">
      <c r="E3343" s="130"/>
      <c r="P3343" s="99"/>
      <c r="Q3343" s="99"/>
      <c r="R3343" s="99"/>
    </row>
    <row r="3344" spans="5:18" s="65" customFormat="1">
      <c r="E3344" s="130"/>
      <c r="P3344" s="99"/>
      <c r="Q3344" s="99"/>
      <c r="R3344" s="99"/>
    </row>
    <row r="3345" spans="5:18" s="65" customFormat="1">
      <c r="E3345" s="130"/>
      <c r="P3345" s="99"/>
      <c r="Q3345" s="99"/>
      <c r="R3345" s="99"/>
    </row>
    <row r="3346" spans="5:18" s="65" customFormat="1">
      <c r="E3346" s="130"/>
      <c r="P3346" s="99"/>
      <c r="Q3346" s="99"/>
      <c r="R3346" s="99"/>
    </row>
    <row r="3347" spans="5:18" s="65" customFormat="1">
      <c r="E3347" s="130"/>
      <c r="P3347" s="99"/>
      <c r="Q3347" s="99"/>
      <c r="R3347" s="99"/>
    </row>
    <row r="3348" spans="5:18" s="65" customFormat="1">
      <c r="E3348" s="130"/>
      <c r="P3348" s="99"/>
      <c r="Q3348" s="99"/>
      <c r="R3348" s="99"/>
    </row>
    <row r="3349" spans="5:18" s="65" customFormat="1">
      <c r="E3349" s="130"/>
      <c r="P3349" s="99"/>
      <c r="Q3349" s="99"/>
      <c r="R3349" s="99"/>
    </row>
    <row r="3350" spans="5:18" s="65" customFormat="1">
      <c r="E3350" s="130"/>
      <c r="P3350" s="99"/>
      <c r="Q3350" s="99"/>
      <c r="R3350" s="99"/>
    </row>
    <row r="3351" spans="5:18" s="65" customFormat="1">
      <c r="E3351" s="130"/>
      <c r="P3351" s="99"/>
      <c r="Q3351" s="99"/>
      <c r="R3351" s="99"/>
    </row>
    <row r="3352" spans="5:18" s="65" customFormat="1">
      <c r="E3352" s="130"/>
      <c r="P3352" s="99"/>
      <c r="Q3352" s="99"/>
      <c r="R3352" s="99"/>
    </row>
    <row r="3353" spans="5:18" s="65" customFormat="1">
      <c r="E3353" s="130"/>
      <c r="P3353" s="99"/>
      <c r="Q3353" s="99"/>
      <c r="R3353" s="99"/>
    </row>
    <row r="3354" spans="5:18" s="65" customFormat="1">
      <c r="E3354" s="130"/>
      <c r="P3354" s="99"/>
      <c r="Q3354" s="99"/>
      <c r="R3354" s="99"/>
    </row>
    <row r="3355" spans="5:18" s="65" customFormat="1">
      <c r="E3355" s="130"/>
      <c r="P3355" s="99"/>
      <c r="Q3355" s="99"/>
      <c r="R3355" s="99"/>
    </row>
    <row r="3356" spans="5:18" s="65" customFormat="1">
      <c r="E3356" s="130"/>
      <c r="P3356" s="99"/>
      <c r="Q3356" s="99"/>
      <c r="R3356" s="99"/>
    </row>
    <row r="3357" spans="5:18" s="65" customFormat="1">
      <c r="E3357" s="130"/>
      <c r="P3357" s="99"/>
      <c r="Q3357" s="99"/>
      <c r="R3357" s="99"/>
    </row>
    <row r="3358" spans="5:18" s="65" customFormat="1">
      <c r="E3358" s="130"/>
      <c r="P3358" s="99"/>
      <c r="Q3358" s="99"/>
      <c r="R3358" s="99"/>
    </row>
    <row r="3359" spans="5:18" s="65" customFormat="1">
      <c r="E3359" s="130"/>
      <c r="P3359" s="99"/>
      <c r="Q3359" s="99"/>
      <c r="R3359" s="99"/>
    </row>
    <row r="3360" spans="5:18" s="65" customFormat="1">
      <c r="E3360" s="130"/>
      <c r="P3360" s="99"/>
      <c r="Q3360" s="99"/>
      <c r="R3360" s="99"/>
    </row>
    <row r="3361" spans="5:18" s="65" customFormat="1">
      <c r="E3361" s="130"/>
      <c r="P3361" s="99"/>
      <c r="Q3361" s="99"/>
      <c r="R3361" s="99"/>
    </row>
    <row r="3362" spans="5:18" s="65" customFormat="1">
      <c r="E3362" s="130"/>
      <c r="P3362" s="99"/>
      <c r="Q3362" s="99"/>
      <c r="R3362" s="99"/>
    </row>
    <row r="3363" spans="5:18" s="65" customFormat="1">
      <c r="E3363" s="130"/>
      <c r="P3363" s="99"/>
      <c r="Q3363" s="99"/>
      <c r="R3363" s="99"/>
    </row>
    <row r="3364" spans="5:18" s="65" customFormat="1">
      <c r="E3364" s="130"/>
      <c r="P3364" s="99"/>
      <c r="Q3364" s="99"/>
      <c r="R3364" s="99"/>
    </row>
    <row r="3365" spans="5:18" s="65" customFormat="1">
      <c r="E3365" s="130"/>
      <c r="P3365" s="99"/>
      <c r="Q3365" s="99"/>
      <c r="R3365" s="99"/>
    </row>
    <row r="3366" spans="5:18" s="65" customFormat="1">
      <c r="E3366" s="130"/>
      <c r="P3366" s="99"/>
      <c r="Q3366" s="99"/>
      <c r="R3366" s="99"/>
    </row>
    <row r="3367" spans="5:18" s="65" customFormat="1">
      <c r="E3367" s="130"/>
      <c r="P3367" s="99"/>
      <c r="Q3367" s="99"/>
      <c r="R3367" s="99"/>
    </row>
    <row r="3368" spans="5:18" s="65" customFormat="1">
      <c r="E3368" s="130"/>
      <c r="P3368" s="99"/>
      <c r="Q3368" s="99"/>
      <c r="R3368" s="99"/>
    </row>
    <row r="3369" spans="5:18" s="65" customFormat="1">
      <c r="E3369" s="130"/>
      <c r="P3369" s="99"/>
      <c r="Q3369" s="99"/>
      <c r="R3369" s="99"/>
    </row>
    <row r="3370" spans="5:18" s="65" customFormat="1">
      <c r="E3370" s="130"/>
      <c r="P3370" s="99"/>
      <c r="Q3370" s="99"/>
      <c r="R3370" s="99"/>
    </row>
    <row r="3371" spans="5:18" s="65" customFormat="1">
      <c r="E3371" s="130"/>
      <c r="P3371" s="99"/>
      <c r="Q3371" s="99"/>
      <c r="R3371" s="99"/>
    </row>
    <row r="3372" spans="5:18" s="65" customFormat="1">
      <c r="E3372" s="130"/>
      <c r="P3372" s="99"/>
      <c r="Q3372" s="99"/>
      <c r="R3372" s="99"/>
    </row>
    <row r="3373" spans="5:18" s="65" customFormat="1">
      <c r="E3373" s="130"/>
      <c r="P3373" s="99"/>
      <c r="Q3373" s="99"/>
      <c r="R3373" s="99"/>
    </row>
    <row r="3374" spans="5:18" s="65" customFormat="1">
      <c r="E3374" s="130"/>
      <c r="P3374" s="99"/>
      <c r="Q3374" s="99"/>
      <c r="R3374" s="99"/>
    </row>
    <row r="3375" spans="5:18" s="65" customFormat="1">
      <c r="E3375" s="130"/>
      <c r="P3375" s="99"/>
      <c r="Q3375" s="99"/>
      <c r="R3375" s="99"/>
    </row>
    <row r="3376" spans="5:18" s="65" customFormat="1">
      <c r="E3376" s="130"/>
      <c r="P3376" s="99"/>
      <c r="Q3376" s="99"/>
      <c r="R3376" s="99"/>
    </row>
    <row r="3377" spans="5:18" s="65" customFormat="1">
      <c r="E3377" s="130"/>
      <c r="P3377" s="99"/>
      <c r="Q3377" s="99"/>
      <c r="R3377" s="99"/>
    </row>
    <row r="3378" spans="5:18" s="65" customFormat="1">
      <c r="E3378" s="130"/>
      <c r="P3378" s="99"/>
      <c r="Q3378" s="99"/>
      <c r="R3378" s="99"/>
    </row>
    <row r="3379" spans="5:18" s="65" customFormat="1">
      <c r="E3379" s="130"/>
      <c r="P3379" s="99"/>
      <c r="Q3379" s="99"/>
      <c r="R3379" s="99"/>
    </row>
    <row r="3380" spans="5:18" s="65" customFormat="1">
      <c r="E3380" s="130"/>
      <c r="P3380" s="99"/>
      <c r="Q3380" s="99"/>
      <c r="R3380" s="99"/>
    </row>
    <row r="3381" spans="5:18" s="65" customFormat="1">
      <c r="E3381" s="130"/>
      <c r="P3381" s="99"/>
      <c r="Q3381" s="99"/>
      <c r="R3381" s="99"/>
    </row>
    <row r="3382" spans="5:18" s="65" customFormat="1">
      <c r="E3382" s="130"/>
      <c r="P3382" s="99"/>
      <c r="Q3382" s="99"/>
      <c r="R3382" s="99"/>
    </row>
    <row r="3383" spans="5:18" s="65" customFormat="1">
      <c r="E3383" s="130"/>
      <c r="P3383" s="99"/>
      <c r="Q3383" s="99"/>
      <c r="R3383" s="99"/>
    </row>
    <row r="3384" spans="5:18" s="65" customFormat="1">
      <c r="E3384" s="130"/>
      <c r="P3384" s="99"/>
      <c r="Q3384" s="99"/>
      <c r="R3384" s="99"/>
    </row>
    <row r="3385" spans="5:18" s="65" customFormat="1">
      <c r="E3385" s="130"/>
      <c r="P3385" s="99"/>
      <c r="Q3385" s="99"/>
      <c r="R3385" s="99"/>
    </row>
    <row r="3386" spans="5:18" s="65" customFormat="1">
      <c r="E3386" s="130"/>
      <c r="P3386" s="99"/>
      <c r="Q3386" s="99"/>
      <c r="R3386" s="99"/>
    </row>
    <row r="3387" spans="5:18" s="65" customFormat="1">
      <c r="E3387" s="130"/>
      <c r="P3387" s="99"/>
      <c r="Q3387" s="99"/>
      <c r="R3387" s="99"/>
    </row>
    <row r="3388" spans="5:18" s="65" customFormat="1">
      <c r="E3388" s="130"/>
      <c r="P3388" s="99"/>
      <c r="Q3388" s="99"/>
      <c r="R3388" s="99"/>
    </row>
    <row r="3389" spans="5:18" s="65" customFormat="1">
      <c r="E3389" s="130"/>
      <c r="P3389" s="99"/>
      <c r="Q3389" s="99"/>
      <c r="R3389" s="99"/>
    </row>
    <row r="3390" spans="5:18" s="65" customFormat="1">
      <c r="E3390" s="130"/>
      <c r="P3390" s="99"/>
      <c r="Q3390" s="99"/>
      <c r="R3390" s="99"/>
    </row>
    <row r="3391" spans="5:18" s="65" customFormat="1">
      <c r="E3391" s="130"/>
      <c r="P3391" s="99"/>
      <c r="Q3391" s="99"/>
      <c r="R3391" s="99"/>
    </row>
    <row r="3392" spans="5:18" s="65" customFormat="1">
      <c r="E3392" s="130"/>
      <c r="P3392" s="99"/>
      <c r="Q3392" s="99"/>
      <c r="R3392" s="99"/>
    </row>
    <row r="3393" spans="5:18" s="65" customFormat="1">
      <c r="E3393" s="130"/>
      <c r="P3393" s="99"/>
      <c r="Q3393" s="99"/>
      <c r="R3393" s="99"/>
    </row>
    <row r="3394" spans="5:18" s="65" customFormat="1">
      <c r="E3394" s="130"/>
      <c r="P3394" s="99"/>
      <c r="Q3394" s="99"/>
      <c r="R3394" s="99"/>
    </row>
    <row r="3395" spans="5:18" s="65" customFormat="1">
      <c r="E3395" s="130"/>
      <c r="P3395" s="99"/>
      <c r="Q3395" s="99"/>
      <c r="R3395" s="99"/>
    </row>
    <row r="3396" spans="5:18" s="65" customFormat="1">
      <c r="E3396" s="130"/>
      <c r="P3396" s="99"/>
      <c r="Q3396" s="99"/>
      <c r="R3396" s="99"/>
    </row>
    <row r="3397" spans="5:18" s="65" customFormat="1">
      <c r="E3397" s="130"/>
      <c r="P3397" s="99"/>
      <c r="Q3397" s="99"/>
      <c r="R3397" s="99"/>
    </row>
    <row r="3398" spans="5:18" s="65" customFormat="1">
      <c r="E3398" s="130"/>
      <c r="P3398" s="99"/>
      <c r="Q3398" s="99"/>
      <c r="R3398" s="99"/>
    </row>
    <row r="3399" spans="5:18" s="65" customFormat="1">
      <c r="E3399" s="130"/>
      <c r="P3399" s="99"/>
      <c r="Q3399" s="99"/>
      <c r="R3399" s="99"/>
    </row>
    <row r="3400" spans="5:18" s="65" customFormat="1">
      <c r="E3400" s="130"/>
      <c r="P3400" s="99"/>
      <c r="Q3400" s="99"/>
      <c r="R3400" s="99"/>
    </row>
    <row r="3401" spans="5:18" s="65" customFormat="1">
      <c r="E3401" s="130"/>
      <c r="P3401" s="99"/>
      <c r="Q3401" s="99"/>
      <c r="R3401" s="99"/>
    </row>
    <row r="3402" spans="5:18" s="65" customFormat="1">
      <c r="E3402" s="130"/>
      <c r="P3402" s="99"/>
      <c r="Q3402" s="99"/>
      <c r="R3402" s="99"/>
    </row>
    <row r="3403" spans="5:18" s="65" customFormat="1">
      <c r="E3403" s="130"/>
      <c r="P3403" s="99"/>
      <c r="Q3403" s="99"/>
      <c r="R3403" s="99"/>
    </row>
    <row r="3404" spans="5:18" s="65" customFormat="1">
      <c r="E3404" s="130"/>
      <c r="P3404" s="99"/>
      <c r="Q3404" s="99"/>
      <c r="R3404" s="99"/>
    </row>
    <row r="3405" spans="5:18" s="65" customFormat="1">
      <c r="E3405" s="130"/>
      <c r="P3405" s="99"/>
      <c r="Q3405" s="99"/>
      <c r="R3405" s="99"/>
    </row>
    <row r="3406" spans="5:18" s="65" customFormat="1">
      <c r="E3406" s="130"/>
      <c r="P3406" s="99"/>
      <c r="Q3406" s="99"/>
      <c r="R3406" s="99"/>
    </row>
    <row r="3407" spans="5:18" s="65" customFormat="1">
      <c r="E3407" s="130"/>
      <c r="P3407" s="99"/>
      <c r="Q3407" s="99"/>
      <c r="R3407" s="99"/>
    </row>
    <row r="3408" spans="5:18" s="65" customFormat="1">
      <c r="E3408" s="130"/>
      <c r="P3408" s="99"/>
      <c r="Q3408" s="99"/>
      <c r="R3408" s="99"/>
    </row>
    <row r="3409" spans="5:18" s="65" customFormat="1">
      <c r="E3409" s="130"/>
      <c r="P3409" s="99"/>
      <c r="Q3409" s="99"/>
      <c r="R3409" s="99"/>
    </row>
    <row r="3410" spans="5:18" s="65" customFormat="1">
      <c r="E3410" s="130"/>
      <c r="P3410" s="99"/>
      <c r="Q3410" s="99"/>
      <c r="R3410" s="99"/>
    </row>
    <row r="3411" spans="5:18" s="65" customFormat="1">
      <c r="E3411" s="130"/>
      <c r="P3411" s="99"/>
      <c r="Q3411" s="99"/>
      <c r="R3411" s="99"/>
    </row>
    <row r="3412" spans="5:18" s="65" customFormat="1">
      <c r="E3412" s="130"/>
      <c r="P3412" s="99"/>
      <c r="Q3412" s="99"/>
      <c r="R3412" s="99"/>
    </row>
    <row r="3413" spans="5:18" s="65" customFormat="1">
      <c r="E3413" s="130"/>
      <c r="P3413" s="99"/>
      <c r="Q3413" s="99"/>
      <c r="R3413" s="99"/>
    </row>
    <row r="3414" spans="5:18" s="65" customFormat="1">
      <c r="E3414" s="130"/>
      <c r="P3414" s="99"/>
      <c r="Q3414" s="99"/>
      <c r="R3414" s="99"/>
    </row>
    <row r="3415" spans="5:18" s="65" customFormat="1">
      <c r="E3415" s="130"/>
      <c r="P3415" s="99"/>
      <c r="Q3415" s="99"/>
      <c r="R3415" s="99"/>
    </row>
    <row r="3416" spans="5:18" s="65" customFormat="1">
      <c r="E3416" s="130"/>
      <c r="P3416" s="99"/>
      <c r="Q3416" s="99"/>
      <c r="R3416" s="99"/>
    </row>
    <row r="3417" spans="5:18" s="65" customFormat="1">
      <c r="E3417" s="130"/>
      <c r="P3417" s="99"/>
      <c r="Q3417" s="99"/>
      <c r="R3417" s="99"/>
    </row>
    <row r="3418" spans="5:18" s="65" customFormat="1">
      <c r="E3418" s="130"/>
      <c r="P3418" s="99"/>
      <c r="Q3418" s="99"/>
      <c r="R3418" s="99"/>
    </row>
    <row r="3419" spans="5:18" s="65" customFormat="1">
      <c r="E3419" s="130"/>
      <c r="P3419" s="99"/>
      <c r="Q3419" s="99"/>
      <c r="R3419" s="99"/>
    </row>
    <row r="3420" spans="5:18" s="65" customFormat="1">
      <c r="E3420" s="130"/>
      <c r="P3420" s="99"/>
      <c r="Q3420" s="99"/>
      <c r="R3420" s="99"/>
    </row>
    <row r="3421" spans="5:18" s="65" customFormat="1">
      <c r="E3421" s="130"/>
      <c r="P3421" s="99"/>
      <c r="Q3421" s="99"/>
      <c r="R3421" s="99"/>
    </row>
    <row r="3422" spans="5:18" s="65" customFormat="1">
      <c r="E3422" s="130"/>
      <c r="P3422" s="99"/>
      <c r="Q3422" s="99"/>
      <c r="R3422" s="99"/>
    </row>
    <row r="3423" spans="5:18" s="65" customFormat="1">
      <c r="E3423" s="130"/>
      <c r="P3423" s="99"/>
      <c r="Q3423" s="99"/>
      <c r="R3423" s="99"/>
    </row>
    <row r="3424" spans="5:18" s="65" customFormat="1">
      <c r="E3424" s="130"/>
      <c r="P3424" s="99"/>
      <c r="Q3424" s="99"/>
      <c r="R3424" s="99"/>
    </row>
    <row r="3425" spans="5:18" s="65" customFormat="1">
      <c r="E3425" s="130"/>
      <c r="P3425" s="99"/>
      <c r="Q3425" s="99"/>
      <c r="R3425" s="99"/>
    </row>
    <row r="3426" spans="5:18" s="65" customFormat="1">
      <c r="E3426" s="130"/>
      <c r="P3426" s="99"/>
      <c r="Q3426" s="99"/>
      <c r="R3426" s="99"/>
    </row>
    <row r="3427" spans="5:18" s="65" customFormat="1">
      <c r="E3427" s="130"/>
      <c r="P3427" s="99"/>
      <c r="Q3427" s="99"/>
      <c r="R3427" s="99"/>
    </row>
    <row r="3428" spans="5:18" s="65" customFormat="1">
      <c r="E3428" s="130"/>
      <c r="P3428" s="99"/>
      <c r="Q3428" s="99"/>
      <c r="R3428" s="99"/>
    </row>
    <row r="3429" spans="5:18" s="65" customFormat="1">
      <c r="E3429" s="130"/>
      <c r="P3429" s="99"/>
      <c r="Q3429" s="99"/>
      <c r="R3429" s="99"/>
    </row>
    <row r="3430" spans="5:18" s="65" customFormat="1">
      <c r="E3430" s="130"/>
      <c r="P3430" s="99"/>
      <c r="Q3430" s="99"/>
      <c r="R3430" s="99"/>
    </row>
    <row r="3431" spans="5:18" s="65" customFormat="1">
      <c r="E3431" s="130"/>
      <c r="P3431" s="99"/>
      <c r="Q3431" s="99"/>
      <c r="R3431" s="99"/>
    </row>
    <row r="3432" spans="5:18" s="65" customFormat="1">
      <c r="E3432" s="130"/>
      <c r="P3432" s="99"/>
      <c r="Q3432" s="99"/>
      <c r="R3432" s="99"/>
    </row>
    <row r="3433" spans="5:18" s="65" customFormat="1">
      <c r="E3433" s="130"/>
      <c r="P3433" s="99"/>
      <c r="Q3433" s="99"/>
      <c r="R3433" s="99"/>
    </row>
    <row r="3434" spans="5:18" s="65" customFormat="1">
      <c r="E3434" s="130"/>
      <c r="P3434" s="99"/>
      <c r="Q3434" s="99"/>
      <c r="R3434" s="99"/>
    </row>
    <row r="3435" spans="5:18" s="65" customFormat="1">
      <c r="E3435" s="130"/>
      <c r="P3435" s="99"/>
      <c r="Q3435" s="99"/>
      <c r="R3435" s="99"/>
    </row>
    <row r="3436" spans="5:18" s="65" customFormat="1">
      <c r="E3436" s="130"/>
      <c r="P3436" s="99"/>
      <c r="Q3436" s="99"/>
      <c r="R3436" s="99"/>
    </row>
    <row r="3437" spans="5:18" s="65" customFormat="1">
      <c r="E3437" s="130"/>
      <c r="P3437" s="99"/>
      <c r="Q3437" s="99"/>
      <c r="R3437" s="99"/>
    </row>
    <row r="3438" spans="5:18" s="65" customFormat="1">
      <c r="E3438" s="130"/>
      <c r="P3438" s="99"/>
      <c r="Q3438" s="99"/>
      <c r="R3438" s="99"/>
    </row>
    <row r="3439" spans="5:18" s="65" customFormat="1">
      <c r="E3439" s="130"/>
      <c r="P3439" s="99"/>
      <c r="Q3439" s="99"/>
      <c r="R3439" s="99"/>
    </row>
    <row r="3440" spans="5:18" s="65" customFormat="1">
      <c r="E3440" s="130"/>
      <c r="P3440" s="99"/>
      <c r="Q3440" s="99"/>
      <c r="R3440" s="99"/>
    </row>
    <row r="3441" spans="5:18" s="65" customFormat="1">
      <c r="E3441" s="130"/>
      <c r="P3441" s="99"/>
      <c r="Q3441" s="99"/>
      <c r="R3441" s="99"/>
    </row>
    <row r="3442" spans="5:18" s="65" customFormat="1">
      <c r="E3442" s="130"/>
      <c r="P3442" s="99"/>
      <c r="Q3442" s="99"/>
      <c r="R3442" s="99"/>
    </row>
    <row r="3443" spans="5:18" s="65" customFormat="1">
      <c r="E3443" s="130"/>
      <c r="P3443" s="99"/>
      <c r="Q3443" s="99"/>
      <c r="R3443" s="99"/>
    </row>
    <row r="3444" spans="5:18" s="65" customFormat="1">
      <c r="E3444" s="130"/>
      <c r="P3444" s="99"/>
      <c r="Q3444" s="99"/>
      <c r="R3444" s="99"/>
    </row>
    <row r="3445" spans="5:18" s="65" customFormat="1">
      <c r="E3445" s="130"/>
      <c r="P3445" s="99"/>
      <c r="Q3445" s="99"/>
      <c r="R3445" s="99"/>
    </row>
    <row r="3446" spans="5:18" s="65" customFormat="1">
      <c r="E3446" s="130"/>
      <c r="P3446" s="99"/>
      <c r="Q3446" s="99"/>
      <c r="R3446" s="99"/>
    </row>
    <row r="3447" spans="5:18" s="65" customFormat="1">
      <c r="E3447" s="130"/>
      <c r="P3447" s="99"/>
      <c r="Q3447" s="99"/>
      <c r="R3447" s="99"/>
    </row>
    <row r="3448" spans="5:18" s="65" customFormat="1">
      <c r="E3448" s="130"/>
      <c r="P3448" s="99"/>
      <c r="Q3448" s="99"/>
      <c r="R3448" s="99"/>
    </row>
    <row r="3449" spans="5:18" s="65" customFormat="1">
      <c r="E3449" s="130"/>
      <c r="P3449" s="99"/>
      <c r="Q3449" s="99"/>
      <c r="R3449" s="99"/>
    </row>
    <row r="3450" spans="5:18" s="65" customFormat="1">
      <c r="E3450" s="130"/>
      <c r="P3450" s="99"/>
      <c r="Q3450" s="99"/>
      <c r="R3450" s="99"/>
    </row>
    <row r="3451" spans="5:18" s="65" customFormat="1">
      <c r="E3451" s="130"/>
      <c r="P3451" s="99"/>
      <c r="Q3451" s="99"/>
      <c r="R3451" s="99"/>
    </row>
    <row r="3452" spans="5:18" s="65" customFormat="1">
      <c r="E3452" s="130"/>
      <c r="P3452" s="99"/>
      <c r="Q3452" s="99"/>
      <c r="R3452" s="99"/>
    </row>
    <row r="3453" spans="5:18" s="65" customFormat="1">
      <c r="E3453" s="130"/>
      <c r="P3453" s="99"/>
      <c r="Q3453" s="99"/>
      <c r="R3453" s="99"/>
    </row>
    <row r="3454" spans="5:18" s="65" customFormat="1">
      <c r="E3454" s="130"/>
      <c r="P3454" s="99"/>
      <c r="Q3454" s="99"/>
      <c r="R3454" s="99"/>
    </row>
    <row r="3455" spans="5:18" s="65" customFormat="1">
      <c r="E3455" s="130"/>
      <c r="P3455" s="99"/>
      <c r="Q3455" s="99"/>
      <c r="R3455" s="99"/>
    </row>
    <row r="3456" spans="5:18" s="65" customFormat="1">
      <c r="E3456" s="130"/>
      <c r="P3456" s="99"/>
      <c r="Q3456" s="99"/>
      <c r="R3456" s="99"/>
    </row>
    <row r="3457" spans="5:18" s="65" customFormat="1">
      <c r="E3457" s="130"/>
      <c r="P3457" s="99"/>
      <c r="Q3457" s="99"/>
      <c r="R3457" s="99"/>
    </row>
    <row r="3458" spans="5:18" s="65" customFormat="1">
      <c r="E3458" s="130"/>
      <c r="P3458" s="99"/>
      <c r="Q3458" s="99"/>
      <c r="R3458" s="99"/>
    </row>
    <row r="3459" spans="5:18" s="65" customFormat="1">
      <c r="E3459" s="130"/>
      <c r="P3459" s="99"/>
      <c r="Q3459" s="99"/>
      <c r="R3459" s="99"/>
    </row>
    <row r="3460" spans="5:18" s="65" customFormat="1">
      <c r="E3460" s="130"/>
      <c r="P3460" s="99"/>
      <c r="Q3460" s="99"/>
      <c r="R3460" s="99"/>
    </row>
    <row r="3461" spans="5:18" s="65" customFormat="1">
      <c r="E3461" s="130"/>
      <c r="P3461" s="99"/>
      <c r="Q3461" s="99"/>
      <c r="R3461" s="99"/>
    </row>
    <row r="3462" spans="5:18" s="65" customFormat="1">
      <c r="E3462" s="130"/>
      <c r="P3462" s="99"/>
      <c r="Q3462" s="99"/>
      <c r="R3462" s="99"/>
    </row>
    <row r="3463" spans="5:18" s="65" customFormat="1">
      <c r="E3463" s="130"/>
      <c r="P3463" s="99"/>
      <c r="Q3463" s="99"/>
      <c r="R3463" s="99"/>
    </row>
    <row r="3464" spans="5:18" s="65" customFormat="1">
      <c r="E3464" s="130"/>
      <c r="P3464" s="99"/>
      <c r="Q3464" s="99"/>
      <c r="R3464" s="99"/>
    </row>
    <row r="3465" spans="5:18" s="65" customFormat="1">
      <c r="E3465" s="130"/>
      <c r="P3465" s="99"/>
      <c r="Q3465" s="99"/>
      <c r="R3465" s="99"/>
    </row>
    <row r="3466" spans="5:18" s="65" customFormat="1">
      <c r="E3466" s="130"/>
      <c r="P3466" s="99"/>
      <c r="Q3466" s="99"/>
      <c r="R3466" s="99"/>
    </row>
    <row r="3467" spans="5:18" s="65" customFormat="1">
      <c r="E3467" s="130"/>
      <c r="P3467" s="99"/>
      <c r="Q3467" s="99"/>
      <c r="R3467" s="99"/>
    </row>
    <row r="3468" spans="5:18" s="65" customFormat="1">
      <c r="E3468" s="130"/>
      <c r="P3468" s="99"/>
      <c r="Q3468" s="99"/>
      <c r="R3468" s="99"/>
    </row>
    <row r="3469" spans="5:18" s="65" customFormat="1">
      <c r="E3469" s="130"/>
      <c r="P3469" s="99"/>
      <c r="Q3469" s="99"/>
      <c r="R3469" s="99"/>
    </row>
    <row r="3470" spans="5:18" s="65" customFormat="1">
      <c r="E3470" s="130"/>
      <c r="P3470" s="99"/>
      <c r="Q3470" s="99"/>
      <c r="R3470" s="99"/>
    </row>
    <row r="3471" spans="5:18" s="65" customFormat="1">
      <c r="E3471" s="130"/>
      <c r="P3471" s="99"/>
      <c r="Q3471" s="99"/>
      <c r="R3471" s="99"/>
    </row>
    <row r="3472" spans="5:18" s="65" customFormat="1">
      <c r="E3472" s="130"/>
      <c r="P3472" s="99"/>
      <c r="Q3472" s="99"/>
      <c r="R3472" s="99"/>
    </row>
    <row r="3473" spans="5:18" s="65" customFormat="1">
      <c r="E3473" s="130"/>
      <c r="P3473" s="99"/>
      <c r="Q3473" s="99"/>
      <c r="R3473" s="99"/>
    </row>
    <row r="3474" spans="5:18" s="65" customFormat="1">
      <c r="E3474" s="130"/>
      <c r="P3474" s="99"/>
      <c r="Q3474" s="99"/>
      <c r="R3474" s="99"/>
    </row>
    <row r="3475" spans="5:18" s="65" customFormat="1">
      <c r="E3475" s="130"/>
      <c r="P3475" s="99"/>
      <c r="Q3475" s="99"/>
      <c r="R3475" s="99"/>
    </row>
    <row r="3476" spans="5:18" s="65" customFormat="1">
      <c r="E3476" s="130"/>
      <c r="P3476" s="99"/>
      <c r="Q3476" s="99"/>
      <c r="R3476" s="99"/>
    </row>
    <row r="3477" spans="5:18" s="65" customFormat="1">
      <c r="E3477" s="130"/>
      <c r="P3477" s="99"/>
      <c r="Q3477" s="99"/>
      <c r="R3477" s="99"/>
    </row>
    <row r="3478" spans="5:18" s="65" customFormat="1">
      <c r="E3478" s="130"/>
      <c r="P3478" s="99"/>
      <c r="Q3478" s="99"/>
      <c r="R3478" s="99"/>
    </row>
    <row r="3479" spans="5:18" s="65" customFormat="1">
      <c r="E3479" s="130"/>
      <c r="P3479" s="99"/>
      <c r="Q3479" s="99"/>
      <c r="R3479" s="99"/>
    </row>
    <row r="3480" spans="5:18" s="65" customFormat="1">
      <c r="E3480" s="130"/>
      <c r="P3480" s="99"/>
      <c r="Q3480" s="99"/>
      <c r="R3480" s="99"/>
    </row>
    <row r="3481" spans="5:18" s="65" customFormat="1">
      <c r="E3481" s="130"/>
      <c r="P3481" s="99"/>
      <c r="Q3481" s="99"/>
      <c r="R3481" s="99"/>
    </row>
    <row r="3482" spans="5:18" s="65" customFormat="1">
      <c r="E3482" s="130"/>
      <c r="P3482" s="99"/>
      <c r="Q3482" s="99"/>
      <c r="R3482" s="99"/>
    </row>
    <row r="3483" spans="5:18" s="65" customFormat="1">
      <c r="E3483" s="130"/>
      <c r="P3483" s="99"/>
      <c r="Q3483" s="99"/>
      <c r="R3483" s="99"/>
    </row>
    <row r="3484" spans="5:18" s="65" customFormat="1">
      <c r="E3484" s="130"/>
      <c r="P3484" s="99"/>
      <c r="Q3484" s="99"/>
      <c r="R3484" s="99"/>
    </row>
    <row r="3485" spans="5:18" s="65" customFormat="1">
      <c r="E3485" s="130"/>
      <c r="P3485" s="99"/>
      <c r="Q3485" s="99"/>
      <c r="R3485" s="99"/>
    </row>
    <row r="3486" spans="5:18" s="65" customFormat="1">
      <c r="E3486" s="130"/>
      <c r="P3486" s="99"/>
      <c r="Q3486" s="99"/>
      <c r="R3486" s="99"/>
    </row>
    <row r="3487" spans="5:18" s="65" customFormat="1">
      <c r="E3487" s="130"/>
      <c r="P3487" s="99"/>
      <c r="Q3487" s="99"/>
      <c r="R3487" s="99"/>
    </row>
    <row r="3488" spans="5:18" s="65" customFormat="1">
      <c r="E3488" s="130"/>
      <c r="P3488" s="99"/>
      <c r="Q3488" s="99"/>
      <c r="R3488" s="99"/>
    </row>
    <row r="3489" spans="5:18" s="65" customFormat="1">
      <c r="E3489" s="130"/>
      <c r="P3489" s="99"/>
      <c r="Q3489" s="99"/>
      <c r="R3489" s="99"/>
    </row>
    <row r="3490" spans="5:18" s="65" customFormat="1">
      <c r="E3490" s="130"/>
      <c r="P3490" s="99"/>
      <c r="Q3490" s="99"/>
      <c r="R3490" s="99"/>
    </row>
    <row r="3491" spans="5:18" s="65" customFormat="1">
      <c r="E3491" s="130"/>
      <c r="P3491" s="99"/>
      <c r="Q3491" s="99"/>
      <c r="R3491" s="99"/>
    </row>
    <row r="3492" spans="5:18" s="65" customFormat="1">
      <c r="E3492" s="130"/>
      <c r="P3492" s="99"/>
      <c r="Q3492" s="99"/>
      <c r="R3492" s="99"/>
    </row>
    <row r="3493" spans="5:18" s="65" customFormat="1">
      <c r="E3493" s="130"/>
      <c r="P3493" s="99"/>
      <c r="Q3493" s="99"/>
      <c r="R3493" s="99"/>
    </row>
    <row r="3494" spans="5:18" s="65" customFormat="1">
      <c r="E3494" s="130"/>
      <c r="P3494" s="99"/>
      <c r="Q3494" s="99"/>
      <c r="R3494" s="99"/>
    </row>
    <row r="3495" spans="5:18" s="65" customFormat="1">
      <c r="E3495" s="130"/>
      <c r="P3495" s="99"/>
      <c r="Q3495" s="99"/>
      <c r="R3495" s="99"/>
    </row>
    <row r="3496" spans="5:18" s="65" customFormat="1">
      <c r="E3496" s="130"/>
      <c r="P3496" s="99"/>
      <c r="Q3496" s="99"/>
      <c r="R3496" s="99"/>
    </row>
    <row r="3497" spans="5:18" s="65" customFormat="1">
      <c r="E3497" s="130"/>
      <c r="P3497" s="99"/>
      <c r="Q3497" s="99"/>
      <c r="R3497" s="99"/>
    </row>
    <row r="3498" spans="5:18" s="65" customFormat="1">
      <c r="E3498" s="130"/>
      <c r="P3498" s="99"/>
      <c r="Q3498" s="99"/>
      <c r="R3498" s="99"/>
    </row>
    <row r="3499" spans="5:18" s="65" customFormat="1">
      <c r="E3499" s="130"/>
      <c r="P3499" s="99"/>
      <c r="Q3499" s="99"/>
      <c r="R3499" s="99"/>
    </row>
    <row r="3500" spans="5:18" s="65" customFormat="1">
      <c r="E3500" s="130"/>
      <c r="P3500" s="99"/>
      <c r="Q3500" s="99"/>
      <c r="R3500" s="99"/>
    </row>
    <row r="3501" spans="5:18" s="65" customFormat="1">
      <c r="E3501" s="130"/>
      <c r="P3501" s="99"/>
      <c r="Q3501" s="99"/>
      <c r="R3501" s="99"/>
    </row>
    <row r="3502" spans="5:18" s="65" customFormat="1">
      <c r="E3502" s="130"/>
      <c r="P3502" s="99"/>
      <c r="Q3502" s="99"/>
      <c r="R3502" s="99"/>
    </row>
    <row r="3503" spans="5:18" s="65" customFormat="1">
      <c r="E3503" s="130"/>
      <c r="P3503" s="99"/>
      <c r="Q3503" s="99"/>
      <c r="R3503" s="99"/>
    </row>
    <row r="3504" spans="5:18" s="65" customFormat="1">
      <c r="E3504" s="130"/>
      <c r="P3504" s="99"/>
      <c r="Q3504" s="99"/>
      <c r="R3504" s="99"/>
    </row>
    <row r="3505" spans="5:18" s="65" customFormat="1">
      <c r="E3505" s="130"/>
      <c r="P3505" s="99"/>
      <c r="Q3505" s="99"/>
      <c r="R3505" s="99"/>
    </row>
    <row r="3506" spans="5:18" s="65" customFormat="1">
      <c r="E3506" s="130"/>
      <c r="P3506" s="99"/>
      <c r="Q3506" s="99"/>
      <c r="R3506" s="99"/>
    </row>
    <row r="3507" spans="5:18" s="65" customFormat="1">
      <c r="E3507" s="130"/>
      <c r="P3507" s="99"/>
      <c r="Q3507" s="99"/>
      <c r="R3507" s="99"/>
    </row>
    <row r="3508" spans="5:18" s="65" customFormat="1">
      <c r="E3508" s="130"/>
      <c r="P3508" s="99"/>
      <c r="Q3508" s="99"/>
      <c r="R3508" s="99"/>
    </row>
    <row r="3509" spans="5:18" s="65" customFormat="1">
      <c r="E3509" s="130"/>
      <c r="P3509" s="99"/>
      <c r="Q3509" s="99"/>
      <c r="R3509" s="99"/>
    </row>
    <row r="3510" spans="5:18" s="65" customFormat="1">
      <c r="E3510" s="130"/>
      <c r="P3510" s="99"/>
      <c r="Q3510" s="99"/>
      <c r="R3510" s="99"/>
    </row>
    <row r="3511" spans="5:18" s="65" customFormat="1">
      <c r="E3511" s="130"/>
      <c r="P3511" s="99"/>
      <c r="Q3511" s="99"/>
      <c r="R3511" s="99"/>
    </row>
    <row r="3512" spans="5:18" s="65" customFormat="1">
      <c r="E3512" s="130"/>
      <c r="P3512" s="99"/>
      <c r="Q3512" s="99"/>
      <c r="R3512" s="99"/>
    </row>
    <row r="3513" spans="5:18" s="65" customFormat="1">
      <c r="E3513" s="130"/>
      <c r="P3513" s="99"/>
      <c r="Q3513" s="99"/>
      <c r="R3513" s="99"/>
    </row>
    <row r="3514" spans="5:18" s="65" customFormat="1">
      <c r="E3514" s="130"/>
      <c r="P3514" s="99"/>
      <c r="Q3514" s="99"/>
      <c r="R3514" s="99"/>
    </row>
    <row r="3515" spans="5:18" s="65" customFormat="1">
      <c r="E3515" s="130"/>
      <c r="P3515" s="99"/>
      <c r="Q3515" s="99"/>
      <c r="R3515" s="99"/>
    </row>
    <row r="3516" spans="5:18" s="65" customFormat="1">
      <c r="E3516" s="130"/>
      <c r="P3516" s="99"/>
      <c r="Q3516" s="99"/>
      <c r="R3516" s="99"/>
    </row>
    <row r="3517" spans="5:18" s="65" customFormat="1">
      <c r="E3517" s="130"/>
      <c r="P3517" s="99"/>
      <c r="Q3517" s="99"/>
      <c r="R3517" s="99"/>
    </row>
    <row r="3518" spans="5:18" s="65" customFormat="1">
      <c r="E3518" s="130"/>
      <c r="P3518" s="99"/>
      <c r="Q3518" s="99"/>
      <c r="R3518" s="99"/>
    </row>
    <row r="3519" spans="5:18" s="65" customFormat="1">
      <c r="E3519" s="130"/>
      <c r="P3519" s="99"/>
      <c r="Q3519" s="99"/>
      <c r="R3519" s="99"/>
    </row>
    <row r="3520" spans="5:18" s="65" customFormat="1">
      <c r="E3520" s="130"/>
      <c r="P3520" s="99"/>
      <c r="Q3520" s="99"/>
      <c r="R3520" s="99"/>
    </row>
    <row r="3521" spans="5:18" s="65" customFormat="1">
      <c r="E3521" s="130"/>
      <c r="P3521" s="99"/>
      <c r="Q3521" s="99"/>
      <c r="R3521" s="99"/>
    </row>
    <row r="3522" spans="5:18" s="65" customFormat="1">
      <c r="E3522" s="130"/>
      <c r="P3522" s="99"/>
      <c r="Q3522" s="99"/>
      <c r="R3522" s="99"/>
    </row>
    <row r="3523" spans="5:18" s="65" customFormat="1">
      <c r="E3523" s="130"/>
      <c r="P3523" s="99"/>
      <c r="Q3523" s="99"/>
      <c r="R3523" s="99"/>
    </row>
    <row r="3524" spans="5:18" s="65" customFormat="1">
      <c r="E3524" s="130"/>
      <c r="P3524" s="99"/>
      <c r="Q3524" s="99"/>
      <c r="R3524" s="99"/>
    </row>
    <row r="3525" spans="5:18" s="65" customFormat="1">
      <c r="E3525" s="130"/>
      <c r="P3525" s="99"/>
      <c r="Q3525" s="99"/>
      <c r="R3525" s="99"/>
    </row>
    <row r="3526" spans="5:18" s="65" customFormat="1">
      <c r="E3526" s="130"/>
      <c r="P3526" s="99"/>
      <c r="Q3526" s="99"/>
      <c r="R3526" s="99"/>
    </row>
    <row r="3527" spans="5:18" s="65" customFormat="1">
      <c r="E3527" s="130"/>
      <c r="P3527" s="99"/>
      <c r="Q3527" s="99"/>
      <c r="R3527" s="99"/>
    </row>
    <row r="3528" spans="5:18" s="65" customFormat="1">
      <c r="E3528" s="130"/>
      <c r="P3528" s="99"/>
      <c r="Q3528" s="99"/>
      <c r="R3528" s="99"/>
    </row>
    <row r="3529" spans="5:18" s="65" customFormat="1">
      <c r="E3529" s="130"/>
      <c r="P3529" s="99"/>
      <c r="Q3529" s="99"/>
      <c r="R3529" s="99"/>
    </row>
    <row r="3530" spans="5:18" s="65" customFormat="1">
      <c r="E3530" s="130"/>
      <c r="P3530" s="99"/>
      <c r="Q3530" s="99"/>
      <c r="R3530" s="99"/>
    </row>
    <row r="3531" spans="5:18" s="65" customFormat="1">
      <c r="E3531" s="130"/>
      <c r="P3531" s="99"/>
      <c r="Q3531" s="99"/>
      <c r="R3531" s="99"/>
    </row>
    <row r="3532" spans="5:18" s="65" customFormat="1">
      <c r="E3532" s="130"/>
      <c r="P3532" s="99"/>
      <c r="Q3532" s="99"/>
      <c r="R3532" s="99"/>
    </row>
    <row r="3533" spans="5:18" s="65" customFormat="1">
      <c r="E3533" s="130"/>
      <c r="P3533" s="99"/>
      <c r="Q3533" s="99"/>
      <c r="R3533" s="99"/>
    </row>
    <row r="3534" spans="5:18" s="65" customFormat="1">
      <c r="E3534" s="130"/>
      <c r="P3534" s="99"/>
      <c r="Q3534" s="99"/>
      <c r="R3534" s="99"/>
    </row>
    <row r="3535" spans="5:18" s="65" customFormat="1">
      <c r="E3535" s="130"/>
      <c r="P3535" s="99"/>
      <c r="Q3535" s="99"/>
      <c r="R3535" s="99"/>
    </row>
    <row r="3536" spans="5:18" s="65" customFormat="1">
      <c r="E3536" s="130"/>
      <c r="P3536" s="99"/>
      <c r="Q3536" s="99"/>
      <c r="R3536" s="99"/>
    </row>
    <row r="3537" spans="5:18" s="65" customFormat="1">
      <c r="E3537" s="130"/>
      <c r="P3537" s="99"/>
      <c r="Q3537" s="99"/>
      <c r="R3537" s="99"/>
    </row>
    <row r="3538" spans="5:18" s="65" customFormat="1">
      <c r="E3538" s="130"/>
      <c r="P3538" s="99"/>
      <c r="Q3538" s="99"/>
      <c r="R3538" s="99"/>
    </row>
    <row r="3539" spans="5:18" s="65" customFormat="1">
      <c r="E3539" s="130"/>
      <c r="P3539" s="99"/>
      <c r="Q3539" s="99"/>
      <c r="R3539" s="99"/>
    </row>
    <row r="3540" spans="5:18" s="65" customFormat="1">
      <c r="E3540" s="130"/>
      <c r="P3540" s="99"/>
      <c r="Q3540" s="99"/>
      <c r="R3540" s="99"/>
    </row>
    <row r="3541" spans="5:18" s="65" customFormat="1">
      <c r="E3541" s="130"/>
      <c r="P3541" s="99"/>
      <c r="Q3541" s="99"/>
      <c r="R3541" s="99"/>
    </row>
    <row r="3542" spans="5:18" s="65" customFormat="1">
      <c r="E3542" s="130"/>
      <c r="P3542" s="99"/>
      <c r="Q3542" s="99"/>
      <c r="R3542" s="99"/>
    </row>
    <row r="3543" spans="5:18" s="65" customFormat="1">
      <c r="E3543" s="130"/>
      <c r="P3543" s="99"/>
      <c r="Q3543" s="99"/>
      <c r="R3543" s="99"/>
    </row>
    <row r="3544" spans="5:18" s="65" customFormat="1">
      <c r="E3544" s="130"/>
      <c r="P3544" s="99"/>
      <c r="Q3544" s="99"/>
      <c r="R3544" s="99"/>
    </row>
    <row r="3545" spans="5:18" s="65" customFormat="1">
      <c r="E3545" s="130"/>
      <c r="P3545" s="99"/>
      <c r="Q3545" s="99"/>
      <c r="R3545" s="99"/>
    </row>
    <row r="3546" spans="5:18" s="65" customFormat="1">
      <c r="E3546" s="130"/>
      <c r="P3546" s="99"/>
      <c r="Q3546" s="99"/>
      <c r="R3546" s="99"/>
    </row>
    <row r="3547" spans="5:18" s="65" customFormat="1">
      <c r="E3547" s="130"/>
      <c r="P3547" s="99"/>
      <c r="Q3547" s="99"/>
      <c r="R3547" s="99"/>
    </row>
    <row r="3548" spans="5:18" s="65" customFormat="1">
      <c r="E3548" s="130"/>
      <c r="P3548" s="99"/>
      <c r="Q3548" s="99"/>
      <c r="R3548" s="99"/>
    </row>
    <row r="3549" spans="5:18" s="65" customFormat="1">
      <c r="E3549" s="130"/>
      <c r="P3549" s="99"/>
      <c r="Q3549" s="99"/>
      <c r="R3549" s="99"/>
    </row>
    <row r="3550" spans="5:18" s="65" customFormat="1">
      <c r="E3550" s="130"/>
      <c r="P3550" s="99"/>
      <c r="Q3550" s="99"/>
      <c r="R3550" s="99"/>
    </row>
    <row r="3551" spans="5:18" s="65" customFormat="1">
      <c r="E3551" s="130"/>
      <c r="P3551" s="99"/>
      <c r="Q3551" s="99"/>
      <c r="R3551" s="99"/>
    </row>
    <row r="3552" spans="5:18" s="65" customFormat="1">
      <c r="E3552" s="130"/>
      <c r="P3552" s="99"/>
      <c r="Q3552" s="99"/>
      <c r="R3552" s="99"/>
    </row>
    <row r="3553" spans="5:18" s="65" customFormat="1">
      <c r="E3553" s="130"/>
      <c r="P3553" s="99"/>
      <c r="Q3553" s="99"/>
      <c r="R3553" s="99"/>
    </row>
    <row r="3554" spans="5:18" s="65" customFormat="1">
      <c r="E3554" s="130"/>
      <c r="P3554" s="99"/>
      <c r="Q3554" s="99"/>
      <c r="R3554" s="99"/>
    </row>
    <row r="3555" spans="5:18" s="65" customFormat="1">
      <c r="E3555" s="130"/>
      <c r="P3555" s="99"/>
      <c r="Q3555" s="99"/>
      <c r="R3555" s="99"/>
    </row>
    <row r="3556" spans="5:18" s="65" customFormat="1">
      <c r="E3556" s="130"/>
      <c r="P3556" s="99"/>
      <c r="Q3556" s="99"/>
      <c r="R3556" s="99"/>
    </row>
    <row r="3557" spans="5:18" s="65" customFormat="1">
      <c r="E3557" s="130"/>
      <c r="P3557" s="99"/>
      <c r="Q3557" s="99"/>
      <c r="R3557" s="99"/>
    </row>
    <row r="3558" spans="5:18" s="65" customFormat="1">
      <c r="E3558" s="130"/>
      <c r="P3558" s="99"/>
      <c r="Q3558" s="99"/>
      <c r="R3558" s="99"/>
    </row>
    <row r="3559" spans="5:18" s="65" customFormat="1">
      <c r="E3559" s="130"/>
      <c r="P3559" s="99"/>
      <c r="Q3559" s="99"/>
      <c r="R3559" s="99"/>
    </row>
    <row r="3560" spans="5:18" s="65" customFormat="1">
      <c r="E3560" s="130"/>
      <c r="P3560" s="99"/>
      <c r="Q3560" s="99"/>
      <c r="R3560" s="99"/>
    </row>
    <row r="3561" spans="5:18" s="65" customFormat="1">
      <c r="E3561" s="130"/>
      <c r="P3561" s="99"/>
      <c r="Q3561" s="99"/>
      <c r="R3561" s="99"/>
    </row>
    <row r="3562" spans="5:18" s="65" customFormat="1">
      <c r="E3562" s="130"/>
      <c r="P3562" s="99"/>
      <c r="Q3562" s="99"/>
      <c r="R3562" s="99"/>
    </row>
    <row r="3563" spans="5:18" s="65" customFormat="1">
      <c r="E3563" s="130"/>
      <c r="P3563" s="99"/>
      <c r="Q3563" s="99"/>
      <c r="R3563" s="99"/>
    </row>
    <row r="3564" spans="5:18" s="65" customFormat="1">
      <c r="E3564" s="130"/>
      <c r="P3564" s="99"/>
      <c r="Q3564" s="99"/>
      <c r="R3564" s="99"/>
    </row>
    <row r="3565" spans="5:18" s="65" customFormat="1">
      <c r="E3565" s="130"/>
      <c r="P3565" s="99"/>
      <c r="Q3565" s="99"/>
      <c r="R3565" s="99"/>
    </row>
    <row r="3566" spans="5:18" s="65" customFormat="1">
      <c r="E3566" s="130"/>
      <c r="P3566" s="99"/>
      <c r="Q3566" s="99"/>
      <c r="R3566" s="99"/>
    </row>
    <row r="3567" spans="5:18" s="65" customFormat="1">
      <c r="E3567" s="130"/>
      <c r="P3567" s="99"/>
      <c r="Q3567" s="99"/>
      <c r="R3567" s="99"/>
    </row>
    <row r="3568" spans="5:18" s="65" customFormat="1">
      <c r="E3568" s="130"/>
      <c r="P3568" s="99"/>
      <c r="Q3568" s="99"/>
      <c r="R3568" s="99"/>
    </row>
    <row r="3569" spans="5:18" s="65" customFormat="1">
      <c r="E3569" s="130"/>
      <c r="P3569" s="99"/>
      <c r="Q3569" s="99"/>
      <c r="R3569" s="99"/>
    </row>
    <row r="3570" spans="5:18" s="65" customFormat="1">
      <c r="E3570" s="130"/>
      <c r="P3570" s="99"/>
      <c r="Q3570" s="99"/>
      <c r="R3570" s="99"/>
    </row>
    <row r="3571" spans="5:18" s="65" customFormat="1">
      <c r="E3571" s="130"/>
      <c r="P3571" s="99"/>
      <c r="Q3571" s="99"/>
      <c r="R3571" s="99"/>
    </row>
    <row r="3572" spans="5:18" s="65" customFormat="1">
      <c r="E3572" s="130"/>
      <c r="P3572" s="99"/>
      <c r="Q3572" s="99"/>
      <c r="R3572" s="99"/>
    </row>
    <row r="3573" spans="5:18" s="65" customFormat="1">
      <c r="E3573" s="130"/>
      <c r="P3573" s="99"/>
      <c r="Q3573" s="99"/>
      <c r="R3573" s="99"/>
    </row>
    <row r="3574" spans="5:18" s="65" customFormat="1">
      <c r="E3574" s="130"/>
      <c r="P3574" s="99"/>
      <c r="Q3574" s="99"/>
      <c r="R3574" s="99"/>
    </row>
    <row r="3575" spans="5:18" s="65" customFormat="1">
      <c r="E3575" s="130"/>
      <c r="P3575" s="99"/>
      <c r="Q3575" s="99"/>
      <c r="R3575" s="99"/>
    </row>
    <row r="3576" spans="5:18" s="65" customFormat="1">
      <c r="E3576" s="130"/>
      <c r="P3576" s="99"/>
      <c r="Q3576" s="99"/>
      <c r="R3576" s="99"/>
    </row>
    <row r="3577" spans="5:18" s="65" customFormat="1">
      <c r="E3577" s="130"/>
      <c r="P3577" s="99"/>
      <c r="Q3577" s="99"/>
      <c r="R3577" s="99"/>
    </row>
    <row r="3578" spans="5:18" s="65" customFormat="1">
      <c r="E3578" s="130"/>
      <c r="P3578" s="99"/>
      <c r="Q3578" s="99"/>
      <c r="R3578" s="99"/>
    </row>
    <row r="3579" spans="5:18" s="65" customFormat="1">
      <c r="E3579" s="130"/>
      <c r="P3579" s="99"/>
      <c r="Q3579" s="99"/>
      <c r="R3579" s="99"/>
    </row>
    <row r="3580" spans="5:18" s="65" customFormat="1">
      <c r="E3580" s="130"/>
      <c r="P3580" s="99"/>
      <c r="Q3580" s="99"/>
      <c r="R3580" s="99"/>
    </row>
    <row r="3581" spans="5:18" s="65" customFormat="1">
      <c r="E3581" s="130"/>
      <c r="P3581" s="99"/>
      <c r="Q3581" s="99"/>
      <c r="R3581" s="99"/>
    </row>
    <row r="3582" spans="5:18" s="65" customFormat="1">
      <c r="E3582" s="130"/>
      <c r="P3582" s="99"/>
      <c r="Q3582" s="99"/>
      <c r="R3582" s="99"/>
    </row>
    <row r="3583" spans="5:18" s="65" customFormat="1">
      <c r="E3583" s="130"/>
      <c r="P3583" s="99"/>
      <c r="Q3583" s="99"/>
      <c r="R3583" s="99"/>
    </row>
    <row r="3584" spans="5:18" s="65" customFormat="1">
      <c r="E3584" s="130"/>
      <c r="P3584" s="99"/>
      <c r="Q3584" s="99"/>
      <c r="R3584" s="99"/>
    </row>
    <row r="3585" spans="5:18" s="65" customFormat="1">
      <c r="E3585" s="130"/>
      <c r="P3585" s="99"/>
      <c r="Q3585" s="99"/>
      <c r="R3585" s="99"/>
    </row>
    <row r="3586" spans="5:18" s="65" customFormat="1">
      <c r="E3586" s="130"/>
      <c r="P3586" s="99"/>
      <c r="Q3586" s="99"/>
      <c r="R3586" s="99"/>
    </row>
    <row r="3587" spans="5:18" s="65" customFormat="1">
      <c r="E3587" s="130"/>
      <c r="P3587" s="99"/>
      <c r="Q3587" s="99"/>
      <c r="R3587" s="99"/>
    </row>
    <row r="3588" spans="5:18" s="65" customFormat="1">
      <c r="E3588" s="130"/>
      <c r="P3588" s="99"/>
      <c r="Q3588" s="99"/>
      <c r="R3588" s="99"/>
    </row>
    <row r="3589" spans="5:18" s="65" customFormat="1">
      <c r="E3589" s="130"/>
      <c r="P3589" s="99"/>
      <c r="Q3589" s="99"/>
      <c r="R3589" s="99"/>
    </row>
    <row r="3590" spans="5:18" s="65" customFormat="1">
      <c r="E3590" s="130"/>
      <c r="P3590" s="99"/>
      <c r="Q3590" s="99"/>
      <c r="R3590" s="99"/>
    </row>
    <row r="3591" spans="5:18" s="65" customFormat="1">
      <c r="E3591" s="130"/>
      <c r="P3591" s="99"/>
      <c r="Q3591" s="99"/>
      <c r="R3591" s="99"/>
    </row>
    <row r="3592" spans="5:18" s="65" customFormat="1">
      <c r="E3592" s="130"/>
      <c r="P3592" s="99"/>
      <c r="Q3592" s="99"/>
      <c r="R3592" s="99"/>
    </row>
    <row r="3593" spans="5:18" s="65" customFormat="1">
      <c r="E3593" s="130"/>
      <c r="P3593" s="99"/>
      <c r="Q3593" s="99"/>
      <c r="R3593" s="99"/>
    </row>
    <row r="3594" spans="5:18" s="65" customFormat="1">
      <c r="E3594" s="130"/>
      <c r="P3594" s="99"/>
      <c r="Q3594" s="99"/>
      <c r="R3594" s="99"/>
    </row>
    <row r="3595" spans="5:18" s="65" customFormat="1">
      <c r="E3595" s="130"/>
      <c r="P3595" s="99"/>
      <c r="Q3595" s="99"/>
      <c r="R3595" s="99"/>
    </row>
    <row r="3596" spans="5:18" s="65" customFormat="1">
      <c r="E3596" s="130"/>
      <c r="P3596" s="99"/>
      <c r="Q3596" s="99"/>
      <c r="R3596" s="99"/>
    </row>
    <row r="3597" spans="5:18" s="65" customFormat="1">
      <c r="E3597" s="130"/>
      <c r="P3597" s="99"/>
      <c r="Q3597" s="99"/>
      <c r="R3597" s="99"/>
    </row>
    <row r="3598" spans="5:18" s="65" customFormat="1">
      <c r="E3598" s="130"/>
      <c r="P3598" s="99"/>
      <c r="Q3598" s="99"/>
      <c r="R3598" s="99"/>
    </row>
    <row r="3599" spans="5:18" s="65" customFormat="1">
      <c r="E3599" s="130"/>
      <c r="P3599" s="99"/>
      <c r="Q3599" s="99"/>
      <c r="R3599" s="99"/>
    </row>
    <row r="3600" spans="5:18" s="65" customFormat="1">
      <c r="E3600" s="130"/>
      <c r="P3600" s="99"/>
      <c r="Q3600" s="99"/>
      <c r="R3600" s="99"/>
    </row>
    <row r="3601" spans="5:18" s="65" customFormat="1">
      <c r="E3601" s="130"/>
      <c r="P3601" s="99"/>
      <c r="Q3601" s="99"/>
      <c r="R3601" s="99"/>
    </row>
    <row r="3602" spans="5:18" s="65" customFormat="1">
      <c r="E3602" s="130"/>
      <c r="P3602" s="99"/>
      <c r="Q3602" s="99"/>
      <c r="R3602" s="99"/>
    </row>
    <row r="3603" spans="5:18" s="65" customFormat="1">
      <c r="E3603" s="130"/>
      <c r="P3603" s="99"/>
      <c r="Q3603" s="99"/>
      <c r="R3603" s="99"/>
    </row>
    <row r="3604" spans="5:18" s="65" customFormat="1">
      <c r="E3604" s="130"/>
      <c r="P3604" s="99"/>
      <c r="Q3604" s="99"/>
      <c r="R3604" s="99"/>
    </row>
    <row r="3605" spans="5:18" s="65" customFormat="1">
      <c r="E3605" s="130"/>
      <c r="P3605" s="99"/>
      <c r="Q3605" s="99"/>
      <c r="R3605" s="99"/>
    </row>
    <row r="3606" spans="5:18" s="65" customFormat="1">
      <c r="E3606" s="130"/>
      <c r="P3606" s="99"/>
      <c r="Q3606" s="99"/>
      <c r="R3606" s="99"/>
    </row>
    <row r="3607" spans="5:18" s="65" customFormat="1">
      <c r="E3607" s="130"/>
      <c r="P3607" s="99"/>
      <c r="Q3607" s="99"/>
      <c r="R3607" s="99"/>
    </row>
    <row r="3608" spans="5:18" s="65" customFormat="1">
      <c r="E3608" s="130"/>
      <c r="P3608" s="99"/>
      <c r="Q3608" s="99"/>
      <c r="R3608" s="99"/>
    </row>
    <row r="3609" spans="5:18" s="65" customFormat="1">
      <c r="E3609" s="130"/>
      <c r="P3609" s="99"/>
      <c r="Q3609" s="99"/>
      <c r="R3609" s="99"/>
    </row>
    <row r="3610" spans="5:18" s="65" customFormat="1">
      <c r="E3610" s="130"/>
      <c r="P3610" s="99"/>
      <c r="Q3610" s="99"/>
      <c r="R3610" s="99"/>
    </row>
    <row r="3611" spans="5:18" s="65" customFormat="1">
      <c r="E3611" s="130"/>
      <c r="P3611" s="99"/>
      <c r="Q3611" s="99"/>
      <c r="R3611" s="99"/>
    </row>
    <row r="3612" spans="5:18" s="65" customFormat="1">
      <c r="E3612" s="130"/>
      <c r="P3612" s="99"/>
      <c r="Q3612" s="99"/>
      <c r="R3612" s="99"/>
    </row>
    <row r="3613" spans="5:18" s="65" customFormat="1">
      <c r="E3613" s="130"/>
      <c r="P3613" s="99"/>
      <c r="Q3613" s="99"/>
      <c r="R3613" s="99"/>
    </row>
    <row r="3614" spans="5:18" s="65" customFormat="1">
      <c r="E3614" s="130"/>
      <c r="P3614" s="99"/>
      <c r="Q3614" s="99"/>
      <c r="R3614" s="99"/>
    </row>
    <row r="3615" spans="5:18" s="65" customFormat="1">
      <c r="E3615" s="130"/>
      <c r="P3615" s="99"/>
      <c r="Q3615" s="99"/>
      <c r="R3615" s="99"/>
    </row>
    <row r="3616" spans="5:18" s="65" customFormat="1">
      <c r="E3616" s="130"/>
      <c r="P3616" s="99"/>
      <c r="Q3616" s="99"/>
      <c r="R3616" s="99"/>
    </row>
    <row r="3617" spans="5:18" s="65" customFormat="1">
      <c r="E3617" s="130"/>
      <c r="P3617" s="99"/>
      <c r="Q3617" s="99"/>
      <c r="R3617" s="99"/>
    </row>
    <row r="3618" spans="5:18" s="65" customFormat="1">
      <c r="E3618" s="130"/>
      <c r="P3618" s="99"/>
      <c r="Q3618" s="99"/>
      <c r="R3618" s="99"/>
    </row>
    <row r="3619" spans="5:18" s="65" customFormat="1">
      <c r="E3619" s="130"/>
      <c r="P3619" s="99"/>
      <c r="Q3619" s="99"/>
      <c r="R3619" s="99"/>
    </row>
    <row r="3620" spans="5:18" s="65" customFormat="1">
      <c r="E3620" s="130"/>
      <c r="P3620" s="99"/>
      <c r="Q3620" s="99"/>
      <c r="R3620" s="99"/>
    </row>
    <row r="3621" spans="5:18" s="65" customFormat="1">
      <c r="E3621" s="130"/>
      <c r="P3621" s="99"/>
      <c r="Q3621" s="99"/>
      <c r="R3621" s="99"/>
    </row>
    <row r="3622" spans="5:18" s="65" customFormat="1">
      <c r="E3622" s="130"/>
      <c r="P3622" s="99"/>
      <c r="Q3622" s="99"/>
      <c r="R3622" s="99"/>
    </row>
    <row r="3623" spans="5:18" s="65" customFormat="1">
      <c r="E3623" s="130"/>
      <c r="P3623" s="99"/>
      <c r="Q3623" s="99"/>
      <c r="R3623" s="99"/>
    </row>
    <row r="3624" spans="5:18" s="65" customFormat="1">
      <c r="E3624" s="130"/>
      <c r="P3624" s="99"/>
      <c r="Q3624" s="99"/>
      <c r="R3624" s="99"/>
    </row>
    <row r="3625" spans="5:18" s="65" customFormat="1">
      <c r="E3625" s="130"/>
      <c r="P3625" s="99"/>
      <c r="Q3625" s="99"/>
      <c r="R3625" s="99"/>
    </row>
    <row r="3626" spans="5:18" s="65" customFormat="1">
      <c r="E3626" s="130"/>
      <c r="P3626" s="99"/>
      <c r="Q3626" s="99"/>
      <c r="R3626" s="99"/>
    </row>
    <row r="3627" spans="5:18" s="65" customFormat="1">
      <c r="E3627" s="130"/>
      <c r="P3627" s="99"/>
      <c r="Q3627" s="99"/>
      <c r="R3627" s="99"/>
    </row>
    <row r="3628" spans="5:18" s="65" customFormat="1">
      <c r="E3628" s="130"/>
      <c r="P3628" s="99"/>
      <c r="Q3628" s="99"/>
      <c r="R3628" s="99"/>
    </row>
    <row r="3629" spans="5:18" s="65" customFormat="1">
      <c r="E3629" s="130"/>
      <c r="P3629" s="99"/>
      <c r="Q3629" s="99"/>
      <c r="R3629" s="99"/>
    </row>
    <row r="3630" spans="5:18" s="65" customFormat="1">
      <c r="E3630" s="130"/>
      <c r="P3630" s="99"/>
      <c r="Q3630" s="99"/>
      <c r="R3630" s="99"/>
    </row>
    <row r="3631" spans="5:18" s="65" customFormat="1">
      <c r="E3631" s="130"/>
      <c r="P3631" s="99"/>
      <c r="Q3631" s="99"/>
      <c r="R3631" s="99"/>
    </row>
    <row r="3632" spans="5:18" s="65" customFormat="1">
      <c r="E3632" s="130"/>
      <c r="P3632" s="99"/>
      <c r="Q3632" s="99"/>
      <c r="R3632" s="99"/>
    </row>
    <row r="3633" spans="5:18" s="65" customFormat="1">
      <c r="E3633" s="130"/>
      <c r="P3633" s="99"/>
      <c r="Q3633" s="99"/>
      <c r="R3633" s="99"/>
    </row>
    <row r="3634" spans="5:18" s="65" customFormat="1">
      <c r="E3634" s="130"/>
      <c r="P3634" s="99"/>
      <c r="Q3634" s="99"/>
      <c r="R3634" s="99"/>
    </row>
    <row r="3635" spans="5:18" s="65" customFormat="1">
      <c r="E3635" s="130"/>
      <c r="P3635" s="99"/>
      <c r="Q3635" s="99"/>
      <c r="R3635" s="99"/>
    </row>
    <row r="3636" spans="5:18" s="65" customFormat="1">
      <c r="E3636" s="130"/>
      <c r="P3636" s="99"/>
      <c r="Q3636" s="99"/>
      <c r="R3636" s="99"/>
    </row>
    <row r="3637" spans="5:18" s="65" customFormat="1">
      <c r="E3637" s="130"/>
      <c r="P3637" s="99"/>
      <c r="Q3637" s="99"/>
      <c r="R3637" s="99"/>
    </row>
    <row r="3638" spans="5:18" s="65" customFormat="1">
      <c r="E3638" s="130"/>
      <c r="P3638" s="99"/>
      <c r="Q3638" s="99"/>
      <c r="R3638" s="99"/>
    </row>
    <row r="3639" spans="5:18" s="65" customFormat="1">
      <c r="E3639" s="130"/>
      <c r="P3639" s="99"/>
      <c r="Q3639" s="99"/>
      <c r="R3639" s="99"/>
    </row>
    <row r="3640" spans="5:18" s="65" customFormat="1">
      <c r="E3640" s="130"/>
      <c r="P3640" s="99"/>
      <c r="Q3640" s="99"/>
      <c r="R3640" s="99"/>
    </row>
    <row r="3641" spans="5:18" s="65" customFormat="1">
      <c r="E3641" s="130"/>
      <c r="P3641" s="99"/>
      <c r="Q3641" s="99"/>
      <c r="R3641" s="99"/>
    </row>
    <row r="3642" spans="5:18" s="65" customFormat="1">
      <c r="E3642" s="130"/>
      <c r="P3642" s="99"/>
      <c r="Q3642" s="99"/>
      <c r="R3642" s="99"/>
    </row>
    <row r="3643" spans="5:18" s="65" customFormat="1">
      <c r="E3643" s="130"/>
      <c r="P3643" s="99"/>
      <c r="Q3643" s="99"/>
      <c r="R3643" s="99"/>
    </row>
    <row r="3644" spans="5:18" s="65" customFormat="1">
      <c r="E3644" s="130"/>
      <c r="P3644" s="99"/>
      <c r="Q3644" s="99"/>
      <c r="R3644" s="99"/>
    </row>
    <row r="3645" spans="5:18" s="65" customFormat="1">
      <c r="E3645" s="130"/>
      <c r="P3645" s="99"/>
      <c r="Q3645" s="99"/>
      <c r="R3645" s="99"/>
    </row>
    <row r="3646" spans="5:18" s="65" customFormat="1">
      <c r="E3646" s="130"/>
      <c r="P3646" s="99"/>
      <c r="Q3646" s="99"/>
      <c r="R3646" s="99"/>
    </row>
    <row r="3647" spans="5:18" s="65" customFormat="1">
      <c r="E3647" s="130"/>
      <c r="P3647" s="99"/>
      <c r="Q3647" s="99"/>
      <c r="R3647" s="99"/>
    </row>
    <row r="3648" spans="5:18" s="65" customFormat="1">
      <c r="E3648" s="130"/>
      <c r="P3648" s="99"/>
      <c r="Q3648" s="99"/>
      <c r="R3648" s="99"/>
    </row>
    <row r="3649" spans="5:18" s="65" customFormat="1">
      <c r="E3649" s="130"/>
      <c r="P3649" s="99"/>
      <c r="Q3649" s="99"/>
      <c r="R3649" s="99"/>
    </row>
    <row r="3650" spans="5:18" s="65" customFormat="1">
      <c r="E3650" s="130"/>
      <c r="P3650" s="99"/>
      <c r="Q3650" s="99"/>
      <c r="R3650" s="99"/>
    </row>
    <row r="3651" spans="5:18" s="65" customFormat="1">
      <c r="E3651" s="130"/>
      <c r="P3651" s="99"/>
      <c r="Q3651" s="99"/>
      <c r="R3651" s="99"/>
    </row>
    <row r="3652" spans="5:18" s="65" customFormat="1">
      <c r="E3652" s="130"/>
      <c r="P3652" s="99"/>
      <c r="Q3652" s="99"/>
      <c r="R3652" s="99"/>
    </row>
    <row r="3653" spans="5:18" s="65" customFormat="1">
      <c r="E3653" s="130"/>
      <c r="P3653" s="99"/>
      <c r="Q3653" s="99"/>
      <c r="R3653" s="99"/>
    </row>
    <row r="3654" spans="5:18" s="65" customFormat="1">
      <c r="E3654" s="130"/>
      <c r="P3654" s="99"/>
      <c r="Q3654" s="99"/>
      <c r="R3654" s="99"/>
    </row>
    <row r="3655" spans="5:18" s="65" customFormat="1">
      <c r="E3655" s="130"/>
      <c r="P3655" s="99"/>
      <c r="Q3655" s="99"/>
      <c r="R3655" s="99"/>
    </row>
    <row r="3656" spans="5:18" s="65" customFormat="1">
      <c r="E3656" s="130"/>
      <c r="P3656" s="99"/>
      <c r="Q3656" s="99"/>
      <c r="R3656" s="99"/>
    </row>
    <row r="3657" spans="5:18" s="65" customFormat="1">
      <c r="E3657" s="130"/>
      <c r="P3657" s="99"/>
      <c r="Q3657" s="99"/>
      <c r="R3657" s="99"/>
    </row>
    <row r="3658" spans="5:18" s="65" customFormat="1">
      <c r="E3658" s="130"/>
      <c r="P3658" s="99"/>
      <c r="Q3658" s="99"/>
      <c r="R3658" s="99"/>
    </row>
    <row r="3659" spans="5:18" s="65" customFormat="1">
      <c r="E3659" s="130"/>
      <c r="P3659" s="99"/>
      <c r="Q3659" s="99"/>
      <c r="R3659" s="99"/>
    </row>
    <row r="3660" spans="5:18" s="65" customFormat="1">
      <c r="E3660" s="130"/>
      <c r="P3660" s="99"/>
      <c r="Q3660" s="99"/>
      <c r="R3660" s="99"/>
    </row>
    <row r="3661" spans="5:18" s="65" customFormat="1">
      <c r="E3661" s="130"/>
      <c r="P3661" s="99"/>
      <c r="Q3661" s="99"/>
      <c r="R3661" s="99"/>
    </row>
    <row r="3662" spans="5:18" s="65" customFormat="1">
      <c r="E3662" s="130"/>
      <c r="P3662" s="99"/>
      <c r="Q3662" s="99"/>
      <c r="R3662" s="99"/>
    </row>
    <row r="3663" spans="5:18" s="65" customFormat="1">
      <c r="E3663" s="130"/>
      <c r="P3663" s="99"/>
      <c r="Q3663" s="99"/>
      <c r="R3663" s="99"/>
    </row>
    <row r="3664" spans="5:18" s="65" customFormat="1">
      <c r="E3664" s="130"/>
      <c r="P3664" s="99"/>
      <c r="Q3664" s="99"/>
      <c r="R3664" s="99"/>
    </row>
    <row r="3665" spans="5:18" s="65" customFormat="1">
      <c r="E3665" s="130"/>
      <c r="P3665" s="99"/>
      <c r="Q3665" s="99"/>
      <c r="R3665" s="99"/>
    </row>
    <row r="3666" spans="5:18" s="65" customFormat="1">
      <c r="E3666" s="130"/>
      <c r="P3666" s="99"/>
      <c r="Q3666" s="99"/>
      <c r="R3666" s="99"/>
    </row>
    <row r="3667" spans="5:18" s="65" customFormat="1">
      <c r="E3667" s="130"/>
      <c r="P3667" s="99"/>
      <c r="Q3667" s="99"/>
      <c r="R3667" s="99"/>
    </row>
    <row r="3668" spans="5:18" s="65" customFormat="1">
      <c r="E3668" s="130"/>
      <c r="P3668" s="99"/>
      <c r="Q3668" s="99"/>
      <c r="R3668" s="99"/>
    </row>
    <row r="3669" spans="5:18" s="65" customFormat="1">
      <c r="E3669" s="130"/>
      <c r="P3669" s="99"/>
      <c r="Q3669" s="99"/>
      <c r="R3669" s="99"/>
    </row>
    <row r="3670" spans="5:18" s="65" customFormat="1">
      <c r="E3670" s="130"/>
      <c r="P3670" s="99"/>
      <c r="Q3670" s="99"/>
      <c r="R3670" s="99"/>
    </row>
    <row r="3671" spans="5:18" s="65" customFormat="1">
      <c r="E3671" s="130"/>
      <c r="P3671" s="99"/>
      <c r="Q3671" s="99"/>
      <c r="R3671" s="99"/>
    </row>
    <row r="3672" spans="5:18" s="65" customFormat="1">
      <c r="E3672" s="130"/>
      <c r="P3672" s="99"/>
      <c r="Q3672" s="99"/>
      <c r="R3672" s="99"/>
    </row>
    <row r="3673" spans="5:18" s="65" customFormat="1">
      <c r="E3673" s="130"/>
      <c r="P3673" s="99"/>
      <c r="Q3673" s="99"/>
      <c r="R3673" s="99"/>
    </row>
    <row r="3674" spans="5:18" s="65" customFormat="1">
      <c r="E3674" s="130"/>
      <c r="P3674" s="99"/>
      <c r="Q3674" s="99"/>
      <c r="R3674" s="99"/>
    </row>
    <row r="3675" spans="5:18" s="65" customFormat="1">
      <c r="E3675" s="130"/>
      <c r="P3675" s="99"/>
      <c r="Q3675" s="99"/>
      <c r="R3675" s="99"/>
    </row>
    <row r="3676" spans="5:18" s="65" customFormat="1">
      <c r="E3676" s="130"/>
      <c r="P3676" s="99"/>
      <c r="Q3676" s="99"/>
      <c r="R3676" s="99"/>
    </row>
    <row r="3677" spans="5:18" s="65" customFormat="1">
      <c r="E3677" s="130"/>
      <c r="P3677" s="99"/>
      <c r="Q3677" s="99"/>
      <c r="R3677" s="99"/>
    </row>
    <row r="3678" spans="5:18" s="65" customFormat="1">
      <c r="E3678" s="130"/>
      <c r="P3678" s="99"/>
      <c r="Q3678" s="99"/>
      <c r="R3678" s="99"/>
    </row>
    <row r="3679" spans="5:18" s="65" customFormat="1">
      <c r="E3679" s="130"/>
      <c r="P3679" s="99"/>
      <c r="Q3679" s="99"/>
      <c r="R3679" s="99"/>
    </row>
    <row r="3680" spans="5:18" s="65" customFormat="1">
      <c r="E3680" s="130"/>
      <c r="P3680" s="99"/>
      <c r="Q3680" s="99"/>
      <c r="R3680" s="99"/>
    </row>
    <row r="3681" spans="5:18" s="65" customFormat="1">
      <c r="E3681" s="130"/>
      <c r="P3681" s="99"/>
      <c r="Q3681" s="99"/>
      <c r="R3681" s="99"/>
    </row>
    <row r="3682" spans="5:18" s="65" customFormat="1">
      <c r="E3682" s="130"/>
      <c r="P3682" s="99"/>
      <c r="Q3682" s="99"/>
      <c r="R3682" s="99"/>
    </row>
    <row r="3683" spans="5:18" s="65" customFormat="1">
      <c r="E3683" s="130"/>
      <c r="P3683" s="99"/>
      <c r="Q3683" s="99"/>
      <c r="R3683" s="99"/>
    </row>
    <row r="3684" spans="5:18" s="65" customFormat="1">
      <c r="E3684" s="130"/>
      <c r="P3684" s="99"/>
      <c r="Q3684" s="99"/>
      <c r="R3684" s="99"/>
    </row>
    <row r="3685" spans="5:18" s="65" customFormat="1">
      <c r="E3685" s="130"/>
      <c r="P3685" s="99"/>
      <c r="Q3685" s="99"/>
      <c r="R3685" s="99"/>
    </row>
    <row r="3686" spans="5:18" s="65" customFormat="1">
      <c r="E3686" s="130"/>
      <c r="P3686" s="99"/>
      <c r="Q3686" s="99"/>
      <c r="R3686" s="99"/>
    </row>
    <row r="3687" spans="5:18" s="65" customFormat="1">
      <c r="E3687" s="130"/>
      <c r="P3687" s="99"/>
      <c r="Q3687" s="99"/>
      <c r="R3687" s="99"/>
    </row>
    <row r="3688" spans="5:18" s="65" customFormat="1">
      <c r="E3688" s="130"/>
      <c r="P3688" s="99"/>
      <c r="Q3688" s="99"/>
      <c r="R3688" s="99"/>
    </row>
    <row r="3689" spans="5:18" s="65" customFormat="1">
      <c r="E3689" s="130"/>
      <c r="P3689" s="99"/>
      <c r="Q3689" s="99"/>
      <c r="R3689" s="99"/>
    </row>
    <row r="3690" spans="5:18" s="65" customFormat="1">
      <c r="E3690" s="130"/>
      <c r="P3690" s="99"/>
      <c r="Q3690" s="99"/>
      <c r="R3690" s="99"/>
    </row>
    <row r="3691" spans="5:18" s="65" customFormat="1">
      <c r="E3691" s="130"/>
      <c r="P3691" s="99"/>
      <c r="Q3691" s="99"/>
      <c r="R3691" s="99"/>
    </row>
    <row r="3692" spans="5:18" s="65" customFormat="1">
      <c r="E3692" s="130"/>
      <c r="P3692" s="99"/>
      <c r="Q3692" s="99"/>
      <c r="R3692" s="99"/>
    </row>
    <row r="3693" spans="5:18" s="65" customFormat="1">
      <c r="E3693" s="130"/>
      <c r="P3693" s="99"/>
      <c r="Q3693" s="99"/>
      <c r="R3693" s="99"/>
    </row>
    <row r="3694" spans="5:18" s="65" customFormat="1">
      <c r="E3694" s="130"/>
      <c r="P3694" s="99"/>
      <c r="Q3694" s="99"/>
      <c r="R3694" s="99"/>
    </row>
    <row r="3695" spans="5:18" s="65" customFormat="1">
      <c r="E3695" s="130"/>
      <c r="P3695" s="99"/>
      <c r="Q3695" s="99"/>
      <c r="R3695" s="99"/>
    </row>
    <row r="3696" spans="5:18" s="65" customFormat="1">
      <c r="E3696" s="130"/>
      <c r="P3696" s="99"/>
      <c r="Q3696" s="99"/>
      <c r="R3696" s="99"/>
    </row>
    <row r="3697" spans="5:18" s="65" customFormat="1">
      <c r="E3697" s="130"/>
      <c r="P3697" s="99"/>
      <c r="Q3697" s="99"/>
      <c r="R3697" s="99"/>
    </row>
    <row r="3698" spans="5:18" s="65" customFormat="1">
      <c r="E3698" s="130"/>
      <c r="P3698" s="99"/>
      <c r="Q3698" s="99"/>
      <c r="R3698" s="99"/>
    </row>
    <row r="3699" spans="5:18" s="65" customFormat="1">
      <c r="E3699" s="130"/>
      <c r="P3699" s="99"/>
      <c r="Q3699" s="99"/>
      <c r="R3699" s="99"/>
    </row>
    <row r="3700" spans="5:18" s="65" customFormat="1">
      <c r="E3700" s="130"/>
      <c r="P3700" s="99"/>
      <c r="Q3700" s="99"/>
      <c r="R3700" s="99"/>
    </row>
    <row r="3701" spans="5:18" s="65" customFormat="1">
      <c r="E3701" s="130"/>
      <c r="P3701" s="99"/>
      <c r="Q3701" s="99"/>
      <c r="R3701" s="99"/>
    </row>
    <row r="3702" spans="5:18" s="65" customFormat="1">
      <c r="E3702" s="130"/>
      <c r="P3702" s="99"/>
      <c r="Q3702" s="99"/>
      <c r="R3702" s="99"/>
    </row>
    <row r="3703" spans="5:18" s="65" customFormat="1">
      <c r="E3703" s="130"/>
      <c r="P3703" s="99"/>
      <c r="Q3703" s="99"/>
      <c r="R3703" s="99"/>
    </row>
    <row r="3704" spans="5:18" s="65" customFormat="1">
      <c r="E3704" s="130"/>
      <c r="P3704" s="99"/>
      <c r="Q3704" s="99"/>
      <c r="R3704" s="99"/>
    </row>
    <row r="3705" spans="5:18" s="65" customFormat="1">
      <c r="E3705" s="130"/>
      <c r="P3705" s="99"/>
      <c r="Q3705" s="99"/>
      <c r="R3705" s="99"/>
    </row>
    <row r="3706" spans="5:18" s="65" customFormat="1">
      <c r="E3706" s="130"/>
      <c r="P3706" s="99"/>
      <c r="Q3706" s="99"/>
      <c r="R3706" s="99"/>
    </row>
    <row r="3707" spans="5:18" s="65" customFormat="1">
      <c r="E3707" s="130"/>
      <c r="P3707" s="99"/>
      <c r="Q3707" s="99"/>
      <c r="R3707" s="99"/>
    </row>
    <row r="3708" spans="5:18" s="65" customFormat="1">
      <c r="E3708" s="130"/>
      <c r="P3708" s="99"/>
      <c r="Q3708" s="99"/>
      <c r="R3708" s="99"/>
    </row>
    <row r="3709" spans="5:18" s="65" customFormat="1">
      <c r="E3709" s="130"/>
      <c r="P3709" s="99"/>
      <c r="Q3709" s="99"/>
      <c r="R3709" s="99"/>
    </row>
    <row r="3710" spans="5:18" s="65" customFormat="1">
      <c r="E3710" s="130"/>
      <c r="P3710" s="99"/>
      <c r="Q3710" s="99"/>
      <c r="R3710" s="99"/>
    </row>
    <row r="3711" spans="5:18" s="65" customFormat="1">
      <c r="E3711" s="130"/>
      <c r="P3711" s="99"/>
      <c r="Q3711" s="99"/>
      <c r="R3711" s="99"/>
    </row>
    <row r="3712" spans="5:18" s="65" customFormat="1">
      <c r="E3712" s="130"/>
      <c r="P3712" s="99"/>
      <c r="Q3712" s="99"/>
      <c r="R3712" s="99"/>
    </row>
    <row r="3713" spans="5:18" s="65" customFormat="1">
      <c r="E3713" s="130"/>
      <c r="P3713" s="99"/>
      <c r="Q3713" s="99"/>
      <c r="R3713" s="99"/>
    </row>
    <row r="3714" spans="5:18" s="65" customFormat="1">
      <c r="E3714" s="130"/>
      <c r="P3714" s="99"/>
      <c r="Q3714" s="99"/>
      <c r="R3714" s="99"/>
    </row>
    <row r="3715" spans="5:18" s="65" customFormat="1">
      <c r="E3715" s="130"/>
      <c r="P3715" s="99"/>
      <c r="Q3715" s="99"/>
      <c r="R3715" s="99"/>
    </row>
    <row r="3716" spans="5:18" s="65" customFormat="1">
      <c r="E3716" s="130"/>
      <c r="P3716" s="99"/>
      <c r="Q3716" s="99"/>
      <c r="R3716" s="99"/>
    </row>
    <row r="3717" spans="5:18" s="65" customFormat="1">
      <c r="E3717" s="130"/>
      <c r="P3717" s="99"/>
      <c r="Q3717" s="99"/>
      <c r="R3717" s="99"/>
    </row>
    <row r="3718" spans="5:18" s="65" customFormat="1">
      <c r="E3718" s="130"/>
      <c r="P3718" s="99"/>
      <c r="Q3718" s="99"/>
      <c r="R3718" s="99"/>
    </row>
    <row r="3719" spans="5:18" s="65" customFormat="1">
      <c r="E3719" s="130"/>
      <c r="P3719" s="99"/>
      <c r="Q3719" s="99"/>
      <c r="R3719" s="99"/>
    </row>
    <row r="3720" spans="5:18" s="65" customFormat="1">
      <c r="E3720" s="130"/>
      <c r="P3720" s="99"/>
      <c r="Q3720" s="99"/>
      <c r="R3720" s="99"/>
    </row>
    <row r="3721" spans="5:18" s="65" customFormat="1">
      <c r="E3721" s="130"/>
      <c r="P3721" s="99"/>
      <c r="Q3721" s="99"/>
      <c r="R3721" s="99"/>
    </row>
    <row r="3722" spans="5:18" s="65" customFormat="1">
      <c r="E3722" s="130"/>
      <c r="P3722" s="99"/>
      <c r="Q3722" s="99"/>
      <c r="R3722" s="99"/>
    </row>
    <row r="3723" spans="5:18" s="65" customFormat="1">
      <c r="E3723" s="130"/>
      <c r="P3723" s="99"/>
      <c r="Q3723" s="99"/>
      <c r="R3723" s="99"/>
    </row>
    <row r="3724" spans="5:18" s="65" customFormat="1">
      <c r="E3724" s="130"/>
      <c r="P3724" s="99"/>
      <c r="Q3724" s="99"/>
      <c r="R3724" s="99"/>
    </row>
    <row r="3725" spans="5:18" s="65" customFormat="1">
      <c r="E3725" s="130"/>
      <c r="P3725" s="99"/>
      <c r="Q3725" s="99"/>
      <c r="R3725" s="99"/>
    </row>
    <row r="3726" spans="5:18" s="65" customFormat="1">
      <c r="E3726" s="130"/>
      <c r="P3726" s="99"/>
      <c r="Q3726" s="99"/>
      <c r="R3726" s="99"/>
    </row>
    <row r="3727" spans="5:18" s="65" customFormat="1">
      <c r="E3727" s="130"/>
      <c r="P3727" s="99"/>
      <c r="Q3727" s="99"/>
      <c r="R3727" s="99"/>
    </row>
    <row r="3728" spans="5:18" s="65" customFormat="1">
      <c r="E3728" s="130"/>
      <c r="P3728" s="99"/>
      <c r="Q3728" s="99"/>
      <c r="R3728" s="99"/>
    </row>
    <row r="3729" spans="5:18" s="65" customFormat="1">
      <c r="E3729" s="130"/>
      <c r="P3729" s="99"/>
      <c r="Q3729" s="99"/>
      <c r="R3729" s="99"/>
    </row>
    <row r="3730" spans="5:18" s="65" customFormat="1">
      <c r="E3730" s="130"/>
      <c r="P3730" s="99"/>
      <c r="Q3730" s="99"/>
      <c r="R3730" s="99"/>
    </row>
    <row r="3731" spans="5:18" s="65" customFormat="1">
      <c r="E3731" s="130"/>
      <c r="P3731" s="99"/>
      <c r="Q3731" s="99"/>
      <c r="R3731" s="99"/>
    </row>
    <row r="3732" spans="5:18" s="65" customFormat="1">
      <c r="E3732" s="130"/>
      <c r="P3732" s="99"/>
      <c r="Q3732" s="99"/>
      <c r="R3732" s="99"/>
    </row>
    <row r="3733" spans="5:18" s="65" customFormat="1">
      <c r="E3733" s="130"/>
      <c r="P3733" s="99"/>
      <c r="Q3733" s="99"/>
      <c r="R3733" s="99"/>
    </row>
    <row r="3734" spans="5:18" s="65" customFormat="1">
      <c r="E3734" s="130"/>
      <c r="P3734" s="99"/>
      <c r="Q3734" s="99"/>
      <c r="R3734" s="99"/>
    </row>
    <row r="3735" spans="5:18" s="65" customFormat="1">
      <c r="E3735" s="130"/>
      <c r="P3735" s="99"/>
      <c r="Q3735" s="99"/>
      <c r="R3735" s="99"/>
    </row>
    <row r="3736" spans="5:18" s="65" customFormat="1">
      <c r="E3736" s="130"/>
      <c r="P3736" s="99"/>
      <c r="Q3736" s="99"/>
      <c r="R3736" s="99"/>
    </row>
    <row r="3737" spans="5:18" s="65" customFormat="1">
      <c r="E3737" s="130"/>
      <c r="P3737" s="99"/>
      <c r="Q3737" s="99"/>
      <c r="R3737" s="99"/>
    </row>
    <row r="3738" spans="5:18" s="65" customFormat="1">
      <c r="E3738" s="130"/>
      <c r="P3738" s="99"/>
      <c r="Q3738" s="99"/>
      <c r="R3738" s="99"/>
    </row>
    <row r="3739" spans="5:18" s="65" customFormat="1">
      <c r="E3739" s="130"/>
      <c r="P3739" s="99"/>
      <c r="Q3739" s="99"/>
      <c r="R3739" s="99"/>
    </row>
    <row r="3740" spans="5:18" s="65" customFormat="1">
      <c r="E3740" s="130"/>
      <c r="P3740" s="99"/>
      <c r="Q3740" s="99"/>
      <c r="R3740" s="99"/>
    </row>
    <row r="3741" spans="5:18" s="65" customFormat="1">
      <c r="E3741" s="130"/>
      <c r="P3741" s="99"/>
      <c r="Q3741" s="99"/>
      <c r="R3741" s="99"/>
    </row>
    <row r="3742" spans="5:18" s="65" customFormat="1">
      <c r="E3742" s="130"/>
      <c r="P3742" s="99"/>
      <c r="Q3742" s="99"/>
      <c r="R3742" s="99"/>
    </row>
    <row r="3743" spans="5:18" s="65" customFormat="1">
      <c r="E3743" s="130"/>
      <c r="P3743" s="99"/>
      <c r="Q3743" s="99"/>
      <c r="R3743" s="99"/>
    </row>
    <row r="3744" spans="5:18" s="65" customFormat="1">
      <c r="E3744" s="130"/>
      <c r="P3744" s="99"/>
      <c r="Q3744" s="99"/>
      <c r="R3744" s="99"/>
    </row>
    <row r="3745" spans="5:18" s="65" customFormat="1">
      <c r="E3745" s="130"/>
      <c r="P3745" s="99"/>
      <c r="Q3745" s="99"/>
      <c r="R3745" s="99"/>
    </row>
    <row r="3746" spans="5:18" s="65" customFormat="1">
      <c r="E3746" s="130"/>
      <c r="P3746" s="99"/>
      <c r="Q3746" s="99"/>
      <c r="R3746" s="99"/>
    </row>
    <row r="3747" spans="5:18" s="65" customFormat="1">
      <c r="E3747" s="130"/>
      <c r="P3747" s="99"/>
      <c r="Q3747" s="99"/>
      <c r="R3747" s="99"/>
    </row>
    <row r="3748" spans="5:18" s="65" customFormat="1">
      <c r="E3748" s="130"/>
      <c r="P3748" s="99"/>
      <c r="Q3748" s="99"/>
      <c r="R3748" s="99"/>
    </row>
    <row r="3749" spans="5:18" s="65" customFormat="1">
      <c r="E3749" s="130"/>
      <c r="P3749" s="99"/>
      <c r="Q3749" s="99"/>
      <c r="R3749" s="99"/>
    </row>
    <row r="3750" spans="5:18" s="65" customFormat="1">
      <c r="E3750" s="130"/>
      <c r="P3750" s="99"/>
      <c r="Q3750" s="99"/>
      <c r="R3750" s="99"/>
    </row>
    <row r="3751" spans="5:18" s="65" customFormat="1">
      <c r="E3751" s="130"/>
      <c r="P3751" s="99"/>
      <c r="Q3751" s="99"/>
      <c r="R3751" s="99"/>
    </row>
    <row r="3752" spans="5:18" s="65" customFormat="1">
      <c r="E3752" s="130"/>
      <c r="P3752" s="99"/>
      <c r="Q3752" s="99"/>
      <c r="R3752" s="99"/>
    </row>
    <row r="3753" spans="5:18" s="65" customFormat="1">
      <c r="E3753" s="130"/>
      <c r="P3753" s="99"/>
      <c r="Q3753" s="99"/>
      <c r="R3753" s="99"/>
    </row>
    <row r="3754" spans="5:18" s="65" customFormat="1">
      <c r="E3754" s="130"/>
      <c r="P3754" s="99"/>
      <c r="Q3754" s="99"/>
      <c r="R3754" s="99"/>
    </row>
    <row r="3755" spans="5:18" s="65" customFormat="1">
      <c r="E3755" s="130"/>
      <c r="P3755" s="99"/>
      <c r="Q3755" s="99"/>
      <c r="R3755" s="99"/>
    </row>
    <row r="3756" spans="5:18" s="65" customFormat="1">
      <c r="E3756" s="130"/>
      <c r="P3756" s="99"/>
      <c r="Q3756" s="99"/>
      <c r="R3756" s="99"/>
    </row>
    <row r="3757" spans="5:18" s="65" customFormat="1">
      <c r="E3757" s="130"/>
      <c r="P3757" s="99"/>
      <c r="Q3757" s="99"/>
      <c r="R3757" s="99"/>
    </row>
    <row r="3758" spans="5:18" s="65" customFormat="1">
      <c r="E3758" s="130"/>
      <c r="P3758" s="99"/>
      <c r="Q3758" s="99"/>
      <c r="R3758" s="99"/>
    </row>
    <row r="3759" spans="5:18" s="65" customFormat="1">
      <c r="E3759" s="130"/>
      <c r="P3759" s="99"/>
      <c r="Q3759" s="99"/>
      <c r="R3759" s="99"/>
    </row>
    <row r="3760" spans="5:18" s="65" customFormat="1">
      <c r="E3760" s="130"/>
      <c r="P3760" s="99"/>
      <c r="Q3760" s="99"/>
      <c r="R3760" s="99"/>
    </row>
    <row r="3761" spans="5:18" s="65" customFormat="1">
      <c r="E3761" s="130"/>
      <c r="P3761" s="99"/>
      <c r="Q3761" s="99"/>
      <c r="R3761" s="99"/>
    </row>
    <row r="3762" spans="5:18" s="65" customFormat="1">
      <c r="E3762" s="130"/>
      <c r="P3762" s="99"/>
      <c r="Q3762" s="99"/>
      <c r="R3762" s="99"/>
    </row>
    <row r="3763" spans="5:18" s="65" customFormat="1">
      <c r="E3763" s="130"/>
      <c r="P3763" s="99"/>
      <c r="Q3763" s="99"/>
      <c r="R3763" s="99"/>
    </row>
    <row r="3764" spans="5:18" s="65" customFormat="1">
      <c r="E3764" s="130"/>
      <c r="P3764" s="99"/>
      <c r="Q3764" s="99"/>
      <c r="R3764" s="99"/>
    </row>
    <row r="3765" spans="5:18" s="65" customFormat="1">
      <c r="E3765" s="130"/>
      <c r="P3765" s="99"/>
      <c r="Q3765" s="99"/>
      <c r="R3765" s="99"/>
    </row>
    <row r="3766" spans="5:18" s="65" customFormat="1">
      <c r="E3766" s="130"/>
      <c r="P3766" s="99"/>
      <c r="Q3766" s="99"/>
      <c r="R3766" s="99"/>
    </row>
    <row r="3767" spans="5:18" s="65" customFormat="1">
      <c r="E3767" s="130"/>
      <c r="P3767" s="99"/>
      <c r="Q3767" s="99"/>
      <c r="R3767" s="99"/>
    </row>
    <row r="3768" spans="5:18" s="65" customFormat="1">
      <c r="E3768" s="130"/>
      <c r="P3768" s="99"/>
      <c r="Q3768" s="99"/>
      <c r="R3768" s="99"/>
    </row>
    <row r="3769" spans="5:18" s="65" customFormat="1">
      <c r="E3769" s="130"/>
      <c r="P3769" s="99"/>
      <c r="Q3769" s="99"/>
      <c r="R3769" s="99"/>
    </row>
    <row r="3770" spans="5:18" s="65" customFormat="1">
      <c r="E3770" s="130"/>
      <c r="P3770" s="99"/>
      <c r="Q3770" s="99"/>
      <c r="R3770" s="99"/>
    </row>
    <row r="3771" spans="5:18" s="65" customFormat="1">
      <c r="E3771" s="130"/>
      <c r="P3771" s="99"/>
      <c r="Q3771" s="99"/>
      <c r="R3771" s="99"/>
    </row>
    <row r="3772" spans="5:18" s="65" customFormat="1">
      <c r="E3772" s="130"/>
      <c r="P3772" s="99"/>
      <c r="Q3772" s="99"/>
      <c r="R3772" s="99"/>
    </row>
    <row r="3773" spans="5:18" s="65" customFormat="1">
      <c r="E3773" s="130"/>
      <c r="P3773" s="99"/>
      <c r="Q3773" s="99"/>
      <c r="R3773" s="99"/>
    </row>
    <row r="3774" spans="5:18" s="65" customFormat="1">
      <c r="E3774" s="130"/>
      <c r="P3774" s="99"/>
      <c r="Q3774" s="99"/>
      <c r="R3774" s="99"/>
    </row>
    <row r="3775" spans="5:18" s="65" customFormat="1">
      <c r="E3775" s="130"/>
      <c r="P3775" s="99"/>
      <c r="Q3775" s="99"/>
      <c r="R3775" s="99"/>
    </row>
    <row r="3776" spans="5:18" s="65" customFormat="1">
      <c r="E3776" s="130"/>
      <c r="P3776" s="99"/>
      <c r="Q3776" s="99"/>
      <c r="R3776" s="99"/>
    </row>
    <row r="3777" spans="5:18" s="65" customFormat="1">
      <c r="E3777" s="130"/>
      <c r="P3777" s="99"/>
      <c r="Q3777" s="99"/>
      <c r="R3777" s="99"/>
    </row>
    <row r="3778" spans="5:18" s="65" customFormat="1">
      <c r="E3778" s="130"/>
      <c r="P3778" s="99"/>
      <c r="Q3778" s="99"/>
      <c r="R3778" s="99"/>
    </row>
    <row r="3779" spans="5:18" s="65" customFormat="1">
      <c r="E3779" s="130"/>
      <c r="P3779" s="99"/>
      <c r="Q3779" s="99"/>
      <c r="R3779" s="99"/>
    </row>
    <row r="3780" spans="5:18" s="65" customFormat="1">
      <c r="E3780" s="130"/>
      <c r="P3780" s="99"/>
      <c r="Q3780" s="99"/>
      <c r="R3780" s="99"/>
    </row>
    <row r="3781" spans="5:18" s="65" customFormat="1">
      <c r="E3781" s="130"/>
      <c r="P3781" s="99"/>
      <c r="Q3781" s="99"/>
      <c r="R3781" s="99"/>
    </row>
    <row r="3782" spans="5:18" s="65" customFormat="1">
      <c r="E3782" s="130"/>
      <c r="P3782" s="99"/>
      <c r="Q3782" s="99"/>
      <c r="R3782" s="99"/>
    </row>
    <row r="3783" spans="5:18" s="65" customFormat="1">
      <c r="E3783" s="130"/>
      <c r="P3783" s="99"/>
      <c r="Q3783" s="99"/>
      <c r="R3783" s="99"/>
    </row>
    <row r="3784" spans="5:18" s="65" customFormat="1">
      <c r="E3784" s="130"/>
      <c r="P3784" s="99"/>
      <c r="Q3784" s="99"/>
      <c r="R3784" s="99"/>
    </row>
    <row r="3785" spans="5:18" s="65" customFormat="1">
      <c r="E3785" s="130"/>
      <c r="P3785" s="99"/>
      <c r="Q3785" s="99"/>
      <c r="R3785" s="99"/>
    </row>
    <row r="3786" spans="5:18" s="65" customFormat="1">
      <c r="E3786" s="130"/>
      <c r="P3786" s="99"/>
      <c r="Q3786" s="99"/>
      <c r="R3786" s="99"/>
    </row>
    <row r="3787" spans="5:18" s="65" customFormat="1">
      <c r="E3787" s="130"/>
      <c r="P3787" s="99"/>
      <c r="Q3787" s="99"/>
      <c r="R3787" s="99"/>
    </row>
    <row r="3788" spans="5:18" s="65" customFormat="1">
      <c r="E3788" s="130"/>
      <c r="P3788" s="99"/>
      <c r="Q3788" s="99"/>
      <c r="R3788" s="99"/>
    </row>
    <row r="3789" spans="5:18" s="65" customFormat="1">
      <c r="E3789" s="130"/>
      <c r="P3789" s="99"/>
      <c r="Q3789" s="99"/>
      <c r="R3789" s="99"/>
    </row>
    <row r="3790" spans="5:18" s="65" customFormat="1">
      <c r="E3790" s="130"/>
      <c r="P3790" s="99"/>
      <c r="Q3790" s="99"/>
      <c r="R3790" s="99"/>
    </row>
    <row r="3791" spans="5:18" s="65" customFormat="1">
      <c r="E3791" s="130"/>
      <c r="P3791" s="99"/>
      <c r="Q3791" s="99"/>
      <c r="R3791" s="99"/>
    </row>
    <row r="3792" spans="5:18" s="65" customFormat="1">
      <c r="E3792" s="130"/>
      <c r="P3792" s="99"/>
      <c r="Q3792" s="99"/>
      <c r="R3792" s="99"/>
    </row>
    <row r="3793" spans="5:18" s="65" customFormat="1">
      <c r="E3793" s="130"/>
      <c r="P3793" s="99"/>
      <c r="Q3793" s="99"/>
      <c r="R3793" s="99"/>
    </row>
    <row r="3794" spans="5:18" s="65" customFormat="1">
      <c r="E3794" s="130"/>
      <c r="P3794" s="99"/>
      <c r="Q3794" s="99"/>
      <c r="R3794" s="99"/>
    </row>
    <row r="3795" spans="5:18" s="65" customFormat="1">
      <c r="E3795" s="130"/>
      <c r="P3795" s="99"/>
      <c r="Q3795" s="99"/>
      <c r="R3795" s="99"/>
    </row>
    <row r="3796" spans="5:18" s="65" customFormat="1">
      <c r="E3796" s="130"/>
      <c r="P3796" s="99"/>
      <c r="Q3796" s="99"/>
      <c r="R3796" s="99"/>
    </row>
    <row r="3797" spans="5:18" s="65" customFormat="1">
      <c r="E3797" s="130"/>
      <c r="P3797" s="99"/>
      <c r="Q3797" s="99"/>
      <c r="R3797" s="99"/>
    </row>
    <row r="3798" spans="5:18" s="65" customFormat="1">
      <c r="E3798" s="130"/>
      <c r="P3798" s="99"/>
      <c r="Q3798" s="99"/>
      <c r="R3798" s="99"/>
    </row>
    <row r="3799" spans="5:18" s="65" customFormat="1">
      <c r="E3799" s="130"/>
      <c r="P3799" s="99"/>
      <c r="Q3799" s="99"/>
      <c r="R3799" s="99"/>
    </row>
    <row r="3800" spans="5:18" s="65" customFormat="1">
      <c r="E3800" s="130"/>
      <c r="P3800" s="99"/>
      <c r="Q3800" s="99"/>
      <c r="R3800" s="99"/>
    </row>
    <row r="3801" spans="5:18" s="65" customFormat="1">
      <c r="E3801" s="130"/>
      <c r="P3801" s="99"/>
      <c r="Q3801" s="99"/>
      <c r="R3801" s="99"/>
    </row>
    <row r="3802" spans="5:18" s="65" customFormat="1">
      <c r="E3802" s="130"/>
      <c r="P3802" s="99"/>
      <c r="Q3802" s="99"/>
      <c r="R3802" s="99"/>
    </row>
    <row r="3803" spans="5:18" s="65" customFormat="1">
      <c r="E3803" s="130"/>
      <c r="P3803" s="99"/>
      <c r="Q3803" s="99"/>
      <c r="R3803" s="99"/>
    </row>
    <row r="3804" spans="5:18" s="65" customFormat="1">
      <c r="E3804" s="130"/>
      <c r="P3804" s="99"/>
      <c r="Q3804" s="99"/>
      <c r="R3804" s="99"/>
    </row>
    <row r="3805" spans="5:18" s="65" customFormat="1">
      <c r="E3805" s="130"/>
      <c r="P3805" s="99"/>
      <c r="Q3805" s="99"/>
      <c r="R3805" s="99"/>
    </row>
    <row r="3806" spans="5:18" s="65" customFormat="1">
      <c r="E3806" s="130"/>
      <c r="P3806" s="99"/>
      <c r="Q3806" s="99"/>
      <c r="R3806" s="99"/>
    </row>
    <row r="3807" spans="5:18" s="65" customFormat="1">
      <c r="E3807" s="130"/>
      <c r="P3807" s="99"/>
      <c r="Q3807" s="99"/>
      <c r="R3807" s="99"/>
    </row>
    <row r="3808" spans="5:18" s="65" customFormat="1">
      <c r="E3808" s="130"/>
      <c r="P3808" s="99"/>
      <c r="Q3808" s="99"/>
      <c r="R3808" s="99"/>
    </row>
    <row r="3809" spans="5:18" s="65" customFormat="1">
      <c r="E3809" s="130"/>
      <c r="P3809" s="99"/>
      <c r="Q3809" s="99"/>
      <c r="R3809" s="99"/>
    </row>
    <row r="3810" spans="5:18" s="65" customFormat="1">
      <c r="E3810" s="130"/>
      <c r="P3810" s="99"/>
      <c r="Q3810" s="99"/>
      <c r="R3810" s="99"/>
    </row>
    <row r="3811" spans="5:18" s="65" customFormat="1">
      <c r="E3811" s="130"/>
      <c r="P3811" s="99"/>
      <c r="Q3811" s="99"/>
      <c r="R3811" s="99"/>
    </row>
    <row r="3812" spans="5:18" s="65" customFormat="1">
      <c r="E3812" s="130"/>
      <c r="P3812" s="99"/>
      <c r="Q3812" s="99"/>
      <c r="R3812" s="99"/>
    </row>
    <row r="3813" spans="5:18" s="65" customFormat="1">
      <c r="E3813" s="130"/>
      <c r="P3813" s="99"/>
      <c r="Q3813" s="99"/>
      <c r="R3813" s="99"/>
    </row>
    <row r="3814" spans="5:18" s="65" customFormat="1">
      <c r="E3814" s="130"/>
      <c r="P3814" s="99"/>
      <c r="Q3814" s="99"/>
      <c r="R3814" s="99"/>
    </row>
    <row r="3815" spans="5:18" s="65" customFormat="1">
      <c r="E3815" s="130"/>
      <c r="P3815" s="99"/>
      <c r="Q3815" s="99"/>
      <c r="R3815" s="99"/>
    </row>
    <row r="3816" spans="5:18" s="65" customFormat="1">
      <c r="E3816" s="130"/>
      <c r="P3816" s="99"/>
      <c r="Q3816" s="99"/>
      <c r="R3816" s="99"/>
    </row>
    <row r="3817" spans="5:18" s="65" customFormat="1">
      <c r="E3817" s="130"/>
      <c r="P3817" s="99"/>
      <c r="Q3817" s="99"/>
      <c r="R3817" s="99"/>
    </row>
    <row r="3818" spans="5:18" s="65" customFormat="1">
      <c r="E3818" s="130"/>
      <c r="P3818" s="99"/>
      <c r="Q3818" s="99"/>
      <c r="R3818" s="99"/>
    </row>
    <row r="3819" spans="5:18" s="65" customFormat="1">
      <c r="E3819" s="130"/>
      <c r="P3819" s="99"/>
      <c r="Q3819" s="99"/>
      <c r="R3819" s="99"/>
    </row>
    <row r="3820" spans="5:18" s="65" customFormat="1">
      <c r="E3820" s="130"/>
      <c r="P3820" s="99"/>
      <c r="Q3820" s="99"/>
      <c r="R3820" s="99"/>
    </row>
    <row r="3821" spans="5:18" s="65" customFormat="1">
      <c r="E3821" s="130"/>
      <c r="P3821" s="99"/>
      <c r="Q3821" s="99"/>
      <c r="R3821" s="99"/>
    </row>
    <row r="3822" spans="5:18" s="65" customFormat="1">
      <c r="E3822" s="130"/>
      <c r="P3822" s="99"/>
      <c r="Q3822" s="99"/>
      <c r="R3822" s="99"/>
    </row>
    <row r="3823" spans="5:18" s="65" customFormat="1">
      <c r="E3823" s="130"/>
      <c r="P3823" s="99"/>
      <c r="Q3823" s="99"/>
      <c r="R3823" s="99"/>
    </row>
    <row r="3824" spans="5:18" s="65" customFormat="1">
      <c r="E3824" s="130"/>
      <c r="P3824" s="99"/>
      <c r="Q3824" s="99"/>
      <c r="R3824" s="99"/>
    </row>
    <row r="3825" spans="5:18" s="65" customFormat="1">
      <c r="E3825" s="130"/>
      <c r="P3825" s="99"/>
      <c r="Q3825" s="99"/>
      <c r="R3825" s="99"/>
    </row>
    <row r="3826" spans="5:18" s="65" customFormat="1">
      <c r="E3826" s="130"/>
      <c r="P3826" s="99"/>
      <c r="Q3826" s="99"/>
      <c r="R3826" s="99"/>
    </row>
    <row r="3827" spans="5:18" s="65" customFormat="1">
      <c r="E3827" s="130"/>
      <c r="P3827" s="99"/>
      <c r="Q3827" s="99"/>
      <c r="R3827" s="99"/>
    </row>
    <row r="3828" spans="5:18" s="65" customFormat="1">
      <c r="E3828" s="130"/>
      <c r="P3828" s="99"/>
      <c r="Q3828" s="99"/>
      <c r="R3828" s="99"/>
    </row>
    <row r="3829" spans="5:18" s="65" customFormat="1">
      <c r="E3829" s="130"/>
      <c r="P3829" s="99"/>
      <c r="Q3829" s="99"/>
      <c r="R3829" s="99"/>
    </row>
    <row r="3830" spans="5:18" s="65" customFormat="1">
      <c r="E3830" s="130"/>
      <c r="P3830" s="99"/>
      <c r="Q3830" s="99"/>
      <c r="R3830" s="99"/>
    </row>
    <row r="3831" spans="5:18" s="65" customFormat="1">
      <c r="E3831" s="130"/>
      <c r="P3831" s="99"/>
      <c r="Q3831" s="99"/>
      <c r="R3831" s="99"/>
    </row>
    <row r="3832" spans="5:18" s="65" customFormat="1">
      <c r="E3832" s="130"/>
      <c r="P3832" s="99"/>
      <c r="Q3832" s="99"/>
      <c r="R3832" s="99"/>
    </row>
    <row r="3833" spans="5:18" s="65" customFormat="1">
      <c r="E3833" s="130"/>
      <c r="P3833" s="99"/>
      <c r="Q3833" s="99"/>
      <c r="R3833" s="99"/>
    </row>
    <row r="3834" spans="5:18" s="65" customFormat="1">
      <c r="E3834" s="130"/>
      <c r="P3834" s="99"/>
      <c r="Q3834" s="99"/>
      <c r="R3834" s="99"/>
    </row>
    <row r="3835" spans="5:18" s="65" customFormat="1">
      <c r="E3835" s="130"/>
      <c r="P3835" s="99"/>
      <c r="Q3835" s="99"/>
      <c r="R3835" s="99"/>
    </row>
    <row r="3836" spans="5:18" s="65" customFormat="1">
      <c r="E3836" s="130"/>
      <c r="P3836" s="99"/>
      <c r="Q3836" s="99"/>
      <c r="R3836" s="99"/>
    </row>
    <row r="3837" spans="5:18" s="65" customFormat="1">
      <c r="E3837" s="130"/>
      <c r="P3837" s="99"/>
      <c r="Q3837" s="99"/>
      <c r="R3837" s="99"/>
    </row>
    <row r="3838" spans="5:18" s="65" customFormat="1">
      <c r="E3838" s="130"/>
      <c r="P3838" s="99"/>
      <c r="Q3838" s="99"/>
      <c r="R3838" s="99"/>
    </row>
    <row r="3839" spans="5:18" s="65" customFormat="1">
      <c r="E3839" s="130"/>
      <c r="P3839" s="99"/>
      <c r="Q3839" s="99"/>
      <c r="R3839" s="99"/>
    </row>
    <row r="3840" spans="5:18" s="65" customFormat="1">
      <c r="E3840" s="130"/>
      <c r="P3840" s="99"/>
      <c r="Q3840" s="99"/>
      <c r="R3840" s="99"/>
    </row>
    <row r="3841" spans="5:18" s="65" customFormat="1">
      <c r="E3841" s="130"/>
      <c r="P3841" s="99"/>
      <c r="Q3841" s="99"/>
      <c r="R3841" s="99"/>
    </row>
    <row r="3842" spans="5:18" s="65" customFormat="1">
      <c r="E3842" s="130"/>
      <c r="P3842" s="99"/>
      <c r="Q3842" s="99"/>
      <c r="R3842" s="99"/>
    </row>
    <row r="3843" spans="5:18" s="65" customFormat="1">
      <c r="E3843" s="130"/>
      <c r="P3843" s="99"/>
      <c r="Q3843" s="99"/>
      <c r="R3843" s="99"/>
    </row>
    <row r="3844" spans="5:18" s="65" customFormat="1">
      <c r="E3844" s="130"/>
      <c r="P3844" s="99"/>
      <c r="Q3844" s="99"/>
      <c r="R3844" s="99"/>
    </row>
    <row r="3845" spans="5:18" s="65" customFormat="1">
      <c r="E3845" s="130"/>
      <c r="P3845" s="99"/>
      <c r="Q3845" s="99"/>
      <c r="R3845" s="99"/>
    </row>
    <row r="3846" spans="5:18" s="65" customFormat="1">
      <c r="E3846" s="130"/>
      <c r="P3846" s="99"/>
      <c r="Q3846" s="99"/>
      <c r="R3846" s="99"/>
    </row>
    <row r="3847" spans="5:18" s="65" customFormat="1">
      <c r="E3847" s="130"/>
      <c r="P3847" s="99"/>
      <c r="Q3847" s="99"/>
      <c r="R3847" s="99"/>
    </row>
    <row r="3848" spans="5:18" s="65" customFormat="1">
      <c r="E3848" s="130"/>
      <c r="P3848" s="99"/>
      <c r="Q3848" s="99"/>
      <c r="R3848" s="99"/>
    </row>
    <row r="3849" spans="5:18" s="65" customFormat="1">
      <c r="E3849" s="130"/>
      <c r="P3849" s="99"/>
      <c r="Q3849" s="99"/>
      <c r="R3849" s="99"/>
    </row>
    <row r="3850" spans="5:18" s="65" customFormat="1">
      <c r="E3850" s="130"/>
      <c r="P3850" s="99"/>
      <c r="Q3850" s="99"/>
      <c r="R3850" s="99"/>
    </row>
    <row r="3851" spans="5:18" s="65" customFormat="1">
      <c r="E3851" s="130"/>
      <c r="P3851" s="99"/>
      <c r="Q3851" s="99"/>
      <c r="R3851" s="99"/>
    </row>
    <row r="3852" spans="5:18" s="65" customFormat="1">
      <c r="E3852" s="130"/>
      <c r="P3852" s="99"/>
      <c r="Q3852" s="99"/>
      <c r="R3852" s="99"/>
    </row>
    <row r="3853" spans="5:18" s="65" customFormat="1">
      <c r="E3853" s="130"/>
      <c r="P3853" s="99"/>
      <c r="Q3853" s="99"/>
      <c r="R3853" s="99"/>
    </row>
    <row r="3854" spans="5:18" s="65" customFormat="1">
      <c r="E3854" s="130"/>
      <c r="P3854" s="99"/>
      <c r="Q3854" s="99"/>
      <c r="R3854" s="99"/>
    </row>
    <row r="3855" spans="5:18" s="65" customFormat="1">
      <c r="E3855" s="130"/>
      <c r="P3855" s="99"/>
      <c r="Q3855" s="99"/>
      <c r="R3855" s="99"/>
    </row>
    <row r="3856" spans="5:18" s="65" customFormat="1">
      <c r="E3856" s="130"/>
      <c r="P3856" s="99"/>
      <c r="Q3856" s="99"/>
      <c r="R3856" s="99"/>
    </row>
    <row r="3857" spans="5:18" s="65" customFormat="1">
      <c r="E3857" s="130"/>
      <c r="P3857" s="99"/>
      <c r="Q3857" s="99"/>
      <c r="R3857" s="99"/>
    </row>
    <row r="3858" spans="5:18" s="65" customFormat="1">
      <c r="E3858" s="130"/>
      <c r="P3858" s="99"/>
      <c r="Q3858" s="99"/>
      <c r="R3858" s="99"/>
    </row>
    <row r="3859" spans="5:18" s="65" customFormat="1">
      <c r="E3859" s="130"/>
      <c r="P3859" s="99"/>
      <c r="Q3859" s="99"/>
      <c r="R3859" s="99"/>
    </row>
    <row r="3860" spans="5:18" s="65" customFormat="1">
      <c r="E3860" s="130"/>
      <c r="P3860" s="99"/>
      <c r="Q3860" s="99"/>
      <c r="R3860" s="99"/>
    </row>
    <row r="3861" spans="5:18" s="65" customFormat="1">
      <c r="E3861" s="130"/>
      <c r="P3861" s="99"/>
      <c r="Q3861" s="99"/>
      <c r="R3861" s="99"/>
    </row>
    <row r="3862" spans="5:18" s="65" customFormat="1">
      <c r="E3862" s="130"/>
      <c r="P3862" s="99"/>
      <c r="Q3862" s="99"/>
      <c r="R3862" s="99"/>
    </row>
    <row r="3863" spans="5:18" s="65" customFormat="1">
      <c r="E3863" s="130"/>
      <c r="P3863" s="99"/>
      <c r="Q3863" s="99"/>
      <c r="R3863" s="99"/>
    </row>
    <row r="3864" spans="5:18" s="65" customFormat="1">
      <c r="E3864" s="130"/>
      <c r="P3864" s="99"/>
      <c r="Q3864" s="99"/>
      <c r="R3864" s="99"/>
    </row>
    <row r="3865" spans="5:18" s="65" customFormat="1">
      <c r="E3865" s="130"/>
      <c r="P3865" s="99"/>
      <c r="Q3865" s="99"/>
      <c r="R3865" s="99"/>
    </row>
    <row r="3866" spans="5:18" s="65" customFormat="1">
      <c r="E3866" s="130"/>
      <c r="P3866" s="99"/>
      <c r="Q3866" s="99"/>
      <c r="R3866" s="99"/>
    </row>
    <row r="3867" spans="5:18" s="65" customFormat="1">
      <c r="E3867" s="130"/>
      <c r="P3867" s="99"/>
      <c r="Q3867" s="99"/>
      <c r="R3867" s="99"/>
    </row>
    <row r="3868" spans="5:18" s="65" customFormat="1">
      <c r="E3868" s="130"/>
      <c r="P3868" s="99"/>
      <c r="Q3868" s="99"/>
      <c r="R3868" s="99"/>
    </row>
    <row r="3869" spans="5:18" s="65" customFormat="1">
      <c r="E3869" s="130"/>
      <c r="P3869" s="99"/>
      <c r="Q3869" s="99"/>
      <c r="R3869" s="99"/>
    </row>
    <row r="3870" spans="5:18" s="65" customFormat="1">
      <c r="E3870" s="130"/>
      <c r="P3870" s="99"/>
      <c r="Q3870" s="99"/>
      <c r="R3870" s="99"/>
    </row>
    <row r="3871" spans="5:18" s="65" customFormat="1">
      <c r="E3871" s="130"/>
      <c r="P3871" s="99"/>
      <c r="Q3871" s="99"/>
      <c r="R3871" s="99"/>
    </row>
    <row r="3872" spans="5:18" s="65" customFormat="1">
      <c r="E3872" s="130"/>
      <c r="P3872" s="99"/>
      <c r="Q3872" s="99"/>
      <c r="R3872" s="99"/>
    </row>
    <row r="3873" spans="5:18" s="65" customFormat="1">
      <c r="E3873" s="130"/>
      <c r="P3873" s="99"/>
      <c r="Q3873" s="99"/>
      <c r="R3873" s="99"/>
    </row>
    <row r="3874" spans="5:18" s="65" customFormat="1">
      <c r="E3874" s="130"/>
      <c r="P3874" s="99"/>
      <c r="Q3874" s="99"/>
      <c r="R3874" s="99"/>
    </row>
    <row r="3875" spans="5:18" s="65" customFormat="1">
      <c r="E3875" s="130"/>
      <c r="P3875" s="99"/>
      <c r="Q3875" s="99"/>
      <c r="R3875" s="99"/>
    </row>
    <row r="3876" spans="5:18" s="65" customFormat="1">
      <c r="E3876" s="130"/>
      <c r="P3876" s="99"/>
      <c r="Q3876" s="99"/>
      <c r="R3876" s="99"/>
    </row>
    <row r="3877" spans="5:18" s="65" customFormat="1">
      <c r="E3877" s="130"/>
      <c r="P3877" s="99"/>
      <c r="Q3877" s="99"/>
      <c r="R3877" s="99"/>
    </row>
    <row r="3878" spans="5:18" s="65" customFormat="1">
      <c r="E3878" s="130"/>
      <c r="P3878" s="99"/>
      <c r="Q3878" s="99"/>
      <c r="R3878" s="99"/>
    </row>
    <row r="3879" spans="5:18" s="65" customFormat="1">
      <c r="E3879" s="130"/>
      <c r="P3879" s="99"/>
      <c r="Q3879" s="99"/>
      <c r="R3879" s="99"/>
    </row>
    <row r="3880" spans="5:18" s="65" customFormat="1">
      <c r="E3880" s="130"/>
      <c r="P3880" s="99"/>
      <c r="Q3880" s="99"/>
      <c r="R3880" s="99"/>
    </row>
    <row r="3881" spans="5:18" s="65" customFormat="1">
      <c r="E3881" s="130"/>
      <c r="P3881" s="99"/>
      <c r="Q3881" s="99"/>
      <c r="R3881" s="99"/>
    </row>
    <row r="3882" spans="5:18" s="65" customFormat="1">
      <c r="E3882" s="130"/>
      <c r="P3882" s="99"/>
      <c r="Q3882" s="99"/>
      <c r="R3882" s="99"/>
    </row>
    <row r="3883" spans="5:18" s="65" customFormat="1">
      <c r="E3883" s="130"/>
      <c r="P3883" s="99"/>
      <c r="Q3883" s="99"/>
      <c r="R3883" s="99"/>
    </row>
    <row r="3884" spans="5:18" s="65" customFormat="1">
      <c r="E3884" s="130"/>
      <c r="P3884" s="99"/>
      <c r="Q3884" s="99"/>
      <c r="R3884" s="99"/>
    </row>
    <row r="3885" spans="5:18" s="65" customFormat="1">
      <c r="E3885" s="130"/>
      <c r="P3885" s="99"/>
      <c r="Q3885" s="99"/>
      <c r="R3885" s="99"/>
    </row>
    <row r="3886" spans="5:18" s="65" customFormat="1">
      <c r="E3886" s="130"/>
      <c r="P3886" s="99"/>
      <c r="Q3886" s="99"/>
      <c r="R3886" s="99"/>
    </row>
    <row r="3887" spans="5:18" s="65" customFormat="1">
      <c r="E3887" s="130"/>
      <c r="P3887" s="99"/>
      <c r="Q3887" s="99"/>
      <c r="R3887" s="99"/>
    </row>
    <row r="3888" spans="5:18" s="65" customFormat="1">
      <c r="E3888" s="130"/>
      <c r="P3888" s="99"/>
      <c r="Q3888" s="99"/>
      <c r="R3888" s="99"/>
    </row>
    <row r="3889" spans="5:18" s="65" customFormat="1">
      <c r="E3889" s="130"/>
      <c r="P3889" s="99"/>
      <c r="Q3889" s="99"/>
      <c r="R3889" s="99"/>
    </row>
    <row r="3890" spans="5:18" s="65" customFormat="1">
      <c r="E3890" s="130"/>
      <c r="P3890" s="99"/>
      <c r="Q3890" s="99"/>
      <c r="R3890" s="99"/>
    </row>
    <row r="3891" spans="5:18" s="65" customFormat="1">
      <c r="E3891" s="130"/>
      <c r="P3891" s="99"/>
      <c r="Q3891" s="99"/>
      <c r="R3891" s="99"/>
    </row>
    <row r="3892" spans="5:18" s="65" customFormat="1">
      <c r="E3892" s="130"/>
      <c r="P3892" s="99"/>
      <c r="Q3892" s="99"/>
      <c r="R3892" s="99"/>
    </row>
    <row r="3893" spans="5:18" s="65" customFormat="1">
      <c r="E3893" s="130"/>
      <c r="P3893" s="99"/>
      <c r="Q3893" s="99"/>
      <c r="R3893" s="99"/>
    </row>
    <row r="3894" spans="5:18" s="65" customFormat="1">
      <c r="E3894" s="130"/>
      <c r="P3894" s="99"/>
      <c r="Q3894" s="99"/>
      <c r="R3894" s="99"/>
    </row>
    <row r="3895" spans="5:18" s="65" customFormat="1">
      <c r="E3895" s="130"/>
      <c r="P3895" s="99"/>
      <c r="Q3895" s="99"/>
      <c r="R3895" s="99"/>
    </row>
    <row r="3896" spans="5:18" s="65" customFormat="1">
      <c r="E3896" s="130"/>
      <c r="P3896" s="99"/>
      <c r="Q3896" s="99"/>
      <c r="R3896" s="99"/>
    </row>
    <row r="3897" spans="5:18" s="65" customFormat="1">
      <c r="E3897" s="130"/>
      <c r="P3897" s="99"/>
      <c r="Q3897" s="99"/>
      <c r="R3897" s="99"/>
    </row>
    <row r="3898" spans="5:18" s="65" customFormat="1">
      <c r="E3898" s="130"/>
      <c r="P3898" s="99"/>
      <c r="Q3898" s="99"/>
      <c r="R3898" s="99"/>
    </row>
    <row r="3899" spans="5:18" s="65" customFormat="1">
      <c r="E3899" s="130"/>
      <c r="P3899" s="99"/>
      <c r="Q3899" s="99"/>
      <c r="R3899" s="99"/>
    </row>
    <row r="3900" spans="5:18" s="65" customFormat="1">
      <c r="E3900" s="130"/>
      <c r="P3900" s="99"/>
      <c r="Q3900" s="99"/>
      <c r="R3900" s="99"/>
    </row>
    <row r="3901" spans="5:18" s="65" customFormat="1">
      <c r="E3901" s="130"/>
      <c r="P3901" s="99"/>
      <c r="Q3901" s="99"/>
      <c r="R3901" s="99"/>
    </row>
    <row r="3902" spans="5:18" s="65" customFormat="1">
      <c r="E3902" s="130"/>
      <c r="P3902" s="99"/>
      <c r="Q3902" s="99"/>
      <c r="R3902" s="99"/>
    </row>
    <row r="3903" spans="5:18" s="65" customFormat="1">
      <c r="E3903" s="130"/>
      <c r="P3903" s="99"/>
      <c r="Q3903" s="99"/>
      <c r="R3903" s="99"/>
    </row>
    <row r="3904" spans="5:18" s="65" customFormat="1">
      <c r="E3904" s="130"/>
      <c r="P3904" s="99"/>
      <c r="Q3904" s="99"/>
      <c r="R3904" s="99"/>
    </row>
    <row r="3905" spans="5:18" s="65" customFormat="1">
      <c r="E3905" s="130"/>
      <c r="P3905" s="99"/>
      <c r="Q3905" s="99"/>
      <c r="R3905" s="99"/>
    </row>
    <row r="3906" spans="5:18" s="65" customFormat="1">
      <c r="E3906" s="130"/>
      <c r="P3906" s="99"/>
      <c r="Q3906" s="99"/>
      <c r="R3906" s="99"/>
    </row>
    <row r="3907" spans="5:18" s="65" customFormat="1">
      <c r="E3907" s="130"/>
      <c r="P3907" s="99"/>
      <c r="Q3907" s="99"/>
      <c r="R3907" s="99"/>
    </row>
    <row r="3908" spans="5:18" s="65" customFormat="1">
      <c r="E3908" s="130"/>
      <c r="P3908" s="99"/>
      <c r="Q3908" s="99"/>
      <c r="R3908" s="99"/>
    </row>
    <row r="3909" spans="5:18" s="65" customFormat="1">
      <c r="E3909" s="130"/>
      <c r="P3909" s="99"/>
      <c r="Q3909" s="99"/>
      <c r="R3909" s="99"/>
    </row>
    <row r="3910" spans="5:18" s="65" customFormat="1">
      <c r="E3910" s="130"/>
      <c r="P3910" s="99"/>
      <c r="Q3910" s="99"/>
      <c r="R3910" s="99"/>
    </row>
    <row r="3911" spans="5:18" s="65" customFormat="1">
      <c r="E3911" s="130"/>
      <c r="P3911" s="99"/>
      <c r="Q3911" s="99"/>
      <c r="R3911" s="99"/>
    </row>
    <row r="3912" spans="5:18" s="65" customFormat="1">
      <c r="E3912" s="130"/>
      <c r="P3912" s="99"/>
      <c r="Q3912" s="99"/>
      <c r="R3912" s="99"/>
    </row>
    <row r="3913" spans="5:18" s="65" customFormat="1">
      <c r="E3913" s="130"/>
      <c r="P3913" s="99"/>
      <c r="Q3913" s="99"/>
      <c r="R3913" s="99"/>
    </row>
    <row r="3914" spans="5:18" s="65" customFormat="1">
      <c r="E3914" s="130"/>
      <c r="P3914" s="99"/>
      <c r="Q3914" s="99"/>
      <c r="R3914" s="99"/>
    </row>
    <row r="3915" spans="5:18" s="65" customFormat="1">
      <c r="E3915" s="130"/>
      <c r="P3915" s="99"/>
      <c r="Q3915" s="99"/>
      <c r="R3915" s="99"/>
    </row>
    <row r="3916" spans="5:18" s="65" customFormat="1">
      <c r="E3916" s="130"/>
      <c r="P3916" s="99"/>
      <c r="Q3916" s="99"/>
      <c r="R3916" s="99"/>
    </row>
    <row r="3917" spans="5:18" s="65" customFormat="1">
      <c r="E3917" s="130"/>
      <c r="P3917" s="99"/>
      <c r="Q3917" s="99"/>
      <c r="R3917" s="99"/>
    </row>
    <row r="3918" spans="5:18" s="65" customFormat="1">
      <c r="E3918" s="130"/>
      <c r="P3918" s="99"/>
      <c r="Q3918" s="99"/>
      <c r="R3918" s="99"/>
    </row>
    <row r="3919" spans="5:18" s="65" customFormat="1">
      <c r="E3919" s="130"/>
      <c r="P3919" s="99"/>
      <c r="Q3919" s="99"/>
      <c r="R3919" s="99"/>
    </row>
    <row r="3920" spans="5:18" s="65" customFormat="1">
      <c r="E3920" s="130"/>
      <c r="P3920" s="99"/>
      <c r="Q3920" s="99"/>
      <c r="R3920" s="99"/>
    </row>
    <row r="3921" spans="5:18" s="65" customFormat="1">
      <c r="E3921" s="130"/>
      <c r="P3921" s="99"/>
      <c r="Q3921" s="99"/>
      <c r="R3921" s="99"/>
    </row>
    <row r="3922" spans="5:18" s="65" customFormat="1">
      <c r="E3922" s="130"/>
      <c r="P3922" s="99"/>
      <c r="Q3922" s="99"/>
      <c r="R3922" s="99"/>
    </row>
    <row r="3923" spans="5:18" s="65" customFormat="1">
      <c r="E3923" s="130"/>
      <c r="P3923" s="99"/>
      <c r="Q3923" s="99"/>
      <c r="R3923" s="99"/>
    </row>
    <row r="3924" spans="5:18" s="65" customFormat="1">
      <c r="E3924" s="130"/>
      <c r="P3924" s="99"/>
      <c r="Q3924" s="99"/>
      <c r="R3924" s="99"/>
    </row>
    <row r="3925" spans="5:18" s="65" customFormat="1">
      <c r="E3925" s="130"/>
      <c r="P3925" s="99"/>
      <c r="Q3925" s="99"/>
      <c r="R3925" s="99"/>
    </row>
    <row r="3926" spans="5:18" s="65" customFormat="1">
      <c r="E3926" s="130"/>
      <c r="P3926" s="99"/>
      <c r="Q3926" s="99"/>
      <c r="R3926" s="99"/>
    </row>
    <row r="3927" spans="5:18" s="65" customFormat="1">
      <c r="E3927" s="130"/>
      <c r="P3927" s="99"/>
      <c r="Q3927" s="99"/>
      <c r="R3927" s="99"/>
    </row>
    <row r="3928" spans="5:18" s="65" customFormat="1">
      <c r="E3928" s="130"/>
      <c r="P3928" s="99"/>
      <c r="Q3928" s="99"/>
      <c r="R3928" s="99"/>
    </row>
    <row r="3929" spans="5:18" s="65" customFormat="1">
      <c r="E3929" s="130"/>
      <c r="P3929" s="99"/>
      <c r="Q3929" s="99"/>
      <c r="R3929" s="99"/>
    </row>
    <row r="3930" spans="5:18" s="65" customFormat="1">
      <c r="E3930" s="130"/>
      <c r="P3930" s="99"/>
      <c r="Q3930" s="99"/>
      <c r="R3930" s="99"/>
    </row>
    <row r="3931" spans="5:18" s="65" customFormat="1">
      <c r="E3931" s="130"/>
      <c r="P3931" s="99"/>
      <c r="Q3931" s="99"/>
      <c r="R3931" s="99"/>
    </row>
    <row r="3932" spans="5:18" s="65" customFormat="1">
      <c r="E3932" s="130"/>
      <c r="P3932" s="99"/>
      <c r="Q3932" s="99"/>
      <c r="R3932" s="99"/>
    </row>
    <row r="3933" spans="5:18" s="65" customFormat="1">
      <c r="E3933" s="130"/>
      <c r="P3933" s="99"/>
      <c r="Q3933" s="99"/>
      <c r="R3933" s="99"/>
    </row>
    <row r="3934" spans="5:18" s="65" customFormat="1">
      <c r="E3934" s="130"/>
      <c r="P3934" s="99"/>
      <c r="Q3934" s="99"/>
      <c r="R3934" s="99"/>
    </row>
    <row r="3935" spans="5:18" s="65" customFormat="1">
      <c r="E3935" s="130"/>
      <c r="P3935" s="99"/>
      <c r="Q3935" s="99"/>
      <c r="R3935" s="99"/>
    </row>
    <row r="3936" spans="5:18" s="65" customFormat="1">
      <c r="E3936" s="130"/>
      <c r="P3936" s="99"/>
      <c r="Q3936" s="99"/>
      <c r="R3936" s="99"/>
    </row>
    <row r="3937" spans="5:18" s="65" customFormat="1">
      <c r="E3937" s="130"/>
      <c r="P3937" s="99"/>
      <c r="Q3937" s="99"/>
      <c r="R3937" s="99"/>
    </row>
    <row r="3938" spans="5:18" s="65" customFormat="1">
      <c r="E3938" s="130"/>
      <c r="P3938" s="99"/>
      <c r="Q3938" s="99"/>
      <c r="R3938" s="99"/>
    </row>
    <row r="3939" spans="5:18" s="65" customFormat="1">
      <c r="E3939" s="130"/>
      <c r="P3939" s="99"/>
      <c r="Q3939" s="99"/>
      <c r="R3939" s="99"/>
    </row>
    <row r="3940" spans="5:18" s="65" customFormat="1">
      <c r="E3940" s="130"/>
      <c r="P3940" s="99"/>
      <c r="Q3940" s="99"/>
      <c r="R3940" s="99"/>
    </row>
    <row r="3941" spans="5:18" s="65" customFormat="1">
      <c r="E3941" s="130"/>
      <c r="P3941" s="99"/>
      <c r="Q3941" s="99"/>
      <c r="R3941" s="99"/>
    </row>
    <row r="3942" spans="5:18" s="65" customFormat="1">
      <c r="E3942" s="130"/>
      <c r="P3942" s="99"/>
      <c r="Q3942" s="99"/>
      <c r="R3942" s="99"/>
    </row>
    <row r="3943" spans="5:18" s="65" customFormat="1">
      <c r="E3943" s="130"/>
      <c r="P3943" s="99"/>
      <c r="Q3943" s="99"/>
      <c r="R3943" s="99"/>
    </row>
    <row r="3944" spans="5:18" s="65" customFormat="1">
      <c r="E3944" s="130"/>
      <c r="P3944" s="99"/>
      <c r="Q3944" s="99"/>
      <c r="R3944" s="99"/>
    </row>
    <row r="3945" spans="5:18" s="65" customFormat="1">
      <c r="E3945" s="130"/>
      <c r="P3945" s="99"/>
      <c r="Q3945" s="99"/>
      <c r="R3945" s="99"/>
    </row>
    <row r="3946" spans="5:18" s="65" customFormat="1">
      <c r="E3946" s="130"/>
      <c r="P3946" s="99"/>
      <c r="Q3946" s="99"/>
      <c r="R3946" s="99"/>
    </row>
    <row r="3947" spans="5:18" s="65" customFormat="1">
      <c r="E3947" s="130"/>
      <c r="P3947" s="99"/>
      <c r="Q3947" s="99"/>
      <c r="R3947" s="99"/>
    </row>
    <row r="3948" spans="5:18" s="65" customFormat="1">
      <c r="E3948" s="130"/>
      <c r="P3948" s="99"/>
      <c r="Q3948" s="99"/>
      <c r="R3948" s="99"/>
    </row>
    <row r="3949" spans="5:18" s="65" customFormat="1">
      <c r="E3949" s="130"/>
      <c r="P3949" s="99"/>
      <c r="Q3949" s="99"/>
      <c r="R3949" s="99"/>
    </row>
    <row r="3950" spans="5:18" s="65" customFormat="1">
      <c r="E3950" s="130"/>
      <c r="P3950" s="99"/>
      <c r="Q3950" s="99"/>
      <c r="R3950" s="99"/>
    </row>
    <row r="3951" spans="5:18" s="65" customFormat="1">
      <c r="E3951" s="130"/>
      <c r="P3951" s="99"/>
      <c r="Q3951" s="99"/>
      <c r="R3951" s="99"/>
    </row>
    <row r="3952" spans="5:18" s="65" customFormat="1">
      <c r="E3952" s="130"/>
      <c r="P3952" s="99"/>
      <c r="Q3952" s="99"/>
      <c r="R3952" s="99"/>
    </row>
    <row r="3953" spans="5:18" s="65" customFormat="1">
      <c r="E3953" s="130"/>
      <c r="P3953" s="99"/>
      <c r="Q3953" s="99"/>
      <c r="R3953" s="99"/>
    </row>
    <row r="3954" spans="5:18" s="65" customFormat="1">
      <c r="E3954" s="130"/>
      <c r="P3954" s="99"/>
      <c r="Q3954" s="99"/>
      <c r="R3954" s="99"/>
    </row>
    <row r="3955" spans="5:18" s="65" customFormat="1">
      <c r="E3955" s="130"/>
      <c r="P3955" s="99"/>
      <c r="Q3955" s="99"/>
      <c r="R3955" s="99"/>
    </row>
    <row r="3956" spans="5:18" s="65" customFormat="1">
      <c r="E3956" s="130"/>
      <c r="P3956" s="99"/>
      <c r="Q3956" s="99"/>
      <c r="R3956" s="99"/>
    </row>
    <row r="3957" spans="5:18" s="65" customFormat="1">
      <c r="E3957" s="130"/>
      <c r="P3957" s="99"/>
      <c r="Q3957" s="99"/>
      <c r="R3957" s="99"/>
    </row>
    <row r="3958" spans="5:18" s="65" customFormat="1">
      <c r="E3958" s="130"/>
      <c r="P3958" s="99"/>
      <c r="Q3958" s="99"/>
      <c r="R3958" s="99"/>
    </row>
    <row r="3959" spans="5:18" s="65" customFormat="1">
      <c r="E3959" s="130"/>
      <c r="P3959" s="99"/>
      <c r="Q3959" s="99"/>
      <c r="R3959" s="99"/>
    </row>
    <row r="3960" spans="5:18" s="65" customFormat="1">
      <c r="E3960" s="130"/>
      <c r="P3960" s="99"/>
      <c r="Q3960" s="99"/>
      <c r="R3960" s="99"/>
    </row>
    <row r="3961" spans="5:18" s="65" customFormat="1">
      <c r="E3961" s="130"/>
      <c r="P3961" s="99"/>
      <c r="Q3961" s="99"/>
      <c r="R3961" s="99"/>
    </row>
    <row r="3962" spans="5:18" s="65" customFormat="1">
      <c r="E3962" s="130"/>
      <c r="P3962" s="99"/>
      <c r="Q3962" s="99"/>
      <c r="R3962" s="99"/>
    </row>
    <row r="3963" spans="5:18" s="65" customFormat="1">
      <c r="E3963" s="130"/>
      <c r="P3963" s="99"/>
      <c r="Q3963" s="99"/>
      <c r="R3963" s="99"/>
    </row>
    <row r="3964" spans="5:18" s="65" customFormat="1">
      <c r="E3964" s="130"/>
      <c r="P3964" s="99"/>
      <c r="Q3964" s="99"/>
      <c r="R3964" s="99"/>
    </row>
    <row r="3965" spans="5:18" s="65" customFormat="1">
      <c r="E3965" s="130"/>
      <c r="P3965" s="99"/>
      <c r="Q3965" s="99"/>
      <c r="R3965" s="99"/>
    </row>
    <row r="3966" spans="5:18" s="65" customFormat="1">
      <c r="E3966" s="130"/>
      <c r="P3966" s="99"/>
      <c r="Q3966" s="99"/>
      <c r="R3966" s="99"/>
    </row>
    <row r="3967" spans="5:18" s="65" customFormat="1">
      <c r="E3967" s="130"/>
      <c r="P3967" s="99"/>
      <c r="Q3967" s="99"/>
      <c r="R3967" s="99"/>
    </row>
    <row r="3968" spans="5:18" s="65" customFormat="1">
      <c r="E3968" s="130"/>
      <c r="P3968" s="99"/>
      <c r="Q3968" s="99"/>
      <c r="R3968" s="99"/>
    </row>
    <row r="3969" spans="5:18" s="65" customFormat="1">
      <c r="E3969" s="130"/>
      <c r="P3969" s="99"/>
      <c r="Q3969" s="99"/>
      <c r="R3969" s="99"/>
    </row>
    <row r="3970" spans="5:18" s="65" customFormat="1">
      <c r="E3970" s="130"/>
      <c r="P3970" s="99"/>
      <c r="Q3970" s="99"/>
      <c r="R3970" s="99"/>
    </row>
    <row r="3971" spans="5:18" s="65" customFormat="1">
      <c r="E3971" s="130"/>
      <c r="P3971" s="99"/>
      <c r="Q3971" s="99"/>
      <c r="R3971" s="99"/>
    </row>
    <row r="3972" spans="5:18" s="65" customFormat="1">
      <c r="E3972" s="130"/>
      <c r="P3972" s="99"/>
      <c r="Q3972" s="99"/>
      <c r="R3972" s="99"/>
    </row>
    <row r="3973" spans="5:18" s="65" customFormat="1">
      <c r="E3973" s="130"/>
      <c r="P3973" s="99"/>
      <c r="Q3973" s="99"/>
      <c r="R3973" s="99"/>
    </row>
    <row r="3974" spans="5:18" s="65" customFormat="1">
      <c r="E3974" s="130"/>
      <c r="P3974" s="99"/>
      <c r="Q3974" s="99"/>
      <c r="R3974" s="99"/>
    </row>
    <row r="3975" spans="5:18" s="65" customFormat="1">
      <c r="E3975" s="130"/>
      <c r="P3975" s="99"/>
      <c r="Q3975" s="99"/>
      <c r="R3975" s="99"/>
    </row>
    <row r="3976" spans="5:18" s="65" customFormat="1">
      <c r="E3976" s="130"/>
      <c r="P3976" s="99"/>
      <c r="Q3976" s="99"/>
      <c r="R3976" s="99"/>
    </row>
    <row r="3977" spans="5:18" s="65" customFormat="1">
      <c r="E3977" s="130"/>
      <c r="P3977" s="99"/>
      <c r="Q3977" s="99"/>
      <c r="R3977" s="99"/>
    </row>
    <row r="3978" spans="5:18" s="65" customFormat="1">
      <c r="E3978" s="130"/>
      <c r="P3978" s="99"/>
      <c r="Q3978" s="99"/>
      <c r="R3978" s="99"/>
    </row>
    <row r="3979" spans="5:18" s="65" customFormat="1">
      <c r="E3979" s="130"/>
      <c r="P3979" s="99"/>
      <c r="Q3979" s="99"/>
      <c r="R3979" s="99"/>
    </row>
    <row r="3980" spans="5:18" s="65" customFormat="1">
      <c r="E3980" s="130"/>
      <c r="P3980" s="99"/>
      <c r="Q3980" s="99"/>
      <c r="R3980" s="99"/>
    </row>
    <row r="3981" spans="5:18" s="65" customFormat="1">
      <c r="E3981" s="130"/>
      <c r="P3981" s="99"/>
      <c r="Q3981" s="99"/>
      <c r="R3981" s="99"/>
    </row>
    <row r="3982" spans="5:18" s="65" customFormat="1">
      <c r="E3982" s="130"/>
      <c r="P3982" s="99"/>
      <c r="Q3982" s="99"/>
      <c r="R3982" s="99"/>
    </row>
    <row r="3983" spans="5:18" s="65" customFormat="1">
      <c r="E3983" s="130"/>
      <c r="P3983" s="99"/>
      <c r="Q3983" s="99"/>
      <c r="R3983" s="99"/>
    </row>
    <row r="3984" spans="5:18" s="65" customFormat="1">
      <c r="E3984" s="130"/>
      <c r="P3984" s="99"/>
      <c r="Q3984" s="99"/>
      <c r="R3984" s="99"/>
    </row>
    <row r="3985" spans="5:18" s="65" customFormat="1">
      <c r="E3985" s="130"/>
      <c r="P3985" s="99"/>
      <c r="Q3985" s="99"/>
      <c r="R3985" s="99"/>
    </row>
    <row r="3986" spans="5:18" s="65" customFormat="1">
      <c r="E3986" s="130"/>
      <c r="P3986" s="99"/>
      <c r="Q3986" s="99"/>
      <c r="R3986" s="99"/>
    </row>
    <row r="3987" spans="5:18" s="65" customFormat="1">
      <c r="E3987" s="130"/>
      <c r="P3987" s="99"/>
      <c r="Q3987" s="99"/>
      <c r="R3987" s="99"/>
    </row>
    <row r="3988" spans="5:18" s="65" customFormat="1">
      <c r="E3988" s="130"/>
      <c r="P3988" s="99"/>
      <c r="Q3988" s="99"/>
      <c r="R3988" s="99"/>
    </row>
    <row r="3989" spans="5:18" s="65" customFormat="1">
      <c r="E3989" s="130"/>
      <c r="P3989" s="99"/>
      <c r="Q3989" s="99"/>
      <c r="R3989" s="99"/>
    </row>
    <row r="3990" spans="5:18" s="65" customFormat="1">
      <c r="E3990" s="130"/>
      <c r="P3990" s="99"/>
      <c r="Q3990" s="99"/>
      <c r="R3990" s="99"/>
    </row>
    <row r="3991" spans="5:18" s="65" customFormat="1">
      <c r="E3991" s="130"/>
      <c r="P3991" s="99"/>
      <c r="Q3991" s="99"/>
      <c r="R3991" s="99"/>
    </row>
    <row r="3992" spans="5:18" s="65" customFormat="1">
      <c r="E3992" s="130"/>
      <c r="P3992" s="99"/>
      <c r="Q3992" s="99"/>
      <c r="R3992" s="99"/>
    </row>
    <row r="3993" spans="5:18" s="65" customFormat="1">
      <c r="E3993" s="130"/>
      <c r="P3993" s="99"/>
      <c r="Q3993" s="99"/>
      <c r="R3993" s="99"/>
    </row>
    <row r="3994" spans="5:18" s="65" customFormat="1">
      <c r="E3994" s="130"/>
      <c r="P3994" s="99"/>
      <c r="Q3994" s="99"/>
      <c r="R3994" s="99"/>
    </row>
    <row r="3995" spans="5:18" s="65" customFormat="1">
      <c r="E3995" s="130"/>
      <c r="P3995" s="99"/>
      <c r="Q3995" s="99"/>
      <c r="R3995" s="99"/>
    </row>
    <row r="3996" spans="5:18" s="65" customFormat="1">
      <c r="E3996" s="130"/>
      <c r="P3996" s="99"/>
      <c r="Q3996" s="99"/>
      <c r="R3996" s="99"/>
    </row>
    <row r="3997" spans="5:18" s="65" customFormat="1">
      <c r="E3997" s="130"/>
      <c r="P3997" s="99"/>
      <c r="Q3997" s="99"/>
      <c r="R3997" s="99"/>
    </row>
    <row r="3998" spans="5:18" s="65" customFormat="1">
      <c r="E3998" s="130"/>
      <c r="P3998" s="99"/>
      <c r="Q3998" s="99"/>
      <c r="R3998" s="99"/>
    </row>
    <row r="3999" spans="5:18" s="65" customFormat="1">
      <c r="E3999" s="130"/>
      <c r="P3999" s="99"/>
      <c r="Q3999" s="99"/>
      <c r="R3999" s="99"/>
    </row>
    <row r="4000" spans="5:18" s="65" customFormat="1">
      <c r="E4000" s="130"/>
      <c r="P4000" s="99"/>
      <c r="Q4000" s="99"/>
      <c r="R4000" s="99"/>
    </row>
    <row r="4001" spans="5:18" s="65" customFormat="1">
      <c r="E4001" s="130"/>
      <c r="P4001" s="99"/>
      <c r="Q4001" s="99"/>
      <c r="R4001" s="99"/>
    </row>
    <row r="4002" spans="5:18" s="65" customFormat="1">
      <c r="E4002" s="130"/>
      <c r="P4002" s="99"/>
      <c r="Q4002" s="99"/>
      <c r="R4002" s="99"/>
    </row>
    <row r="4003" spans="5:18" s="65" customFormat="1">
      <c r="E4003" s="130"/>
      <c r="P4003" s="99"/>
      <c r="Q4003" s="99"/>
      <c r="R4003" s="99"/>
    </row>
    <row r="4004" spans="5:18" s="65" customFormat="1">
      <c r="E4004" s="130"/>
      <c r="P4004" s="99"/>
      <c r="Q4004" s="99"/>
      <c r="R4004" s="99"/>
    </row>
    <row r="4005" spans="5:18" s="65" customFormat="1">
      <c r="E4005" s="130"/>
      <c r="P4005" s="99"/>
      <c r="Q4005" s="99"/>
      <c r="R4005" s="99"/>
    </row>
    <row r="4006" spans="5:18" s="65" customFormat="1">
      <c r="E4006" s="130"/>
      <c r="P4006" s="99"/>
      <c r="Q4006" s="99"/>
      <c r="R4006" s="99"/>
    </row>
    <row r="4007" spans="5:18" s="65" customFormat="1">
      <c r="E4007" s="130"/>
      <c r="P4007" s="99"/>
      <c r="Q4007" s="99"/>
      <c r="R4007" s="99"/>
    </row>
    <row r="4008" spans="5:18" s="65" customFormat="1">
      <c r="E4008" s="130"/>
      <c r="P4008" s="99"/>
      <c r="Q4008" s="99"/>
      <c r="R4008" s="99"/>
    </row>
    <row r="4009" spans="5:18" s="65" customFormat="1">
      <c r="E4009" s="130"/>
      <c r="P4009" s="99"/>
      <c r="Q4009" s="99"/>
      <c r="R4009" s="99"/>
    </row>
    <row r="4010" spans="5:18" s="65" customFormat="1">
      <c r="E4010" s="130"/>
      <c r="P4010" s="99"/>
      <c r="Q4010" s="99"/>
      <c r="R4010" s="99"/>
    </row>
    <row r="4011" spans="5:18" s="65" customFormat="1">
      <c r="E4011" s="130"/>
      <c r="P4011" s="99"/>
      <c r="Q4011" s="99"/>
      <c r="R4011" s="99"/>
    </row>
    <row r="4012" spans="5:18" s="65" customFormat="1">
      <c r="E4012" s="130"/>
      <c r="P4012" s="99"/>
      <c r="Q4012" s="99"/>
      <c r="R4012" s="99"/>
    </row>
    <row r="4013" spans="5:18" s="65" customFormat="1">
      <c r="E4013" s="130"/>
      <c r="P4013" s="99"/>
      <c r="Q4013" s="99"/>
      <c r="R4013" s="99"/>
    </row>
    <row r="4014" spans="5:18" s="65" customFormat="1">
      <c r="E4014" s="130"/>
      <c r="P4014" s="99"/>
      <c r="Q4014" s="99"/>
      <c r="R4014" s="99"/>
    </row>
    <row r="4015" spans="5:18" s="65" customFormat="1">
      <c r="E4015" s="130"/>
      <c r="P4015" s="99"/>
      <c r="Q4015" s="99"/>
      <c r="R4015" s="99"/>
    </row>
    <row r="4016" spans="5:18" s="65" customFormat="1">
      <c r="E4016" s="130"/>
      <c r="P4016" s="99"/>
      <c r="Q4016" s="99"/>
      <c r="R4016" s="99"/>
    </row>
    <row r="4017" spans="5:18" s="65" customFormat="1">
      <c r="E4017" s="130"/>
      <c r="P4017" s="99"/>
      <c r="Q4017" s="99"/>
      <c r="R4017" s="99"/>
    </row>
    <row r="4018" spans="5:18" s="65" customFormat="1">
      <c r="E4018" s="130"/>
      <c r="P4018" s="99"/>
      <c r="Q4018" s="99"/>
      <c r="R4018" s="99"/>
    </row>
    <row r="4019" spans="5:18" s="65" customFormat="1">
      <c r="E4019" s="130"/>
      <c r="P4019" s="99"/>
      <c r="Q4019" s="99"/>
      <c r="R4019" s="99"/>
    </row>
    <row r="4020" spans="5:18" s="65" customFormat="1">
      <c r="E4020" s="130"/>
      <c r="P4020" s="99"/>
      <c r="Q4020" s="99"/>
      <c r="R4020" s="99"/>
    </row>
    <row r="4021" spans="5:18" s="65" customFormat="1">
      <c r="E4021" s="130"/>
      <c r="P4021" s="99"/>
      <c r="Q4021" s="99"/>
      <c r="R4021" s="99"/>
    </row>
    <row r="4022" spans="5:18" s="65" customFormat="1">
      <c r="E4022" s="130"/>
      <c r="P4022" s="99"/>
      <c r="Q4022" s="99"/>
      <c r="R4022" s="99"/>
    </row>
    <row r="4023" spans="5:18" s="65" customFormat="1">
      <c r="E4023" s="130"/>
      <c r="P4023" s="99"/>
      <c r="Q4023" s="99"/>
      <c r="R4023" s="99"/>
    </row>
    <row r="4024" spans="5:18" s="65" customFormat="1">
      <c r="E4024" s="130"/>
      <c r="P4024" s="99"/>
      <c r="Q4024" s="99"/>
      <c r="R4024" s="99"/>
    </row>
    <row r="4025" spans="5:18" s="65" customFormat="1">
      <c r="E4025" s="130"/>
      <c r="P4025" s="99"/>
      <c r="Q4025" s="99"/>
      <c r="R4025" s="99"/>
    </row>
    <row r="4026" spans="5:18" s="65" customFormat="1">
      <c r="E4026" s="130"/>
      <c r="P4026" s="99"/>
      <c r="Q4026" s="99"/>
      <c r="R4026" s="99"/>
    </row>
    <row r="4027" spans="5:18" s="65" customFormat="1">
      <c r="E4027" s="130"/>
      <c r="P4027" s="99"/>
      <c r="Q4027" s="99"/>
      <c r="R4027" s="99"/>
    </row>
    <row r="4028" spans="5:18" s="65" customFormat="1">
      <c r="E4028" s="130"/>
      <c r="P4028" s="99"/>
      <c r="Q4028" s="99"/>
      <c r="R4028" s="99"/>
    </row>
    <row r="4029" spans="5:18" s="65" customFormat="1">
      <c r="E4029" s="130"/>
      <c r="P4029" s="99"/>
      <c r="Q4029" s="99"/>
      <c r="R4029" s="99"/>
    </row>
    <row r="4030" spans="5:18" s="65" customFormat="1">
      <c r="E4030" s="130"/>
      <c r="P4030" s="99"/>
      <c r="Q4030" s="99"/>
      <c r="R4030" s="99"/>
    </row>
    <row r="4031" spans="5:18" s="65" customFormat="1">
      <c r="E4031" s="130"/>
      <c r="P4031" s="99"/>
      <c r="Q4031" s="99"/>
      <c r="R4031" s="99"/>
    </row>
    <row r="4032" spans="5:18" s="65" customFormat="1">
      <c r="E4032" s="130"/>
      <c r="P4032" s="99"/>
      <c r="Q4032" s="99"/>
      <c r="R4032" s="99"/>
    </row>
    <row r="4033" spans="5:18" s="65" customFormat="1">
      <c r="E4033" s="130"/>
      <c r="P4033" s="99"/>
      <c r="Q4033" s="99"/>
      <c r="R4033" s="99"/>
    </row>
    <row r="4034" spans="5:18" s="65" customFormat="1">
      <c r="E4034" s="130"/>
      <c r="P4034" s="99"/>
      <c r="Q4034" s="99"/>
      <c r="R4034" s="99"/>
    </row>
    <row r="4035" spans="5:18" s="65" customFormat="1">
      <c r="E4035" s="130"/>
      <c r="P4035" s="99"/>
      <c r="Q4035" s="99"/>
      <c r="R4035" s="99"/>
    </row>
    <row r="4036" spans="5:18" s="65" customFormat="1">
      <c r="E4036" s="130"/>
      <c r="P4036" s="99"/>
      <c r="Q4036" s="99"/>
      <c r="R4036" s="99"/>
    </row>
    <row r="4037" spans="5:18" s="65" customFormat="1">
      <c r="E4037" s="130"/>
      <c r="P4037" s="99"/>
      <c r="Q4037" s="99"/>
      <c r="R4037" s="99"/>
    </row>
    <row r="4038" spans="5:18" s="65" customFormat="1">
      <c r="E4038" s="130"/>
      <c r="P4038" s="99"/>
      <c r="Q4038" s="99"/>
      <c r="R4038" s="99"/>
    </row>
    <row r="4039" spans="5:18" s="65" customFormat="1">
      <c r="E4039" s="130"/>
      <c r="P4039" s="99"/>
      <c r="Q4039" s="99"/>
      <c r="R4039" s="99"/>
    </row>
    <row r="4040" spans="5:18" s="65" customFormat="1">
      <c r="E4040" s="130"/>
      <c r="P4040" s="99"/>
      <c r="Q4040" s="99"/>
      <c r="R4040" s="99"/>
    </row>
    <row r="4041" spans="5:18" s="65" customFormat="1">
      <c r="E4041" s="130"/>
      <c r="P4041" s="99"/>
      <c r="Q4041" s="99"/>
      <c r="R4041" s="99"/>
    </row>
    <row r="4042" spans="5:18" s="65" customFormat="1">
      <c r="E4042" s="130"/>
      <c r="P4042" s="99"/>
      <c r="Q4042" s="99"/>
      <c r="R4042" s="99"/>
    </row>
    <row r="4043" spans="5:18" s="65" customFormat="1">
      <c r="E4043" s="130"/>
      <c r="P4043" s="99"/>
      <c r="Q4043" s="99"/>
      <c r="R4043" s="99"/>
    </row>
    <row r="4044" spans="5:18" s="65" customFormat="1">
      <c r="E4044" s="130"/>
      <c r="P4044" s="99"/>
      <c r="Q4044" s="99"/>
      <c r="R4044" s="99"/>
    </row>
    <row r="4045" spans="5:18" s="65" customFormat="1">
      <c r="E4045" s="130"/>
      <c r="P4045" s="99"/>
      <c r="Q4045" s="99"/>
      <c r="R4045" s="99"/>
    </row>
    <row r="4046" spans="5:18" s="65" customFormat="1">
      <c r="E4046" s="130"/>
      <c r="P4046" s="99"/>
      <c r="Q4046" s="99"/>
      <c r="R4046" s="99"/>
    </row>
    <row r="4047" spans="5:18" s="65" customFormat="1">
      <c r="E4047" s="130"/>
      <c r="P4047" s="99"/>
      <c r="Q4047" s="99"/>
      <c r="R4047" s="99"/>
    </row>
    <row r="4048" spans="5:18" s="65" customFormat="1">
      <c r="E4048" s="130"/>
      <c r="P4048" s="99"/>
      <c r="Q4048" s="99"/>
      <c r="R4048" s="99"/>
    </row>
    <row r="4049" spans="5:18" s="65" customFormat="1">
      <c r="E4049" s="130"/>
      <c r="P4049" s="99"/>
      <c r="Q4049" s="99"/>
      <c r="R4049" s="99"/>
    </row>
    <row r="4050" spans="5:18" s="65" customFormat="1">
      <c r="E4050" s="130"/>
      <c r="P4050" s="99"/>
      <c r="Q4050" s="99"/>
      <c r="R4050" s="99"/>
    </row>
    <row r="4051" spans="5:18" s="65" customFormat="1">
      <c r="E4051" s="130"/>
      <c r="P4051" s="99"/>
      <c r="Q4051" s="99"/>
      <c r="R4051" s="99"/>
    </row>
    <row r="4052" spans="5:18" s="65" customFormat="1">
      <c r="E4052" s="130"/>
      <c r="P4052" s="99"/>
      <c r="Q4052" s="99"/>
      <c r="R4052" s="99"/>
    </row>
    <row r="4053" spans="5:18" s="65" customFormat="1">
      <c r="E4053" s="130"/>
      <c r="P4053" s="99"/>
      <c r="Q4053" s="99"/>
      <c r="R4053" s="99"/>
    </row>
    <row r="4054" spans="5:18" s="65" customFormat="1">
      <c r="E4054" s="130"/>
      <c r="P4054" s="99"/>
      <c r="Q4054" s="99"/>
      <c r="R4054" s="99"/>
    </row>
    <row r="4055" spans="5:18" s="65" customFormat="1">
      <c r="E4055" s="130"/>
      <c r="P4055" s="99"/>
      <c r="Q4055" s="99"/>
      <c r="R4055" s="99"/>
    </row>
    <row r="4056" spans="5:18" s="65" customFormat="1">
      <c r="E4056" s="130"/>
      <c r="P4056" s="99"/>
      <c r="Q4056" s="99"/>
      <c r="R4056" s="99"/>
    </row>
    <row r="4057" spans="5:18" s="65" customFormat="1">
      <c r="E4057" s="130"/>
      <c r="P4057" s="99"/>
      <c r="Q4057" s="99"/>
      <c r="R4057" s="99"/>
    </row>
    <row r="4058" spans="5:18" s="65" customFormat="1">
      <c r="E4058" s="130"/>
      <c r="P4058" s="99"/>
      <c r="Q4058" s="99"/>
      <c r="R4058" s="99"/>
    </row>
    <row r="4059" spans="5:18" s="65" customFormat="1">
      <c r="E4059" s="130"/>
      <c r="P4059" s="99"/>
      <c r="Q4059" s="99"/>
      <c r="R4059" s="99"/>
    </row>
    <row r="4060" spans="5:18" s="65" customFormat="1">
      <c r="E4060" s="130"/>
      <c r="P4060" s="99"/>
      <c r="Q4060" s="99"/>
      <c r="R4060" s="99"/>
    </row>
    <row r="4061" spans="5:18" s="65" customFormat="1">
      <c r="E4061" s="130"/>
      <c r="P4061" s="99"/>
      <c r="Q4061" s="99"/>
      <c r="R4061" s="99"/>
    </row>
    <row r="4062" spans="5:18" s="65" customFormat="1">
      <c r="E4062" s="130"/>
      <c r="P4062" s="99"/>
      <c r="Q4062" s="99"/>
      <c r="R4062" s="99"/>
    </row>
    <row r="4063" spans="5:18" s="65" customFormat="1">
      <c r="E4063" s="130"/>
      <c r="P4063" s="99"/>
      <c r="Q4063" s="99"/>
      <c r="R4063" s="99"/>
    </row>
    <row r="4064" spans="5:18" s="65" customFormat="1">
      <c r="E4064" s="130"/>
      <c r="P4064" s="99"/>
      <c r="Q4064" s="99"/>
      <c r="R4064" s="99"/>
    </row>
    <row r="4065" spans="5:18" s="65" customFormat="1">
      <c r="E4065" s="130"/>
      <c r="P4065" s="99"/>
      <c r="Q4065" s="99"/>
      <c r="R4065" s="99"/>
    </row>
    <row r="4066" spans="5:18" s="65" customFormat="1">
      <c r="E4066" s="130"/>
      <c r="P4066" s="99"/>
      <c r="Q4066" s="99"/>
      <c r="R4066" s="99"/>
    </row>
    <row r="4067" spans="5:18" s="65" customFormat="1">
      <c r="E4067" s="130"/>
      <c r="P4067" s="99"/>
      <c r="Q4067" s="99"/>
      <c r="R4067" s="99"/>
    </row>
    <row r="4068" spans="5:18" s="65" customFormat="1">
      <c r="E4068" s="130"/>
      <c r="P4068" s="99"/>
      <c r="Q4068" s="99"/>
      <c r="R4068" s="99"/>
    </row>
    <row r="4069" spans="5:18" s="65" customFormat="1">
      <c r="E4069" s="130"/>
      <c r="P4069" s="99"/>
      <c r="Q4069" s="99"/>
      <c r="R4069" s="99"/>
    </row>
    <row r="4070" spans="5:18" s="65" customFormat="1">
      <c r="E4070" s="130"/>
      <c r="P4070" s="99"/>
      <c r="Q4070" s="99"/>
      <c r="R4070" s="99"/>
    </row>
    <row r="4071" spans="5:18" s="65" customFormat="1">
      <c r="E4071" s="130"/>
      <c r="P4071" s="99"/>
      <c r="Q4071" s="99"/>
      <c r="R4071" s="99"/>
    </row>
    <row r="4072" spans="5:18" s="65" customFormat="1">
      <c r="E4072" s="130"/>
      <c r="P4072" s="99"/>
      <c r="Q4072" s="99"/>
      <c r="R4072" s="99"/>
    </row>
    <row r="4073" spans="5:18" s="65" customFormat="1">
      <c r="E4073" s="130"/>
      <c r="P4073" s="99"/>
      <c r="Q4073" s="99"/>
      <c r="R4073" s="99"/>
    </row>
    <row r="4074" spans="5:18" s="65" customFormat="1">
      <c r="E4074" s="130"/>
      <c r="P4074" s="99"/>
      <c r="Q4074" s="99"/>
      <c r="R4074" s="99"/>
    </row>
    <row r="4075" spans="5:18" s="65" customFormat="1">
      <c r="E4075" s="130"/>
      <c r="P4075" s="99"/>
      <c r="Q4075" s="99"/>
      <c r="R4075" s="99"/>
    </row>
    <row r="4076" spans="5:18" s="65" customFormat="1">
      <c r="E4076" s="130"/>
      <c r="P4076" s="99"/>
      <c r="Q4076" s="99"/>
      <c r="R4076" s="99"/>
    </row>
    <row r="4077" spans="5:18" s="65" customFormat="1">
      <c r="E4077" s="130"/>
      <c r="P4077" s="99"/>
      <c r="Q4077" s="99"/>
      <c r="R4077" s="99"/>
    </row>
    <row r="4078" spans="5:18" s="65" customFormat="1">
      <c r="E4078" s="130"/>
      <c r="P4078" s="99"/>
      <c r="Q4078" s="99"/>
      <c r="R4078" s="99"/>
    </row>
    <row r="4079" spans="5:18" s="65" customFormat="1">
      <c r="E4079" s="130"/>
      <c r="P4079" s="99"/>
      <c r="Q4079" s="99"/>
      <c r="R4079" s="99"/>
    </row>
    <row r="4080" spans="5:18" s="65" customFormat="1">
      <c r="E4080" s="130"/>
      <c r="P4080" s="99"/>
      <c r="Q4080" s="99"/>
      <c r="R4080" s="99"/>
    </row>
    <row r="4081" spans="5:18" s="65" customFormat="1">
      <c r="E4081" s="130"/>
      <c r="P4081" s="99"/>
      <c r="Q4081" s="99"/>
      <c r="R4081" s="99"/>
    </row>
    <row r="4082" spans="5:18" s="65" customFormat="1">
      <c r="E4082" s="130"/>
      <c r="P4082" s="99"/>
      <c r="Q4082" s="99"/>
      <c r="R4082" s="99"/>
    </row>
    <row r="4083" spans="5:18" s="65" customFormat="1">
      <c r="E4083" s="130"/>
      <c r="P4083" s="99"/>
      <c r="Q4083" s="99"/>
      <c r="R4083" s="99"/>
    </row>
    <row r="4084" spans="5:18" s="65" customFormat="1">
      <c r="E4084" s="130"/>
      <c r="P4084" s="99"/>
      <c r="Q4084" s="99"/>
      <c r="R4084" s="99"/>
    </row>
    <row r="4085" spans="5:18" s="65" customFormat="1">
      <c r="E4085" s="130"/>
      <c r="P4085" s="99"/>
      <c r="Q4085" s="99"/>
      <c r="R4085" s="99"/>
    </row>
    <row r="4086" spans="5:18" s="65" customFormat="1">
      <c r="E4086" s="130"/>
      <c r="P4086" s="99"/>
      <c r="Q4086" s="99"/>
      <c r="R4086" s="99"/>
    </row>
    <row r="4087" spans="5:18" s="65" customFormat="1">
      <c r="E4087" s="130"/>
      <c r="P4087" s="99"/>
      <c r="Q4087" s="99"/>
      <c r="R4087" s="99"/>
    </row>
    <row r="4088" spans="5:18" s="65" customFormat="1">
      <c r="E4088" s="130"/>
      <c r="P4088" s="99"/>
      <c r="Q4088" s="99"/>
      <c r="R4088" s="99"/>
    </row>
    <row r="4089" spans="5:18" s="65" customFormat="1">
      <c r="E4089" s="130"/>
      <c r="P4089" s="99"/>
      <c r="Q4089" s="99"/>
      <c r="R4089" s="99"/>
    </row>
    <row r="4090" spans="5:18" s="65" customFormat="1">
      <c r="E4090" s="130"/>
      <c r="P4090" s="99"/>
      <c r="Q4090" s="99"/>
      <c r="R4090" s="99"/>
    </row>
    <row r="4091" spans="5:18" s="65" customFormat="1">
      <c r="E4091" s="130"/>
      <c r="P4091" s="99"/>
      <c r="Q4091" s="99"/>
      <c r="R4091" s="99"/>
    </row>
    <row r="4092" spans="5:18" s="65" customFormat="1">
      <c r="E4092" s="130"/>
      <c r="P4092" s="99"/>
      <c r="Q4092" s="99"/>
      <c r="R4092" s="99"/>
    </row>
    <row r="4093" spans="5:18" s="65" customFormat="1">
      <c r="E4093" s="130"/>
      <c r="P4093" s="99"/>
      <c r="Q4093" s="99"/>
      <c r="R4093" s="99"/>
    </row>
    <row r="4094" spans="5:18" s="65" customFormat="1">
      <c r="E4094" s="130"/>
      <c r="P4094" s="99"/>
      <c r="Q4094" s="99"/>
      <c r="R4094" s="99"/>
    </row>
    <row r="4095" spans="5:18" s="65" customFormat="1">
      <c r="E4095" s="130"/>
      <c r="P4095" s="99"/>
      <c r="Q4095" s="99"/>
      <c r="R4095" s="99"/>
    </row>
    <row r="4096" spans="5:18" s="65" customFormat="1">
      <c r="E4096" s="130"/>
      <c r="P4096" s="99"/>
      <c r="Q4096" s="99"/>
      <c r="R4096" s="99"/>
    </row>
    <row r="4097" spans="5:18" s="65" customFormat="1">
      <c r="E4097" s="130"/>
      <c r="P4097" s="99"/>
      <c r="Q4097" s="99"/>
      <c r="R4097" s="99"/>
    </row>
    <row r="4098" spans="5:18" s="65" customFormat="1">
      <c r="E4098" s="130"/>
      <c r="P4098" s="99"/>
      <c r="Q4098" s="99"/>
      <c r="R4098" s="99"/>
    </row>
    <row r="4099" spans="5:18" s="65" customFormat="1">
      <c r="E4099" s="130"/>
      <c r="P4099" s="99"/>
      <c r="Q4099" s="99"/>
      <c r="R4099" s="99"/>
    </row>
    <row r="4100" spans="5:18" s="65" customFormat="1">
      <c r="E4100" s="130"/>
      <c r="P4100" s="99"/>
      <c r="Q4100" s="99"/>
      <c r="R4100" s="99"/>
    </row>
    <row r="4101" spans="5:18" s="65" customFormat="1">
      <c r="E4101" s="130"/>
      <c r="P4101" s="99"/>
      <c r="Q4101" s="99"/>
      <c r="R4101" s="99"/>
    </row>
    <row r="4102" spans="5:18" s="65" customFormat="1">
      <c r="E4102" s="130"/>
      <c r="P4102" s="99"/>
      <c r="Q4102" s="99"/>
      <c r="R4102" s="99"/>
    </row>
    <row r="4103" spans="5:18" s="65" customFormat="1">
      <c r="E4103" s="130"/>
      <c r="P4103" s="99"/>
      <c r="Q4103" s="99"/>
      <c r="R4103" s="99"/>
    </row>
    <row r="4104" spans="5:18" s="65" customFormat="1">
      <c r="E4104" s="130"/>
      <c r="P4104" s="99"/>
      <c r="Q4104" s="99"/>
      <c r="R4104" s="99"/>
    </row>
    <row r="4105" spans="5:18" s="65" customFormat="1">
      <c r="E4105" s="130"/>
      <c r="P4105" s="99"/>
      <c r="Q4105" s="99"/>
      <c r="R4105" s="99"/>
    </row>
    <row r="4106" spans="5:18" s="65" customFormat="1">
      <c r="E4106" s="130"/>
      <c r="P4106" s="99"/>
      <c r="Q4106" s="99"/>
      <c r="R4106" s="99"/>
    </row>
    <row r="4107" spans="5:18" s="65" customFormat="1">
      <c r="E4107" s="130"/>
      <c r="P4107" s="99"/>
      <c r="Q4107" s="99"/>
      <c r="R4107" s="99"/>
    </row>
    <row r="4108" spans="5:18" s="65" customFormat="1">
      <c r="E4108" s="130"/>
      <c r="P4108" s="99"/>
      <c r="Q4108" s="99"/>
      <c r="R4108" s="99"/>
    </row>
    <row r="4109" spans="5:18" s="65" customFormat="1">
      <c r="E4109" s="130"/>
      <c r="P4109" s="99"/>
      <c r="Q4109" s="99"/>
      <c r="R4109" s="99"/>
    </row>
    <row r="4110" spans="5:18" s="65" customFormat="1">
      <c r="E4110" s="130"/>
      <c r="P4110" s="99"/>
      <c r="Q4110" s="99"/>
      <c r="R4110" s="99"/>
    </row>
    <row r="4111" spans="5:18" s="65" customFormat="1">
      <c r="E4111" s="130"/>
      <c r="P4111" s="99"/>
      <c r="Q4111" s="99"/>
      <c r="R4111" s="99"/>
    </row>
    <row r="4112" spans="5:18" s="65" customFormat="1">
      <c r="E4112" s="130"/>
      <c r="P4112" s="99"/>
      <c r="Q4112" s="99"/>
      <c r="R4112" s="99"/>
    </row>
    <row r="4113" spans="5:18" s="65" customFormat="1">
      <c r="E4113" s="130"/>
      <c r="P4113" s="99"/>
      <c r="Q4113" s="99"/>
      <c r="R4113" s="99"/>
    </row>
    <row r="4114" spans="5:18" s="65" customFormat="1">
      <c r="E4114" s="130"/>
      <c r="P4114" s="99"/>
      <c r="Q4114" s="99"/>
      <c r="R4114" s="99"/>
    </row>
    <row r="4115" spans="5:18" s="65" customFormat="1">
      <c r="E4115" s="130"/>
      <c r="P4115" s="99"/>
      <c r="Q4115" s="99"/>
      <c r="R4115" s="99"/>
    </row>
    <row r="4116" spans="5:18" s="65" customFormat="1">
      <c r="E4116" s="130"/>
      <c r="P4116" s="99"/>
      <c r="Q4116" s="99"/>
      <c r="R4116" s="99"/>
    </row>
    <row r="4117" spans="5:18" s="65" customFormat="1">
      <c r="E4117" s="130"/>
      <c r="P4117" s="99"/>
      <c r="Q4117" s="99"/>
      <c r="R4117" s="99"/>
    </row>
    <row r="4118" spans="5:18" s="65" customFormat="1">
      <c r="E4118" s="130"/>
      <c r="P4118" s="99"/>
      <c r="Q4118" s="99"/>
      <c r="R4118" s="99"/>
    </row>
    <row r="4119" spans="5:18" s="65" customFormat="1">
      <c r="E4119" s="130"/>
      <c r="P4119" s="99"/>
      <c r="Q4119" s="99"/>
      <c r="R4119" s="99"/>
    </row>
    <row r="4120" spans="5:18" s="65" customFormat="1">
      <c r="E4120" s="130"/>
      <c r="P4120" s="99"/>
      <c r="Q4120" s="99"/>
      <c r="R4120" s="99"/>
    </row>
    <row r="4121" spans="5:18" s="65" customFormat="1">
      <c r="E4121" s="130"/>
      <c r="P4121" s="99"/>
      <c r="Q4121" s="99"/>
      <c r="R4121" s="99"/>
    </row>
    <row r="4122" spans="5:18" s="65" customFormat="1">
      <c r="E4122" s="130"/>
      <c r="P4122" s="99"/>
      <c r="Q4122" s="99"/>
      <c r="R4122" s="99"/>
    </row>
    <row r="4123" spans="5:18" s="65" customFormat="1">
      <c r="E4123" s="130"/>
      <c r="P4123" s="99"/>
      <c r="Q4123" s="99"/>
      <c r="R4123" s="99"/>
    </row>
    <row r="4124" spans="5:18" s="65" customFormat="1">
      <c r="E4124" s="130"/>
      <c r="P4124" s="99"/>
      <c r="Q4124" s="99"/>
      <c r="R4124" s="99"/>
    </row>
    <row r="4125" spans="5:18" s="65" customFormat="1">
      <c r="E4125" s="130"/>
      <c r="P4125" s="99"/>
      <c r="Q4125" s="99"/>
      <c r="R4125" s="99"/>
    </row>
    <row r="4126" spans="5:18" s="65" customFormat="1">
      <c r="E4126" s="130"/>
      <c r="P4126" s="99"/>
      <c r="Q4126" s="99"/>
      <c r="R4126" s="99"/>
    </row>
    <row r="4127" spans="5:18" s="65" customFormat="1">
      <c r="E4127" s="130"/>
      <c r="P4127" s="99"/>
      <c r="Q4127" s="99"/>
      <c r="R4127" s="99"/>
    </row>
    <row r="4128" spans="5:18" s="65" customFormat="1">
      <c r="E4128" s="130"/>
      <c r="P4128" s="99"/>
      <c r="Q4128" s="99"/>
      <c r="R4128" s="99"/>
    </row>
    <row r="4129" spans="5:18" s="65" customFormat="1">
      <c r="E4129" s="130"/>
      <c r="P4129" s="99"/>
      <c r="Q4129" s="99"/>
      <c r="R4129" s="99"/>
    </row>
    <row r="4130" spans="5:18" s="65" customFormat="1">
      <c r="E4130" s="130"/>
      <c r="P4130" s="99"/>
      <c r="Q4130" s="99"/>
      <c r="R4130" s="99"/>
    </row>
    <row r="4131" spans="5:18" s="65" customFormat="1">
      <c r="E4131" s="130"/>
      <c r="P4131" s="99"/>
      <c r="Q4131" s="99"/>
      <c r="R4131" s="99"/>
    </row>
    <row r="4132" spans="5:18" s="65" customFormat="1">
      <c r="E4132" s="130"/>
      <c r="P4132" s="99"/>
      <c r="Q4132" s="99"/>
      <c r="R4132" s="99"/>
    </row>
    <row r="4133" spans="5:18" s="65" customFormat="1">
      <c r="E4133" s="130"/>
      <c r="P4133" s="99"/>
      <c r="Q4133" s="99"/>
      <c r="R4133" s="99"/>
    </row>
    <row r="4134" spans="5:18" s="65" customFormat="1">
      <c r="E4134" s="130"/>
      <c r="P4134" s="99"/>
      <c r="Q4134" s="99"/>
      <c r="R4134" s="99"/>
    </row>
    <row r="4135" spans="5:18" s="65" customFormat="1">
      <c r="E4135" s="130"/>
      <c r="P4135" s="99"/>
      <c r="Q4135" s="99"/>
      <c r="R4135" s="99"/>
    </row>
    <row r="4136" spans="5:18" s="65" customFormat="1">
      <c r="E4136" s="130"/>
      <c r="P4136" s="99"/>
      <c r="Q4136" s="99"/>
      <c r="R4136" s="99"/>
    </row>
    <row r="4137" spans="5:18" s="65" customFormat="1">
      <c r="E4137" s="130"/>
      <c r="P4137" s="99"/>
      <c r="Q4137" s="99"/>
      <c r="R4137" s="99"/>
    </row>
    <row r="4138" spans="5:18" s="65" customFormat="1">
      <c r="E4138" s="130"/>
      <c r="P4138" s="99"/>
      <c r="Q4138" s="99"/>
      <c r="R4138" s="99"/>
    </row>
    <row r="4139" spans="5:18" s="65" customFormat="1">
      <c r="E4139" s="130"/>
      <c r="P4139" s="99"/>
      <c r="Q4139" s="99"/>
      <c r="R4139" s="99"/>
    </row>
    <row r="4140" spans="5:18" s="65" customFormat="1">
      <c r="E4140" s="130"/>
      <c r="P4140" s="99"/>
      <c r="Q4140" s="99"/>
      <c r="R4140" s="99"/>
    </row>
    <row r="4141" spans="5:18" s="65" customFormat="1">
      <c r="E4141" s="130"/>
      <c r="P4141" s="99"/>
      <c r="Q4141" s="99"/>
      <c r="R4141" s="99"/>
    </row>
    <row r="4142" spans="5:18" s="65" customFormat="1">
      <c r="E4142" s="130"/>
      <c r="P4142" s="99"/>
      <c r="Q4142" s="99"/>
      <c r="R4142" s="99"/>
    </row>
    <row r="4143" spans="5:18" s="65" customFormat="1">
      <c r="E4143" s="130"/>
      <c r="P4143" s="99"/>
      <c r="Q4143" s="99"/>
      <c r="R4143" s="99"/>
    </row>
    <row r="4144" spans="5:18" s="65" customFormat="1">
      <c r="E4144" s="130"/>
      <c r="P4144" s="99"/>
      <c r="Q4144" s="99"/>
      <c r="R4144" s="99"/>
    </row>
    <row r="4145" spans="5:18" s="65" customFormat="1">
      <c r="E4145" s="130"/>
      <c r="P4145" s="99"/>
      <c r="Q4145" s="99"/>
      <c r="R4145" s="99"/>
    </row>
    <row r="4146" spans="5:18" s="65" customFormat="1">
      <c r="E4146" s="130"/>
      <c r="P4146" s="99"/>
      <c r="Q4146" s="99"/>
      <c r="R4146" s="99"/>
    </row>
    <row r="4147" spans="5:18" s="65" customFormat="1">
      <c r="E4147" s="130"/>
      <c r="P4147" s="99"/>
      <c r="Q4147" s="99"/>
      <c r="R4147" s="99"/>
    </row>
    <row r="4148" spans="5:18" s="65" customFormat="1">
      <c r="E4148" s="130"/>
      <c r="P4148" s="99"/>
      <c r="Q4148" s="99"/>
      <c r="R4148" s="99"/>
    </row>
    <row r="4149" spans="5:18" s="65" customFormat="1">
      <c r="E4149" s="130"/>
      <c r="P4149" s="99"/>
      <c r="Q4149" s="99"/>
      <c r="R4149" s="99"/>
    </row>
    <row r="4150" spans="5:18" s="65" customFormat="1">
      <c r="E4150" s="130"/>
      <c r="P4150" s="99"/>
      <c r="Q4150" s="99"/>
      <c r="R4150" s="99"/>
    </row>
    <row r="4151" spans="5:18" s="65" customFormat="1">
      <c r="E4151" s="130"/>
      <c r="P4151" s="99"/>
      <c r="Q4151" s="99"/>
      <c r="R4151" s="99"/>
    </row>
    <row r="4152" spans="5:18" s="65" customFormat="1">
      <c r="E4152" s="130"/>
      <c r="P4152" s="99"/>
      <c r="Q4152" s="99"/>
      <c r="R4152" s="99"/>
    </row>
    <row r="4153" spans="5:18" s="65" customFormat="1">
      <c r="E4153" s="130"/>
      <c r="P4153" s="99"/>
      <c r="Q4153" s="99"/>
      <c r="R4153" s="99"/>
    </row>
    <row r="4154" spans="5:18" s="65" customFormat="1">
      <c r="E4154" s="130"/>
      <c r="P4154" s="99"/>
      <c r="Q4154" s="99"/>
      <c r="R4154" s="99"/>
    </row>
    <row r="4155" spans="5:18" s="65" customFormat="1">
      <c r="E4155" s="130"/>
      <c r="P4155" s="99"/>
      <c r="Q4155" s="99"/>
      <c r="R4155" s="99"/>
    </row>
    <row r="4156" spans="5:18" s="65" customFormat="1">
      <c r="E4156" s="130"/>
      <c r="P4156" s="99"/>
      <c r="Q4156" s="99"/>
      <c r="R4156" s="99"/>
    </row>
    <row r="4157" spans="5:18" s="65" customFormat="1">
      <c r="E4157" s="130"/>
      <c r="P4157" s="99"/>
      <c r="Q4157" s="99"/>
      <c r="R4157" s="99"/>
    </row>
    <row r="4158" spans="5:18" s="65" customFormat="1">
      <c r="E4158" s="130"/>
      <c r="P4158" s="99"/>
      <c r="Q4158" s="99"/>
      <c r="R4158" s="99"/>
    </row>
    <row r="4159" spans="5:18" s="65" customFormat="1">
      <c r="E4159" s="130"/>
      <c r="P4159" s="99"/>
      <c r="Q4159" s="99"/>
      <c r="R4159" s="99"/>
    </row>
    <row r="4160" spans="5:18" s="65" customFormat="1">
      <c r="E4160" s="130"/>
      <c r="P4160" s="99"/>
      <c r="Q4160" s="99"/>
      <c r="R4160" s="99"/>
    </row>
    <row r="4161" spans="5:18" s="65" customFormat="1">
      <c r="E4161" s="130"/>
      <c r="P4161" s="99"/>
      <c r="Q4161" s="99"/>
      <c r="R4161" s="99"/>
    </row>
    <row r="4162" spans="5:18" s="65" customFormat="1">
      <c r="E4162" s="130"/>
      <c r="P4162" s="99"/>
      <c r="Q4162" s="99"/>
      <c r="R4162" s="99"/>
    </row>
    <row r="4163" spans="5:18" s="65" customFormat="1">
      <c r="E4163" s="130"/>
      <c r="P4163" s="99"/>
      <c r="Q4163" s="99"/>
      <c r="R4163" s="99"/>
    </row>
    <row r="4164" spans="5:18" s="65" customFormat="1">
      <c r="E4164" s="130"/>
      <c r="P4164" s="99"/>
      <c r="Q4164" s="99"/>
      <c r="R4164" s="99"/>
    </row>
    <row r="4165" spans="5:18" s="65" customFormat="1">
      <c r="E4165" s="130"/>
      <c r="P4165" s="99"/>
      <c r="Q4165" s="99"/>
      <c r="R4165" s="99"/>
    </row>
    <row r="4166" spans="5:18" s="65" customFormat="1">
      <c r="E4166" s="130"/>
      <c r="P4166" s="99"/>
      <c r="Q4166" s="99"/>
      <c r="R4166" s="99"/>
    </row>
    <row r="4167" spans="5:18" s="65" customFormat="1">
      <c r="E4167" s="130"/>
      <c r="P4167" s="99"/>
      <c r="Q4167" s="99"/>
      <c r="R4167" s="99"/>
    </row>
    <row r="4168" spans="5:18" s="65" customFormat="1">
      <c r="E4168" s="130"/>
      <c r="P4168" s="99"/>
      <c r="Q4168" s="99"/>
      <c r="R4168" s="99"/>
    </row>
    <row r="4169" spans="5:18" s="65" customFormat="1">
      <c r="E4169" s="130"/>
      <c r="P4169" s="99"/>
      <c r="Q4169" s="99"/>
      <c r="R4169" s="99"/>
    </row>
    <row r="4170" spans="5:18" s="65" customFormat="1">
      <c r="E4170" s="130"/>
      <c r="P4170" s="99"/>
      <c r="Q4170" s="99"/>
      <c r="R4170" s="99"/>
    </row>
    <row r="4171" spans="5:18" s="65" customFormat="1">
      <c r="E4171" s="130"/>
      <c r="P4171" s="99"/>
      <c r="Q4171" s="99"/>
      <c r="R4171" s="99"/>
    </row>
    <row r="4172" spans="5:18" s="65" customFormat="1">
      <c r="E4172" s="130"/>
      <c r="P4172" s="99"/>
      <c r="Q4172" s="99"/>
      <c r="R4172" s="99"/>
    </row>
    <row r="4173" spans="5:18" s="65" customFormat="1">
      <c r="E4173" s="130"/>
      <c r="P4173" s="99"/>
      <c r="Q4173" s="99"/>
      <c r="R4173" s="99"/>
    </row>
    <row r="4174" spans="5:18" s="65" customFormat="1">
      <c r="E4174" s="130"/>
      <c r="P4174" s="99"/>
      <c r="Q4174" s="99"/>
      <c r="R4174" s="99"/>
    </row>
    <row r="4175" spans="5:18" s="65" customFormat="1">
      <c r="E4175" s="130"/>
      <c r="P4175" s="99"/>
      <c r="Q4175" s="99"/>
      <c r="R4175" s="99"/>
    </row>
    <row r="4176" spans="5:18" s="65" customFormat="1">
      <c r="E4176" s="130"/>
      <c r="P4176" s="99"/>
      <c r="Q4176" s="99"/>
      <c r="R4176" s="99"/>
    </row>
    <row r="4177" spans="5:18" s="65" customFormat="1">
      <c r="E4177" s="130"/>
      <c r="P4177" s="99"/>
      <c r="Q4177" s="99"/>
      <c r="R4177" s="99"/>
    </row>
    <row r="4178" spans="5:18" s="65" customFormat="1">
      <c r="E4178" s="130"/>
      <c r="P4178" s="99"/>
      <c r="Q4178" s="99"/>
      <c r="R4178" s="99"/>
    </row>
    <row r="4179" spans="5:18" s="65" customFormat="1">
      <c r="E4179" s="130"/>
      <c r="P4179" s="99"/>
      <c r="Q4179" s="99"/>
      <c r="R4179" s="99"/>
    </row>
    <row r="4180" spans="5:18" s="65" customFormat="1">
      <c r="E4180" s="130"/>
      <c r="P4180" s="99"/>
      <c r="Q4180" s="99"/>
      <c r="R4180" s="99"/>
    </row>
    <row r="4181" spans="5:18" s="65" customFormat="1">
      <c r="E4181" s="130"/>
      <c r="P4181" s="99"/>
      <c r="Q4181" s="99"/>
      <c r="R4181" s="99"/>
    </row>
    <row r="4182" spans="5:18" s="65" customFormat="1">
      <c r="E4182" s="130"/>
      <c r="P4182" s="99"/>
      <c r="Q4182" s="99"/>
      <c r="R4182" s="99"/>
    </row>
    <row r="4183" spans="5:18" s="65" customFormat="1">
      <c r="E4183" s="130"/>
      <c r="P4183" s="99"/>
      <c r="Q4183" s="99"/>
      <c r="R4183" s="99"/>
    </row>
    <row r="4184" spans="5:18" s="65" customFormat="1">
      <c r="E4184" s="130"/>
      <c r="P4184" s="99"/>
      <c r="Q4184" s="99"/>
      <c r="R4184" s="99"/>
    </row>
    <row r="4185" spans="5:18" s="65" customFormat="1">
      <c r="E4185" s="130"/>
      <c r="P4185" s="99"/>
      <c r="Q4185" s="99"/>
      <c r="R4185" s="99"/>
    </row>
    <row r="4186" spans="5:18" s="65" customFormat="1">
      <c r="E4186" s="130"/>
      <c r="P4186" s="99"/>
      <c r="Q4186" s="99"/>
      <c r="R4186" s="99"/>
    </row>
    <row r="4187" spans="5:18" s="65" customFormat="1">
      <c r="E4187" s="130"/>
      <c r="P4187" s="99"/>
      <c r="Q4187" s="99"/>
      <c r="R4187" s="99"/>
    </row>
    <row r="4188" spans="5:18" s="65" customFormat="1">
      <c r="E4188" s="130"/>
      <c r="P4188" s="99"/>
      <c r="Q4188" s="99"/>
      <c r="R4188" s="99"/>
    </row>
    <row r="4189" spans="5:18" s="65" customFormat="1">
      <c r="E4189" s="130"/>
      <c r="P4189" s="99"/>
      <c r="Q4189" s="99"/>
      <c r="R4189" s="99"/>
    </row>
    <row r="4190" spans="5:18" s="65" customFormat="1">
      <c r="E4190" s="130"/>
      <c r="P4190" s="99"/>
      <c r="Q4190" s="99"/>
      <c r="R4190" s="99"/>
    </row>
    <row r="4191" spans="5:18" s="65" customFormat="1">
      <c r="E4191" s="130"/>
      <c r="P4191" s="99"/>
      <c r="Q4191" s="99"/>
      <c r="R4191" s="99"/>
    </row>
    <row r="4192" spans="5:18" s="65" customFormat="1">
      <c r="E4192" s="130"/>
      <c r="P4192" s="99"/>
      <c r="Q4192" s="99"/>
      <c r="R4192" s="99"/>
    </row>
    <row r="4193" spans="5:18" s="65" customFormat="1">
      <c r="E4193" s="130"/>
      <c r="P4193" s="99"/>
      <c r="Q4193" s="99"/>
      <c r="R4193" s="99"/>
    </row>
    <row r="4194" spans="5:18" s="65" customFormat="1">
      <c r="E4194" s="130"/>
      <c r="P4194" s="99"/>
      <c r="Q4194" s="99"/>
      <c r="R4194" s="99"/>
    </row>
    <row r="4195" spans="5:18" s="65" customFormat="1">
      <c r="E4195" s="130"/>
      <c r="P4195" s="99"/>
      <c r="Q4195" s="99"/>
      <c r="R4195" s="99"/>
    </row>
    <row r="4196" spans="5:18" s="65" customFormat="1">
      <c r="E4196" s="130"/>
      <c r="P4196" s="99"/>
      <c r="Q4196" s="99"/>
      <c r="R4196" s="99"/>
    </row>
    <row r="4197" spans="5:18" s="65" customFormat="1">
      <c r="E4197" s="130"/>
      <c r="P4197" s="99"/>
      <c r="Q4197" s="99"/>
      <c r="R4197" s="99"/>
    </row>
    <row r="4198" spans="5:18" s="65" customFormat="1">
      <c r="E4198" s="130"/>
      <c r="P4198" s="99"/>
      <c r="Q4198" s="99"/>
      <c r="R4198" s="99"/>
    </row>
    <row r="4199" spans="5:18" s="65" customFormat="1">
      <c r="E4199" s="130"/>
      <c r="P4199" s="99"/>
      <c r="Q4199" s="99"/>
      <c r="R4199" s="99"/>
    </row>
    <row r="4200" spans="5:18" s="65" customFormat="1">
      <c r="E4200" s="130"/>
      <c r="P4200" s="99"/>
      <c r="Q4200" s="99"/>
      <c r="R4200" s="99"/>
    </row>
    <row r="4201" spans="5:18" s="65" customFormat="1">
      <c r="E4201" s="130"/>
      <c r="P4201" s="99"/>
      <c r="Q4201" s="99"/>
      <c r="R4201" s="99"/>
    </row>
    <row r="4202" spans="5:18" s="65" customFormat="1">
      <c r="E4202" s="130"/>
      <c r="P4202" s="99"/>
      <c r="Q4202" s="99"/>
      <c r="R4202" s="99"/>
    </row>
    <row r="4203" spans="5:18" s="65" customFormat="1">
      <c r="E4203" s="130"/>
      <c r="P4203" s="99"/>
      <c r="Q4203" s="99"/>
      <c r="R4203" s="99"/>
    </row>
    <row r="4204" spans="5:18" s="65" customFormat="1">
      <c r="E4204" s="130"/>
      <c r="P4204" s="99"/>
      <c r="Q4204" s="99"/>
      <c r="R4204" s="99"/>
    </row>
    <row r="4205" spans="5:18" s="65" customFormat="1">
      <c r="E4205" s="130"/>
      <c r="P4205" s="99"/>
      <c r="Q4205" s="99"/>
      <c r="R4205" s="99"/>
    </row>
    <row r="4206" spans="5:18" s="65" customFormat="1">
      <c r="E4206" s="130"/>
      <c r="P4206" s="99"/>
      <c r="Q4206" s="99"/>
      <c r="R4206" s="99"/>
    </row>
    <row r="4207" spans="5:18" s="65" customFormat="1">
      <c r="E4207" s="130"/>
      <c r="P4207" s="99"/>
      <c r="Q4207" s="99"/>
      <c r="R4207" s="99"/>
    </row>
    <row r="4208" spans="5:18" s="65" customFormat="1">
      <c r="E4208" s="130"/>
      <c r="P4208" s="99"/>
      <c r="Q4208" s="99"/>
      <c r="R4208" s="99"/>
    </row>
    <row r="4209" spans="5:18" s="65" customFormat="1">
      <c r="E4209" s="130"/>
      <c r="P4209" s="99"/>
      <c r="Q4209" s="99"/>
      <c r="R4209" s="99"/>
    </row>
    <row r="4210" spans="5:18" s="65" customFormat="1">
      <c r="E4210" s="130"/>
      <c r="P4210" s="99"/>
      <c r="Q4210" s="99"/>
      <c r="R4210" s="99"/>
    </row>
    <row r="4211" spans="5:18" s="65" customFormat="1">
      <c r="E4211" s="130"/>
      <c r="P4211" s="99"/>
      <c r="Q4211" s="99"/>
      <c r="R4211" s="99"/>
    </row>
    <row r="4212" spans="5:18" s="65" customFormat="1">
      <c r="E4212" s="130"/>
      <c r="P4212" s="99"/>
      <c r="Q4212" s="99"/>
      <c r="R4212" s="99"/>
    </row>
    <row r="4213" spans="5:18" s="65" customFormat="1">
      <c r="E4213" s="130"/>
      <c r="P4213" s="99"/>
      <c r="Q4213" s="99"/>
      <c r="R4213" s="99"/>
    </row>
    <row r="4214" spans="5:18" s="65" customFormat="1">
      <c r="E4214" s="130"/>
      <c r="P4214" s="99"/>
      <c r="Q4214" s="99"/>
      <c r="R4214" s="99"/>
    </row>
    <row r="4215" spans="5:18" s="65" customFormat="1">
      <c r="E4215" s="130"/>
      <c r="P4215" s="99"/>
      <c r="Q4215" s="99"/>
      <c r="R4215" s="99"/>
    </row>
    <row r="4216" spans="5:18" s="65" customFormat="1">
      <c r="E4216" s="130"/>
      <c r="P4216" s="99"/>
      <c r="Q4216" s="99"/>
      <c r="R4216" s="99"/>
    </row>
    <row r="4217" spans="5:18" s="65" customFormat="1">
      <c r="E4217" s="130"/>
      <c r="P4217" s="99"/>
      <c r="Q4217" s="99"/>
      <c r="R4217" s="99"/>
    </row>
    <row r="4218" spans="5:18" s="65" customFormat="1">
      <c r="E4218" s="130"/>
      <c r="P4218" s="99"/>
      <c r="Q4218" s="99"/>
      <c r="R4218" s="99"/>
    </row>
    <row r="4219" spans="5:18" s="65" customFormat="1">
      <c r="E4219" s="130"/>
      <c r="P4219" s="99"/>
      <c r="Q4219" s="99"/>
      <c r="R4219" s="99"/>
    </row>
    <row r="4220" spans="5:18" s="65" customFormat="1">
      <c r="E4220" s="130"/>
      <c r="P4220" s="99"/>
      <c r="Q4220" s="99"/>
      <c r="R4220" s="99"/>
    </row>
    <row r="4221" spans="5:18" s="65" customFormat="1">
      <c r="E4221" s="130"/>
      <c r="P4221" s="99"/>
      <c r="Q4221" s="99"/>
      <c r="R4221" s="99"/>
    </row>
    <row r="4222" spans="5:18" s="65" customFormat="1">
      <c r="E4222" s="130"/>
      <c r="P4222" s="99"/>
      <c r="Q4222" s="99"/>
      <c r="R4222" s="99"/>
    </row>
    <row r="4223" spans="5:18" s="65" customFormat="1">
      <c r="E4223" s="130"/>
      <c r="P4223" s="99"/>
      <c r="Q4223" s="99"/>
      <c r="R4223" s="99"/>
    </row>
    <row r="4224" spans="5:18" s="65" customFormat="1">
      <c r="E4224" s="130"/>
      <c r="P4224" s="99"/>
      <c r="Q4224" s="99"/>
      <c r="R4224" s="99"/>
    </row>
    <row r="4225" spans="5:18" s="65" customFormat="1">
      <c r="E4225" s="130"/>
      <c r="P4225" s="99"/>
      <c r="Q4225" s="99"/>
      <c r="R4225" s="99"/>
    </row>
    <row r="4226" spans="5:18" s="65" customFormat="1">
      <c r="E4226" s="130"/>
      <c r="P4226" s="99"/>
      <c r="Q4226" s="99"/>
      <c r="R4226" s="99"/>
    </row>
    <row r="4227" spans="5:18" s="65" customFormat="1">
      <c r="E4227" s="130"/>
      <c r="P4227" s="99"/>
      <c r="Q4227" s="99"/>
      <c r="R4227" s="99"/>
    </row>
    <row r="4228" spans="5:18" s="65" customFormat="1">
      <c r="E4228" s="130"/>
      <c r="P4228" s="99"/>
      <c r="Q4228" s="99"/>
      <c r="R4228" s="99"/>
    </row>
    <row r="4229" spans="5:18" s="65" customFormat="1">
      <c r="E4229" s="130"/>
      <c r="P4229" s="99"/>
      <c r="Q4229" s="99"/>
      <c r="R4229" s="99"/>
    </row>
    <row r="4230" spans="5:18" s="65" customFormat="1">
      <c r="E4230" s="130"/>
      <c r="P4230" s="99"/>
      <c r="Q4230" s="99"/>
      <c r="R4230" s="99"/>
    </row>
    <row r="4231" spans="5:18" s="65" customFormat="1">
      <c r="E4231" s="130"/>
      <c r="P4231" s="99"/>
      <c r="Q4231" s="99"/>
      <c r="R4231" s="99"/>
    </row>
    <row r="4232" spans="5:18" s="65" customFormat="1">
      <c r="E4232" s="130"/>
      <c r="P4232" s="99"/>
      <c r="Q4232" s="99"/>
      <c r="R4232" s="99"/>
    </row>
    <row r="4233" spans="5:18" s="65" customFormat="1">
      <c r="E4233" s="130"/>
      <c r="P4233" s="99"/>
      <c r="Q4233" s="99"/>
      <c r="R4233" s="99"/>
    </row>
    <row r="4234" spans="5:18" s="65" customFormat="1">
      <c r="E4234" s="130"/>
      <c r="P4234" s="99"/>
      <c r="Q4234" s="99"/>
      <c r="R4234" s="99"/>
    </row>
    <row r="4235" spans="5:18" s="65" customFormat="1">
      <c r="E4235" s="130"/>
      <c r="P4235" s="99"/>
      <c r="Q4235" s="99"/>
      <c r="R4235" s="99"/>
    </row>
    <row r="4236" spans="5:18" s="65" customFormat="1">
      <c r="E4236" s="130"/>
      <c r="P4236" s="99"/>
      <c r="Q4236" s="99"/>
      <c r="R4236" s="99"/>
    </row>
    <row r="4237" spans="5:18" s="65" customFormat="1">
      <c r="E4237" s="130"/>
      <c r="P4237" s="99"/>
      <c r="Q4237" s="99"/>
      <c r="R4237" s="99"/>
    </row>
    <row r="4238" spans="5:18" s="65" customFormat="1">
      <c r="E4238" s="130"/>
      <c r="P4238" s="99"/>
      <c r="Q4238" s="99"/>
      <c r="R4238" s="99"/>
    </row>
    <row r="4239" spans="5:18" s="65" customFormat="1">
      <c r="E4239" s="130"/>
      <c r="P4239" s="99"/>
      <c r="Q4239" s="99"/>
      <c r="R4239" s="99"/>
    </row>
    <row r="4240" spans="5:18" s="65" customFormat="1">
      <c r="E4240" s="130"/>
      <c r="P4240" s="99"/>
      <c r="Q4240" s="99"/>
      <c r="R4240" s="99"/>
    </row>
    <row r="4241" spans="5:18" s="65" customFormat="1">
      <c r="E4241" s="130"/>
      <c r="P4241" s="99"/>
      <c r="Q4241" s="99"/>
      <c r="R4241" s="99"/>
    </row>
    <row r="4242" spans="5:18" s="65" customFormat="1">
      <c r="E4242" s="130"/>
      <c r="P4242" s="99"/>
      <c r="Q4242" s="99"/>
      <c r="R4242" s="99"/>
    </row>
    <row r="4243" spans="5:18" s="65" customFormat="1">
      <c r="E4243" s="130"/>
      <c r="P4243" s="99"/>
      <c r="Q4243" s="99"/>
      <c r="R4243" s="99"/>
    </row>
    <row r="4244" spans="5:18" s="65" customFormat="1">
      <c r="E4244" s="130"/>
      <c r="P4244" s="99"/>
      <c r="Q4244" s="99"/>
      <c r="R4244" s="99"/>
    </row>
    <row r="4245" spans="5:18" s="65" customFormat="1">
      <c r="E4245" s="130"/>
      <c r="P4245" s="99"/>
      <c r="Q4245" s="99"/>
      <c r="R4245" s="99"/>
    </row>
    <row r="4246" spans="5:18" s="65" customFormat="1">
      <c r="E4246" s="130"/>
      <c r="P4246" s="99"/>
      <c r="Q4246" s="99"/>
      <c r="R4246" s="99"/>
    </row>
    <row r="4247" spans="5:18" s="65" customFormat="1">
      <c r="E4247" s="130"/>
      <c r="P4247" s="99"/>
      <c r="Q4247" s="99"/>
      <c r="R4247" s="99"/>
    </row>
    <row r="4248" spans="5:18" s="65" customFormat="1">
      <c r="E4248" s="130"/>
      <c r="P4248" s="99"/>
      <c r="Q4248" s="99"/>
      <c r="R4248" s="99"/>
    </row>
    <row r="4249" spans="5:18" s="65" customFormat="1">
      <c r="E4249" s="130"/>
      <c r="P4249" s="99"/>
      <c r="Q4249" s="99"/>
      <c r="R4249" s="99"/>
    </row>
    <row r="4250" spans="5:18" s="65" customFormat="1">
      <c r="E4250" s="130"/>
      <c r="P4250" s="99"/>
      <c r="Q4250" s="99"/>
      <c r="R4250" s="99"/>
    </row>
    <row r="4251" spans="5:18" s="65" customFormat="1">
      <c r="E4251" s="130"/>
      <c r="P4251" s="99"/>
      <c r="Q4251" s="99"/>
      <c r="R4251" s="99"/>
    </row>
    <row r="4252" spans="5:18" s="65" customFormat="1">
      <c r="E4252" s="130"/>
      <c r="P4252" s="99"/>
      <c r="Q4252" s="99"/>
      <c r="R4252" s="99"/>
    </row>
    <row r="4253" spans="5:18" s="65" customFormat="1">
      <c r="E4253" s="130"/>
      <c r="P4253" s="99"/>
      <c r="Q4253" s="99"/>
      <c r="R4253" s="99"/>
    </row>
    <row r="4254" spans="5:18" s="65" customFormat="1">
      <c r="E4254" s="130"/>
      <c r="P4254" s="99"/>
      <c r="Q4254" s="99"/>
      <c r="R4254" s="99"/>
    </row>
    <row r="4255" spans="5:18" s="65" customFormat="1">
      <c r="E4255" s="130"/>
      <c r="P4255" s="99"/>
      <c r="Q4255" s="99"/>
      <c r="R4255" s="99"/>
    </row>
    <row r="4256" spans="5:18" s="65" customFormat="1">
      <c r="E4256" s="130"/>
      <c r="P4256" s="99"/>
      <c r="Q4256" s="99"/>
      <c r="R4256" s="99"/>
    </row>
    <row r="4257" spans="5:18" s="65" customFormat="1">
      <c r="E4257" s="130"/>
      <c r="P4257" s="99"/>
      <c r="Q4257" s="99"/>
      <c r="R4257" s="99"/>
    </row>
    <row r="4258" spans="5:18" s="65" customFormat="1">
      <c r="E4258" s="130"/>
      <c r="P4258" s="99"/>
      <c r="Q4258" s="99"/>
      <c r="R4258" s="99"/>
    </row>
    <row r="4259" spans="5:18" s="65" customFormat="1">
      <c r="E4259" s="130"/>
      <c r="P4259" s="99"/>
      <c r="Q4259" s="99"/>
      <c r="R4259" s="99"/>
    </row>
    <row r="4260" spans="5:18" s="65" customFormat="1">
      <c r="E4260" s="130"/>
      <c r="P4260" s="99"/>
      <c r="Q4260" s="99"/>
      <c r="R4260" s="99"/>
    </row>
    <row r="4261" spans="5:18" s="65" customFormat="1">
      <c r="E4261" s="130"/>
      <c r="P4261" s="99"/>
      <c r="Q4261" s="99"/>
      <c r="R4261" s="99"/>
    </row>
    <row r="4262" spans="5:18" s="65" customFormat="1">
      <c r="E4262" s="130"/>
      <c r="P4262" s="99"/>
      <c r="Q4262" s="99"/>
      <c r="R4262" s="99"/>
    </row>
    <row r="4263" spans="5:18" s="65" customFormat="1">
      <c r="E4263" s="130"/>
      <c r="P4263" s="99"/>
      <c r="Q4263" s="99"/>
      <c r="R4263" s="99"/>
    </row>
    <row r="4264" spans="5:18" s="65" customFormat="1">
      <c r="E4264" s="130"/>
      <c r="P4264" s="99"/>
      <c r="Q4264" s="99"/>
      <c r="R4264" s="99"/>
    </row>
    <row r="4265" spans="5:18" s="65" customFormat="1">
      <c r="E4265" s="130"/>
      <c r="P4265" s="99"/>
      <c r="Q4265" s="99"/>
      <c r="R4265" s="99"/>
    </row>
    <row r="4266" spans="5:18" s="65" customFormat="1">
      <c r="E4266" s="130"/>
      <c r="P4266" s="99"/>
      <c r="Q4266" s="99"/>
      <c r="R4266" s="99"/>
    </row>
    <row r="4267" spans="5:18" s="65" customFormat="1">
      <c r="E4267" s="130"/>
      <c r="P4267" s="99"/>
      <c r="Q4267" s="99"/>
      <c r="R4267" s="99"/>
    </row>
    <row r="4268" spans="5:18" s="65" customFormat="1">
      <c r="E4268" s="130"/>
      <c r="P4268" s="99"/>
      <c r="Q4268" s="99"/>
      <c r="R4268" s="99"/>
    </row>
    <row r="4269" spans="5:18" s="65" customFormat="1">
      <c r="E4269" s="130"/>
      <c r="P4269" s="99"/>
      <c r="Q4269" s="99"/>
      <c r="R4269" s="99"/>
    </row>
    <row r="4270" spans="5:18" s="65" customFormat="1">
      <c r="E4270" s="130"/>
      <c r="P4270" s="99"/>
      <c r="Q4270" s="99"/>
      <c r="R4270" s="99"/>
    </row>
    <row r="4271" spans="5:18" s="65" customFormat="1">
      <c r="E4271" s="130"/>
      <c r="P4271" s="99"/>
      <c r="Q4271" s="99"/>
      <c r="R4271" s="99"/>
    </row>
    <row r="4272" spans="5:18" s="65" customFormat="1">
      <c r="E4272" s="130"/>
      <c r="P4272" s="99"/>
      <c r="Q4272" s="99"/>
      <c r="R4272" s="99"/>
    </row>
    <row r="4273" spans="5:18" s="65" customFormat="1">
      <c r="E4273" s="130"/>
      <c r="P4273" s="99"/>
      <c r="Q4273" s="99"/>
      <c r="R4273" s="99"/>
    </row>
    <row r="4274" spans="5:18" s="65" customFormat="1">
      <c r="E4274" s="130"/>
      <c r="P4274" s="99"/>
      <c r="Q4274" s="99"/>
      <c r="R4274" s="99"/>
    </row>
    <row r="4275" spans="5:18" s="65" customFormat="1">
      <c r="E4275" s="130"/>
      <c r="P4275" s="99"/>
      <c r="Q4275" s="99"/>
      <c r="R4275" s="99"/>
    </row>
    <row r="4276" spans="5:18" s="65" customFormat="1">
      <c r="E4276" s="130"/>
      <c r="P4276" s="99"/>
      <c r="Q4276" s="99"/>
      <c r="R4276" s="99"/>
    </row>
    <row r="4277" spans="5:18" s="65" customFormat="1">
      <c r="E4277" s="130"/>
      <c r="P4277" s="99"/>
      <c r="Q4277" s="99"/>
      <c r="R4277" s="99"/>
    </row>
    <row r="4278" spans="5:18" s="65" customFormat="1">
      <c r="E4278" s="130"/>
      <c r="P4278" s="99"/>
      <c r="Q4278" s="99"/>
      <c r="R4278" s="99"/>
    </row>
    <row r="4279" spans="5:18" s="65" customFormat="1">
      <c r="E4279" s="130"/>
      <c r="P4279" s="99"/>
      <c r="Q4279" s="99"/>
      <c r="R4279" s="99"/>
    </row>
    <row r="4280" spans="5:18" s="65" customFormat="1">
      <c r="E4280" s="130"/>
      <c r="P4280" s="99"/>
      <c r="Q4280" s="99"/>
      <c r="R4280" s="99"/>
    </row>
    <row r="4281" spans="5:18" s="65" customFormat="1">
      <c r="E4281" s="130"/>
      <c r="P4281" s="99"/>
      <c r="Q4281" s="99"/>
      <c r="R4281" s="99"/>
    </row>
    <row r="4282" spans="5:18" s="65" customFormat="1">
      <c r="E4282" s="130"/>
      <c r="P4282" s="99"/>
      <c r="Q4282" s="99"/>
      <c r="R4282" s="99"/>
    </row>
    <row r="4283" spans="5:18" s="65" customFormat="1">
      <c r="E4283" s="130"/>
      <c r="P4283" s="99"/>
      <c r="Q4283" s="99"/>
      <c r="R4283" s="99"/>
    </row>
    <row r="4284" spans="5:18" s="65" customFormat="1">
      <c r="E4284" s="130"/>
      <c r="P4284" s="99"/>
      <c r="Q4284" s="99"/>
      <c r="R4284" s="99"/>
    </row>
    <row r="4285" spans="5:18" s="65" customFormat="1">
      <c r="E4285" s="130"/>
      <c r="P4285" s="99"/>
      <c r="Q4285" s="99"/>
      <c r="R4285" s="99"/>
    </row>
    <row r="4286" spans="5:18" s="65" customFormat="1">
      <c r="E4286" s="130"/>
      <c r="P4286" s="99"/>
      <c r="Q4286" s="99"/>
      <c r="R4286" s="99"/>
    </row>
    <row r="4287" spans="5:18" s="65" customFormat="1">
      <c r="E4287" s="130"/>
      <c r="P4287" s="99"/>
      <c r="Q4287" s="99"/>
      <c r="R4287" s="99"/>
    </row>
    <row r="4288" spans="5:18" s="65" customFormat="1">
      <c r="E4288" s="130"/>
      <c r="P4288" s="99"/>
      <c r="Q4288" s="99"/>
      <c r="R4288" s="99"/>
    </row>
    <row r="4289" spans="5:18" s="65" customFormat="1">
      <c r="E4289" s="130"/>
      <c r="P4289" s="99"/>
      <c r="Q4289" s="99"/>
      <c r="R4289" s="99"/>
    </row>
    <row r="4290" spans="5:18" s="65" customFormat="1">
      <c r="E4290" s="130"/>
      <c r="P4290" s="99"/>
      <c r="Q4290" s="99"/>
      <c r="R4290" s="99"/>
    </row>
    <row r="4291" spans="5:18" s="65" customFormat="1">
      <c r="E4291" s="130"/>
      <c r="P4291" s="99"/>
      <c r="Q4291" s="99"/>
      <c r="R4291" s="99"/>
    </row>
    <row r="4292" spans="5:18" s="65" customFormat="1">
      <c r="E4292" s="130"/>
      <c r="P4292" s="99"/>
      <c r="Q4292" s="99"/>
      <c r="R4292" s="99"/>
    </row>
    <row r="4293" spans="5:18" s="65" customFormat="1">
      <c r="E4293" s="130"/>
      <c r="P4293" s="99"/>
      <c r="Q4293" s="99"/>
      <c r="R4293" s="99"/>
    </row>
    <row r="4294" spans="5:18" s="65" customFormat="1">
      <c r="E4294" s="130"/>
      <c r="P4294" s="99"/>
      <c r="Q4294" s="99"/>
      <c r="R4294" s="99"/>
    </row>
    <row r="4295" spans="5:18" s="65" customFormat="1">
      <c r="E4295" s="130"/>
      <c r="P4295" s="99"/>
      <c r="Q4295" s="99"/>
      <c r="R4295" s="99"/>
    </row>
    <row r="4296" spans="5:18" s="65" customFormat="1">
      <c r="E4296" s="130"/>
      <c r="P4296" s="99"/>
      <c r="Q4296" s="99"/>
      <c r="R4296" s="99"/>
    </row>
    <row r="4297" spans="5:18" s="65" customFormat="1">
      <c r="E4297" s="130"/>
      <c r="P4297" s="99"/>
      <c r="Q4297" s="99"/>
      <c r="R4297" s="99"/>
    </row>
    <row r="4298" spans="5:18" s="65" customFormat="1">
      <c r="E4298" s="130"/>
      <c r="P4298" s="99"/>
      <c r="Q4298" s="99"/>
      <c r="R4298" s="99"/>
    </row>
    <row r="4299" spans="5:18" s="65" customFormat="1">
      <c r="E4299" s="130"/>
      <c r="P4299" s="99"/>
      <c r="Q4299" s="99"/>
      <c r="R4299" s="99"/>
    </row>
    <row r="4300" spans="5:18" s="65" customFormat="1">
      <c r="E4300" s="130"/>
      <c r="P4300" s="99"/>
      <c r="Q4300" s="99"/>
      <c r="R4300" s="99"/>
    </row>
    <row r="4301" spans="5:18" s="65" customFormat="1">
      <c r="E4301" s="130"/>
      <c r="P4301" s="99"/>
      <c r="Q4301" s="99"/>
      <c r="R4301" s="99"/>
    </row>
    <row r="4302" spans="5:18" s="65" customFormat="1">
      <c r="E4302" s="130"/>
      <c r="P4302" s="99"/>
      <c r="Q4302" s="99"/>
      <c r="R4302" s="99"/>
    </row>
    <row r="4303" spans="5:18" s="65" customFormat="1">
      <c r="E4303" s="130"/>
      <c r="P4303" s="99"/>
      <c r="Q4303" s="99"/>
      <c r="R4303" s="99"/>
    </row>
    <row r="4304" spans="5:18" s="65" customFormat="1">
      <c r="E4304" s="130"/>
      <c r="P4304" s="99"/>
      <c r="Q4304" s="99"/>
      <c r="R4304" s="99"/>
    </row>
    <row r="4305" spans="5:18" s="65" customFormat="1">
      <c r="E4305" s="130"/>
      <c r="P4305" s="99"/>
      <c r="Q4305" s="99"/>
      <c r="R4305" s="99"/>
    </row>
    <row r="4306" spans="5:18" s="65" customFormat="1">
      <c r="E4306" s="130"/>
      <c r="P4306" s="99"/>
      <c r="Q4306" s="99"/>
      <c r="R4306" s="99"/>
    </row>
    <row r="4307" spans="5:18" s="65" customFormat="1">
      <c r="E4307" s="130"/>
      <c r="P4307" s="99"/>
      <c r="Q4307" s="99"/>
      <c r="R4307" s="99"/>
    </row>
    <row r="4308" spans="5:18" s="65" customFormat="1">
      <c r="E4308" s="130"/>
      <c r="P4308" s="99"/>
      <c r="Q4308" s="99"/>
      <c r="R4308" s="99"/>
    </row>
    <row r="4309" spans="5:18" s="65" customFormat="1">
      <c r="E4309" s="130"/>
      <c r="P4309" s="99"/>
      <c r="Q4309" s="99"/>
      <c r="R4309" s="99"/>
    </row>
    <row r="4310" spans="5:18" s="65" customFormat="1">
      <c r="E4310" s="130"/>
      <c r="P4310" s="99"/>
      <c r="Q4310" s="99"/>
      <c r="R4310" s="99"/>
    </row>
    <row r="4311" spans="5:18" s="65" customFormat="1">
      <c r="E4311" s="130"/>
      <c r="P4311" s="99"/>
      <c r="Q4311" s="99"/>
      <c r="R4311" s="99"/>
    </row>
    <row r="4312" spans="5:18" s="65" customFormat="1">
      <c r="E4312" s="130"/>
      <c r="P4312" s="99"/>
      <c r="Q4312" s="99"/>
      <c r="R4312" s="99"/>
    </row>
    <row r="4313" spans="5:18" s="65" customFormat="1">
      <c r="E4313" s="130"/>
      <c r="P4313" s="99"/>
      <c r="Q4313" s="99"/>
      <c r="R4313" s="99"/>
    </row>
    <row r="4314" spans="5:18" s="65" customFormat="1">
      <c r="E4314" s="130"/>
      <c r="P4314" s="99"/>
      <c r="Q4314" s="99"/>
      <c r="R4314" s="99"/>
    </row>
    <row r="4315" spans="5:18" s="65" customFormat="1">
      <c r="E4315" s="130"/>
      <c r="P4315" s="99"/>
      <c r="Q4315" s="99"/>
      <c r="R4315" s="99"/>
    </row>
    <row r="4316" spans="5:18" s="65" customFormat="1">
      <c r="E4316" s="130"/>
      <c r="P4316" s="99"/>
      <c r="Q4316" s="99"/>
      <c r="R4316" s="99"/>
    </row>
    <row r="4317" spans="5:18" s="65" customFormat="1">
      <c r="E4317" s="130"/>
      <c r="P4317" s="99"/>
      <c r="Q4317" s="99"/>
      <c r="R4317" s="99"/>
    </row>
    <row r="4318" spans="5:18" s="65" customFormat="1">
      <c r="E4318" s="130"/>
      <c r="P4318" s="99"/>
      <c r="Q4318" s="99"/>
      <c r="R4318" s="99"/>
    </row>
    <row r="4319" spans="5:18" s="65" customFormat="1">
      <c r="E4319" s="130"/>
      <c r="P4319" s="99"/>
      <c r="Q4319" s="99"/>
      <c r="R4319" s="99"/>
    </row>
    <row r="4320" spans="5:18" s="65" customFormat="1">
      <c r="E4320" s="130"/>
      <c r="P4320" s="99"/>
      <c r="Q4320" s="99"/>
      <c r="R4320" s="99"/>
    </row>
    <row r="4321" spans="5:18" s="65" customFormat="1">
      <c r="E4321" s="130"/>
      <c r="P4321" s="99"/>
      <c r="Q4321" s="99"/>
      <c r="R4321" s="99"/>
    </row>
    <row r="4322" spans="5:18" s="65" customFormat="1">
      <c r="E4322" s="130"/>
      <c r="P4322" s="99"/>
      <c r="Q4322" s="99"/>
      <c r="R4322" s="99"/>
    </row>
    <row r="4323" spans="5:18" s="65" customFormat="1">
      <c r="E4323" s="130"/>
      <c r="P4323" s="99"/>
      <c r="Q4323" s="99"/>
      <c r="R4323" s="99"/>
    </row>
    <row r="4324" spans="5:18" s="65" customFormat="1">
      <c r="E4324" s="130"/>
      <c r="P4324" s="99"/>
      <c r="Q4324" s="99"/>
      <c r="R4324" s="99"/>
    </row>
    <row r="4325" spans="5:18" s="65" customFormat="1">
      <c r="E4325" s="130"/>
      <c r="P4325" s="99"/>
      <c r="Q4325" s="99"/>
      <c r="R4325" s="99"/>
    </row>
    <row r="4326" spans="5:18" s="65" customFormat="1">
      <c r="E4326" s="130"/>
      <c r="P4326" s="99"/>
      <c r="Q4326" s="99"/>
      <c r="R4326" s="99"/>
    </row>
    <row r="4327" spans="5:18" s="65" customFormat="1">
      <c r="E4327" s="130"/>
      <c r="P4327" s="99"/>
      <c r="Q4327" s="99"/>
      <c r="R4327" s="99"/>
    </row>
    <row r="4328" spans="5:18" s="65" customFormat="1">
      <c r="E4328" s="130"/>
      <c r="P4328" s="99"/>
      <c r="Q4328" s="99"/>
      <c r="R4328" s="99"/>
    </row>
    <row r="4329" spans="5:18" s="65" customFormat="1">
      <c r="E4329" s="130"/>
      <c r="P4329" s="99"/>
      <c r="Q4329" s="99"/>
      <c r="R4329" s="99"/>
    </row>
    <row r="4330" spans="5:18" s="65" customFormat="1">
      <c r="E4330" s="130"/>
      <c r="P4330" s="99"/>
      <c r="Q4330" s="99"/>
      <c r="R4330" s="99"/>
    </row>
    <row r="4331" spans="5:18" s="65" customFormat="1">
      <c r="E4331" s="130"/>
      <c r="P4331" s="99"/>
      <c r="Q4331" s="99"/>
      <c r="R4331" s="99"/>
    </row>
    <row r="4332" spans="5:18" s="65" customFormat="1">
      <c r="E4332" s="130"/>
      <c r="P4332" s="99"/>
      <c r="Q4332" s="99"/>
      <c r="R4332" s="99"/>
    </row>
    <row r="4333" spans="5:18" s="65" customFormat="1">
      <c r="E4333" s="130"/>
      <c r="P4333" s="99"/>
      <c r="Q4333" s="99"/>
      <c r="R4333" s="99"/>
    </row>
    <row r="4334" spans="5:18" s="65" customFormat="1">
      <c r="E4334" s="130"/>
      <c r="P4334" s="99"/>
      <c r="Q4334" s="99"/>
      <c r="R4334" s="99"/>
    </row>
    <row r="4335" spans="5:18" s="65" customFormat="1">
      <c r="E4335" s="130"/>
      <c r="P4335" s="99"/>
      <c r="Q4335" s="99"/>
      <c r="R4335" s="99"/>
    </row>
    <row r="4336" spans="5:18" s="65" customFormat="1">
      <c r="E4336" s="130"/>
      <c r="P4336" s="99"/>
      <c r="Q4336" s="99"/>
      <c r="R4336" s="99"/>
    </row>
    <row r="4337" spans="5:18" s="65" customFormat="1">
      <c r="E4337" s="130"/>
      <c r="P4337" s="99"/>
      <c r="Q4337" s="99"/>
      <c r="R4337" s="99"/>
    </row>
    <row r="4338" spans="5:18" s="65" customFormat="1">
      <c r="E4338" s="130"/>
      <c r="P4338" s="99"/>
      <c r="Q4338" s="99"/>
      <c r="R4338" s="99"/>
    </row>
    <row r="4339" spans="5:18" s="65" customFormat="1">
      <c r="E4339" s="130"/>
      <c r="P4339" s="99"/>
      <c r="Q4339" s="99"/>
      <c r="R4339" s="99"/>
    </row>
    <row r="4340" spans="5:18" s="65" customFormat="1">
      <c r="E4340" s="130"/>
      <c r="P4340" s="99"/>
      <c r="Q4340" s="99"/>
      <c r="R4340" s="99"/>
    </row>
    <row r="4341" spans="5:18" s="65" customFormat="1">
      <c r="E4341" s="130"/>
      <c r="P4341" s="99"/>
      <c r="Q4341" s="99"/>
      <c r="R4341" s="99"/>
    </row>
    <row r="4342" spans="5:18" s="65" customFormat="1">
      <c r="E4342" s="130"/>
      <c r="P4342" s="99"/>
      <c r="Q4342" s="99"/>
      <c r="R4342" s="99"/>
    </row>
    <row r="4343" spans="5:18" s="65" customFormat="1">
      <c r="E4343" s="130"/>
      <c r="P4343" s="99"/>
      <c r="Q4343" s="99"/>
      <c r="R4343" s="99"/>
    </row>
    <row r="4344" spans="5:18" s="65" customFormat="1">
      <c r="E4344" s="130"/>
      <c r="P4344" s="99"/>
      <c r="Q4344" s="99"/>
      <c r="R4344" s="99"/>
    </row>
    <row r="4345" spans="5:18" s="65" customFormat="1">
      <c r="E4345" s="130"/>
      <c r="P4345" s="99"/>
      <c r="Q4345" s="99"/>
      <c r="R4345" s="99"/>
    </row>
    <row r="4346" spans="5:18" s="65" customFormat="1">
      <c r="E4346" s="130"/>
      <c r="P4346" s="99"/>
      <c r="Q4346" s="99"/>
      <c r="R4346" s="99"/>
    </row>
    <row r="4347" spans="5:18" s="65" customFormat="1">
      <c r="E4347" s="130"/>
      <c r="P4347" s="99"/>
      <c r="Q4347" s="99"/>
      <c r="R4347" s="99"/>
    </row>
    <row r="4348" spans="5:18" s="65" customFormat="1">
      <c r="E4348" s="130"/>
      <c r="P4348" s="99"/>
      <c r="Q4348" s="99"/>
      <c r="R4348" s="99"/>
    </row>
    <row r="4349" spans="5:18" s="65" customFormat="1">
      <c r="E4349" s="130"/>
      <c r="P4349" s="99"/>
      <c r="Q4349" s="99"/>
      <c r="R4349" s="99"/>
    </row>
    <row r="4350" spans="5:18" s="65" customFormat="1">
      <c r="E4350" s="130"/>
      <c r="P4350" s="99"/>
      <c r="Q4350" s="99"/>
      <c r="R4350" s="99"/>
    </row>
    <row r="4351" spans="5:18" s="65" customFormat="1">
      <c r="E4351" s="130"/>
      <c r="P4351" s="99"/>
      <c r="Q4351" s="99"/>
      <c r="R4351" s="99"/>
    </row>
    <row r="4352" spans="5:18" s="65" customFormat="1">
      <c r="E4352" s="130"/>
      <c r="P4352" s="99"/>
      <c r="Q4352" s="99"/>
      <c r="R4352" s="99"/>
    </row>
    <row r="4353" spans="5:18" s="65" customFormat="1">
      <c r="E4353" s="130"/>
      <c r="P4353" s="99"/>
      <c r="Q4353" s="99"/>
      <c r="R4353" s="99"/>
    </row>
    <row r="4354" spans="5:18" s="65" customFormat="1">
      <c r="E4354" s="130"/>
      <c r="P4354" s="99"/>
      <c r="Q4354" s="99"/>
      <c r="R4354" s="99"/>
    </row>
    <row r="4355" spans="5:18" s="65" customFormat="1">
      <c r="E4355" s="130"/>
      <c r="P4355" s="99"/>
      <c r="Q4355" s="99"/>
      <c r="R4355" s="99"/>
    </row>
    <row r="4356" spans="5:18" s="65" customFormat="1">
      <c r="E4356" s="130"/>
      <c r="P4356" s="99"/>
      <c r="Q4356" s="99"/>
      <c r="R4356" s="99"/>
    </row>
    <row r="4357" spans="5:18" s="65" customFormat="1">
      <c r="E4357" s="130"/>
      <c r="P4357" s="99"/>
      <c r="Q4357" s="99"/>
      <c r="R4357" s="99"/>
    </row>
    <row r="4358" spans="5:18" s="65" customFormat="1">
      <c r="E4358" s="130"/>
      <c r="P4358" s="99"/>
      <c r="Q4358" s="99"/>
      <c r="R4358" s="99"/>
    </row>
    <row r="4359" spans="5:18" s="65" customFormat="1">
      <c r="E4359" s="130"/>
      <c r="P4359" s="99"/>
      <c r="Q4359" s="99"/>
      <c r="R4359" s="99"/>
    </row>
    <row r="4360" spans="5:18" s="65" customFormat="1">
      <c r="E4360" s="130"/>
      <c r="P4360" s="99"/>
      <c r="Q4360" s="99"/>
      <c r="R4360" s="99"/>
    </row>
    <row r="4361" spans="5:18" s="65" customFormat="1">
      <c r="E4361" s="130"/>
      <c r="P4361" s="99"/>
      <c r="Q4361" s="99"/>
      <c r="R4361" s="99"/>
    </row>
    <row r="4362" spans="5:18" s="65" customFormat="1">
      <c r="E4362" s="130"/>
      <c r="P4362" s="99"/>
      <c r="Q4362" s="99"/>
      <c r="R4362" s="99"/>
    </row>
    <row r="4363" spans="5:18" s="65" customFormat="1">
      <c r="E4363" s="130"/>
      <c r="P4363" s="99"/>
      <c r="Q4363" s="99"/>
      <c r="R4363" s="99"/>
    </row>
    <row r="4364" spans="5:18" s="65" customFormat="1">
      <c r="E4364" s="130"/>
      <c r="P4364" s="99"/>
      <c r="Q4364" s="99"/>
      <c r="R4364" s="99"/>
    </row>
    <row r="4365" spans="5:18" s="65" customFormat="1">
      <c r="E4365" s="130"/>
      <c r="P4365" s="99"/>
      <c r="Q4365" s="99"/>
      <c r="R4365" s="99"/>
    </row>
    <row r="4366" spans="5:18" s="65" customFormat="1">
      <c r="E4366" s="130"/>
      <c r="P4366" s="99"/>
      <c r="Q4366" s="99"/>
      <c r="R4366" s="99"/>
    </row>
    <row r="4367" spans="5:18" s="65" customFormat="1">
      <c r="E4367" s="130"/>
      <c r="P4367" s="99"/>
      <c r="Q4367" s="99"/>
      <c r="R4367" s="99"/>
    </row>
    <row r="4368" spans="5:18" s="65" customFormat="1">
      <c r="E4368" s="130"/>
      <c r="P4368" s="99"/>
      <c r="Q4368" s="99"/>
      <c r="R4368" s="99"/>
    </row>
    <row r="4369" spans="5:18" s="65" customFormat="1">
      <c r="E4369" s="130"/>
      <c r="P4369" s="99"/>
      <c r="Q4369" s="99"/>
      <c r="R4369" s="99"/>
    </row>
    <row r="4370" spans="5:18" s="65" customFormat="1">
      <c r="E4370" s="130"/>
      <c r="P4370" s="99"/>
      <c r="Q4370" s="99"/>
      <c r="R4370" s="99"/>
    </row>
    <row r="4371" spans="5:18" s="65" customFormat="1">
      <c r="E4371" s="130"/>
      <c r="P4371" s="99"/>
      <c r="Q4371" s="99"/>
      <c r="R4371" s="99"/>
    </row>
    <row r="4372" spans="5:18" s="65" customFormat="1">
      <c r="E4372" s="130"/>
      <c r="P4372" s="99"/>
      <c r="Q4372" s="99"/>
      <c r="R4372" s="99"/>
    </row>
    <row r="4373" spans="5:18" s="65" customFormat="1">
      <c r="E4373" s="130"/>
      <c r="P4373" s="99"/>
      <c r="Q4373" s="99"/>
      <c r="R4373" s="99"/>
    </row>
    <row r="4374" spans="5:18" s="65" customFormat="1">
      <c r="E4374" s="130"/>
      <c r="P4374" s="99"/>
      <c r="Q4374" s="99"/>
      <c r="R4374" s="99"/>
    </row>
    <row r="4375" spans="5:18" s="65" customFormat="1">
      <c r="E4375" s="130"/>
      <c r="P4375" s="99"/>
      <c r="Q4375" s="99"/>
      <c r="R4375" s="99"/>
    </row>
    <row r="4376" spans="5:18" s="65" customFormat="1">
      <c r="E4376" s="130"/>
      <c r="P4376" s="99"/>
      <c r="Q4376" s="99"/>
      <c r="R4376" s="99"/>
    </row>
    <row r="4377" spans="5:18" s="65" customFormat="1">
      <c r="E4377" s="130"/>
      <c r="P4377" s="99"/>
      <c r="Q4377" s="99"/>
      <c r="R4377" s="99"/>
    </row>
    <row r="4378" spans="5:18" s="65" customFormat="1">
      <c r="E4378" s="130"/>
      <c r="P4378" s="99"/>
      <c r="Q4378" s="99"/>
      <c r="R4378" s="99"/>
    </row>
    <row r="4379" spans="5:18" s="65" customFormat="1">
      <c r="E4379" s="130"/>
      <c r="P4379" s="99"/>
      <c r="Q4379" s="99"/>
      <c r="R4379" s="99"/>
    </row>
    <row r="4380" spans="5:18" s="65" customFormat="1">
      <c r="E4380" s="130"/>
      <c r="P4380" s="99"/>
      <c r="Q4380" s="99"/>
      <c r="R4380" s="99"/>
    </row>
    <row r="4381" spans="5:18" s="65" customFormat="1">
      <c r="E4381" s="130"/>
      <c r="P4381" s="99"/>
      <c r="Q4381" s="99"/>
      <c r="R4381" s="99"/>
    </row>
    <row r="4382" spans="5:18" s="65" customFormat="1">
      <c r="E4382" s="130"/>
      <c r="P4382" s="99"/>
      <c r="Q4382" s="99"/>
      <c r="R4382" s="99"/>
    </row>
    <row r="4383" spans="5:18" s="65" customFormat="1">
      <c r="E4383" s="130"/>
      <c r="P4383" s="99"/>
      <c r="Q4383" s="99"/>
      <c r="R4383" s="99"/>
    </row>
    <row r="4384" spans="5:18" s="65" customFormat="1">
      <c r="E4384" s="130"/>
      <c r="P4384" s="99"/>
      <c r="Q4384" s="99"/>
      <c r="R4384" s="99"/>
    </row>
    <row r="4385" spans="5:18" s="65" customFormat="1">
      <c r="E4385" s="130"/>
      <c r="P4385" s="99"/>
      <c r="Q4385" s="99"/>
      <c r="R4385" s="99"/>
    </row>
    <row r="4386" spans="5:18" s="65" customFormat="1">
      <c r="E4386" s="130"/>
      <c r="P4386" s="99"/>
      <c r="Q4386" s="99"/>
      <c r="R4386" s="99"/>
    </row>
    <row r="4387" spans="5:18" s="65" customFormat="1">
      <c r="E4387" s="130"/>
      <c r="P4387" s="99"/>
      <c r="Q4387" s="99"/>
      <c r="R4387" s="99"/>
    </row>
    <row r="4388" spans="5:18" s="65" customFormat="1">
      <c r="E4388" s="130"/>
      <c r="P4388" s="99"/>
      <c r="Q4388" s="99"/>
      <c r="R4388" s="99"/>
    </row>
    <row r="4389" spans="5:18" s="65" customFormat="1">
      <c r="E4389" s="130"/>
      <c r="P4389" s="99"/>
      <c r="Q4389" s="99"/>
      <c r="R4389" s="99"/>
    </row>
    <row r="4390" spans="5:18" s="65" customFormat="1">
      <c r="E4390" s="130"/>
      <c r="P4390" s="99"/>
      <c r="Q4390" s="99"/>
      <c r="R4390" s="99"/>
    </row>
    <row r="4391" spans="5:18" s="65" customFormat="1">
      <c r="E4391" s="130"/>
      <c r="P4391" s="99"/>
      <c r="Q4391" s="99"/>
      <c r="R4391" s="99"/>
    </row>
    <row r="4392" spans="5:18" s="65" customFormat="1">
      <c r="E4392" s="130"/>
      <c r="P4392" s="99"/>
      <c r="Q4392" s="99"/>
      <c r="R4392" s="99"/>
    </row>
    <row r="4393" spans="5:18" s="65" customFormat="1">
      <c r="E4393" s="130"/>
      <c r="P4393" s="99"/>
      <c r="Q4393" s="99"/>
      <c r="R4393" s="99"/>
    </row>
    <row r="4394" spans="5:18" s="65" customFormat="1">
      <c r="E4394" s="130"/>
      <c r="P4394" s="99"/>
      <c r="Q4394" s="99"/>
      <c r="R4394" s="99"/>
    </row>
    <row r="4395" spans="5:18" s="65" customFormat="1">
      <c r="E4395" s="130"/>
      <c r="P4395" s="99"/>
      <c r="Q4395" s="99"/>
      <c r="R4395" s="99"/>
    </row>
    <row r="4396" spans="5:18" s="65" customFormat="1">
      <c r="E4396" s="130"/>
      <c r="P4396" s="99"/>
      <c r="Q4396" s="99"/>
      <c r="R4396" s="99"/>
    </row>
    <row r="4397" spans="5:18" s="65" customFormat="1">
      <c r="E4397" s="130"/>
      <c r="P4397" s="99"/>
      <c r="Q4397" s="99"/>
      <c r="R4397" s="99"/>
    </row>
    <row r="4398" spans="5:18" s="65" customFormat="1">
      <c r="E4398" s="130"/>
      <c r="P4398" s="99"/>
      <c r="Q4398" s="99"/>
      <c r="R4398" s="99"/>
    </row>
    <row r="4399" spans="5:18" s="65" customFormat="1">
      <c r="E4399" s="130"/>
      <c r="P4399" s="99"/>
      <c r="Q4399" s="99"/>
      <c r="R4399" s="99"/>
    </row>
    <row r="4400" spans="5:18" s="65" customFormat="1">
      <c r="E4400" s="130"/>
      <c r="P4400" s="99"/>
      <c r="Q4400" s="99"/>
      <c r="R4400" s="99"/>
    </row>
    <row r="4401" spans="5:18" s="65" customFormat="1">
      <c r="E4401" s="130"/>
      <c r="P4401" s="99"/>
      <c r="Q4401" s="99"/>
      <c r="R4401" s="99"/>
    </row>
    <row r="4402" spans="5:18" s="65" customFormat="1">
      <c r="E4402" s="130"/>
      <c r="P4402" s="99"/>
      <c r="Q4402" s="99"/>
      <c r="R4402" s="99"/>
    </row>
    <row r="4403" spans="5:18" s="65" customFormat="1">
      <c r="E4403" s="130"/>
      <c r="P4403" s="99"/>
      <c r="Q4403" s="99"/>
      <c r="R4403" s="99"/>
    </row>
    <row r="4404" spans="5:18" s="65" customFormat="1">
      <c r="E4404" s="130"/>
      <c r="P4404" s="99"/>
      <c r="Q4404" s="99"/>
      <c r="R4404" s="99"/>
    </row>
    <row r="4405" spans="5:18" s="65" customFormat="1">
      <c r="E4405" s="130"/>
      <c r="P4405" s="99"/>
      <c r="Q4405" s="99"/>
      <c r="R4405" s="99"/>
    </row>
    <row r="4406" spans="5:18" s="65" customFormat="1">
      <c r="E4406" s="130"/>
      <c r="P4406" s="99"/>
      <c r="Q4406" s="99"/>
      <c r="R4406" s="99"/>
    </row>
    <row r="4407" spans="5:18" s="65" customFormat="1">
      <c r="E4407" s="130"/>
      <c r="P4407" s="99"/>
      <c r="Q4407" s="99"/>
      <c r="R4407" s="99"/>
    </row>
    <row r="4408" spans="5:18" s="65" customFormat="1">
      <c r="E4408" s="130"/>
      <c r="P4408" s="99"/>
      <c r="Q4408" s="99"/>
      <c r="R4408" s="99"/>
    </row>
    <row r="4409" spans="5:18" s="65" customFormat="1">
      <c r="E4409" s="130"/>
      <c r="P4409" s="99"/>
      <c r="Q4409" s="99"/>
      <c r="R4409" s="99"/>
    </row>
    <row r="4410" spans="5:18" s="65" customFormat="1">
      <c r="E4410" s="130"/>
      <c r="P4410" s="99"/>
      <c r="Q4410" s="99"/>
      <c r="R4410" s="99"/>
    </row>
    <row r="4411" spans="5:18" s="65" customFormat="1">
      <c r="E4411" s="130"/>
      <c r="P4411" s="99"/>
      <c r="Q4411" s="99"/>
      <c r="R4411" s="99"/>
    </row>
    <row r="4412" spans="5:18" s="65" customFormat="1">
      <c r="E4412" s="130"/>
      <c r="P4412" s="99"/>
      <c r="Q4412" s="99"/>
      <c r="R4412" s="99"/>
    </row>
    <row r="4413" spans="5:18" s="65" customFormat="1">
      <c r="E4413" s="130"/>
      <c r="P4413" s="99"/>
      <c r="Q4413" s="99"/>
      <c r="R4413" s="99"/>
    </row>
    <row r="4414" spans="5:18" s="65" customFormat="1">
      <c r="E4414" s="130"/>
      <c r="P4414" s="99"/>
      <c r="Q4414" s="99"/>
      <c r="R4414" s="99"/>
    </row>
    <row r="4415" spans="5:18" s="65" customFormat="1">
      <c r="E4415" s="130"/>
      <c r="P4415" s="99"/>
      <c r="Q4415" s="99"/>
      <c r="R4415" s="99"/>
    </row>
    <row r="4416" spans="5:18" s="65" customFormat="1">
      <c r="E4416" s="130"/>
      <c r="P4416" s="99"/>
      <c r="Q4416" s="99"/>
      <c r="R4416" s="99"/>
    </row>
    <row r="4417" spans="5:18" s="65" customFormat="1">
      <c r="E4417" s="130"/>
      <c r="P4417" s="99"/>
      <c r="Q4417" s="99"/>
      <c r="R4417" s="99"/>
    </row>
    <row r="4418" spans="5:18" s="65" customFormat="1">
      <c r="E4418" s="130"/>
      <c r="P4418" s="99"/>
      <c r="Q4418" s="99"/>
      <c r="R4418" s="99"/>
    </row>
    <row r="4419" spans="5:18" s="65" customFormat="1">
      <c r="E4419" s="130"/>
      <c r="P4419" s="99"/>
      <c r="Q4419" s="99"/>
      <c r="R4419" s="99"/>
    </row>
    <row r="4420" spans="5:18" s="65" customFormat="1">
      <c r="E4420" s="130"/>
      <c r="P4420" s="99"/>
      <c r="Q4420" s="99"/>
      <c r="R4420" s="99"/>
    </row>
    <row r="4421" spans="5:18" s="65" customFormat="1">
      <c r="E4421" s="130"/>
      <c r="P4421" s="99"/>
      <c r="Q4421" s="99"/>
      <c r="R4421" s="99"/>
    </row>
    <row r="4422" spans="5:18" s="65" customFormat="1">
      <c r="E4422" s="130"/>
      <c r="P4422" s="99"/>
      <c r="Q4422" s="99"/>
      <c r="R4422" s="99"/>
    </row>
    <row r="4423" spans="5:18" s="65" customFormat="1">
      <c r="E4423" s="130"/>
      <c r="P4423" s="99"/>
      <c r="Q4423" s="99"/>
      <c r="R4423" s="99"/>
    </row>
    <row r="4424" spans="5:18" s="65" customFormat="1">
      <c r="E4424" s="130"/>
      <c r="P4424" s="99"/>
      <c r="Q4424" s="99"/>
      <c r="R4424" s="99"/>
    </row>
    <row r="4425" spans="5:18" s="65" customFormat="1">
      <c r="E4425" s="130"/>
      <c r="P4425" s="99"/>
      <c r="Q4425" s="99"/>
      <c r="R4425" s="99"/>
    </row>
    <row r="4426" spans="5:18" s="65" customFormat="1">
      <c r="E4426" s="130"/>
      <c r="P4426" s="99"/>
      <c r="Q4426" s="99"/>
      <c r="R4426" s="99"/>
    </row>
    <row r="4427" spans="5:18" s="65" customFormat="1">
      <c r="E4427" s="130"/>
      <c r="P4427" s="99"/>
      <c r="Q4427" s="99"/>
      <c r="R4427" s="99"/>
    </row>
    <row r="4428" spans="5:18" s="65" customFormat="1">
      <c r="E4428" s="130"/>
      <c r="P4428" s="99"/>
      <c r="Q4428" s="99"/>
      <c r="R4428" s="99"/>
    </row>
    <row r="4429" spans="5:18" s="65" customFormat="1">
      <c r="E4429" s="130"/>
      <c r="P4429" s="99"/>
      <c r="Q4429" s="99"/>
      <c r="R4429" s="99"/>
    </row>
    <row r="4430" spans="5:18" s="65" customFormat="1">
      <c r="E4430" s="130"/>
      <c r="P4430" s="99"/>
      <c r="Q4430" s="99"/>
      <c r="R4430" s="99"/>
    </row>
    <row r="4431" spans="5:18" s="65" customFormat="1">
      <c r="E4431" s="130"/>
      <c r="P4431" s="99"/>
      <c r="Q4431" s="99"/>
      <c r="R4431" s="99"/>
    </row>
    <row r="4432" spans="5:18" s="65" customFormat="1">
      <c r="E4432" s="130"/>
      <c r="P4432" s="99"/>
      <c r="Q4432" s="99"/>
      <c r="R4432" s="99"/>
    </row>
    <row r="4433" spans="5:18" s="65" customFormat="1">
      <c r="E4433" s="130"/>
      <c r="P4433" s="99"/>
      <c r="Q4433" s="99"/>
      <c r="R4433" s="99"/>
    </row>
    <row r="4434" spans="5:18" s="65" customFormat="1">
      <c r="E4434" s="130"/>
      <c r="P4434" s="99"/>
      <c r="Q4434" s="99"/>
      <c r="R4434" s="99"/>
    </row>
    <row r="4435" spans="5:18" s="65" customFormat="1">
      <c r="E4435" s="130"/>
      <c r="P4435" s="99"/>
      <c r="Q4435" s="99"/>
      <c r="R4435" s="99"/>
    </row>
    <row r="4436" spans="5:18" s="65" customFormat="1">
      <c r="E4436" s="130"/>
      <c r="P4436" s="99"/>
      <c r="Q4436" s="99"/>
      <c r="R4436" s="99"/>
    </row>
    <row r="4437" spans="5:18" s="65" customFormat="1">
      <c r="E4437" s="130"/>
      <c r="P4437" s="99"/>
      <c r="Q4437" s="99"/>
      <c r="R4437" s="99"/>
    </row>
    <row r="4438" spans="5:18" s="65" customFormat="1">
      <c r="E4438" s="130"/>
      <c r="P4438" s="99"/>
      <c r="Q4438" s="99"/>
      <c r="R4438" s="99"/>
    </row>
    <row r="4439" spans="5:18" s="65" customFormat="1">
      <c r="E4439" s="130"/>
      <c r="P4439" s="99"/>
      <c r="Q4439" s="99"/>
      <c r="R4439" s="99"/>
    </row>
    <row r="4440" spans="5:18" s="65" customFormat="1">
      <c r="E4440" s="130"/>
      <c r="P4440" s="99"/>
      <c r="Q4440" s="99"/>
      <c r="R4440" s="99"/>
    </row>
    <row r="4441" spans="5:18" s="65" customFormat="1">
      <c r="E4441" s="130"/>
      <c r="P4441" s="99"/>
      <c r="Q4441" s="99"/>
      <c r="R4441" s="99"/>
    </row>
    <row r="4442" spans="5:18" s="65" customFormat="1">
      <c r="E4442" s="130"/>
      <c r="P4442" s="99"/>
      <c r="Q4442" s="99"/>
      <c r="R4442" s="99"/>
    </row>
    <row r="4443" spans="5:18" s="65" customFormat="1">
      <c r="E4443" s="130"/>
      <c r="P4443" s="99"/>
      <c r="Q4443" s="99"/>
      <c r="R4443" s="99"/>
    </row>
    <row r="4444" spans="5:18" s="65" customFormat="1">
      <c r="E4444" s="130"/>
      <c r="P4444" s="99"/>
      <c r="Q4444" s="99"/>
      <c r="R4444" s="99"/>
    </row>
    <row r="4445" spans="5:18" s="65" customFormat="1">
      <c r="E4445" s="130"/>
      <c r="P4445" s="99"/>
      <c r="Q4445" s="99"/>
      <c r="R4445" s="99"/>
    </row>
    <row r="4446" spans="5:18" s="65" customFormat="1">
      <c r="E4446" s="130"/>
      <c r="P4446" s="99"/>
      <c r="Q4446" s="99"/>
      <c r="R4446" s="99"/>
    </row>
    <row r="4447" spans="5:18" s="65" customFormat="1">
      <c r="E4447" s="130"/>
      <c r="P4447" s="99"/>
      <c r="Q4447" s="99"/>
      <c r="R4447" s="99"/>
    </row>
    <row r="4448" spans="5:18" s="65" customFormat="1">
      <c r="E4448" s="130"/>
      <c r="P4448" s="99"/>
      <c r="Q4448" s="99"/>
      <c r="R4448" s="99"/>
    </row>
    <row r="4449" spans="5:18" s="65" customFormat="1">
      <c r="E4449" s="130"/>
      <c r="P4449" s="99"/>
      <c r="Q4449" s="99"/>
      <c r="R4449" s="99"/>
    </row>
    <row r="4450" spans="5:18" s="65" customFormat="1">
      <c r="E4450" s="130"/>
      <c r="P4450" s="99"/>
      <c r="Q4450" s="99"/>
      <c r="R4450" s="99"/>
    </row>
    <row r="4451" spans="5:18" s="65" customFormat="1">
      <c r="E4451" s="130"/>
      <c r="P4451" s="99"/>
      <c r="Q4451" s="99"/>
      <c r="R4451" s="99"/>
    </row>
    <row r="4452" spans="5:18" s="65" customFormat="1">
      <c r="E4452" s="130"/>
      <c r="P4452" s="99"/>
      <c r="Q4452" s="99"/>
      <c r="R4452" s="99"/>
    </row>
    <row r="4453" spans="5:18" s="65" customFormat="1">
      <c r="E4453" s="130"/>
      <c r="P4453" s="99"/>
      <c r="Q4453" s="99"/>
      <c r="R4453" s="99"/>
    </row>
    <row r="4454" spans="5:18" s="65" customFormat="1">
      <c r="E4454" s="130"/>
      <c r="P4454" s="99"/>
      <c r="Q4454" s="99"/>
      <c r="R4454" s="99"/>
    </row>
    <row r="4455" spans="5:18" s="65" customFormat="1">
      <c r="E4455" s="130"/>
      <c r="P4455" s="99"/>
      <c r="Q4455" s="99"/>
      <c r="R4455" s="99"/>
    </row>
    <row r="4456" spans="5:18" s="65" customFormat="1">
      <c r="E4456" s="130"/>
      <c r="P4456" s="99"/>
      <c r="Q4456" s="99"/>
      <c r="R4456" s="99"/>
    </row>
    <row r="4457" spans="5:18" s="65" customFormat="1">
      <c r="E4457" s="130"/>
      <c r="P4457" s="99"/>
      <c r="Q4457" s="99"/>
      <c r="R4457" s="99"/>
    </row>
    <row r="4458" spans="5:18" s="65" customFormat="1">
      <c r="E4458" s="130"/>
      <c r="P4458" s="99"/>
      <c r="Q4458" s="99"/>
      <c r="R4458" s="99"/>
    </row>
    <row r="4459" spans="5:18" s="65" customFormat="1">
      <c r="E4459" s="130"/>
      <c r="P4459" s="99"/>
      <c r="Q4459" s="99"/>
      <c r="R4459" s="99"/>
    </row>
    <row r="4460" spans="5:18" s="65" customFormat="1">
      <c r="E4460" s="130"/>
      <c r="P4460" s="99"/>
      <c r="Q4460" s="99"/>
      <c r="R4460" s="99"/>
    </row>
    <row r="4461" spans="5:18" s="65" customFormat="1">
      <c r="E4461" s="130"/>
      <c r="P4461" s="99"/>
      <c r="Q4461" s="99"/>
      <c r="R4461" s="99"/>
    </row>
    <row r="4462" spans="5:18" s="65" customFormat="1">
      <c r="E4462" s="130"/>
      <c r="P4462" s="99"/>
      <c r="Q4462" s="99"/>
      <c r="R4462" s="99"/>
    </row>
    <row r="4463" spans="5:18" s="65" customFormat="1">
      <c r="E4463" s="130"/>
      <c r="P4463" s="99"/>
      <c r="Q4463" s="99"/>
      <c r="R4463" s="99"/>
    </row>
    <row r="4464" spans="5:18" s="65" customFormat="1">
      <c r="E4464" s="130"/>
      <c r="P4464" s="99"/>
      <c r="Q4464" s="99"/>
      <c r="R4464" s="99"/>
    </row>
    <row r="4465" spans="5:18" s="65" customFormat="1">
      <c r="E4465" s="130"/>
      <c r="P4465" s="99"/>
      <c r="Q4465" s="99"/>
      <c r="R4465" s="99"/>
    </row>
    <row r="4466" spans="5:18" s="65" customFormat="1">
      <c r="E4466" s="130"/>
      <c r="P4466" s="99"/>
      <c r="Q4466" s="99"/>
      <c r="R4466" s="99"/>
    </row>
    <row r="4467" spans="5:18" s="65" customFormat="1">
      <c r="E4467" s="130"/>
      <c r="P4467" s="99"/>
      <c r="Q4467" s="99"/>
      <c r="R4467" s="99"/>
    </row>
    <row r="4468" spans="5:18" s="65" customFormat="1">
      <c r="E4468" s="130"/>
      <c r="P4468" s="99"/>
      <c r="Q4468" s="99"/>
      <c r="R4468" s="99"/>
    </row>
    <row r="4469" spans="5:18" s="65" customFormat="1">
      <c r="E4469" s="130"/>
      <c r="P4469" s="99"/>
      <c r="Q4469" s="99"/>
      <c r="R4469" s="99"/>
    </row>
    <row r="4470" spans="5:18" s="65" customFormat="1">
      <c r="E4470" s="130"/>
      <c r="P4470" s="99"/>
      <c r="Q4470" s="99"/>
      <c r="R4470" s="99"/>
    </row>
    <row r="4471" spans="5:18" s="65" customFormat="1">
      <c r="E4471" s="130"/>
      <c r="P4471" s="99"/>
      <c r="Q4471" s="99"/>
      <c r="R4471" s="99"/>
    </row>
    <row r="4472" spans="5:18" s="65" customFormat="1">
      <c r="E4472" s="130"/>
      <c r="P4472" s="99"/>
      <c r="Q4472" s="99"/>
      <c r="R4472" s="99"/>
    </row>
    <row r="4473" spans="5:18" s="65" customFormat="1">
      <c r="E4473" s="130"/>
      <c r="P4473" s="99"/>
      <c r="Q4473" s="99"/>
      <c r="R4473" s="99"/>
    </row>
    <row r="4474" spans="5:18" s="65" customFormat="1">
      <c r="E4474" s="130"/>
      <c r="P4474" s="99"/>
      <c r="Q4474" s="99"/>
      <c r="R4474" s="99"/>
    </row>
    <row r="4475" spans="5:18" s="65" customFormat="1">
      <c r="E4475" s="130"/>
      <c r="P4475" s="99"/>
      <c r="Q4475" s="99"/>
      <c r="R4475" s="99"/>
    </row>
    <row r="4476" spans="5:18" s="65" customFormat="1">
      <c r="E4476" s="130"/>
      <c r="P4476" s="99"/>
      <c r="Q4476" s="99"/>
      <c r="R4476" s="99"/>
    </row>
    <row r="4477" spans="5:18" s="65" customFormat="1">
      <c r="E4477" s="130"/>
      <c r="P4477" s="99"/>
      <c r="Q4477" s="99"/>
      <c r="R4477" s="99"/>
    </row>
    <row r="4478" spans="5:18" s="65" customFormat="1">
      <c r="E4478" s="130"/>
      <c r="P4478" s="99"/>
      <c r="Q4478" s="99"/>
      <c r="R4478" s="99"/>
    </row>
    <row r="4479" spans="5:18" s="65" customFormat="1">
      <c r="E4479" s="130"/>
      <c r="P4479" s="99"/>
      <c r="Q4479" s="99"/>
      <c r="R4479" s="99"/>
    </row>
    <row r="4480" spans="5:18" s="65" customFormat="1">
      <c r="E4480" s="130"/>
      <c r="P4480" s="99"/>
      <c r="Q4480" s="99"/>
      <c r="R4480" s="99"/>
    </row>
    <row r="4481" spans="5:18" s="65" customFormat="1">
      <c r="E4481" s="130"/>
      <c r="P4481" s="99"/>
      <c r="Q4481" s="99"/>
      <c r="R4481" s="99"/>
    </row>
    <row r="4482" spans="5:18" s="65" customFormat="1">
      <c r="E4482" s="130"/>
      <c r="P4482" s="99"/>
      <c r="Q4482" s="99"/>
      <c r="R4482" s="99"/>
    </row>
    <row r="4483" spans="5:18" s="65" customFormat="1">
      <c r="E4483" s="130"/>
      <c r="P4483" s="99"/>
      <c r="Q4483" s="99"/>
      <c r="R4483" s="99"/>
    </row>
    <row r="4484" spans="5:18" s="65" customFormat="1">
      <c r="E4484" s="130"/>
      <c r="P4484" s="99"/>
      <c r="Q4484" s="99"/>
      <c r="R4484" s="99"/>
    </row>
    <row r="4485" spans="5:18" s="65" customFormat="1">
      <c r="E4485" s="130"/>
      <c r="P4485" s="99"/>
      <c r="Q4485" s="99"/>
      <c r="R4485" s="99"/>
    </row>
    <row r="4486" spans="5:18" s="65" customFormat="1">
      <c r="E4486" s="130"/>
      <c r="P4486" s="99"/>
      <c r="Q4486" s="99"/>
      <c r="R4486" s="99"/>
    </row>
    <row r="4487" spans="5:18" s="65" customFormat="1">
      <c r="E4487" s="130"/>
      <c r="P4487" s="99"/>
      <c r="Q4487" s="99"/>
      <c r="R4487" s="99"/>
    </row>
    <row r="4488" spans="5:18" s="65" customFormat="1">
      <c r="E4488" s="130"/>
      <c r="P4488" s="99"/>
      <c r="Q4488" s="99"/>
      <c r="R4488" s="99"/>
    </row>
    <row r="4489" spans="5:18" s="65" customFormat="1">
      <c r="E4489" s="130"/>
      <c r="P4489" s="99"/>
      <c r="Q4489" s="99"/>
      <c r="R4489" s="99"/>
    </row>
    <row r="4490" spans="5:18" s="65" customFormat="1">
      <c r="E4490" s="130"/>
      <c r="P4490" s="99"/>
      <c r="Q4490" s="99"/>
      <c r="R4490" s="99"/>
    </row>
    <row r="4491" spans="5:18" s="65" customFormat="1">
      <c r="E4491" s="130"/>
      <c r="P4491" s="99"/>
      <c r="Q4491" s="99"/>
      <c r="R4491" s="99"/>
    </row>
    <row r="4492" spans="5:18" s="65" customFormat="1">
      <c r="E4492" s="130"/>
      <c r="P4492" s="99"/>
      <c r="Q4492" s="99"/>
      <c r="R4492" s="99"/>
    </row>
    <row r="4493" spans="5:18" s="65" customFormat="1">
      <c r="E4493" s="130"/>
      <c r="P4493" s="99"/>
      <c r="Q4493" s="99"/>
      <c r="R4493" s="99"/>
    </row>
    <row r="4494" spans="5:18" s="65" customFormat="1">
      <c r="E4494" s="130"/>
      <c r="P4494" s="99"/>
      <c r="Q4494" s="99"/>
      <c r="R4494" s="99"/>
    </row>
    <row r="4495" spans="5:18" s="65" customFormat="1">
      <c r="E4495" s="130"/>
      <c r="P4495" s="99"/>
      <c r="Q4495" s="99"/>
      <c r="R4495" s="99"/>
    </row>
    <row r="4496" spans="5:18" s="65" customFormat="1">
      <c r="E4496" s="130"/>
      <c r="P4496" s="99"/>
      <c r="Q4496" s="99"/>
      <c r="R4496" s="99"/>
    </row>
    <row r="4497" spans="5:18" s="65" customFormat="1">
      <c r="E4497" s="130"/>
      <c r="P4497" s="99"/>
      <c r="Q4497" s="99"/>
      <c r="R4497" s="99"/>
    </row>
    <row r="4498" spans="5:18" s="65" customFormat="1">
      <c r="E4498" s="130"/>
      <c r="P4498" s="99"/>
      <c r="Q4498" s="99"/>
      <c r="R4498" s="99"/>
    </row>
    <row r="4499" spans="5:18" s="65" customFormat="1">
      <c r="E4499" s="130"/>
      <c r="P4499" s="99"/>
      <c r="Q4499" s="99"/>
      <c r="R4499" s="99"/>
    </row>
    <row r="4500" spans="5:18" s="65" customFormat="1">
      <c r="E4500" s="130"/>
      <c r="P4500" s="99"/>
      <c r="Q4500" s="99"/>
      <c r="R4500" s="99"/>
    </row>
    <row r="4501" spans="5:18" s="65" customFormat="1">
      <c r="E4501" s="130"/>
      <c r="P4501" s="99"/>
      <c r="Q4501" s="99"/>
      <c r="R4501" s="99"/>
    </row>
    <row r="4502" spans="5:18" s="65" customFormat="1">
      <c r="E4502" s="130"/>
      <c r="P4502" s="99"/>
      <c r="Q4502" s="99"/>
      <c r="R4502" s="99"/>
    </row>
    <row r="4503" spans="5:18" s="65" customFormat="1">
      <c r="E4503" s="130"/>
      <c r="P4503" s="99"/>
      <c r="Q4503" s="99"/>
      <c r="R4503" s="99"/>
    </row>
    <row r="4504" spans="5:18" s="65" customFormat="1">
      <c r="E4504" s="130"/>
      <c r="P4504" s="99"/>
      <c r="Q4504" s="99"/>
      <c r="R4504" s="99"/>
    </row>
    <row r="4505" spans="5:18" s="65" customFormat="1">
      <c r="E4505" s="130"/>
      <c r="P4505" s="99"/>
      <c r="Q4505" s="99"/>
      <c r="R4505" s="99"/>
    </row>
    <row r="4506" spans="5:18" s="65" customFormat="1">
      <c r="E4506" s="130"/>
      <c r="P4506" s="99"/>
      <c r="Q4506" s="99"/>
      <c r="R4506" s="99"/>
    </row>
    <row r="4507" spans="5:18" s="65" customFormat="1">
      <c r="E4507" s="130"/>
      <c r="P4507" s="99"/>
      <c r="Q4507" s="99"/>
      <c r="R4507" s="99"/>
    </row>
    <row r="4508" spans="5:18" s="65" customFormat="1">
      <c r="E4508" s="130"/>
      <c r="P4508" s="99"/>
      <c r="Q4508" s="99"/>
      <c r="R4508" s="99"/>
    </row>
    <row r="4509" spans="5:18" s="65" customFormat="1">
      <c r="E4509" s="130"/>
      <c r="P4509" s="99"/>
      <c r="Q4509" s="99"/>
      <c r="R4509" s="99"/>
    </row>
    <row r="4510" spans="5:18" s="65" customFormat="1">
      <c r="E4510" s="130"/>
      <c r="P4510" s="99"/>
      <c r="Q4510" s="99"/>
      <c r="R4510" s="99"/>
    </row>
    <row r="4511" spans="5:18" s="65" customFormat="1">
      <c r="E4511" s="130"/>
      <c r="P4511" s="99"/>
      <c r="Q4511" s="99"/>
      <c r="R4511" s="99"/>
    </row>
    <row r="4512" spans="5:18" s="65" customFormat="1">
      <c r="E4512" s="130"/>
      <c r="P4512" s="99"/>
      <c r="Q4512" s="99"/>
      <c r="R4512" s="99"/>
    </row>
    <row r="4513" spans="5:18" s="65" customFormat="1">
      <c r="E4513" s="130"/>
      <c r="P4513" s="99"/>
      <c r="Q4513" s="99"/>
      <c r="R4513" s="99"/>
    </row>
    <row r="4514" spans="5:18" s="65" customFormat="1">
      <c r="E4514" s="130"/>
      <c r="P4514" s="99"/>
      <c r="Q4514" s="99"/>
      <c r="R4514" s="99"/>
    </row>
    <row r="4515" spans="5:18" s="65" customFormat="1">
      <c r="E4515" s="130"/>
      <c r="P4515" s="99"/>
      <c r="Q4515" s="99"/>
      <c r="R4515" s="99"/>
    </row>
    <row r="4516" spans="5:18" s="65" customFormat="1">
      <c r="E4516" s="130"/>
      <c r="P4516" s="99"/>
      <c r="Q4516" s="99"/>
      <c r="R4516" s="99"/>
    </row>
    <row r="4517" spans="5:18" s="65" customFormat="1">
      <c r="E4517" s="130"/>
      <c r="P4517" s="99"/>
      <c r="Q4517" s="99"/>
      <c r="R4517" s="99"/>
    </row>
    <row r="4518" spans="5:18" s="65" customFormat="1">
      <c r="E4518" s="130"/>
      <c r="P4518" s="99"/>
      <c r="Q4518" s="99"/>
      <c r="R4518" s="99"/>
    </row>
    <row r="4519" spans="5:18" s="65" customFormat="1">
      <c r="E4519" s="130"/>
      <c r="P4519" s="99"/>
      <c r="Q4519" s="99"/>
      <c r="R4519" s="99"/>
    </row>
    <row r="4520" spans="5:18" s="65" customFormat="1">
      <c r="E4520" s="130"/>
      <c r="P4520" s="99"/>
      <c r="Q4520" s="99"/>
      <c r="R4520" s="99"/>
    </row>
    <row r="4521" spans="5:18" s="65" customFormat="1">
      <c r="E4521" s="130"/>
      <c r="P4521" s="99"/>
      <c r="Q4521" s="99"/>
      <c r="R4521" s="99"/>
    </row>
    <row r="4522" spans="5:18" s="65" customFormat="1">
      <c r="E4522" s="130"/>
      <c r="P4522" s="99"/>
      <c r="Q4522" s="99"/>
      <c r="R4522" s="99"/>
    </row>
    <row r="4523" spans="5:18" s="65" customFormat="1">
      <c r="E4523" s="130"/>
      <c r="P4523" s="99"/>
      <c r="Q4523" s="99"/>
      <c r="R4523" s="99"/>
    </row>
    <row r="4524" spans="5:18" s="65" customFormat="1">
      <c r="E4524" s="130"/>
      <c r="P4524" s="99"/>
      <c r="Q4524" s="99"/>
      <c r="R4524" s="99"/>
    </row>
    <row r="4525" spans="5:18" s="65" customFormat="1">
      <c r="E4525" s="130"/>
      <c r="P4525" s="99"/>
      <c r="Q4525" s="99"/>
      <c r="R4525" s="99"/>
    </row>
    <row r="4526" spans="5:18" s="65" customFormat="1">
      <c r="E4526" s="130"/>
      <c r="P4526" s="99"/>
      <c r="Q4526" s="99"/>
      <c r="R4526" s="99"/>
    </row>
    <row r="4527" spans="5:18" s="65" customFormat="1">
      <c r="E4527" s="130"/>
      <c r="P4527" s="99"/>
      <c r="Q4527" s="99"/>
      <c r="R4527" s="99"/>
    </row>
    <row r="4528" spans="5:18" s="65" customFormat="1">
      <c r="E4528" s="130"/>
      <c r="P4528" s="99"/>
      <c r="Q4528" s="99"/>
      <c r="R4528" s="99"/>
    </row>
    <row r="4529" spans="5:18" s="65" customFormat="1">
      <c r="E4529" s="130"/>
      <c r="P4529" s="99"/>
      <c r="Q4529" s="99"/>
      <c r="R4529" s="99"/>
    </row>
    <row r="4530" spans="5:18" s="65" customFormat="1">
      <c r="E4530" s="130"/>
      <c r="P4530" s="99"/>
      <c r="Q4530" s="99"/>
      <c r="R4530" s="99"/>
    </row>
    <row r="4531" spans="5:18" s="65" customFormat="1">
      <c r="E4531" s="130"/>
      <c r="P4531" s="99"/>
      <c r="Q4531" s="99"/>
      <c r="R4531" s="99"/>
    </row>
    <row r="4532" spans="5:18" s="65" customFormat="1">
      <c r="E4532" s="130"/>
      <c r="P4532" s="99"/>
      <c r="Q4532" s="99"/>
      <c r="R4532" s="99"/>
    </row>
    <row r="4533" spans="5:18" s="65" customFormat="1">
      <c r="E4533" s="130"/>
      <c r="P4533" s="99"/>
      <c r="Q4533" s="99"/>
      <c r="R4533" s="99"/>
    </row>
    <row r="4534" spans="5:18" s="65" customFormat="1">
      <c r="E4534" s="130"/>
      <c r="P4534" s="99"/>
      <c r="Q4534" s="99"/>
      <c r="R4534" s="99"/>
    </row>
    <row r="4535" spans="5:18" s="65" customFormat="1">
      <c r="E4535" s="130"/>
      <c r="P4535" s="99"/>
      <c r="Q4535" s="99"/>
      <c r="R4535" s="99"/>
    </row>
    <row r="4536" spans="5:18" s="65" customFormat="1">
      <c r="E4536" s="130"/>
      <c r="P4536" s="99"/>
      <c r="Q4536" s="99"/>
      <c r="R4536" s="99"/>
    </row>
    <row r="4537" spans="5:18" s="65" customFormat="1">
      <c r="E4537" s="130"/>
      <c r="P4537" s="99"/>
      <c r="Q4537" s="99"/>
      <c r="R4537" s="99"/>
    </row>
    <row r="4538" spans="5:18" s="65" customFormat="1">
      <c r="E4538" s="130"/>
      <c r="P4538" s="99"/>
      <c r="Q4538" s="99"/>
      <c r="R4538" s="99"/>
    </row>
    <row r="4539" spans="5:18" s="65" customFormat="1">
      <c r="E4539" s="130"/>
      <c r="P4539" s="99"/>
      <c r="Q4539" s="99"/>
      <c r="R4539" s="99"/>
    </row>
    <row r="4540" spans="5:18" s="65" customFormat="1">
      <c r="E4540" s="130"/>
      <c r="P4540" s="99"/>
      <c r="Q4540" s="99"/>
      <c r="R4540" s="99"/>
    </row>
    <row r="4541" spans="5:18" s="65" customFormat="1">
      <c r="E4541" s="130"/>
      <c r="P4541" s="99"/>
      <c r="Q4541" s="99"/>
      <c r="R4541" s="99"/>
    </row>
    <row r="4542" spans="5:18" s="65" customFormat="1">
      <c r="E4542" s="130"/>
      <c r="P4542" s="99"/>
      <c r="Q4542" s="99"/>
      <c r="R4542" s="99"/>
    </row>
    <row r="4543" spans="5:18" s="65" customFormat="1">
      <c r="E4543" s="130"/>
      <c r="P4543" s="99"/>
      <c r="Q4543" s="99"/>
      <c r="R4543" s="99"/>
    </row>
    <row r="4544" spans="5:18" s="65" customFormat="1">
      <c r="E4544" s="130"/>
      <c r="P4544" s="99"/>
      <c r="Q4544" s="99"/>
      <c r="R4544" s="99"/>
    </row>
    <row r="4545" spans="5:18" s="65" customFormat="1">
      <c r="E4545" s="130"/>
      <c r="P4545" s="99"/>
      <c r="Q4545" s="99"/>
      <c r="R4545" s="99"/>
    </row>
    <row r="4546" spans="5:18" s="65" customFormat="1">
      <c r="E4546" s="130"/>
      <c r="P4546" s="99"/>
      <c r="Q4546" s="99"/>
      <c r="R4546" s="99"/>
    </row>
    <row r="4547" spans="5:18" s="65" customFormat="1">
      <c r="E4547" s="130"/>
      <c r="P4547" s="99"/>
      <c r="Q4547" s="99"/>
      <c r="R4547" s="99"/>
    </row>
    <row r="4548" spans="5:18" s="65" customFormat="1">
      <c r="E4548" s="130"/>
      <c r="P4548" s="99"/>
      <c r="Q4548" s="99"/>
      <c r="R4548" s="99"/>
    </row>
    <row r="4549" spans="5:18" s="65" customFormat="1">
      <c r="E4549" s="130"/>
      <c r="P4549" s="99"/>
      <c r="Q4549" s="99"/>
      <c r="R4549" s="99"/>
    </row>
    <row r="4550" spans="5:18" s="65" customFormat="1">
      <c r="E4550" s="130"/>
      <c r="P4550" s="99"/>
      <c r="Q4550" s="99"/>
      <c r="R4550" s="99"/>
    </row>
    <row r="4551" spans="5:18" s="65" customFormat="1">
      <c r="E4551" s="130"/>
      <c r="P4551" s="99"/>
      <c r="Q4551" s="99"/>
      <c r="R4551" s="99"/>
    </row>
    <row r="4552" spans="5:18" s="65" customFormat="1">
      <c r="E4552" s="130"/>
      <c r="P4552" s="99"/>
      <c r="Q4552" s="99"/>
      <c r="R4552" s="99"/>
    </row>
    <row r="4553" spans="5:18" s="65" customFormat="1">
      <c r="E4553" s="130"/>
      <c r="P4553" s="99"/>
      <c r="Q4553" s="99"/>
      <c r="R4553" s="99"/>
    </row>
    <row r="4554" spans="5:18" s="65" customFormat="1">
      <c r="E4554" s="130"/>
      <c r="P4554" s="99"/>
      <c r="Q4554" s="99"/>
      <c r="R4554" s="99"/>
    </row>
    <row r="4555" spans="5:18" s="65" customFormat="1">
      <c r="E4555" s="130"/>
      <c r="P4555" s="99"/>
      <c r="Q4555" s="99"/>
      <c r="R4555" s="99"/>
    </row>
    <row r="4556" spans="5:18" s="65" customFormat="1">
      <c r="E4556" s="130"/>
      <c r="P4556" s="99"/>
      <c r="Q4556" s="99"/>
      <c r="R4556" s="99"/>
    </row>
    <row r="4557" spans="5:18" s="65" customFormat="1">
      <c r="E4557" s="130"/>
      <c r="P4557" s="99"/>
      <c r="Q4557" s="99"/>
      <c r="R4557" s="99"/>
    </row>
    <row r="4558" spans="5:18" s="65" customFormat="1">
      <c r="E4558" s="130"/>
      <c r="P4558" s="99"/>
      <c r="Q4558" s="99"/>
      <c r="R4558" s="99"/>
    </row>
    <row r="4559" spans="5:18" s="65" customFormat="1">
      <c r="E4559" s="130"/>
      <c r="P4559" s="99"/>
      <c r="Q4559" s="99"/>
      <c r="R4559" s="99"/>
    </row>
    <row r="4560" spans="5:18" s="65" customFormat="1">
      <c r="E4560" s="130"/>
      <c r="P4560" s="99"/>
      <c r="Q4560" s="99"/>
      <c r="R4560" s="99"/>
    </row>
    <row r="4561" spans="5:18" s="65" customFormat="1">
      <c r="E4561" s="130"/>
      <c r="P4561" s="99"/>
      <c r="Q4561" s="99"/>
      <c r="R4561" s="99"/>
    </row>
    <row r="4562" spans="5:18" s="65" customFormat="1">
      <c r="E4562" s="130"/>
      <c r="P4562" s="99"/>
      <c r="Q4562" s="99"/>
      <c r="R4562" s="99"/>
    </row>
    <row r="4563" spans="5:18" s="65" customFormat="1">
      <c r="E4563" s="130"/>
      <c r="P4563" s="99"/>
      <c r="Q4563" s="99"/>
      <c r="R4563" s="99"/>
    </row>
    <row r="4564" spans="5:18" s="65" customFormat="1">
      <c r="E4564" s="130"/>
      <c r="P4564" s="99"/>
      <c r="Q4564" s="99"/>
      <c r="R4564" s="99"/>
    </row>
    <row r="4565" spans="5:18" s="65" customFormat="1">
      <c r="E4565" s="130"/>
      <c r="P4565" s="99"/>
      <c r="Q4565" s="99"/>
      <c r="R4565" s="99"/>
    </row>
    <row r="4566" spans="5:18" s="65" customFormat="1">
      <c r="E4566" s="130"/>
      <c r="P4566" s="99"/>
      <c r="Q4566" s="99"/>
      <c r="R4566" s="99"/>
    </row>
    <row r="4567" spans="5:18" s="65" customFormat="1">
      <c r="E4567" s="130"/>
      <c r="P4567" s="99"/>
      <c r="Q4567" s="99"/>
      <c r="R4567" s="99"/>
    </row>
    <row r="4568" spans="5:18" s="65" customFormat="1">
      <c r="E4568" s="130"/>
      <c r="P4568" s="99"/>
      <c r="Q4568" s="99"/>
      <c r="R4568" s="99"/>
    </row>
    <row r="4569" spans="5:18" s="65" customFormat="1">
      <c r="E4569" s="130"/>
      <c r="P4569" s="99"/>
      <c r="Q4569" s="99"/>
      <c r="R4569" s="99"/>
    </row>
    <row r="4570" spans="5:18" s="65" customFormat="1">
      <c r="E4570" s="130"/>
      <c r="P4570" s="99"/>
      <c r="Q4570" s="99"/>
      <c r="R4570" s="99"/>
    </row>
    <row r="4571" spans="5:18" s="65" customFormat="1">
      <c r="E4571" s="130"/>
      <c r="P4571" s="99"/>
      <c r="Q4571" s="99"/>
      <c r="R4571" s="99"/>
    </row>
    <row r="4572" spans="5:18" s="65" customFormat="1">
      <c r="E4572" s="130"/>
      <c r="P4572" s="99"/>
      <c r="Q4572" s="99"/>
      <c r="R4572" s="99"/>
    </row>
    <row r="4573" spans="5:18" s="65" customFormat="1">
      <c r="E4573" s="130"/>
      <c r="P4573" s="99"/>
      <c r="Q4573" s="99"/>
      <c r="R4573" s="99"/>
    </row>
    <row r="4574" spans="5:18" s="65" customFormat="1">
      <c r="E4574" s="130"/>
      <c r="P4574" s="99"/>
      <c r="Q4574" s="99"/>
      <c r="R4574" s="99"/>
    </row>
    <row r="4575" spans="5:18" s="65" customFormat="1">
      <c r="E4575" s="130"/>
      <c r="P4575" s="99"/>
      <c r="Q4575" s="99"/>
      <c r="R4575" s="99"/>
    </row>
    <row r="4576" spans="5:18" s="65" customFormat="1">
      <c r="E4576" s="130"/>
      <c r="P4576" s="99"/>
      <c r="Q4576" s="99"/>
      <c r="R4576" s="99"/>
    </row>
    <row r="4577" spans="5:18" s="65" customFormat="1">
      <c r="E4577" s="130"/>
      <c r="P4577" s="99"/>
      <c r="Q4577" s="99"/>
      <c r="R4577" s="99"/>
    </row>
    <row r="4578" spans="5:18" s="65" customFormat="1">
      <c r="E4578" s="130"/>
      <c r="P4578" s="99"/>
      <c r="Q4578" s="99"/>
      <c r="R4578" s="99"/>
    </row>
    <row r="4579" spans="5:18" s="65" customFormat="1">
      <c r="E4579" s="130"/>
      <c r="P4579" s="99"/>
      <c r="Q4579" s="99"/>
      <c r="R4579" s="99"/>
    </row>
    <row r="4580" spans="5:18" s="65" customFormat="1">
      <c r="E4580" s="130"/>
      <c r="P4580" s="99"/>
      <c r="Q4580" s="99"/>
      <c r="R4580" s="99"/>
    </row>
    <row r="4581" spans="5:18" s="65" customFormat="1">
      <c r="E4581" s="130"/>
      <c r="P4581" s="99"/>
      <c r="Q4581" s="99"/>
      <c r="R4581" s="99"/>
    </row>
    <row r="4582" spans="5:18" s="65" customFormat="1">
      <c r="E4582" s="130"/>
      <c r="P4582" s="99"/>
      <c r="Q4582" s="99"/>
      <c r="R4582" s="99"/>
    </row>
    <row r="4583" spans="5:18" s="65" customFormat="1">
      <c r="E4583" s="130"/>
      <c r="P4583" s="99"/>
      <c r="Q4583" s="99"/>
      <c r="R4583" s="99"/>
    </row>
    <row r="4584" spans="5:18" s="65" customFormat="1">
      <c r="E4584" s="130"/>
      <c r="P4584" s="99"/>
      <c r="Q4584" s="99"/>
      <c r="R4584" s="99"/>
    </row>
    <row r="4585" spans="5:18" s="65" customFormat="1">
      <c r="E4585" s="130"/>
      <c r="P4585" s="99"/>
      <c r="Q4585" s="99"/>
      <c r="R4585" s="99"/>
    </row>
    <row r="4586" spans="5:18" s="65" customFormat="1">
      <c r="E4586" s="130"/>
      <c r="P4586" s="99"/>
      <c r="Q4586" s="99"/>
      <c r="R4586" s="99"/>
    </row>
    <row r="4587" spans="5:18" s="65" customFormat="1">
      <c r="E4587" s="130"/>
      <c r="P4587" s="99"/>
      <c r="Q4587" s="99"/>
      <c r="R4587" s="99"/>
    </row>
    <row r="4588" spans="5:18" s="65" customFormat="1">
      <c r="E4588" s="130"/>
      <c r="P4588" s="99"/>
      <c r="Q4588" s="99"/>
      <c r="R4588" s="99"/>
    </row>
    <row r="4589" spans="5:18" s="65" customFormat="1">
      <c r="E4589" s="130"/>
      <c r="P4589" s="99"/>
      <c r="Q4589" s="99"/>
      <c r="R4589" s="99"/>
    </row>
    <row r="4590" spans="5:18" s="65" customFormat="1">
      <c r="E4590" s="130"/>
      <c r="P4590" s="99"/>
      <c r="Q4590" s="99"/>
      <c r="R4590" s="99"/>
    </row>
    <row r="4591" spans="5:18" s="65" customFormat="1">
      <c r="E4591" s="130"/>
      <c r="P4591" s="99"/>
      <c r="Q4591" s="99"/>
      <c r="R4591" s="99"/>
    </row>
    <row r="4592" spans="5:18" s="65" customFormat="1">
      <c r="E4592" s="130"/>
      <c r="P4592" s="99"/>
      <c r="Q4592" s="99"/>
      <c r="R4592" s="99"/>
    </row>
    <row r="4593" spans="5:18" s="65" customFormat="1">
      <c r="E4593" s="130"/>
      <c r="P4593" s="99"/>
      <c r="Q4593" s="99"/>
      <c r="R4593" s="99"/>
    </row>
    <row r="4594" spans="5:18" s="65" customFormat="1">
      <c r="E4594" s="130"/>
      <c r="P4594" s="99"/>
      <c r="Q4594" s="99"/>
      <c r="R4594" s="99"/>
    </row>
    <row r="4595" spans="5:18" s="65" customFormat="1">
      <c r="E4595" s="130"/>
      <c r="P4595" s="99"/>
      <c r="Q4595" s="99"/>
      <c r="R4595" s="99"/>
    </row>
    <row r="4596" spans="5:18" s="65" customFormat="1">
      <c r="E4596" s="130"/>
      <c r="P4596" s="99"/>
      <c r="Q4596" s="99"/>
      <c r="R4596" s="99"/>
    </row>
    <row r="4597" spans="5:18" s="65" customFormat="1">
      <c r="E4597" s="130"/>
      <c r="P4597" s="99"/>
      <c r="Q4597" s="99"/>
      <c r="R4597" s="99"/>
    </row>
    <row r="4598" spans="5:18" s="65" customFormat="1">
      <c r="E4598" s="130"/>
      <c r="P4598" s="99"/>
      <c r="Q4598" s="99"/>
      <c r="R4598" s="99"/>
    </row>
    <row r="4599" spans="5:18" s="65" customFormat="1">
      <c r="E4599" s="130"/>
      <c r="P4599" s="99"/>
      <c r="Q4599" s="99"/>
      <c r="R4599" s="99"/>
    </row>
    <row r="4600" spans="5:18" s="65" customFormat="1">
      <c r="E4600" s="130"/>
      <c r="P4600" s="99"/>
      <c r="Q4600" s="99"/>
      <c r="R4600" s="99"/>
    </row>
    <row r="4601" spans="5:18" s="65" customFormat="1">
      <c r="E4601" s="130"/>
      <c r="P4601" s="99"/>
      <c r="Q4601" s="99"/>
      <c r="R4601" s="99"/>
    </row>
    <row r="4602" spans="5:18" s="65" customFormat="1">
      <c r="E4602" s="130"/>
      <c r="P4602" s="99"/>
      <c r="Q4602" s="99"/>
      <c r="R4602" s="99"/>
    </row>
    <row r="4603" spans="5:18" s="65" customFormat="1">
      <c r="E4603" s="130"/>
      <c r="P4603" s="99"/>
      <c r="Q4603" s="99"/>
      <c r="R4603" s="99"/>
    </row>
    <row r="4604" spans="5:18" s="65" customFormat="1">
      <c r="E4604" s="130"/>
      <c r="P4604" s="99"/>
      <c r="Q4604" s="99"/>
      <c r="R4604" s="99"/>
    </row>
    <row r="4605" spans="5:18" s="65" customFormat="1">
      <c r="E4605" s="130"/>
      <c r="P4605" s="99"/>
      <c r="Q4605" s="99"/>
      <c r="R4605" s="99"/>
    </row>
    <row r="4606" spans="5:18" s="65" customFormat="1">
      <c r="E4606" s="130"/>
      <c r="P4606" s="99"/>
      <c r="Q4606" s="99"/>
      <c r="R4606" s="99"/>
    </row>
    <row r="4607" spans="5:18" s="65" customFormat="1">
      <c r="E4607" s="130"/>
      <c r="P4607" s="99"/>
      <c r="Q4607" s="99"/>
      <c r="R4607" s="99"/>
    </row>
    <row r="4608" spans="5:18" s="65" customFormat="1">
      <c r="E4608" s="130"/>
      <c r="P4608" s="99"/>
      <c r="Q4608" s="99"/>
      <c r="R4608" s="99"/>
    </row>
    <row r="4609" spans="5:18" s="65" customFormat="1">
      <c r="E4609" s="130"/>
      <c r="P4609" s="99"/>
      <c r="Q4609" s="99"/>
      <c r="R4609" s="99"/>
    </row>
    <row r="4610" spans="5:18" s="65" customFormat="1">
      <c r="E4610" s="130"/>
      <c r="P4610" s="99"/>
      <c r="Q4610" s="99"/>
      <c r="R4610" s="99"/>
    </row>
    <row r="4611" spans="5:18" s="65" customFormat="1">
      <c r="E4611" s="130"/>
      <c r="P4611" s="99"/>
      <c r="Q4611" s="99"/>
      <c r="R4611" s="99"/>
    </row>
    <row r="4612" spans="5:18" s="65" customFormat="1">
      <c r="E4612" s="130"/>
      <c r="P4612" s="99"/>
      <c r="Q4612" s="99"/>
      <c r="R4612" s="99"/>
    </row>
    <row r="4613" spans="5:18" s="65" customFormat="1">
      <c r="E4613" s="130"/>
      <c r="P4613" s="99"/>
      <c r="Q4613" s="99"/>
      <c r="R4613" s="99"/>
    </row>
    <row r="4614" spans="5:18" s="65" customFormat="1">
      <c r="E4614" s="130"/>
      <c r="P4614" s="99"/>
      <c r="Q4614" s="99"/>
      <c r="R4614" s="99"/>
    </row>
    <row r="4615" spans="5:18" s="65" customFormat="1">
      <c r="E4615" s="130"/>
      <c r="P4615" s="99"/>
      <c r="Q4615" s="99"/>
      <c r="R4615" s="99"/>
    </row>
    <row r="4616" spans="5:18" s="65" customFormat="1">
      <c r="E4616" s="130"/>
      <c r="P4616" s="99"/>
      <c r="Q4616" s="99"/>
      <c r="R4616" s="99"/>
    </row>
    <row r="4617" spans="5:18" s="65" customFormat="1">
      <c r="E4617" s="130"/>
      <c r="P4617" s="99"/>
      <c r="Q4617" s="99"/>
      <c r="R4617" s="99"/>
    </row>
    <row r="4618" spans="5:18" s="65" customFormat="1">
      <c r="E4618" s="130"/>
      <c r="P4618" s="99"/>
      <c r="Q4618" s="99"/>
      <c r="R4618" s="99"/>
    </row>
    <row r="4619" spans="5:18" s="65" customFormat="1">
      <c r="E4619" s="130"/>
      <c r="P4619" s="99"/>
      <c r="Q4619" s="99"/>
      <c r="R4619" s="99"/>
    </row>
    <row r="4620" spans="5:18" s="65" customFormat="1">
      <c r="E4620" s="130"/>
      <c r="P4620" s="99"/>
      <c r="Q4620" s="99"/>
      <c r="R4620" s="99"/>
    </row>
    <row r="4621" spans="5:18" s="65" customFormat="1">
      <c r="E4621" s="130"/>
      <c r="P4621" s="99"/>
      <c r="Q4621" s="99"/>
      <c r="R4621" s="99"/>
    </row>
    <row r="4622" spans="5:18" s="65" customFormat="1">
      <c r="E4622" s="130"/>
      <c r="P4622" s="99"/>
      <c r="Q4622" s="99"/>
      <c r="R4622" s="99"/>
    </row>
    <row r="4623" spans="5:18" s="65" customFormat="1">
      <c r="E4623" s="130"/>
      <c r="P4623" s="99"/>
      <c r="Q4623" s="99"/>
      <c r="R4623" s="99"/>
    </row>
    <row r="4624" spans="5:18" s="65" customFormat="1">
      <c r="E4624" s="130"/>
      <c r="P4624" s="99"/>
      <c r="Q4624" s="99"/>
      <c r="R4624" s="99"/>
    </row>
    <row r="4625" spans="5:18" s="65" customFormat="1">
      <c r="E4625" s="130"/>
      <c r="P4625" s="99"/>
      <c r="Q4625" s="99"/>
      <c r="R4625" s="99"/>
    </row>
    <row r="4626" spans="5:18" s="65" customFormat="1">
      <c r="E4626" s="130"/>
      <c r="P4626" s="99"/>
      <c r="Q4626" s="99"/>
      <c r="R4626" s="99"/>
    </row>
    <row r="4627" spans="5:18" s="65" customFormat="1">
      <c r="E4627" s="130"/>
      <c r="P4627" s="99"/>
      <c r="Q4627" s="99"/>
      <c r="R4627" s="99"/>
    </row>
    <row r="4628" spans="5:18" s="65" customFormat="1">
      <c r="E4628" s="130"/>
      <c r="P4628" s="99"/>
      <c r="Q4628" s="99"/>
      <c r="R4628" s="99"/>
    </row>
    <row r="4629" spans="5:18" s="65" customFormat="1">
      <c r="E4629" s="130"/>
      <c r="P4629" s="99"/>
      <c r="Q4629" s="99"/>
      <c r="R4629" s="99"/>
    </row>
    <row r="4630" spans="5:18" s="65" customFormat="1">
      <c r="E4630" s="130"/>
      <c r="P4630" s="99"/>
      <c r="Q4630" s="99"/>
      <c r="R4630" s="99"/>
    </row>
    <row r="4631" spans="5:18" s="65" customFormat="1">
      <c r="E4631" s="130"/>
      <c r="P4631" s="99"/>
      <c r="Q4631" s="99"/>
      <c r="R4631" s="99"/>
    </row>
    <row r="4632" spans="5:18" s="65" customFormat="1">
      <c r="E4632" s="130"/>
      <c r="P4632" s="99"/>
      <c r="Q4632" s="99"/>
      <c r="R4632" s="99"/>
    </row>
    <row r="4633" spans="5:18" s="65" customFormat="1">
      <c r="E4633" s="130"/>
      <c r="P4633" s="99"/>
      <c r="Q4633" s="99"/>
      <c r="R4633" s="99"/>
    </row>
    <row r="4634" spans="5:18" s="65" customFormat="1">
      <c r="E4634" s="130"/>
      <c r="P4634" s="99"/>
      <c r="Q4634" s="99"/>
      <c r="R4634" s="99"/>
    </row>
    <row r="4635" spans="5:18" s="65" customFormat="1">
      <c r="E4635" s="130"/>
      <c r="P4635" s="99"/>
      <c r="Q4635" s="99"/>
      <c r="R4635" s="99"/>
    </row>
    <row r="4636" spans="5:18" s="65" customFormat="1">
      <c r="E4636" s="130"/>
      <c r="P4636" s="99"/>
      <c r="Q4636" s="99"/>
      <c r="R4636" s="99"/>
    </row>
    <row r="4637" spans="5:18" s="65" customFormat="1">
      <c r="E4637" s="130"/>
      <c r="P4637" s="99"/>
      <c r="Q4637" s="99"/>
      <c r="R4637" s="99"/>
    </row>
    <row r="4638" spans="5:18" s="65" customFormat="1">
      <c r="E4638" s="130"/>
      <c r="P4638" s="99"/>
      <c r="Q4638" s="99"/>
      <c r="R4638" s="99"/>
    </row>
    <row r="4639" spans="5:18" s="65" customFormat="1">
      <c r="E4639" s="130"/>
      <c r="P4639" s="99"/>
      <c r="Q4639" s="99"/>
      <c r="R4639" s="99"/>
    </row>
    <row r="4640" spans="5:18" s="65" customFormat="1">
      <c r="E4640" s="130"/>
      <c r="P4640" s="99"/>
      <c r="Q4640" s="99"/>
      <c r="R4640" s="99"/>
    </row>
    <row r="4641" spans="5:18" s="65" customFormat="1">
      <c r="E4641" s="130"/>
      <c r="P4641" s="99"/>
      <c r="Q4641" s="99"/>
      <c r="R4641" s="99"/>
    </row>
    <row r="4642" spans="5:18" s="65" customFormat="1">
      <c r="E4642" s="130"/>
      <c r="P4642" s="99"/>
      <c r="Q4642" s="99"/>
      <c r="R4642" s="99"/>
    </row>
    <row r="4643" spans="5:18" s="65" customFormat="1">
      <c r="E4643" s="130"/>
      <c r="P4643" s="99"/>
      <c r="Q4643" s="99"/>
      <c r="R4643" s="99"/>
    </row>
    <row r="4644" spans="5:18" s="65" customFormat="1">
      <c r="E4644" s="130"/>
      <c r="P4644" s="99"/>
      <c r="Q4644" s="99"/>
      <c r="R4644" s="99"/>
    </row>
    <row r="4645" spans="5:18" s="65" customFormat="1">
      <c r="E4645" s="130"/>
      <c r="P4645" s="99"/>
      <c r="Q4645" s="99"/>
      <c r="R4645" s="99"/>
    </row>
    <row r="4646" spans="5:18" s="65" customFormat="1">
      <c r="E4646" s="130"/>
      <c r="P4646" s="99"/>
      <c r="Q4646" s="99"/>
      <c r="R4646" s="99"/>
    </row>
    <row r="4647" spans="5:18" s="65" customFormat="1">
      <c r="E4647" s="130"/>
      <c r="P4647" s="99"/>
      <c r="Q4647" s="99"/>
      <c r="R4647" s="99"/>
    </row>
    <row r="4648" spans="5:18" s="65" customFormat="1">
      <c r="E4648" s="130"/>
      <c r="P4648" s="99"/>
      <c r="Q4648" s="99"/>
      <c r="R4648" s="99"/>
    </row>
    <row r="4649" spans="5:18" s="65" customFormat="1">
      <c r="E4649" s="130"/>
      <c r="P4649" s="99"/>
      <c r="Q4649" s="99"/>
      <c r="R4649" s="99"/>
    </row>
    <row r="4650" spans="5:18" s="65" customFormat="1">
      <c r="E4650" s="130"/>
      <c r="P4650" s="99"/>
      <c r="Q4650" s="99"/>
      <c r="R4650" s="99"/>
    </row>
    <row r="4651" spans="5:18" s="65" customFormat="1">
      <c r="E4651" s="130"/>
      <c r="P4651" s="99"/>
      <c r="Q4651" s="99"/>
      <c r="R4651" s="99"/>
    </row>
    <row r="4652" spans="5:18" s="65" customFormat="1">
      <c r="E4652" s="130"/>
      <c r="P4652" s="99"/>
      <c r="Q4652" s="99"/>
      <c r="R4652" s="99"/>
    </row>
    <row r="4653" spans="5:18" s="65" customFormat="1">
      <c r="E4653" s="130"/>
      <c r="P4653" s="99"/>
      <c r="Q4653" s="99"/>
      <c r="R4653" s="99"/>
    </row>
    <row r="4654" spans="5:18" s="65" customFormat="1">
      <c r="E4654" s="130"/>
      <c r="P4654" s="99"/>
      <c r="Q4654" s="99"/>
      <c r="R4654" s="99"/>
    </row>
    <row r="4655" spans="5:18" s="65" customFormat="1">
      <c r="E4655" s="130"/>
      <c r="P4655" s="99"/>
      <c r="Q4655" s="99"/>
      <c r="R4655" s="99"/>
    </row>
    <row r="4656" spans="5:18" s="65" customFormat="1">
      <c r="E4656" s="130"/>
      <c r="P4656" s="99"/>
      <c r="Q4656" s="99"/>
      <c r="R4656" s="99"/>
    </row>
    <row r="4657" spans="5:18" s="65" customFormat="1">
      <c r="E4657" s="130"/>
      <c r="P4657" s="99"/>
      <c r="Q4657" s="99"/>
      <c r="R4657" s="99"/>
    </row>
    <row r="4658" spans="5:18" s="65" customFormat="1">
      <c r="E4658" s="130"/>
      <c r="P4658" s="99"/>
      <c r="Q4658" s="99"/>
      <c r="R4658" s="99"/>
    </row>
    <row r="4659" spans="5:18" s="65" customFormat="1">
      <c r="E4659" s="130"/>
      <c r="P4659" s="99"/>
      <c r="Q4659" s="99"/>
      <c r="R4659" s="99"/>
    </row>
    <row r="4660" spans="5:18" s="65" customFormat="1">
      <c r="E4660" s="130"/>
      <c r="P4660" s="99"/>
      <c r="Q4660" s="99"/>
      <c r="R4660" s="99"/>
    </row>
    <row r="4661" spans="5:18" s="65" customFormat="1">
      <c r="E4661" s="130"/>
      <c r="P4661" s="99"/>
      <c r="Q4661" s="99"/>
      <c r="R4661" s="99"/>
    </row>
    <row r="4662" spans="5:18" s="65" customFormat="1">
      <c r="E4662" s="130"/>
      <c r="P4662" s="99"/>
      <c r="Q4662" s="99"/>
      <c r="R4662" s="99"/>
    </row>
    <row r="4663" spans="5:18" s="65" customFormat="1">
      <c r="E4663" s="130"/>
      <c r="P4663" s="99"/>
      <c r="Q4663" s="99"/>
      <c r="R4663" s="99"/>
    </row>
    <row r="4664" spans="5:18" s="65" customFormat="1">
      <c r="E4664" s="130"/>
      <c r="P4664" s="99"/>
      <c r="Q4664" s="99"/>
      <c r="R4664" s="99"/>
    </row>
    <row r="4665" spans="5:18" s="65" customFormat="1">
      <c r="E4665" s="130"/>
      <c r="P4665" s="99"/>
      <c r="Q4665" s="99"/>
      <c r="R4665" s="99"/>
    </row>
    <row r="4666" spans="5:18" s="65" customFormat="1">
      <c r="E4666" s="130"/>
      <c r="P4666" s="99"/>
      <c r="Q4666" s="99"/>
      <c r="R4666" s="99"/>
    </row>
    <row r="4667" spans="5:18" s="65" customFormat="1">
      <c r="E4667" s="130"/>
      <c r="P4667" s="99"/>
      <c r="Q4667" s="99"/>
      <c r="R4667" s="99"/>
    </row>
    <row r="4668" spans="5:18" s="65" customFormat="1">
      <c r="E4668" s="130"/>
      <c r="P4668" s="99"/>
      <c r="Q4668" s="99"/>
      <c r="R4668" s="99"/>
    </row>
    <row r="4669" spans="5:18" s="65" customFormat="1">
      <c r="E4669" s="130"/>
      <c r="P4669" s="99"/>
      <c r="Q4669" s="99"/>
      <c r="R4669" s="99"/>
    </row>
    <row r="4670" spans="5:18" s="65" customFormat="1">
      <c r="E4670" s="130"/>
      <c r="P4670" s="99"/>
      <c r="Q4670" s="99"/>
      <c r="R4670" s="99"/>
    </row>
    <row r="4671" spans="5:18" s="65" customFormat="1">
      <c r="E4671" s="130"/>
      <c r="P4671" s="99"/>
      <c r="Q4671" s="99"/>
      <c r="R4671" s="99"/>
    </row>
    <row r="4672" spans="5:18" s="65" customFormat="1">
      <c r="E4672" s="130"/>
      <c r="P4672" s="99"/>
      <c r="Q4672" s="99"/>
      <c r="R4672" s="99"/>
    </row>
    <row r="4673" spans="5:18" s="65" customFormat="1">
      <c r="E4673" s="130"/>
      <c r="P4673" s="99"/>
      <c r="Q4673" s="99"/>
      <c r="R4673" s="99"/>
    </row>
    <row r="4674" spans="5:18" s="65" customFormat="1">
      <c r="E4674" s="130"/>
      <c r="P4674" s="99"/>
      <c r="Q4674" s="99"/>
      <c r="R4674" s="99"/>
    </row>
    <row r="4675" spans="5:18" s="65" customFormat="1">
      <c r="E4675" s="130"/>
      <c r="P4675" s="99"/>
      <c r="Q4675" s="99"/>
      <c r="R4675" s="99"/>
    </row>
    <row r="4676" spans="5:18" s="65" customFormat="1">
      <c r="E4676" s="130"/>
      <c r="P4676" s="99"/>
      <c r="Q4676" s="99"/>
      <c r="R4676" s="99"/>
    </row>
    <row r="4677" spans="5:18" s="65" customFormat="1">
      <c r="E4677" s="130"/>
      <c r="P4677" s="99"/>
      <c r="Q4677" s="99"/>
      <c r="R4677" s="99"/>
    </row>
    <row r="4678" spans="5:18" s="65" customFormat="1">
      <c r="E4678" s="130"/>
      <c r="P4678" s="99"/>
      <c r="Q4678" s="99"/>
      <c r="R4678" s="99"/>
    </row>
    <row r="4679" spans="5:18" s="65" customFormat="1">
      <c r="E4679" s="130"/>
      <c r="P4679" s="99"/>
      <c r="Q4679" s="99"/>
      <c r="R4679" s="99"/>
    </row>
    <row r="4680" spans="5:18" s="65" customFormat="1">
      <c r="E4680" s="130"/>
      <c r="P4680" s="99"/>
      <c r="Q4680" s="99"/>
      <c r="R4680" s="99"/>
    </row>
    <row r="4681" spans="5:18" s="65" customFormat="1">
      <c r="E4681" s="130"/>
      <c r="P4681" s="99"/>
      <c r="Q4681" s="99"/>
      <c r="R4681" s="99"/>
    </row>
    <row r="4682" spans="5:18" s="65" customFormat="1">
      <c r="E4682" s="130"/>
      <c r="P4682" s="99"/>
      <c r="Q4682" s="99"/>
      <c r="R4682" s="99"/>
    </row>
    <row r="4683" spans="5:18" s="65" customFormat="1">
      <c r="E4683" s="130"/>
      <c r="P4683" s="99"/>
      <c r="Q4683" s="99"/>
      <c r="R4683" s="99"/>
    </row>
    <row r="4684" spans="5:18" s="65" customFormat="1">
      <c r="E4684" s="130"/>
      <c r="P4684" s="99"/>
      <c r="Q4684" s="99"/>
      <c r="R4684" s="99"/>
    </row>
    <row r="4685" spans="5:18" s="65" customFormat="1">
      <c r="E4685" s="130"/>
      <c r="P4685" s="99"/>
      <c r="Q4685" s="99"/>
      <c r="R4685" s="99"/>
    </row>
    <row r="4686" spans="5:18" s="65" customFormat="1">
      <c r="E4686" s="130"/>
      <c r="P4686" s="99"/>
      <c r="Q4686" s="99"/>
      <c r="R4686" s="99"/>
    </row>
    <row r="4687" spans="5:18" s="65" customFormat="1">
      <c r="E4687" s="130"/>
      <c r="P4687" s="99"/>
      <c r="Q4687" s="99"/>
      <c r="R4687" s="99"/>
    </row>
    <row r="4688" spans="5:18" s="65" customFormat="1">
      <c r="E4688" s="130"/>
      <c r="P4688" s="99"/>
      <c r="Q4688" s="99"/>
      <c r="R4688" s="99"/>
    </row>
    <row r="4689" spans="5:18" s="65" customFormat="1">
      <c r="E4689" s="130"/>
      <c r="P4689" s="99"/>
      <c r="Q4689" s="99"/>
      <c r="R4689" s="99"/>
    </row>
    <row r="4690" spans="5:18" s="65" customFormat="1">
      <c r="E4690" s="130"/>
      <c r="P4690" s="99"/>
      <c r="Q4690" s="99"/>
      <c r="R4690" s="99"/>
    </row>
    <row r="4691" spans="5:18" s="65" customFormat="1">
      <c r="E4691" s="130"/>
      <c r="P4691" s="99"/>
      <c r="Q4691" s="99"/>
      <c r="R4691" s="99"/>
    </row>
    <row r="4692" spans="5:18" s="65" customFormat="1">
      <c r="E4692" s="130"/>
      <c r="P4692" s="99"/>
      <c r="Q4692" s="99"/>
      <c r="R4692" s="99"/>
    </row>
    <row r="4693" spans="5:18" s="65" customFormat="1">
      <c r="E4693" s="130"/>
      <c r="P4693" s="99"/>
      <c r="Q4693" s="99"/>
      <c r="R4693" s="99"/>
    </row>
    <row r="4694" spans="5:18" s="65" customFormat="1">
      <c r="E4694" s="130"/>
      <c r="P4694" s="99"/>
      <c r="Q4694" s="99"/>
      <c r="R4694" s="99"/>
    </row>
    <row r="4695" spans="5:18" s="65" customFormat="1">
      <c r="E4695" s="130"/>
      <c r="P4695" s="99"/>
      <c r="Q4695" s="99"/>
      <c r="R4695" s="99"/>
    </row>
    <row r="4696" spans="5:18" s="65" customFormat="1">
      <c r="E4696" s="130"/>
      <c r="P4696" s="99"/>
      <c r="Q4696" s="99"/>
      <c r="R4696" s="99"/>
    </row>
    <row r="4697" spans="5:18" s="65" customFormat="1">
      <c r="E4697" s="130"/>
      <c r="P4697" s="99"/>
      <c r="Q4697" s="99"/>
      <c r="R4697" s="99"/>
    </row>
    <row r="4698" spans="5:18" s="65" customFormat="1">
      <c r="E4698" s="130"/>
      <c r="P4698" s="99"/>
      <c r="Q4698" s="99"/>
      <c r="R4698" s="99"/>
    </row>
    <row r="4699" spans="5:18" s="65" customFormat="1">
      <c r="E4699" s="130"/>
      <c r="P4699" s="99"/>
      <c r="Q4699" s="99"/>
      <c r="R4699" s="99"/>
    </row>
    <row r="4700" spans="5:18" s="65" customFormat="1">
      <c r="E4700" s="130"/>
      <c r="P4700" s="99"/>
      <c r="Q4700" s="99"/>
      <c r="R4700" s="99"/>
    </row>
    <row r="4701" spans="5:18" s="65" customFormat="1">
      <c r="E4701" s="130"/>
      <c r="P4701" s="99"/>
      <c r="Q4701" s="99"/>
      <c r="R4701" s="99"/>
    </row>
    <row r="4702" spans="5:18" s="65" customFormat="1">
      <c r="E4702" s="130"/>
      <c r="P4702" s="99"/>
      <c r="Q4702" s="99"/>
      <c r="R4702" s="99"/>
    </row>
    <row r="4703" spans="5:18" s="65" customFormat="1">
      <c r="E4703" s="130"/>
      <c r="P4703" s="99"/>
      <c r="Q4703" s="99"/>
      <c r="R4703" s="99"/>
    </row>
    <row r="4704" spans="5:18" s="65" customFormat="1">
      <c r="E4704" s="130"/>
      <c r="P4704" s="99"/>
      <c r="Q4704" s="99"/>
      <c r="R4704" s="99"/>
    </row>
    <row r="4705" spans="5:18" s="65" customFormat="1">
      <c r="E4705" s="130"/>
      <c r="P4705" s="99"/>
      <c r="Q4705" s="99"/>
      <c r="R4705" s="99"/>
    </row>
    <row r="4706" spans="5:18" s="65" customFormat="1">
      <c r="E4706" s="130"/>
      <c r="P4706" s="99"/>
      <c r="Q4706" s="99"/>
      <c r="R4706" s="99"/>
    </row>
    <row r="4707" spans="5:18" s="65" customFormat="1">
      <c r="E4707" s="130"/>
      <c r="P4707" s="99"/>
      <c r="Q4707" s="99"/>
      <c r="R4707" s="99"/>
    </row>
    <row r="4708" spans="5:18" s="65" customFormat="1">
      <c r="E4708" s="130"/>
      <c r="P4708" s="99"/>
      <c r="Q4708" s="99"/>
      <c r="R4708" s="99"/>
    </row>
    <row r="4709" spans="5:18" s="65" customFormat="1">
      <c r="E4709" s="130"/>
      <c r="P4709" s="99"/>
      <c r="Q4709" s="99"/>
      <c r="R4709" s="99"/>
    </row>
    <row r="4710" spans="5:18" s="65" customFormat="1">
      <c r="E4710" s="130"/>
      <c r="P4710" s="99"/>
      <c r="Q4710" s="99"/>
      <c r="R4710" s="99"/>
    </row>
    <row r="4711" spans="5:18" s="65" customFormat="1">
      <c r="E4711" s="130"/>
      <c r="P4711" s="99"/>
      <c r="Q4711" s="99"/>
      <c r="R4711" s="99"/>
    </row>
    <row r="4712" spans="5:18" s="65" customFormat="1">
      <c r="E4712" s="130"/>
      <c r="P4712" s="99"/>
      <c r="Q4712" s="99"/>
      <c r="R4712" s="99"/>
    </row>
    <row r="4713" spans="5:18" s="65" customFormat="1">
      <c r="E4713" s="130"/>
      <c r="P4713" s="99"/>
      <c r="Q4713" s="99"/>
      <c r="R4713" s="99"/>
    </row>
    <row r="4714" spans="5:18" s="65" customFormat="1">
      <c r="E4714" s="130"/>
      <c r="P4714" s="99"/>
      <c r="Q4714" s="99"/>
      <c r="R4714" s="99"/>
    </row>
    <row r="4715" spans="5:18" s="65" customFormat="1">
      <c r="E4715" s="130"/>
      <c r="P4715" s="99"/>
      <c r="Q4715" s="99"/>
      <c r="R4715" s="99"/>
    </row>
    <row r="4716" spans="5:18" s="65" customFormat="1">
      <c r="E4716" s="130"/>
      <c r="P4716" s="99"/>
      <c r="Q4716" s="99"/>
      <c r="R4716" s="99"/>
    </row>
    <row r="4717" spans="5:18" s="65" customFormat="1">
      <c r="E4717" s="130"/>
      <c r="P4717" s="99"/>
      <c r="Q4717" s="99"/>
      <c r="R4717" s="99"/>
    </row>
    <row r="4718" spans="5:18" s="65" customFormat="1">
      <c r="E4718" s="130"/>
      <c r="P4718" s="99"/>
      <c r="Q4718" s="99"/>
      <c r="R4718" s="99"/>
    </row>
    <row r="4719" spans="5:18" s="65" customFormat="1">
      <c r="E4719" s="130"/>
      <c r="P4719" s="99"/>
      <c r="Q4719" s="99"/>
      <c r="R4719" s="99"/>
    </row>
    <row r="4720" spans="5:18" s="65" customFormat="1">
      <c r="E4720" s="130"/>
      <c r="P4720" s="99"/>
      <c r="Q4720" s="99"/>
      <c r="R4720" s="99"/>
    </row>
    <row r="4721" spans="5:18" s="65" customFormat="1">
      <c r="E4721" s="130"/>
      <c r="P4721" s="99"/>
      <c r="Q4721" s="99"/>
      <c r="R4721" s="99"/>
    </row>
    <row r="4722" spans="5:18" s="65" customFormat="1">
      <c r="E4722" s="130"/>
      <c r="P4722" s="99"/>
      <c r="Q4722" s="99"/>
      <c r="R4722" s="99"/>
    </row>
    <row r="4723" spans="5:18" s="65" customFormat="1">
      <c r="E4723" s="130"/>
      <c r="P4723" s="99"/>
      <c r="Q4723" s="99"/>
      <c r="R4723" s="99"/>
    </row>
    <row r="4724" spans="5:18" s="65" customFormat="1">
      <c r="E4724" s="130"/>
      <c r="P4724" s="99"/>
      <c r="Q4724" s="99"/>
      <c r="R4724" s="99"/>
    </row>
    <row r="4725" spans="5:18" s="65" customFormat="1">
      <c r="E4725" s="130"/>
      <c r="P4725" s="99"/>
      <c r="Q4725" s="99"/>
      <c r="R4725" s="99"/>
    </row>
    <row r="4726" spans="5:18" s="65" customFormat="1">
      <c r="E4726" s="130"/>
      <c r="P4726" s="99"/>
      <c r="Q4726" s="99"/>
      <c r="R4726" s="99"/>
    </row>
    <row r="4727" spans="5:18" s="65" customFormat="1">
      <c r="E4727" s="130"/>
      <c r="P4727" s="99"/>
      <c r="Q4727" s="99"/>
      <c r="R4727" s="99"/>
    </row>
    <row r="4728" spans="5:18" s="65" customFormat="1">
      <c r="E4728" s="130"/>
      <c r="P4728" s="99"/>
      <c r="Q4728" s="99"/>
      <c r="R4728" s="99"/>
    </row>
    <row r="4729" spans="5:18" s="65" customFormat="1">
      <c r="E4729" s="130"/>
      <c r="P4729" s="99"/>
      <c r="Q4729" s="99"/>
      <c r="R4729" s="99"/>
    </row>
    <row r="4730" spans="5:18" s="65" customFormat="1">
      <c r="E4730" s="130"/>
      <c r="P4730" s="99"/>
      <c r="Q4730" s="99"/>
      <c r="R4730" s="99"/>
    </row>
    <row r="4731" spans="5:18" s="65" customFormat="1">
      <c r="E4731" s="130"/>
      <c r="P4731" s="99"/>
      <c r="Q4731" s="99"/>
      <c r="R4731" s="99"/>
    </row>
    <row r="4732" spans="5:18" s="65" customFormat="1">
      <c r="E4732" s="130"/>
      <c r="P4732" s="99"/>
      <c r="Q4732" s="99"/>
      <c r="R4732" s="99"/>
    </row>
    <row r="4733" spans="5:18" s="65" customFormat="1">
      <c r="E4733" s="130"/>
      <c r="P4733" s="99"/>
      <c r="Q4733" s="99"/>
      <c r="R4733" s="99"/>
    </row>
    <row r="4734" spans="5:18" s="65" customFormat="1">
      <c r="E4734" s="130"/>
      <c r="P4734" s="99"/>
      <c r="Q4734" s="99"/>
      <c r="R4734" s="99"/>
    </row>
    <row r="4735" spans="5:18" s="65" customFormat="1">
      <c r="E4735" s="130"/>
      <c r="P4735" s="99"/>
      <c r="Q4735" s="99"/>
      <c r="R4735" s="99"/>
    </row>
    <row r="4736" spans="5:18" s="65" customFormat="1">
      <c r="E4736" s="130"/>
      <c r="P4736" s="99"/>
      <c r="Q4736" s="99"/>
      <c r="R4736" s="99"/>
    </row>
    <row r="4737" spans="5:18" s="65" customFormat="1">
      <c r="E4737" s="130"/>
      <c r="P4737" s="99"/>
      <c r="Q4737" s="99"/>
      <c r="R4737" s="99"/>
    </row>
    <row r="4738" spans="5:18" s="65" customFormat="1">
      <c r="E4738" s="130"/>
      <c r="P4738" s="99"/>
      <c r="Q4738" s="99"/>
      <c r="R4738" s="99"/>
    </row>
    <row r="4739" spans="5:18" s="65" customFormat="1">
      <c r="E4739" s="130"/>
      <c r="P4739" s="99"/>
      <c r="Q4739" s="99"/>
      <c r="R4739" s="99"/>
    </row>
    <row r="4740" spans="5:18" s="65" customFormat="1">
      <c r="E4740" s="130"/>
      <c r="P4740" s="99"/>
      <c r="Q4740" s="99"/>
      <c r="R4740" s="99"/>
    </row>
    <row r="4741" spans="5:18" s="65" customFormat="1">
      <c r="E4741" s="130"/>
      <c r="P4741" s="99"/>
      <c r="Q4741" s="99"/>
      <c r="R4741" s="99"/>
    </row>
    <row r="4742" spans="5:18" s="65" customFormat="1">
      <c r="E4742" s="130"/>
      <c r="P4742" s="99"/>
      <c r="Q4742" s="99"/>
      <c r="R4742" s="99"/>
    </row>
    <row r="4743" spans="5:18" s="65" customFormat="1">
      <c r="E4743" s="130"/>
      <c r="P4743" s="99"/>
      <c r="Q4743" s="99"/>
      <c r="R4743" s="99"/>
    </row>
    <row r="4744" spans="5:18" s="65" customFormat="1">
      <c r="E4744" s="130"/>
      <c r="P4744" s="99"/>
      <c r="Q4744" s="99"/>
      <c r="R4744" s="99"/>
    </row>
    <row r="4745" spans="5:18" s="65" customFormat="1">
      <c r="E4745" s="130"/>
      <c r="P4745" s="99"/>
      <c r="Q4745" s="99"/>
      <c r="R4745" s="99"/>
    </row>
    <row r="4746" spans="5:18" s="65" customFormat="1">
      <c r="E4746" s="130"/>
      <c r="P4746" s="99"/>
      <c r="Q4746" s="99"/>
      <c r="R4746" s="99"/>
    </row>
    <row r="4747" spans="5:18" s="65" customFormat="1">
      <c r="E4747" s="130"/>
      <c r="P4747" s="99"/>
      <c r="Q4747" s="99"/>
      <c r="R4747" s="99"/>
    </row>
    <row r="4748" spans="5:18" s="65" customFormat="1">
      <c r="E4748" s="130"/>
      <c r="P4748" s="99"/>
      <c r="Q4748" s="99"/>
      <c r="R4748" s="99"/>
    </row>
    <row r="4749" spans="5:18" s="65" customFormat="1">
      <c r="E4749" s="130"/>
      <c r="P4749" s="99"/>
      <c r="Q4749" s="99"/>
      <c r="R4749" s="99"/>
    </row>
    <row r="4750" spans="5:18" s="65" customFormat="1">
      <c r="E4750" s="130"/>
      <c r="P4750" s="99"/>
      <c r="Q4750" s="99"/>
      <c r="R4750" s="99"/>
    </row>
    <row r="4751" spans="5:18" s="65" customFormat="1">
      <c r="E4751" s="130"/>
      <c r="P4751" s="99"/>
      <c r="Q4751" s="99"/>
      <c r="R4751" s="99"/>
    </row>
    <row r="4752" spans="5:18" s="65" customFormat="1">
      <c r="E4752" s="130"/>
      <c r="P4752" s="99"/>
      <c r="Q4752" s="99"/>
      <c r="R4752" s="99"/>
    </row>
    <row r="4753" spans="5:18" s="65" customFormat="1">
      <c r="E4753" s="130"/>
      <c r="P4753" s="99"/>
      <c r="Q4753" s="99"/>
      <c r="R4753" s="99"/>
    </row>
    <row r="4754" spans="5:18" s="65" customFormat="1">
      <c r="E4754" s="130"/>
      <c r="P4754" s="99"/>
      <c r="Q4754" s="99"/>
      <c r="R4754" s="99"/>
    </row>
    <row r="4755" spans="5:18" s="65" customFormat="1">
      <c r="E4755" s="130"/>
      <c r="P4755" s="99"/>
      <c r="Q4755" s="99"/>
      <c r="R4755" s="99"/>
    </row>
    <row r="4756" spans="5:18" s="65" customFormat="1">
      <c r="E4756" s="130"/>
      <c r="P4756" s="99"/>
      <c r="Q4756" s="99"/>
      <c r="R4756" s="99"/>
    </row>
    <row r="4757" spans="5:18" s="65" customFormat="1">
      <c r="E4757" s="130"/>
      <c r="P4757" s="99"/>
      <c r="Q4757" s="99"/>
      <c r="R4757" s="99"/>
    </row>
    <row r="4758" spans="5:18" s="65" customFormat="1">
      <c r="E4758" s="130"/>
      <c r="P4758" s="99"/>
      <c r="Q4758" s="99"/>
      <c r="R4758" s="99"/>
    </row>
    <row r="4759" spans="5:18" s="65" customFormat="1">
      <c r="E4759" s="130"/>
      <c r="P4759" s="99"/>
      <c r="Q4759" s="99"/>
      <c r="R4759" s="99"/>
    </row>
    <row r="4760" spans="5:18" s="65" customFormat="1">
      <c r="E4760" s="130"/>
      <c r="P4760" s="99"/>
      <c r="Q4760" s="99"/>
      <c r="R4760" s="99"/>
    </row>
    <row r="4761" spans="5:18" s="65" customFormat="1">
      <c r="E4761" s="130"/>
      <c r="P4761" s="99"/>
      <c r="Q4761" s="99"/>
      <c r="R4761" s="99"/>
    </row>
    <row r="4762" spans="5:18" s="65" customFormat="1">
      <c r="E4762" s="130"/>
      <c r="P4762" s="99"/>
      <c r="Q4762" s="99"/>
      <c r="R4762" s="99"/>
    </row>
    <row r="4763" spans="5:18" s="65" customFormat="1">
      <c r="E4763" s="130"/>
      <c r="P4763" s="99"/>
      <c r="Q4763" s="99"/>
      <c r="R4763" s="99"/>
    </row>
    <row r="4764" spans="5:18" s="65" customFormat="1">
      <c r="E4764" s="130"/>
      <c r="P4764" s="99"/>
      <c r="Q4764" s="99"/>
      <c r="R4764" s="99"/>
    </row>
    <row r="4765" spans="5:18" s="65" customFormat="1">
      <c r="E4765" s="130"/>
      <c r="P4765" s="99"/>
      <c r="Q4765" s="99"/>
      <c r="R4765" s="99"/>
    </row>
    <row r="4766" spans="5:18" s="65" customFormat="1">
      <c r="E4766" s="130"/>
      <c r="P4766" s="99"/>
      <c r="Q4766" s="99"/>
      <c r="R4766" s="99"/>
    </row>
    <row r="4767" spans="5:18" s="65" customFormat="1">
      <c r="E4767" s="130"/>
      <c r="P4767" s="99"/>
      <c r="Q4767" s="99"/>
      <c r="R4767" s="99"/>
    </row>
    <row r="4768" spans="5:18" s="65" customFormat="1">
      <c r="E4768" s="130"/>
      <c r="P4768" s="99"/>
      <c r="Q4768" s="99"/>
      <c r="R4768" s="99"/>
    </row>
    <row r="4769" spans="5:18" s="65" customFormat="1">
      <c r="E4769" s="130"/>
      <c r="P4769" s="99"/>
      <c r="Q4769" s="99"/>
      <c r="R4769" s="99"/>
    </row>
    <row r="4770" spans="5:18" s="65" customFormat="1">
      <c r="E4770" s="130"/>
      <c r="P4770" s="99"/>
      <c r="Q4770" s="99"/>
      <c r="R4770" s="99"/>
    </row>
    <row r="4771" spans="5:18" s="65" customFormat="1">
      <c r="E4771" s="130"/>
      <c r="P4771" s="99"/>
      <c r="Q4771" s="99"/>
      <c r="R4771" s="99"/>
    </row>
    <row r="4772" spans="5:18" s="65" customFormat="1">
      <c r="E4772" s="130"/>
      <c r="P4772" s="99"/>
      <c r="Q4772" s="99"/>
      <c r="R4772" s="99"/>
    </row>
    <row r="4773" spans="5:18" s="65" customFormat="1">
      <c r="E4773" s="130"/>
      <c r="P4773" s="99"/>
      <c r="Q4773" s="99"/>
      <c r="R4773" s="99"/>
    </row>
    <row r="4774" spans="5:18" s="65" customFormat="1">
      <c r="E4774" s="130"/>
      <c r="P4774" s="99"/>
      <c r="Q4774" s="99"/>
      <c r="R4774" s="99"/>
    </row>
    <row r="4775" spans="5:18" s="65" customFormat="1">
      <c r="E4775" s="130"/>
      <c r="P4775" s="99"/>
      <c r="Q4775" s="99"/>
      <c r="R4775" s="99"/>
    </row>
    <row r="4776" spans="5:18" s="65" customFormat="1">
      <c r="E4776" s="130"/>
      <c r="P4776" s="99"/>
      <c r="Q4776" s="99"/>
      <c r="R4776" s="99"/>
    </row>
    <row r="4777" spans="5:18" s="65" customFormat="1">
      <c r="E4777" s="130"/>
      <c r="P4777" s="99"/>
      <c r="Q4777" s="99"/>
      <c r="R4777" s="99"/>
    </row>
    <row r="4778" spans="5:18" s="65" customFormat="1">
      <c r="E4778" s="130"/>
      <c r="P4778" s="99"/>
      <c r="Q4778" s="99"/>
      <c r="R4778" s="99"/>
    </row>
    <row r="4779" spans="5:18" s="65" customFormat="1">
      <c r="E4779" s="130"/>
      <c r="P4779" s="99"/>
      <c r="Q4779" s="99"/>
      <c r="R4779" s="99"/>
    </row>
    <row r="4780" spans="5:18" s="65" customFormat="1">
      <c r="E4780" s="130"/>
      <c r="P4780" s="99"/>
      <c r="Q4780" s="99"/>
      <c r="R4780" s="99"/>
    </row>
    <row r="4781" spans="5:18" s="65" customFormat="1">
      <c r="E4781" s="130"/>
      <c r="P4781" s="99"/>
      <c r="Q4781" s="99"/>
      <c r="R4781" s="99"/>
    </row>
    <row r="4782" spans="5:18" s="65" customFormat="1">
      <c r="E4782" s="130"/>
      <c r="P4782" s="99"/>
      <c r="Q4782" s="99"/>
      <c r="R4782" s="99"/>
    </row>
    <row r="4783" spans="5:18" s="65" customFormat="1">
      <c r="E4783" s="130"/>
      <c r="P4783" s="99"/>
      <c r="Q4783" s="99"/>
      <c r="R4783" s="99"/>
    </row>
    <row r="4784" spans="5:18" s="65" customFormat="1">
      <c r="E4784" s="130"/>
      <c r="P4784" s="99"/>
      <c r="Q4784" s="99"/>
      <c r="R4784" s="99"/>
    </row>
    <row r="4785" spans="5:18" s="65" customFormat="1">
      <c r="E4785" s="130"/>
      <c r="P4785" s="99"/>
      <c r="Q4785" s="99"/>
      <c r="R4785" s="99"/>
    </row>
    <row r="4786" spans="5:18" s="65" customFormat="1">
      <c r="E4786" s="130"/>
      <c r="P4786" s="99"/>
      <c r="Q4786" s="99"/>
      <c r="R4786" s="99"/>
    </row>
    <row r="4787" spans="5:18" s="65" customFormat="1">
      <c r="E4787" s="130"/>
      <c r="P4787" s="99"/>
      <c r="Q4787" s="99"/>
      <c r="R4787" s="99"/>
    </row>
    <row r="4788" spans="5:18" s="65" customFormat="1">
      <c r="E4788" s="130"/>
      <c r="P4788" s="99"/>
      <c r="Q4788" s="99"/>
      <c r="R4788" s="99"/>
    </row>
    <row r="4789" spans="5:18" s="65" customFormat="1">
      <c r="E4789" s="130"/>
      <c r="P4789" s="99"/>
      <c r="Q4789" s="99"/>
      <c r="R4789" s="99"/>
    </row>
    <row r="4790" spans="5:18" s="65" customFormat="1">
      <c r="E4790" s="130"/>
      <c r="P4790" s="99"/>
      <c r="Q4790" s="99"/>
      <c r="R4790" s="99"/>
    </row>
    <row r="4791" spans="5:18" s="65" customFormat="1">
      <c r="E4791" s="130"/>
      <c r="P4791" s="99"/>
      <c r="Q4791" s="99"/>
      <c r="R4791" s="99"/>
    </row>
    <row r="4792" spans="5:18" s="65" customFormat="1">
      <c r="E4792" s="130"/>
      <c r="P4792" s="99"/>
      <c r="Q4792" s="99"/>
      <c r="R4792" s="99"/>
    </row>
    <row r="4793" spans="5:18" s="65" customFormat="1">
      <c r="E4793" s="130"/>
      <c r="P4793" s="99"/>
      <c r="Q4793" s="99"/>
      <c r="R4793" s="99"/>
    </row>
    <row r="4794" spans="5:18" s="65" customFormat="1">
      <c r="E4794" s="130"/>
      <c r="P4794" s="99"/>
      <c r="Q4794" s="99"/>
      <c r="R4794" s="99"/>
    </row>
    <row r="4795" spans="5:18" s="65" customFormat="1">
      <c r="E4795" s="130"/>
      <c r="P4795" s="99"/>
      <c r="Q4795" s="99"/>
      <c r="R4795" s="99"/>
    </row>
    <row r="4796" spans="5:18" s="65" customFormat="1">
      <c r="E4796" s="130"/>
      <c r="P4796" s="99"/>
      <c r="Q4796" s="99"/>
      <c r="R4796" s="99"/>
    </row>
    <row r="4797" spans="5:18" s="65" customFormat="1">
      <c r="E4797" s="130"/>
      <c r="P4797" s="99"/>
      <c r="Q4797" s="99"/>
      <c r="R4797" s="99"/>
    </row>
    <row r="4798" spans="5:18" s="65" customFormat="1">
      <c r="E4798" s="130"/>
      <c r="P4798" s="99"/>
      <c r="Q4798" s="99"/>
      <c r="R4798" s="99"/>
    </row>
    <row r="4799" spans="5:18" s="65" customFormat="1">
      <c r="E4799" s="130"/>
      <c r="P4799" s="99"/>
      <c r="Q4799" s="99"/>
      <c r="R4799" s="99"/>
    </row>
    <row r="4800" spans="5:18" s="65" customFormat="1">
      <c r="E4800" s="130"/>
      <c r="P4800" s="99"/>
      <c r="Q4800" s="99"/>
      <c r="R4800" s="99"/>
    </row>
    <row r="4801" spans="5:18" s="65" customFormat="1">
      <c r="E4801" s="130"/>
      <c r="P4801" s="99"/>
      <c r="Q4801" s="99"/>
      <c r="R4801" s="99"/>
    </row>
    <row r="4802" spans="5:18" s="65" customFormat="1">
      <c r="E4802" s="130"/>
      <c r="P4802" s="99"/>
      <c r="Q4802" s="99"/>
      <c r="R4802" s="99"/>
    </row>
    <row r="4803" spans="5:18" s="65" customFormat="1">
      <c r="E4803" s="130"/>
      <c r="P4803" s="99"/>
      <c r="Q4803" s="99"/>
      <c r="R4803" s="99"/>
    </row>
    <row r="4804" spans="5:18" s="65" customFormat="1">
      <c r="E4804" s="130"/>
      <c r="P4804" s="99"/>
      <c r="Q4804" s="99"/>
      <c r="R4804" s="99"/>
    </row>
    <row r="4805" spans="5:18" s="65" customFormat="1">
      <c r="E4805" s="130"/>
      <c r="P4805" s="99"/>
      <c r="Q4805" s="99"/>
      <c r="R4805" s="99"/>
    </row>
    <row r="4806" spans="5:18" s="65" customFormat="1">
      <c r="E4806" s="130"/>
      <c r="P4806" s="99"/>
      <c r="Q4806" s="99"/>
      <c r="R4806" s="99"/>
    </row>
    <row r="4807" spans="5:18" s="65" customFormat="1">
      <c r="E4807" s="130"/>
      <c r="P4807" s="99"/>
      <c r="Q4807" s="99"/>
      <c r="R4807" s="99"/>
    </row>
    <row r="4808" spans="5:18" s="65" customFormat="1">
      <c r="E4808" s="130"/>
      <c r="P4808" s="99"/>
      <c r="Q4808" s="99"/>
      <c r="R4808" s="99"/>
    </row>
    <row r="4809" spans="5:18" s="65" customFormat="1">
      <c r="E4809" s="130"/>
      <c r="P4809" s="99"/>
      <c r="Q4809" s="99"/>
      <c r="R4809" s="99"/>
    </row>
    <row r="4810" spans="5:18" s="65" customFormat="1">
      <c r="E4810" s="130"/>
      <c r="P4810" s="99"/>
      <c r="Q4810" s="99"/>
      <c r="R4810" s="99"/>
    </row>
    <row r="4811" spans="5:18" s="65" customFormat="1">
      <c r="E4811" s="130"/>
      <c r="P4811" s="99"/>
      <c r="Q4811" s="99"/>
      <c r="R4811" s="99"/>
    </row>
    <row r="4812" spans="5:18" s="65" customFormat="1">
      <c r="E4812" s="130"/>
      <c r="P4812" s="99"/>
      <c r="Q4812" s="99"/>
      <c r="R4812" s="99"/>
    </row>
    <row r="4813" spans="5:18" s="65" customFormat="1">
      <c r="E4813" s="130"/>
      <c r="P4813" s="99"/>
      <c r="Q4813" s="99"/>
      <c r="R4813" s="99"/>
    </row>
    <row r="4814" spans="5:18" s="65" customFormat="1">
      <c r="E4814" s="130"/>
      <c r="P4814" s="99"/>
      <c r="Q4814" s="99"/>
      <c r="R4814" s="99"/>
    </row>
    <row r="4815" spans="5:18" s="65" customFormat="1">
      <c r="E4815" s="130"/>
      <c r="P4815" s="99"/>
      <c r="Q4815" s="99"/>
      <c r="R4815" s="99"/>
    </row>
    <row r="4816" spans="5:18" s="65" customFormat="1">
      <c r="E4816" s="130"/>
      <c r="P4816" s="99"/>
      <c r="Q4816" s="99"/>
      <c r="R4816" s="99"/>
    </row>
    <row r="4817" spans="5:18" s="65" customFormat="1">
      <c r="E4817" s="130"/>
      <c r="P4817" s="99"/>
      <c r="Q4817" s="99"/>
      <c r="R4817" s="99"/>
    </row>
    <row r="4818" spans="5:18" s="65" customFormat="1">
      <c r="E4818" s="130"/>
      <c r="P4818" s="99"/>
      <c r="Q4818" s="99"/>
      <c r="R4818" s="99"/>
    </row>
    <row r="4819" spans="5:18" s="65" customFormat="1">
      <c r="E4819" s="130"/>
      <c r="P4819" s="99"/>
      <c r="Q4819" s="99"/>
      <c r="R4819" s="99"/>
    </row>
    <row r="4820" spans="5:18" s="65" customFormat="1">
      <c r="E4820" s="130"/>
      <c r="P4820" s="99"/>
      <c r="Q4820" s="99"/>
      <c r="R4820" s="99"/>
    </row>
    <row r="4821" spans="5:18" s="65" customFormat="1">
      <c r="E4821" s="130"/>
      <c r="P4821" s="99"/>
      <c r="Q4821" s="99"/>
      <c r="R4821" s="99"/>
    </row>
    <row r="4822" spans="5:18" s="65" customFormat="1">
      <c r="E4822" s="130"/>
      <c r="P4822" s="99"/>
      <c r="Q4822" s="99"/>
      <c r="R4822" s="99"/>
    </row>
    <row r="4823" spans="5:18" s="65" customFormat="1">
      <c r="E4823" s="130"/>
      <c r="P4823" s="99"/>
      <c r="Q4823" s="99"/>
      <c r="R4823" s="99"/>
    </row>
    <row r="4824" spans="5:18" s="65" customFormat="1">
      <c r="E4824" s="130"/>
      <c r="P4824" s="99"/>
      <c r="Q4824" s="99"/>
      <c r="R4824" s="99"/>
    </row>
    <row r="4825" spans="5:18" s="65" customFormat="1">
      <c r="E4825" s="130"/>
      <c r="P4825" s="99"/>
      <c r="Q4825" s="99"/>
      <c r="R4825" s="99"/>
    </row>
    <row r="4826" spans="5:18" s="65" customFormat="1">
      <c r="E4826" s="130"/>
      <c r="P4826" s="99"/>
      <c r="Q4826" s="99"/>
      <c r="R4826" s="99"/>
    </row>
    <row r="4827" spans="5:18" s="65" customFormat="1">
      <c r="E4827" s="130"/>
      <c r="P4827" s="99"/>
      <c r="Q4827" s="99"/>
      <c r="R4827" s="99"/>
    </row>
    <row r="4828" spans="5:18" s="65" customFormat="1">
      <c r="E4828" s="130"/>
      <c r="P4828" s="99"/>
      <c r="Q4828" s="99"/>
      <c r="R4828" s="99"/>
    </row>
    <row r="4829" spans="5:18" s="65" customFormat="1">
      <c r="E4829" s="130"/>
      <c r="P4829" s="99"/>
      <c r="Q4829" s="99"/>
      <c r="R4829" s="99"/>
    </row>
    <row r="4830" spans="5:18" s="65" customFormat="1">
      <c r="E4830" s="130"/>
      <c r="P4830" s="99"/>
      <c r="Q4830" s="99"/>
      <c r="R4830" s="99"/>
    </row>
    <row r="4831" spans="5:18" s="65" customFormat="1">
      <c r="E4831" s="130"/>
      <c r="P4831" s="99"/>
      <c r="Q4831" s="99"/>
      <c r="R4831" s="99"/>
    </row>
    <row r="4832" spans="5:18" s="65" customFormat="1">
      <c r="E4832" s="130"/>
      <c r="P4832" s="99"/>
      <c r="Q4832" s="99"/>
      <c r="R4832" s="99"/>
    </row>
    <row r="4833" spans="5:18" s="65" customFormat="1">
      <c r="E4833" s="130"/>
      <c r="P4833" s="99"/>
      <c r="Q4833" s="99"/>
      <c r="R4833" s="99"/>
    </row>
    <row r="4834" spans="5:18" s="65" customFormat="1">
      <c r="E4834" s="130"/>
      <c r="P4834" s="99"/>
      <c r="Q4834" s="99"/>
      <c r="R4834" s="99"/>
    </row>
    <row r="4835" spans="5:18" s="65" customFormat="1">
      <c r="E4835" s="130"/>
      <c r="P4835" s="99"/>
      <c r="Q4835" s="99"/>
      <c r="R4835" s="99"/>
    </row>
    <row r="4836" spans="5:18" s="65" customFormat="1">
      <c r="E4836" s="130"/>
      <c r="P4836" s="99"/>
      <c r="Q4836" s="99"/>
      <c r="R4836" s="99"/>
    </row>
    <row r="4837" spans="5:18" s="65" customFormat="1">
      <c r="E4837" s="130"/>
      <c r="P4837" s="99"/>
      <c r="Q4837" s="99"/>
      <c r="R4837" s="99"/>
    </row>
    <row r="4838" spans="5:18" s="65" customFormat="1">
      <c r="E4838" s="130"/>
      <c r="P4838" s="99"/>
      <c r="Q4838" s="99"/>
      <c r="R4838" s="99"/>
    </row>
    <row r="4839" spans="5:18" s="65" customFormat="1">
      <c r="E4839" s="130"/>
      <c r="P4839" s="99"/>
      <c r="Q4839" s="99"/>
      <c r="R4839" s="99"/>
    </row>
    <row r="4840" spans="5:18" s="65" customFormat="1">
      <c r="E4840" s="130"/>
      <c r="P4840" s="99"/>
      <c r="Q4840" s="99"/>
      <c r="R4840" s="99"/>
    </row>
    <row r="4841" spans="5:18" s="65" customFormat="1">
      <c r="E4841" s="130"/>
      <c r="P4841" s="99"/>
      <c r="Q4841" s="99"/>
      <c r="R4841" s="99"/>
    </row>
    <row r="4842" spans="5:18" s="65" customFormat="1">
      <c r="E4842" s="130"/>
      <c r="P4842" s="99"/>
      <c r="Q4842" s="99"/>
      <c r="R4842" s="99"/>
    </row>
    <row r="4843" spans="5:18" s="65" customFormat="1">
      <c r="E4843" s="130"/>
      <c r="P4843" s="99"/>
      <c r="Q4843" s="99"/>
      <c r="R4843" s="99"/>
    </row>
    <row r="4844" spans="5:18" s="65" customFormat="1">
      <c r="E4844" s="130"/>
      <c r="P4844" s="99"/>
      <c r="Q4844" s="99"/>
      <c r="R4844" s="99"/>
    </row>
    <row r="4845" spans="5:18" s="65" customFormat="1">
      <c r="E4845" s="130"/>
      <c r="P4845" s="99"/>
      <c r="Q4845" s="99"/>
      <c r="R4845" s="99"/>
    </row>
    <row r="4846" spans="5:18" s="65" customFormat="1">
      <c r="E4846" s="130"/>
      <c r="P4846" s="99"/>
      <c r="Q4846" s="99"/>
      <c r="R4846" s="99"/>
    </row>
    <row r="4847" spans="5:18" s="65" customFormat="1">
      <c r="E4847" s="130"/>
      <c r="P4847" s="99"/>
      <c r="Q4847" s="99"/>
      <c r="R4847" s="99"/>
    </row>
    <row r="4848" spans="5:18" s="65" customFormat="1">
      <c r="E4848" s="130"/>
      <c r="P4848" s="99"/>
      <c r="Q4848" s="99"/>
      <c r="R4848" s="99"/>
    </row>
    <row r="4849" spans="5:18" s="65" customFormat="1">
      <c r="E4849" s="130"/>
      <c r="P4849" s="99"/>
      <c r="Q4849" s="99"/>
      <c r="R4849" s="99"/>
    </row>
    <row r="4850" spans="5:18" s="65" customFormat="1">
      <c r="E4850" s="130"/>
      <c r="P4850" s="99"/>
      <c r="Q4850" s="99"/>
      <c r="R4850" s="99"/>
    </row>
    <row r="4851" spans="5:18" s="65" customFormat="1">
      <c r="E4851" s="130"/>
      <c r="P4851" s="99"/>
      <c r="Q4851" s="99"/>
      <c r="R4851" s="99"/>
    </row>
    <row r="4852" spans="5:18" s="65" customFormat="1">
      <c r="E4852" s="130"/>
      <c r="P4852" s="99"/>
      <c r="Q4852" s="99"/>
      <c r="R4852" s="99"/>
    </row>
    <row r="4853" spans="5:18" s="65" customFormat="1">
      <c r="E4853" s="130"/>
      <c r="P4853" s="99"/>
      <c r="Q4853" s="99"/>
      <c r="R4853" s="99"/>
    </row>
    <row r="4854" spans="5:18" s="65" customFormat="1">
      <c r="E4854" s="130"/>
      <c r="P4854" s="99"/>
      <c r="Q4854" s="99"/>
      <c r="R4854" s="99"/>
    </row>
    <row r="4855" spans="5:18" s="65" customFormat="1">
      <c r="E4855" s="130"/>
      <c r="P4855" s="99"/>
      <c r="Q4855" s="99"/>
      <c r="R4855" s="99"/>
    </row>
    <row r="4856" spans="5:18" s="65" customFormat="1">
      <c r="E4856" s="130"/>
      <c r="P4856" s="99"/>
      <c r="Q4856" s="99"/>
      <c r="R4856" s="99"/>
    </row>
    <row r="4857" spans="5:18" s="65" customFormat="1">
      <c r="E4857" s="130"/>
      <c r="P4857" s="99"/>
      <c r="Q4857" s="99"/>
      <c r="R4857" s="99"/>
    </row>
    <row r="4858" spans="5:18" s="65" customFormat="1">
      <c r="E4858" s="130"/>
      <c r="P4858" s="99"/>
      <c r="Q4858" s="99"/>
      <c r="R4858" s="99"/>
    </row>
    <row r="4859" spans="5:18" s="65" customFormat="1">
      <c r="E4859" s="130"/>
      <c r="P4859" s="99"/>
      <c r="Q4859" s="99"/>
      <c r="R4859" s="99"/>
    </row>
    <row r="4860" spans="5:18" s="65" customFormat="1">
      <c r="E4860" s="130"/>
      <c r="P4860" s="99"/>
      <c r="Q4860" s="99"/>
      <c r="R4860" s="99"/>
    </row>
    <row r="4861" spans="5:18" s="65" customFormat="1">
      <c r="E4861" s="130"/>
      <c r="P4861" s="99"/>
      <c r="Q4861" s="99"/>
      <c r="R4861" s="99"/>
    </row>
    <row r="4862" spans="5:18" s="65" customFormat="1">
      <c r="E4862" s="130"/>
      <c r="P4862" s="99"/>
      <c r="Q4862" s="99"/>
      <c r="R4862" s="99"/>
    </row>
    <row r="4863" spans="5:18" s="65" customFormat="1">
      <c r="E4863" s="130"/>
      <c r="P4863" s="99"/>
      <c r="Q4863" s="99"/>
      <c r="R4863" s="99"/>
    </row>
    <row r="4864" spans="5:18" s="65" customFormat="1">
      <c r="E4864" s="130"/>
      <c r="P4864" s="99"/>
      <c r="Q4864" s="99"/>
      <c r="R4864" s="99"/>
    </row>
    <row r="4865" spans="5:18" s="65" customFormat="1">
      <c r="E4865" s="130"/>
      <c r="P4865" s="99"/>
      <c r="Q4865" s="99"/>
      <c r="R4865" s="99"/>
    </row>
    <row r="4866" spans="5:18" s="65" customFormat="1">
      <c r="E4866" s="130"/>
      <c r="P4866" s="99"/>
      <c r="Q4866" s="99"/>
      <c r="R4866" s="99"/>
    </row>
    <row r="4867" spans="5:18" s="65" customFormat="1">
      <c r="E4867" s="130"/>
      <c r="P4867" s="99"/>
      <c r="Q4867" s="99"/>
      <c r="R4867" s="99"/>
    </row>
    <row r="4868" spans="5:18" s="65" customFormat="1">
      <c r="E4868" s="130"/>
      <c r="P4868" s="99"/>
      <c r="Q4868" s="99"/>
      <c r="R4868" s="99"/>
    </row>
    <row r="4869" spans="5:18" s="65" customFormat="1">
      <c r="E4869" s="130"/>
      <c r="P4869" s="99"/>
      <c r="Q4869" s="99"/>
      <c r="R4869" s="99"/>
    </row>
    <row r="4870" spans="5:18" s="65" customFormat="1">
      <c r="E4870" s="130"/>
      <c r="P4870" s="99"/>
      <c r="Q4870" s="99"/>
      <c r="R4870" s="99"/>
    </row>
    <row r="4871" spans="5:18" s="65" customFormat="1">
      <c r="E4871" s="130"/>
      <c r="P4871" s="99"/>
      <c r="Q4871" s="99"/>
      <c r="R4871" s="99"/>
    </row>
    <row r="4872" spans="5:18" s="65" customFormat="1">
      <c r="E4872" s="130"/>
      <c r="P4872" s="99"/>
      <c r="Q4872" s="99"/>
      <c r="R4872" s="99"/>
    </row>
    <row r="4873" spans="5:18" s="65" customFormat="1">
      <c r="E4873" s="130"/>
      <c r="P4873" s="99"/>
      <c r="Q4873" s="99"/>
      <c r="R4873" s="99"/>
    </row>
    <row r="4874" spans="5:18" s="65" customFormat="1">
      <c r="E4874" s="130"/>
      <c r="P4874" s="99"/>
      <c r="Q4874" s="99"/>
      <c r="R4874" s="99"/>
    </row>
    <row r="4875" spans="5:18" s="65" customFormat="1">
      <c r="E4875" s="130"/>
      <c r="P4875" s="99"/>
      <c r="Q4875" s="99"/>
      <c r="R4875" s="99"/>
    </row>
    <row r="4876" spans="5:18" s="65" customFormat="1">
      <c r="E4876" s="130"/>
      <c r="P4876" s="99"/>
      <c r="Q4876" s="99"/>
      <c r="R4876" s="99"/>
    </row>
    <row r="4877" spans="5:18" s="65" customFormat="1">
      <c r="E4877" s="130"/>
      <c r="P4877" s="99"/>
      <c r="Q4877" s="99"/>
      <c r="R4877" s="99"/>
    </row>
    <row r="4878" spans="5:18" s="65" customFormat="1">
      <c r="E4878" s="130"/>
      <c r="P4878" s="99"/>
      <c r="Q4878" s="99"/>
      <c r="R4878" s="99"/>
    </row>
    <row r="4879" spans="5:18" s="65" customFormat="1">
      <c r="E4879" s="130"/>
      <c r="P4879" s="99"/>
      <c r="Q4879" s="99"/>
      <c r="R4879" s="99"/>
    </row>
    <row r="4880" spans="5:18" s="65" customFormat="1">
      <c r="E4880" s="130"/>
      <c r="P4880" s="99"/>
      <c r="Q4880" s="99"/>
      <c r="R4880" s="99"/>
    </row>
    <row r="4881" spans="5:18" s="65" customFormat="1">
      <c r="E4881" s="130"/>
      <c r="P4881" s="99"/>
      <c r="Q4881" s="99"/>
      <c r="R4881" s="99"/>
    </row>
    <row r="4882" spans="5:18" s="65" customFormat="1">
      <c r="E4882" s="130"/>
      <c r="P4882" s="99"/>
      <c r="Q4882" s="99"/>
      <c r="R4882" s="99"/>
    </row>
    <row r="4883" spans="5:18" s="65" customFormat="1">
      <c r="E4883" s="130"/>
      <c r="P4883" s="99"/>
      <c r="Q4883" s="99"/>
      <c r="R4883" s="99"/>
    </row>
    <row r="4884" spans="5:18" s="65" customFormat="1">
      <c r="E4884" s="130"/>
      <c r="P4884" s="99"/>
      <c r="Q4884" s="99"/>
      <c r="R4884" s="99"/>
    </row>
    <row r="4885" spans="5:18" s="65" customFormat="1">
      <c r="E4885" s="130"/>
      <c r="P4885" s="99"/>
      <c r="Q4885" s="99"/>
      <c r="R4885" s="99"/>
    </row>
    <row r="4886" spans="5:18" s="65" customFormat="1">
      <c r="E4886" s="130"/>
      <c r="P4886" s="99"/>
      <c r="Q4886" s="99"/>
      <c r="R4886" s="99"/>
    </row>
    <row r="4887" spans="5:18" s="65" customFormat="1">
      <c r="E4887" s="130"/>
      <c r="P4887" s="99"/>
      <c r="Q4887" s="99"/>
      <c r="R4887" s="99"/>
    </row>
    <row r="4888" spans="5:18" s="65" customFormat="1">
      <c r="E4888" s="130"/>
      <c r="P4888" s="99"/>
      <c r="Q4888" s="99"/>
      <c r="R4888" s="99"/>
    </row>
    <row r="4889" spans="5:18" s="65" customFormat="1">
      <c r="E4889" s="130"/>
      <c r="P4889" s="99"/>
      <c r="Q4889" s="99"/>
      <c r="R4889" s="99"/>
    </row>
    <row r="4890" spans="5:18" s="65" customFormat="1">
      <c r="E4890" s="130"/>
      <c r="P4890" s="99"/>
      <c r="Q4890" s="99"/>
      <c r="R4890" s="99"/>
    </row>
    <row r="4891" spans="5:18" s="65" customFormat="1">
      <c r="E4891" s="130"/>
      <c r="P4891" s="99"/>
      <c r="Q4891" s="99"/>
      <c r="R4891" s="99"/>
    </row>
    <row r="4892" spans="5:18" s="65" customFormat="1">
      <c r="E4892" s="130"/>
      <c r="P4892" s="99"/>
      <c r="Q4892" s="99"/>
      <c r="R4892" s="99"/>
    </row>
    <row r="4893" spans="5:18" s="65" customFormat="1">
      <c r="E4893" s="130"/>
      <c r="P4893" s="99"/>
      <c r="Q4893" s="99"/>
      <c r="R4893" s="99"/>
    </row>
    <row r="4894" spans="5:18" s="65" customFormat="1">
      <c r="E4894" s="130"/>
      <c r="P4894" s="99"/>
      <c r="Q4894" s="99"/>
      <c r="R4894" s="99"/>
    </row>
    <row r="4895" spans="5:18" s="65" customFormat="1">
      <c r="E4895" s="130"/>
      <c r="P4895" s="99"/>
      <c r="Q4895" s="99"/>
      <c r="R4895" s="99"/>
    </row>
    <row r="4896" spans="5:18" s="65" customFormat="1">
      <c r="E4896" s="130"/>
      <c r="P4896" s="99"/>
      <c r="Q4896" s="99"/>
      <c r="R4896" s="99"/>
    </row>
    <row r="4897" spans="5:18" s="65" customFormat="1">
      <c r="E4897" s="130"/>
      <c r="P4897" s="99"/>
      <c r="Q4897" s="99"/>
      <c r="R4897" s="99"/>
    </row>
    <row r="4898" spans="5:18" s="65" customFormat="1">
      <c r="E4898" s="130"/>
      <c r="P4898" s="99"/>
      <c r="Q4898" s="99"/>
      <c r="R4898" s="99"/>
    </row>
    <row r="4899" spans="5:18" s="65" customFormat="1">
      <c r="E4899" s="130"/>
      <c r="P4899" s="99"/>
      <c r="Q4899" s="99"/>
      <c r="R4899" s="99"/>
    </row>
    <row r="4900" spans="5:18" s="65" customFormat="1">
      <c r="E4900" s="130"/>
      <c r="P4900" s="99"/>
      <c r="Q4900" s="99"/>
      <c r="R4900" s="99"/>
    </row>
    <row r="4901" spans="5:18" s="65" customFormat="1">
      <c r="E4901" s="130"/>
      <c r="P4901" s="99"/>
      <c r="Q4901" s="99"/>
      <c r="R4901" s="99"/>
    </row>
    <row r="4902" spans="5:18" s="65" customFormat="1">
      <c r="E4902" s="130"/>
      <c r="P4902" s="99"/>
      <c r="Q4902" s="99"/>
      <c r="R4902" s="99"/>
    </row>
    <row r="4903" spans="5:18" s="65" customFormat="1">
      <c r="E4903" s="130"/>
      <c r="P4903" s="99"/>
      <c r="Q4903" s="99"/>
      <c r="R4903" s="99"/>
    </row>
    <row r="4904" spans="5:18" s="65" customFormat="1">
      <c r="E4904" s="130"/>
      <c r="P4904" s="99"/>
      <c r="Q4904" s="99"/>
      <c r="R4904" s="99"/>
    </row>
    <row r="4905" spans="5:18" s="65" customFormat="1">
      <c r="E4905" s="130"/>
      <c r="P4905" s="99"/>
      <c r="Q4905" s="99"/>
      <c r="R4905" s="99"/>
    </row>
    <row r="4906" spans="5:18" s="65" customFormat="1">
      <c r="E4906" s="130"/>
      <c r="P4906" s="99"/>
      <c r="Q4906" s="99"/>
      <c r="R4906" s="99"/>
    </row>
    <row r="4907" spans="5:18" s="65" customFormat="1">
      <c r="E4907" s="130"/>
      <c r="P4907" s="99"/>
      <c r="Q4907" s="99"/>
      <c r="R4907" s="99"/>
    </row>
    <row r="4908" spans="5:18" s="65" customFormat="1">
      <c r="E4908" s="130"/>
      <c r="P4908" s="99"/>
      <c r="Q4908" s="99"/>
      <c r="R4908" s="99"/>
    </row>
    <row r="4909" spans="5:18" s="65" customFormat="1">
      <c r="E4909" s="130"/>
      <c r="P4909" s="99"/>
      <c r="Q4909" s="99"/>
      <c r="R4909" s="99"/>
    </row>
    <row r="4910" spans="5:18" s="65" customFormat="1">
      <c r="E4910" s="130"/>
      <c r="P4910" s="99"/>
      <c r="Q4910" s="99"/>
      <c r="R4910" s="99"/>
    </row>
    <row r="4911" spans="5:18" s="65" customFormat="1">
      <c r="E4911" s="130"/>
      <c r="P4911" s="99"/>
      <c r="Q4911" s="99"/>
      <c r="R4911" s="99"/>
    </row>
    <row r="4912" spans="5:18" s="65" customFormat="1">
      <c r="E4912" s="130"/>
      <c r="P4912" s="99"/>
      <c r="Q4912" s="99"/>
      <c r="R4912" s="99"/>
    </row>
    <row r="4913" spans="5:18" s="65" customFormat="1">
      <c r="E4913" s="130"/>
      <c r="P4913" s="99"/>
      <c r="Q4913" s="99"/>
      <c r="R4913" s="99"/>
    </row>
    <row r="4914" spans="5:18" s="65" customFormat="1">
      <c r="E4914" s="130"/>
      <c r="P4914" s="99"/>
      <c r="Q4914" s="99"/>
      <c r="R4914" s="99"/>
    </row>
    <row r="4915" spans="5:18" s="65" customFormat="1">
      <c r="E4915" s="130"/>
      <c r="P4915" s="99"/>
      <c r="Q4915" s="99"/>
      <c r="R4915" s="99"/>
    </row>
    <row r="4916" spans="5:18" s="65" customFormat="1">
      <c r="E4916" s="130"/>
      <c r="P4916" s="99"/>
      <c r="Q4916" s="99"/>
      <c r="R4916" s="99"/>
    </row>
    <row r="4917" spans="5:18" s="65" customFormat="1">
      <c r="E4917" s="130"/>
      <c r="P4917" s="99"/>
      <c r="Q4917" s="99"/>
      <c r="R4917" s="99"/>
    </row>
    <row r="4918" spans="5:18" s="65" customFormat="1">
      <c r="E4918" s="130"/>
      <c r="P4918" s="99"/>
      <c r="Q4918" s="99"/>
      <c r="R4918" s="99"/>
    </row>
    <row r="4919" spans="5:18" s="65" customFormat="1">
      <c r="E4919" s="130"/>
      <c r="P4919" s="99"/>
      <c r="Q4919" s="99"/>
      <c r="R4919" s="99"/>
    </row>
    <row r="4920" spans="5:18" s="65" customFormat="1">
      <c r="E4920" s="130"/>
      <c r="P4920" s="99"/>
      <c r="Q4920" s="99"/>
      <c r="R4920" s="99"/>
    </row>
    <row r="4921" spans="5:18" s="65" customFormat="1">
      <c r="E4921" s="130"/>
      <c r="P4921" s="99"/>
      <c r="Q4921" s="99"/>
      <c r="R4921" s="99"/>
    </row>
    <row r="4922" spans="5:18" s="65" customFormat="1">
      <c r="E4922" s="130"/>
      <c r="P4922" s="99"/>
      <c r="Q4922" s="99"/>
      <c r="R4922" s="99"/>
    </row>
    <row r="4923" spans="5:18" s="65" customFormat="1">
      <c r="E4923" s="130"/>
      <c r="P4923" s="99"/>
      <c r="Q4923" s="99"/>
      <c r="R4923" s="99"/>
    </row>
    <row r="4924" spans="5:18" s="65" customFormat="1">
      <c r="E4924" s="130"/>
      <c r="P4924" s="99"/>
      <c r="Q4924" s="99"/>
      <c r="R4924" s="99"/>
    </row>
    <row r="4925" spans="5:18" s="65" customFormat="1">
      <c r="E4925" s="130"/>
      <c r="P4925" s="99"/>
      <c r="Q4925" s="99"/>
      <c r="R4925" s="99"/>
    </row>
    <row r="4926" spans="5:18" s="65" customFormat="1">
      <c r="E4926" s="130"/>
      <c r="P4926" s="99"/>
      <c r="Q4926" s="99"/>
      <c r="R4926" s="99"/>
    </row>
    <row r="4927" spans="5:18" s="65" customFormat="1">
      <c r="E4927" s="130"/>
      <c r="P4927" s="99"/>
      <c r="Q4927" s="99"/>
      <c r="R4927" s="99"/>
    </row>
    <row r="4928" spans="5:18" s="65" customFormat="1">
      <c r="E4928" s="130"/>
      <c r="P4928" s="99"/>
      <c r="Q4928" s="99"/>
      <c r="R4928" s="99"/>
    </row>
    <row r="4929" spans="5:18" s="65" customFormat="1">
      <c r="E4929" s="130"/>
      <c r="P4929" s="99"/>
      <c r="Q4929" s="99"/>
      <c r="R4929" s="99"/>
    </row>
    <row r="4930" spans="5:18" s="65" customFormat="1">
      <c r="E4930" s="130"/>
      <c r="P4930" s="99"/>
      <c r="Q4930" s="99"/>
      <c r="R4930" s="99"/>
    </row>
    <row r="4931" spans="5:18" s="65" customFormat="1">
      <c r="E4931" s="130"/>
      <c r="P4931" s="99"/>
      <c r="Q4931" s="99"/>
      <c r="R4931" s="99"/>
    </row>
    <row r="4932" spans="5:18" s="65" customFormat="1">
      <c r="E4932" s="130"/>
      <c r="P4932" s="99"/>
      <c r="Q4932" s="99"/>
      <c r="R4932" s="99"/>
    </row>
    <row r="4933" spans="5:18" s="65" customFormat="1">
      <c r="E4933" s="130"/>
      <c r="P4933" s="99"/>
      <c r="Q4933" s="99"/>
      <c r="R4933" s="99"/>
    </row>
    <row r="4934" spans="5:18" s="65" customFormat="1">
      <c r="E4934" s="130"/>
      <c r="P4934" s="99"/>
      <c r="Q4934" s="99"/>
      <c r="R4934" s="99"/>
    </row>
    <row r="4935" spans="5:18" s="65" customFormat="1">
      <c r="E4935" s="130"/>
      <c r="P4935" s="99"/>
      <c r="Q4935" s="99"/>
      <c r="R4935" s="99"/>
    </row>
    <row r="4936" spans="5:18" s="65" customFormat="1">
      <c r="E4936" s="130"/>
      <c r="P4936" s="99"/>
      <c r="Q4936" s="99"/>
      <c r="R4936" s="99"/>
    </row>
    <row r="4937" spans="5:18" s="65" customFormat="1">
      <c r="E4937" s="130"/>
      <c r="P4937" s="99"/>
      <c r="Q4937" s="99"/>
      <c r="R4937" s="99"/>
    </row>
    <row r="4938" spans="5:18" s="65" customFormat="1">
      <c r="E4938" s="130"/>
      <c r="P4938" s="99"/>
      <c r="Q4938" s="99"/>
      <c r="R4938" s="99"/>
    </row>
    <row r="4939" spans="5:18" s="65" customFormat="1">
      <c r="E4939" s="130"/>
      <c r="P4939" s="99"/>
      <c r="Q4939" s="99"/>
      <c r="R4939" s="99"/>
    </row>
    <row r="4940" spans="5:18" s="65" customFormat="1">
      <c r="E4940" s="130"/>
      <c r="P4940" s="99"/>
      <c r="Q4940" s="99"/>
      <c r="R4940" s="99"/>
    </row>
    <row r="4941" spans="5:18" s="65" customFormat="1">
      <c r="E4941" s="130"/>
      <c r="P4941" s="99"/>
      <c r="Q4941" s="99"/>
      <c r="R4941" s="99"/>
    </row>
    <row r="4942" spans="5:18" s="65" customFormat="1">
      <c r="E4942" s="130"/>
      <c r="P4942" s="99"/>
      <c r="Q4942" s="99"/>
      <c r="R4942" s="99"/>
    </row>
    <row r="4943" spans="5:18" s="65" customFormat="1">
      <c r="E4943" s="130"/>
      <c r="P4943" s="99"/>
      <c r="Q4943" s="99"/>
      <c r="R4943" s="99"/>
    </row>
    <row r="4944" spans="5:18" s="65" customFormat="1">
      <c r="E4944" s="130"/>
      <c r="P4944" s="99"/>
      <c r="Q4944" s="99"/>
      <c r="R4944" s="99"/>
    </row>
    <row r="4945" spans="5:18" s="65" customFormat="1">
      <c r="E4945" s="130"/>
      <c r="P4945" s="99"/>
      <c r="Q4945" s="99"/>
      <c r="R4945" s="99"/>
    </row>
    <row r="4946" spans="5:18" s="65" customFormat="1">
      <c r="E4946" s="130"/>
      <c r="P4946" s="99"/>
      <c r="Q4946" s="99"/>
      <c r="R4946" s="99"/>
    </row>
    <row r="4947" spans="5:18" s="65" customFormat="1">
      <c r="E4947" s="130"/>
      <c r="P4947" s="99"/>
      <c r="Q4947" s="99"/>
      <c r="R4947" s="99"/>
    </row>
    <row r="4948" spans="5:18" s="65" customFormat="1">
      <c r="E4948" s="130"/>
      <c r="P4948" s="99"/>
      <c r="Q4948" s="99"/>
      <c r="R4948" s="99"/>
    </row>
    <row r="4949" spans="5:18" s="65" customFormat="1">
      <c r="E4949" s="130"/>
      <c r="P4949" s="99"/>
      <c r="Q4949" s="99"/>
      <c r="R4949" s="99"/>
    </row>
    <row r="4950" spans="5:18" s="65" customFormat="1">
      <c r="E4950" s="130"/>
      <c r="P4950" s="99"/>
      <c r="Q4950" s="99"/>
      <c r="R4950" s="99"/>
    </row>
    <row r="4951" spans="5:18" s="65" customFormat="1">
      <c r="E4951" s="130"/>
      <c r="P4951" s="99"/>
      <c r="Q4951" s="99"/>
      <c r="R4951" s="99"/>
    </row>
    <row r="4952" spans="5:18" s="65" customFormat="1">
      <c r="E4952" s="130"/>
      <c r="P4952" s="99"/>
      <c r="Q4952" s="99"/>
      <c r="R4952" s="99"/>
    </row>
    <row r="4953" spans="5:18" s="65" customFormat="1">
      <c r="E4953" s="130"/>
      <c r="P4953" s="99"/>
      <c r="Q4953" s="99"/>
      <c r="R4953" s="99"/>
    </row>
    <row r="4954" spans="5:18" s="65" customFormat="1">
      <c r="E4954" s="130"/>
      <c r="P4954" s="99"/>
      <c r="Q4954" s="99"/>
      <c r="R4954" s="99"/>
    </row>
    <row r="4955" spans="5:18" s="65" customFormat="1">
      <c r="E4955" s="130"/>
      <c r="P4955" s="99"/>
      <c r="Q4955" s="99"/>
      <c r="R4955" s="99"/>
    </row>
    <row r="4956" spans="5:18" s="65" customFormat="1">
      <c r="E4956" s="130"/>
      <c r="P4956" s="99"/>
      <c r="Q4956" s="99"/>
      <c r="R4956" s="99"/>
    </row>
    <row r="4957" spans="5:18" s="65" customFormat="1">
      <c r="E4957" s="130"/>
      <c r="P4957" s="99"/>
      <c r="Q4957" s="99"/>
      <c r="R4957" s="99"/>
    </row>
    <row r="4958" spans="5:18" s="65" customFormat="1">
      <c r="E4958" s="130"/>
      <c r="P4958" s="99"/>
      <c r="Q4958" s="99"/>
      <c r="R4958" s="99"/>
    </row>
    <row r="4959" spans="5:18" s="65" customFormat="1">
      <c r="E4959" s="130"/>
      <c r="P4959" s="99"/>
      <c r="Q4959" s="99"/>
      <c r="R4959" s="99"/>
    </row>
    <row r="4960" spans="5:18" s="65" customFormat="1">
      <c r="E4960" s="130"/>
      <c r="P4960" s="99"/>
      <c r="Q4960" s="99"/>
      <c r="R4960" s="99"/>
    </row>
    <row r="4961" spans="5:18" s="65" customFormat="1">
      <c r="E4961" s="130"/>
      <c r="P4961" s="99"/>
      <c r="Q4961" s="99"/>
      <c r="R4961" s="99"/>
    </row>
    <row r="4962" spans="5:18" s="65" customFormat="1">
      <c r="E4962" s="130"/>
      <c r="P4962" s="99"/>
      <c r="Q4962" s="99"/>
      <c r="R4962" s="99"/>
    </row>
    <row r="4963" spans="5:18" s="65" customFormat="1">
      <c r="E4963" s="130"/>
      <c r="P4963" s="99"/>
      <c r="Q4963" s="99"/>
      <c r="R4963" s="99"/>
    </row>
    <row r="4964" spans="5:18" s="65" customFormat="1">
      <c r="E4964" s="130"/>
      <c r="P4964" s="99"/>
      <c r="Q4964" s="99"/>
      <c r="R4964" s="99"/>
    </row>
    <row r="4965" spans="5:18" s="65" customFormat="1">
      <c r="E4965" s="130"/>
      <c r="P4965" s="99"/>
      <c r="Q4965" s="99"/>
      <c r="R4965" s="99"/>
    </row>
    <row r="4966" spans="5:18" s="65" customFormat="1">
      <c r="E4966" s="130"/>
      <c r="P4966" s="99"/>
      <c r="Q4966" s="99"/>
      <c r="R4966" s="99"/>
    </row>
    <row r="4967" spans="5:18" s="65" customFormat="1">
      <c r="E4967" s="130"/>
      <c r="P4967" s="99"/>
      <c r="Q4967" s="99"/>
      <c r="R4967" s="99"/>
    </row>
    <row r="4968" spans="5:18" s="65" customFormat="1">
      <c r="E4968" s="130"/>
      <c r="P4968" s="99"/>
      <c r="Q4968" s="99"/>
      <c r="R4968" s="99"/>
    </row>
    <row r="4969" spans="5:18" s="65" customFormat="1">
      <c r="E4969" s="130"/>
      <c r="P4969" s="99"/>
      <c r="Q4969" s="99"/>
      <c r="R4969" s="99"/>
    </row>
    <row r="4970" spans="5:18" s="65" customFormat="1">
      <c r="E4970" s="130"/>
      <c r="P4970" s="99"/>
      <c r="Q4970" s="99"/>
      <c r="R4970" s="99"/>
    </row>
    <row r="4971" spans="5:18" s="65" customFormat="1">
      <c r="E4971" s="130"/>
      <c r="P4971" s="99"/>
      <c r="Q4971" s="99"/>
      <c r="R4971" s="99"/>
    </row>
    <row r="4972" spans="5:18" s="65" customFormat="1">
      <c r="E4972" s="130"/>
      <c r="P4972" s="99"/>
      <c r="Q4972" s="99"/>
      <c r="R4972" s="99"/>
    </row>
    <row r="4973" spans="5:18" s="65" customFormat="1">
      <c r="E4973" s="130"/>
      <c r="P4973" s="99"/>
      <c r="Q4973" s="99"/>
      <c r="R4973" s="99"/>
    </row>
    <row r="4974" spans="5:18" s="65" customFormat="1">
      <c r="E4974" s="130"/>
      <c r="P4974" s="99"/>
      <c r="Q4974" s="99"/>
      <c r="R4974" s="99"/>
    </row>
    <row r="4975" spans="5:18" s="65" customFormat="1">
      <c r="E4975" s="130"/>
      <c r="P4975" s="99"/>
      <c r="Q4975" s="99"/>
      <c r="R4975" s="99"/>
    </row>
    <row r="4976" spans="5:18" s="65" customFormat="1">
      <c r="E4976" s="130"/>
      <c r="P4976" s="99"/>
      <c r="Q4976" s="99"/>
      <c r="R4976" s="99"/>
    </row>
    <row r="4977" spans="5:18" s="65" customFormat="1">
      <c r="E4977" s="130"/>
      <c r="P4977" s="99"/>
      <c r="Q4977" s="99"/>
      <c r="R4977" s="99"/>
    </row>
    <row r="4978" spans="5:18" s="65" customFormat="1">
      <c r="E4978" s="130"/>
      <c r="P4978" s="99"/>
      <c r="Q4978" s="99"/>
      <c r="R4978" s="99"/>
    </row>
    <row r="4979" spans="5:18" s="65" customFormat="1">
      <c r="E4979" s="130"/>
      <c r="P4979" s="99"/>
      <c r="Q4979" s="99"/>
      <c r="R4979" s="99"/>
    </row>
    <row r="4980" spans="5:18" s="65" customFormat="1">
      <c r="E4980" s="130"/>
      <c r="P4980" s="99"/>
      <c r="Q4980" s="99"/>
      <c r="R4980" s="99"/>
    </row>
    <row r="4981" spans="5:18" s="65" customFormat="1">
      <c r="E4981" s="130"/>
      <c r="P4981" s="99"/>
      <c r="Q4981" s="99"/>
      <c r="R4981" s="99"/>
    </row>
    <row r="4982" spans="5:18" s="65" customFormat="1">
      <c r="E4982" s="130"/>
      <c r="P4982" s="99"/>
      <c r="Q4982" s="99"/>
      <c r="R4982" s="99"/>
    </row>
    <row r="4983" spans="5:18" s="65" customFormat="1">
      <c r="E4983" s="130"/>
      <c r="P4983" s="99"/>
      <c r="Q4983" s="99"/>
      <c r="R4983" s="99"/>
    </row>
    <row r="4984" spans="5:18" s="65" customFormat="1">
      <c r="E4984" s="130"/>
      <c r="P4984" s="99"/>
      <c r="Q4984" s="99"/>
      <c r="R4984" s="99"/>
    </row>
    <row r="4985" spans="5:18" s="65" customFormat="1">
      <c r="E4985" s="130"/>
      <c r="P4985" s="99"/>
      <c r="Q4985" s="99"/>
      <c r="R4985" s="99"/>
    </row>
    <row r="4986" spans="5:18" s="65" customFormat="1">
      <c r="E4986" s="130"/>
      <c r="P4986" s="99"/>
      <c r="Q4986" s="99"/>
      <c r="R4986" s="99"/>
    </row>
    <row r="4987" spans="5:18" s="65" customFormat="1">
      <c r="E4987" s="130"/>
      <c r="P4987" s="99"/>
      <c r="Q4987" s="99"/>
      <c r="R4987" s="99"/>
    </row>
    <row r="4988" spans="5:18" s="65" customFormat="1">
      <c r="E4988" s="130"/>
      <c r="P4988" s="99"/>
      <c r="Q4988" s="99"/>
      <c r="R4988" s="99"/>
    </row>
    <row r="4989" spans="5:18" s="65" customFormat="1">
      <c r="E4989" s="130"/>
      <c r="P4989" s="99"/>
      <c r="Q4989" s="99"/>
      <c r="R4989" s="99"/>
    </row>
    <row r="4990" spans="5:18" s="65" customFormat="1">
      <c r="E4990" s="130"/>
      <c r="P4990" s="99"/>
      <c r="Q4990" s="99"/>
      <c r="R4990" s="99"/>
    </row>
    <row r="4991" spans="5:18" s="65" customFormat="1">
      <c r="E4991" s="130"/>
      <c r="P4991" s="99"/>
      <c r="Q4991" s="99"/>
      <c r="R4991" s="99"/>
    </row>
    <row r="4992" spans="5:18" s="65" customFormat="1">
      <c r="E4992" s="130"/>
      <c r="P4992" s="99"/>
      <c r="Q4992" s="99"/>
      <c r="R4992" s="99"/>
    </row>
    <row r="4993" spans="5:18" s="65" customFormat="1">
      <c r="E4993" s="130"/>
      <c r="P4993" s="99"/>
      <c r="Q4993" s="99"/>
      <c r="R4993" s="99"/>
    </row>
    <row r="4994" spans="5:18" s="65" customFormat="1">
      <c r="E4994" s="130"/>
      <c r="P4994" s="99"/>
      <c r="Q4994" s="99"/>
      <c r="R4994" s="99"/>
    </row>
    <row r="4995" spans="5:18" s="65" customFormat="1">
      <c r="E4995" s="130"/>
      <c r="P4995" s="99"/>
      <c r="Q4995" s="99"/>
      <c r="R4995" s="99"/>
    </row>
    <row r="4996" spans="5:18" s="65" customFormat="1">
      <c r="E4996" s="130"/>
      <c r="P4996" s="99"/>
      <c r="Q4996" s="99"/>
      <c r="R4996" s="99"/>
    </row>
    <row r="4997" spans="5:18" s="65" customFormat="1">
      <c r="E4997" s="130"/>
      <c r="P4997" s="99"/>
      <c r="Q4997" s="99"/>
      <c r="R4997" s="99"/>
    </row>
    <row r="4998" spans="5:18" s="65" customFormat="1">
      <c r="E4998" s="130"/>
      <c r="P4998" s="99"/>
      <c r="Q4998" s="99"/>
      <c r="R4998" s="99"/>
    </row>
    <row r="4999" spans="5:18" s="65" customFormat="1">
      <c r="E4999" s="130"/>
      <c r="P4999" s="99"/>
      <c r="Q4999" s="99"/>
      <c r="R4999" s="99"/>
    </row>
    <row r="5000" spans="5:18" s="65" customFormat="1">
      <c r="E5000" s="130"/>
      <c r="P5000" s="99"/>
      <c r="Q5000" s="99"/>
      <c r="R5000" s="99"/>
    </row>
    <row r="5001" spans="5:18" s="65" customFormat="1">
      <c r="E5001" s="130"/>
      <c r="P5001" s="99"/>
      <c r="Q5001" s="99"/>
      <c r="R5001" s="99"/>
    </row>
    <row r="5002" spans="5:18" s="65" customFormat="1">
      <c r="E5002" s="130"/>
      <c r="P5002" s="99"/>
      <c r="Q5002" s="99"/>
      <c r="R5002" s="99"/>
    </row>
    <row r="5003" spans="5:18" s="65" customFormat="1">
      <c r="E5003" s="130"/>
      <c r="P5003" s="99"/>
      <c r="Q5003" s="99"/>
      <c r="R5003" s="99"/>
    </row>
    <row r="5004" spans="5:18" s="65" customFormat="1">
      <c r="E5004" s="130"/>
      <c r="P5004" s="99"/>
      <c r="Q5004" s="99"/>
      <c r="R5004" s="99"/>
    </row>
    <row r="5005" spans="5:18" s="65" customFormat="1">
      <c r="E5005" s="130"/>
      <c r="P5005" s="99"/>
      <c r="Q5005" s="99"/>
      <c r="R5005" s="99"/>
    </row>
    <row r="5006" spans="5:18" s="65" customFormat="1">
      <c r="E5006" s="130"/>
      <c r="P5006" s="99"/>
      <c r="Q5006" s="99"/>
      <c r="R5006" s="99"/>
    </row>
    <row r="5007" spans="5:18" s="65" customFormat="1">
      <c r="E5007" s="130"/>
      <c r="P5007" s="99"/>
      <c r="Q5007" s="99"/>
      <c r="R5007" s="99"/>
    </row>
    <row r="5008" spans="5:18" s="65" customFormat="1">
      <c r="E5008" s="130"/>
      <c r="P5008" s="99"/>
      <c r="Q5008" s="99"/>
      <c r="R5008" s="99"/>
    </row>
    <row r="5009" spans="5:18" s="65" customFormat="1">
      <c r="E5009" s="130"/>
      <c r="P5009" s="99"/>
      <c r="Q5009" s="99"/>
      <c r="R5009" s="99"/>
    </row>
    <row r="5010" spans="5:18" s="65" customFormat="1">
      <c r="E5010" s="130"/>
      <c r="P5010" s="99"/>
      <c r="Q5010" s="99"/>
      <c r="R5010" s="99"/>
    </row>
    <row r="5011" spans="5:18" s="65" customFormat="1">
      <c r="E5011" s="130"/>
      <c r="P5011" s="99"/>
      <c r="Q5011" s="99"/>
      <c r="R5011" s="99"/>
    </row>
    <row r="5012" spans="5:18" s="65" customFormat="1">
      <c r="E5012" s="130"/>
      <c r="P5012" s="99"/>
      <c r="Q5012" s="99"/>
      <c r="R5012" s="99"/>
    </row>
    <row r="5013" spans="5:18" s="65" customFormat="1">
      <c r="E5013" s="130"/>
      <c r="P5013" s="99"/>
      <c r="Q5013" s="99"/>
      <c r="R5013" s="99"/>
    </row>
    <row r="5014" spans="5:18" s="65" customFormat="1">
      <c r="E5014" s="130"/>
      <c r="P5014" s="99"/>
      <c r="Q5014" s="99"/>
      <c r="R5014" s="99"/>
    </row>
    <row r="5015" spans="5:18" s="65" customFormat="1">
      <c r="E5015" s="130"/>
      <c r="P5015" s="99"/>
      <c r="Q5015" s="99"/>
      <c r="R5015" s="99"/>
    </row>
    <row r="5016" spans="5:18" s="65" customFormat="1">
      <c r="E5016" s="130"/>
      <c r="P5016" s="99"/>
      <c r="Q5016" s="99"/>
      <c r="R5016" s="99"/>
    </row>
    <row r="5017" spans="5:18" s="65" customFormat="1">
      <c r="E5017" s="130"/>
      <c r="P5017" s="99"/>
      <c r="Q5017" s="99"/>
      <c r="R5017" s="99"/>
    </row>
    <row r="5018" spans="5:18" s="65" customFormat="1">
      <c r="E5018" s="130"/>
      <c r="P5018" s="99"/>
      <c r="Q5018" s="99"/>
      <c r="R5018" s="99"/>
    </row>
    <row r="5019" spans="5:18" s="65" customFormat="1">
      <c r="E5019" s="130"/>
      <c r="P5019" s="99"/>
      <c r="Q5019" s="99"/>
      <c r="R5019" s="99"/>
    </row>
    <row r="5020" spans="5:18" s="65" customFormat="1">
      <c r="E5020" s="130"/>
      <c r="P5020" s="99"/>
      <c r="Q5020" s="99"/>
      <c r="R5020" s="99"/>
    </row>
    <row r="5021" spans="5:18" s="65" customFormat="1">
      <c r="E5021" s="130"/>
      <c r="P5021" s="99"/>
      <c r="Q5021" s="99"/>
      <c r="R5021" s="99"/>
    </row>
    <row r="5022" spans="5:18" s="65" customFormat="1">
      <c r="E5022" s="130"/>
      <c r="P5022" s="99"/>
      <c r="Q5022" s="99"/>
      <c r="R5022" s="99"/>
    </row>
    <row r="5023" spans="5:18" s="65" customFormat="1">
      <c r="E5023" s="130"/>
      <c r="P5023" s="99"/>
      <c r="Q5023" s="99"/>
      <c r="R5023" s="99"/>
    </row>
    <row r="5024" spans="5:18" s="65" customFormat="1">
      <c r="E5024" s="130"/>
      <c r="P5024" s="99"/>
      <c r="Q5024" s="99"/>
      <c r="R5024" s="99"/>
    </row>
    <row r="5025" spans="5:18" s="65" customFormat="1">
      <c r="E5025" s="130"/>
      <c r="P5025" s="99"/>
      <c r="Q5025" s="99"/>
      <c r="R5025" s="99"/>
    </row>
    <row r="5026" spans="5:18" s="65" customFormat="1">
      <c r="E5026" s="130"/>
      <c r="P5026" s="99"/>
      <c r="Q5026" s="99"/>
      <c r="R5026" s="99"/>
    </row>
    <row r="5027" spans="5:18" s="65" customFormat="1">
      <c r="E5027" s="130"/>
      <c r="P5027" s="99"/>
      <c r="Q5027" s="99"/>
      <c r="R5027" s="99"/>
    </row>
    <row r="5028" spans="5:18" s="65" customFormat="1">
      <c r="E5028" s="130"/>
      <c r="P5028" s="99"/>
      <c r="Q5028" s="99"/>
      <c r="R5028" s="99"/>
    </row>
    <row r="5029" spans="5:18" s="65" customFormat="1">
      <c r="E5029" s="130"/>
      <c r="P5029" s="99"/>
      <c r="Q5029" s="99"/>
      <c r="R5029" s="99"/>
    </row>
    <row r="5030" spans="5:18" s="65" customFormat="1">
      <c r="E5030" s="130"/>
      <c r="P5030" s="99"/>
      <c r="Q5030" s="99"/>
      <c r="R5030" s="99"/>
    </row>
    <row r="5031" spans="5:18" s="65" customFormat="1">
      <c r="E5031" s="130"/>
      <c r="P5031" s="99"/>
      <c r="Q5031" s="99"/>
      <c r="R5031" s="99"/>
    </row>
    <row r="5032" spans="5:18" s="65" customFormat="1">
      <c r="E5032" s="130"/>
      <c r="P5032" s="99"/>
      <c r="Q5032" s="99"/>
      <c r="R5032" s="99"/>
    </row>
    <row r="5033" spans="5:18" s="65" customFormat="1">
      <c r="E5033" s="130"/>
      <c r="P5033" s="99"/>
      <c r="Q5033" s="99"/>
      <c r="R5033" s="99"/>
    </row>
    <row r="5034" spans="5:18" s="65" customFormat="1">
      <c r="E5034" s="130"/>
      <c r="P5034" s="99"/>
      <c r="Q5034" s="99"/>
      <c r="R5034" s="99"/>
    </row>
    <row r="5035" spans="5:18" s="65" customFormat="1">
      <c r="E5035" s="130"/>
      <c r="P5035" s="99"/>
      <c r="Q5035" s="99"/>
      <c r="R5035" s="99"/>
    </row>
    <row r="5036" spans="5:18" s="65" customFormat="1">
      <c r="E5036" s="130"/>
      <c r="P5036" s="99"/>
      <c r="Q5036" s="99"/>
      <c r="R5036" s="99"/>
    </row>
    <row r="5037" spans="5:18" s="65" customFormat="1">
      <c r="E5037" s="130"/>
      <c r="P5037" s="99"/>
      <c r="Q5037" s="99"/>
      <c r="R5037" s="99"/>
    </row>
    <row r="5038" spans="5:18" s="65" customFormat="1">
      <c r="E5038" s="130"/>
      <c r="P5038" s="99"/>
      <c r="Q5038" s="99"/>
      <c r="R5038" s="99"/>
    </row>
    <row r="5039" spans="5:18" s="65" customFormat="1">
      <c r="E5039" s="130"/>
      <c r="P5039" s="99"/>
      <c r="Q5039" s="99"/>
      <c r="R5039" s="99"/>
    </row>
    <row r="5040" spans="5:18" s="65" customFormat="1">
      <c r="E5040" s="130"/>
      <c r="P5040" s="99"/>
      <c r="Q5040" s="99"/>
      <c r="R5040" s="99"/>
    </row>
    <row r="5041" spans="5:18" s="65" customFormat="1">
      <c r="E5041" s="130"/>
      <c r="P5041" s="99"/>
      <c r="Q5041" s="99"/>
      <c r="R5041" s="99"/>
    </row>
    <row r="5042" spans="5:18" s="65" customFormat="1">
      <c r="E5042" s="130"/>
      <c r="P5042" s="99"/>
      <c r="Q5042" s="99"/>
      <c r="R5042" s="99"/>
    </row>
    <row r="5043" spans="5:18" s="65" customFormat="1">
      <c r="E5043" s="130"/>
      <c r="P5043" s="99"/>
      <c r="Q5043" s="99"/>
      <c r="R5043" s="99"/>
    </row>
    <row r="5044" spans="5:18" s="65" customFormat="1">
      <c r="E5044" s="130"/>
      <c r="P5044" s="99"/>
      <c r="Q5044" s="99"/>
      <c r="R5044" s="99"/>
    </row>
    <row r="5045" spans="5:18" s="65" customFormat="1">
      <c r="E5045" s="130"/>
      <c r="P5045" s="99"/>
      <c r="Q5045" s="99"/>
      <c r="R5045" s="99"/>
    </row>
    <row r="5046" spans="5:18" s="65" customFormat="1">
      <c r="E5046" s="130"/>
      <c r="P5046" s="99"/>
      <c r="Q5046" s="99"/>
      <c r="R5046" s="99"/>
    </row>
    <row r="5047" spans="5:18" s="65" customFormat="1">
      <c r="E5047" s="130"/>
      <c r="P5047" s="99"/>
      <c r="Q5047" s="99"/>
      <c r="R5047" s="99"/>
    </row>
    <row r="5048" spans="5:18" s="65" customFormat="1">
      <c r="E5048" s="130"/>
      <c r="P5048" s="99"/>
      <c r="Q5048" s="99"/>
      <c r="R5048" s="99"/>
    </row>
    <row r="5049" spans="5:18" s="65" customFormat="1">
      <c r="E5049" s="130"/>
      <c r="P5049" s="99"/>
      <c r="Q5049" s="99"/>
      <c r="R5049" s="99"/>
    </row>
    <row r="5050" spans="5:18" s="65" customFormat="1">
      <c r="E5050" s="130"/>
      <c r="P5050" s="99"/>
      <c r="Q5050" s="99"/>
      <c r="R5050" s="99"/>
    </row>
    <row r="5051" spans="5:18" s="65" customFormat="1">
      <c r="E5051" s="130"/>
      <c r="P5051" s="99"/>
      <c r="Q5051" s="99"/>
      <c r="R5051" s="99"/>
    </row>
    <row r="5052" spans="5:18" s="65" customFormat="1">
      <c r="E5052" s="130"/>
      <c r="P5052" s="99"/>
      <c r="Q5052" s="99"/>
      <c r="R5052" s="99"/>
    </row>
    <row r="5053" spans="5:18" s="65" customFormat="1">
      <c r="E5053" s="130"/>
      <c r="P5053" s="99"/>
      <c r="Q5053" s="99"/>
      <c r="R5053" s="99"/>
    </row>
    <row r="5054" spans="5:18" s="65" customFormat="1">
      <c r="E5054" s="130"/>
      <c r="P5054" s="99"/>
      <c r="Q5054" s="99"/>
      <c r="R5054" s="99"/>
    </row>
    <row r="5055" spans="5:18" s="65" customFormat="1">
      <c r="E5055" s="130"/>
      <c r="P5055" s="99"/>
      <c r="Q5055" s="99"/>
      <c r="R5055" s="99"/>
    </row>
    <row r="5056" spans="5:18" s="65" customFormat="1">
      <c r="E5056" s="130"/>
      <c r="P5056" s="99"/>
      <c r="Q5056" s="99"/>
      <c r="R5056" s="99"/>
    </row>
    <row r="5057" spans="5:18" s="65" customFormat="1">
      <c r="E5057" s="130"/>
      <c r="P5057" s="99"/>
      <c r="Q5057" s="99"/>
      <c r="R5057" s="99"/>
    </row>
    <row r="5058" spans="5:18" s="65" customFormat="1">
      <c r="E5058" s="130"/>
      <c r="P5058" s="99"/>
      <c r="Q5058" s="99"/>
      <c r="R5058" s="99"/>
    </row>
    <row r="5059" spans="5:18" s="65" customFormat="1">
      <c r="E5059" s="130"/>
      <c r="P5059" s="99"/>
      <c r="Q5059" s="99"/>
      <c r="R5059" s="99"/>
    </row>
    <row r="5060" spans="5:18" s="65" customFormat="1">
      <c r="E5060" s="130"/>
      <c r="P5060" s="99"/>
      <c r="Q5060" s="99"/>
      <c r="R5060" s="99"/>
    </row>
    <row r="5061" spans="5:18" s="65" customFormat="1">
      <c r="E5061" s="130"/>
      <c r="P5061" s="99"/>
      <c r="Q5061" s="99"/>
      <c r="R5061" s="99"/>
    </row>
    <row r="5062" spans="5:18" s="65" customFormat="1">
      <c r="E5062" s="130"/>
      <c r="P5062" s="99"/>
      <c r="Q5062" s="99"/>
      <c r="R5062" s="99"/>
    </row>
    <row r="5063" spans="5:18" s="65" customFormat="1">
      <c r="E5063" s="130"/>
      <c r="P5063" s="99"/>
      <c r="Q5063" s="99"/>
      <c r="R5063" s="99"/>
    </row>
    <row r="5064" spans="5:18" s="65" customFormat="1">
      <c r="E5064" s="130"/>
      <c r="P5064" s="99"/>
      <c r="Q5064" s="99"/>
      <c r="R5064" s="99"/>
    </row>
    <row r="5065" spans="5:18" s="65" customFormat="1">
      <c r="E5065" s="130"/>
      <c r="P5065" s="99"/>
      <c r="Q5065" s="99"/>
      <c r="R5065" s="99"/>
    </row>
    <row r="5066" spans="5:18" s="65" customFormat="1">
      <c r="E5066" s="130"/>
      <c r="P5066" s="99"/>
      <c r="Q5066" s="99"/>
      <c r="R5066" s="99"/>
    </row>
    <row r="5067" spans="5:18" s="65" customFormat="1">
      <c r="E5067" s="130"/>
      <c r="P5067" s="99"/>
      <c r="Q5067" s="99"/>
      <c r="R5067" s="99"/>
    </row>
    <row r="5068" spans="5:18" s="65" customFormat="1">
      <c r="E5068" s="130"/>
      <c r="P5068" s="99"/>
      <c r="Q5068" s="99"/>
      <c r="R5068" s="99"/>
    </row>
    <row r="5069" spans="5:18" s="65" customFormat="1">
      <c r="E5069" s="130"/>
      <c r="P5069" s="99"/>
      <c r="Q5069" s="99"/>
      <c r="R5069" s="99"/>
    </row>
    <row r="5070" spans="5:18" s="65" customFormat="1">
      <c r="E5070" s="130"/>
      <c r="P5070" s="99"/>
      <c r="Q5070" s="99"/>
      <c r="R5070" s="99"/>
    </row>
    <row r="5071" spans="5:18" s="65" customFormat="1">
      <c r="E5071" s="130"/>
      <c r="P5071" s="99"/>
      <c r="Q5071" s="99"/>
      <c r="R5071" s="99"/>
    </row>
    <row r="5072" spans="5:18" s="65" customFormat="1">
      <c r="E5072" s="130"/>
      <c r="P5072" s="99"/>
      <c r="Q5072" s="99"/>
      <c r="R5072" s="99"/>
    </row>
    <row r="5073" spans="5:18" s="65" customFormat="1">
      <c r="E5073" s="130"/>
      <c r="P5073" s="99"/>
      <c r="Q5073" s="99"/>
      <c r="R5073" s="99"/>
    </row>
    <row r="5074" spans="5:18" s="65" customFormat="1">
      <c r="E5074" s="130"/>
      <c r="P5074" s="99"/>
      <c r="Q5074" s="99"/>
      <c r="R5074" s="99"/>
    </row>
    <row r="5075" spans="5:18" s="65" customFormat="1">
      <c r="E5075" s="130"/>
      <c r="P5075" s="99"/>
      <c r="Q5075" s="99"/>
      <c r="R5075" s="99"/>
    </row>
    <row r="5076" spans="5:18" s="65" customFormat="1">
      <c r="E5076" s="130"/>
      <c r="P5076" s="99"/>
      <c r="Q5076" s="99"/>
      <c r="R5076" s="99"/>
    </row>
    <row r="5077" spans="5:18" s="65" customFormat="1">
      <c r="E5077" s="130"/>
      <c r="P5077" s="99"/>
      <c r="Q5077" s="99"/>
      <c r="R5077" s="99"/>
    </row>
    <row r="5078" spans="5:18" s="65" customFormat="1">
      <c r="E5078" s="130"/>
      <c r="P5078" s="99"/>
      <c r="Q5078" s="99"/>
      <c r="R5078" s="99"/>
    </row>
    <row r="5079" spans="5:18" s="65" customFormat="1">
      <c r="E5079" s="130"/>
      <c r="P5079" s="99"/>
      <c r="Q5079" s="99"/>
      <c r="R5079" s="99"/>
    </row>
    <row r="5080" spans="5:18" s="65" customFormat="1">
      <c r="E5080" s="130"/>
      <c r="P5080" s="99"/>
      <c r="Q5080" s="99"/>
      <c r="R5080" s="99"/>
    </row>
    <row r="5081" spans="5:18" s="65" customFormat="1">
      <c r="E5081" s="130"/>
      <c r="P5081" s="99"/>
      <c r="Q5081" s="99"/>
      <c r="R5081" s="99"/>
    </row>
    <row r="5082" spans="5:18" s="65" customFormat="1">
      <c r="E5082" s="130"/>
      <c r="P5082" s="99"/>
      <c r="Q5082" s="99"/>
      <c r="R5082" s="99"/>
    </row>
    <row r="5083" spans="5:18" s="65" customFormat="1">
      <c r="E5083" s="130"/>
      <c r="P5083" s="99"/>
      <c r="Q5083" s="99"/>
      <c r="R5083" s="99"/>
    </row>
    <row r="5084" spans="5:18" s="65" customFormat="1">
      <c r="E5084" s="130"/>
      <c r="P5084" s="99"/>
      <c r="Q5084" s="99"/>
      <c r="R5084" s="99"/>
    </row>
    <row r="5085" spans="5:18" s="65" customFormat="1">
      <c r="E5085" s="130"/>
      <c r="P5085" s="99"/>
      <c r="Q5085" s="99"/>
      <c r="R5085" s="99"/>
    </row>
    <row r="5086" spans="5:18" s="65" customFormat="1">
      <c r="E5086" s="130"/>
      <c r="P5086" s="99"/>
      <c r="Q5086" s="99"/>
      <c r="R5086" s="99"/>
    </row>
    <row r="5087" spans="5:18" s="65" customFormat="1">
      <c r="E5087" s="130"/>
      <c r="P5087" s="99"/>
      <c r="Q5087" s="99"/>
      <c r="R5087" s="99"/>
    </row>
    <row r="5088" spans="5:18" s="65" customFormat="1">
      <c r="E5088" s="130"/>
      <c r="P5088" s="99"/>
      <c r="Q5088" s="99"/>
      <c r="R5088" s="99"/>
    </row>
    <row r="5089" spans="5:18" s="65" customFormat="1">
      <c r="E5089" s="130"/>
      <c r="P5089" s="99"/>
      <c r="Q5089" s="99"/>
      <c r="R5089" s="99"/>
    </row>
    <row r="5090" spans="5:18" s="65" customFormat="1">
      <c r="E5090" s="130"/>
      <c r="P5090" s="99"/>
      <c r="Q5090" s="99"/>
      <c r="R5090" s="99"/>
    </row>
    <row r="5091" spans="5:18" s="65" customFormat="1">
      <c r="E5091" s="130"/>
      <c r="P5091" s="99"/>
      <c r="Q5091" s="99"/>
      <c r="R5091" s="99"/>
    </row>
    <row r="5092" spans="5:18" s="65" customFormat="1">
      <c r="E5092" s="130"/>
      <c r="P5092" s="99"/>
      <c r="Q5092" s="99"/>
      <c r="R5092" s="99"/>
    </row>
    <row r="5093" spans="5:18" s="65" customFormat="1">
      <c r="E5093" s="130"/>
      <c r="P5093" s="99"/>
      <c r="Q5093" s="99"/>
      <c r="R5093" s="99"/>
    </row>
    <row r="5094" spans="5:18" s="65" customFormat="1">
      <c r="E5094" s="130"/>
      <c r="P5094" s="99"/>
      <c r="Q5094" s="99"/>
      <c r="R5094" s="99"/>
    </row>
    <row r="5095" spans="5:18" s="65" customFormat="1">
      <c r="E5095" s="130"/>
      <c r="P5095" s="99"/>
      <c r="Q5095" s="99"/>
      <c r="R5095" s="99"/>
    </row>
    <row r="5096" spans="5:18" s="65" customFormat="1">
      <c r="E5096" s="130"/>
      <c r="P5096" s="99"/>
      <c r="Q5096" s="99"/>
      <c r="R5096" s="99"/>
    </row>
    <row r="5097" spans="5:18" s="65" customFormat="1">
      <c r="E5097" s="130"/>
      <c r="P5097" s="99"/>
      <c r="Q5097" s="99"/>
      <c r="R5097" s="99"/>
    </row>
    <row r="5098" spans="5:18" s="65" customFormat="1">
      <c r="E5098" s="130"/>
      <c r="P5098" s="99"/>
      <c r="Q5098" s="99"/>
      <c r="R5098" s="99"/>
    </row>
    <row r="5099" spans="5:18" s="65" customFormat="1">
      <c r="E5099" s="130"/>
      <c r="P5099" s="99"/>
      <c r="Q5099" s="99"/>
      <c r="R5099" s="99"/>
    </row>
    <row r="5100" spans="5:18" s="65" customFormat="1">
      <c r="E5100" s="130"/>
      <c r="P5100" s="99"/>
      <c r="Q5100" s="99"/>
      <c r="R5100" s="99"/>
    </row>
    <row r="5101" spans="5:18" s="65" customFormat="1">
      <c r="E5101" s="130"/>
      <c r="P5101" s="99"/>
      <c r="Q5101" s="99"/>
      <c r="R5101" s="99"/>
    </row>
    <row r="5102" spans="5:18" s="65" customFormat="1">
      <c r="E5102" s="130"/>
      <c r="P5102" s="99"/>
      <c r="Q5102" s="99"/>
      <c r="R5102" s="99"/>
    </row>
    <row r="5103" spans="5:18" s="65" customFormat="1">
      <c r="E5103" s="130"/>
      <c r="P5103" s="99"/>
      <c r="Q5103" s="99"/>
      <c r="R5103" s="99"/>
    </row>
    <row r="5104" spans="5:18" s="65" customFormat="1">
      <c r="E5104" s="130"/>
      <c r="P5104" s="99"/>
      <c r="Q5104" s="99"/>
      <c r="R5104" s="99"/>
    </row>
    <row r="5105" spans="5:18" s="65" customFormat="1">
      <c r="E5105" s="130"/>
      <c r="P5105" s="99"/>
      <c r="Q5105" s="99"/>
      <c r="R5105" s="99"/>
    </row>
    <row r="5106" spans="5:18" s="65" customFormat="1">
      <c r="E5106" s="130"/>
      <c r="P5106" s="99"/>
      <c r="Q5106" s="99"/>
      <c r="R5106" s="99"/>
    </row>
    <row r="5107" spans="5:18" s="65" customFormat="1">
      <c r="E5107" s="130"/>
      <c r="P5107" s="99"/>
      <c r="Q5107" s="99"/>
      <c r="R5107" s="99"/>
    </row>
    <row r="5108" spans="5:18" s="65" customFormat="1">
      <c r="E5108" s="130"/>
      <c r="P5108" s="99"/>
      <c r="Q5108" s="99"/>
      <c r="R5108" s="99"/>
    </row>
    <row r="5109" spans="5:18" s="65" customFormat="1">
      <c r="E5109" s="130"/>
      <c r="P5109" s="99"/>
      <c r="Q5109" s="99"/>
      <c r="R5109" s="99"/>
    </row>
    <row r="5110" spans="5:18" s="65" customFormat="1">
      <c r="E5110" s="130"/>
      <c r="P5110" s="99"/>
      <c r="Q5110" s="99"/>
      <c r="R5110" s="99"/>
    </row>
    <row r="5111" spans="5:18" s="65" customFormat="1">
      <c r="E5111" s="130"/>
      <c r="P5111" s="99"/>
      <c r="Q5111" s="99"/>
      <c r="R5111" s="99"/>
    </row>
    <row r="5112" spans="5:18" s="65" customFormat="1">
      <c r="E5112" s="130"/>
      <c r="P5112" s="99"/>
      <c r="Q5112" s="99"/>
      <c r="R5112" s="99"/>
    </row>
    <row r="5113" spans="5:18" s="65" customFormat="1">
      <c r="E5113" s="130"/>
      <c r="P5113" s="99"/>
      <c r="Q5113" s="99"/>
      <c r="R5113" s="99"/>
    </row>
    <row r="5114" spans="5:18" s="65" customFormat="1">
      <c r="E5114" s="130"/>
      <c r="P5114" s="99"/>
      <c r="Q5114" s="99"/>
      <c r="R5114" s="99"/>
    </row>
    <row r="5115" spans="5:18" s="65" customFormat="1">
      <c r="E5115" s="130"/>
      <c r="P5115" s="99"/>
      <c r="Q5115" s="99"/>
      <c r="R5115" s="99"/>
    </row>
    <row r="5116" spans="5:18" s="65" customFormat="1">
      <c r="E5116" s="130"/>
      <c r="P5116" s="99"/>
      <c r="Q5116" s="99"/>
      <c r="R5116" s="99"/>
    </row>
    <row r="5117" spans="5:18" s="65" customFormat="1">
      <c r="E5117" s="130"/>
      <c r="P5117" s="99"/>
      <c r="Q5117" s="99"/>
      <c r="R5117" s="99"/>
    </row>
    <row r="5118" spans="5:18" s="65" customFormat="1">
      <c r="E5118" s="130"/>
      <c r="P5118" s="99"/>
      <c r="Q5118" s="99"/>
      <c r="R5118" s="99"/>
    </row>
    <row r="5119" spans="5:18" s="65" customFormat="1">
      <c r="E5119" s="130"/>
      <c r="P5119" s="99"/>
      <c r="Q5119" s="99"/>
      <c r="R5119" s="99"/>
    </row>
    <row r="5120" spans="5:18" s="65" customFormat="1">
      <c r="E5120" s="130"/>
      <c r="P5120" s="99"/>
      <c r="Q5120" s="99"/>
      <c r="R5120" s="99"/>
    </row>
    <row r="5121" spans="5:18" s="65" customFormat="1">
      <c r="E5121" s="130"/>
      <c r="P5121" s="99"/>
      <c r="Q5121" s="99"/>
      <c r="R5121" s="99"/>
    </row>
    <row r="5122" spans="5:18" s="65" customFormat="1">
      <c r="E5122" s="130"/>
      <c r="P5122" s="99"/>
      <c r="Q5122" s="99"/>
      <c r="R5122" s="99"/>
    </row>
    <row r="5123" spans="5:18" s="65" customFormat="1">
      <c r="E5123" s="130"/>
      <c r="P5123" s="99"/>
      <c r="Q5123" s="99"/>
      <c r="R5123" s="99"/>
    </row>
    <row r="5124" spans="5:18" s="65" customFormat="1">
      <c r="E5124" s="130"/>
      <c r="P5124" s="99"/>
      <c r="Q5124" s="99"/>
      <c r="R5124" s="99"/>
    </row>
    <row r="5125" spans="5:18" s="65" customFormat="1">
      <c r="E5125" s="130"/>
      <c r="P5125" s="99"/>
      <c r="Q5125" s="99"/>
      <c r="R5125" s="99"/>
    </row>
    <row r="5126" spans="5:18" s="65" customFormat="1">
      <c r="E5126" s="130"/>
      <c r="P5126" s="99"/>
      <c r="Q5126" s="99"/>
      <c r="R5126" s="99"/>
    </row>
    <row r="5127" spans="5:18" s="65" customFormat="1">
      <c r="E5127" s="130"/>
      <c r="P5127" s="99"/>
      <c r="Q5127" s="99"/>
      <c r="R5127" s="99"/>
    </row>
    <row r="5128" spans="5:18" s="65" customFormat="1">
      <c r="E5128" s="130"/>
      <c r="P5128" s="99"/>
      <c r="Q5128" s="99"/>
      <c r="R5128" s="99"/>
    </row>
    <row r="5129" spans="5:18" s="65" customFormat="1">
      <c r="E5129" s="130"/>
      <c r="P5129" s="99"/>
      <c r="Q5129" s="99"/>
      <c r="R5129" s="99"/>
    </row>
    <row r="5130" spans="5:18" s="65" customFormat="1">
      <c r="E5130" s="130"/>
      <c r="P5130" s="99"/>
      <c r="Q5130" s="99"/>
      <c r="R5130" s="99"/>
    </row>
    <row r="5131" spans="5:18" s="65" customFormat="1">
      <c r="E5131" s="130"/>
      <c r="P5131" s="99"/>
      <c r="Q5131" s="99"/>
      <c r="R5131" s="99"/>
    </row>
    <row r="5132" spans="5:18" s="65" customFormat="1">
      <c r="E5132" s="130"/>
      <c r="P5132" s="99"/>
      <c r="Q5132" s="99"/>
      <c r="R5132" s="99"/>
    </row>
    <row r="5133" spans="5:18" s="65" customFormat="1">
      <c r="E5133" s="130"/>
      <c r="P5133" s="99"/>
      <c r="Q5133" s="99"/>
      <c r="R5133" s="99"/>
    </row>
    <row r="5134" spans="5:18" s="65" customFormat="1">
      <c r="E5134" s="130"/>
      <c r="P5134" s="99"/>
      <c r="Q5134" s="99"/>
      <c r="R5134" s="99"/>
    </row>
    <row r="5135" spans="5:18" s="65" customFormat="1">
      <c r="E5135" s="130"/>
      <c r="P5135" s="99"/>
      <c r="Q5135" s="99"/>
      <c r="R5135" s="99"/>
    </row>
    <row r="5136" spans="5:18" s="65" customFormat="1">
      <c r="E5136" s="130"/>
      <c r="P5136" s="99"/>
      <c r="Q5136" s="99"/>
      <c r="R5136" s="99"/>
    </row>
    <row r="5137" spans="5:18" s="65" customFormat="1">
      <c r="E5137" s="130"/>
      <c r="P5137" s="99"/>
      <c r="Q5137" s="99"/>
      <c r="R5137" s="99"/>
    </row>
    <row r="5138" spans="5:18" s="65" customFormat="1">
      <c r="E5138" s="130"/>
      <c r="P5138" s="99"/>
      <c r="Q5138" s="99"/>
      <c r="R5138" s="99"/>
    </row>
    <row r="5139" spans="5:18" s="65" customFormat="1">
      <c r="E5139" s="130"/>
      <c r="P5139" s="99"/>
      <c r="Q5139" s="99"/>
      <c r="R5139" s="99"/>
    </row>
    <row r="5140" spans="5:18" s="65" customFormat="1">
      <c r="E5140" s="130"/>
      <c r="P5140" s="99"/>
      <c r="Q5140" s="99"/>
      <c r="R5140" s="99"/>
    </row>
    <row r="5141" spans="5:18" s="65" customFormat="1">
      <c r="E5141" s="130"/>
      <c r="P5141" s="99"/>
      <c r="Q5141" s="99"/>
      <c r="R5141" s="99"/>
    </row>
    <row r="5142" spans="5:18" s="65" customFormat="1">
      <c r="E5142" s="130"/>
      <c r="P5142" s="99"/>
      <c r="Q5142" s="99"/>
      <c r="R5142" s="99"/>
    </row>
    <row r="5143" spans="5:18" s="65" customFormat="1">
      <c r="E5143" s="130"/>
      <c r="P5143" s="99"/>
      <c r="Q5143" s="99"/>
      <c r="R5143" s="99"/>
    </row>
    <row r="5144" spans="5:18" s="65" customFormat="1">
      <c r="E5144" s="130"/>
      <c r="P5144" s="99"/>
      <c r="Q5144" s="99"/>
      <c r="R5144" s="99"/>
    </row>
    <row r="5145" spans="5:18" s="65" customFormat="1">
      <c r="E5145" s="130"/>
      <c r="P5145" s="99"/>
      <c r="Q5145" s="99"/>
      <c r="R5145" s="99"/>
    </row>
    <row r="5146" spans="5:18" s="65" customFormat="1">
      <c r="E5146" s="130"/>
      <c r="P5146" s="99"/>
      <c r="Q5146" s="99"/>
      <c r="R5146" s="99"/>
    </row>
    <row r="5147" spans="5:18" s="65" customFormat="1">
      <c r="E5147" s="130"/>
      <c r="P5147" s="99"/>
      <c r="Q5147" s="99"/>
      <c r="R5147" s="99"/>
    </row>
    <row r="5148" spans="5:18" s="65" customFormat="1">
      <c r="E5148" s="130"/>
      <c r="P5148" s="99"/>
      <c r="Q5148" s="99"/>
      <c r="R5148" s="99"/>
    </row>
    <row r="5149" spans="5:18" s="65" customFormat="1">
      <c r="E5149" s="130"/>
      <c r="P5149" s="99"/>
      <c r="Q5149" s="99"/>
      <c r="R5149" s="99"/>
    </row>
    <row r="5150" spans="5:18" s="65" customFormat="1">
      <c r="E5150" s="130"/>
      <c r="P5150" s="99"/>
      <c r="Q5150" s="99"/>
      <c r="R5150" s="99"/>
    </row>
    <row r="5151" spans="5:18" s="65" customFormat="1">
      <c r="E5151" s="130"/>
      <c r="P5151" s="99"/>
      <c r="Q5151" s="99"/>
      <c r="R5151" s="99"/>
    </row>
    <row r="5152" spans="5:18" s="65" customFormat="1">
      <c r="E5152" s="130"/>
      <c r="P5152" s="99"/>
      <c r="Q5152" s="99"/>
      <c r="R5152" s="99"/>
    </row>
    <row r="5153" spans="5:18" s="65" customFormat="1">
      <c r="E5153" s="130"/>
      <c r="P5153" s="99"/>
      <c r="Q5153" s="99"/>
      <c r="R5153" s="99"/>
    </row>
    <row r="5154" spans="5:18" s="65" customFormat="1">
      <c r="E5154" s="130"/>
      <c r="P5154" s="99"/>
      <c r="Q5154" s="99"/>
      <c r="R5154" s="99"/>
    </row>
    <row r="5155" spans="5:18" s="65" customFormat="1">
      <c r="E5155" s="130"/>
      <c r="P5155" s="99"/>
      <c r="Q5155" s="99"/>
      <c r="R5155" s="99"/>
    </row>
    <row r="5156" spans="5:18" s="65" customFormat="1">
      <c r="E5156" s="130"/>
      <c r="P5156" s="99"/>
      <c r="Q5156" s="99"/>
      <c r="R5156" s="99"/>
    </row>
    <row r="5157" spans="5:18" s="65" customFormat="1">
      <c r="E5157" s="130"/>
      <c r="P5157" s="99"/>
      <c r="Q5157" s="99"/>
      <c r="R5157" s="99"/>
    </row>
    <row r="5158" spans="5:18" s="65" customFormat="1">
      <c r="E5158" s="130"/>
      <c r="P5158" s="99"/>
      <c r="Q5158" s="99"/>
      <c r="R5158" s="99"/>
    </row>
    <row r="5159" spans="5:18" s="65" customFormat="1">
      <c r="E5159" s="130"/>
      <c r="P5159" s="99"/>
      <c r="Q5159" s="99"/>
      <c r="R5159" s="99"/>
    </row>
    <row r="5160" spans="5:18" s="65" customFormat="1">
      <c r="E5160" s="130"/>
      <c r="P5160" s="99"/>
      <c r="Q5160" s="99"/>
      <c r="R5160" s="99"/>
    </row>
    <row r="5161" spans="5:18" s="65" customFormat="1">
      <c r="E5161" s="130"/>
      <c r="P5161" s="99"/>
      <c r="Q5161" s="99"/>
      <c r="R5161" s="99"/>
    </row>
    <row r="5162" spans="5:18" s="65" customFormat="1">
      <c r="E5162" s="130"/>
      <c r="P5162" s="99"/>
      <c r="Q5162" s="99"/>
      <c r="R5162" s="99"/>
    </row>
    <row r="5163" spans="5:18" s="65" customFormat="1">
      <c r="E5163" s="130"/>
      <c r="P5163" s="99"/>
      <c r="Q5163" s="99"/>
      <c r="R5163" s="99"/>
    </row>
    <row r="5164" spans="5:18" s="65" customFormat="1">
      <c r="E5164" s="130"/>
      <c r="P5164" s="99"/>
      <c r="Q5164" s="99"/>
      <c r="R5164" s="99"/>
    </row>
    <row r="5165" spans="5:18" s="65" customFormat="1">
      <c r="E5165" s="130"/>
      <c r="P5165" s="99"/>
      <c r="Q5165" s="99"/>
      <c r="R5165" s="99"/>
    </row>
    <row r="5166" spans="5:18" s="65" customFormat="1">
      <c r="E5166" s="130"/>
      <c r="P5166" s="99"/>
      <c r="Q5166" s="99"/>
      <c r="R5166" s="99"/>
    </row>
    <row r="5167" spans="5:18" s="65" customFormat="1">
      <c r="E5167" s="130"/>
      <c r="P5167" s="99"/>
      <c r="Q5167" s="99"/>
      <c r="R5167" s="99"/>
    </row>
    <row r="5168" spans="5:18" s="65" customFormat="1">
      <c r="E5168" s="130"/>
      <c r="P5168" s="99"/>
      <c r="Q5168" s="99"/>
      <c r="R5168" s="99"/>
    </row>
    <row r="5169" spans="5:18" s="65" customFormat="1">
      <c r="E5169" s="130"/>
      <c r="P5169" s="99"/>
      <c r="Q5169" s="99"/>
      <c r="R5169" s="99"/>
    </row>
    <row r="5170" spans="5:18" s="65" customFormat="1">
      <c r="E5170" s="130"/>
      <c r="P5170" s="99"/>
      <c r="Q5170" s="99"/>
      <c r="R5170" s="99"/>
    </row>
    <row r="5171" spans="5:18" s="65" customFormat="1">
      <c r="E5171" s="130"/>
      <c r="P5171" s="99"/>
      <c r="Q5171" s="99"/>
      <c r="R5171" s="99"/>
    </row>
    <row r="5172" spans="5:18" s="65" customFormat="1">
      <c r="E5172" s="130"/>
      <c r="P5172" s="99"/>
      <c r="Q5172" s="99"/>
      <c r="R5172" s="99"/>
    </row>
    <row r="5173" spans="5:18" s="65" customFormat="1">
      <c r="E5173" s="130"/>
      <c r="P5173" s="99"/>
      <c r="Q5173" s="99"/>
      <c r="R5173" s="99"/>
    </row>
    <row r="5174" spans="5:18" s="65" customFormat="1">
      <c r="E5174" s="130"/>
      <c r="P5174" s="99"/>
      <c r="Q5174" s="99"/>
      <c r="R5174" s="99"/>
    </row>
    <row r="5175" spans="5:18" s="65" customFormat="1">
      <c r="E5175" s="130"/>
      <c r="P5175" s="99"/>
      <c r="Q5175" s="99"/>
      <c r="R5175" s="99"/>
    </row>
    <row r="5176" spans="5:18" s="65" customFormat="1">
      <c r="E5176" s="130"/>
      <c r="P5176" s="99"/>
      <c r="Q5176" s="99"/>
      <c r="R5176" s="99"/>
    </row>
    <row r="5177" spans="5:18" s="65" customFormat="1">
      <c r="E5177" s="130"/>
      <c r="P5177" s="99"/>
      <c r="Q5177" s="99"/>
      <c r="R5177" s="99"/>
    </row>
    <row r="5178" spans="5:18" s="65" customFormat="1">
      <c r="E5178" s="130"/>
      <c r="P5178" s="99"/>
      <c r="Q5178" s="99"/>
      <c r="R5178" s="99"/>
    </row>
    <row r="5179" spans="5:18" s="65" customFormat="1">
      <c r="E5179" s="130"/>
      <c r="P5179" s="99"/>
      <c r="Q5179" s="99"/>
      <c r="R5179" s="99"/>
    </row>
    <row r="5180" spans="5:18" s="65" customFormat="1">
      <c r="E5180" s="130"/>
      <c r="P5180" s="99"/>
      <c r="Q5180" s="99"/>
      <c r="R5180" s="99"/>
    </row>
    <row r="5181" spans="5:18" s="65" customFormat="1">
      <c r="E5181" s="130"/>
      <c r="P5181" s="99"/>
      <c r="Q5181" s="99"/>
      <c r="R5181" s="99"/>
    </row>
    <row r="5182" spans="5:18" s="65" customFormat="1">
      <c r="E5182" s="130"/>
      <c r="P5182" s="99"/>
      <c r="Q5182" s="99"/>
      <c r="R5182" s="99"/>
    </row>
    <row r="5183" spans="5:18" s="65" customFormat="1">
      <c r="E5183" s="130"/>
      <c r="P5183" s="99"/>
      <c r="Q5183" s="99"/>
      <c r="R5183" s="99"/>
    </row>
    <row r="5184" spans="5:18" s="65" customFormat="1">
      <c r="E5184" s="130"/>
      <c r="P5184" s="99"/>
      <c r="Q5184" s="99"/>
      <c r="R5184" s="99"/>
    </row>
    <row r="5185" spans="5:18" s="65" customFormat="1">
      <c r="E5185" s="130"/>
      <c r="P5185" s="99"/>
      <c r="Q5185" s="99"/>
      <c r="R5185" s="99"/>
    </row>
    <row r="5186" spans="5:18" s="65" customFormat="1">
      <c r="E5186" s="130"/>
      <c r="P5186" s="99"/>
      <c r="Q5186" s="99"/>
      <c r="R5186" s="99"/>
    </row>
    <row r="5187" spans="5:18" s="65" customFormat="1">
      <c r="E5187" s="130"/>
      <c r="P5187" s="99"/>
      <c r="Q5187" s="99"/>
      <c r="R5187" s="99"/>
    </row>
    <row r="5188" spans="5:18" s="65" customFormat="1">
      <c r="E5188" s="130"/>
      <c r="P5188" s="99"/>
      <c r="Q5188" s="99"/>
      <c r="R5188" s="99"/>
    </row>
    <row r="5189" spans="5:18" s="65" customFormat="1">
      <c r="E5189" s="130"/>
      <c r="P5189" s="99"/>
      <c r="Q5189" s="99"/>
      <c r="R5189" s="99"/>
    </row>
    <row r="5190" spans="5:18" s="65" customFormat="1">
      <c r="E5190" s="130"/>
      <c r="P5190" s="99"/>
      <c r="Q5190" s="99"/>
      <c r="R5190" s="99"/>
    </row>
    <row r="5191" spans="5:18" s="65" customFormat="1">
      <c r="E5191" s="130"/>
      <c r="P5191" s="99"/>
      <c r="Q5191" s="99"/>
      <c r="R5191" s="99"/>
    </row>
    <row r="5192" spans="5:18" s="65" customFormat="1">
      <c r="E5192" s="130"/>
      <c r="P5192" s="99"/>
      <c r="Q5192" s="99"/>
      <c r="R5192" s="99"/>
    </row>
    <row r="5193" spans="5:18" s="65" customFormat="1">
      <c r="E5193" s="130"/>
      <c r="P5193" s="99"/>
      <c r="Q5193" s="99"/>
      <c r="R5193" s="99"/>
    </row>
    <row r="5194" spans="5:18" s="65" customFormat="1">
      <c r="E5194" s="130"/>
      <c r="P5194" s="99"/>
      <c r="Q5194" s="99"/>
      <c r="R5194" s="99"/>
    </row>
    <row r="5195" spans="5:18" s="65" customFormat="1">
      <c r="E5195" s="130"/>
      <c r="P5195" s="99"/>
      <c r="Q5195" s="99"/>
      <c r="R5195" s="99"/>
    </row>
    <row r="5196" spans="5:18" s="65" customFormat="1">
      <c r="E5196" s="130"/>
      <c r="P5196" s="99"/>
      <c r="Q5196" s="99"/>
      <c r="R5196" s="99"/>
    </row>
    <row r="5197" spans="5:18" s="65" customFormat="1">
      <c r="E5197" s="130"/>
      <c r="P5197" s="99"/>
      <c r="Q5197" s="99"/>
      <c r="R5197" s="99"/>
    </row>
    <row r="5198" spans="5:18" s="65" customFormat="1">
      <c r="E5198" s="130"/>
      <c r="P5198" s="99"/>
      <c r="Q5198" s="99"/>
      <c r="R5198" s="99"/>
    </row>
    <row r="5199" spans="5:18" s="65" customFormat="1">
      <c r="E5199" s="130"/>
      <c r="P5199" s="99"/>
      <c r="Q5199" s="99"/>
      <c r="R5199" s="99"/>
    </row>
    <row r="5200" spans="5:18" s="65" customFormat="1">
      <c r="E5200" s="130"/>
      <c r="P5200" s="99"/>
      <c r="Q5200" s="99"/>
      <c r="R5200" s="99"/>
    </row>
    <row r="5201" spans="5:18" s="65" customFormat="1">
      <c r="E5201" s="130"/>
      <c r="P5201" s="99"/>
      <c r="Q5201" s="99"/>
      <c r="R5201" s="99"/>
    </row>
    <row r="5202" spans="5:18" s="65" customFormat="1">
      <c r="E5202" s="130"/>
      <c r="P5202" s="99"/>
      <c r="Q5202" s="99"/>
      <c r="R5202" s="99"/>
    </row>
    <row r="5203" spans="5:18" s="65" customFormat="1">
      <c r="E5203" s="130"/>
      <c r="P5203" s="99"/>
      <c r="Q5203" s="99"/>
      <c r="R5203" s="99"/>
    </row>
    <row r="5204" spans="5:18" s="65" customFormat="1">
      <c r="E5204" s="130"/>
      <c r="P5204" s="99"/>
      <c r="Q5204" s="99"/>
      <c r="R5204" s="99"/>
    </row>
    <row r="5205" spans="5:18" s="65" customFormat="1">
      <c r="E5205" s="130"/>
      <c r="P5205" s="99"/>
      <c r="Q5205" s="99"/>
      <c r="R5205" s="99"/>
    </row>
    <row r="5206" spans="5:18" s="65" customFormat="1">
      <c r="E5206" s="130"/>
      <c r="P5206" s="99"/>
      <c r="Q5206" s="99"/>
      <c r="R5206" s="99"/>
    </row>
    <row r="5207" spans="5:18" s="65" customFormat="1">
      <c r="E5207" s="130"/>
      <c r="P5207" s="99"/>
      <c r="Q5207" s="99"/>
      <c r="R5207" s="99"/>
    </row>
    <row r="5208" spans="5:18" s="65" customFormat="1">
      <c r="E5208" s="130"/>
      <c r="P5208" s="99"/>
      <c r="Q5208" s="99"/>
      <c r="R5208" s="99"/>
    </row>
    <row r="5209" spans="5:18" s="65" customFormat="1">
      <c r="E5209" s="130"/>
      <c r="P5209" s="99"/>
      <c r="Q5209" s="99"/>
      <c r="R5209" s="99"/>
    </row>
    <row r="5210" spans="5:18" s="65" customFormat="1">
      <c r="E5210" s="130"/>
      <c r="P5210" s="99"/>
      <c r="Q5210" s="99"/>
      <c r="R5210" s="99"/>
    </row>
    <row r="5211" spans="5:18" s="65" customFormat="1">
      <c r="E5211" s="130"/>
      <c r="P5211" s="99"/>
      <c r="Q5211" s="99"/>
      <c r="R5211" s="99"/>
    </row>
    <row r="5212" spans="5:18" s="65" customFormat="1">
      <c r="E5212" s="130"/>
      <c r="P5212" s="99"/>
      <c r="Q5212" s="99"/>
      <c r="R5212" s="99"/>
    </row>
    <row r="5213" spans="5:18" s="65" customFormat="1">
      <c r="E5213" s="130"/>
      <c r="P5213" s="99"/>
      <c r="Q5213" s="99"/>
      <c r="R5213" s="99"/>
    </row>
    <row r="5214" spans="5:18" s="65" customFormat="1">
      <c r="E5214" s="130"/>
      <c r="P5214" s="99"/>
      <c r="Q5214" s="99"/>
      <c r="R5214" s="99"/>
    </row>
    <row r="5215" spans="5:18" s="65" customFormat="1">
      <c r="E5215" s="130"/>
      <c r="P5215" s="99"/>
      <c r="Q5215" s="99"/>
      <c r="R5215" s="99"/>
    </row>
    <row r="5216" spans="5:18" s="65" customFormat="1">
      <c r="E5216" s="130"/>
      <c r="P5216" s="99"/>
      <c r="Q5216" s="99"/>
      <c r="R5216" s="99"/>
    </row>
    <row r="5217" spans="5:18" s="65" customFormat="1">
      <c r="E5217" s="130"/>
      <c r="P5217" s="99"/>
      <c r="Q5217" s="99"/>
      <c r="R5217" s="99"/>
    </row>
    <row r="5218" spans="5:18" s="65" customFormat="1">
      <c r="E5218" s="130"/>
      <c r="P5218" s="99"/>
      <c r="Q5218" s="99"/>
      <c r="R5218" s="99"/>
    </row>
    <row r="5219" spans="5:18" s="65" customFormat="1">
      <c r="E5219" s="130"/>
      <c r="P5219" s="99"/>
      <c r="Q5219" s="99"/>
      <c r="R5219" s="99"/>
    </row>
    <row r="5220" spans="5:18" s="65" customFormat="1">
      <c r="E5220" s="130"/>
      <c r="P5220" s="99"/>
      <c r="Q5220" s="99"/>
      <c r="R5220" s="99"/>
    </row>
    <row r="5221" spans="5:18" s="65" customFormat="1">
      <c r="E5221" s="130"/>
      <c r="P5221" s="99"/>
      <c r="Q5221" s="99"/>
      <c r="R5221" s="99"/>
    </row>
    <row r="5222" spans="5:18" s="65" customFormat="1">
      <c r="E5222" s="130"/>
      <c r="P5222" s="99"/>
      <c r="Q5222" s="99"/>
      <c r="R5222" s="99"/>
    </row>
    <row r="5223" spans="5:18" s="65" customFormat="1">
      <c r="E5223" s="130"/>
      <c r="P5223" s="99"/>
      <c r="Q5223" s="99"/>
      <c r="R5223" s="99"/>
    </row>
    <row r="5224" spans="5:18" s="65" customFormat="1">
      <c r="E5224" s="130"/>
      <c r="P5224" s="99"/>
      <c r="Q5224" s="99"/>
      <c r="R5224" s="99"/>
    </row>
    <row r="5225" spans="5:18" s="65" customFormat="1">
      <c r="E5225" s="130"/>
      <c r="P5225" s="99"/>
      <c r="Q5225" s="99"/>
      <c r="R5225" s="99"/>
    </row>
    <row r="5226" spans="5:18" s="65" customFormat="1">
      <c r="E5226" s="130"/>
      <c r="P5226" s="99"/>
      <c r="Q5226" s="99"/>
      <c r="R5226" s="99"/>
    </row>
    <row r="5227" spans="5:18" s="65" customFormat="1">
      <c r="E5227" s="130"/>
      <c r="P5227" s="99"/>
      <c r="Q5227" s="99"/>
      <c r="R5227" s="99"/>
    </row>
    <row r="5228" spans="5:18" s="65" customFormat="1">
      <c r="E5228" s="130"/>
      <c r="P5228" s="99"/>
      <c r="Q5228" s="99"/>
      <c r="R5228" s="99"/>
    </row>
    <row r="5229" spans="5:18" s="65" customFormat="1">
      <c r="E5229" s="130"/>
      <c r="P5229" s="99"/>
      <c r="Q5229" s="99"/>
      <c r="R5229" s="99"/>
    </row>
    <row r="5230" spans="5:18" s="65" customFormat="1">
      <c r="E5230" s="130"/>
      <c r="P5230" s="99"/>
      <c r="Q5230" s="99"/>
      <c r="R5230" s="99"/>
    </row>
    <row r="5231" spans="5:18" s="65" customFormat="1">
      <c r="E5231" s="130"/>
      <c r="P5231" s="99"/>
      <c r="Q5231" s="99"/>
      <c r="R5231" s="99"/>
    </row>
    <row r="5232" spans="5:18" s="65" customFormat="1">
      <c r="E5232" s="130"/>
      <c r="P5232" s="99"/>
      <c r="Q5232" s="99"/>
      <c r="R5232" s="99"/>
    </row>
    <row r="5233" spans="5:18" s="65" customFormat="1">
      <c r="E5233" s="130"/>
      <c r="P5233" s="99"/>
      <c r="Q5233" s="99"/>
      <c r="R5233" s="99"/>
    </row>
    <row r="5234" spans="5:18" s="65" customFormat="1">
      <c r="E5234" s="130"/>
      <c r="P5234" s="99"/>
      <c r="Q5234" s="99"/>
      <c r="R5234" s="99"/>
    </row>
    <row r="5235" spans="5:18" s="65" customFormat="1">
      <c r="E5235" s="130"/>
      <c r="P5235" s="99"/>
      <c r="Q5235" s="99"/>
      <c r="R5235" s="99"/>
    </row>
    <row r="5236" spans="5:18" s="65" customFormat="1">
      <c r="E5236" s="130"/>
      <c r="P5236" s="99"/>
      <c r="Q5236" s="99"/>
      <c r="R5236" s="99"/>
    </row>
    <row r="5237" spans="5:18" s="65" customFormat="1">
      <c r="E5237" s="130"/>
      <c r="P5237" s="99"/>
      <c r="Q5237" s="99"/>
      <c r="R5237" s="99"/>
    </row>
    <row r="5238" spans="5:18" s="65" customFormat="1">
      <c r="E5238" s="130"/>
      <c r="P5238" s="99"/>
      <c r="Q5238" s="99"/>
      <c r="R5238" s="99"/>
    </row>
    <row r="5239" spans="5:18" s="65" customFormat="1">
      <c r="E5239" s="130"/>
      <c r="P5239" s="99"/>
      <c r="Q5239" s="99"/>
      <c r="R5239" s="99"/>
    </row>
    <row r="5240" spans="5:18" s="65" customFormat="1">
      <c r="E5240" s="130"/>
      <c r="P5240" s="99"/>
      <c r="Q5240" s="99"/>
      <c r="R5240" s="99"/>
    </row>
    <row r="5241" spans="5:18" s="65" customFormat="1">
      <c r="E5241" s="130"/>
      <c r="P5241" s="99"/>
      <c r="Q5241" s="99"/>
      <c r="R5241" s="99"/>
    </row>
    <row r="5242" spans="5:18" s="65" customFormat="1">
      <c r="E5242" s="130"/>
      <c r="P5242" s="99"/>
      <c r="Q5242" s="99"/>
      <c r="R5242" s="99"/>
    </row>
    <row r="5243" spans="5:18" s="65" customFormat="1">
      <c r="E5243" s="130"/>
      <c r="P5243" s="99"/>
      <c r="Q5243" s="99"/>
      <c r="R5243" s="99"/>
    </row>
    <row r="5244" spans="5:18" s="65" customFormat="1">
      <c r="E5244" s="130"/>
      <c r="P5244" s="99"/>
      <c r="Q5244" s="99"/>
      <c r="R5244" s="99"/>
    </row>
    <row r="5245" spans="5:18" s="65" customFormat="1">
      <c r="E5245" s="130"/>
      <c r="P5245" s="99"/>
      <c r="Q5245" s="99"/>
      <c r="R5245" s="99"/>
    </row>
    <row r="5246" spans="5:18" s="65" customFormat="1">
      <c r="E5246" s="130"/>
      <c r="P5246" s="99"/>
      <c r="Q5246" s="99"/>
      <c r="R5246" s="99"/>
    </row>
    <row r="5247" spans="5:18" s="65" customFormat="1">
      <c r="E5247" s="130"/>
      <c r="P5247" s="99"/>
      <c r="Q5247" s="99"/>
      <c r="R5247" s="99"/>
    </row>
    <row r="5248" spans="5:18" s="65" customFormat="1">
      <c r="E5248" s="130"/>
      <c r="P5248" s="99"/>
      <c r="Q5248" s="99"/>
      <c r="R5248" s="99"/>
    </row>
    <row r="5249" spans="5:18" s="65" customFormat="1">
      <c r="E5249" s="130"/>
      <c r="P5249" s="99"/>
      <c r="Q5249" s="99"/>
      <c r="R5249" s="99"/>
    </row>
    <row r="5250" spans="5:18" s="65" customFormat="1">
      <c r="E5250" s="130"/>
      <c r="P5250" s="99"/>
      <c r="Q5250" s="99"/>
      <c r="R5250" s="99"/>
    </row>
    <row r="5251" spans="5:18" s="65" customFormat="1">
      <c r="E5251" s="130"/>
      <c r="P5251" s="99"/>
      <c r="Q5251" s="99"/>
      <c r="R5251" s="99"/>
    </row>
    <row r="5252" spans="5:18" s="65" customFormat="1">
      <c r="E5252" s="130"/>
      <c r="P5252" s="99"/>
      <c r="Q5252" s="99"/>
      <c r="R5252" s="99"/>
    </row>
    <row r="5253" spans="5:18" s="65" customFormat="1">
      <c r="E5253" s="130"/>
      <c r="P5253" s="99"/>
      <c r="Q5253" s="99"/>
      <c r="R5253" s="99"/>
    </row>
    <row r="5254" spans="5:18" s="65" customFormat="1">
      <c r="E5254" s="130"/>
      <c r="P5254" s="99"/>
      <c r="Q5254" s="99"/>
      <c r="R5254" s="99"/>
    </row>
    <row r="5255" spans="5:18" s="65" customFormat="1">
      <c r="E5255" s="130"/>
      <c r="P5255" s="99"/>
      <c r="Q5255" s="99"/>
      <c r="R5255" s="99"/>
    </row>
    <row r="5256" spans="5:18" s="65" customFormat="1">
      <c r="E5256" s="130"/>
      <c r="P5256" s="99"/>
      <c r="Q5256" s="99"/>
      <c r="R5256" s="99"/>
    </row>
    <row r="5257" spans="5:18" s="65" customFormat="1">
      <c r="E5257" s="130"/>
      <c r="P5257" s="99"/>
      <c r="Q5257" s="99"/>
      <c r="R5257" s="99"/>
    </row>
    <row r="5258" spans="5:18" s="65" customFormat="1">
      <c r="E5258" s="130"/>
      <c r="P5258" s="99"/>
      <c r="Q5258" s="99"/>
      <c r="R5258" s="99"/>
    </row>
    <row r="5259" spans="5:18" s="65" customFormat="1">
      <c r="E5259" s="130"/>
      <c r="P5259" s="99"/>
      <c r="Q5259" s="99"/>
      <c r="R5259" s="99"/>
    </row>
    <row r="5260" spans="5:18" s="65" customFormat="1">
      <c r="E5260" s="130"/>
      <c r="P5260" s="99"/>
      <c r="Q5260" s="99"/>
      <c r="R5260" s="99"/>
    </row>
    <row r="5261" spans="5:18" s="65" customFormat="1">
      <c r="E5261" s="130"/>
      <c r="P5261" s="99"/>
      <c r="Q5261" s="99"/>
      <c r="R5261" s="99"/>
    </row>
    <row r="5262" spans="5:18" s="65" customFormat="1">
      <c r="E5262" s="130"/>
      <c r="P5262" s="99"/>
      <c r="Q5262" s="99"/>
      <c r="R5262" s="99"/>
    </row>
    <row r="5263" spans="5:18" s="65" customFormat="1">
      <c r="E5263" s="130"/>
      <c r="P5263" s="99"/>
      <c r="Q5263" s="99"/>
      <c r="R5263" s="99"/>
    </row>
    <row r="5264" spans="5:18" s="65" customFormat="1">
      <c r="E5264" s="130"/>
      <c r="P5264" s="99"/>
      <c r="Q5264" s="99"/>
      <c r="R5264" s="99"/>
    </row>
    <row r="5265" spans="5:18" s="65" customFormat="1">
      <c r="E5265" s="130"/>
      <c r="P5265" s="99"/>
      <c r="Q5265" s="99"/>
      <c r="R5265" s="99"/>
    </row>
    <row r="5266" spans="5:18" s="65" customFormat="1">
      <c r="E5266" s="130"/>
      <c r="P5266" s="99"/>
      <c r="Q5266" s="99"/>
      <c r="R5266" s="99"/>
    </row>
    <row r="5267" spans="5:18" s="65" customFormat="1">
      <c r="E5267" s="130"/>
      <c r="P5267" s="99"/>
      <c r="Q5267" s="99"/>
      <c r="R5267" s="99"/>
    </row>
    <row r="5268" spans="5:18" s="65" customFormat="1">
      <c r="E5268" s="130"/>
      <c r="P5268" s="99"/>
      <c r="Q5268" s="99"/>
      <c r="R5268" s="99"/>
    </row>
    <row r="5269" spans="5:18" s="65" customFormat="1">
      <c r="E5269" s="130"/>
      <c r="P5269" s="99"/>
      <c r="Q5269" s="99"/>
      <c r="R5269" s="99"/>
    </row>
    <row r="5270" spans="5:18" s="65" customFormat="1">
      <c r="E5270" s="130"/>
      <c r="P5270" s="99"/>
      <c r="Q5270" s="99"/>
      <c r="R5270" s="99"/>
    </row>
    <row r="5271" spans="5:18" s="65" customFormat="1">
      <c r="E5271" s="130"/>
      <c r="P5271" s="99"/>
      <c r="Q5271" s="99"/>
      <c r="R5271" s="99"/>
    </row>
    <row r="5272" spans="5:18" s="65" customFormat="1">
      <c r="E5272" s="130"/>
      <c r="P5272" s="99"/>
      <c r="Q5272" s="99"/>
      <c r="R5272" s="99"/>
    </row>
    <row r="5273" spans="5:18" s="65" customFormat="1">
      <c r="E5273" s="130"/>
      <c r="P5273" s="99"/>
      <c r="Q5273" s="99"/>
      <c r="R5273" s="99"/>
    </row>
    <row r="5274" spans="5:18" s="65" customFormat="1">
      <c r="E5274" s="130"/>
      <c r="P5274" s="99"/>
      <c r="Q5274" s="99"/>
      <c r="R5274" s="99"/>
    </row>
    <row r="5275" spans="5:18" s="65" customFormat="1">
      <c r="E5275" s="130"/>
      <c r="P5275" s="99"/>
      <c r="Q5275" s="99"/>
      <c r="R5275" s="99"/>
    </row>
    <row r="5276" spans="5:18" s="65" customFormat="1">
      <c r="E5276" s="130"/>
      <c r="P5276" s="99"/>
      <c r="Q5276" s="99"/>
      <c r="R5276" s="99"/>
    </row>
    <row r="5277" spans="5:18" s="65" customFormat="1">
      <c r="E5277" s="130"/>
      <c r="P5277" s="99"/>
      <c r="Q5277" s="99"/>
      <c r="R5277" s="99"/>
    </row>
    <row r="5278" spans="5:18" s="65" customFormat="1">
      <c r="E5278" s="130"/>
      <c r="P5278" s="99"/>
      <c r="Q5278" s="99"/>
      <c r="R5278" s="99"/>
    </row>
    <row r="5279" spans="5:18" s="65" customFormat="1">
      <c r="E5279" s="130"/>
      <c r="P5279" s="99"/>
      <c r="Q5279" s="99"/>
      <c r="R5279" s="99"/>
    </row>
    <row r="5280" spans="5:18" s="65" customFormat="1">
      <c r="E5280" s="130"/>
      <c r="P5280" s="99"/>
      <c r="Q5280" s="99"/>
      <c r="R5280" s="99"/>
    </row>
    <row r="5281" spans="5:18" s="65" customFormat="1">
      <c r="E5281" s="130"/>
      <c r="P5281" s="99"/>
      <c r="Q5281" s="99"/>
      <c r="R5281" s="99"/>
    </row>
    <row r="5282" spans="5:18" s="65" customFormat="1">
      <c r="E5282" s="130"/>
      <c r="P5282" s="99"/>
      <c r="Q5282" s="99"/>
      <c r="R5282" s="99"/>
    </row>
    <row r="5283" spans="5:18" s="65" customFormat="1">
      <c r="E5283" s="130"/>
      <c r="P5283" s="99"/>
      <c r="Q5283" s="99"/>
      <c r="R5283" s="99"/>
    </row>
    <row r="5284" spans="5:18" s="65" customFormat="1">
      <c r="E5284" s="130"/>
      <c r="P5284" s="99"/>
      <c r="Q5284" s="99"/>
      <c r="R5284" s="99"/>
    </row>
    <row r="5285" spans="5:18" s="65" customFormat="1">
      <c r="E5285" s="130"/>
      <c r="P5285" s="99"/>
      <c r="Q5285" s="99"/>
      <c r="R5285" s="99"/>
    </row>
    <row r="5286" spans="5:18" s="65" customFormat="1">
      <c r="E5286" s="130"/>
      <c r="P5286" s="99"/>
      <c r="Q5286" s="99"/>
      <c r="R5286" s="99"/>
    </row>
    <row r="5287" spans="5:18" s="65" customFormat="1">
      <c r="E5287" s="130"/>
      <c r="P5287" s="99"/>
      <c r="Q5287" s="99"/>
      <c r="R5287" s="99"/>
    </row>
    <row r="5288" spans="5:18" s="65" customFormat="1">
      <c r="E5288" s="130"/>
      <c r="P5288" s="99"/>
      <c r="Q5288" s="99"/>
      <c r="R5288" s="99"/>
    </row>
    <row r="5289" spans="5:18" s="65" customFormat="1">
      <c r="E5289" s="130"/>
      <c r="P5289" s="99"/>
      <c r="Q5289" s="99"/>
      <c r="R5289" s="99"/>
    </row>
    <row r="5290" spans="5:18" s="65" customFormat="1">
      <c r="E5290" s="130"/>
      <c r="P5290" s="99"/>
      <c r="Q5290" s="99"/>
      <c r="R5290" s="99"/>
    </row>
    <row r="5291" spans="5:18" s="65" customFormat="1">
      <c r="E5291" s="130"/>
      <c r="P5291" s="99"/>
      <c r="Q5291" s="99"/>
      <c r="R5291" s="99"/>
    </row>
    <row r="5292" spans="5:18" s="65" customFormat="1">
      <c r="E5292" s="130"/>
      <c r="P5292" s="99"/>
      <c r="Q5292" s="99"/>
      <c r="R5292" s="99"/>
    </row>
    <row r="5293" spans="5:18" s="65" customFormat="1">
      <c r="E5293" s="130"/>
      <c r="P5293" s="99"/>
      <c r="Q5293" s="99"/>
      <c r="R5293" s="99"/>
    </row>
    <row r="5294" spans="5:18" s="65" customFormat="1">
      <c r="E5294" s="130"/>
      <c r="P5294" s="99"/>
      <c r="Q5294" s="99"/>
      <c r="R5294" s="99"/>
    </row>
    <row r="5295" spans="5:18" s="65" customFormat="1">
      <c r="E5295" s="130"/>
      <c r="P5295" s="99"/>
      <c r="Q5295" s="99"/>
      <c r="R5295" s="99"/>
    </row>
    <row r="5296" spans="5:18" s="65" customFormat="1">
      <c r="E5296" s="130"/>
      <c r="P5296" s="99"/>
      <c r="Q5296" s="99"/>
      <c r="R5296" s="99"/>
    </row>
    <row r="5297" spans="5:18" s="65" customFormat="1">
      <c r="E5297" s="130"/>
      <c r="P5297" s="99"/>
      <c r="Q5297" s="99"/>
      <c r="R5297" s="99"/>
    </row>
    <row r="5298" spans="5:18" s="65" customFormat="1">
      <c r="E5298" s="130"/>
      <c r="P5298" s="99"/>
      <c r="Q5298" s="99"/>
      <c r="R5298" s="99"/>
    </row>
    <row r="5299" spans="5:18" s="65" customFormat="1">
      <c r="E5299" s="130"/>
      <c r="P5299" s="99"/>
      <c r="Q5299" s="99"/>
      <c r="R5299" s="99"/>
    </row>
    <row r="5300" spans="5:18" s="65" customFormat="1">
      <c r="E5300" s="130"/>
      <c r="P5300" s="99"/>
      <c r="Q5300" s="99"/>
      <c r="R5300" s="99"/>
    </row>
    <row r="5301" spans="5:18" s="65" customFormat="1">
      <c r="E5301" s="130"/>
      <c r="P5301" s="99"/>
      <c r="Q5301" s="99"/>
      <c r="R5301" s="99"/>
    </row>
    <row r="5302" spans="5:18" s="65" customFormat="1">
      <c r="E5302" s="130"/>
      <c r="P5302" s="99"/>
      <c r="Q5302" s="99"/>
      <c r="R5302" s="99"/>
    </row>
    <row r="5303" spans="5:18" s="65" customFormat="1">
      <c r="E5303" s="130"/>
      <c r="P5303" s="99"/>
      <c r="Q5303" s="99"/>
      <c r="R5303" s="99"/>
    </row>
    <row r="5304" spans="5:18" s="65" customFormat="1">
      <c r="E5304" s="130"/>
      <c r="P5304" s="99"/>
      <c r="Q5304" s="99"/>
      <c r="R5304" s="99"/>
    </row>
    <row r="5305" spans="5:18" s="65" customFormat="1">
      <c r="E5305" s="130"/>
      <c r="P5305" s="99"/>
      <c r="Q5305" s="99"/>
      <c r="R5305" s="99"/>
    </row>
    <row r="5306" spans="5:18" s="65" customFormat="1">
      <c r="E5306" s="130"/>
      <c r="P5306" s="99"/>
      <c r="Q5306" s="99"/>
      <c r="R5306" s="99"/>
    </row>
    <row r="5307" spans="5:18" s="65" customFormat="1">
      <c r="E5307" s="130"/>
      <c r="P5307" s="99"/>
      <c r="Q5307" s="99"/>
      <c r="R5307" s="99"/>
    </row>
    <row r="5308" spans="5:18" s="65" customFormat="1">
      <c r="E5308" s="130"/>
      <c r="P5308" s="99"/>
      <c r="Q5308" s="99"/>
      <c r="R5308" s="99"/>
    </row>
    <row r="5309" spans="5:18" s="65" customFormat="1">
      <c r="E5309" s="130"/>
      <c r="P5309" s="99"/>
      <c r="Q5309" s="99"/>
      <c r="R5309" s="99"/>
    </row>
    <row r="5310" spans="5:18" s="65" customFormat="1">
      <c r="E5310" s="130"/>
      <c r="P5310" s="99"/>
      <c r="Q5310" s="99"/>
      <c r="R5310" s="99"/>
    </row>
    <row r="5311" spans="5:18" s="65" customFormat="1">
      <c r="E5311" s="130"/>
      <c r="P5311" s="99"/>
      <c r="Q5311" s="99"/>
      <c r="R5311" s="99"/>
    </row>
    <row r="5312" spans="5:18" s="65" customFormat="1">
      <c r="E5312" s="130"/>
      <c r="P5312" s="99"/>
      <c r="Q5312" s="99"/>
      <c r="R5312" s="99"/>
    </row>
    <row r="5313" spans="5:18" s="65" customFormat="1">
      <c r="E5313" s="130"/>
      <c r="P5313" s="99"/>
      <c r="Q5313" s="99"/>
      <c r="R5313" s="99"/>
    </row>
    <row r="5314" spans="5:18" s="65" customFormat="1">
      <c r="E5314" s="130"/>
      <c r="P5314" s="99"/>
      <c r="Q5314" s="99"/>
      <c r="R5314" s="99"/>
    </row>
    <row r="5315" spans="5:18" s="65" customFormat="1">
      <c r="E5315" s="130"/>
      <c r="P5315" s="99"/>
      <c r="Q5315" s="99"/>
      <c r="R5315" s="99"/>
    </row>
    <row r="5316" spans="5:18" s="65" customFormat="1">
      <c r="E5316" s="130"/>
      <c r="P5316" s="99"/>
      <c r="Q5316" s="99"/>
      <c r="R5316" s="99"/>
    </row>
    <row r="5317" spans="5:18" s="65" customFormat="1">
      <c r="E5317" s="130"/>
      <c r="P5317" s="99"/>
      <c r="Q5317" s="99"/>
      <c r="R5317" s="99"/>
    </row>
    <row r="5318" spans="5:18" s="65" customFormat="1">
      <c r="E5318" s="130"/>
      <c r="P5318" s="99"/>
      <c r="Q5318" s="99"/>
      <c r="R5318" s="99"/>
    </row>
    <row r="5319" spans="5:18" s="65" customFormat="1">
      <c r="E5319" s="130"/>
      <c r="P5319" s="99"/>
      <c r="Q5319" s="99"/>
      <c r="R5319" s="99"/>
    </row>
    <row r="5320" spans="5:18" s="65" customFormat="1">
      <c r="E5320" s="130"/>
      <c r="P5320" s="99"/>
      <c r="Q5320" s="99"/>
      <c r="R5320" s="99"/>
    </row>
    <row r="5321" spans="5:18" s="65" customFormat="1">
      <c r="E5321" s="130"/>
      <c r="P5321" s="99"/>
      <c r="Q5321" s="99"/>
      <c r="R5321" s="99"/>
    </row>
    <row r="5322" spans="5:18" s="65" customFormat="1">
      <c r="E5322" s="130"/>
      <c r="P5322" s="99"/>
      <c r="Q5322" s="99"/>
      <c r="R5322" s="99"/>
    </row>
    <row r="5323" spans="5:18" s="65" customFormat="1">
      <c r="E5323" s="130"/>
      <c r="P5323" s="99"/>
      <c r="Q5323" s="99"/>
      <c r="R5323" s="99"/>
    </row>
    <row r="5324" spans="5:18" s="65" customFormat="1">
      <c r="E5324" s="130"/>
      <c r="P5324" s="99"/>
      <c r="Q5324" s="99"/>
      <c r="R5324" s="99"/>
    </row>
    <row r="5325" spans="5:18" s="65" customFormat="1">
      <c r="E5325" s="130"/>
      <c r="P5325" s="99"/>
      <c r="Q5325" s="99"/>
      <c r="R5325" s="99"/>
    </row>
    <row r="5326" spans="5:18" s="65" customFormat="1">
      <c r="E5326" s="130"/>
      <c r="P5326" s="99"/>
      <c r="Q5326" s="99"/>
      <c r="R5326" s="99"/>
    </row>
    <row r="5327" spans="5:18" s="65" customFormat="1">
      <c r="E5327" s="130"/>
      <c r="P5327" s="99"/>
      <c r="Q5327" s="99"/>
      <c r="R5327" s="99"/>
    </row>
    <row r="5328" spans="5:18" s="65" customFormat="1">
      <c r="E5328" s="130"/>
      <c r="P5328" s="99"/>
      <c r="Q5328" s="99"/>
      <c r="R5328" s="99"/>
    </row>
    <row r="5329" spans="5:18" s="65" customFormat="1">
      <c r="E5329" s="130"/>
      <c r="P5329" s="99"/>
      <c r="Q5329" s="99"/>
      <c r="R5329" s="99"/>
    </row>
    <row r="5330" spans="5:18" s="65" customFormat="1">
      <c r="E5330" s="130"/>
      <c r="P5330" s="99"/>
      <c r="Q5330" s="99"/>
      <c r="R5330" s="99"/>
    </row>
    <row r="5331" spans="5:18" s="65" customFormat="1">
      <c r="E5331" s="130"/>
      <c r="P5331" s="99"/>
      <c r="Q5331" s="99"/>
      <c r="R5331" s="99"/>
    </row>
    <row r="5332" spans="5:18" s="65" customFormat="1">
      <c r="E5332" s="130"/>
      <c r="P5332" s="99"/>
      <c r="Q5332" s="99"/>
      <c r="R5332" s="99"/>
    </row>
    <row r="5333" spans="5:18" s="65" customFormat="1">
      <c r="E5333" s="130"/>
      <c r="P5333" s="99"/>
      <c r="Q5333" s="99"/>
      <c r="R5333" s="99"/>
    </row>
    <row r="5334" spans="5:18" s="65" customFormat="1">
      <c r="E5334" s="130"/>
      <c r="P5334" s="99"/>
      <c r="Q5334" s="99"/>
      <c r="R5334" s="99"/>
    </row>
    <row r="5335" spans="5:18" s="65" customFormat="1">
      <c r="E5335" s="130"/>
      <c r="P5335" s="99"/>
      <c r="Q5335" s="99"/>
      <c r="R5335" s="99"/>
    </row>
    <row r="5336" spans="5:18" s="65" customFormat="1">
      <c r="E5336" s="130"/>
      <c r="P5336" s="99"/>
      <c r="Q5336" s="99"/>
      <c r="R5336" s="99"/>
    </row>
    <row r="5337" spans="5:18" s="65" customFormat="1">
      <c r="E5337" s="130"/>
      <c r="P5337" s="99"/>
      <c r="Q5337" s="99"/>
      <c r="R5337" s="99"/>
    </row>
    <row r="5338" spans="5:18" s="65" customFormat="1">
      <c r="E5338" s="130"/>
      <c r="P5338" s="99"/>
      <c r="Q5338" s="99"/>
      <c r="R5338" s="99"/>
    </row>
    <row r="5339" spans="5:18" s="65" customFormat="1">
      <c r="E5339" s="130"/>
      <c r="P5339" s="99"/>
      <c r="Q5339" s="99"/>
      <c r="R5339" s="99"/>
    </row>
    <row r="5340" spans="5:18" s="65" customFormat="1">
      <c r="E5340" s="130"/>
      <c r="P5340" s="99"/>
      <c r="Q5340" s="99"/>
      <c r="R5340" s="99"/>
    </row>
    <row r="5341" spans="5:18" s="65" customFormat="1">
      <c r="E5341" s="130"/>
      <c r="P5341" s="99"/>
      <c r="Q5341" s="99"/>
      <c r="R5341" s="99"/>
    </row>
    <row r="5342" spans="5:18" s="65" customFormat="1">
      <c r="E5342" s="130"/>
      <c r="P5342" s="99"/>
      <c r="Q5342" s="99"/>
      <c r="R5342" s="99"/>
    </row>
    <row r="5343" spans="5:18" s="65" customFormat="1">
      <c r="E5343" s="130"/>
      <c r="P5343" s="99"/>
      <c r="Q5343" s="99"/>
      <c r="R5343" s="99"/>
    </row>
    <row r="5344" spans="5:18" s="65" customFormat="1">
      <c r="E5344" s="130"/>
      <c r="P5344" s="99"/>
      <c r="Q5344" s="99"/>
      <c r="R5344" s="99"/>
    </row>
    <row r="5345" spans="5:18" s="65" customFormat="1">
      <c r="E5345" s="130"/>
      <c r="P5345" s="99"/>
      <c r="Q5345" s="99"/>
      <c r="R5345" s="99"/>
    </row>
    <row r="5346" spans="5:18" s="65" customFormat="1">
      <c r="E5346" s="130"/>
      <c r="P5346" s="99"/>
      <c r="Q5346" s="99"/>
      <c r="R5346" s="99"/>
    </row>
    <row r="5347" spans="5:18" s="65" customFormat="1">
      <c r="E5347" s="130"/>
      <c r="P5347" s="99"/>
      <c r="Q5347" s="99"/>
      <c r="R5347" s="99"/>
    </row>
    <row r="5348" spans="5:18" s="65" customFormat="1">
      <c r="E5348" s="130"/>
      <c r="P5348" s="99"/>
      <c r="Q5348" s="99"/>
      <c r="R5348" s="99"/>
    </row>
    <row r="5349" spans="5:18" s="65" customFormat="1">
      <c r="E5349" s="130"/>
      <c r="P5349" s="99"/>
      <c r="Q5349" s="99"/>
      <c r="R5349" s="99"/>
    </row>
    <row r="5350" spans="5:18" s="65" customFormat="1">
      <c r="E5350" s="130"/>
      <c r="P5350" s="99"/>
      <c r="Q5350" s="99"/>
      <c r="R5350" s="99"/>
    </row>
    <row r="5351" spans="5:18" s="65" customFormat="1">
      <c r="E5351" s="130"/>
      <c r="P5351" s="99"/>
      <c r="Q5351" s="99"/>
      <c r="R5351" s="99"/>
    </row>
    <row r="5352" spans="5:18" s="65" customFormat="1">
      <c r="E5352" s="130"/>
      <c r="P5352" s="99"/>
      <c r="Q5352" s="99"/>
      <c r="R5352" s="99"/>
    </row>
    <row r="5353" spans="5:18" s="65" customFormat="1">
      <c r="E5353" s="130"/>
      <c r="P5353" s="99"/>
      <c r="Q5353" s="99"/>
      <c r="R5353" s="99"/>
    </row>
    <row r="5354" spans="5:18" s="65" customFormat="1">
      <c r="E5354" s="130"/>
      <c r="P5354" s="99"/>
      <c r="Q5354" s="99"/>
      <c r="R5354" s="99"/>
    </row>
    <row r="5355" spans="5:18" s="65" customFormat="1">
      <c r="E5355" s="130"/>
      <c r="P5355" s="99"/>
      <c r="Q5355" s="99"/>
      <c r="R5355" s="99"/>
    </row>
    <row r="5356" spans="5:18" s="65" customFormat="1">
      <c r="E5356" s="130"/>
      <c r="P5356" s="99"/>
      <c r="Q5356" s="99"/>
      <c r="R5356" s="99"/>
    </row>
    <row r="5357" spans="5:18" s="65" customFormat="1">
      <c r="E5357" s="130"/>
      <c r="P5357" s="99"/>
      <c r="Q5357" s="99"/>
      <c r="R5357" s="99"/>
    </row>
    <row r="5358" spans="5:18" s="65" customFormat="1">
      <c r="E5358" s="130"/>
      <c r="P5358" s="99"/>
      <c r="Q5358" s="99"/>
      <c r="R5358" s="99"/>
    </row>
    <row r="5359" spans="5:18" s="65" customFormat="1">
      <c r="E5359" s="130"/>
      <c r="P5359" s="99"/>
      <c r="Q5359" s="99"/>
      <c r="R5359" s="99"/>
    </row>
    <row r="5360" spans="5:18" s="65" customFormat="1">
      <c r="E5360" s="130"/>
      <c r="P5360" s="99"/>
      <c r="Q5360" s="99"/>
      <c r="R5360" s="99"/>
    </row>
    <row r="5361" spans="5:18" s="65" customFormat="1">
      <c r="E5361" s="130"/>
      <c r="P5361" s="99"/>
      <c r="Q5361" s="99"/>
      <c r="R5361" s="99"/>
    </row>
    <row r="5362" spans="5:18" s="65" customFormat="1">
      <c r="E5362" s="130"/>
      <c r="P5362" s="99"/>
      <c r="Q5362" s="99"/>
      <c r="R5362" s="99"/>
    </row>
    <row r="5363" spans="5:18" s="65" customFormat="1">
      <c r="E5363" s="130"/>
      <c r="P5363" s="99"/>
      <c r="Q5363" s="99"/>
      <c r="R5363" s="99"/>
    </row>
    <row r="5364" spans="5:18" s="65" customFormat="1">
      <c r="E5364" s="130"/>
      <c r="P5364" s="99"/>
      <c r="Q5364" s="99"/>
      <c r="R5364" s="99"/>
    </row>
    <row r="5365" spans="5:18" s="65" customFormat="1">
      <c r="E5365" s="130"/>
      <c r="P5365" s="99"/>
      <c r="Q5365" s="99"/>
      <c r="R5365" s="99"/>
    </row>
    <row r="5366" spans="5:18" s="65" customFormat="1">
      <c r="E5366" s="130"/>
      <c r="P5366" s="99"/>
      <c r="Q5366" s="99"/>
      <c r="R5366" s="99"/>
    </row>
    <row r="5367" spans="5:18" s="65" customFormat="1">
      <c r="E5367" s="130"/>
      <c r="P5367" s="99"/>
      <c r="Q5367" s="99"/>
      <c r="R5367" s="99"/>
    </row>
    <row r="5368" spans="5:18" s="65" customFormat="1">
      <c r="E5368" s="130"/>
      <c r="P5368" s="99"/>
      <c r="Q5368" s="99"/>
      <c r="R5368" s="99"/>
    </row>
    <row r="5369" spans="5:18" s="65" customFormat="1">
      <c r="E5369" s="130"/>
      <c r="P5369" s="99"/>
      <c r="Q5369" s="99"/>
      <c r="R5369" s="99"/>
    </row>
    <row r="5370" spans="5:18" s="65" customFormat="1">
      <c r="E5370" s="130"/>
      <c r="P5370" s="99"/>
      <c r="Q5370" s="99"/>
      <c r="R5370" s="99"/>
    </row>
    <row r="5371" spans="5:18" s="65" customFormat="1">
      <c r="E5371" s="130"/>
      <c r="P5371" s="99"/>
      <c r="Q5371" s="99"/>
      <c r="R5371" s="99"/>
    </row>
    <row r="5372" spans="5:18" s="65" customFormat="1">
      <c r="E5372" s="130"/>
      <c r="P5372" s="99"/>
      <c r="Q5372" s="99"/>
      <c r="R5372" s="99"/>
    </row>
    <row r="5373" spans="5:18" s="65" customFormat="1">
      <c r="E5373" s="130"/>
      <c r="P5373" s="99"/>
      <c r="Q5373" s="99"/>
      <c r="R5373" s="99"/>
    </row>
    <row r="5374" spans="5:18" s="65" customFormat="1">
      <c r="E5374" s="130"/>
      <c r="P5374" s="99"/>
      <c r="Q5374" s="99"/>
      <c r="R5374" s="99"/>
    </row>
    <row r="5375" spans="5:18" s="65" customFormat="1">
      <c r="E5375" s="130"/>
      <c r="P5375" s="99"/>
      <c r="Q5375" s="99"/>
      <c r="R5375" s="99"/>
    </row>
    <row r="5376" spans="5:18" s="65" customFormat="1">
      <c r="E5376" s="130"/>
      <c r="P5376" s="99"/>
      <c r="Q5376" s="99"/>
      <c r="R5376" s="99"/>
    </row>
    <row r="5377" spans="5:18" s="65" customFormat="1">
      <c r="E5377" s="130"/>
      <c r="P5377" s="99"/>
      <c r="Q5377" s="99"/>
      <c r="R5377" s="99"/>
    </row>
    <row r="5378" spans="5:18" s="65" customFormat="1">
      <c r="E5378" s="130"/>
      <c r="P5378" s="99"/>
      <c r="Q5378" s="99"/>
      <c r="R5378" s="99"/>
    </row>
    <row r="5379" spans="5:18" s="65" customFormat="1">
      <c r="E5379" s="130"/>
      <c r="P5379" s="99"/>
      <c r="Q5379" s="99"/>
      <c r="R5379" s="99"/>
    </row>
    <row r="5380" spans="5:18" s="65" customFormat="1">
      <c r="E5380" s="130"/>
      <c r="P5380" s="99"/>
      <c r="Q5380" s="99"/>
      <c r="R5380" s="99"/>
    </row>
    <row r="5381" spans="5:18" s="65" customFormat="1">
      <c r="E5381" s="130"/>
      <c r="P5381" s="99"/>
      <c r="Q5381" s="99"/>
      <c r="R5381" s="99"/>
    </row>
    <row r="5382" spans="5:18" s="65" customFormat="1">
      <c r="E5382" s="130"/>
      <c r="P5382" s="99"/>
      <c r="Q5382" s="99"/>
      <c r="R5382" s="99"/>
    </row>
    <row r="5383" spans="5:18" s="65" customFormat="1">
      <c r="E5383" s="130"/>
      <c r="P5383" s="99"/>
      <c r="Q5383" s="99"/>
      <c r="R5383" s="99"/>
    </row>
    <row r="5384" spans="5:18" s="65" customFormat="1">
      <c r="E5384" s="130"/>
      <c r="P5384" s="99"/>
      <c r="Q5384" s="99"/>
      <c r="R5384" s="99"/>
    </row>
    <row r="5385" spans="5:18" s="65" customFormat="1">
      <c r="E5385" s="130"/>
      <c r="P5385" s="99"/>
      <c r="Q5385" s="99"/>
      <c r="R5385" s="99"/>
    </row>
    <row r="5386" spans="5:18" s="65" customFormat="1">
      <c r="E5386" s="130"/>
      <c r="P5386" s="99"/>
      <c r="Q5386" s="99"/>
      <c r="R5386" s="99"/>
    </row>
    <row r="5387" spans="5:18" s="65" customFormat="1">
      <c r="E5387" s="130"/>
      <c r="P5387" s="99"/>
      <c r="Q5387" s="99"/>
      <c r="R5387" s="99"/>
    </row>
    <row r="5388" spans="5:18" s="65" customFormat="1">
      <c r="E5388" s="130"/>
      <c r="P5388" s="99"/>
      <c r="Q5388" s="99"/>
      <c r="R5388" s="99"/>
    </row>
    <row r="5389" spans="5:18" s="65" customFormat="1">
      <c r="E5389" s="130"/>
      <c r="P5389" s="99"/>
      <c r="Q5389" s="99"/>
      <c r="R5389" s="99"/>
    </row>
    <row r="5390" spans="5:18" s="65" customFormat="1">
      <c r="E5390" s="130"/>
      <c r="P5390" s="99"/>
      <c r="Q5390" s="99"/>
      <c r="R5390" s="99"/>
    </row>
    <row r="5391" spans="5:18" s="65" customFormat="1">
      <c r="E5391" s="130"/>
      <c r="P5391" s="99"/>
      <c r="Q5391" s="99"/>
      <c r="R5391" s="99"/>
    </row>
    <row r="5392" spans="5:18" s="65" customFormat="1">
      <c r="E5392" s="130"/>
      <c r="P5392" s="99"/>
      <c r="Q5392" s="99"/>
      <c r="R5392" s="99"/>
    </row>
    <row r="5393" spans="5:18" s="65" customFormat="1">
      <c r="E5393" s="130"/>
      <c r="P5393" s="99"/>
      <c r="Q5393" s="99"/>
      <c r="R5393" s="99"/>
    </row>
    <row r="5394" spans="5:18" s="65" customFormat="1">
      <c r="E5394" s="130"/>
      <c r="P5394" s="99"/>
      <c r="Q5394" s="99"/>
      <c r="R5394" s="99"/>
    </row>
    <row r="5395" spans="5:18" s="65" customFormat="1">
      <c r="E5395" s="130"/>
      <c r="P5395" s="99"/>
      <c r="Q5395" s="99"/>
      <c r="R5395" s="99"/>
    </row>
    <row r="5396" spans="5:18" s="65" customFormat="1">
      <c r="E5396" s="130"/>
      <c r="P5396" s="99"/>
      <c r="Q5396" s="99"/>
      <c r="R5396" s="99"/>
    </row>
    <row r="5397" spans="5:18" s="65" customFormat="1">
      <c r="E5397" s="130"/>
      <c r="P5397" s="99"/>
      <c r="Q5397" s="99"/>
      <c r="R5397" s="99"/>
    </row>
    <row r="5398" spans="5:18" s="65" customFormat="1">
      <c r="E5398" s="130"/>
      <c r="P5398" s="99"/>
      <c r="Q5398" s="99"/>
      <c r="R5398" s="99"/>
    </row>
    <row r="5399" spans="5:18" s="65" customFormat="1">
      <c r="E5399" s="130"/>
      <c r="P5399" s="99"/>
      <c r="Q5399" s="99"/>
      <c r="R5399" s="99"/>
    </row>
    <row r="5400" spans="5:18" s="65" customFormat="1">
      <c r="E5400" s="130"/>
      <c r="P5400" s="99"/>
      <c r="Q5400" s="99"/>
      <c r="R5400" s="99"/>
    </row>
    <row r="5401" spans="5:18" s="65" customFormat="1">
      <c r="E5401" s="130"/>
      <c r="P5401" s="99"/>
      <c r="Q5401" s="99"/>
      <c r="R5401" s="99"/>
    </row>
    <row r="5402" spans="5:18" s="65" customFormat="1">
      <c r="E5402" s="130"/>
      <c r="P5402" s="99"/>
      <c r="Q5402" s="99"/>
      <c r="R5402" s="99"/>
    </row>
    <row r="5403" spans="5:18" s="65" customFormat="1">
      <c r="E5403" s="130"/>
      <c r="P5403" s="99"/>
      <c r="Q5403" s="99"/>
      <c r="R5403" s="99"/>
    </row>
    <row r="5404" spans="5:18" s="65" customFormat="1">
      <c r="E5404" s="130"/>
      <c r="P5404" s="99"/>
      <c r="Q5404" s="99"/>
      <c r="R5404" s="99"/>
    </row>
    <row r="5405" spans="5:18" s="65" customFormat="1">
      <c r="E5405" s="130"/>
      <c r="P5405" s="99"/>
      <c r="Q5405" s="99"/>
      <c r="R5405" s="99"/>
    </row>
    <row r="5406" spans="5:18" s="65" customFormat="1">
      <c r="E5406" s="130"/>
      <c r="P5406" s="99"/>
      <c r="Q5406" s="99"/>
      <c r="R5406" s="99"/>
    </row>
    <row r="5407" spans="5:18" s="65" customFormat="1">
      <c r="E5407" s="130"/>
      <c r="P5407" s="99"/>
      <c r="Q5407" s="99"/>
      <c r="R5407" s="99"/>
    </row>
    <row r="5408" spans="5:18" s="65" customFormat="1">
      <c r="E5408" s="130"/>
      <c r="P5408" s="99"/>
      <c r="Q5408" s="99"/>
      <c r="R5408" s="99"/>
    </row>
    <row r="5409" spans="5:18" s="65" customFormat="1">
      <c r="E5409" s="130"/>
      <c r="P5409" s="99"/>
      <c r="Q5409" s="99"/>
      <c r="R5409" s="99"/>
    </row>
    <row r="5410" spans="5:18" s="65" customFormat="1">
      <c r="E5410" s="130"/>
      <c r="P5410" s="99"/>
      <c r="Q5410" s="99"/>
      <c r="R5410" s="99"/>
    </row>
    <row r="5411" spans="5:18" s="65" customFormat="1">
      <c r="E5411" s="130"/>
      <c r="P5411" s="99"/>
      <c r="Q5411" s="99"/>
      <c r="R5411" s="99"/>
    </row>
    <row r="5412" spans="5:18" s="65" customFormat="1">
      <c r="E5412" s="130"/>
      <c r="P5412" s="99"/>
      <c r="Q5412" s="99"/>
      <c r="R5412" s="99"/>
    </row>
    <row r="5413" spans="5:18" s="65" customFormat="1">
      <c r="E5413" s="130"/>
      <c r="P5413" s="99"/>
      <c r="Q5413" s="99"/>
      <c r="R5413" s="99"/>
    </row>
    <row r="5414" spans="5:18" s="65" customFormat="1">
      <c r="E5414" s="130"/>
      <c r="P5414" s="99"/>
      <c r="Q5414" s="99"/>
      <c r="R5414" s="99"/>
    </row>
    <row r="5415" spans="5:18" s="65" customFormat="1">
      <c r="E5415" s="130"/>
      <c r="P5415" s="99"/>
      <c r="Q5415" s="99"/>
      <c r="R5415" s="99"/>
    </row>
    <row r="5416" spans="5:18" s="65" customFormat="1">
      <c r="E5416" s="130"/>
      <c r="P5416" s="99"/>
      <c r="Q5416" s="99"/>
      <c r="R5416" s="99"/>
    </row>
    <row r="5417" spans="5:18" s="65" customFormat="1">
      <c r="E5417" s="130"/>
      <c r="P5417" s="99"/>
      <c r="Q5417" s="99"/>
      <c r="R5417" s="99"/>
    </row>
    <row r="5418" spans="5:18" s="65" customFormat="1">
      <c r="E5418" s="130"/>
      <c r="P5418" s="99"/>
      <c r="Q5418" s="99"/>
      <c r="R5418" s="99"/>
    </row>
    <row r="5419" spans="5:18" s="65" customFormat="1">
      <c r="E5419" s="130"/>
      <c r="P5419" s="99"/>
      <c r="Q5419" s="99"/>
      <c r="R5419" s="99"/>
    </row>
    <row r="5420" spans="5:18" s="65" customFormat="1">
      <c r="E5420" s="130"/>
      <c r="P5420" s="99"/>
      <c r="Q5420" s="99"/>
      <c r="R5420" s="99"/>
    </row>
    <row r="5421" spans="5:18" s="65" customFormat="1">
      <c r="E5421" s="130"/>
      <c r="P5421" s="99"/>
      <c r="Q5421" s="99"/>
      <c r="R5421" s="99"/>
    </row>
    <row r="5422" spans="5:18" s="65" customFormat="1">
      <c r="E5422" s="130"/>
      <c r="P5422" s="99"/>
      <c r="Q5422" s="99"/>
      <c r="R5422" s="99"/>
    </row>
    <row r="5423" spans="5:18" s="65" customFormat="1">
      <c r="E5423" s="130"/>
      <c r="P5423" s="99"/>
      <c r="Q5423" s="99"/>
      <c r="R5423" s="99"/>
    </row>
    <row r="5424" spans="5:18" s="65" customFormat="1">
      <c r="E5424" s="130"/>
      <c r="P5424" s="99"/>
      <c r="Q5424" s="99"/>
      <c r="R5424" s="99"/>
    </row>
    <row r="5425" spans="5:18" s="65" customFormat="1">
      <c r="E5425" s="130"/>
      <c r="P5425" s="99"/>
      <c r="Q5425" s="99"/>
      <c r="R5425" s="99"/>
    </row>
    <row r="5426" spans="5:18" s="65" customFormat="1">
      <c r="E5426" s="130"/>
      <c r="P5426" s="99"/>
      <c r="Q5426" s="99"/>
      <c r="R5426" s="99"/>
    </row>
    <row r="5427" spans="5:18" s="65" customFormat="1">
      <c r="E5427" s="130"/>
      <c r="P5427" s="99"/>
      <c r="Q5427" s="99"/>
      <c r="R5427" s="99"/>
    </row>
    <row r="5428" spans="5:18" s="65" customFormat="1">
      <c r="E5428" s="130"/>
      <c r="P5428" s="99"/>
      <c r="Q5428" s="99"/>
      <c r="R5428" s="99"/>
    </row>
    <row r="5429" spans="5:18" s="65" customFormat="1">
      <c r="E5429" s="130"/>
      <c r="P5429" s="99"/>
      <c r="Q5429" s="99"/>
      <c r="R5429" s="99"/>
    </row>
    <row r="5430" spans="5:18" s="65" customFormat="1">
      <c r="E5430" s="130"/>
      <c r="P5430" s="99"/>
      <c r="Q5430" s="99"/>
      <c r="R5430" s="99"/>
    </row>
    <row r="5431" spans="5:18" s="65" customFormat="1">
      <c r="E5431" s="130"/>
      <c r="P5431" s="99"/>
      <c r="Q5431" s="99"/>
      <c r="R5431" s="99"/>
    </row>
    <row r="5432" spans="5:18" s="65" customFormat="1">
      <c r="E5432" s="130"/>
      <c r="P5432" s="99"/>
      <c r="Q5432" s="99"/>
      <c r="R5432" s="99"/>
    </row>
    <row r="5433" spans="5:18" s="65" customFormat="1">
      <c r="E5433" s="130"/>
      <c r="P5433" s="99"/>
      <c r="Q5433" s="99"/>
      <c r="R5433" s="99"/>
    </row>
    <row r="5434" spans="5:18" s="65" customFormat="1">
      <c r="E5434" s="130"/>
      <c r="P5434" s="99"/>
      <c r="Q5434" s="99"/>
      <c r="R5434" s="99"/>
    </row>
    <row r="5435" spans="5:18" s="65" customFormat="1">
      <c r="E5435" s="130"/>
      <c r="P5435" s="99"/>
      <c r="Q5435" s="99"/>
      <c r="R5435" s="99"/>
    </row>
    <row r="5436" spans="5:18" s="65" customFormat="1">
      <c r="E5436" s="130"/>
      <c r="P5436" s="99"/>
      <c r="Q5436" s="99"/>
      <c r="R5436" s="99"/>
    </row>
    <row r="5437" spans="5:18" s="65" customFormat="1">
      <c r="E5437" s="130"/>
      <c r="P5437" s="99"/>
      <c r="Q5437" s="99"/>
      <c r="R5437" s="99"/>
    </row>
    <row r="5438" spans="5:18" s="65" customFormat="1">
      <c r="E5438" s="130"/>
      <c r="P5438" s="99"/>
      <c r="Q5438" s="99"/>
      <c r="R5438" s="99"/>
    </row>
    <row r="5439" spans="5:18" s="65" customFormat="1">
      <c r="E5439" s="130"/>
      <c r="P5439" s="99"/>
      <c r="Q5439" s="99"/>
      <c r="R5439" s="99"/>
    </row>
    <row r="5440" spans="5:18" s="65" customFormat="1">
      <c r="E5440" s="130"/>
      <c r="P5440" s="99"/>
      <c r="Q5440" s="99"/>
      <c r="R5440" s="99"/>
    </row>
    <row r="5441" spans="5:18" s="65" customFormat="1">
      <c r="E5441" s="130"/>
      <c r="P5441" s="99"/>
      <c r="Q5441" s="99"/>
      <c r="R5441" s="99"/>
    </row>
    <row r="5442" spans="5:18" s="65" customFormat="1">
      <c r="E5442" s="130"/>
      <c r="P5442" s="99"/>
      <c r="Q5442" s="99"/>
      <c r="R5442" s="99"/>
    </row>
    <row r="5443" spans="5:18" s="65" customFormat="1">
      <c r="E5443" s="130"/>
      <c r="P5443" s="99"/>
      <c r="Q5443" s="99"/>
      <c r="R5443" s="99"/>
    </row>
    <row r="5444" spans="5:18" s="65" customFormat="1">
      <c r="E5444" s="130"/>
      <c r="P5444" s="99"/>
      <c r="Q5444" s="99"/>
      <c r="R5444" s="99"/>
    </row>
    <row r="5445" spans="5:18" s="65" customFormat="1">
      <c r="E5445" s="130"/>
      <c r="P5445" s="99"/>
      <c r="Q5445" s="99"/>
      <c r="R5445" s="99"/>
    </row>
    <row r="5446" spans="5:18" s="65" customFormat="1">
      <c r="E5446" s="130"/>
      <c r="P5446" s="99"/>
      <c r="Q5446" s="99"/>
      <c r="R5446" s="99"/>
    </row>
    <row r="5447" spans="5:18" s="65" customFormat="1">
      <c r="E5447" s="130"/>
      <c r="P5447" s="99"/>
      <c r="Q5447" s="99"/>
      <c r="R5447" s="99"/>
    </row>
    <row r="5448" spans="5:18" s="65" customFormat="1">
      <c r="E5448" s="130"/>
      <c r="P5448" s="99"/>
      <c r="Q5448" s="99"/>
      <c r="R5448" s="99"/>
    </row>
    <row r="5449" spans="5:18" s="65" customFormat="1">
      <c r="E5449" s="130"/>
      <c r="P5449" s="99"/>
      <c r="Q5449" s="99"/>
      <c r="R5449" s="99"/>
    </row>
    <row r="5450" spans="5:18" s="65" customFormat="1">
      <c r="E5450" s="130"/>
      <c r="P5450" s="99"/>
      <c r="Q5450" s="99"/>
      <c r="R5450" s="99"/>
    </row>
    <row r="5451" spans="5:18" s="65" customFormat="1">
      <c r="E5451" s="130"/>
      <c r="P5451" s="99"/>
      <c r="Q5451" s="99"/>
      <c r="R5451" s="99"/>
    </row>
    <row r="5452" spans="5:18" s="65" customFormat="1">
      <c r="E5452" s="130"/>
      <c r="P5452" s="99"/>
      <c r="Q5452" s="99"/>
      <c r="R5452" s="99"/>
    </row>
    <row r="5453" spans="5:18" s="65" customFormat="1">
      <c r="E5453" s="130"/>
      <c r="P5453" s="99"/>
      <c r="Q5453" s="99"/>
      <c r="R5453" s="99"/>
    </row>
    <row r="5454" spans="5:18" s="65" customFormat="1">
      <c r="E5454" s="130"/>
      <c r="P5454" s="99"/>
      <c r="Q5454" s="99"/>
      <c r="R5454" s="99"/>
    </row>
    <row r="5455" spans="5:18" s="65" customFormat="1">
      <c r="E5455" s="130"/>
      <c r="P5455" s="99"/>
      <c r="Q5455" s="99"/>
      <c r="R5455" s="99"/>
    </row>
    <row r="5456" spans="5:18" s="65" customFormat="1">
      <c r="E5456" s="130"/>
      <c r="P5456" s="99"/>
      <c r="Q5456" s="99"/>
      <c r="R5456" s="99"/>
    </row>
    <row r="5457" spans="5:18" s="65" customFormat="1">
      <c r="E5457" s="130"/>
      <c r="P5457" s="99"/>
      <c r="Q5457" s="99"/>
      <c r="R5457" s="99"/>
    </row>
    <row r="5458" spans="5:18" s="65" customFormat="1">
      <c r="E5458" s="130"/>
      <c r="P5458" s="99"/>
      <c r="Q5458" s="99"/>
      <c r="R5458" s="99"/>
    </row>
    <row r="5459" spans="5:18" s="65" customFormat="1">
      <c r="E5459" s="130"/>
      <c r="P5459" s="99"/>
      <c r="Q5459" s="99"/>
      <c r="R5459" s="99"/>
    </row>
    <row r="5460" spans="5:18" s="65" customFormat="1">
      <c r="E5460" s="130"/>
      <c r="P5460" s="99"/>
      <c r="Q5460" s="99"/>
      <c r="R5460" s="99"/>
    </row>
    <row r="5461" spans="5:18" s="65" customFormat="1">
      <c r="E5461" s="130"/>
      <c r="P5461" s="99"/>
      <c r="Q5461" s="99"/>
      <c r="R5461" s="99"/>
    </row>
    <row r="5462" spans="5:18" s="65" customFormat="1">
      <c r="E5462" s="130"/>
      <c r="P5462" s="99"/>
      <c r="Q5462" s="99"/>
      <c r="R5462" s="99"/>
    </row>
    <row r="5463" spans="5:18" s="65" customFormat="1">
      <c r="E5463" s="130"/>
      <c r="P5463" s="99"/>
      <c r="Q5463" s="99"/>
      <c r="R5463" s="99"/>
    </row>
    <row r="5464" spans="5:18" s="65" customFormat="1">
      <c r="E5464" s="130"/>
      <c r="P5464" s="99"/>
      <c r="Q5464" s="99"/>
      <c r="R5464" s="99"/>
    </row>
    <row r="5465" spans="5:18" s="65" customFormat="1">
      <c r="E5465" s="130"/>
      <c r="P5465" s="99"/>
      <c r="Q5465" s="99"/>
      <c r="R5465" s="99"/>
    </row>
    <row r="5466" spans="5:18" s="65" customFormat="1">
      <c r="E5466" s="130"/>
      <c r="P5466" s="99"/>
      <c r="Q5466" s="99"/>
      <c r="R5466" s="99"/>
    </row>
    <row r="5467" spans="5:18" s="65" customFormat="1">
      <c r="E5467" s="130"/>
      <c r="P5467" s="99"/>
      <c r="Q5467" s="99"/>
      <c r="R5467" s="99"/>
    </row>
    <row r="5468" spans="5:18" s="65" customFormat="1">
      <c r="E5468" s="130"/>
      <c r="P5468" s="99"/>
      <c r="Q5468" s="99"/>
      <c r="R5468" s="99"/>
    </row>
    <row r="5469" spans="5:18" s="65" customFormat="1">
      <c r="E5469" s="130"/>
      <c r="P5469" s="99"/>
      <c r="Q5469" s="99"/>
      <c r="R5469" s="99"/>
    </row>
    <row r="5470" spans="5:18" s="65" customFormat="1">
      <c r="E5470" s="130"/>
      <c r="P5470" s="99"/>
      <c r="Q5470" s="99"/>
      <c r="R5470" s="99"/>
    </row>
    <row r="5471" spans="5:18" s="65" customFormat="1">
      <c r="E5471" s="130"/>
      <c r="P5471" s="99"/>
      <c r="Q5471" s="99"/>
      <c r="R5471" s="99"/>
    </row>
    <row r="5472" spans="5:18" s="65" customFormat="1">
      <c r="E5472" s="130"/>
      <c r="P5472" s="99"/>
      <c r="Q5472" s="99"/>
      <c r="R5472" s="99"/>
    </row>
    <row r="5473" spans="5:18" s="65" customFormat="1">
      <c r="E5473" s="130"/>
      <c r="P5473" s="99"/>
      <c r="Q5473" s="99"/>
      <c r="R5473" s="99"/>
    </row>
    <row r="5474" spans="5:18" s="65" customFormat="1">
      <c r="E5474" s="130"/>
      <c r="P5474" s="99"/>
      <c r="Q5474" s="99"/>
      <c r="R5474" s="99"/>
    </row>
    <row r="5475" spans="5:18" s="65" customFormat="1">
      <c r="E5475" s="130"/>
      <c r="P5475" s="99"/>
      <c r="Q5475" s="99"/>
      <c r="R5475" s="99"/>
    </row>
    <row r="5476" spans="5:18" s="65" customFormat="1">
      <c r="E5476" s="130"/>
      <c r="P5476" s="99"/>
      <c r="Q5476" s="99"/>
      <c r="R5476" s="99"/>
    </row>
    <row r="5477" spans="5:18" s="65" customFormat="1">
      <c r="E5477" s="130"/>
      <c r="P5477" s="99"/>
      <c r="Q5477" s="99"/>
      <c r="R5477" s="99"/>
    </row>
    <row r="5478" spans="5:18" s="65" customFormat="1">
      <c r="E5478" s="130"/>
      <c r="P5478" s="99"/>
      <c r="Q5478" s="99"/>
      <c r="R5478" s="99"/>
    </row>
    <row r="5479" spans="5:18" s="65" customFormat="1">
      <c r="E5479" s="130"/>
      <c r="P5479" s="99"/>
      <c r="Q5479" s="99"/>
      <c r="R5479" s="99"/>
    </row>
    <row r="5480" spans="5:18" s="65" customFormat="1">
      <c r="E5480" s="130"/>
      <c r="P5480" s="99"/>
      <c r="Q5480" s="99"/>
      <c r="R5480" s="99"/>
    </row>
    <row r="5481" spans="5:18" s="65" customFormat="1">
      <c r="E5481" s="130"/>
      <c r="P5481" s="99"/>
      <c r="Q5481" s="99"/>
      <c r="R5481" s="99"/>
    </row>
    <row r="5482" spans="5:18" s="65" customFormat="1">
      <c r="E5482" s="130"/>
      <c r="P5482" s="99"/>
      <c r="Q5482" s="99"/>
      <c r="R5482" s="99"/>
    </row>
    <row r="5483" spans="5:18" s="65" customFormat="1">
      <c r="E5483" s="130"/>
      <c r="P5483" s="99"/>
      <c r="Q5483" s="99"/>
      <c r="R5483" s="99"/>
    </row>
    <row r="5484" spans="5:18" s="65" customFormat="1">
      <c r="E5484" s="130"/>
      <c r="P5484" s="99"/>
      <c r="Q5484" s="99"/>
      <c r="R5484" s="99"/>
    </row>
    <row r="5485" spans="5:18" s="65" customFormat="1">
      <c r="E5485" s="130"/>
      <c r="P5485" s="99"/>
      <c r="Q5485" s="99"/>
      <c r="R5485" s="99"/>
    </row>
    <row r="5486" spans="5:18" s="65" customFormat="1">
      <c r="E5486" s="130"/>
      <c r="P5486" s="99"/>
      <c r="Q5486" s="99"/>
      <c r="R5486" s="99"/>
    </row>
    <row r="5487" spans="5:18" s="65" customFormat="1">
      <c r="E5487" s="130"/>
      <c r="P5487" s="99"/>
      <c r="Q5487" s="99"/>
      <c r="R5487" s="99"/>
    </row>
    <row r="5488" spans="5:18" s="65" customFormat="1">
      <c r="E5488" s="130"/>
      <c r="P5488" s="99"/>
      <c r="Q5488" s="99"/>
      <c r="R5488" s="99"/>
    </row>
    <row r="5489" spans="5:18" s="65" customFormat="1">
      <c r="E5489" s="130"/>
      <c r="P5489" s="99"/>
      <c r="Q5489" s="99"/>
      <c r="R5489" s="99"/>
    </row>
    <row r="5490" spans="5:18" s="65" customFormat="1">
      <c r="E5490" s="130"/>
      <c r="P5490" s="99"/>
      <c r="Q5490" s="99"/>
      <c r="R5490" s="99"/>
    </row>
    <row r="5491" spans="5:18" s="65" customFormat="1">
      <c r="E5491" s="130"/>
      <c r="P5491" s="99"/>
      <c r="Q5491" s="99"/>
      <c r="R5491" s="99"/>
    </row>
    <row r="5492" spans="5:18" s="65" customFormat="1">
      <c r="E5492" s="130"/>
      <c r="P5492" s="99"/>
      <c r="Q5492" s="99"/>
      <c r="R5492" s="99"/>
    </row>
    <row r="5493" spans="5:18" s="65" customFormat="1">
      <c r="E5493" s="130"/>
      <c r="P5493" s="99"/>
      <c r="Q5493" s="99"/>
      <c r="R5493" s="99"/>
    </row>
    <row r="5494" spans="5:18" s="65" customFormat="1">
      <c r="E5494" s="130"/>
      <c r="P5494" s="99"/>
      <c r="Q5494" s="99"/>
      <c r="R5494" s="99"/>
    </row>
    <row r="5495" spans="5:18" s="65" customFormat="1">
      <c r="E5495" s="130"/>
      <c r="P5495" s="99"/>
      <c r="Q5495" s="99"/>
      <c r="R5495" s="99"/>
    </row>
    <row r="5496" spans="5:18" s="65" customFormat="1">
      <c r="E5496" s="130"/>
      <c r="P5496" s="99"/>
      <c r="Q5496" s="99"/>
      <c r="R5496" s="99"/>
    </row>
    <row r="5497" spans="5:18" s="65" customFormat="1">
      <c r="E5497" s="130"/>
      <c r="P5497" s="99"/>
      <c r="Q5497" s="99"/>
      <c r="R5497" s="99"/>
    </row>
    <row r="5498" spans="5:18" s="65" customFormat="1">
      <c r="E5498" s="130"/>
      <c r="P5498" s="99"/>
      <c r="Q5498" s="99"/>
      <c r="R5498" s="99"/>
    </row>
    <row r="5499" spans="5:18" s="65" customFormat="1">
      <c r="E5499" s="130"/>
      <c r="P5499" s="99"/>
      <c r="Q5499" s="99"/>
      <c r="R5499" s="99"/>
    </row>
    <row r="5500" spans="5:18" s="65" customFormat="1">
      <c r="E5500" s="130"/>
      <c r="P5500" s="99"/>
      <c r="Q5500" s="99"/>
      <c r="R5500" s="99"/>
    </row>
    <row r="5501" spans="5:18" s="65" customFormat="1">
      <c r="E5501" s="130"/>
      <c r="P5501" s="99"/>
      <c r="Q5501" s="99"/>
      <c r="R5501" s="99"/>
    </row>
    <row r="5502" spans="5:18" s="65" customFormat="1">
      <c r="E5502" s="130"/>
      <c r="P5502" s="99"/>
      <c r="Q5502" s="99"/>
      <c r="R5502" s="99"/>
    </row>
    <row r="5503" spans="5:18" s="65" customFormat="1">
      <c r="E5503" s="130"/>
      <c r="P5503" s="99"/>
      <c r="Q5503" s="99"/>
      <c r="R5503" s="99"/>
    </row>
    <row r="5504" spans="5:18" s="65" customFormat="1">
      <c r="E5504" s="130"/>
      <c r="P5504" s="99"/>
      <c r="Q5504" s="99"/>
      <c r="R5504" s="99"/>
    </row>
    <row r="5505" spans="5:18" s="65" customFormat="1">
      <c r="E5505" s="130"/>
      <c r="P5505" s="99"/>
      <c r="Q5505" s="99"/>
      <c r="R5505" s="99"/>
    </row>
    <row r="5506" spans="5:18" s="65" customFormat="1">
      <c r="E5506" s="130"/>
      <c r="P5506" s="99"/>
      <c r="Q5506" s="99"/>
      <c r="R5506" s="99"/>
    </row>
    <row r="5507" spans="5:18" s="65" customFormat="1">
      <c r="E5507" s="130"/>
      <c r="P5507" s="99"/>
      <c r="Q5507" s="99"/>
      <c r="R5507" s="99"/>
    </row>
    <row r="5508" spans="5:18" s="65" customFormat="1">
      <c r="E5508" s="130"/>
      <c r="P5508" s="99"/>
      <c r="Q5508" s="99"/>
      <c r="R5508" s="99"/>
    </row>
    <row r="5509" spans="5:18" s="65" customFormat="1">
      <c r="E5509" s="130"/>
      <c r="P5509" s="99"/>
      <c r="Q5509" s="99"/>
      <c r="R5509" s="99"/>
    </row>
    <row r="5510" spans="5:18" s="65" customFormat="1">
      <c r="E5510" s="130"/>
      <c r="P5510" s="99"/>
      <c r="Q5510" s="99"/>
      <c r="R5510" s="99"/>
    </row>
    <row r="5511" spans="5:18" s="65" customFormat="1">
      <c r="E5511" s="130"/>
      <c r="P5511" s="99"/>
      <c r="Q5511" s="99"/>
      <c r="R5511" s="99"/>
    </row>
    <row r="5512" spans="5:18" s="65" customFormat="1">
      <c r="E5512" s="130"/>
      <c r="P5512" s="99"/>
      <c r="Q5512" s="99"/>
      <c r="R5512" s="99"/>
    </row>
    <row r="5513" spans="5:18" s="65" customFormat="1">
      <c r="E5513" s="130"/>
      <c r="P5513" s="99"/>
      <c r="Q5513" s="99"/>
      <c r="R5513" s="99"/>
    </row>
    <row r="5514" spans="5:18" s="65" customFormat="1">
      <c r="E5514" s="130"/>
      <c r="P5514" s="99"/>
      <c r="Q5514" s="99"/>
      <c r="R5514" s="99"/>
    </row>
    <row r="5515" spans="5:18" s="65" customFormat="1">
      <c r="E5515" s="130"/>
      <c r="P5515" s="99"/>
      <c r="Q5515" s="99"/>
      <c r="R5515" s="99"/>
    </row>
    <row r="5516" spans="5:18" s="65" customFormat="1">
      <c r="E5516" s="130"/>
      <c r="P5516" s="99"/>
      <c r="Q5516" s="99"/>
      <c r="R5516" s="99"/>
    </row>
    <row r="5517" spans="5:18" s="65" customFormat="1">
      <c r="E5517" s="130"/>
      <c r="P5517" s="99"/>
      <c r="Q5517" s="99"/>
      <c r="R5517" s="99"/>
    </row>
    <row r="5518" spans="5:18" s="65" customFormat="1">
      <c r="E5518" s="130"/>
      <c r="P5518" s="99"/>
      <c r="Q5518" s="99"/>
      <c r="R5518" s="99"/>
    </row>
    <row r="5519" spans="5:18" s="65" customFormat="1">
      <c r="E5519" s="130"/>
      <c r="P5519" s="99"/>
      <c r="Q5519" s="99"/>
      <c r="R5519" s="99"/>
    </row>
    <row r="5520" spans="5:18" s="65" customFormat="1">
      <c r="E5520" s="130"/>
      <c r="P5520" s="99"/>
      <c r="Q5520" s="99"/>
      <c r="R5520" s="99"/>
    </row>
    <row r="5521" spans="5:18" s="65" customFormat="1">
      <c r="E5521" s="130"/>
      <c r="P5521" s="99"/>
      <c r="Q5521" s="99"/>
      <c r="R5521" s="99"/>
    </row>
    <row r="5522" spans="5:18" s="65" customFormat="1">
      <c r="E5522" s="130"/>
      <c r="P5522" s="99"/>
      <c r="Q5522" s="99"/>
      <c r="R5522" s="99"/>
    </row>
    <row r="5523" spans="5:18" s="65" customFormat="1">
      <c r="E5523" s="130"/>
      <c r="P5523" s="99"/>
      <c r="Q5523" s="99"/>
      <c r="R5523" s="99"/>
    </row>
    <row r="5524" spans="5:18" s="65" customFormat="1">
      <c r="E5524" s="130"/>
      <c r="P5524" s="99"/>
      <c r="Q5524" s="99"/>
      <c r="R5524" s="99"/>
    </row>
    <row r="5525" spans="5:18" s="65" customFormat="1">
      <c r="E5525" s="130"/>
      <c r="P5525" s="99"/>
      <c r="Q5525" s="99"/>
      <c r="R5525" s="99"/>
    </row>
    <row r="5526" spans="5:18" s="65" customFormat="1">
      <c r="E5526" s="130"/>
      <c r="P5526" s="99"/>
      <c r="Q5526" s="99"/>
      <c r="R5526" s="99"/>
    </row>
    <row r="5527" spans="5:18" s="65" customFormat="1">
      <c r="E5527" s="130"/>
      <c r="P5527" s="99"/>
      <c r="Q5527" s="99"/>
      <c r="R5527" s="99"/>
    </row>
    <row r="5528" spans="5:18" s="65" customFormat="1">
      <c r="E5528" s="130"/>
      <c r="P5528" s="99"/>
      <c r="Q5528" s="99"/>
      <c r="R5528" s="99"/>
    </row>
    <row r="5529" spans="5:18" s="65" customFormat="1">
      <c r="E5529" s="130"/>
      <c r="P5529" s="99"/>
      <c r="Q5529" s="99"/>
      <c r="R5529" s="99"/>
    </row>
    <row r="5530" spans="5:18" s="65" customFormat="1">
      <c r="E5530" s="130"/>
      <c r="P5530" s="99"/>
      <c r="Q5530" s="99"/>
      <c r="R5530" s="99"/>
    </row>
    <row r="5531" spans="5:18" s="65" customFormat="1">
      <c r="E5531" s="130"/>
      <c r="P5531" s="99"/>
      <c r="Q5531" s="99"/>
      <c r="R5531" s="99"/>
    </row>
    <row r="5532" spans="5:18" s="65" customFormat="1">
      <c r="E5532" s="130"/>
      <c r="P5532" s="99"/>
      <c r="Q5532" s="99"/>
      <c r="R5532" s="99"/>
    </row>
    <row r="5533" spans="5:18" s="65" customFormat="1">
      <c r="E5533" s="130"/>
      <c r="P5533" s="99"/>
      <c r="Q5533" s="99"/>
      <c r="R5533" s="99"/>
    </row>
    <row r="5534" spans="5:18" s="65" customFormat="1">
      <c r="E5534" s="130"/>
      <c r="P5534" s="99"/>
      <c r="Q5534" s="99"/>
      <c r="R5534" s="99"/>
    </row>
    <row r="5535" spans="5:18" s="65" customFormat="1">
      <c r="E5535" s="130"/>
      <c r="P5535" s="99"/>
      <c r="Q5535" s="99"/>
      <c r="R5535" s="99"/>
    </row>
    <row r="5536" spans="5:18" s="65" customFormat="1">
      <c r="E5536" s="130"/>
      <c r="P5536" s="99"/>
      <c r="Q5536" s="99"/>
      <c r="R5536" s="99"/>
    </row>
    <row r="5537" spans="5:18" s="65" customFormat="1">
      <c r="E5537" s="130"/>
      <c r="P5537" s="99"/>
      <c r="Q5537" s="99"/>
      <c r="R5537" s="99"/>
    </row>
    <row r="5538" spans="5:18" s="65" customFormat="1">
      <c r="E5538" s="130"/>
      <c r="P5538" s="99"/>
      <c r="Q5538" s="99"/>
      <c r="R5538" s="99"/>
    </row>
    <row r="5539" spans="5:18" s="65" customFormat="1">
      <c r="E5539" s="130"/>
      <c r="P5539" s="99"/>
      <c r="Q5539" s="99"/>
      <c r="R5539" s="99"/>
    </row>
    <row r="5540" spans="5:18" s="65" customFormat="1">
      <c r="E5540" s="130"/>
      <c r="P5540" s="99"/>
      <c r="Q5540" s="99"/>
      <c r="R5540" s="99"/>
    </row>
    <row r="5541" spans="5:18" s="65" customFormat="1">
      <c r="E5541" s="130"/>
      <c r="P5541" s="99"/>
      <c r="Q5541" s="99"/>
      <c r="R5541" s="99"/>
    </row>
    <row r="5542" spans="5:18" s="65" customFormat="1">
      <c r="E5542" s="130"/>
      <c r="P5542" s="99"/>
      <c r="Q5542" s="99"/>
      <c r="R5542" s="99"/>
    </row>
    <row r="5543" spans="5:18" s="65" customFormat="1">
      <c r="E5543" s="130"/>
      <c r="P5543" s="99"/>
      <c r="Q5543" s="99"/>
      <c r="R5543" s="99"/>
    </row>
    <row r="5544" spans="5:18" s="65" customFormat="1">
      <c r="E5544" s="130"/>
      <c r="P5544" s="99"/>
      <c r="Q5544" s="99"/>
      <c r="R5544" s="99"/>
    </row>
    <row r="5545" spans="5:18" s="65" customFormat="1">
      <c r="E5545" s="130"/>
      <c r="P5545" s="99"/>
      <c r="Q5545" s="99"/>
      <c r="R5545" s="99"/>
    </row>
    <row r="5546" spans="5:18" s="65" customFormat="1">
      <c r="E5546" s="130"/>
      <c r="P5546" s="99"/>
      <c r="Q5546" s="99"/>
      <c r="R5546" s="99"/>
    </row>
    <row r="5547" spans="5:18" s="65" customFormat="1">
      <c r="E5547" s="130"/>
      <c r="P5547" s="99"/>
      <c r="Q5547" s="99"/>
      <c r="R5547" s="99"/>
    </row>
    <row r="5548" spans="5:18" s="65" customFormat="1">
      <c r="E5548" s="130"/>
      <c r="P5548" s="99"/>
      <c r="Q5548" s="99"/>
      <c r="R5548" s="99"/>
    </row>
    <row r="5549" spans="5:18" s="65" customFormat="1">
      <c r="E5549" s="130"/>
      <c r="P5549" s="99"/>
      <c r="Q5549" s="99"/>
      <c r="R5549" s="99"/>
    </row>
    <row r="5550" spans="5:18" s="65" customFormat="1">
      <c r="E5550" s="130"/>
      <c r="P5550" s="99"/>
      <c r="Q5550" s="99"/>
      <c r="R5550" s="99"/>
    </row>
    <row r="5551" spans="5:18" s="65" customFormat="1">
      <c r="E5551" s="130"/>
      <c r="P5551" s="99"/>
      <c r="Q5551" s="99"/>
      <c r="R5551" s="99"/>
    </row>
    <row r="5552" spans="5:18" s="65" customFormat="1">
      <c r="E5552" s="130"/>
      <c r="P5552" s="99"/>
      <c r="Q5552" s="99"/>
      <c r="R5552" s="99"/>
    </row>
    <row r="5553" spans="5:18" s="65" customFormat="1">
      <c r="E5553" s="130"/>
      <c r="P5553" s="99"/>
      <c r="Q5553" s="99"/>
      <c r="R5553" s="99"/>
    </row>
    <row r="5554" spans="5:18" s="65" customFormat="1">
      <c r="E5554" s="130"/>
      <c r="P5554" s="99"/>
      <c r="Q5554" s="99"/>
      <c r="R5554" s="99"/>
    </row>
    <row r="5555" spans="5:18" s="65" customFormat="1">
      <c r="E5555" s="130"/>
      <c r="P5555" s="99"/>
      <c r="Q5555" s="99"/>
      <c r="R5555" s="99"/>
    </row>
    <row r="5556" spans="5:18" s="65" customFormat="1">
      <c r="E5556" s="130"/>
      <c r="P5556" s="99"/>
      <c r="Q5556" s="99"/>
      <c r="R5556" s="99"/>
    </row>
    <row r="5557" spans="5:18" s="65" customFormat="1">
      <c r="E5557" s="130"/>
      <c r="P5557" s="99"/>
      <c r="Q5557" s="99"/>
      <c r="R5557" s="99"/>
    </row>
    <row r="5558" spans="5:18" s="65" customFormat="1">
      <c r="E5558" s="130"/>
      <c r="P5558" s="99"/>
      <c r="Q5558" s="99"/>
      <c r="R5558" s="99"/>
    </row>
    <row r="5559" spans="5:18" s="65" customFormat="1">
      <c r="E5559" s="130"/>
      <c r="P5559" s="99"/>
      <c r="Q5559" s="99"/>
      <c r="R5559" s="99"/>
    </row>
    <row r="5560" spans="5:18" s="65" customFormat="1">
      <c r="E5560" s="130"/>
      <c r="P5560" s="99"/>
      <c r="Q5560" s="99"/>
      <c r="R5560" s="99"/>
    </row>
    <row r="5561" spans="5:18" s="65" customFormat="1">
      <c r="E5561" s="130"/>
      <c r="P5561" s="99"/>
      <c r="Q5561" s="99"/>
      <c r="R5561" s="99"/>
    </row>
    <row r="5562" spans="5:18" s="65" customFormat="1">
      <c r="E5562" s="130"/>
      <c r="P5562" s="99"/>
      <c r="Q5562" s="99"/>
      <c r="R5562" s="99"/>
    </row>
    <row r="5563" spans="5:18" s="65" customFormat="1">
      <c r="E5563" s="130"/>
      <c r="P5563" s="99"/>
      <c r="Q5563" s="99"/>
      <c r="R5563" s="99"/>
    </row>
    <row r="5564" spans="5:18" s="65" customFormat="1">
      <c r="E5564" s="130"/>
      <c r="P5564" s="99"/>
      <c r="Q5564" s="99"/>
      <c r="R5564" s="99"/>
    </row>
    <row r="5565" spans="5:18" s="65" customFormat="1">
      <c r="E5565" s="130"/>
      <c r="P5565" s="99"/>
      <c r="Q5565" s="99"/>
      <c r="R5565" s="99"/>
    </row>
    <row r="5566" spans="5:18" s="65" customFormat="1">
      <c r="E5566" s="130"/>
      <c r="P5566" s="99"/>
      <c r="Q5566" s="99"/>
      <c r="R5566" s="99"/>
    </row>
    <row r="5567" spans="5:18" s="65" customFormat="1">
      <c r="E5567" s="130"/>
      <c r="P5567" s="99"/>
      <c r="Q5567" s="99"/>
      <c r="R5567" s="99"/>
    </row>
    <row r="5568" spans="5:18" s="65" customFormat="1">
      <c r="E5568" s="130"/>
      <c r="P5568" s="99"/>
      <c r="Q5568" s="99"/>
      <c r="R5568" s="99"/>
    </row>
    <row r="5569" spans="5:18" s="65" customFormat="1">
      <c r="E5569" s="130"/>
      <c r="P5569" s="99"/>
      <c r="Q5569" s="99"/>
      <c r="R5569" s="99"/>
    </row>
    <row r="5570" spans="5:18" s="65" customFormat="1">
      <c r="E5570" s="130"/>
      <c r="P5570" s="99"/>
      <c r="Q5570" s="99"/>
      <c r="R5570" s="99"/>
    </row>
    <row r="5571" spans="5:18" s="65" customFormat="1">
      <c r="E5571" s="130"/>
      <c r="P5571" s="99"/>
      <c r="Q5571" s="99"/>
      <c r="R5571" s="99"/>
    </row>
    <row r="5572" spans="5:18" s="65" customFormat="1">
      <c r="E5572" s="130"/>
      <c r="P5572" s="99"/>
      <c r="Q5572" s="99"/>
      <c r="R5572" s="99"/>
    </row>
    <row r="5573" spans="5:18" s="65" customFormat="1">
      <c r="E5573" s="130"/>
      <c r="P5573" s="99"/>
      <c r="Q5573" s="99"/>
      <c r="R5573" s="99"/>
    </row>
    <row r="5574" spans="5:18" s="65" customFormat="1">
      <c r="E5574" s="130"/>
      <c r="P5574" s="99"/>
      <c r="Q5574" s="99"/>
      <c r="R5574" s="99"/>
    </row>
    <row r="5575" spans="5:18" s="65" customFormat="1">
      <c r="E5575" s="130"/>
      <c r="P5575" s="99"/>
      <c r="Q5575" s="99"/>
      <c r="R5575" s="99"/>
    </row>
    <row r="5576" spans="5:18" s="65" customFormat="1">
      <c r="E5576" s="130"/>
      <c r="P5576" s="99"/>
      <c r="Q5576" s="99"/>
      <c r="R5576" s="99"/>
    </row>
    <row r="5577" spans="5:18" s="65" customFormat="1">
      <c r="E5577" s="130"/>
      <c r="P5577" s="99"/>
      <c r="Q5577" s="99"/>
      <c r="R5577" s="99"/>
    </row>
    <row r="5578" spans="5:18" s="65" customFormat="1">
      <c r="E5578" s="130"/>
      <c r="P5578" s="99"/>
      <c r="Q5578" s="99"/>
      <c r="R5578" s="99"/>
    </row>
    <row r="5579" spans="5:18" s="65" customFormat="1">
      <c r="E5579" s="130"/>
      <c r="P5579" s="99"/>
      <c r="Q5579" s="99"/>
      <c r="R5579" s="99"/>
    </row>
    <row r="5580" spans="5:18" s="65" customFormat="1">
      <c r="E5580" s="130"/>
      <c r="P5580" s="99"/>
      <c r="Q5580" s="99"/>
      <c r="R5580" s="99"/>
    </row>
    <row r="5581" spans="5:18" s="65" customFormat="1">
      <c r="E5581" s="130"/>
      <c r="P5581" s="99"/>
      <c r="Q5581" s="99"/>
      <c r="R5581" s="99"/>
    </row>
    <row r="5582" spans="5:18" s="65" customFormat="1">
      <c r="E5582" s="130"/>
      <c r="P5582" s="99"/>
      <c r="Q5582" s="99"/>
      <c r="R5582" s="99"/>
    </row>
    <row r="5583" spans="5:18" s="65" customFormat="1">
      <c r="E5583" s="130"/>
      <c r="P5583" s="99"/>
      <c r="Q5583" s="99"/>
      <c r="R5583" s="99"/>
    </row>
    <row r="5584" spans="5:18" s="65" customFormat="1">
      <c r="E5584" s="130"/>
      <c r="P5584" s="99"/>
      <c r="Q5584" s="99"/>
      <c r="R5584" s="99"/>
    </row>
    <row r="5585" spans="5:18" s="65" customFormat="1">
      <c r="E5585" s="130"/>
      <c r="P5585" s="99"/>
      <c r="Q5585" s="99"/>
      <c r="R5585" s="99"/>
    </row>
    <row r="5586" spans="5:18" s="65" customFormat="1">
      <c r="E5586" s="130"/>
      <c r="P5586" s="99"/>
      <c r="Q5586" s="99"/>
      <c r="R5586" s="99"/>
    </row>
    <row r="5587" spans="5:18" s="65" customFormat="1">
      <c r="E5587" s="130"/>
      <c r="P5587" s="99"/>
      <c r="Q5587" s="99"/>
      <c r="R5587" s="99"/>
    </row>
    <row r="5588" spans="5:18" s="65" customFormat="1">
      <c r="E5588" s="130"/>
      <c r="P5588" s="99"/>
      <c r="Q5588" s="99"/>
      <c r="R5588" s="99"/>
    </row>
    <row r="5589" spans="5:18" s="65" customFormat="1">
      <c r="E5589" s="130"/>
      <c r="P5589" s="99"/>
      <c r="Q5589" s="99"/>
      <c r="R5589" s="99"/>
    </row>
    <row r="5590" spans="5:18" s="65" customFormat="1">
      <c r="E5590" s="130"/>
      <c r="P5590" s="99"/>
      <c r="Q5590" s="99"/>
      <c r="R5590" s="99"/>
    </row>
    <row r="5591" spans="5:18" s="65" customFormat="1">
      <c r="E5591" s="130"/>
      <c r="P5591" s="99"/>
      <c r="Q5591" s="99"/>
      <c r="R5591" s="99"/>
    </row>
    <row r="5592" spans="5:18" s="65" customFormat="1">
      <c r="E5592" s="130"/>
      <c r="P5592" s="99"/>
      <c r="Q5592" s="99"/>
      <c r="R5592" s="99"/>
    </row>
    <row r="5593" spans="5:18" s="65" customFormat="1">
      <c r="E5593" s="130"/>
      <c r="P5593" s="99"/>
      <c r="Q5593" s="99"/>
      <c r="R5593" s="99"/>
    </row>
    <row r="5594" spans="5:18" s="65" customFormat="1">
      <c r="E5594" s="130"/>
      <c r="P5594" s="99"/>
      <c r="Q5594" s="99"/>
      <c r="R5594" s="99"/>
    </row>
    <row r="5595" spans="5:18" s="65" customFormat="1">
      <c r="E5595" s="130"/>
      <c r="P5595" s="99"/>
      <c r="Q5595" s="99"/>
      <c r="R5595" s="99"/>
    </row>
    <row r="5596" spans="5:18" s="65" customFormat="1">
      <c r="E5596" s="130"/>
      <c r="P5596" s="99"/>
      <c r="Q5596" s="99"/>
      <c r="R5596" s="99"/>
    </row>
    <row r="5597" spans="5:18" s="65" customFormat="1">
      <c r="E5597" s="130"/>
      <c r="P5597" s="99"/>
      <c r="Q5597" s="99"/>
      <c r="R5597" s="99"/>
    </row>
    <row r="5598" spans="5:18" s="65" customFormat="1">
      <c r="E5598" s="130"/>
      <c r="P5598" s="99"/>
      <c r="Q5598" s="99"/>
      <c r="R5598" s="99"/>
    </row>
    <row r="5599" spans="5:18" s="65" customFormat="1">
      <c r="E5599" s="130"/>
      <c r="P5599" s="99"/>
      <c r="Q5599" s="99"/>
      <c r="R5599" s="99"/>
    </row>
    <row r="5600" spans="5:18" s="65" customFormat="1">
      <c r="E5600" s="130"/>
      <c r="P5600" s="99"/>
      <c r="Q5600" s="99"/>
      <c r="R5600" s="99"/>
    </row>
    <row r="5601" spans="5:18" s="65" customFormat="1">
      <c r="E5601" s="130"/>
      <c r="P5601" s="99"/>
      <c r="Q5601" s="99"/>
      <c r="R5601" s="99"/>
    </row>
    <row r="5602" spans="5:18" s="65" customFormat="1">
      <c r="E5602" s="130"/>
      <c r="P5602" s="99"/>
      <c r="Q5602" s="99"/>
      <c r="R5602" s="99"/>
    </row>
    <row r="5603" spans="5:18" s="65" customFormat="1">
      <c r="E5603" s="130"/>
      <c r="P5603" s="99"/>
      <c r="Q5603" s="99"/>
      <c r="R5603" s="99"/>
    </row>
    <row r="5604" spans="5:18" s="65" customFormat="1">
      <c r="E5604" s="130"/>
      <c r="P5604" s="99"/>
      <c r="Q5604" s="99"/>
      <c r="R5604" s="99"/>
    </row>
    <row r="5605" spans="5:18" s="65" customFormat="1">
      <c r="E5605" s="130"/>
      <c r="P5605" s="99"/>
      <c r="Q5605" s="99"/>
      <c r="R5605" s="99"/>
    </row>
    <row r="5606" spans="5:18" s="65" customFormat="1">
      <c r="E5606" s="130"/>
      <c r="P5606" s="99"/>
      <c r="Q5606" s="99"/>
      <c r="R5606" s="99"/>
    </row>
    <row r="5607" spans="5:18" s="65" customFormat="1">
      <c r="E5607" s="130"/>
      <c r="P5607" s="99"/>
      <c r="Q5607" s="99"/>
      <c r="R5607" s="99"/>
    </row>
    <row r="5608" spans="5:18" s="65" customFormat="1">
      <c r="E5608" s="130"/>
      <c r="P5608" s="99"/>
      <c r="Q5608" s="99"/>
      <c r="R5608" s="99"/>
    </row>
    <row r="5609" spans="5:18" s="65" customFormat="1">
      <c r="E5609" s="130"/>
      <c r="P5609" s="99"/>
      <c r="Q5609" s="99"/>
      <c r="R5609" s="99"/>
    </row>
    <row r="5610" spans="5:18" s="65" customFormat="1">
      <c r="E5610" s="130"/>
      <c r="P5610" s="99"/>
      <c r="Q5610" s="99"/>
      <c r="R5610" s="99"/>
    </row>
    <row r="5611" spans="5:18" s="65" customFormat="1">
      <c r="E5611" s="130"/>
      <c r="P5611" s="99"/>
      <c r="Q5611" s="99"/>
      <c r="R5611" s="99"/>
    </row>
    <row r="5612" spans="5:18" s="65" customFormat="1">
      <c r="E5612" s="130"/>
      <c r="P5612" s="99"/>
      <c r="Q5612" s="99"/>
      <c r="R5612" s="99"/>
    </row>
    <row r="5613" spans="5:18" s="65" customFormat="1">
      <c r="E5613" s="130"/>
      <c r="P5613" s="99"/>
      <c r="Q5613" s="99"/>
      <c r="R5613" s="99"/>
    </row>
    <row r="5614" spans="5:18" s="65" customFormat="1">
      <c r="E5614" s="130"/>
      <c r="P5614" s="99"/>
      <c r="Q5614" s="99"/>
      <c r="R5614" s="99"/>
    </row>
    <row r="5615" spans="5:18" s="65" customFormat="1">
      <c r="E5615" s="130"/>
      <c r="P5615" s="99"/>
      <c r="Q5615" s="99"/>
      <c r="R5615" s="99"/>
    </row>
    <row r="5616" spans="5:18" s="65" customFormat="1">
      <c r="E5616" s="130"/>
      <c r="P5616" s="99"/>
      <c r="Q5616" s="99"/>
      <c r="R5616" s="99"/>
    </row>
    <row r="5617" spans="5:18" s="65" customFormat="1">
      <c r="E5617" s="130"/>
      <c r="P5617" s="99"/>
      <c r="Q5617" s="99"/>
      <c r="R5617" s="99"/>
    </row>
    <row r="5618" spans="5:18" s="65" customFormat="1">
      <c r="E5618" s="130"/>
      <c r="P5618" s="99"/>
      <c r="Q5618" s="99"/>
      <c r="R5618" s="99"/>
    </row>
    <row r="5619" spans="5:18" s="65" customFormat="1">
      <c r="E5619" s="130"/>
      <c r="P5619" s="99"/>
      <c r="Q5619" s="99"/>
      <c r="R5619" s="99"/>
    </row>
    <row r="5620" spans="5:18" s="65" customFormat="1">
      <c r="E5620" s="130"/>
      <c r="P5620" s="99"/>
      <c r="Q5620" s="99"/>
      <c r="R5620" s="99"/>
    </row>
    <row r="5621" spans="5:18" s="65" customFormat="1">
      <c r="E5621" s="130"/>
      <c r="P5621" s="99"/>
      <c r="Q5621" s="99"/>
      <c r="R5621" s="99"/>
    </row>
    <row r="5622" spans="5:18" s="65" customFormat="1">
      <c r="E5622" s="130"/>
      <c r="P5622" s="99"/>
      <c r="Q5622" s="99"/>
      <c r="R5622" s="99"/>
    </row>
    <row r="5623" spans="5:18" s="65" customFormat="1">
      <c r="E5623" s="130"/>
      <c r="P5623" s="99"/>
      <c r="Q5623" s="99"/>
      <c r="R5623" s="99"/>
    </row>
    <row r="5624" spans="5:18" s="65" customFormat="1">
      <c r="E5624" s="130"/>
      <c r="P5624" s="99"/>
      <c r="Q5624" s="99"/>
      <c r="R5624" s="99"/>
    </row>
    <row r="5625" spans="5:18" s="65" customFormat="1">
      <c r="E5625" s="130"/>
      <c r="P5625" s="99"/>
      <c r="Q5625" s="99"/>
      <c r="R5625" s="99"/>
    </row>
    <row r="5626" spans="5:18" s="65" customFormat="1">
      <c r="E5626" s="130"/>
      <c r="P5626" s="99"/>
      <c r="Q5626" s="99"/>
      <c r="R5626" s="99"/>
    </row>
    <row r="5627" spans="5:18" s="65" customFormat="1">
      <c r="E5627" s="130"/>
      <c r="P5627" s="99"/>
      <c r="Q5627" s="99"/>
      <c r="R5627" s="99"/>
    </row>
    <row r="5628" spans="5:18" s="65" customFormat="1">
      <c r="E5628" s="130"/>
      <c r="P5628" s="99"/>
      <c r="Q5628" s="99"/>
      <c r="R5628" s="99"/>
    </row>
    <row r="5629" spans="5:18" s="65" customFormat="1">
      <c r="E5629" s="130"/>
      <c r="P5629" s="99"/>
      <c r="Q5629" s="99"/>
      <c r="R5629" s="99"/>
    </row>
    <row r="5630" spans="5:18" s="65" customFormat="1">
      <c r="E5630" s="130"/>
      <c r="P5630" s="99"/>
      <c r="Q5630" s="99"/>
      <c r="R5630" s="99"/>
    </row>
    <row r="5631" spans="5:18" s="65" customFormat="1">
      <c r="E5631" s="130"/>
      <c r="P5631" s="99"/>
      <c r="Q5631" s="99"/>
      <c r="R5631" s="99"/>
    </row>
    <row r="5632" spans="5:18" s="65" customFormat="1">
      <c r="E5632" s="130"/>
      <c r="P5632" s="99"/>
      <c r="Q5632" s="99"/>
      <c r="R5632" s="99"/>
    </row>
    <row r="5633" spans="5:18" s="65" customFormat="1">
      <c r="E5633" s="130"/>
      <c r="P5633" s="99"/>
      <c r="Q5633" s="99"/>
      <c r="R5633" s="99"/>
    </row>
    <row r="5634" spans="5:18" s="65" customFormat="1">
      <c r="E5634" s="130"/>
      <c r="P5634" s="99"/>
      <c r="Q5634" s="99"/>
      <c r="R5634" s="99"/>
    </row>
    <row r="5635" spans="5:18" s="65" customFormat="1">
      <c r="E5635" s="130"/>
      <c r="P5635" s="99"/>
      <c r="Q5635" s="99"/>
      <c r="R5635" s="99"/>
    </row>
    <row r="5636" spans="5:18" s="65" customFormat="1">
      <c r="E5636" s="130"/>
      <c r="P5636" s="99"/>
      <c r="Q5636" s="99"/>
      <c r="R5636" s="99"/>
    </row>
    <row r="5637" spans="5:18" s="65" customFormat="1">
      <c r="E5637" s="130"/>
      <c r="P5637" s="99"/>
      <c r="Q5637" s="99"/>
      <c r="R5637" s="99"/>
    </row>
    <row r="5638" spans="5:18" s="65" customFormat="1">
      <c r="E5638" s="130"/>
      <c r="P5638" s="99"/>
      <c r="Q5638" s="99"/>
      <c r="R5638" s="99"/>
    </row>
    <row r="5639" spans="5:18" s="65" customFormat="1">
      <c r="E5639" s="130"/>
      <c r="P5639" s="99"/>
      <c r="Q5639" s="99"/>
      <c r="R5639" s="99"/>
    </row>
    <row r="5640" spans="5:18" s="65" customFormat="1">
      <c r="E5640" s="130"/>
      <c r="P5640" s="99"/>
      <c r="Q5640" s="99"/>
      <c r="R5640" s="99"/>
    </row>
    <row r="5641" spans="5:18" s="65" customFormat="1">
      <c r="E5641" s="130"/>
      <c r="P5641" s="99"/>
      <c r="Q5641" s="99"/>
      <c r="R5641" s="99"/>
    </row>
    <row r="5642" spans="5:18" s="65" customFormat="1">
      <c r="E5642" s="130"/>
      <c r="P5642" s="99"/>
      <c r="Q5642" s="99"/>
      <c r="R5642" s="99"/>
    </row>
    <row r="5643" spans="5:18" s="65" customFormat="1">
      <c r="E5643" s="130"/>
      <c r="P5643" s="99"/>
      <c r="Q5643" s="99"/>
      <c r="R5643" s="99"/>
    </row>
    <row r="5644" spans="5:18" s="65" customFormat="1">
      <c r="E5644" s="130"/>
      <c r="P5644" s="99"/>
      <c r="Q5644" s="99"/>
      <c r="R5644" s="99"/>
    </row>
    <row r="5645" spans="5:18" s="65" customFormat="1">
      <c r="E5645" s="130"/>
      <c r="P5645" s="99"/>
      <c r="Q5645" s="99"/>
      <c r="R5645" s="99"/>
    </row>
    <row r="5646" spans="5:18" s="65" customFormat="1">
      <c r="E5646" s="130"/>
      <c r="P5646" s="99"/>
      <c r="Q5646" s="99"/>
      <c r="R5646" s="99"/>
    </row>
    <row r="5647" spans="5:18" s="65" customFormat="1">
      <c r="E5647" s="130"/>
      <c r="P5647" s="99"/>
      <c r="Q5647" s="99"/>
      <c r="R5647" s="99"/>
    </row>
    <row r="5648" spans="5:18" s="65" customFormat="1">
      <c r="E5648" s="130"/>
      <c r="P5648" s="99"/>
      <c r="Q5648" s="99"/>
      <c r="R5648" s="99"/>
    </row>
    <row r="5649" spans="5:18" s="65" customFormat="1">
      <c r="E5649" s="130"/>
      <c r="P5649" s="99"/>
      <c r="Q5649" s="99"/>
      <c r="R5649" s="99"/>
    </row>
    <row r="5650" spans="5:18" s="65" customFormat="1">
      <c r="E5650" s="130"/>
      <c r="P5650" s="99"/>
      <c r="Q5650" s="99"/>
      <c r="R5650" s="99"/>
    </row>
    <row r="5651" spans="5:18" s="65" customFormat="1">
      <c r="E5651" s="130"/>
      <c r="P5651" s="99"/>
      <c r="Q5651" s="99"/>
      <c r="R5651" s="99"/>
    </row>
    <row r="5652" spans="5:18" s="65" customFormat="1">
      <c r="E5652" s="130"/>
      <c r="P5652" s="99"/>
      <c r="Q5652" s="99"/>
      <c r="R5652" s="99"/>
    </row>
    <row r="5653" spans="5:18" s="65" customFormat="1">
      <c r="E5653" s="130"/>
      <c r="P5653" s="99"/>
      <c r="Q5653" s="99"/>
      <c r="R5653" s="99"/>
    </row>
    <row r="5654" spans="5:18" s="65" customFormat="1">
      <c r="E5654" s="130"/>
      <c r="P5654" s="99"/>
      <c r="Q5654" s="99"/>
      <c r="R5654" s="99"/>
    </row>
    <row r="5655" spans="5:18" s="65" customFormat="1">
      <c r="E5655" s="130"/>
      <c r="P5655" s="99"/>
      <c r="Q5655" s="99"/>
      <c r="R5655" s="99"/>
    </row>
    <row r="5656" spans="5:18" s="65" customFormat="1">
      <c r="E5656" s="130"/>
      <c r="P5656" s="99"/>
      <c r="Q5656" s="99"/>
      <c r="R5656" s="99"/>
    </row>
    <row r="5657" spans="5:18" s="65" customFormat="1">
      <c r="E5657" s="130"/>
      <c r="P5657" s="99"/>
      <c r="Q5657" s="99"/>
      <c r="R5657" s="99"/>
    </row>
    <row r="5658" spans="5:18" s="65" customFormat="1">
      <c r="E5658" s="130"/>
      <c r="P5658" s="99"/>
      <c r="Q5658" s="99"/>
      <c r="R5658" s="99"/>
    </row>
    <row r="5659" spans="5:18" s="65" customFormat="1">
      <c r="E5659" s="130"/>
      <c r="P5659" s="99"/>
      <c r="Q5659" s="99"/>
      <c r="R5659" s="99"/>
    </row>
    <row r="5660" spans="5:18" s="65" customFormat="1">
      <c r="E5660" s="130"/>
      <c r="P5660" s="99"/>
      <c r="Q5660" s="99"/>
      <c r="R5660" s="99"/>
    </row>
    <row r="5661" spans="5:18" s="65" customFormat="1">
      <c r="E5661" s="130"/>
      <c r="P5661" s="99"/>
      <c r="Q5661" s="99"/>
      <c r="R5661" s="99"/>
    </row>
    <row r="5662" spans="5:18" s="65" customFormat="1">
      <c r="E5662" s="130"/>
      <c r="P5662" s="99"/>
      <c r="Q5662" s="99"/>
      <c r="R5662" s="99"/>
    </row>
    <row r="5663" spans="5:18" s="65" customFormat="1">
      <c r="E5663" s="130"/>
      <c r="P5663" s="99"/>
      <c r="Q5663" s="99"/>
      <c r="R5663" s="99"/>
    </row>
    <row r="5664" spans="5:18" s="65" customFormat="1">
      <c r="E5664" s="130"/>
      <c r="P5664" s="99"/>
      <c r="Q5664" s="99"/>
      <c r="R5664" s="99"/>
    </row>
    <row r="5665" spans="5:18" s="65" customFormat="1">
      <c r="E5665" s="130"/>
      <c r="P5665" s="99"/>
      <c r="Q5665" s="99"/>
      <c r="R5665" s="99"/>
    </row>
    <row r="5666" spans="5:18" s="65" customFormat="1">
      <c r="E5666" s="130"/>
      <c r="P5666" s="99"/>
      <c r="Q5666" s="99"/>
      <c r="R5666" s="99"/>
    </row>
    <row r="5667" spans="5:18" s="65" customFormat="1">
      <c r="E5667" s="130"/>
      <c r="P5667" s="99"/>
      <c r="Q5667" s="99"/>
      <c r="R5667" s="99"/>
    </row>
    <row r="5668" spans="5:18" s="65" customFormat="1">
      <c r="E5668" s="130"/>
      <c r="P5668" s="99"/>
      <c r="Q5668" s="99"/>
      <c r="R5668" s="99"/>
    </row>
    <row r="5669" spans="5:18" s="65" customFormat="1">
      <c r="E5669" s="130"/>
      <c r="P5669" s="99"/>
      <c r="Q5669" s="99"/>
      <c r="R5669" s="99"/>
    </row>
    <row r="5670" spans="5:18" s="65" customFormat="1">
      <c r="E5670" s="130"/>
      <c r="P5670" s="99"/>
      <c r="Q5670" s="99"/>
      <c r="R5670" s="99"/>
    </row>
    <row r="5671" spans="5:18" s="65" customFormat="1">
      <c r="E5671" s="130"/>
      <c r="P5671" s="99"/>
      <c r="Q5671" s="99"/>
      <c r="R5671" s="99"/>
    </row>
    <row r="5672" spans="5:18" s="65" customFormat="1">
      <c r="E5672" s="130"/>
      <c r="P5672" s="99"/>
      <c r="Q5672" s="99"/>
      <c r="R5672" s="99"/>
    </row>
    <row r="5673" spans="5:18" s="65" customFormat="1">
      <c r="E5673" s="130"/>
      <c r="P5673" s="99"/>
      <c r="Q5673" s="99"/>
      <c r="R5673" s="99"/>
    </row>
    <row r="5674" spans="5:18" s="65" customFormat="1">
      <c r="E5674" s="130"/>
      <c r="P5674" s="99"/>
      <c r="Q5674" s="99"/>
      <c r="R5674" s="99"/>
    </row>
    <row r="5675" spans="5:18" s="65" customFormat="1">
      <c r="E5675" s="130"/>
      <c r="P5675" s="99"/>
      <c r="Q5675" s="99"/>
      <c r="R5675" s="99"/>
    </row>
    <row r="5676" spans="5:18" s="65" customFormat="1">
      <c r="E5676" s="130"/>
      <c r="P5676" s="99"/>
      <c r="Q5676" s="99"/>
      <c r="R5676" s="99"/>
    </row>
    <row r="5677" spans="5:18" s="65" customFormat="1">
      <c r="E5677" s="130"/>
      <c r="P5677" s="99"/>
      <c r="Q5677" s="99"/>
      <c r="R5677" s="99"/>
    </row>
    <row r="5678" spans="5:18" s="65" customFormat="1">
      <c r="E5678" s="130"/>
      <c r="P5678" s="99"/>
      <c r="Q5678" s="99"/>
      <c r="R5678" s="99"/>
    </row>
    <row r="5679" spans="5:18" s="65" customFormat="1">
      <c r="E5679" s="130"/>
      <c r="P5679" s="99"/>
      <c r="Q5679" s="99"/>
      <c r="R5679" s="99"/>
    </row>
    <row r="5680" spans="5:18" s="65" customFormat="1">
      <c r="E5680" s="130"/>
      <c r="P5680" s="99"/>
      <c r="Q5680" s="99"/>
      <c r="R5680" s="99"/>
    </row>
    <row r="5681" spans="5:18" s="65" customFormat="1">
      <c r="E5681" s="130"/>
      <c r="P5681" s="99"/>
      <c r="Q5681" s="99"/>
      <c r="R5681" s="99"/>
    </row>
    <row r="5682" spans="5:18" s="65" customFormat="1">
      <c r="E5682" s="130"/>
      <c r="P5682" s="99"/>
      <c r="Q5682" s="99"/>
      <c r="R5682" s="99"/>
    </row>
    <row r="5683" spans="5:18" s="65" customFormat="1">
      <c r="E5683" s="130"/>
      <c r="P5683" s="99"/>
      <c r="Q5683" s="99"/>
      <c r="R5683" s="99"/>
    </row>
    <row r="5684" spans="5:18" s="65" customFormat="1">
      <c r="E5684" s="130"/>
      <c r="P5684" s="99"/>
      <c r="Q5684" s="99"/>
      <c r="R5684" s="99"/>
    </row>
    <row r="5685" spans="5:18" s="65" customFormat="1">
      <c r="E5685" s="130"/>
      <c r="P5685" s="99"/>
      <c r="Q5685" s="99"/>
      <c r="R5685" s="99"/>
    </row>
    <row r="5686" spans="5:18" s="65" customFormat="1">
      <c r="E5686" s="130"/>
      <c r="P5686" s="99"/>
      <c r="Q5686" s="99"/>
      <c r="R5686" s="99"/>
    </row>
    <row r="5687" spans="5:18" s="65" customFormat="1">
      <c r="E5687" s="130"/>
      <c r="P5687" s="99"/>
      <c r="Q5687" s="99"/>
      <c r="R5687" s="99"/>
    </row>
    <row r="5688" spans="5:18" s="65" customFormat="1">
      <c r="E5688" s="130"/>
      <c r="P5688" s="99"/>
      <c r="Q5688" s="99"/>
      <c r="R5688" s="99"/>
    </row>
    <row r="5689" spans="5:18" s="65" customFormat="1">
      <c r="E5689" s="130"/>
      <c r="P5689" s="99"/>
      <c r="Q5689" s="99"/>
      <c r="R5689" s="99"/>
    </row>
    <row r="5690" spans="5:18" s="65" customFormat="1">
      <c r="E5690" s="130"/>
      <c r="P5690" s="99"/>
      <c r="Q5690" s="99"/>
      <c r="R5690" s="99"/>
    </row>
    <row r="5691" spans="5:18" s="65" customFormat="1">
      <c r="E5691" s="130"/>
      <c r="P5691" s="99"/>
      <c r="Q5691" s="99"/>
      <c r="R5691" s="99"/>
    </row>
    <row r="5692" spans="5:18" s="65" customFormat="1">
      <c r="E5692" s="130"/>
      <c r="P5692" s="99"/>
      <c r="Q5692" s="99"/>
      <c r="R5692" s="99"/>
    </row>
    <row r="5693" spans="5:18" s="65" customFormat="1">
      <c r="E5693" s="130"/>
      <c r="P5693" s="99"/>
      <c r="Q5693" s="99"/>
      <c r="R5693" s="99"/>
    </row>
    <row r="5694" spans="5:18" s="65" customFormat="1">
      <c r="E5694" s="130"/>
      <c r="P5694" s="99"/>
      <c r="Q5694" s="99"/>
      <c r="R5694" s="99"/>
    </row>
    <row r="5695" spans="5:18" s="65" customFormat="1">
      <c r="E5695" s="130"/>
      <c r="P5695" s="99"/>
      <c r="Q5695" s="99"/>
      <c r="R5695" s="99"/>
    </row>
    <row r="5696" spans="5:18" s="65" customFormat="1">
      <c r="E5696" s="130"/>
      <c r="P5696" s="99"/>
      <c r="Q5696" s="99"/>
      <c r="R5696" s="99"/>
    </row>
    <row r="5697" spans="5:18" s="65" customFormat="1">
      <c r="E5697" s="130"/>
      <c r="P5697" s="99"/>
      <c r="Q5697" s="99"/>
      <c r="R5697" s="99"/>
    </row>
    <row r="5698" spans="5:18" s="65" customFormat="1">
      <c r="E5698" s="130"/>
      <c r="P5698" s="99"/>
      <c r="Q5698" s="99"/>
      <c r="R5698" s="99"/>
    </row>
    <row r="5699" spans="5:18" s="65" customFormat="1">
      <c r="E5699" s="130"/>
      <c r="P5699" s="99"/>
      <c r="Q5699" s="99"/>
      <c r="R5699" s="99"/>
    </row>
    <row r="5700" spans="5:18" s="65" customFormat="1">
      <c r="E5700" s="130"/>
      <c r="P5700" s="99"/>
      <c r="Q5700" s="99"/>
      <c r="R5700" s="99"/>
    </row>
    <row r="5701" spans="5:18" s="65" customFormat="1">
      <c r="E5701" s="130"/>
      <c r="P5701" s="99"/>
      <c r="Q5701" s="99"/>
      <c r="R5701" s="99"/>
    </row>
    <row r="5702" spans="5:18" s="65" customFormat="1">
      <c r="E5702" s="130"/>
      <c r="P5702" s="99"/>
      <c r="Q5702" s="99"/>
      <c r="R5702" s="99"/>
    </row>
    <row r="5703" spans="5:18" s="65" customFormat="1">
      <c r="E5703" s="130"/>
      <c r="P5703" s="99"/>
      <c r="Q5703" s="99"/>
      <c r="R5703" s="99"/>
    </row>
    <row r="5704" spans="5:18" s="65" customFormat="1">
      <c r="E5704" s="130"/>
      <c r="P5704" s="99"/>
      <c r="Q5704" s="99"/>
      <c r="R5704" s="99"/>
    </row>
    <row r="5705" spans="5:18" s="65" customFormat="1">
      <c r="E5705" s="130"/>
      <c r="P5705" s="99"/>
      <c r="Q5705" s="99"/>
      <c r="R5705" s="99"/>
    </row>
    <row r="5706" spans="5:18" s="65" customFormat="1">
      <c r="E5706" s="130"/>
      <c r="P5706" s="99"/>
      <c r="Q5706" s="99"/>
      <c r="R5706" s="99"/>
    </row>
    <row r="5707" spans="5:18" s="65" customFormat="1">
      <c r="E5707" s="130"/>
      <c r="P5707" s="99"/>
      <c r="Q5707" s="99"/>
      <c r="R5707" s="99"/>
    </row>
    <row r="5708" spans="5:18" s="65" customFormat="1">
      <c r="E5708" s="130"/>
      <c r="P5708" s="99"/>
      <c r="Q5708" s="99"/>
      <c r="R5708" s="99"/>
    </row>
    <row r="5709" spans="5:18" s="65" customFormat="1">
      <c r="E5709" s="130"/>
      <c r="P5709" s="99"/>
      <c r="Q5709" s="99"/>
      <c r="R5709" s="99"/>
    </row>
    <row r="5710" spans="5:18" s="65" customFormat="1">
      <c r="E5710" s="130"/>
      <c r="P5710" s="99"/>
      <c r="Q5710" s="99"/>
      <c r="R5710" s="99"/>
    </row>
    <row r="5711" spans="5:18" s="65" customFormat="1">
      <c r="E5711" s="130"/>
      <c r="P5711" s="99"/>
      <c r="Q5711" s="99"/>
      <c r="R5711" s="99"/>
    </row>
    <row r="5712" spans="5:18" s="65" customFormat="1">
      <c r="E5712" s="130"/>
      <c r="P5712" s="99"/>
      <c r="Q5712" s="99"/>
      <c r="R5712" s="99"/>
    </row>
    <row r="5713" spans="5:18" s="65" customFormat="1">
      <c r="E5713" s="130"/>
      <c r="P5713" s="99"/>
      <c r="Q5713" s="99"/>
      <c r="R5713" s="99"/>
    </row>
    <row r="5714" spans="5:18" s="65" customFormat="1">
      <c r="E5714" s="130"/>
      <c r="P5714" s="99"/>
      <c r="Q5714" s="99"/>
      <c r="R5714" s="99"/>
    </row>
    <row r="5715" spans="5:18" s="65" customFormat="1">
      <c r="E5715" s="130"/>
      <c r="P5715" s="99"/>
      <c r="Q5715" s="99"/>
      <c r="R5715" s="99"/>
    </row>
    <row r="5716" spans="5:18" s="65" customFormat="1">
      <c r="E5716" s="130"/>
      <c r="P5716" s="99"/>
      <c r="Q5716" s="99"/>
      <c r="R5716" s="99"/>
    </row>
    <row r="5717" spans="5:18" s="65" customFormat="1">
      <c r="E5717" s="130"/>
      <c r="P5717" s="99"/>
      <c r="Q5717" s="99"/>
      <c r="R5717" s="99"/>
    </row>
    <row r="5718" spans="5:18" s="65" customFormat="1">
      <c r="E5718" s="130"/>
      <c r="P5718" s="99"/>
      <c r="Q5718" s="99"/>
      <c r="R5718" s="99"/>
    </row>
    <row r="5719" spans="5:18" s="65" customFormat="1">
      <c r="E5719" s="130"/>
      <c r="P5719" s="99"/>
      <c r="Q5719" s="99"/>
      <c r="R5719" s="99"/>
    </row>
    <row r="5720" spans="5:18" s="65" customFormat="1">
      <c r="E5720" s="130"/>
      <c r="P5720" s="99"/>
      <c r="Q5720" s="99"/>
      <c r="R5720" s="99"/>
    </row>
    <row r="5721" spans="5:18" s="65" customFormat="1">
      <c r="E5721" s="130"/>
      <c r="P5721" s="99"/>
      <c r="Q5721" s="99"/>
      <c r="R5721" s="99"/>
    </row>
    <row r="5722" spans="5:18" s="65" customFormat="1">
      <c r="E5722" s="130"/>
      <c r="P5722" s="99"/>
      <c r="Q5722" s="99"/>
      <c r="R5722" s="99"/>
    </row>
    <row r="5723" spans="5:18" s="65" customFormat="1">
      <c r="E5723" s="130"/>
      <c r="P5723" s="99"/>
      <c r="Q5723" s="99"/>
      <c r="R5723" s="99"/>
    </row>
    <row r="5724" spans="5:18" s="65" customFormat="1">
      <c r="E5724" s="130"/>
      <c r="P5724" s="99"/>
      <c r="Q5724" s="99"/>
      <c r="R5724" s="99"/>
    </row>
    <row r="5725" spans="5:18" s="65" customFormat="1">
      <c r="E5725" s="130"/>
      <c r="P5725" s="99"/>
      <c r="Q5725" s="99"/>
      <c r="R5725" s="99"/>
    </row>
    <row r="5726" spans="5:18" s="65" customFormat="1">
      <c r="E5726" s="130"/>
      <c r="P5726" s="99"/>
      <c r="Q5726" s="99"/>
      <c r="R5726" s="99"/>
    </row>
    <row r="5727" spans="5:18" s="65" customFormat="1">
      <c r="E5727" s="130"/>
      <c r="P5727" s="99"/>
      <c r="Q5727" s="99"/>
      <c r="R5727" s="99"/>
    </row>
    <row r="5728" spans="5:18" s="65" customFormat="1">
      <c r="E5728" s="130"/>
      <c r="P5728" s="99"/>
      <c r="Q5728" s="99"/>
      <c r="R5728" s="99"/>
    </row>
    <row r="5729" spans="5:18" s="65" customFormat="1">
      <c r="E5729" s="130"/>
      <c r="P5729" s="99"/>
      <c r="Q5729" s="99"/>
      <c r="R5729" s="99"/>
    </row>
    <row r="5730" spans="5:18" s="65" customFormat="1">
      <c r="E5730" s="130"/>
      <c r="P5730" s="99"/>
      <c r="Q5730" s="99"/>
      <c r="R5730" s="99"/>
    </row>
    <row r="5731" spans="5:18" s="65" customFormat="1">
      <c r="E5731" s="130"/>
      <c r="P5731" s="99"/>
      <c r="Q5731" s="99"/>
      <c r="R5731" s="99"/>
    </row>
    <row r="5732" spans="5:18" s="65" customFormat="1">
      <c r="E5732" s="130"/>
      <c r="P5732" s="99"/>
      <c r="Q5732" s="99"/>
      <c r="R5732" s="99"/>
    </row>
    <row r="5733" spans="5:18" s="65" customFormat="1">
      <c r="E5733" s="130"/>
      <c r="P5733" s="99"/>
      <c r="Q5733" s="99"/>
      <c r="R5733" s="99"/>
    </row>
    <row r="5734" spans="5:18" s="65" customFormat="1">
      <c r="E5734" s="130"/>
      <c r="P5734" s="99"/>
      <c r="Q5734" s="99"/>
      <c r="R5734" s="99"/>
    </row>
    <row r="5735" spans="5:18" s="65" customFormat="1">
      <c r="E5735" s="130"/>
      <c r="P5735" s="99"/>
      <c r="Q5735" s="99"/>
      <c r="R5735" s="99"/>
    </row>
    <row r="5736" spans="5:18" s="65" customFormat="1">
      <c r="E5736" s="130"/>
      <c r="P5736" s="99"/>
      <c r="Q5736" s="99"/>
      <c r="R5736" s="99"/>
    </row>
    <row r="5737" spans="5:18" s="65" customFormat="1">
      <c r="E5737" s="130"/>
      <c r="P5737" s="99"/>
      <c r="Q5737" s="99"/>
      <c r="R5737" s="99"/>
    </row>
    <row r="5738" spans="5:18" s="65" customFormat="1">
      <c r="E5738" s="130"/>
      <c r="P5738" s="99"/>
      <c r="Q5738" s="99"/>
      <c r="R5738" s="99"/>
    </row>
    <row r="5739" spans="5:18" s="65" customFormat="1">
      <c r="E5739" s="130"/>
      <c r="P5739" s="99"/>
      <c r="Q5739" s="99"/>
      <c r="R5739" s="99"/>
    </row>
    <row r="5740" spans="5:18" s="65" customFormat="1">
      <c r="E5740" s="130"/>
      <c r="P5740" s="99"/>
      <c r="Q5740" s="99"/>
      <c r="R5740" s="99"/>
    </row>
    <row r="5741" spans="5:18" s="65" customFormat="1">
      <c r="E5741" s="130"/>
      <c r="P5741" s="99"/>
      <c r="Q5741" s="99"/>
      <c r="R5741" s="99"/>
    </row>
    <row r="5742" spans="5:18" s="65" customFormat="1">
      <c r="E5742" s="130"/>
      <c r="P5742" s="99"/>
      <c r="Q5742" s="99"/>
      <c r="R5742" s="99"/>
    </row>
    <row r="5743" spans="5:18" s="65" customFormat="1">
      <c r="E5743" s="130"/>
      <c r="P5743" s="99"/>
      <c r="Q5743" s="99"/>
      <c r="R5743" s="99"/>
    </row>
    <row r="5744" spans="5:18" s="65" customFormat="1">
      <c r="E5744" s="130"/>
      <c r="P5744" s="99"/>
      <c r="Q5744" s="99"/>
      <c r="R5744" s="99"/>
    </row>
    <row r="5745" spans="5:18" s="65" customFormat="1">
      <c r="E5745" s="130"/>
      <c r="P5745" s="99"/>
      <c r="Q5745" s="99"/>
      <c r="R5745" s="99"/>
    </row>
    <row r="5746" spans="5:18" s="65" customFormat="1">
      <c r="E5746" s="130"/>
      <c r="P5746" s="99"/>
      <c r="Q5746" s="99"/>
      <c r="R5746" s="99"/>
    </row>
    <row r="5747" spans="5:18" s="65" customFormat="1">
      <c r="E5747" s="130"/>
      <c r="P5747" s="99"/>
      <c r="Q5747" s="99"/>
      <c r="R5747" s="99"/>
    </row>
    <row r="5748" spans="5:18" s="65" customFormat="1">
      <c r="E5748" s="130"/>
      <c r="P5748" s="99"/>
      <c r="Q5748" s="99"/>
      <c r="R5748" s="99"/>
    </row>
    <row r="5749" spans="5:18" s="65" customFormat="1">
      <c r="E5749" s="130"/>
      <c r="P5749" s="99"/>
      <c r="Q5749" s="99"/>
      <c r="R5749" s="99"/>
    </row>
    <row r="5750" spans="5:18" s="65" customFormat="1">
      <c r="E5750" s="130"/>
      <c r="P5750" s="99"/>
      <c r="Q5750" s="99"/>
      <c r="R5750" s="99"/>
    </row>
    <row r="5751" spans="5:18" s="65" customFormat="1">
      <c r="E5751" s="130"/>
      <c r="P5751" s="99"/>
      <c r="Q5751" s="99"/>
      <c r="R5751" s="99"/>
    </row>
    <row r="5752" spans="5:18" s="65" customFormat="1">
      <c r="E5752" s="130"/>
      <c r="P5752" s="99"/>
      <c r="Q5752" s="99"/>
      <c r="R5752" s="99"/>
    </row>
    <row r="5753" spans="5:18" s="65" customFormat="1">
      <c r="E5753" s="130"/>
      <c r="P5753" s="99"/>
      <c r="Q5753" s="99"/>
      <c r="R5753" s="99"/>
    </row>
    <row r="5754" spans="5:18" s="65" customFormat="1">
      <c r="E5754" s="130"/>
      <c r="P5754" s="99"/>
      <c r="Q5754" s="99"/>
      <c r="R5754" s="99"/>
    </row>
    <row r="5755" spans="5:18" s="65" customFormat="1">
      <c r="E5755" s="130"/>
      <c r="P5755" s="99"/>
      <c r="Q5755" s="99"/>
      <c r="R5755" s="99"/>
    </row>
    <row r="5756" spans="5:18" s="65" customFormat="1">
      <c r="E5756" s="130"/>
      <c r="P5756" s="99"/>
      <c r="Q5756" s="99"/>
      <c r="R5756" s="99"/>
    </row>
    <row r="5757" spans="5:18" s="65" customFormat="1">
      <c r="E5757" s="130"/>
      <c r="P5757" s="99"/>
      <c r="Q5757" s="99"/>
      <c r="R5757" s="99"/>
    </row>
    <row r="5758" spans="5:18" s="65" customFormat="1">
      <c r="E5758" s="130"/>
      <c r="P5758" s="99"/>
      <c r="Q5758" s="99"/>
      <c r="R5758" s="99"/>
    </row>
    <row r="5759" spans="5:18" s="65" customFormat="1">
      <c r="E5759" s="130"/>
      <c r="P5759" s="99"/>
      <c r="Q5759" s="99"/>
      <c r="R5759" s="99"/>
    </row>
    <row r="5760" spans="5:18" s="65" customFormat="1">
      <c r="E5760" s="130"/>
      <c r="P5760" s="99"/>
      <c r="Q5760" s="99"/>
      <c r="R5760" s="99"/>
    </row>
    <row r="5761" spans="5:18" s="65" customFormat="1">
      <c r="E5761" s="130"/>
      <c r="P5761" s="99"/>
      <c r="Q5761" s="99"/>
      <c r="R5761" s="99"/>
    </row>
    <row r="5762" spans="5:18" s="65" customFormat="1">
      <c r="E5762" s="130"/>
      <c r="P5762" s="99"/>
      <c r="Q5762" s="99"/>
      <c r="R5762" s="99"/>
    </row>
    <row r="5763" spans="5:18" s="65" customFormat="1">
      <c r="E5763" s="130"/>
      <c r="P5763" s="99"/>
      <c r="Q5763" s="99"/>
      <c r="R5763" s="99"/>
    </row>
    <row r="5764" spans="5:18" s="65" customFormat="1">
      <c r="E5764" s="130"/>
      <c r="P5764" s="99"/>
      <c r="Q5764" s="99"/>
      <c r="R5764" s="99"/>
    </row>
    <row r="5765" spans="5:18" s="65" customFormat="1">
      <c r="E5765" s="130"/>
      <c r="P5765" s="99"/>
      <c r="Q5765" s="99"/>
      <c r="R5765" s="99"/>
    </row>
    <row r="5766" spans="5:18" s="65" customFormat="1">
      <c r="E5766" s="130"/>
      <c r="P5766" s="99"/>
      <c r="Q5766" s="99"/>
      <c r="R5766" s="99"/>
    </row>
    <row r="5767" spans="5:18" s="65" customFormat="1">
      <c r="E5767" s="130"/>
      <c r="P5767" s="99"/>
      <c r="Q5767" s="99"/>
      <c r="R5767" s="99"/>
    </row>
    <row r="5768" spans="5:18" s="65" customFormat="1">
      <c r="E5768" s="130"/>
      <c r="P5768" s="99"/>
      <c r="Q5768" s="99"/>
      <c r="R5768" s="99"/>
    </row>
    <row r="5769" spans="5:18" s="65" customFormat="1">
      <c r="E5769" s="130"/>
      <c r="P5769" s="99"/>
      <c r="Q5769" s="99"/>
      <c r="R5769" s="99"/>
    </row>
    <row r="5770" spans="5:18" s="65" customFormat="1">
      <c r="E5770" s="130"/>
      <c r="P5770" s="99"/>
      <c r="Q5770" s="99"/>
      <c r="R5770" s="99"/>
    </row>
    <row r="5771" spans="5:18" s="65" customFormat="1">
      <c r="E5771" s="130"/>
      <c r="P5771" s="99"/>
      <c r="Q5771" s="99"/>
      <c r="R5771" s="99"/>
    </row>
    <row r="5772" spans="5:18" s="65" customFormat="1">
      <c r="E5772" s="130"/>
      <c r="P5772" s="99"/>
      <c r="Q5772" s="99"/>
      <c r="R5772" s="99"/>
    </row>
    <row r="5773" spans="5:18" s="65" customFormat="1">
      <c r="E5773" s="130"/>
      <c r="P5773" s="99"/>
      <c r="Q5773" s="99"/>
      <c r="R5773" s="99"/>
    </row>
    <row r="5774" spans="5:18" s="65" customFormat="1">
      <c r="E5774" s="130"/>
      <c r="P5774" s="99"/>
      <c r="Q5774" s="99"/>
      <c r="R5774" s="99"/>
    </row>
    <row r="5775" spans="5:18" s="65" customFormat="1">
      <c r="E5775" s="130"/>
      <c r="P5775" s="99"/>
      <c r="Q5775" s="99"/>
      <c r="R5775" s="99"/>
    </row>
    <row r="5776" spans="5:18" s="65" customFormat="1">
      <c r="E5776" s="130"/>
      <c r="P5776" s="99"/>
      <c r="Q5776" s="99"/>
      <c r="R5776" s="99"/>
    </row>
    <row r="5777" spans="5:18" s="65" customFormat="1">
      <c r="E5777" s="130"/>
      <c r="P5777" s="99"/>
      <c r="Q5777" s="99"/>
      <c r="R5777" s="99"/>
    </row>
    <row r="5778" spans="5:18" s="65" customFormat="1">
      <c r="E5778" s="130"/>
      <c r="P5778" s="99"/>
      <c r="Q5778" s="99"/>
      <c r="R5778" s="99"/>
    </row>
    <row r="5779" spans="5:18" s="65" customFormat="1">
      <c r="E5779" s="130"/>
      <c r="P5779" s="99"/>
      <c r="Q5779" s="99"/>
      <c r="R5779" s="99"/>
    </row>
    <row r="5780" spans="5:18" s="65" customFormat="1">
      <c r="E5780" s="130"/>
      <c r="P5780" s="99"/>
      <c r="Q5780" s="99"/>
      <c r="R5780" s="99"/>
    </row>
    <row r="5781" spans="5:18" s="65" customFormat="1">
      <c r="E5781" s="130"/>
      <c r="P5781" s="99"/>
      <c r="Q5781" s="99"/>
      <c r="R5781" s="99"/>
    </row>
    <row r="5782" spans="5:18" s="65" customFormat="1">
      <c r="E5782" s="130"/>
      <c r="P5782" s="99"/>
      <c r="Q5782" s="99"/>
      <c r="R5782" s="99"/>
    </row>
    <row r="5783" spans="5:18" s="65" customFormat="1">
      <c r="E5783" s="130"/>
      <c r="P5783" s="99"/>
      <c r="Q5783" s="99"/>
      <c r="R5783" s="99"/>
    </row>
    <row r="5784" spans="5:18" s="65" customFormat="1">
      <c r="E5784" s="130"/>
      <c r="P5784" s="99"/>
      <c r="Q5784" s="99"/>
      <c r="R5784" s="99"/>
    </row>
    <row r="5785" spans="5:18" s="65" customFormat="1">
      <c r="E5785" s="130"/>
      <c r="P5785" s="99"/>
      <c r="Q5785" s="99"/>
      <c r="R5785" s="99"/>
    </row>
    <row r="5786" spans="5:18" s="65" customFormat="1">
      <c r="E5786" s="130"/>
      <c r="P5786" s="99"/>
      <c r="Q5786" s="99"/>
      <c r="R5786" s="99"/>
    </row>
    <row r="5787" spans="5:18" s="65" customFormat="1">
      <c r="E5787" s="130"/>
      <c r="P5787" s="99"/>
      <c r="Q5787" s="99"/>
      <c r="R5787" s="99"/>
    </row>
    <row r="5788" spans="5:18" s="65" customFormat="1">
      <c r="E5788" s="130"/>
      <c r="P5788" s="99"/>
      <c r="Q5788" s="99"/>
      <c r="R5788" s="99"/>
    </row>
    <row r="5789" spans="5:18" s="65" customFormat="1">
      <c r="E5789" s="130"/>
      <c r="P5789" s="99"/>
      <c r="Q5789" s="99"/>
      <c r="R5789" s="99"/>
    </row>
    <row r="5790" spans="5:18" s="65" customFormat="1">
      <c r="E5790" s="130"/>
      <c r="P5790" s="99"/>
      <c r="Q5790" s="99"/>
      <c r="R5790" s="99"/>
    </row>
    <row r="5791" spans="5:18" s="65" customFormat="1">
      <c r="E5791" s="130"/>
      <c r="P5791" s="99"/>
      <c r="Q5791" s="99"/>
      <c r="R5791" s="99"/>
    </row>
    <row r="5792" spans="5:18" s="65" customFormat="1">
      <c r="E5792" s="130"/>
      <c r="P5792" s="99"/>
      <c r="Q5792" s="99"/>
      <c r="R5792" s="99"/>
    </row>
    <row r="5793" spans="5:18" s="65" customFormat="1">
      <c r="E5793" s="130"/>
      <c r="P5793" s="99"/>
      <c r="Q5793" s="99"/>
      <c r="R5793" s="99"/>
    </row>
    <row r="5794" spans="5:18" s="65" customFormat="1">
      <c r="E5794" s="130"/>
      <c r="P5794" s="99"/>
      <c r="Q5794" s="99"/>
      <c r="R5794" s="99"/>
    </row>
    <row r="5795" spans="5:18" s="65" customFormat="1">
      <c r="E5795" s="130"/>
      <c r="P5795" s="99"/>
      <c r="Q5795" s="99"/>
      <c r="R5795" s="99"/>
    </row>
    <row r="5796" spans="5:18" s="65" customFormat="1">
      <c r="E5796" s="130"/>
      <c r="P5796" s="99"/>
      <c r="Q5796" s="99"/>
      <c r="R5796" s="99"/>
    </row>
    <row r="5797" spans="5:18" s="65" customFormat="1">
      <c r="E5797" s="130"/>
      <c r="P5797" s="99"/>
      <c r="Q5797" s="99"/>
      <c r="R5797" s="99"/>
    </row>
    <row r="5798" spans="5:18" s="65" customFormat="1">
      <c r="E5798" s="130"/>
      <c r="P5798" s="99"/>
      <c r="Q5798" s="99"/>
      <c r="R5798" s="99"/>
    </row>
    <row r="5799" spans="5:18" s="65" customFormat="1">
      <c r="E5799" s="130"/>
      <c r="P5799" s="99"/>
      <c r="Q5799" s="99"/>
      <c r="R5799" s="99"/>
    </row>
    <row r="5800" spans="5:18" s="65" customFormat="1">
      <c r="E5800" s="130"/>
      <c r="P5800" s="99"/>
      <c r="Q5800" s="99"/>
      <c r="R5800" s="99"/>
    </row>
    <row r="5801" spans="5:18" s="65" customFormat="1">
      <c r="E5801" s="130"/>
      <c r="P5801" s="99"/>
      <c r="Q5801" s="99"/>
      <c r="R5801" s="99"/>
    </row>
    <row r="5802" spans="5:18" s="65" customFormat="1">
      <c r="E5802" s="130"/>
      <c r="P5802" s="99"/>
      <c r="Q5802" s="99"/>
      <c r="R5802" s="99"/>
    </row>
    <row r="5803" spans="5:18" s="65" customFormat="1">
      <c r="E5803" s="130"/>
      <c r="P5803" s="99"/>
      <c r="Q5803" s="99"/>
      <c r="R5803" s="99"/>
    </row>
    <row r="5804" spans="5:18" s="65" customFormat="1">
      <c r="E5804" s="130"/>
      <c r="P5804" s="99"/>
      <c r="Q5804" s="99"/>
      <c r="R5804" s="99"/>
    </row>
    <row r="5805" spans="5:18" s="65" customFormat="1">
      <c r="E5805" s="130"/>
      <c r="P5805" s="99"/>
      <c r="Q5805" s="99"/>
      <c r="R5805" s="99"/>
    </row>
    <row r="5806" spans="5:18" s="65" customFormat="1">
      <c r="E5806" s="130"/>
      <c r="P5806" s="99"/>
      <c r="Q5806" s="99"/>
      <c r="R5806" s="99"/>
    </row>
    <row r="5807" spans="5:18" s="65" customFormat="1">
      <c r="E5807" s="130"/>
      <c r="P5807" s="99"/>
      <c r="Q5807" s="99"/>
      <c r="R5807" s="99"/>
    </row>
    <row r="5808" spans="5:18" s="65" customFormat="1">
      <c r="E5808" s="130"/>
      <c r="P5808" s="99"/>
      <c r="Q5808" s="99"/>
      <c r="R5808" s="99"/>
    </row>
    <row r="5809" spans="5:18" s="65" customFormat="1">
      <c r="E5809" s="130"/>
      <c r="P5809" s="99"/>
      <c r="Q5809" s="99"/>
      <c r="R5809" s="99"/>
    </row>
    <row r="5810" spans="5:18" s="65" customFormat="1">
      <c r="E5810" s="130"/>
      <c r="P5810" s="99"/>
      <c r="Q5810" s="99"/>
      <c r="R5810" s="99"/>
    </row>
    <row r="5811" spans="5:18" s="65" customFormat="1">
      <c r="E5811" s="130"/>
      <c r="P5811" s="99"/>
      <c r="Q5811" s="99"/>
      <c r="R5811" s="99"/>
    </row>
    <row r="5812" spans="5:18" s="65" customFormat="1">
      <c r="E5812" s="130"/>
      <c r="P5812" s="99"/>
      <c r="Q5812" s="99"/>
      <c r="R5812" s="99"/>
    </row>
    <row r="5813" spans="5:18" s="65" customFormat="1">
      <c r="E5813" s="130"/>
      <c r="P5813" s="99"/>
      <c r="Q5813" s="99"/>
      <c r="R5813" s="99"/>
    </row>
    <row r="5814" spans="5:18" s="65" customFormat="1">
      <c r="E5814" s="130"/>
      <c r="P5814" s="99"/>
      <c r="Q5814" s="99"/>
      <c r="R5814" s="99"/>
    </row>
    <row r="5815" spans="5:18" s="65" customFormat="1">
      <c r="E5815" s="130"/>
      <c r="P5815" s="99"/>
      <c r="Q5815" s="99"/>
      <c r="R5815" s="99"/>
    </row>
    <row r="5816" spans="5:18" s="65" customFormat="1">
      <c r="E5816" s="130"/>
      <c r="P5816" s="99"/>
      <c r="Q5816" s="99"/>
      <c r="R5816" s="99"/>
    </row>
    <row r="5817" spans="5:18" s="65" customFormat="1">
      <c r="E5817" s="130"/>
      <c r="P5817" s="99"/>
      <c r="Q5817" s="99"/>
      <c r="R5817" s="99"/>
    </row>
    <row r="5818" spans="5:18" s="65" customFormat="1">
      <c r="E5818" s="130"/>
      <c r="P5818" s="99"/>
      <c r="Q5818" s="99"/>
      <c r="R5818" s="99"/>
    </row>
    <row r="5819" spans="5:18" s="65" customFormat="1">
      <c r="E5819" s="130"/>
      <c r="P5819" s="99"/>
      <c r="Q5819" s="99"/>
      <c r="R5819" s="99"/>
    </row>
    <row r="5820" spans="5:18" s="65" customFormat="1">
      <c r="E5820" s="130"/>
      <c r="P5820" s="99"/>
      <c r="Q5820" s="99"/>
      <c r="R5820" s="99"/>
    </row>
    <row r="5821" spans="5:18" s="65" customFormat="1">
      <c r="E5821" s="130"/>
      <c r="P5821" s="99"/>
      <c r="Q5821" s="99"/>
      <c r="R5821" s="99"/>
    </row>
    <row r="5822" spans="5:18" s="65" customFormat="1">
      <c r="E5822" s="130"/>
      <c r="P5822" s="99"/>
      <c r="Q5822" s="99"/>
      <c r="R5822" s="99"/>
    </row>
    <row r="5823" spans="5:18" s="65" customFormat="1">
      <c r="E5823" s="130"/>
      <c r="P5823" s="99"/>
      <c r="Q5823" s="99"/>
      <c r="R5823" s="99"/>
    </row>
    <row r="5824" spans="5:18" s="65" customFormat="1">
      <c r="E5824" s="130"/>
      <c r="P5824" s="99"/>
      <c r="Q5824" s="99"/>
      <c r="R5824" s="99"/>
    </row>
    <row r="5825" spans="5:18" s="65" customFormat="1">
      <c r="E5825" s="130"/>
      <c r="P5825" s="99"/>
      <c r="Q5825" s="99"/>
      <c r="R5825" s="99"/>
    </row>
    <row r="5826" spans="5:18" s="65" customFormat="1">
      <c r="E5826" s="130"/>
      <c r="P5826" s="99"/>
      <c r="Q5826" s="99"/>
      <c r="R5826" s="99"/>
    </row>
    <row r="5827" spans="5:18" s="65" customFormat="1">
      <c r="E5827" s="130"/>
      <c r="P5827" s="99"/>
      <c r="Q5827" s="99"/>
      <c r="R5827" s="99"/>
    </row>
    <row r="5828" spans="5:18" s="65" customFormat="1">
      <c r="E5828" s="130"/>
      <c r="P5828" s="99"/>
      <c r="Q5828" s="99"/>
      <c r="R5828" s="99"/>
    </row>
    <row r="5829" spans="5:18" s="65" customFormat="1">
      <c r="E5829" s="130"/>
      <c r="P5829" s="99"/>
      <c r="Q5829" s="99"/>
      <c r="R5829" s="99"/>
    </row>
    <row r="5830" spans="5:18" s="65" customFormat="1">
      <c r="E5830" s="130"/>
      <c r="P5830" s="99"/>
      <c r="Q5830" s="99"/>
      <c r="R5830" s="99"/>
    </row>
    <row r="5831" spans="5:18" s="65" customFormat="1">
      <c r="E5831" s="130"/>
      <c r="P5831" s="99"/>
      <c r="Q5831" s="99"/>
      <c r="R5831" s="99"/>
    </row>
    <row r="5832" spans="5:18" s="65" customFormat="1">
      <c r="E5832" s="130"/>
      <c r="P5832" s="99"/>
      <c r="Q5832" s="99"/>
      <c r="R5832" s="99"/>
    </row>
    <row r="5833" spans="5:18" s="65" customFormat="1">
      <c r="E5833" s="130"/>
      <c r="P5833" s="99"/>
      <c r="Q5833" s="99"/>
      <c r="R5833" s="99"/>
    </row>
    <row r="5834" spans="5:18" s="65" customFormat="1">
      <c r="E5834" s="130"/>
      <c r="P5834" s="99"/>
      <c r="Q5834" s="99"/>
      <c r="R5834" s="99"/>
    </row>
    <row r="5835" spans="5:18" s="65" customFormat="1">
      <c r="E5835" s="130"/>
      <c r="P5835" s="99"/>
      <c r="Q5835" s="99"/>
      <c r="R5835" s="99"/>
    </row>
    <row r="5836" spans="5:18" s="65" customFormat="1">
      <c r="E5836" s="130"/>
      <c r="P5836" s="99"/>
      <c r="Q5836" s="99"/>
      <c r="R5836" s="99"/>
    </row>
    <row r="5837" spans="5:18" s="65" customFormat="1">
      <c r="E5837" s="130"/>
      <c r="P5837" s="99"/>
      <c r="Q5837" s="99"/>
      <c r="R5837" s="99"/>
    </row>
    <row r="5838" spans="5:18" s="65" customFormat="1">
      <c r="E5838" s="130"/>
      <c r="P5838" s="99"/>
      <c r="Q5838" s="99"/>
      <c r="R5838" s="99"/>
    </row>
    <row r="5839" spans="5:18" s="65" customFormat="1">
      <c r="E5839" s="130"/>
      <c r="P5839" s="99"/>
      <c r="Q5839" s="99"/>
      <c r="R5839" s="99"/>
    </row>
    <row r="5840" spans="5:18" s="65" customFormat="1">
      <c r="E5840" s="130"/>
      <c r="P5840" s="99"/>
      <c r="Q5840" s="99"/>
      <c r="R5840" s="99"/>
    </row>
    <row r="5841" spans="5:18" s="65" customFormat="1">
      <c r="E5841" s="130"/>
      <c r="P5841" s="99"/>
      <c r="Q5841" s="99"/>
      <c r="R5841" s="99"/>
    </row>
    <row r="5842" spans="5:18" s="65" customFormat="1">
      <c r="E5842" s="130"/>
      <c r="P5842" s="99"/>
      <c r="Q5842" s="99"/>
      <c r="R5842" s="99"/>
    </row>
    <row r="5843" spans="5:18" s="65" customFormat="1">
      <c r="E5843" s="130"/>
      <c r="P5843" s="99"/>
      <c r="Q5843" s="99"/>
      <c r="R5843" s="99"/>
    </row>
    <row r="5844" spans="5:18" s="65" customFormat="1">
      <c r="E5844" s="130"/>
      <c r="P5844" s="99"/>
      <c r="Q5844" s="99"/>
      <c r="R5844" s="99"/>
    </row>
    <row r="5845" spans="5:18" s="65" customFormat="1">
      <c r="E5845" s="130"/>
      <c r="P5845" s="99"/>
      <c r="Q5845" s="99"/>
      <c r="R5845" s="99"/>
    </row>
    <row r="5846" spans="5:18" s="65" customFormat="1">
      <c r="E5846" s="130"/>
      <c r="P5846" s="99"/>
      <c r="Q5846" s="99"/>
      <c r="R5846" s="99"/>
    </row>
    <row r="5847" spans="5:18" s="65" customFormat="1">
      <c r="E5847" s="130"/>
      <c r="P5847" s="99"/>
      <c r="Q5847" s="99"/>
      <c r="R5847" s="99"/>
    </row>
    <row r="5848" spans="5:18" s="65" customFormat="1">
      <c r="E5848" s="130"/>
      <c r="P5848" s="99"/>
      <c r="Q5848" s="99"/>
      <c r="R5848" s="99"/>
    </row>
    <row r="5849" spans="5:18" s="65" customFormat="1">
      <c r="E5849" s="130"/>
      <c r="P5849" s="99"/>
      <c r="Q5849" s="99"/>
      <c r="R5849" s="99"/>
    </row>
    <row r="5850" spans="5:18" s="65" customFormat="1">
      <c r="E5850" s="130"/>
      <c r="P5850" s="99"/>
      <c r="Q5850" s="99"/>
      <c r="R5850" s="99"/>
    </row>
    <row r="5851" spans="5:18" s="65" customFormat="1">
      <c r="E5851" s="130"/>
      <c r="P5851" s="99"/>
      <c r="Q5851" s="99"/>
      <c r="R5851" s="99"/>
    </row>
    <row r="5852" spans="5:18" s="65" customFormat="1">
      <c r="E5852" s="130"/>
      <c r="P5852" s="99"/>
      <c r="Q5852" s="99"/>
      <c r="R5852" s="99"/>
    </row>
    <row r="5853" spans="5:18" s="65" customFormat="1">
      <c r="E5853" s="130"/>
      <c r="P5853" s="99"/>
      <c r="Q5853" s="99"/>
      <c r="R5853" s="99"/>
    </row>
    <row r="5854" spans="5:18" s="65" customFormat="1">
      <c r="E5854" s="130"/>
      <c r="P5854" s="99"/>
      <c r="Q5854" s="99"/>
      <c r="R5854" s="99"/>
    </row>
    <row r="5855" spans="5:18" s="65" customFormat="1">
      <c r="E5855" s="130"/>
      <c r="P5855" s="99"/>
      <c r="Q5855" s="99"/>
      <c r="R5855" s="99"/>
    </row>
    <row r="5856" spans="5:18" s="65" customFormat="1">
      <c r="E5856" s="130"/>
      <c r="P5856" s="99"/>
      <c r="Q5856" s="99"/>
      <c r="R5856" s="99"/>
    </row>
    <row r="5857" spans="5:18" s="65" customFormat="1">
      <c r="E5857" s="130"/>
      <c r="P5857" s="99"/>
      <c r="Q5857" s="99"/>
      <c r="R5857" s="99"/>
    </row>
    <row r="5858" spans="5:18" s="65" customFormat="1">
      <c r="E5858" s="130"/>
      <c r="P5858" s="99"/>
      <c r="Q5858" s="99"/>
      <c r="R5858" s="99"/>
    </row>
    <row r="5859" spans="5:18" s="65" customFormat="1">
      <c r="E5859" s="130"/>
      <c r="P5859" s="99"/>
      <c r="Q5859" s="99"/>
      <c r="R5859" s="99"/>
    </row>
    <row r="5860" spans="5:18" s="65" customFormat="1">
      <c r="E5860" s="130"/>
      <c r="P5860" s="99"/>
      <c r="Q5860" s="99"/>
      <c r="R5860" s="99"/>
    </row>
    <row r="5861" spans="5:18" s="65" customFormat="1">
      <c r="E5861" s="130"/>
      <c r="P5861" s="99"/>
      <c r="Q5861" s="99"/>
      <c r="R5861" s="99"/>
    </row>
    <row r="5862" spans="5:18" s="65" customFormat="1">
      <c r="E5862" s="130"/>
      <c r="P5862" s="99"/>
      <c r="Q5862" s="99"/>
      <c r="R5862" s="99"/>
    </row>
    <row r="5863" spans="5:18" s="65" customFormat="1">
      <c r="E5863" s="130"/>
      <c r="P5863" s="99"/>
      <c r="Q5863" s="99"/>
      <c r="R5863" s="99"/>
    </row>
    <row r="5864" spans="5:18" s="65" customFormat="1">
      <c r="E5864" s="130"/>
      <c r="P5864" s="99"/>
      <c r="Q5864" s="99"/>
      <c r="R5864" s="99"/>
    </row>
    <row r="5865" spans="5:18" s="65" customFormat="1">
      <c r="E5865" s="130"/>
      <c r="P5865" s="99"/>
      <c r="Q5865" s="99"/>
      <c r="R5865" s="99"/>
    </row>
    <row r="5866" spans="5:18" s="65" customFormat="1">
      <c r="E5866" s="130"/>
      <c r="P5866" s="99"/>
      <c r="Q5866" s="99"/>
      <c r="R5866" s="99"/>
    </row>
    <row r="5867" spans="5:18" s="65" customFormat="1">
      <c r="E5867" s="130"/>
      <c r="P5867" s="99"/>
      <c r="Q5867" s="99"/>
      <c r="R5867" s="99"/>
    </row>
    <row r="5868" spans="5:18" s="65" customFormat="1">
      <c r="E5868" s="130"/>
      <c r="P5868" s="99"/>
      <c r="Q5868" s="99"/>
      <c r="R5868" s="99"/>
    </row>
    <row r="5869" spans="5:18" s="65" customFormat="1">
      <c r="E5869" s="130"/>
      <c r="P5869" s="99"/>
      <c r="Q5869" s="99"/>
      <c r="R5869" s="99"/>
    </row>
    <row r="5870" spans="5:18" s="65" customFormat="1">
      <c r="E5870" s="130"/>
      <c r="P5870" s="99"/>
      <c r="Q5870" s="99"/>
      <c r="R5870" s="99"/>
    </row>
    <row r="5871" spans="5:18" s="65" customFormat="1">
      <c r="E5871" s="130"/>
      <c r="P5871" s="99"/>
      <c r="Q5871" s="99"/>
      <c r="R5871" s="99"/>
    </row>
    <row r="5872" spans="5:18" s="65" customFormat="1">
      <c r="E5872" s="130"/>
      <c r="P5872" s="99"/>
      <c r="Q5872" s="99"/>
      <c r="R5872" s="99"/>
    </row>
    <row r="5873" spans="5:18" s="65" customFormat="1">
      <c r="E5873" s="130"/>
      <c r="P5873" s="99"/>
      <c r="Q5873" s="99"/>
      <c r="R5873" s="99"/>
    </row>
    <row r="5874" spans="5:18" s="65" customFormat="1">
      <c r="E5874" s="130"/>
      <c r="P5874" s="99"/>
      <c r="Q5874" s="99"/>
      <c r="R5874" s="99"/>
    </row>
    <row r="5875" spans="5:18" s="65" customFormat="1">
      <c r="E5875" s="130"/>
      <c r="P5875" s="99"/>
      <c r="Q5875" s="99"/>
      <c r="R5875" s="99"/>
    </row>
    <row r="5876" spans="5:18" s="65" customFormat="1">
      <c r="E5876" s="130"/>
      <c r="P5876" s="99"/>
      <c r="Q5876" s="99"/>
      <c r="R5876" s="99"/>
    </row>
    <row r="5877" spans="5:18" s="65" customFormat="1">
      <c r="E5877" s="130"/>
      <c r="P5877" s="99"/>
      <c r="Q5877" s="99"/>
      <c r="R5877" s="99"/>
    </row>
    <row r="5878" spans="5:18" s="65" customFormat="1">
      <c r="E5878" s="130"/>
      <c r="P5878" s="99"/>
      <c r="Q5878" s="99"/>
      <c r="R5878" s="99"/>
    </row>
    <row r="5879" spans="5:18" s="65" customFormat="1">
      <c r="E5879" s="130"/>
      <c r="P5879" s="99"/>
      <c r="Q5879" s="99"/>
      <c r="R5879" s="99"/>
    </row>
    <row r="5880" spans="5:18" s="65" customFormat="1">
      <c r="E5880" s="130"/>
      <c r="P5880" s="99"/>
      <c r="Q5880" s="99"/>
      <c r="R5880" s="99"/>
    </row>
    <row r="5881" spans="5:18" s="65" customFormat="1">
      <c r="E5881" s="130"/>
      <c r="P5881" s="99"/>
      <c r="Q5881" s="99"/>
      <c r="R5881" s="99"/>
    </row>
    <row r="5882" spans="5:18" s="65" customFormat="1">
      <c r="E5882" s="130"/>
      <c r="P5882" s="99"/>
      <c r="Q5882" s="99"/>
      <c r="R5882" s="99"/>
    </row>
    <row r="5883" spans="5:18" s="65" customFormat="1">
      <c r="E5883" s="130"/>
      <c r="P5883" s="99"/>
      <c r="Q5883" s="99"/>
      <c r="R5883" s="99"/>
    </row>
    <row r="5884" spans="5:18" s="65" customFormat="1">
      <c r="E5884" s="130"/>
      <c r="P5884" s="99"/>
      <c r="Q5884" s="99"/>
      <c r="R5884" s="99"/>
    </row>
    <row r="5885" spans="5:18" s="65" customFormat="1">
      <c r="E5885" s="130"/>
      <c r="P5885" s="99"/>
      <c r="Q5885" s="99"/>
      <c r="R5885" s="99"/>
    </row>
    <row r="5886" spans="5:18" s="65" customFormat="1">
      <c r="E5886" s="130"/>
      <c r="P5886" s="99"/>
      <c r="Q5886" s="99"/>
      <c r="R5886" s="99"/>
    </row>
    <row r="5887" spans="5:18" s="65" customFormat="1">
      <c r="E5887" s="130"/>
      <c r="P5887" s="99"/>
      <c r="Q5887" s="99"/>
      <c r="R5887" s="99"/>
    </row>
    <row r="5888" spans="5:18" s="65" customFormat="1">
      <c r="E5888" s="130"/>
      <c r="P5888" s="99"/>
      <c r="Q5888" s="99"/>
      <c r="R5888" s="99"/>
    </row>
    <row r="5889" spans="5:18" s="65" customFormat="1">
      <c r="E5889" s="130"/>
      <c r="P5889" s="99"/>
      <c r="Q5889" s="99"/>
      <c r="R5889" s="99"/>
    </row>
    <row r="5890" spans="5:18" s="65" customFormat="1">
      <c r="E5890" s="130"/>
      <c r="P5890" s="99"/>
      <c r="Q5890" s="99"/>
      <c r="R5890" s="99"/>
    </row>
    <row r="5891" spans="5:18" s="65" customFormat="1">
      <c r="E5891" s="130"/>
      <c r="P5891" s="99"/>
      <c r="Q5891" s="99"/>
      <c r="R5891" s="99"/>
    </row>
    <row r="5892" spans="5:18" s="65" customFormat="1">
      <c r="E5892" s="130"/>
      <c r="P5892" s="99"/>
      <c r="Q5892" s="99"/>
      <c r="R5892" s="99"/>
    </row>
    <row r="5893" spans="5:18" s="65" customFormat="1">
      <c r="E5893" s="130"/>
      <c r="P5893" s="99"/>
      <c r="Q5893" s="99"/>
      <c r="R5893" s="99"/>
    </row>
    <row r="5894" spans="5:18" s="65" customFormat="1">
      <c r="E5894" s="130"/>
      <c r="P5894" s="99"/>
      <c r="Q5894" s="99"/>
      <c r="R5894" s="99"/>
    </row>
    <row r="5895" spans="5:18" s="65" customFormat="1">
      <c r="E5895" s="130"/>
      <c r="P5895" s="99"/>
      <c r="Q5895" s="99"/>
      <c r="R5895" s="99"/>
    </row>
    <row r="5896" spans="5:18" s="65" customFormat="1">
      <c r="E5896" s="130"/>
      <c r="P5896" s="99"/>
      <c r="Q5896" s="99"/>
      <c r="R5896" s="99"/>
    </row>
    <row r="5897" spans="5:18" s="65" customFormat="1">
      <c r="E5897" s="130"/>
      <c r="P5897" s="99"/>
      <c r="Q5897" s="99"/>
      <c r="R5897" s="99"/>
    </row>
    <row r="5898" spans="5:18" s="65" customFormat="1">
      <c r="E5898" s="130"/>
      <c r="P5898" s="99"/>
      <c r="Q5898" s="99"/>
      <c r="R5898" s="99"/>
    </row>
    <row r="5899" spans="5:18" s="65" customFormat="1">
      <c r="E5899" s="130"/>
      <c r="P5899" s="99"/>
      <c r="Q5899" s="99"/>
      <c r="R5899" s="99"/>
    </row>
    <row r="5900" spans="5:18" s="65" customFormat="1">
      <c r="E5900" s="130"/>
      <c r="P5900" s="99"/>
      <c r="Q5900" s="99"/>
      <c r="R5900" s="99"/>
    </row>
    <row r="5901" spans="5:18" s="65" customFormat="1">
      <c r="E5901" s="130"/>
      <c r="P5901" s="99"/>
      <c r="Q5901" s="99"/>
      <c r="R5901" s="99"/>
    </row>
    <row r="5902" spans="5:18" s="65" customFormat="1">
      <c r="E5902" s="130"/>
      <c r="P5902" s="99"/>
      <c r="Q5902" s="99"/>
      <c r="R5902" s="99"/>
    </row>
    <row r="5903" spans="5:18" s="65" customFormat="1">
      <c r="E5903" s="130"/>
      <c r="P5903" s="99"/>
      <c r="Q5903" s="99"/>
      <c r="R5903" s="99"/>
    </row>
    <row r="5904" spans="5:18" s="65" customFormat="1">
      <c r="E5904" s="130"/>
      <c r="P5904" s="99"/>
      <c r="Q5904" s="99"/>
      <c r="R5904" s="99"/>
    </row>
    <row r="5905" spans="5:18" s="65" customFormat="1">
      <c r="E5905" s="130"/>
      <c r="P5905" s="99"/>
      <c r="Q5905" s="99"/>
      <c r="R5905" s="99"/>
    </row>
    <row r="5906" spans="5:18" s="65" customFormat="1">
      <c r="E5906" s="130"/>
      <c r="P5906" s="99"/>
      <c r="Q5906" s="99"/>
      <c r="R5906" s="99"/>
    </row>
    <row r="5907" spans="5:18" s="65" customFormat="1">
      <c r="E5907" s="130"/>
      <c r="P5907" s="99"/>
      <c r="Q5907" s="99"/>
      <c r="R5907" s="99"/>
    </row>
    <row r="5908" spans="5:18" s="65" customFormat="1">
      <c r="E5908" s="130"/>
      <c r="P5908" s="99"/>
      <c r="Q5908" s="99"/>
      <c r="R5908" s="99"/>
    </row>
    <row r="5909" spans="5:18" s="65" customFormat="1">
      <c r="E5909" s="130"/>
      <c r="P5909" s="99"/>
      <c r="Q5909" s="99"/>
      <c r="R5909" s="99"/>
    </row>
    <row r="5910" spans="5:18" s="65" customFormat="1">
      <c r="E5910" s="130"/>
      <c r="P5910" s="99"/>
      <c r="Q5910" s="99"/>
      <c r="R5910" s="99"/>
    </row>
    <row r="5911" spans="5:18" s="65" customFormat="1">
      <c r="E5911" s="130"/>
      <c r="P5911" s="99"/>
      <c r="Q5911" s="99"/>
      <c r="R5911" s="99"/>
    </row>
    <row r="5912" spans="5:18" s="65" customFormat="1">
      <c r="E5912" s="130"/>
      <c r="P5912" s="99"/>
      <c r="Q5912" s="99"/>
      <c r="R5912" s="99"/>
    </row>
    <row r="5913" spans="5:18" s="65" customFormat="1">
      <c r="E5913" s="130"/>
      <c r="P5913" s="99"/>
      <c r="Q5913" s="99"/>
      <c r="R5913" s="99"/>
    </row>
    <row r="5914" spans="5:18" s="65" customFormat="1">
      <c r="E5914" s="130"/>
      <c r="P5914" s="99"/>
      <c r="Q5914" s="99"/>
      <c r="R5914" s="99"/>
    </row>
    <row r="5915" spans="5:18" s="65" customFormat="1">
      <c r="E5915" s="130"/>
      <c r="P5915" s="99"/>
      <c r="Q5915" s="99"/>
      <c r="R5915" s="99"/>
    </row>
    <row r="5916" spans="5:18" s="65" customFormat="1">
      <c r="E5916" s="130"/>
      <c r="P5916" s="99"/>
      <c r="Q5916" s="99"/>
      <c r="R5916" s="99"/>
    </row>
    <row r="5917" spans="5:18" s="65" customFormat="1">
      <c r="E5917" s="130"/>
      <c r="P5917" s="99"/>
      <c r="Q5917" s="99"/>
      <c r="R5917" s="99"/>
    </row>
    <row r="5918" spans="5:18" s="65" customFormat="1">
      <c r="E5918" s="130"/>
      <c r="P5918" s="99"/>
      <c r="Q5918" s="99"/>
      <c r="R5918" s="99"/>
    </row>
    <row r="5919" spans="5:18" s="65" customFormat="1">
      <c r="E5919" s="130"/>
      <c r="P5919" s="99"/>
      <c r="Q5919" s="99"/>
      <c r="R5919" s="99"/>
    </row>
    <row r="5920" spans="5:18" s="65" customFormat="1">
      <c r="E5920" s="130"/>
      <c r="P5920" s="99"/>
      <c r="Q5920" s="99"/>
      <c r="R5920" s="99"/>
    </row>
    <row r="5921" spans="5:18" s="65" customFormat="1">
      <c r="E5921" s="130"/>
      <c r="P5921" s="99"/>
      <c r="Q5921" s="99"/>
      <c r="R5921" s="99"/>
    </row>
    <row r="5922" spans="5:18" s="65" customFormat="1">
      <c r="E5922" s="130"/>
      <c r="P5922" s="99"/>
      <c r="Q5922" s="99"/>
      <c r="R5922" s="99"/>
    </row>
    <row r="5923" spans="5:18" s="65" customFormat="1">
      <c r="E5923" s="130"/>
      <c r="P5923" s="99"/>
      <c r="Q5923" s="99"/>
      <c r="R5923" s="99"/>
    </row>
    <row r="5924" spans="5:18" s="65" customFormat="1">
      <c r="E5924" s="130"/>
      <c r="P5924" s="99"/>
      <c r="Q5924" s="99"/>
      <c r="R5924" s="99"/>
    </row>
    <row r="5925" spans="5:18" s="65" customFormat="1">
      <c r="E5925" s="130"/>
      <c r="P5925" s="99"/>
      <c r="Q5925" s="99"/>
      <c r="R5925" s="99"/>
    </row>
    <row r="5926" spans="5:18" s="65" customFormat="1">
      <c r="E5926" s="130"/>
      <c r="P5926" s="99"/>
      <c r="Q5926" s="99"/>
      <c r="R5926" s="99"/>
    </row>
    <row r="5927" spans="5:18" s="65" customFormat="1">
      <c r="E5927" s="130"/>
      <c r="P5927" s="99"/>
      <c r="Q5927" s="99"/>
      <c r="R5927" s="99"/>
    </row>
    <row r="5928" spans="5:18" s="65" customFormat="1">
      <c r="E5928" s="130"/>
      <c r="P5928" s="99"/>
      <c r="Q5928" s="99"/>
      <c r="R5928" s="99"/>
    </row>
    <row r="5929" spans="5:18" s="65" customFormat="1">
      <c r="E5929" s="130"/>
      <c r="P5929" s="99"/>
      <c r="Q5929" s="99"/>
      <c r="R5929" s="99"/>
    </row>
    <row r="5930" spans="5:18" s="65" customFormat="1">
      <c r="E5930" s="130"/>
      <c r="P5930" s="99"/>
      <c r="Q5930" s="99"/>
      <c r="R5930" s="99"/>
    </row>
    <row r="5931" spans="5:18" s="65" customFormat="1">
      <c r="E5931" s="130"/>
      <c r="P5931" s="99"/>
      <c r="Q5931" s="99"/>
      <c r="R5931" s="99"/>
    </row>
    <row r="5932" spans="5:18" s="65" customFormat="1">
      <c r="E5932" s="130"/>
      <c r="P5932" s="99"/>
      <c r="Q5932" s="99"/>
      <c r="R5932" s="99"/>
    </row>
    <row r="5933" spans="5:18" s="65" customFormat="1">
      <c r="E5933" s="130"/>
      <c r="P5933" s="99"/>
      <c r="Q5933" s="99"/>
      <c r="R5933" s="99"/>
    </row>
    <row r="5934" spans="5:18" s="65" customFormat="1">
      <c r="E5934" s="130"/>
      <c r="P5934" s="99"/>
      <c r="Q5934" s="99"/>
      <c r="R5934" s="99"/>
    </row>
    <row r="5935" spans="5:18" s="65" customFormat="1">
      <c r="E5935" s="130"/>
      <c r="P5935" s="99"/>
      <c r="Q5935" s="99"/>
      <c r="R5935" s="99"/>
    </row>
    <row r="5936" spans="5:18" s="65" customFormat="1">
      <c r="E5936" s="130"/>
      <c r="P5936" s="99"/>
      <c r="Q5936" s="99"/>
      <c r="R5936" s="99"/>
    </row>
    <row r="5937" spans="5:18" s="65" customFormat="1">
      <c r="E5937" s="130"/>
      <c r="P5937" s="99"/>
      <c r="Q5937" s="99"/>
      <c r="R5937" s="99"/>
    </row>
    <row r="5938" spans="5:18" s="65" customFormat="1">
      <c r="E5938" s="130"/>
      <c r="P5938" s="99"/>
      <c r="Q5938" s="99"/>
      <c r="R5938" s="99"/>
    </row>
    <row r="5939" spans="5:18" s="65" customFormat="1">
      <c r="E5939" s="130"/>
      <c r="P5939" s="99"/>
      <c r="Q5939" s="99"/>
      <c r="R5939" s="99"/>
    </row>
    <row r="5940" spans="5:18" s="65" customFormat="1">
      <c r="E5940" s="130"/>
      <c r="P5940" s="99"/>
      <c r="Q5940" s="99"/>
      <c r="R5940" s="99"/>
    </row>
    <row r="5941" spans="5:18" s="65" customFormat="1">
      <c r="E5941" s="130"/>
      <c r="P5941" s="99"/>
      <c r="Q5941" s="99"/>
      <c r="R5941" s="99"/>
    </row>
    <row r="5942" spans="5:18" s="65" customFormat="1">
      <c r="E5942" s="130"/>
      <c r="P5942" s="99"/>
      <c r="Q5942" s="99"/>
      <c r="R5942" s="99"/>
    </row>
    <row r="5943" spans="5:18" s="65" customFormat="1">
      <c r="E5943" s="130"/>
      <c r="P5943" s="99"/>
      <c r="Q5943" s="99"/>
      <c r="R5943" s="99"/>
    </row>
    <row r="5944" spans="5:18" s="65" customFormat="1">
      <c r="E5944" s="130"/>
      <c r="P5944" s="99"/>
      <c r="Q5944" s="99"/>
      <c r="R5944" s="99"/>
    </row>
    <row r="5945" spans="5:18" s="65" customFormat="1">
      <c r="E5945" s="130"/>
      <c r="P5945" s="99"/>
      <c r="Q5945" s="99"/>
      <c r="R5945" s="99"/>
    </row>
    <row r="5946" spans="5:18" s="65" customFormat="1">
      <c r="E5946" s="130"/>
      <c r="P5946" s="99"/>
      <c r="Q5946" s="99"/>
      <c r="R5946" s="99"/>
    </row>
    <row r="5947" spans="5:18" s="65" customFormat="1">
      <c r="E5947" s="130"/>
      <c r="P5947" s="99"/>
      <c r="Q5947" s="99"/>
      <c r="R5947" s="99"/>
    </row>
    <row r="5948" spans="5:18" s="65" customFormat="1">
      <c r="E5948" s="130"/>
      <c r="P5948" s="99"/>
      <c r="Q5948" s="99"/>
      <c r="R5948" s="99"/>
    </row>
    <row r="5949" spans="5:18" s="65" customFormat="1">
      <c r="E5949" s="130"/>
      <c r="P5949" s="99"/>
      <c r="Q5949" s="99"/>
      <c r="R5949" s="99"/>
    </row>
    <row r="5950" spans="5:18" s="65" customFormat="1">
      <c r="E5950" s="130"/>
      <c r="P5950" s="99"/>
      <c r="Q5950" s="99"/>
      <c r="R5950" s="99"/>
    </row>
    <row r="5951" spans="5:18" s="65" customFormat="1">
      <c r="E5951" s="130"/>
      <c r="P5951" s="99"/>
      <c r="Q5951" s="99"/>
      <c r="R5951" s="99"/>
    </row>
    <row r="5952" spans="5:18" s="65" customFormat="1">
      <c r="E5952" s="130"/>
      <c r="P5952" s="99"/>
      <c r="Q5952" s="99"/>
      <c r="R5952" s="99"/>
    </row>
    <row r="5953" spans="5:18" s="65" customFormat="1">
      <c r="E5953" s="130"/>
      <c r="P5953" s="99"/>
      <c r="Q5953" s="99"/>
      <c r="R5953" s="99"/>
    </row>
    <row r="5954" spans="5:18" s="65" customFormat="1">
      <c r="E5954" s="130"/>
      <c r="P5954" s="99"/>
      <c r="Q5954" s="99"/>
      <c r="R5954" s="99"/>
    </row>
    <row r="5955" spans="5:18" s="65" customFormat="1">
      <c r="E5955" s="130"/>
      <c r="P5955" s="99"/>
      <c r="Q5955" s="99"/>
      <c r="R5955" s="99"/>
    </row>
    <row r="5956" spans="5:18" s="65" customFormat="1">
      <c r="E5956" s="130"/>
      <c r="P5956" s="99"/>
      <c r="Q5956" s="99"/>
      <c r="R5956" s="99"/>
    </row>
    <row r="5957" spans="5:18" s="65" customFormat="1">
      <c r="E5957" s="130"/>
      <c r="P5957" s="99"/>
      <c r="Q5957" s="99"/>
      <c r="R5957" s="99"/>
    </row>
    <row r="5958" spans="5:18" s="65" customFormat="1">
      <c r="E5958" s="130"/>
      <c r="P5958" s="99"/>
      <c r="Q5958" s="99"/>
      <c r="R5958" s="99"/>
    </row>
    <row r="5959" spans="5:18" s="65" customFormat="1">
      <c r="E5959" s="130"/>
      <c r="P5959" s="99"/>
      <c r="Q5959" s="99"/>
      <c r="R5959" s="99"/>
    </row>
    <row r="5960" spans="5:18" s="65" customFormat="1">
      <c r="E5960" s="130"/>
      <c r="P5960" s="99"/>
      <c r="Q5960" s="99"/>
      <c r="R5960" s="99"/>
    </row>
    <row r="5961" spans="5:18" s="65" customFormat="1">
      <c r="E5961" s="130"/>
      <c r="P5961" s="99"/>
      <c r="Q5961" s="99"/>
      <c r="R5961" s="99"/>
    </row>
    <row r="5962" spans="5:18" s="65" customFormat="1">
      <c r="E5962" s="130"/>
      <c r="P5962" s="99"/>
      <c r="Q5962" s="99"/>
      <c r="R5962" s="99"/>
    </row>
    <row r="5963" spans="5:18" s="65" customFormat="1">
      <c r="E5963" s="130"/>
      <c r="P5963" s="99"/>
      <c r="Q5963" s="99"/>
      <c r="R5963" s="99"/>
    </row>
    <row r="5964" spans="5:18" s="65" customFormat="1">
      <c r="E5964" s="130"/>
      <c r="P5964" s="99"/>
      <c r="Q5964" s="99"/>
      <c r="R5964" s="99"/>
    </row>
    <row r="5965" spans="5:18" s="65" customFormat="1">
      <c r="E5965" s="130"/>
      <c r="P5965" s="99"/>
      <c r="Q5965" s="99"/>
      <c r="R5965" s="99"/>
    </row>
    <row r="5966" spans="5:18" s="65" customFormat="1">
      <c r="E5966" s="130"/>
      <c r="P5966" s="99"/>
      <c r="Q5966" s="99"/>
      <c r="R5966" s="99"/>
    </row>
    <row r="5967" spans="5:18" s="65" customFormat="1">
      <c r="E5967" s="130"/>
      <c r="P5967" s="99"/>
      <c r="Q5967" s="99"/>
      <c r="R5967" s="99"/>
    </row>
    <row r="5968" spans="5:18" s="65" customFormat="1">
      <c r="E5968" s="130"/>
      <c r="P5968" s="99"/>
      <c r="Q5968" s="99"/>
      <c r="R5968" s="99"/>
    </row>
    <row r="5969" spans="5:18" s="65" customFormat="1">
      <c r="E5969" s="130"/>
      <c r="P5969" s="99"/>
      <c r="Q5969" s="99"/>
      <c r="R5969" s="99"/>
    </row>
    <row r="5970" spans="5:18" s="65" customFormat="1">
      <c r="E5970" s="130"/>
      <c r="P5970" s="99"/>
      <c r="Q5970" s="99"/>
      <c r="R5970" s="99"/>
    </row>
    <row r="5971" spans="5:18" s="65" customFormat="1">
      <c r="E5971" s="130"/>
      <c r="P5971" s="99"/>
      <c r="Q5971" s="99"/>
      <c r="R5971" s="99"/>
    </row>
    <row r="5972" spans="5:18" s="65" customFormat="1">
      <c r="E5972" s="130"/>
      <c r="P5972" s="99"/>
      <c r="Q5972" s="99"/>
      <c r="R5972" s="99"/>
    </row>
    <row r="5973" spans="5:18" s="65" customFormat="1">
      <c r="E5973" s="130"/>
      <c r="P5973" s="99"/>
      <c r="Q5973" s="99"/>
      <c r="R5973" s="99"/>
    </row>
    <row r="5974" spans="5:18" s="65" customFormat="1">
      <c r="E5974" s="130"/>
      <c r="P5974" s="99"/>
      <c r="Q5974" s="99"/>
      <c r="R5974" s="99"/>
    </row>
    <row r="5975" spans="5:18" s="65" customFormat="1">
      <c r="E5975" s="130"/>
      <c r="P5975" s="99"/>
      <c r="Q5975" s="99"/>
      <c r="R5975" s="99"/>
    </row>
    <row r="5976" spans="5:18" s="65" customFormat="1">
      <c r="E5976" s="130"/>
      <c r="P5976" s="99"/>
      <c r="Q5976" s="99"/>
      <c r="R5976" s="99"/>
    </row>
    <row r="5977" spans="5:18" s="65" customFormat="1">
      <c r="E5977" s="130"/>
      <c r="P5977" s="99"/>
      <c r="Q5977" s="99"/>
      <c r="R5977" s="99"/>
    </row>
    <row r="5978" spans="5:18" s="65" customFormat="1">
      <c r="E5978" s="130"/>
      <c r="P5978" s="99"/>
      <c r="Q5978" s="99"/>
      <c r="R5978" s="99"/>
    </row>
    <row r="5979" spans="5:18" s="65" customFormat="1">
      <c r="E5979" s="130"/>
      <c r="P5979" s="99"/>
      <c r="Q5979" s="99"/>
      <c r="R5979" s="99"/>
    </row>
    <row r="5980" spans="5:18" s="65" customFormat="1">
      <c r="E5980" s="130"/>
      <c r="P5980" s="99"/>
      <c r="Q5980" s="99"/>
      <c r="R5980" s="99"/>
    </row>
    <row r="5981" spans="5:18" s="65" customFormat="1">
      <c r="E5981" s="130"/>
      <c r="P5981" s="99"/>
      <c r="Q5981" s="99"/>
      <c r="R5981" s="99"/>
    </row>
    <row r="5982" spans="5:18" s="65" customFormat="1">
      <c r="E5982" s="130"/>
      <c r="P5982" s="99"/>
      <c r="Q5982" s="99"/>
      <c r="R5982" s="99"/>
    </row>
    <row r="5983" spans="5:18" s="65" customFormat="1">
      <c r="E5983" s="130"/>
      <c r="P5983" s="99"/>
      <c r="Q5983" s="99"/>
      <c r="R5983" s="99"/>
    </row>
    <row r="5984" spans="5:18" s="65" customFormat="1">
      <c r="E5984" s="130"/>
      <c r="P5984" s="99"/>
      <c r="Q5984" s="99"/>
      <c r="R5984" s="99"/>
    </row>
    <row r="5985" spans="5:18" s="65" customFormat="1">
      <c r="E5985" s="130"/>
      <c r="P5985" s="99"/>
      <c r="Q5985" s="99"/>
      <c r="R5985" s="99"/>
    </row>
    <row r="5986" spans="5:18" s="65" customFormat="1">
      <c r="E5986" s="130"/>
      <c r="P5986" s="99"/>
      <c r="Q5986" s="99"/>
      <c r="R5986" s="99"/>
    </row>
    <row r="5987" spans="5:18" s="65" customFormat="1">
      <c r="E5987" s="130"/>
      <c r="P5987" s="99"/>
      <c r="Q5987" s="99"/>
      <c r="R5987" s="99"/>
    </row>
    <row r="5988" spans="5:18" s="65" customFormat="1">
      <c r="E5988" s="130"/>
      <c r="P5988" s="99"/>
      <c r="Q5988" s="99"/>
      <c r="R5988" s="99"/>
    </row>
    <row r="5989" spans="5:18" s="65" customFormat="1">
      <c r="E5989" s="130"/>
      <c r="P5989" s="99"/>
      <c r="Q5989" s="99"/>
      <c r="R5989" s="99"/>
    </row>
    <row r="5990" spans="5:18" s="65" customFormat="1">
      <c r="E5990" s="130"/>
      <c r="P5990" s="99"/>
      <c r="Q5990" s="99"/>
      <c r="R5990" s="99"/>
    </row>
    <row r="5991" spans="5:18" s="65" customFormat="1">
      <c r="E5991" s="130"/>
      <c r="P5991" s="99"/>
      <c r="Q5991" s="99"/>
      <c r="R5991" s="99"/>
    </row>
    <row r="5992" spans="5:18" s="65" customFormat="1">
      <c r="E5992" s="130"/>
      <c r="P5992" s="99"/>
      <c r="Q5992" s="99"/>
      <c r="R5992" s="99"/>
    </row>
    <row r="5993" spans="5:18" s="65" customFormat="1">
      <c r="E5993" s="130"/>
      <c r="P5993" s="99"/>
      <c r="Q5993" s="99"/>
      <c r="R5993" s="99"/>
    </row>
    <row r="5994" spans="5:18" s="65" customFormat="1">
      <c r="E5994" s="130"/>
      <c r="P5994" s="99"/>
      <c r="Q5994" s="99"/>
      <c r="R5994" s="99"/>
    </row>
    <row r="5995" spans="5:18" s="65" customFormat="1">
      <c r="E5995" s="130"/>
      <c r="P5995" s="99"/>
      <c r="Q5995" s="99"/>
      <c r="R5995" s="99"/>
    </row>
    <row r="5996" spans="5:18" s="65" customFormat="1">
      <c r="E5996" s="130"/>
      <c r="P5996" s="99"/>
      <c r="Q5996" s="99"/>
      <c r="R5996" s="99"/>
    </row>
    <row r="5997" spans="5:18" s="65" customFormat="1">
      <c r="E5997" s="130"/>
      <c r="P5997" s="99"/>
      <c r="Q5997" s="99"/>
      <c r="R5997" s="99"/>
    </row>
    <row r="5998" spans="5:18" s="65" customFormat="1">
      <c r="E5998" s="130"/>
      <c r="P5998" s="99"/>
      <c r="Q5998" s="99"/>
      <c r="R5998" s="99"/>
    </row>
    <row r="5999" spans="5:18" s="65" customFormat="1">
      <c r="E5999" s="130"/>
      <c r="P5999" s="99"/>
      <c r="Q5999" s="99"/>
      <c r="R5999" s="99"/>
    </row>
    <row r="6000" spans="5:18" s="65" customFormat="1">
      <c r="E6000" s="130"/>
      <c r="P6000" s="99"/>
      <c r="Q6000" s="99"/>
      <c r="R6000" s="99"/>
    </row>
    <row r="6001" spans="5:18" s="65" customFormat="1">
      <c r="E6001" s="130"/>
      <c r="P6001" s="99"/>
      <c r="Q6001" s="99"/>
      <c r="R6001" s="99"/>
    </row>
    <row r="6002" spans="5:18" s="65" customFormat="1">
      <c r="E6002" s="130"/>
      <c r="P6002" s="99"/>
      <c r="Q6002" s="99"/>
      <c r="R6002" s="99"/>
    </row>
    <row r="6003" spans="5:18" s="65" customFormat="1">
      <c r="E6003" s="130"/>
      <c r="P6003" s="99"/>
      <c r="Q6003" s="99"/>
      <c r="R6003" s="99"/>
    </row>
    <row r="6004" spans="5:18" s="65" customFormat="1">
      <c r="E6004" s="130"/>
      <c r="P6004" s="99"/>
      <c r="Q6004" s="99"/>
      <c r="R6004" s="99"/>
    </row>
    <row r="6005" spans="5:18" s="65" customFormat="1">
      <c r="E6005" s="130"/>
      <c r="P6005" s="99"/>
      <c r="Q6005" s="99"/>
      <c r="R6005" s="99"/>
    </row>
    <row r="6006" spans="5:18" s="65" customFormat="1">
      <c r="E6006" s="130"/>
      <c r="P6006" s="99"/>
      <c r="Q6006" s="99"/>
      <c r="R6006" s="99"/>
    </row>
    <row r="6007" spans="5:18" s="65" customFormat="1">
      <c r="E6007" s="130"/>
      <c r="P6007" s="99"/>
      <c r="Q6007" s="99"/>
      <c r="R6007" s="99"/>
    </row>
    <row r="6008" spans="5:18" s="65" customFormat="1">
      <c r="E6008" s="130"/>
      <c r="P6008" s="99"/>
      <c r="Q6008" s="99"/>
      <c r="R6008" s="99"/>
    </row>
    <row r="6009" spans="5:18" s="65" customFormat="1">
      <c r="E6009" s="130"/>
      <c r="P6009" s="99"/>
      <c r="Q6009" s="99"/>
      <c r="R6009" s="99"/>
    </row>
    <row r="6010" spans="5:18" s="65" customFormat="1">
      <c r="E6010" s="130"/>
      <c r="P6010" s="99"/>
      <c r="Q6010" s="99"/>
      <c r="R6010" s="99"/>
    </row>
    <row r="6011" spans="5:18" s="65" customFormat="1">
      <c r="E6011" s="130"/>
      <c r="P6011" s="99"/>
      <c r="Q6011" s="99"/>
      <c r="R6011" s="99"/>
    </row>
    <row r="6012" spans="5:18" s="65" customFormat="1">
      <c r="E6012" s="130"/>
      <c r="P6012" s="99"/>
      <c r="Q6012" s="99"/>
      <c r="R6012" s="99"/>
    </row>
    <row r="6013" spans="5:18" s="65" customFormat="1">
      <c r="E6013" s="130"/>
      <c r="P6013" s="99"/>
      <c r="Q6013" s="99"/>
      <c r="R6013" s="99"/>
    </row>
    <row r="6014" spans="5:18" s="65" customFormat="1">
      <c r="E6014" s="130"/>
      <c r="P6014" s="99"/>
      <c r="Q6014" s="99"/>
      <c r="R6014" s="99"/>
    </row>
    <row r="6015" spans="5:18" s="65" customFormat="1">
      <c r="E6015" s="130"/>
      <c r="P6015" s="99"/>
      <c r="Q6015" s="99"/>
      <c r="R6015" s="99"/>
    </row>
    <row r="6016" spans="5:18" s="65" customFormat="1">
      <c r="E6016" s="130"/>
      <c r="P6016" s="99"/>
      <c r="Q6016" s="99"/>
      <c r="R6016" s="99"/>
    </row>
    <row r="6017" spans="5:18" s="65" customFormat="1">
      <c r="E6017" s="130"/>
      <c r="P6017" s="99"/>
      <c r="Q6017" s="99"/>
      <c r="R6017" s="99"/>
    </row>
    <row r="6018" spans="5:18" s="65" customFormat="1">
      <c r="E6018" s="130"/>
      <c r="P6018" s="99"/>
      <c r="Q6018" s="99"/>
      <c r="R6018" s="99"/>
    </row>
    <row r="6019" spans="5:18" s="65" customFormat="1">
      <c r="E6019" s="130"/>
      <c r="P6019" s="99"/>
      <c r="Q6019" s="99"/>
      <c r="R6019" s="99"/>
    </row>
    <row r="6020" spans="5:18" s="65" customFormat="1">
      <c r="E6020" s="130"/>
      <c r="P6020" s="99"/>
      <c r="Q6020" s="99"/>
      <c r="R6020" s="99"/>
    </row>
    <row r="6021" spans="5:18" s="65" customFormat="1">
      <c r="E6021" s="130"/>
      <c r="P6021" s="99"/>
      <c r="Q6021" s="99"/>
      <c r="R6021" s="99"/>
    </row>
    <row r="6022" spans="5:18" s="65" customFormat="1">
      <c r="E6022" s="130"/>
      <c r="P6022" s="99"/>
      <c r="Q6022" s="99"/>
      <c r="R6022" s="99"/>
    </row>
    <row r="6023" spans="5:18" s="65" customFormat="1">
      <c r="E6023" s="130"/>
      <c r="P6023" s="99"/>
      <c r="Q6023" s="99"/>
      <c r="R6023" s="99"/>
    </row>
    <row r="6024" spans="5:18" s="65" customFormat="1">
      <c r="E6024" s="130"/>
      <c r="P6024" s="99"/>
      <c r="Q6024" s="99"/>
      <c r="R6024" s="99"/>
    </row>
    <row r="6025" spans="5:18" s="65" customFormat="1">
      <c r="E6025" s="130"/>
      <c r="P6025" s="99"/>
      <c r="Q6025" s="99"/>
      <c r="R6025" s="99"/>
    </row>
    <row r="6026" spans="5:18" s="65" customFormat="1">
      <c r="E6026" s="130"/>
      <c r="P6026" s="99"/>
      <c r="Q6026" s="99"/>
      <c r="R6026" s="99"/>
    </row>
    <row r="6027" spans="5:18" s="65" customFormat="1">
      <c r="E6027" s="130"/>
      <c r="P6027" s="99"/>
      <c r="Q6027" s="99"/>
      <c r="R6027" s="99"/>
    </row>
    <row r="6028" spans="5:18" s="65" customFormat="1">
      <c r="E6028" s="130"/>
      <c r="P6028" s="99"/>
      <c r="Q6028" s="99"/>
      <c r="R6028" s="99"/>
    </row>
    <row r="6029" spans="5:18" s="65" customFormat="1">
      <c r="E6029" s="130"/>
      <c r="P6029" s="99"/>
      <c r="Q6029" s="99"/>
      <c r="R6029" s="99"/>
    </row>
    <row r="6030" spans="5:18" s="65" customFormat="1">
      <c r="E6030" s="130"/>
      <c r="P6030" s="99"/>
      <c r="Q6030" s="99"/>
      <c r="R6030" s="99"/>
    </row>
    <row r="6031" spans="5:18" s="65" customFormat="1">
      <c r="E6031" s="130"/>
      <c r="P6031" s="99"/>
      <c r="Q6031" s="99"/>
      <c r="R6031" s="99"/>
    </row>
    <row r="6032" spans="5:18" s="65" customFormat="1">
      <c r="E6032" s="130"/>
      <c r="P6032" s="99"/>
      <c r="Q6032" s="99"/>
      <c r="R6032" s="99"/>
    </row>
    <row r="6033" spans="5:18" s="65" customFormat="1">
      <c r="E6033" s="130"/>
      <c r="P6033" s="99"/>
      <c r="Q6033" s="99"/>
      <c r="R6033" s="99"/>
    </row>
    <row r="6034" spans="5:18" s="65" customFormat="1">
      <c r="E6034" s="130"/>
      <c r="P6034" s="99"/>
      <c r="Q6034" s="99"/>
      <c r="R6034" s="99"/>
    </row>
    <row r="6035" spans="5:18" s="65" customFormat="1">
      <c r="E6035" s="130"/>
      <c r="P6035" s="99"/>
      <c r="Q6035" s="99"/>
      <c r="R6035" s="99"/>
    </row>
    <row r="6036" spans="5:18" s="65" customFormat="1">
      <c r="E6036" s="130"/>
      <c r="P6036" s="99"/>
      <c r="Q6036" s="99"/>
      <c r="R6036" s="99"/>
    </row>
    <row r="6037" spans="5:18" s="65" customFormat="1">
      <c r="E6037" s="130"/>
      <c r="P6037" s="99"/>
      <c r="Q6037" s="99"/>
      <c r="R6037" s="99"/>
    </row>
    <row r="6038" spans="5:18" s="65" customFormat="1">
      <c r="E6038" s="130"/>
      <c r="P6038" s="99"/>
      <c r="Q6038" s="99"/>
      <c r="R6038" s="99"/>
    </row>
    <row r="6039" spans="5:18" s="65" customFormat="1">
      <c r="E6039" s="130"/>
      <c r="P6039" s="99"/>
      <c r="Q6039" s="99"/>
      <c r="R6039" s="99"/>
    </row>
    <row r="6040" spans="5:18" s="65" customFormat="1">
      <c r="E6040" s="130"/>
      <c r="P6040" s="99"/>
      <c r="Q6040" s="99"/>
      <c r="R6040" s="99"/>
    </row>
    <row r="6041" spans="5:18" s="65" customFormat="1">
      <c r="E6041" s="130"/>
      <c r="P6041" s="99"/>
      <c r="Q6041" s="99"/>
      <c r="R6041" s="99"/>
    </row>
    <row r="6042" spans="5:18" s="65" customFormat="1">
      <c r="E6042" s="130"/>
      <c r="P6042" s="99"/>
      <c r="Q6042" s="99"/>
      <c r="R6042" s="99"/>
    </row>
    <row r="6043" spans="5:18" s="65" customFormat="1">
      <c r="E6043" s="130"/>
      <c r="P6043" s="99"/>
      <c r="Q6043" s="99"/>
      <c r="R6043" s="99"/>
    </row>
    <row r="6044" spans="5:18" s="65" customFormat="1">
      <c r="E6044" s="130"/>
      <c r="P6044" s="99"/>
      <c r="Q6044" s="99"/>
      <c r="R6044" s="99"/>
    </row>
    <row r="6045" spans="5:18" s="65" customFormat="1">
      <c r="E6045" s="130"/>
      <c r="P6045" s="99"/>
      <c r="Q6045" s="99"/>
      <c r="R6045" s="99"/>
    </row>
    <row r="6046" spans="5:18" s="65" customFormat="1">
      <c r="E6046" s="130"/>
      <c r="P6046" s="99"/>
      <c r="Q6046" s="99"/>
      <c r="R6046" s="99"/>
    </row>
    <row r="6047" spans="5:18" s="65" customFormat="1">
      <c r="E6047" s="130"/>
      <c r="P6047" s="99"/>
      <c r="Q6047" s="99"/>
      <c r="R6047" s="99"/>
    </row>
    <row r="6048" spans="5:18" s="65" customFormat="1">
      <c r="E6048" s="130"/>
      <c r="P6048" s="99"/>
      <c r="Q6048" s="99"/>
      <c r="R6048" s="99"/>
    </row>
    <row r="6049" spans="5:18" s="65" customFormat="1">
      <c r="E6049" s="130"/>
      <c r="P6049" s="99"/>
      <c r="Q6049" s="99"/>
      <c r="R6049" s="99"/>
    </row>
    <row r="6050" spans="5:18" s="65" customFormat="1">
      <c r="E6050" s="130"/>
      <c r="P6050" s="99"/>
      <c r="Q6050" s="99"/>
      <c r="R6050" s="99"/>
    </row>
    <row r="6051" spans="5:18" s="65" customFormat="1">
      <c r="E6051" s="130"/>
      <c r="P6051" s="99"/>
      <c r="Q6051" s="99"/>
      <c r="R6051" s="99"/>
    </row>
    <row r="6052" spans="5:18" s="65" customFormat="1">
      <c r="E6052" s="130"/>
      <c r="P6052" s="99"/>
      <c r="Q6052" s="99"/>
      <c r="R6052" s="99"/>
    </row>
    <row r="6053" spans="5:18" s="65" customFormat="1">
      <c r="E6053" s="130"/>
      <c r="P6053" s="99"/>
      <c r="Q6053" s="99"/>
      <c r="R6053" s="99"/>
    </row>
    <row r="6054" spans="5:18" s="65" customFormat="1">
      <c r="E6054" s="130"/>
      <c r="P6054" s="99"/>
      <c r="Q6054" s="99"/>
      <c r="R6054" s="99"/>
    </row>
    <row r="6055" spans="5:18" s="65" customFormat="1">
      <c r="E6055" s="130"/>
      <c r="P6055" s="99"/>
      <c r="Q6055" s="99"/>
      <c r="R6055" s="99"/>
    </row>
    <row r="6056" spans="5:18" s="65" customFormat="1">
      <c r="E6056" s="130"/>
      <c r="P6056" s="99"/>
      <c r="Q6056" s="99"/>
      <c r="R6056" s="99"/>
    </row>
    <row r="6057" spans="5:18" s="65" customFormat="1">
      <c r="E6057" s="130"/>
      <c r="P6057" s="99"/>
      <c r="Q6057" s="99"/>
      <c r="R6057" s="99"/>
    </row>
    <row r="6058" spans="5:18" s="65" customFormat="1">
      <c r="E6058" s="130"/>
      <c r="P6058" s="99"/>
      <c r="Q6058" s="99"/>
      <c r="R6058" s="99"/>
    </row>
    <row r="6059" spans="5:18" s="65" customFormat="1">
      <c r="E6059" s="130"/>
      <c r="P6059" s="99"/>
      <c r="Q6059" s="99"/>
      <c r="R6059" s="99"/>
    </row>
    <row r="6060" spans="5:18" s="65" customFormat="1">
      <c r="E6060" s="130"/>
      <c r="P6060" s="99"/>
      <c r="Q6060" s="99"/>
      <c r="R6060" s="99"/>
    </row>
    <row r="6061" spans="5:18" s="65" customFormat="1">
      <c r="E6061" s="130"/>
      <c r="P6061" s="99"/>
      <c r="Q6061" s="99"/>
      <c r="R6061" s="99"/>
    </row>
    <row r="6062" spans="5:18" s="65" customFormat="1">
      <c r="E6062" s="130"/>
      <c r="P6062" s="99"/>
      <c r="Q6062" s="99"/>
      <c r="R6062" s="99"/>
    </row>
    <row r="6063" spans="5:18" s="65" customFormat="1">
      <c r="E6063" s="130"/>
      <c r="P6063" s="99"/>
      <c r="Q6063" s="99"/>
      <c r="R6063" s="99"/>
    </row>
    <row r="6064" spans="5:18" s="65" customFormat="1">
      <c r="E6064" s="130"/>
      <c r="P6064" s="99"/>
      <c r="Q6064" s="99"/>
      <c r="R6064" s="99"/>
    </row>
    <row r="6065" spans="5:18" s="65" customFormat="1">
      <c r="E6065" s="130"/>
      <c r="P6065" s="99"/>
      <c r="Q6065" s="99"/>
      <c r="R6065" s="99"/>
    </row>
    <row r="6066" spans="5:18" s="65" customFormat="1">
      <c r="E6066" s="130"/>
      <c r="P6066" s="99"/>
      <c r="Q6066" s="99"/>
      <c r="R6066" s="99"/>
    </row>
    <row r="6067" spans="5:18" s="65" customFormat="1">
      <c r="E6067" s="130"/>
      <c r="P6067" s="99"/>
      <c r="Q6067" s="99"/>
      <c r="R6067" s="99"/>
    </row>
    <row r="6068" spans="5:18" s="65" customFormat="1">
      <c r="E6068" s="130"/>
      <c r="P6068" s="99"/>
      <c r="Q6068" s="99"/>
      <c r="R6068" s="99"/>
    </row>
    <row r="6069" spans="5:18" s="65" customFormat="1">
      <c r="E6069" s="130"/>
      <c r="P6069" s="99"/>
      <c r="Q6069" s="99"/>
      <c r="R6069" s="99"/>
    </row>
    <row r="6070" spans="5:18" s="65" customFormat="1">
      <c r="E6070" s="130"/>
      <c r="P6070" s="99"/>
      <c r="Q6070" s="99"/>
      <c r="R6070" s="99"/>
    </row>
    <row r="6071" spans="5:18" s="65" customFormat="1">
      <c r="E6071" s="130"/>
      <c r="P6071" s="99"/>
      <c r="Q6071" s="99"/>
      <c r="R6071" s="99"/>
    </row>
    <row r="6072" spans="5:18" s="65" customFormat="1">
      <c r="E6072" s="130"/>
      <c r="P6072" s="99"/>
      <c r="Q6072" s="99"/>
      <c r="R6072" s="99"/>
    </row>
    <row r="6073" spans="5:18" s="65" customFormat="1">
      <c r="E6073" s="130"/>
      <c r="P6073" s="99"/>
      <c r="Q6073" s="99"/>
      <c r="R6073" s="99"/>
    </row>
    <row r="6074" spans="5:18" s="65" customFormat="1">
      <c r="E6074" s="130"/>
      <c r="P6074" s="99"/>
      <c r="Q6074" s="99"/>
      <c r="R6074" s="99"/>
    </row>
    <row r="6075" spans="5:18" s="65" customFormat="1">
      <c r="E6075" s="130"/>
      <c r="P6075" s="99"/>
      <c r="Q6075" s="99"/>
      <c r="R6075" s="99"/>
    </row>
    <row r="6076" spans="5:18" s="65" customFormat="1">
      <c r="E6076" s="130"/>
      <c r="P6076" s="99"/>
      <c r="Q6076" s="99"/>
      <c r="R6076" s="99"/>
    </row>
    <row r="6077" spans="5:18" s="65" customFormat="1">
      <c r="E6077" s="130"/>
      <c r="P6077" s="99"/>
      <c r="Q6077" s="99"/>
      <c r="R6077" s="99"/>
    </row>
    <row r="6078" spans="5:18" s="65" customFormat="1">
      <c r="E6078" s="130"/>
      <c r="P6078" s="99"/>
      <c r="Q6078" s="99"/>
      <c r="R6078" s="99"/>
    </row>
    <row r="6079" spans="5:18" s="65" customFormat="1">
      <c r="E6079" s="130"/>
      <c r="P6079" s="99"/>
      <c r="Q6079" s="99"/>
      <c r="R6079" s="99"/>
    </row>
    <row r="6080" spans="5:18" s="65" customFormat="1">
      <c r="E6080" s="130"/>
      <c r="P6080" s="99"/>
      <c r="Q6080" s="99"/>
      <c r="R6080" s="99"/>
    </row>
    <row r="6081" spans="5:18" s="65" customFormat="1">
      <c r="E6081" s="130"/>
      <c r="P6081" s="99"/>
      <c r="Q6081" s="99"/>
      <c r="R6081" s="99"/>
    </row>
    <row r="6082" spans="5:18" s="65" customFormat="1">
      <c r="E6082" s="130"/>
      <c r="P6082" s="99"/>
      <c r="Q6082" s="99"/>
      <c r="R6082" s="99"/>
    </row>
    <row r="6083" spans="5:18" s="65" customFormat="1">
      <c r="E6083" s="130"/>
      <c r="P6083" s="99"/>
      <c r="Q6083" s="99"/>
      <c r="R6083" s="99"/>
    </row>
    <row r="6084" spans="5:18" s="65" customFormat="1">
      <c r="E6084" s="130"/>
      <c r="P6084" s="99"/>
      <c r="Q6084" s="99"/>
      <c r="R6084" s="99"/>
    </row>
    <row r="6085" spans="5:18" s="65" customFormat="1">
      <c r="E6085" s="130"/>
      <c r="P6085" s="99"/>
      <c r="Q6085" s="99"/>
      <c r="R6085" s="99"/>
    </row>
    <row r="6086" spans="5:18" s="65" customFormat="1">
      <c r="E6086" s="130"/>
      <c r="P6086" s="99"/>
      <c r="Q6086" s="99"/>
      <c r="R6086" s="99"/>
    </row>
    <row r="6087" spans="5:18" s="65" customFormat="1">
      <c r="E6087" s="130"/>
      <c r="P6087" s="99"/>
      <c r="Q6087" s="99"/>
      <c r="R6087" s="99"/>
    </row>
    <row r="6088" spans="5:18" s="65" customFormat="1">
      <c r="E6088" s="130"/>
      <c r="P6088" s="99"/>
      <c r="Q6088" s="99"/>
      <c r="R6088" s="99"/>
    </row>
    <row r="6089" spans="5:18" s="65" customFormat="1">
      <c r="E6089" s="130"/>
      <c r="P6089" s="99"/>
      <c r="Q6089" s="99"/>
      <c r="R6089" s="99"/>
    </row>
    <row r="6090" spans="5:18" s="65" customFormat="1">
      <c r="E6090" s="130"/>
      <c r="P6090" s="99"/>
      <c r="Q6090" s="99"/>
      <c r="R6090" s="99"/>
    </row>
    <row r="6091" spans="5:18" s="65" customFormat="1">
      <c r="E6091" s="130"/>
      <c r="P6091" s="99"/>
      <c r="Q6091" s="99"/>
      <c r="R6091" s="99"/>
    </row>
    <row r="6092" spans="5:18" s="65" customFormat="1">
      <c r="E6092" s="130"/>
      <c r="P6092" s="99"/>
      <c r="Q6092" s="99"/>
      <c r="R6092" s="99"/>
    </row>
    <row r="6093" spans="5:18" s="65" customFormat="1">
      <c r="E6093" s="130"/>
      <c r="P6093" s="99"/>
      <c r="Q6093" s="99"/>
      <c r="R6093" s="99"/>
    </row>
    <row r="6094" spans="5:18" s="65" customFormat="1">
      <c r="E6094" s="130"/>
      <c r="P6094" s="99"/>
      <c r="Q6094" s="99"/>
      <c r="R6094" s="99"/>
    </row>
    <row r="6095" spans="5:18" s="65" customFormat="1">
      <c r="E6095" s="130"/>
      <c r="P6095" s="99"/>
      <c r="Q6095" s="99"/>
      <c r="R6095" s="99"/>
    </row>
    <row r="6096" spans="5:18" s="65" customFormat="1">
      <c r="E6096" s="130"/>
      <c r="P6096" s="99"/>
      <c r="Q6096" s="99"/>
      <c r="R6096" s="99"/>
    </row>
    <row r="6097" spans="5:18" s="65" customFormat="1">
      <c r="E6097" s="130"/>
      <c r="P6097" s="99"/>
      <c r="Q6097" s="99"/>
      <c r="R6097" s="99"/>
    </row>
    <row r="6098" spans="5:18" s="65" customFormat="1">
      <c r="E6098" s="130"/>
      <c r="P6098" s="99"/>
      <c r="Q6098" s="99"/>
      <c r="R6098" s="99"/>
    </row>
    <row r="6099" spans="5:18" s="65" customFormat="1">
      <c r="E6099" s="130"/>
      <c r="P6099" s="99"/>
      <c r="Q6099" s="99"/>
      <c r="R6099" s="99"/>
    </row>
    <row r="6100" spans="5:18" s="65" customFormat="1">
      <c r="E6100" s="130"/>
      <c r="P6100" s="99"/>
      <c r="Q6100" s="99"/>
      <c r="R6100" s="99"/>
    </row>
    <row r="6101" spans="5:18" s="65" customFormat="1">
      <c r="E6101" s="130"/>
      <c r="P6101" s="99"/>
      <c r="Q6101" s="99"/>
      <c r="R6101" s="99"/>
    </row>
    <row r="6102" spans="5:18" s="65" customFormat="1">
      <c r="E6102" s="130"/>
      <c r="P6102" s="99"/>
      <c r="Q6102" s="99"/>
      <c r="R6102" s="99"/>
    </row>
    <row r="6103" spans="5:18" s="65" customFormat="1">
      <c r="E6103" s="130"/>
      <c r="P6103" s="99"/>
      <c r="Q6103" s="99"/>
      <c r="R6103" s="99"/>
    </row>
    <row r="6104" spans="5:18" s="65" customFormat="1">
      <c r="E6104" s="130"/>
      <c r="P6104" s="99"/>
      <c r="Q6104" s="99"/>
      <c r="R6104" s="99"/>
    </row>
    <row r="6105" spans="5:18" s="65" customFormat="1">
      <c r="E6105" s="130"/>
      <c r="P6105" s="99"/>
      <c r="Q6105" s="99"/>
      <c r="R6105" s="99"/>
    </row>
    <row r="6106" spans="5:18" s="65" customFormat="1">
      <c r="E6106" s="130"/>
      <c r="P6106" s="99"/>
      <c r="Q6106" s="99"/>
      <c r="R6106" s="99"/>
    </row>
    <row r="6107" spans="5:18" s="65" customFormat="1">
      <c r="E6107" s="130"/>
      <c r="P6107" s="99"/>
      <c r="Q6107" s="99"/>
      <c r="R6107" s="99"/>
    </row>
    <row r="6108" spans="5:18" s="65" customFormat="1">
      <c r="E6108" s="130"/>
      <c r="P6108" s="99"/>
      <c r="Q6108" s="99"/>
      <c r="R6108" s="99"/>
    </row>
    <row r="6109" spans="5:18" s="65" customFormat="1">
      <c r="E6109" s="130"/>
      <c r="P6109" s="99"/>
      <c r="Q6109" s="99"/>
      <c r="R6109" s="99"/>
    </row>
    <row r="6110" spans="5:18" s="65" customFormat="1">
      <c r="E6110" s="130"/>
      <c r="P6110" s="99"/>
      <c r="Q6110" s="99"/>
      <c r="R6110" s="99"/>
    </row>
    <row r="6111" spans="5:18" s="65" customFormat="1">
      <c r="E6111" s="130"/>
      <c r="P6111" s="99"/>
      <c r="Q6111" s="99"/>
      <c r="R6111" s="99"/>
    </row>
    <row r="6112" spans="5:18" s="65" customFormat="1">
      <c r="E6112" s="130"/>
      <c r="P6112" s="99"/>
      <c r="Q6112" s="99"/>
      <c r="R6112" s="99"/>
    </row>
    <row r="6113" spans="5:18" s="65" customFormat="1">
      <c r="E6113" s="130"/>
      <c r="P6113" s="99"/>
      <c r="Q6113" s="99"/>
      <c r="R6113" s="99"/>
    </row>
    <row r="6114" spans="5:18" s="65" customFormat="1">
      <c r="E6114" s="130"/>
      <c r="P6114" s="99"/>
      <c r="Q6114" s="99"/>
      <c r="R6114" s="99"/>
    </row>
    <row r="6115" spans="5:18" s="65" customFormat="1">
      <c r="E6115" s="130"/>
      <c r="P6115" s="99"/>
      <c r="Q6115" s="99"/>
      <c r="R6115" s="99"/>
    </row>
    <row r="6116" spans="5:18" s="65" customFormat="1">
      <c r="E6116" s="130"/>
      <c r="P6116" s="99"/>
      <c r="Q6116" s="99"/>
      <c r="R6116" s="99"/>
    </row>
    <row r="6117" spans="5:18" s="65" customFormat="1">
      <c r="E6117" s="130"/>
      <c r="P6117" s="99"/>
      <c r="Q6117" s="99"/>
      <c r="R6117" s="99"/>
    </row>
    <row r="6118" spans="5:18" s="65" customFormat="1">
      <c r="E6118" s="130"/>
      <c r="P6118" s="99"/>
      <c r="Q6118" s="99"/>
      <c r="R6118" s="99"/>
    </row>
    <row r="6119" spans="5:18" s="65" customFormat="1">
      <c r="E6119" s="130"/>
      <c r="P6119" s="99"/>
      <c r="Q6119" s="99"/>
      <c r="R6119" s="99"/>
    </row>
    <row r="6120" spans="5:18" s="65" customFormat="1">
      <c r="E6120" s="130"/>
      <c r="P6120" s="99"/>
      <c r="Q6120" s="99"/>
      <c r="R6120" s="99"/>
    </row>
    <row r="6121" spans="5:18" s="65" customFormat="1">
      <c r="E6121" s="130"/>
      <c r="P6121" s="99"/>
      <c r="Q6121" s="99"/>
      <c r="R6121" s="99"/>
    </row>
    <row r="6122" spans="5:18" s="65" customFormat="1">
      <c r="E6122" s="130"/>
      <c r="P6122" s="99"/>
      <c r="Q6122" s="99"/>
      <c r="R6122" s="99"/>
    </row>
    <row r="6123" spans="5:18" s="65" customFormat="1">
      <c r="E6123" s="130"/>
      <c r="P6123" s="99"/>
      <c r="Q6123" s="99"/>
      <c r="R6123" s="99"/>
    </row>
    <row r="6124" spans="5:18" s="65" customFormat="1">
      <c r="E6124" s="130"/>
      <c r="P6124" s="99"/>
      <c r="Q6124" s="99"/>
      <c r="R6124" s="99"/>
    </row>
    <row r="6125" spans="5:18" s="65" customFormat="1">
      <c r="E6125" s="130"/>
      <c r="P6125" s="99"/>
      <c r="Q6125" s="99"/>
      <c r="R6125" s="99"/>
    </row>
    <row r="6126" spans="5:18" s="65" customFormat="1">
      <c r="E6126" s="130"/>
      <c r="P6126" s="99"/>
      <c r="Q6126" s="99"/>
      <c r="R6126" s="99"/>
    </row>
    <row r="6127" spans="5:18" s="65" customFormat="1">
      <c r="E6127" s="130"/>
      <c r="P6127" s="99"/>
      <c r="Q6127" s="99"/>
      <c r="R6127" s="99"/>
    </row>
    <row r="6128" spans="5:18" s="65" customFormat="1">
      <c r="E6128" s="130"/>
      <c r="P6128" s="99"/>
      <c r="Q6128" s="99"/>
      <c r="R6128" s="99"/>
    </row>
    <row r="6129" spans="5:18" s="65" customFormat="1">
      <c r="E6129" s="130"/>
      <c r="P6129" s="99"/>
      <c r="Q6129" s="99"/>
      <c r="R6129" s="99"/>
    </row>
    <row r="6130" spans="5:18" s="65" customFormat="1">
      <c r="E6130" s="130"/>
      <c r="P6130" s="99"/>
      <c r="Q6130" s="99"/>
      <c r="R6130" s="99"/>
    </row>
    <row r="6131" spans="5:18" s="65" customFormat="1">
      <c r="E6131" s="130"/>
      <c r="P6131" s="99"/>
      <c r="Q6131" s="99"/>
      <c r="R6131" s="99"/>
    </row>
    <row r="6132" spans="5:18" s="65" customFormat="1">
      <c r="E6132" s="130"/>
      <c r="P6132" s="99"/>
      <c r="Q6132" s="99"/>
      <c r="R6132" s="99"/>
    </row>
    <row r="6133" spans="5:18" s="65" customFormat="1">
      <c r="E6133" s="130"/>
      <c r="P6133" s="99"/>
      <c r="Q6133" s="99"/>
      <c r="R6133" s="99"/>
    </row>
    <row r="6134" spans="5:18" s="65" customFormat="1">
      <c r="E6134" s="130"/>
      <c r="P6134" s="99"/>
      <c r="Q6134" s="99"/>
      <c r="R6134" s="99"/>
    </row>
    <row r="6135" spans="5:18" s="65" customFormat="1">
      <c r="E6135" s="130"/>
      <c r="P6135" s="99"/>
      <c r="Q6135" s="99"/>
      <c r="R6135" s="99"/>
    </row>
    <row r="6136" spans="5:18" s="65" customFormat="1">
      <c r="E6136" s="130"/>
      <c r="P6136" s="99"/>
      <c r="Q6136" s="99"/>
      <c r="R6136" s="99"/>
    </row>
    <row r="6137" spans="5:18" s="65" customFormat="1">
      <c r="E6137" s="130"/>
      <c r="P6137" s="99"/>
      <c r="Q6137" s="99"/>
      <c r="R6137" s="99"/>
    </row>
    <row r="6138" spans="5:18" s="65" customFormat="1">
      <c r="E6138" s="130"/>
      <c r="P6138" s="99"/>
      <c r="Q6138" s="99"/>
      <c r="R6138" s="99"/>
    </row>
    <row r="6139" spans="5:18" s="65" customFormat="1">
      <c r="E6139" s="130"/>
      <c r="P6139" s="99"/>
      <c r="Q6139" s="99"/>
      <c r="R6139" s="99"/>
    </row>
    <row r="6140" spans="5:18" s="65" customFormat="1">
      <c r="E6140" s="130"/>
      <c r="P6140" s="99"/>
      <c r="Q6140" s="99"/>
      <c r="R6140" s="99"/>
    </row>
    <row r="6141" spans="5:18" s="65" customFormat="1">
      <c r="E6141" s="130"/>
      <c r="P6141" s="99"/>
      <c r="Q6141" s="99"/>
      <c r="R6141" s="99"/>
    </row>
    <row r="6142" spans="5:18" s="65" customFormat="1">
      <c r="E6142" s="130"/>
      <c r="P6142" s="99"/>
      <c r="Q6142" s="99"/>
      <c r="R6142" s="99"/>
    </row>
    <row r="6143" spans="5:18" s="65" customFormat="1">
      <c r="E6143" s="130"/>
      <c r="P6143" s="99"/>
      <c r="Q6143" s="99"/>
      <c r="R6143" s="99"/>
    </row>
    <row r="6144" spans="5:18" s="65" customFormat="1">
      <c r="E6144" s="130"/>
      <c r="P6144" s="99"/>
      <c r="Q6144" s="99"/>
      <c r="R6144" s="99"/>
    </row>
    <row r="6145" spans="5:18" s="65" customFormat="1">
      <c r="E6145" s="130"/>
      <c r="P6145" s="99"/>
      <c r="Q6145" s="99"/>
      <c r="R6145" s="99"/>
    </row>
    <row r="6146" spans="5:18" s="65" customFormat="1">
      <c r="E6146" s="130"/>
      <c r="P6146" s="99"/>
      <c r="Q6146" s="99"/>
      <c r="R6146" s="99"/>
    </row>
    <row r="6147" spans="5:18" s="65" customFormat="1">
      <c r="E6147" s="130"/>
      <c r="P6147" s="99"/>
      <c r="Q6147" s="99"/>
      <c r="R6147" s="99"/>
    </row>
    <row r="6148" spans="5:18" s="65" customFormat="1">
      <c r="E6148" s="130"/>
      <c r="P6148" s="99"/>
      <c r="Q6148" s="99"/>
      <c r="R6148" s="99"/>
    </row>
    <row r="6149" spans="5:18" s="65" customFormat="1">
      <c r="E6149" s="130"/>
      <c r="P6149" s="99"/>
      <c r="Q6149" s="99"/>
      <c r="R6149" s="99"/>
    </row>
    <row r="6150" spans="5:18" s="65" customFormat="1">
      <c r="E6150" s="130"/>
      <c r="P6150" s="99"/>
      <c r="Q6150" s="99"/>
      <c r="R6150" s="99"/>
    </row>
    <row r="6151" spans="5:18" s="65" customFormat="1">
      <c r="E6151" s="130"/>
      <c r="P6151" s="99"/>
      <c r="Q6151" s="99"/>
      <c r="R6151" s="99"/>
    </row>
    <row r="6152" spans="5:18" s="65" customFormat="1">
      <c r="E6152" s="130"/>
      <c r="P6152" s="99"/>
      <c r="Q6152" s="99"/>
      <c r="R6152" s="99"/>
    </row>
    <row r="6153" spans="5:18" s="65" customFormat="1">
      <c r="E6153" s="130"/>
      <c r="P6153" s="99"/>
      <c r="Q6153" s="99"/>
      <c r="R6153" s="99"/>
    </row>
    <row r="6154" spans="5:18" s="65" customFormat="1">
      <c r="E6154" s="130"/>
      <c r="P6154" s="99"/>
      <c r="Q6154" s="99"/>
      <c r="R6154" s="99"/>
    </row>
    <row r="6155" spans="5:18" s="65" customFormat="1">
      <c r="E6155" s="130"/>
      <c r="P6155" s="99"/>
      <c r="Q6155" s="99"/>
      <c r="R6155" s="99"/>
    </row>
    <row r="6156" spans="5:18" s="65" customFormat="1">
      <c r="E6156" s="130"/>
      <c r="P6156" s="99"/>
      <c r="Q6156" s="99"/>
      <c r="R6156" s="99"/>
    </row>
    <row r="6157" spans="5:18" s="65" customFormat="1">
      <c r="E6157" s="130"/>
      <c r="P6157" s="99"/>
      <c r="Q6157" s="99"/>
      <c r="R6157" s="99"/>
    </row>
    <row r="6158" spans="5:18" s="65" customFormat="1">
      <c r="E6158" s="130"/>
      <c r="P6158" s="99"/>
      <c r="Q6158" s="99"/>
      <c r="R6158" s="99"/>
    </row>
    <row r="6159" spans="5:18" s="65" customFormat="1">
      <c r="E6159" s="130"/>
      <c r="P6159" s="99"/>
      <c r="Q6159" s="99"/>
      <c r="R6159" s="99"/>
    </row>
    <row r="6160" spans="5:18" s="65" customFormat="1">
      <c r="E6160" s="130"/>
      <c r="P6160" s="99"/>
      <c r="Q6160" s="99"/>
      <c r="R6160" s="99"/>
    </row>
    <row r="6161" spans="5:18" s="65" customFormat="1">
      <c r="E6161" s="130"/>
      <c r="P6161" s="99"/>
      <c r="Q6161" s="99"/>
      <c r="R6161" s="99"/>
    </row>
    <row r="6162" spans="5:18" s="65" customFormat="1">
      <c r="E6162" s="130"/>
      <c r="P6162" s="99"/>
      <c r="Q6162" s="99"/>
      <c r="R6162" s="99"/>
    </row>
    <row r="6163" spans="5:18" s="65" customFormat="1">
      <c r="E6163" s="130"/>
      <c r="P6163" s="99"/>
      <c r="Q6163" s="99"/>
      <c r="R6163" s="99"/>
    </row>
    <row r="6164" spans="5:18" s="65" customFormat="1">
      <c r="E6164" s="130"/>
      <c r="P6164" s="99"/>
      <c r="Q6164" s="99"/>
      <c r="R6164" s="99"/>
    </row>
    <row r="6165" spans="5:18" s="65" customFormat="1">
      <c r="E6165" s="130"/>
      <c r="P6165" s="99"/>
      <c r="Q6165" s="99"/>
      <c r="R6165" s="99"/>
    </row>
    <row r="6166" spans="5:18" s="65" customFormat="1">
      <c r="E6166" s="130"/>
      <c r="P6166" s="99"/>
      <c r="Q6166" s="99"/>
      <c r="R6166" s="99"/>
    </row>
    <row r="6167" spans="5:18" s="65" customFormat="1">
      <c r="E6167" s="130"/>
      <c r="P6167" s="99"/>
      <c r="Q6167" s="99"/>
      <c r="R6167" s="99"/>
    </row>
    <row r="6168" spans="5:18" s="65" customFormat="1">
      <c r="E6168" s="130"/>
      <c r="P6168" s="99"/>
      <c r="Q6168" s="99"/>
      <c r="R6168" s="99"/>
    </row>
    <row r="6169" spans="5:18" s="65" customFormat="1">
      <c r="E6169" s="130"/>
      <c r="P6169" s="99"/>
      <c r="Q6169" s="99"/>
      <c r="R6169" s="99"/>
    </row>
    <row r="6170" spans="5:18" s="65" customFormat="1">
      <c r="E6170" s="130"/>
      <c r="P6170" s="99"/>
      <c r="Q6170" s="99"/>
      <c r="R6170" s="99"/>
    </row>
    <row r="6171" spans="5:18" s="65" customFormat="1">
      <c r="E6171" s="130"/>
      <c r="P6171" s="99"/>
      <c r="Q6171" s="99"/>
      <c r="R6171" s="99"/>
    </row>
    <row r="6172" spans="5:18" s="65" customFormat="1">
      <c r="E6172" s="130"/>
      <c r="P6172" s="99"/>
      <c r="Q6172" s="99"/>
      <c r="R6172" s="99"/>
    </row>
    <row r="6173" spans="5:18" s="65" customFormat="1">
      <c r="E6173" s="130"/>
      <c r="P6173" s="99"/>
      <c r="Q6173" s="99"/>
      <c r="R6173" s="99"/>
    </row>
    <row r="6174" spans="5:18" s="65" customFormat="1">
      <c r="E6174" s="130"/>
      <c r="P6174" s="99"/>
      <c r="Q6174" s="99"/>
      <c r="R6174" s="99"/>
    </row>
    <row r="6175" spans="5:18" s="65" customFormat="1">
      <c r="E6175" s="130"/>
      <c r="P6175" s="99"/>
      <c r="Q6175" s="99"/>
      <c r="R6175" s="99"/>
    </row>
    <row r="6176" spans="5:18" s="65" customFormat="1">
      <c r="E6176" s="130"/>
      <c r="P6176" s="99"/>
      <c r="Q6176" s="99"/>
      <c r="R6176" s="99"/>
    </row>
    <row r="6177" spans="5:18" s="65" customFormat="1">
      <c r="E6177" s="130"/>
      <c r="P6177" s="99"/>
      <c r="Q6177" s="99"/>
      <c r="R6177" s="99"/>
    </row>
    <row r="6178" spans="5:18" s="65" customFormat="1">
      <c r="E6178" s="130"/>
      <c r="P6178" s="99"/>
      <c r="Q6178" s="99"/>
      <c r="R6178" s="99"/>
    </row>
    <row r="6179" spans="5:18" s="65" customFormat="1">
      <c r="E6179" s="130"/>
      <c r="P6179" s="99"/>
      <c r="Q6179" s="99"/>
      <c r="R6179" s="99"/>
    </row>
    <row r="6180" spans="5:18" s="65" customFormat="1">
      <c r="E6180" s="130"/>
      <c r="P6180" s="99"/>
      <c r="Q6180" s="99"/>
      <c r="R6180" s="99"/>
    </row>
    <row r="6181" spans="5:18" s="65" customFormat="1">
      <c r="E6181" s="130"/>
      <c r="P6181" s="99"/>
      <c r="Q6181" s="99"/>
      <c r="R6181" s="99"/>
    </row>
    <row r="6182" spans="5:18" s="65" customFormat="1">
      <c r="E6182" s="130"/>
      <c r="P6182" s="99"/>
      <c r="Q6182" s="99"/>
      <c r="R6182" s="99"/>
    </row>
    <row r="6183" spans="5:18" s="65" customFormat="1">
      <c r="E6183" s="130"/>
      <c r="P6183" s="99"/>
      <c r="Q6183" s="99"/>
      <c r="R6183" s="99"/>
    </row>
    <row r="6184" spans="5:18" s="65" customFormat="1">
      <c r="E6184" s="130"/>
      <c r="P6184" s="99"/>
      <c r="Q6184" s="99"/>
      <c r="R6184" s="99"/>
    </row>
    <row r="6185" spans="5:18" s="65" customFormat="1">
      <c r="E6185" s="130"/>
      <c r="P6185" s="99"/>
      <c r="Q6185" s="99"/>
      <c r="R6185" s="99"/>
    </row>
    <row r="6186" spans="5:18" s="65" customFormat="1">
      <c r="E6186" s="130"/>
      <c r="P6186" s="99"/>
      <c r="Q6186" s="99"/>
      <c r="R6186" s="99"/>
    </row>
    <row r="6187" spans="5:18" s="65" customFormat="1">
      <c r="E6187" s="130"/>
      <c r="P6187" s="99"/>
      <c r="Q6187" s="99"/>
      <c r="R6187" s="99"/>
    </row>
    <row r="6188" spans="5:18" s="65" customFormat="1">
      <c r="E6188" s="130"/>
      <c r="P6188" s="99"/>
      <c r="Q6188" s="99"/>
      <c r="R6188" s="99"/>
    </row>
    <row r="6189" spans="5:18" s="65" customFormat="1">
      <c r="E6189" s="130"/>
      <c r="P6189" s="99"/>
      <c r="Q6189" s="99"/>
      <c r="R6189" s="99"/>
    </row>
    <row r="6190" spans="5:18" s="65" customFormat="1">
      <c r="E6190" s="130"/>
      <c r="P6190" s="99"/>
      <c r="Q6190" s="99"/>
      <c r="R6190" s="99"/>
    </row>
    <row r="6191" spans="5:18" s="65" customFormat="1">
      <c r="E6191" s="130"/>
      <c r="P6191" s="99"/>
      <c r="Q6191" s="99"/>
      <c r="R6191" s="99"/>
    </row>
    <row r="6192" spans="5:18" s="65" customFormat="1">
      <c r="E6192" s="130"/>
      <c r="P6192" s="99"/>
      <c r="Q6192" s="99"/>
      <c r="R6192" s="99"/>
    </row>
    <row r="6193" spans="5:18" s="65" customFormat="1">
      <c r="E6193" s="130"/>
      <c r="P6193" s="99"/>
      <c r="Q6193" s="99"/>
      <c r="R6193" s="99"/>
    </row>
    <row r="6194" spans="5:18" s="65" customFormat="1">
      <c r="E6194" s="130"/>
      <c r="P6194" s="99"/>
      <c r="Q6194" s="99"/>
      <c r="R6194" s="99"/>
    </row>
    <row r="6195" spans="5:18" s="65" customFormat="1">
      <c r="E6195" s="130"/>
      <c r="P6195" s="99"/>
      <c r="Q6195" s="99"/>
      <c r="R6195" s="99"/>
    </row>
    <row r="6196" spans="5:18" s="65" customFormat="1">
      <c r="E6196" s="130"/>
      <c r="P6196" s="99"/>
      <c r="Q6196" s="99"/>
      <c r="R6196" s="99"/>
    </row>
    <row r="6197" spans="5:18" s="65" customFormat="1">
      <c r="E6197" s="130"/>
      <c r="P6197" s="99"/>
      <c r="Q6197" s="99"/>
      <c r="R6197" s="99"/>
    </row>
    <row r="6198" spans="5:18" s="65" customFormat="1">
      <c r="E6198" s="130"/>
      <c r="P6198" s="99"/>
      <c r="Q6198" s="99"/>
      <c r="R6198" s="99"/>
    </row>
    <row r="6199" spans="5:18" s="65" customFormat="1">
      <c r="E6199" s="130"/>
      <c r="P6199" s="99"/>
      <c r="Q6199" s="99"/>
      <c r="R6199" s="99"/>
    </row>
    <row r="6200" spans="5:18" s="65" customFormat="1">
      <c r="E6200" s="130"/>
      <c r="P6200" s="99"/>
      <c r="Q6200" s="99"/>
      <c r="R6200" s="99"/>
    </row>
    <row r="6201" spans="5:18" s="65" customFormat="1">
      <c r="E6201" s="130"/>
      <c r="P6201" s="99"/>
      <c r="Q6201" s="99"/>
      <c r="R6201" s="99"/>
    </row>
    <row r="6202" spans="5:18" s="65" customFormat="1">
      <c r="E6202" s="130"/>
      <c r="P6202" s="99"/>
      <c r="Q6202" s="99"/>
      <c r="R6202" s="99"/>
    </row>
    <row r="6203" spans="5:18" s="65" customFormat="1">
      <c r="E6203" s="130"/>
      <c r="P6203" s="99"/>
      <c r="Q6203" s="99"/>
      <c r="R6203" s="99"/>
    </row>
    <row r="6204" spans="5:18" s="65" customFormat="1">
      <c r="E6204" s="130"/>
      <c r="P6204" s="99"/>
      <c r="Q6204" s="99"/>
      <c r="R6204" s="99"/>
    </row>
    <row r="6205" spans="5:18" s="65" customFormat="1">
      <c r="E6205" s="130"/>
      <c r="P6205" s="99"/>
      <c r="Q6205" s="99"/>
      <c r="R6205" s="99"/>
    </row>
    <row r="6206" spans="5:18" s="65" customFormat="1">
      <c r="E6206" s="130"/>
      <c r="P6206" s="99"/>
      <c r="Q6206" s="99"/>
      <c r="R6206" s="99"/>
    </row>
    <row r="6207" spans="5:18" s="65" customFormat="1">
      <c r="E6207" s="130"/>
      <c r="P6207" s="99"/>
      <c r="Q6207" s="99"/>
      <c r="R6207" s="99"/>
    </row>
    <row r="6208" spans="5:18" s="65" customFormat="1">
      <c r="E6208" s="130"/>
      <c r="P6208" s="99"/>
      <c r="Q6208" s="99"/>
      <c r="R6208" s="99"/>
    </row>
    <row r="6209" spans="5:18" s="65" customFormat="1">
      <c r="E6209" s="130"/>
      <c r="P6209" s="99"/>
      <c r="Q6209" s="99"/>
      <c r="R6209" s="99"/>
    </row>
    <row r="6210" spans="5:18" s="65" customFormat="1">
      <c r="E6210" s="130"/>
      <c r="P6210" s="99"/>
      <c r="Q6210" s="99"/>
      <c r="R6210" s="99"/>
    </row>
    <row r="6211" spans="5:18" s="65" customFormat="1">
      <c r="E6211" s="130"/>
      <c r="P6211" s="99"/>
      <c r="Q6211" s="99"/>
      <c r="R6211" s="99"/>
    </row>
    <row r="6212" spans="5:18" s="65" customFormat="1">
      <c r="E6212" s="130"/>
      <c r="P6212" s="99"/>
      <c r="Q6212" s="99"/>
      <c r="R6212" s="99"/>
    </row>
    <row r="6213" spans="5:18" s="65" customFormat="1">
      <c r="E6213" s="130"/>
      <c r="P6213" s="99"/>
      <c r="Q6213" s="99"/>
      <c r="R6213" s="99"/>
    </row>
    <row r="6214" spans="5:18" s="65" customFormat="1">
      <c r="E6214" s="130"/>
      <c r="P6214" s="99"/>
      <c r="Q6214" s="99"/>
      <c r="R6214" s="99"/>
    </row>
    <row r="6215" spans="5:18" s="65" customFormat="1">
      <c r="E6215" s="130"/>
      <c r="P6215" s="99"/>
      <c r="Q6215" s="99"/>
      <c r="R6215" s="99"/>
    </row>
    <row r="6216" spans="5:18" s="65" customFormat="1">
      <c r="E6216" s="130"/>
      <c r="P6216" s="99"/>
      <c r="Q6216" s="99"/>
      <c r="R6216" s="99"/>
    </row>
    <row r="6217" spans="5:18" s="65" customFormat="1">
      <c r="E6217" s="130"/>
      <c r="P6217" s="99"/>
      <c r="Q6217" s="99"/>
      <c r="R6217" s="99"/>
    </row>
    <row r="6218" spans="5:18" s="65" customFormat="1">
      <c r="E6218" s="130"/>
      <c r="P6218" s="99"/>
      <c r="Q6218" s="99"/>
      <c r="R6218" s="99"/>
    </row>
    <row r="6219" spans="5:18" s="65" customFormat="1">
      <c r="E6219" s="130"/>
      <c r="P6219" s="99"/>
      <c r="Q6219" s="99"/>
      <c r="R6219" s="99"/>
    </row>
    <row r="6220" spans="5:18" s="65" customFormat="1">
      <c r="E6220" s="130"/>
      <c r="P6220" s="99"/>
      <c r="Q6220" s="99"/>
      <c r="R6220" s="99"/>
    </row>
    <row r="6221" spans="5:18" s="65" customFormat="1">
      <c r="E6221" s="130"/>
      <c r="P6221" s="99"/>
      <c r="Q6221" s="99"/>
      <c r="R6221" s="99"/>
    </row>
    <row r="6222" spans="5:18" s="65" customFormat="1">
      <c r="E6222" s="130"/>
      <c r="P6222" s="99"/>
      <c r="Q6222" s="99"/>
      <c r="R6222" s="99"/>
    </row>
    <row r="6223" spans="5:18" s="65" customFormat="1">
      <c r="E6223" s="130"/>
      <c r="P6223" s="99"/>
      <c r="Q6223" s="99"/>
      <c r="R6223" s="99"/>
    </row>
    <row r="6224" spans="5:18" s="65" customFormat="1">
      <c r="E6224" s="130"/>
      <c r="P6224" s="99"/>
      <c r="Q6224" s="99"/>
      <c r="R6224" s="99"/>
    </row>
    <row r="6225" spans="5:18" s="65" customFormat="1">
      <c r="E6225" s="130"/>
      <c r="P6225" s="99"/>
      <c r="Q6225" s="99"/>
      <c r="R6225" s="99"/>
    </row>
    <row r="6226" spans="5:18" s="65" customFormat="1">
      <c r="E6226" s="130"/>
      <c r="P6226" s="99"/>
      <c r="Q6226" s="99"/>
      <c r="R6226" s="99"/>
    </row>
    <row r="6227" spans="5:18" s="65" customFormat="1">
      <c r="E6227" s="130"/>
      <c r="P6227" s="99"/>
      <c r="Q6227" s="99"/>
      <c r="R6227" s="99"/>
    </row>
    <row r="6228" spans="5:18" s="65" customFormat="1">
      <c r="E6228" s="130"/>
      <c r="P6228" s="99"/>
      <c r="Q6228" s="99"/>
      <c r="R6228" s="99"/>
    </row>
    <row r="6229" spans="5:18" s="65" customFormat="1">
      <c r="E6229" s="130"/>
      <c r="P6229" s="99"/>
      <c r="Q6229" s="99"/>
      <c r="R6229" s="99"/>
    </row>
    <row r="6230" spans="5:18" s="65" customFormat="1">
      <c r="E6230" s="130"/>
      <c r="P6230" s="99"/>
      <c r="Q6230" s="99"/>
      <c r="R6230" s="99"/>
    </row>
    <row r="6231" spans="5:18" s="65" customFormat="1">
      <c r="E6231" s="130"/>
      <c r="P6231" s="99"/>
      <c r="Q6231" s="99"/>
      <c r="R6231" s="99"/>
    </row>
    <row r="6232" spans="5:18" s="65" customFormat="1">
      <c r="E6232" s="130"/>
      <c r="P6232" s="99"/>
      <c r="Q6232" s="99"/>
      <c r="R6232" s="99"/>
    </row>
    <row r="6233" spans="5:18" s="65" customFormat="1">
      <c r="E6233" s="130"/>
      <c r="P6233" s="99"/>
      <c r="Q6233" s="99"/>
      <c r="R6233" s="99"/>
    </row>
    <row r="6234" spans="5:18" s="65" customFormat="1">
      <c r="E6234" s="130"/>
      <c r="P6234" s="99"/>
      <c r="Q6234" s="99"/>
      <c r="R6234" s="99"/>
    </row>
    <row r="6235" spans="5:18" s="65" customFormat="1">
      <c r="E6235" s="130"/>
      <c r="P6235" s="99"/>
      <c r="Q6235" s="99"/>
      <c r="R6235" s="99"/>
    </row>
    <row r="6236" spans="5:18" s="65" customFormat="1">
      <c r="E6236" s="130"/>
      <c r="P6236" s="99"/>
      <c r="Q6236" s="99"/>
      <c r="R6236" s="99"/>
    </row>
    <row r="6237" spans="5:18" s="65" customFormat="1">
      <c r="E6237" s="130"/>
      <c r="P6237" s="99"/>
      <c r="Q6237" s="99"/>
      <c r="R6237" s="99"/>
    </row>
    <row r="6238" spans="5:18" s="65" customFormat="1">
      <c r="E6238" s="130"/>
      <c r="P6238" s="99"/>
      <c r="Q6238" s="99"/>
      <c r="R6238" s="99"/>
    </row>
    <row r="6239" spans="5:18" s="65" customFormat="1">
      <c r="E6239" s="130"/>
      <c r="P6239" s="99"/>
      <c r="Q6239" s="99"/>
      <c r="R6239" s="99"/>
    </row>
    <row r="6240" spans="5:18" s="65" customFormat="1">
      <c r="E6240" s="130"/>
      <c r="P6240" s="99"/>
      <c r="Q6240" s="99"/>
      <c r="R6240" s="99"/>
    </row>
    <row r="6241" spans="5:18" s="65" customFormat="1">
      <c r="E6241" s="130"/>
      <c r="P6241" s="99"/>
      <c r="Q6241" s="99"/>
      <c r="R6241" s="99"/>
    </row>
    <row r="6242" spans="5:18" s="65" customFormat="1">
      <c r="E6242" s="130"/>
      <c r="P6242" s="99"/>
      <c r="Q6242" s="99"/>
      <c r="R6242" s="99"/>
    </row>
    <row r="6243" spans="5:18" s="65" customFormat="1">
      <c r="E6243" s="130"/>
      <c r="P6243" s="99"/>
      <c r="Q6243" s="99"/>
      <c r="R6243" s="99"/>
    </row>
    <row r="6244" spans="5:18" s="65" customFormat="1">
      <c r="E6244" s="130"/>
      <c r="P6244" s="99"/>
      <c r="Q6244" s="99"/>
      <c r="R6244" s="99"/>
    </row>
    <row r="6245" spans="5:18" s="65" customFormat="1">
      <c r="E6245" s="130"/>
      <c r="P6245" s="99"/>
      <c r="Q6245" s="99"/>
      <c r="R6245" s="99"/>
    </row>
    <row r="6246" spans="5:18" s="65" customFormat="1">
      <c r="E6246" s="130"/>
      <c r="P6246" s="99"/>
      <c r="Q6246" s="99"/>
      <c r="R6246" s="99"/>
    </row>
    <row r="6247" spans="5:18" s="65" customFormat="1">
      <c r="E6247" s="130"/>
      <c r="P6247" s="99"/>
      <c r="Q6247" s="99"/>
      <c r="R6247" s="99"/>
    </row>
    <row r="6248" spans="5:18" s="65" customFormat="1">
      <c r="E6248" s="130"/>
      <c r="P6248" s="99"/>
      <c r="Q6248" s="99"/>
      <c r="R6248" s="99"/>
    </row>
    <row r="6249" spans="5:18" s="65" customFormat="1">
      <c r="E6249" s="130"/>
      <c r="P6249" s="99"/>
      <c r="Q6249" s="99"/>
      <c r="R6249" s="99"/>
    </row>
    <row r="6250" spans="5:18" s="65" customFormat="1">
      <c r="E6250" s="130"/>
      <c r="P6250" s="99"/>
      <c r="Q6250" s="99"/>
      <c r="R6250" s="99"/>
    </row>
    <row r="6251" spans="5:18" s="65" customFormat="1">
      <c r="E6251" s="130"/>
      <c r="P6251" s="99"/>
      <c r="Q6251" s="99"/>
      <c r="R6251" s="99"/>
    </row>
    <row r="6252" spans="5:18" s="65" customFormat="1">
      <c r="E6252" s="130"/>
      <c r="P6252" s="99"/>
      <c r="Q6252" s="99"/>
      <c r="R6252" s="99"/>
    </row>
    <row r="6253" spans="5:18" s="65" customFormat="1">
      <c r="E6253" s="130"/>
      <c r="P6253" s="99"/>
      <c r="Q6253" s="99"/>
      <c r="R6253" s="99"/>
    </row>
    <row r="6254" spans="5:18" s="65" customFormat="1">
      <c r="E6254" s="130"/>
      <c r="P6254" s="99"/>
      <c r="Q6254" s="99"/>
      <c r="R6254" s="99"/>
    </row>
    <row r="6255" spans="5:18" s="65" customFormat="1">
      <c r="E6255" s="130"/>
      <c r="P6255" s="99"/>
      <c r="Q6255" s="99"/>
      <c r="R6255" s="99"/>
    </row>
    <row r="6256" spans="5:18" s="65" customFormat="1">
      <c r="E6256" s="130"/>
      <c r="P6256" s="99"/>
      <c r="Q6256" s="99"/>
      <c r="R6256" s="99"/>
    </row>
    <row r="6257" spans="5:18" s="65" customFormat="1">
      <c r="E6257" s="130"/>
      <c r="P6257" s="99"/>
      <c r="Q6257" s="99"/>
      <c r="R6257" s="99"/>
    </row>
    <row r="6258" spans="5:18" s="65" customFormat="1">
      <c r="E6258" s="130"/>
      <c r="P6258" s="99"/>
      <c r="Q6258" s="99"/>
      <c r="R6258" s="99"/>
    </row>
    <row r="6259" spans="5:18" s="65" customFormat="1">
      <c r="E6259" s="130"/>
      <c r="P6259" s="99"/>
      <c r="Q6259" s="99"/>
      <c r="R6259" s="99"/>
    </row>
    <row r="6260" spans="5:18" s="65" customFormat="1">
      <c r="E6260" s="130"/>
      <c r="P6260" s="99"/>
      <c r="Q6260" s="99"/>
      <c r="R6260" s="99"/>
    </row>
    <row r="6261" spans="5:18" s="65" customFormat="1">
      <c r="E6261" s="130"/>
      <c r="P6261" s="99"/>
      <c r="Q6261" s="99"/>
      <c r="R6261" s="99"/>
    </row>
    <row r="6262" spans="5:18" s="65" customFormat="1">
      <c r="E6262" s="130"/>
      <c r="P6262" s="99"/>
      <c r="Q6262" s="99"/>
      <c r="R6262" s="99"/>
    </row>
    <row r="6263" spans="5:18" s="65" customFormat="1">
      <c r="E6263" s="130"/>
      <c r="P6263" s="99"/>
      <c r="Q6263" s="99"/>
      <c r="R6263" s="99"/>
    </row>
    <row r="6264" spans="5:18" s="65" customFormat="1">
      <c r="E6264" s="130"/>
      <c r="P6264" s="99"/>
      <c r="Q6264" s="99"/>
      <c r="R6264" s="99"/>
    </row>
    <row r="6265" spans="5:18" s="65" customFormat="1">
      <c r="E6265" s="130"/>
      <c r="P6265" s="99"/>
      <c r="Q6265" s="99"/>
      <c r="R6265" s="99"/>
    </row>
    <row r="6266" spans="5:18" s="65" customFormat="1">
      <c r="E6266" s="130"/>
      <c r="P6266" s="99"/>
      <c r="Q6266" s="99"/>
      <c r="R6266" s="99"/>
    </row>
    <row r="6267" spans="5:18" s="65" customFormat="1">
      <c r="E6267" s="130"/>
      <c r="P6267" s="99"/>
      <c r="Q6267" s="99"/>
      <c r="R6267" s="99"/>
    </row>
    <row r="6268" spans="5:18" s="65" customFormat="1">
      <c r="E6268" s="130"/>
      <c r="P6268" s="99"/>
      <c r="Q6268" s="99"/>
      <c r="R6268" s="99"/>
    </row>
    <row r="6269" spans="5:18" s="65" customFormat="1">
      <c r="E6269" s="130"/>
      <c r="P6269" s="99"/>
      <c r="Q6269" s="99"/>
      <c r="R6269" s="99"/>
    </row>
    <row r="6270" spans="5:18" s="65" customFormat="1">
      <c r="E6270" s="130"/>
      <c r="P6270" s="99"/>
      <c r="Q6270" s="99"/>
      <c r="R6270" s="99"/>
    </row>
    <row r="6271" spans="5:18" s="65" customFormat="1">
      <c r="E6271" s="130"/>
      <c r="P6271" s="99"/>
      <c r="Q6271" s="99"/>
      <c r="R6271" s="99"/>
    </row>
    <row r="6272" spans="5:18" s="65" customFormat="1">
      <c r="E6272" s="130"/>
      <c r="P6272" s="99"/>
      <c r="Q6272" s="99"/>
      <c r="R6272" s="99"/>
    </row>
    <row r="6273" spans="5:18" s="65" customFormat="1">
      <c r="E6273" s="130"/>
      <c r="P6273" s="99"/>
      <c r="Q6273" s="99"/>
      <c r="R6273" s="99"/>
    </row>
    <row r="6274" spans="5:18" s="65" customFormat="1">
      <c r="E6274" s="130"/>
      <c r="P6274" s="99"/>
      <c r="Q6274" s="99"/>
      <c r="R6274" s="99"/>
    </row>
    <row r="6275" spans="5:18" s="65" customFormat="1">
      <c r="E6275" s="130"/>
      <c r="P6275" s="99"/>
      <c r="Q6275" s="99"/>
      <c r="R6275" s="99"/>
    </row>
    <row r="6276" spans="5:18" s="65" customFormat="1">
      <c r="E6276" s="130"/>
      <c r="P6276" s="99"/>
      <c r="Q6276" s="99"/>
      <c r="R6276" s="99"/>
    </row>
    <row r="6277" spans="5:18" s="65" customFormat="1">
      <c r="E6277" s="130"/>
      <c r="P6277" s="99"/>
      <c r="Q6277" s="99"/>
      <c r="R6277" s="99"/>
    </row>
    <row r="6278" spans="5:18" s="65" customFormat="1">
      <c r="E6278" s="130"/>
      <c r="P6278" s="99"/>
      <c r="Q6278" s="99"/>
      <c r="R6278" s="99"/>
    </row>
    <row r="6279" spans="5:18" s="65" customFormat="1">
      <c r="E6279" s="130"/>
      <c r="P6279" s="99"/>
      <c r="Q6279" s="99"/>
      <c r="R6279" s="99"/>
    </row>
    <row r="6280" spans="5:18" s="65" customFormat="1">
      <c r="E6280" s="130"/>
      <c r="P6280" s="99"/>
      <c r="Q6280" s="99"/>
      <c r="R6280" s="99"/>
    </row>
    <row r="6281" spans="5:18" s="65" customFormat="1">
      <c r="E6281" s="130"/>
      <c r="P6281" s="99"/>
      <c r="Q6281" s="99"/>
      <c r="R6281" s="99"/>
    </row>
    <row r="6282" spans="5:18" s="65" customFormat="1">
      <c r="E6282" s="130"/>
      <c r="P6282" s="99"/>
      <c r="Q6282" s="99"/>
      <c r="R6282" s="99"/>
    </row>
    <row r="6283" spans="5:18" s="65" customFormat="1">
      <c r="E6283" s="130"/>
      <c r="P6283" s="99"/>
      <c r="Q6283" s="99"/>
      <c r="R6283" s="99"/>
    </row>
    <row r="6284" spans="5:18" s="65" customFormat="1">
      <c r="E6284" s="130"/>
      <c r="P6284" s="99"/>
      <c r="Q6284" s="99"/>
      <c r="R6284" s="99"/>
    </row>
    <row r="6285" spans="5:18" s="65" customFormat="1">
      <c r="E6285" s="130"/>
      <c r="P6285" s="99"/>
      <c r="Q6285" s="99"/>
      <c r="R6285" s="99"/>
    </row>
    <row r="6286" spans="5:18" s="65" customFormat="1">
      <c r="E6286" s="130"/>
      <c r="P6286" s="99"/>
      <c r="Q6286" s="99"/>
      <c r="R6286" s="99"/>
    </row>
    <row r="6287" spans="5:18" s="65" customFormat="1">
      <c r="E6287" s="130"/>
      <c r="P6287" s="99"/>
      <c r="Q6287" s="99"/>
      <c r="R6287" s="99"/>
    </row>
    <row r="6288" spans="5:18" s="65" customFormat="1">
      <c r="E6288" s="130"/>
      <c r="P6288" s="99"/>
      <c r="Q6288" s="99"/>
      <c r="R6288" s="99"/>
    </row>
    <row r="6289" spans="5:18" s="65" customFormat="1">
      <c r="E6289" s="130"/>
      <c r="P6289" s="99"/>
      <c r="Q6289" s="99"/>
      <c r="R6289" s="99"/>
    </row>
    <row r="6290" spans="5:18" s="65" customFormat="1">
      <c r="E6290" s="130"/>
      <c r="P6290" s="99"/>
      <c r="Q6290" s="99"/>
      <c r="R6290" s="99"/>
    </row>
    <row r="6291" spans="5:18" s="65" customFormat="1">
      <c r="E6291" s="130"/>
      <c r="P6291" s="99"/>
      <c r="Q6291" s="99"/>
      <c r="R6291" s="99"/>
    </row>
    <row r="6292" spans="5:18" s="65" customFormat="1">
      <c r="E6292" s="130"/>
      <c r="P6292" s="99"/>
      <c r="Q6292" s="99"/>
      <c r="R6292" s="99"/>
    </row>
    <row r="6293" spans="5:18" s="65" customFormat="1">
      <c r="E6293" s="130"/>
      <c r="P6293" s="99"/>
      <c r="Q6293" s="99"/>
      <c r="R6293" s="99"/>
    </row>
    <row r="6294" spans="5:18" s="65" customFormat="1">
      <c r="E6294" s="130"/>
      <c r="P6294" s="99"/>
      <c r="Q6294" s="99"/>
      <c r="R6294" s="99"/>
    </row>
    <row r="6295" spans="5:18" s="65" customFormat="1">
      <c r="E6295" s="130"/>
      <c r="P6295" s="99"/>
      <c r="Q6295" s="99"/>
      <c r="R6295" s="99"/>
    </row>
    <row r="6296" spans="5:18" s="65" customFormat="1">
      <c r="E6296" s="130"/>
      <c r="P6296" s="99"/>
      <c r="Q6296" s="99"/>
      <c r="R6296" s="99"/>
    </row>
    <row r="6297" spans="5:18" s="65" customFormat="1">
      <c r="E6297" s="130"/>
      <c r="P6297" s="99"/>
      <c r="Q6297" s="99"/>
      <c r="R6297" s="99"/>
    </row>
    <row r="6298" spans="5:18" s="65" customFormat="1">
      <c r="E6298" s="130"/>
      <c r="P6298" s="99"/>
      <c r="Q6298" s="99"/>
      <c r="R6298" s="99"/>
    </row>
    <row r="6299" spans="5:18" s="65" customFormat="1">
      <c r="E6299" s="130"/>
      <c r="P6299" s="99"/>
      <c r="Q6299" s="99"/>
      <c r="R6299" s="99"/>
    </row>
    <row r="6300" spans="5:18" s="65" customFormat="1">
      <c r="E6300" s="130"/>
      <c r="P6300" s="99"/>
      <c r="Q6300" s="99"/>
      <c r="R6300" s="99"/>
    </row>
    <row r="6301" spans="5:18" s="65" customFormat="1">
      <c r="E6301" s="130"/>
      <c r="P6301" s="99"/>
      <c r="Q6301" s="99"/>
      <c r="R6301" s="99"/>
    </row>
    <row r="6302" spans="5:18" s="65" customFormat="1">
      <c r="E6302" s="130"/>
      <c r="P6302" s="99"/>
      <c r="Q6302" s="99"/>
      <c r="R6302" s="99"/>
    </row>
    <row r="6303" spans="5:18" s="65" customFormat="1">
      <c r="E6303" s="130"/>
      <c r="P6303" s="99"/>
      <c r="Q6303" s="99"/>
      <c r="R6303" s="99"/>
    </row>
    <row r="6304" spans="5:18" s="65" customFormat="1">
      <c r="E6304" s="130"/>
      <c r="P6304" s="99"/>
      <c r="Q6304" s="99"/>
      <c r="R6304" s="99"/>
    </row>
    <row r="6305" spans="5:18" s="65" customFormat="1">
      <c r="E6305" s="130"/>
      <c r="P6305" s="99"/>
      <c r="Q6305" s="99"/>
      <c r="R6305" s="99"/>
    </row>
    <row r="6306" spans="5:18" s="65" customFormat="1">
      <c r="E6306" s="130"/>
      <c r="P6306" s="99"/>
      <c r="Q6306" s="99"/>
      <c r="R6306" s="99"/>
    </row>
    <row r="6307" spans="5:18" s="65" customFormat="1">
      <c r="E6307" s="130"/>
      <c r="P6307" s="99"/>
      <c r="Q6307" s="99"/>
      <c r="R6307" s="99"/>
    </row>
    <row r="6308" spans="5:18" s="65" customFormat="1">
      <c r="E6308" s="130"/>
      <c r="P6308" s="99"/>
      <c r="Q6308" s="99"/>
      <c r="R6308" s="99"/>
    </row>
    <row r="6309" spans="5:18" s="65" customFormat="1">
      <c r="E6309" s="130"/>
      <c r="P6309" s="99"/>
      <c r="Q6309" s="99"/>
      <c r="R6309" s="99"/>
    </row>
    <row r="6310" spans="5:18" s="65" customFormat="1">
      <c r="E6310" s="130"/>
      <c r="P6310" s="99"/>
      <c r="Q6310" s="99"/>
      <c r="R6310" s="99"/>
    </row>
    <row r="6311" spans="5:18" s="65" customFormat="1">
      <c r="E6311" s="130"/>
      <c r="P6311" s="99"/>
      <c r="Q6311" s="99"/>
      <c r="R6311" s="99"/>
    </row>
    <row r="6312" spans="5:18" s="65" customFormat="1">
      <c r="E6312" s="130"/>
      <c r="P6312" s="99"/>
      <c r="Q6312" s="99"/>
      <c r="R6312" s="99"/>
    </row>
    <row r="6313" spans="5:18" s="65" customFormat="1">
      <c r="E6313" s="130"/>
      <c r="P6313" s="99"/>
      <c r="Q6313" s="99"/>
      <c r="R6313" s="99"/>
    </row>
    <row r="6314" spans="5:18" s="65" customFormat="1">
      <c r="E6314" s="130"/>
      <c r="P6314" s="99"/>
      <c r="Q6314" s="99"/>
      <c r="R6314" s="99"/>
    </row>
    <row r="6315" spans="5:18" s="65" customFormat="1">
      <c r="E6315" s="130"/>
      <c r="P6315" s="99"/>
      <c r="Q6315" s="99"/>
      <c r="R6315" s="99"/>
    </row>
    <row r="6316" spans="5:18" s="65" customFormat="1">
      <c r="E6316" s="130"/>
      <c r="P6316" s="99"/>
      <c r="Q6316" s="99"/>
      <c r="R6316" s="99"/>
    </row>
    <row r="6317" spans="5:18" s="65" customFormat="1">
      <c r="E6317" s="130"/>
      <c r="P6317" s="99"/>
      <c r="Q6317" s="99"/>
      <c r="R6317" s="99"/>
    </row>
    <row r="6318" spans="5:18" s="65" customFormat="1">
      <c r="E6318" s="130"/>
      <c r="P6318" s="99"/>
      <c r="Q6318" s="99"/>
      <c r="R6318" s="99"/>
    </row>
    <row r="6319" spans="5:18" s="65" customFormat="1">
      <c r="E6319" s="130"/>
      <c r="P6319" s="99"/>
      <c r="Q6319" s="99"/>
      <c r="R6319" s="99"/>
    </row>
    <row r="6320" spans="5:18" s="65" customFormat="1">
      <c r="E6320" s="130"/>
      <c r="P6320" s="99"/>
      <c r="Q6320" s="99"/>
      <c r="R6320" s="99"/>
    </row>
    <row r="6321" spans="5:18" s="65" customFormat="1">
      <c r="E6321" s="130"/>
      <c r="P6321" s="99"/>
      <c r="Q6321" s="99"/>
      <c r="R6321" s="99"/>
    </row>
    <row r="6322" spans="5:18" s="65" customFormat="1">
      <c r="E6322" s="130"/>
      <c r="P6322" s="99"/>
      <c r="Q6322" s="99"/>
      <c r="R6322" s="99"/>
    </row>
    <row r="6323" spans="5:18" s="65" customFormat="1">
      <c r="E6323" s="130"/>
      <c r="P6323" s="99"/>
      <c r="Q6323" s="99"/>
      <c r="R6323" s="99"/>
    </row>
    <row r="6324" spans="5:18" s="65" customFormat="1">
      <c r="E6324" s="130"/>
      <c r="P6324" s="99"/>
      <c r="Q6324" s="99"/>
      <c r="R6324" s="99"/>
    </row>
    <row r="6325" spans="5:18" s="65" customFormat="1">
      <c r="E6325" s="130"/>
      <c r="P6325" s="99"/>
      <c r="Q6325" s="99"/>
      <c r="R6325" s="99"/>
    </row>
    <row r="6326" spans="5:18" s="65" customFormat="1">
      <c r="E6326" s="130"/>
      <c r="P6326" s="99"/>
      <c r="Q6326" s="99"/>
      <c r="R6326" s="99"/>
    </row>
    <row r="6327" spans="5:18" s="65" customFormat="1">
      <c r="E6327" s="130"/>
      <c r="P6327" s="99"/>
      <c r="Q6327" s="99"/>
      <c r="R6327" s="99"/>
    </row>
    <row r="6328" spans="5:18" s="65" customFormat="1">
      <c r="E6328" s="130"/>
      <c r="P6328" s="99"/>
      <c r="Q6328" s="99"/>
      <c r="R6328" s="99"/>
    </row>
    <row r="6329" spans="5:18" s="65" customFormat="1">
      <c r="E6329" s="130"/>
      <c r="P6329" s="99"/>
      <c r="Q6329" s="99"/>
      <c r="R6329" s="99"/>
    </row>
    <row r="6330" spans="5:18" s="65" customFormat="1">
      <c r="E6330" s="130"/>
      <c r="P6330" s="99"/>
      <c r="Q6330" s="99"/>
      <c r="R6330" s="99"/>
    </row>
    <row r="6331" spans="5:18" s="65" customFormat="1">
      <c r="E6331" s="130"/>
      <c r="P6331" s="99"/>
      <c r="Q6331" s="99"/>
      <c r="R6331" s="99"/>
    </row>
    <row r="6332" spans="5:18" s="65" customFormat="1">
      <c r="E6332" s="130"/>
      <c r="P6332" s="99"/>
      <c r="Q6332" s="99"/>
      <c r="R6332" s="99"/>
    </row>
    <row r="6333" spans="5:18" s="65" customFormat="1">
      <c r="E6333" s="130"/>
      <c r="P6333" s="99"/>
      <c r="Q6333" s="99"/>
      <c r="R6333" s="99"/>
    </row>
    <row r="6334" spans="5:18" s="65" customFormat="1">
      <c r="E6334" s="130"/>
      <c r="P6334" s="99"/>
      <c r="Q6334" s="99"/>
      <c r="R6334" s="99"/>
    </row>
    <row r="6335" spans="5:18" s="65" customFormat="1">
      <c r="E6335" s="130"/>
      <c r="P6335" s="99"/>
      <c r="Q6335" s="99"/>
      <c r="R6335" s="99"/>
    </row>
    <row r="6336" spans="5:18" s="65" customFormat="1">
      <c r="E6336" s="130"/>
      <c r="P6336" s="99"/>
      <c r="Q6336" s="99"/>
      <c r="R6336" s="99"/>
    </row>
    <row r="6337" spans="5:18" s="65" customFormat="1">
      <c r="E6337" s="130"/>
      <c r="P6337" s="99"/>
      <c r="Q6337" s="99"/>
      <c r="R6337" s="99"/>
    </row>
    <row r="6338" spans="5:18" s="65" customFormat="1">
      <c r="E6338" s="130"/>
      <c r="P6338" s="99"/>
      <c r="Q6338" s="99"/>
      <c r="R6338" s="99"/>
    </row>
    <row r="6339" spans="5:18" s="65" customFormat="1">
      <c r="E6339" s="130"/>
      <c r="P6339" s="99"/>
      <c r="Q6339" s="99"/>
      <c r="R6339" s="99"/>
    </row>
    <row r="6340" spans="5:18" s="65" customFormat="1">
      <c r="E6340" s="130"/>
      <c r="P6340" s="99"/>
      <c r="Q6340" s="99"/>
      <c r="R6340" s="99"/>
    </row>
    <row r="6341" spans="5:18" s="65" customFormat="1">
      <c r="E6341" s="130"/>
      <c r="P6341" s="99"/>
      <c r="Q6341" s="99"/>
      <c r="R6341" s="99"/>
    </row>
    <row r="6342" spans="5:18" s="65" customFormat="1">
      <c r="E6342" s="130"/>
      <c r="P6342" s="99"/>
      <c r="Q6342" s="99"/>
      <c r="R6342" s="99"/>
    </row>
    <row r="6343" spans="5:18" s="65" customFormat="1">
      <c r="E6343" s="130"/>
      <c r="P6343" s="99"/>
      <c r="Q6343" s="99"/>
      <c r="R6343" s="99"/>
    </row>
    <row r="6344" spans="5:18" s="65" customFormat="1">
      <c r="E6344" s="130"/>
      <c r="P6344" s="99"/>
      <c r="Q6344" s="99"/>
      <c r="R6344" s="99"/>
    </row>
    <row r="6345" spans="5:18" s="65" customFormat="1">
      <c r="E6345" s="130"/>
      <c r="P6345" s="99"/>
      <c r="Q6345" s="99"/>
      <c r="R6345" s="99"/>
    </row>
    <row r="6346" spans="5:18" s="65" customFormat="1">
      <c r="E6346" s="130"/>
      <c r="P6346" s="99"/>
      <c r="Q6346" s="99"/>
      <c r="R6346" s="99"/>
    </row>
    <row r="6347" spans="5:18" s="65" customFormat="1">
      <c r="E6347" s="130"/>
      <c r="P6347" s="99"/>
      <c r="Q6347" s="99"/>
      <c r="R6347" s="99"/>
    </row>
    <row r="6348" spans="5:18" s="65" customFormat="1">
      <c r="E6348" s="130"/>
      <c r="P6348" s="99"/>
      <c r="Q6348" s="99"/>
      <c r="R6348" s="99"/>
    </row>
    <row r="6349" spans="5:18" s="65" customFormat="1">
      <c r="E6349" s="130"/>
      <c r="P6349" s="99"/>
      <c r="Q6349" s="99"/>
      <c r="R6349" s="99"/>
    </row>
    <row r="6350" spans="5:18" s="65" customFormat="1">
      <c r="E6350" s="130"/>
      <c r="P6350" s="99"/>
      <c r="Q6350" s="99"/>
      <c r="R6350" s="99"/>
    </row>
    <row r="6351" spans="5:18" s="65" customFormat="1">
      <c r="E6351" s="130"/>
      <c r="P6351" s="99"/>
      <c r="Q6351" s="99"/>
      <c r="R6351" s="99"/>
    </row>
    <row r="6352" spans="5:18" s="65" customFormat="1">
      <c r="E6352" s="130"/>
      <c r="P6352" s="99"/>
      <c r="Q6352" s="99"/>
      <c r="R6352" s="99"/>
    </row>
    <row r="6353" spans="5:18" s="65" customFormat="1">
      <c r="E6353" s="130"/>
      <c r="P6353" s="99"/>
      <c r="Q6353" s="99"/>
      <c r="R6353" s="99"/>
    </row>
    <row r="6354" spans="5:18" s="65" customFormat="1">
      <c r="E6354" s="130"/>
      <c r="P6354" s="99"/>
      <c r="Q6354" s="99"/>
      <c r="R6354" s="99"/>
    </row>
    <row r="6355" spans="5:18" s="65" customFormat="1">
      <c r="E6355" s="130"/>
      <c r="P6355" s="99"/>
      <c r="Q6355" s="99"/>
      <c r="R6355" s="99"/>
    </row>
    <row r="6356" spans="5:18" s="65" customFormat="1">
      <c r="E6356" s="130"/>
      <c r="P6356" s="99"/>
      <c r="Q6356" s="99"/>
      <c r="R6356" s="99"/>
    </row>
    <row r="6357" spans="5:18" s="65" customFormat="1">
      <c r="E6357" s="130"/>
      <c r="P6357" s="99"/>
      <c r="Q6357" s="99"/>
      <c r="R6357" s="99"/>
    </row>
    <row r="6358" spans="5:18" s="65" customFormat="1">
      <c r="E6358" s="130"/>
      <c r="P6358" s="99"/>
      <c r="Q6358" s="99"/>
      <c r="R6358" s="99"/>
    </row>
    <row r="6359" spans="5:18" s="65" customFormat="1">
      <c r="E6359" s="130"/>
      <c r="P6359" s="99"/>
      <c r="Q6359" s="99"/>
      <c r="R6359" s="99"/>
    </row>
    <row r="6360" spans="5:18" s="65" customFormat="1">
      <c r="E6360" s="130"/>
      <c r="P6360" s="99"/>
      <c r="Q6360" s="99"/>
      <c r="R6360" s="99"/>
    </row>
    <row r="6361" spans="5:18" s="65" customFormat="1">
      <c r="E6361" s="130"/>
      <c r="P6361" s="99"/>
      <c r="Q6361" s="99"/>
      <c r="R6361" s="99"/>
    </row>
    <row r="6362" spans="5:18" s="65" customFormat="1">
      <c r="E6362" s="130"/>
      <c r="P6362" s="99"/>
      <c r="Q6362" s="99"/>
      <c r="R6362" s="99"/>
    </row>
    <row r="6363" spans="5:18" s="65" customFormat="1">
      <c r="E6363" s="130"/>
      <c r="P6363" s="99"/>
      <c r="Q6363" s="99"/>
      <c r="R6363" s="99"/>
    </row>
    <row r="6364" spans="5:18" s="65" customFormat="1">
      <c r="E6364" s="130"/>
      <c r="P6364" s="99"/>
      <c r="Q6364" s="99"/>
      <c r="R6364" s="99"/>
    </row>
    <row r="6365" spans="5:18" s="65" customFormat="1">
      <c r="E6365" s="130"/>
      <c r="P6365" s="99"/>
      <c r="Q6365" s="99"/>
      <c r="R6365" s="99"/>
    </row>
    <row r="6366" spans="5:18" s="65" customFormat="1">
      <c r="E6366" s="130"/>
      <c r="P6366" s="99"/>
      <c r="Q6366" s="99"/>
      <c r="R6366" s="99"/>
    </row>
    <row r="6367" spans="5:18" s="65" customFormat="1">
      <c r="E6367" s="130"/>
      <c r="P6367" s="99"/>
      <c r="Q6367" s="99"/>
      <c r="R6367" s="99"/>
    </row>
    <row r="6368" spans="5:18" s="65" customFormat="1">
      <c r="E6368" s="130"/>
      <c r="P6368" s="99"/>
      <c r="Q6368" s="99"/>
      <c r="R6368" s="99"/>
    </row>
    <row r="6369" spans="5:18" s="65" customFormat="1">
      <c r="E6369" s="130"/>
      <c r="P6369" s="99"/>
      <c r="Q6369" s="99"/>
      <c r="R6369" s="99"/>
    </row>
    <row r="6370" spans="5:18" s="65" customFormat="1">
      <c r="E6370" s="130"/>
      <c r="P6370" s="99"/>
      <c r="Q6370" s="99"/>
      <c r="R6370" s="99"/>
    </row>
    <row r="6371" spans="5:18" s="65" customFormat="1">
      <c r="E6371" s="130"/>
      <c r="P6371" s="99"/>
      <c r="Q6371" s="99"/>
      <c r="R6371" s="99"/>
    </row>
    <row r="6372" spans="5:18" s="65" customFormat="1">
      <c r="E6372" s="130"/>
      <c r="P6372" s="99"/>
      <c r="Q6372" s="99"/>
      <c r="R6372" s="99"/>
    </row>
    <row r="6373" spans="5:18" s="65" customFormat="1">
      <c r="E6373" s="130"/>
      <c r="P6373" s="99"/>
      <c r="Q6373" s="99"/>
      <c r="R6373" s="99"/>
    </row>
    <row r="6374" spans="5:18" s="65" customFormat="1">
      <c r="E6374" s="130"/>
      <c r="P6374" s="99"/>
      <c r="Q6374" s="99"/>
      <c r="R6374" s="99"/>
    </row>
    <row r="6375" spans="5:18" s="65" customFormat="1">
      <c r="E6375" s="130"/>
      <c r="P6375" s="99"/>
      <c r="Q6375" s="99"/>
      <c r="R6375" s="99"/>
    </row>
    <row r="6376" spans="5:18" s="65" customFormat="1">
      <c r="E6376" s="130"/>
      <c r="P6376" s="99"/>
      <c r="Q6376" s="99"/>
      <c r="R6376" s="99"/>
    </row>
    <row r="6377" spans="5:18" s="65" customFormat="1">
      <c r="E6377" s="130"/>
      <c r="P6377" s="99"/>
      <c r="Q6377" s="99"/>
      <c r="R6377" s="99"/>
    </row>
    <row r="6378" spans="5:18" s="65" customFormat="1">
      <c r="E6378" s="130"/>
      <c r="P6378" s="99"/>
      <c r="Q6378" s="99"/>
      <c r="R6378" s="99"/>
    </row>
    <row r="6379" spans="5:18" s="65" customFormat="1">
      <c r="E6379" s="130"/>
      <c r="P6379" s="99"/>
      <c r="Q6379" s="99"/>
      <c r="R6379" s="99"/>
    </row>
    <row r="6380" spans="5:18" s="65" customFormat="1">
      <c r="E6380" s="130"/>
      <c r="P6380" s="99"/>
      <c r="Q6380" s="99"/>
      <c r="R6380" s="99"/>
    </row>
    <row r="6381" spans="5:18" s="65" customFormat="1">
      <c r="E6381" s="130"/>
      <c r="P6381" s="99"/>
      <c r="Q6381" s="99"/>
      <c r="R6381" s="99"/>
    </row>
    <row r="6382" spans="5:18" s="65" customFormat="1">
      <c r="E6382" s="130"/>
      <c r="P6382" s="99"/>
      <c r="Q6382" s="99"/>
      <c r="R6382" s="99"/>
    </row>
    <row r="6383" spans="5:18" s="65" customFormat="1">
      <c r="E6383" s="130"/>
      <c r="P6383" s="99"/>
      <c r="Q6383" s="99"/>
      <c r="R6383" s="99"/>
    </row>
    <row r="6384" spans="5:18" s="65" customFormat="1">
      <c r="E6384" s="130"/>
      <c r="P6384" s="99"/>
      <c r="Q6384" s="99"/>
      <c r="R6384" s="99"/>
    </row>
    <row r="6385" spans="5:18" s="65" customFormat="1">
      <c r="E6385" s="130"/>
      <c r="P6385" s="99"/>
      <c r="Q6385" s="99"/>
      <c r="R6385" s="99"/>
    </row>
    <row r="6386" spans="5:18" s="65" customFormat="1">
      <c r="E6386" s="130"/>
      <c r="P6386" s="99"/>
      <c r="Q6386" s="99"/>
      <c r="R6386" s="99"/>
    </row>
    <row r="6387" spans="5:18" s="65" customFormat="1">
      <c r="E6387" s="130"/>
      <c r="P6387" s="99"/>
      <c r="Q6387" s="99"/>
      <c r="R6387" s="99"/>
    </row>
    <row r="6388" spans="5:18" s="65" customFormat="1">
      <c r="E6388" s="130"/>
      <c r="P6388" s="99"/>
      <c r="Q6388" s="99"/>
      <c r="R6388" s="99"/>
    </row>
    <row r="6389" spans="5:18" s="65" customFormat="1">
      <c r="E6389" s="130"/>
      <c r="P6389" s="99"/>
      <c r="Q6389" s="99"/>
      <c r="R6389" s="99"/>
    </row>
    <row r="6390" spans="5:18" s="65" customFormat="1">
      <c r="E6390" s="130"/>
      <c r="P6390" s="99"/>
      <c r="Q6390" s="99"/>
      <c r="R6390" s="99"/>
    </row>
    <row r="6391" spans="5:18" s="65" customFormat="1">
      <c r="E6391" s="130"/>
      <c r="P6391" s="99"/>
      <c r="Q6391" s="99"/>
      <c r="R6391" s="99"/>
    </row>
    <row r="6392" spans="5:18" s="65" customFormat="1">
      <c r="E6392" s="130"/>
      <c r="P6392" s="99"/>
      <c r="Q6392" s="99"/>
      <c r="R6392" s="99"/>
    </row>
    <row r="6393" spans="5:18" s="65" customFormat="1">
      <c r="E6393" s="130"/>
      <c r="P6393" s="99"/>
      <c r="Q6393" s="99"/>
      <c r="R6393" s="99"/>
    </row>
    <row r="6394" spans="5:18" s="65" customFormat="1">
      <c r="E6394" s="130"/>
      <c r="P6394" s="99"/>
      <c r="Q6394" s="99"/>
      <c r="R6394" s="99"/>
    </row>
    <row r="6395" spans="5:18" s="65" customFormat="1">
      <c r="E6395" s="130"/>
      <c r="P6395" s="99"/>
      <c r="Q6395" s="99"/>
      <c r="R6395" s="99"/>
    </row>
    <row r="6396" spans="5:18" s="65" customFormat="1">
      <c r="E6396" s="130"/>
      <c r="P6396" s="99"/>
      <c r="Q6396" s="99"/>
      <c r="R6396" s="99"/>
    </row>
    <row r="6397" spans="5:18" s="65" customFormat="1">
      <c r="E6397" s="130"/>
      <c r="P6397" s="99"/>
      <c r="Q6397" s="99"/>
      <c r="R6397" s="99"/>
    </row>
    <row r="6398" spans="5:18" s="65" customFormat="1">
      <c r="E6398" s="130"/>
      <c r="P6398" s="99"/>
      <c r="Q6398" s="99"/>
      <c r="R6398" s="99"/>
    </row>
    <row r="6399" spans="5:18" s="65" customFormat="1">
      <c r="E6399" s="130"/>
      <c r="P6399" s="99"/>
      <c r="Q6399" s="99"/>
      <c r="R6399" s="99"/>
    </row>
    <row r="6400" spans="5:18" s="65" customFormat="1">
      <c r="E6400" s="130"/>
      <c r="P6400" s="99"/>
      <c r="Q6400" s="99"/>
      <c r="R6400" s="99"/>
    </row>
    <row r="6401" spans="5:18" s="65" customFormat="1">
      <c r="E6401" s="130"/>
      <c r="P6401" s="99"/>
      <c r="Q6401" s="99"/>
      <c r="R6401" s="99"/>
    </row>
    <row r="6402" spans="5:18" s="65" customFormat="1">
      <c r="E6402" s="130"/>
      <c r="P6402" s="99"/>
      <c r="Q6402" s="99"/>
      <c r="R6402" s="99"/>
    </row>
    <row r="6403" spans="5:18" s="65" customFormat="1">
      <c r="E6403" s="130"/>
      <c r="P6403" s="99"/>
      <c r="Q6403" s="99"/>
      <c r="R6403" s="99"/>
    </row>
    <row r="6404" spans="5:18" s="65" customFormat="1">
      <c r="E6404" s="130"/>
      <c r="P6404" s="99"/>
      <c r="Q6404" s="99"/>
      <c r="R6404" s="99"/>
    </row>
    <row r="6405" spans="5:18" s="65" customFormat="1">
      <c r="E6405" s="130"/>
      <c r="P6405" s="99"/>
      <c r="Q6405" s="99"/>
      <c r="R6405" s="99"/>
    </row>
    <row r="6406" spans="5:18" s="65" customFormat="1">
      <c r="E6406" s="130"/>
      <c r="P6406" s="99"/>
      <c r="Q6406" s="99"/>
      <c r="R6406" s="99"/>
    </row>
    <row r="6407" spans="5:18" s="65" customFormat="1">
      <c r="E6407" s="130"/>
      <c r="P6407" s="99"/>
      <c r="Q6407" s="99"/>
      <c r="R6407" s="99"/>
    </row>
    <row r="6408" spans="5:18" s="65" customFormat="1">
      <c r="E6408" s="130"/>
      <c r="P6408" s="99"/>
      <c r="Q6408" s="99"/>
      <c r="R6408" s="99"/>
    </row>
    <row r="6409" spans="5:18" s="65" customFormat="1">
      <c r="E6409" s="130"/>
      <c r="P6409" s="99"/>
      <c r="Q6409" s="99"/>
      <c r="R6409" s="99"/>
    </row>
    <row r="6410" spans="5:18" s="65" customFormat="1">
      <c r="E6410" s="130"/>
      <c r="P6410" s="99"/>
      <c r="Q6410" s="99"/>
      <c r="R6410" s="99"/>
    </row>
    <row r="6411" spans="5:18" s="65" customFormat="1">
      <c r="E6411" s="130"/>
      <c r="P6411" s="99"/>
      <c r="Q6411" s="99"/>
      <c r="R6411" s="99"/>
    </row>
    <row r="6412" spans="5:18" s="65" customFormat="1">
      <c r="E6412" s="130"/>
      <c r="P6412" s="99"/>
      <c r="Q6412" s="99"/>
      <c r="R6412" s="99"/>
    </row>
    <row r="6413" spans="5:18" s="65" customFormat="1">
      <c r="E6413" s="130"/>
      <c r="P6413" s="99"/>
      <c r="Q6413" s="99"/>
      <c r="R6413" s="99"/>
    </row>
    <row r="6414" spans="5:18" s="65" customFormat="1">
      <c r="E6414" s="130"/>
      <c r="P6414" s="99"/>
      <c r="Q6414" s="99"/>
      <c r="R6414" s="99"/>
    </row>
    <row r="6415" spans="5:18" s="65" customFormat="1">
      <c r="E6415" s="130"/>
      <c r="P6415" s="99"/>
      <c r="Q6415" s="99"/>
      <c r="R6415" s="99"/>
    </row>
    <row r="6416" spans="5:18" s="65" customFormat="1">
      <c r="E6416" s="130"/>
      <c r="P6416" s="99"/>
      <c r="Q6416" s="99"/>
      <c r="R6416" s="99"/>
    </row>
    <row r="6417" spans="5:18" s="65" customFormat="1">
      <c r="E6417" s="130"/>
      <c r="P6417" s="99"/>
      <c r="Q6417" s="99"/>
      <c r="R6417" s="99"/>
    </row>
    <row r="6418" spans="5:18" s="65" customFormat="1">
      <c r="E6418" s="130"/>
      <c r="P6418" s="99"/>
      <c r="Q6418" s="99"/>
      <c r="R6418" s="99"/>
    </row>
    <row r="6419" spans="5:18" s="65" customFormat="1">
      <c r="E6419" s="130"/>
      <c r="P6419" s="99"/>
      <c r="Q6419" s="99"/>
      <c r="R6419" s="99"/>
    </row>
    <row r="6420" spans="5:18" s="65" customFormat="1">
      <c r="E6420" s="130"/>
      <c r="P6420" s="99"/>
      <c r="Q6420" s="99"/>
      <c r="R6420" s="99"/>
    </row>
    <row r="6421" spans="5:18" s="65" customFormat="1">
      <c r="E6421" s="130"/>
      <c r="P6421" s="99"/>
      <c r="Q6421" s="99"/>
      <c r="R6421" s="99"/>
    </row>
    <row r="6422" spans="5:18" s="65" customFormat="1">
      <c r="E6422" s="130"/>
      <c r="P6422" s="99"/>
      <c r="Q6422" s="99"/>
      <c r="R6422" s="99"/>
    </row>
    <row r="6423" spans="5:18" s="65" customFormat="1">
      <c r="E6423" s="130"/>
      <c r="P6423" s="99"/>
      <c r="Q6423" s="99"/>
      <c r="R6423" s="99"/>
    </row>
    <row r="6424" spans="5:18" s="65" customFormat="1">
      <c r="E6424" s="130"/>
      <c r="P6424" s="99"/>
      <c r="Q6424" s="99"/>
      <c r="R6424" s="99"/>
    </row>
    <row r="6425" spans="5:18" s="65" customFormat="1">
      <c r="E6425" s="130"/>
      <c r="P6425" s="99"/>
      <c r="Q6425" s="99"/>
      <c r="R6425" s="99"/>
    </row>
    <row r="6426" spans="5:18" s="65" customFormat="1">
      <c r="E6426" s="130"/>
      <c r="P6426" s="99"/>
      <c r="Q6426" s="99"/>
      <c r="R6426" s="99"/>
    </row>
    <row r="6427" spans="5:18" s="65" customFormat="1">
      <c r="E6427" s="130"/>
      <c r="P6427" s="99"/>
      <c r="Q6427" s="99"/>
      <c r="R6427" s="99"/>
    </row>
    <row r="6428" spans="5:18" s="65" customFormat="1">
      <c r="E6428" s="130"/>
      <c r="P6428" s="99"/>
      <c r="Q6428" s="99"/>
      <c r="R6428" s="99"/>
    </row>
    <row r="6429" spans="5:18" s="65" customFormat="1">
      <c r="E6429" s="130"/>
      <c r="P6429" s="99"/>
      <c r="Q6429" s="99"/>
      <c r="R6429" s="99"/>
    </row>
    <row r="6430" spans="5:18" s="65" customFormat="1">
      <c r="E6430" s="130"/>
      <c r="P6430" s="99"/>
      <c r="Q6430" s="99"/>
      <c r="R6430" s="99"/>
    </row>
    <row r="6431" spans="5:18" s="65" customFormat="1">
      <c r="E6431" s="130"/>
      <c r="P6431" s="99"/>
      <c r="Q6431" s="99"/>
      <c r="R6431" s="99"/>
    </row>
    <row r="6432" spans="5:18" s="65" customFormat="1">
      <c r="E6432" s="130"/>
      <c r="P6432" s="99"/>
      <c r="Q6432" s="99"/>
      <c r="R6432" s="99"/>
    </row>
    <row r="6433" spans="5:18" s="65" customFormat="1">
      <c r="E6433" s="130"/>
      <c r="P6433" s="99"/>
      <c r="Q6433" s="99"/>
      <c r="R6433" s="99"/>
    </row>
    <row r="6434" spans="5:18" s="65" customFormat="1">
      <c r="E6434" s="130"/>
      <c r="P6434" s="99"/>
      <c r="Q6434" s="99"/>
      <c r="R6434" s="99"/>
    </row>
    <row r="6435" spans="5:18" s="65" customFormat="1">
      <c r="E6435" s="130"/>
      <c r="P6435" s="99"/>
      <c r="Q6435" s="99"/>
      <c r="R6435" s="99"/>
    </row>
    <row r="6436" spans="5:18" s="65" customFormat="1">
      <c r="E6436" s="130"/>
      <c r="P6436" s="99"/>
      <c r="Q6436" s="99"/>
      <c r="R6436" s="99"/>
    </row>
    <row r="6437" spans="5:18" s="65" customFormat="1">
      <c r="E6437" s="130"/>
      <c r="P6437" s="99"/>
      <c r="Q6437" s="99"/>
      <c r="R6437" s="99"/>
    </row>
    <row r="6438" spans="5:18" s="65" customFormat="1">
      <c r="E6438" s="130"/>
      <c r="P6438" s="99"/>
      <c r="Q6438" s="99"/>
      <c r="R6438" s="99"/>
    </row>
    <row r="6439" spans="5:18" s="65" customFormat="1">
      <c r="E6439" s="130"/>
      <c r="P6439" s="99"/>
      <c r="Q6439" s="99"/>
      <c r="R6439" s="99"/>
    </row>
    <row r="6440" spans="5:18" s="65" customFormat="1">
      <c r="E6440" s="130"/>
      <c r="P6440" s="99"/>
      <c r="Q6440" s="99"/>
      <c r="R6440" s="99"/>
    </row>
    <row r="6441" spans="5:18" s="65" customFormat="1">
      <c r="E6441" s="130"/>
      <c r="P6441" s="99"/>
      <c r="Q6441" s="99"/>
      <c r="R6441" s="99"/>
    </row>
    <row r="6442" spans="5:18" s="65" customFormat="1">
      <c r="E6442" s="130"/>
      <c r="P6442" s="99"/>
      <c r="Q6442" s="99"/>
      <c r="R6442" s="99"/>
    </row>
    <row r="6443" spans="5:18" s="65" customFormat="1">
      <c r="E6443" s="130"/>
      <c r="P6443" s="99"/>
      <c r="Q6443" s="99"/>
      <c r="R6443" s="99"/>
    </row>
    <row r="6444" spans="5:18" s="65" customFormat="1">
      <c r="E6444" s="130"/>
      <c r="P6444" s="99"/>
      <c r="Q6444" s="99"/>
      <c r="R6444" s="99"/>
    </row>
    <row r="6445" spans="5:18" s="65" customFormat="1">
      <c r="E6445" s="130"/>
      <c r="P6445" s="99"/>
      <c r="Q6445" s="99"/>
      <c r="R6445" s="99"/>
    </row>
    <row r="6446" spans="5:18" s="65" customFormat="1">
      <c r="E6446" s="130"/>
      <c r="P6446" s="99"/>
      <c r="Q6446" s="99"/>
      <c r="R6446" s="99"/>
    </row>
    <row r="6447" spans="5:18" s="65" customFormat="1">
      <c r="E6447" s="130"/>
      <c r="P6447" s="99"/>
      <c r="Q6447" s="99"/>
      <c r="R6447" s="99"/>
    </row>
    <row r="6448" spans="5:18" s="65" customFormat="1">
      <c r="E6448" s="130"/>
      <c r="P6448" s="99"/>
      <c r="Q6448" s="99"/>
      <c r="R6448" s="99"/>
    </row>
    <row r="6449" spans="5:18" s="65" customFormat="1">
      <c r="E6449" s="130"/>
      <c r="P6449" s="99"/>
      <c r="Q6449" s="99"/>
      <c r="R6449" s="99"/>
    </row>
    <row r="6450" spans="5:18" s="65" customFormat="1">
      <c r="E6450" s="130"/>
      <c r="P6450" s="99"/>
      <c r="Q6450" s="99"/>
      <c r="R6450" s="99"/>
    </row>
    <row r="6451" spans="5:18" s="65" customFormat="1">
      <c r="E6451" s="130"/>
      <c r="P6451" s="99"/>
      <c r="Q6451" s="99"/>
      <c r="R6451" s="99"/>
    </row>
    <row r="6452" spans="5:18" s="65" customFormat="1">
      <c r="E6452" s="130"/>
      <c r="P6452" s="99"/>
      <c r="Q6452" s="99"/>
      <c r="R6452" s="99"/>
    </row>
    <row r="6453" spans="5:18" s="65" customFormat="1">
      <c r="E6453" s="130"/>
      <c r="P6453" s="99"/>
      <c r="Q6453" s="99"/>
      <c r="R6453" s="99"/>
    </row>
    <row r="6454" spans="5:18" s="65" customFormat="1">
      <c r="E6454" s="130"/>
      <c r="P6454" s="99"/>
      <c r="Q6454" s="99"/>
      <c r="R6454" s="99"/>
    </row>
    <row r="6455" spans="5:18" s="65" customFormat="1">
      <c r="E6455" s="130"/>
      <c r="P6455" s="99"/>
      <c r="Q6455" s="99"/>
      <c r="R6455" s="99"/>
    </row>
    <row r="6456" spans="5:18" s="65" customFormat="1">
      <c r="E6456" s="130"/>
      <c r="P6456" s="99"/>
      <c r="Q6456" s="99"/>
      <c r="R6456" s="99"/>
    </row>
    <row r="6457" spans="5:18" s="65" customFormat="1">
      <c r="E6457" s="130"/>
      <c r="P6457" s="99"/>
      <c r="Q6457" s="99"/>
      <c r="R6457" s="99"/>
    </row>
    <row r="6458" spans="5:18" s="65" customFormat="1">
      <c r="E6458" s="130"/>
      <c r="P6458" s="99"/>
      <c r="Q6458" s="99"/>
      <c r="R6458" s="99"/>
    </row>
    <row r="6459" spans="5:18" s="65" customFormat="1">
      <c r="E6459" s="130"/>
      <c r="P6459" s="99"/>
      <c r="Q6459" s="99"/>
      <c r="R6459" s="99"/>
    </row>
    <row r="6460" spans="5:18" s="65" customFormat="1">
      <c r="E6460" s="130"/>
      <c r="P6460" s="99"/>
      <c r="Q6460" s="99"/>
      <c r="R6460" s="99"/>
    </row>
    <row r="6461" spans="5:18" s="65" customFormat="1">
      <c r="E6461" s="130"/>
      <c r="P6461" s="99"/>
      <c r="Q6461" s="99"/>
      <c r="R6461" s="99"/>
    </row>
    <row r="6462" spans="5:18" s="65" customFormat="1">
      <c r="E6462" s="130"/>
      <c r="P6462" s="99"/>
      <c r="Q6462" s="99"/>
      <c r="R6462" s="99"/>
    </row>
    <row r="6463" spans="5:18" s="65" customFormat="1">
      <c r="E6463" s="130"/>
      <c r="P6463" s="99"/>
      <c r="Q6463" s="99"/>
      <c r="R6463" s="99"/>
    </row>
    <row r="6464" spans="5:18" s="65" customFormat="1">
      <c r="E6464" s="130"/>
      <c r="P6464" s="99"/>
      <c r="Q6464" s="99"/>
      <c r="R6464" s="99"/>
    </row>
    <row r="6465" spans="5:18" s="65" customFormat="1">
      <c r="E6465" s="130"/>
      <c r="P6465" s="99"/>
      <c r="Q6465" s="99"/>
      <c r="R6465" s="99"/>
    </row>
    <row r="6466" spans="5:18" s="65" customFormat="1">
      <c r="E6466" s="130"/>
      <c r="P6466" s="99"/>
      <c r="Q6466" s="99"/>
      <c r="R6466" s="99"/>
    </row>
    <row r="6467" spans="5:18" s="65" customFormat="1">
      <c r="E6467" s="130"/>
      <c r="P6467" s="99"/>
      <c r="Q6467" s="99"/>
      <c r="R6467" s="99"/>
    </row>
    <row r="6468" spans="5:18" s="65" customFormat="1">
      <c r="E6468" s="130"/>
      <c r="P6468" s="99"/>
      <c r="Q6468" s="99"/>
      <c r="R6468" s="99"/>
    </row>
    <row r="6469" spans="5:18" s="65" customFormat="1">
      <c r="E6469" s="130"/>
      <c r="P6469" s="99"/>
      <c r="Q6469" s="99"/>
      <c r="R6469" s="99"/>
    </row>
    <row r="6470" spans="5:18" s="65" customFormat="1">
      <c r="E6470" s="130"/>
      <c r="P6470" s="99"/>
      <c r="Q6470" s="99"/>
      <c r="R6470" s="99"/>
    </row>
    <row r="6471" spans="5:18" s="65" customFormat="1">
      <c r="E6471" s="130"/>
      <c r="P6471" s="99"/>
      <c r="Q6471" s="99"/>
      <c r="R6471" s="99"/>
    </row>
    <row r="6472" spans="5:18" s="65" customFormat="1">
      <c r="E6472" s="130"/>
      <c r="P6472" s="99"/>
      <c r="Q6472" s="99"/>
      <c r="R6472" s="99"/>
    </row>
    <row r="6473" spans="5:18" s="65" customFormat="1">
      <c r="E6473" s="130"/>
      <c r="P6473" s="99"/>
      <c r="Q6473" s="99"/>
      <c r="R6473" s="99"/>
    </row>
    <row r="6474" spans="5:18" s="65" customFormat="1">
      <c r="E6474" s="130"/>
      <c r="P6474" s="99"/>
      <c r="Q6474" s="99"/>
      <c r="R6474" s="99"/>
    </row>
    <row r="6475" spans="5:18" s="65" customFormat="1">
      <c r="E6475" s="130"/>
      <c r="P6475" s="99"/>
      <c r="Q6475" s="99"/>
      <c r="R6475" s="99"/>
    </row>
    <row r="6476" spans="5:18" s="65" customFormat="1">
      <c r="E6476" s="130"/>
      <c r="P6476" s="99"/>
      <c r="Q6476" s="99"/>
      <c r="R6476" s="99"/>
    </row>
    <row r="6477" spans="5:18" s="65" customFormat="1">
      <c r="E6477" s="130"/>
      <c r="P6477" s="99"/>
      <c r="Q6477" s="99"/>
      <c r="R6477" s="99"/>
    </row>
    <row r="6478" spans="5:18" s="65" customFormat="1">
      <c r="E6478" s="130"/>
      <c r="P6478" s="99"/>
      <c r="Q6478" s="99"/>
      <c r="R6478" s="99"/>
    </row>
    <row r="6479" spans="5:18" s="65" customFormat="1">
      <c r="E6479" s="130"/>
      <c r="P6479" s="99"/>
      <c r="Q6479" s="99"/>
      <c r="R6479" s="99"/>
    </row>
    <row r="6480" spans="5:18" s="65" customFormat="1">
      <c r="E6480" s="130"/>
      <c r="P6480" s="99"/>
      <c r="Q6480" s="99"/>
      <c r="R6480" s="99"/>
    </row>
    <row r="6481" spans="5:18" s="65" customFormat="1">
      <c r="E6481" s="130"/>
      <c r="P6481" s="99"/>
      <c r="Q6481" s="99"/>
      <c r="R6481" s="99"/>
    </row>
    <row r="6482" spans="5:18" s="65" customFormat="1">
      <c r="E6482" s="130"/>
      <c r="P6482" s="99"/>
      <c r="Q6482" s="99"/>
      <c r="R6482" s="99"/>
    </row>
    <row r="6483" spans="5:18" s="65" customFormat="1">
      <c r="E6483" s="130"/>
      <c r="P6483" s="99"/>
      <c r="Q6483" s="99"/>
      <c r="R6483" s="99"/>
    </row>
    <row r="6484" spans="5:18" s="65" customFormat="1">
      <c r="E6484" s="130"/>
      <c r="P6484" s="99"/>
      <c r="Q6484" s="99"/>
      <c r="R6484" s="99"/>
    </row>
    <row r="6485" spans="5:18" s="65" customFormat="1">
      <c r="E6485" s="130"/>
      <c r="P6485" s="99"/>
      <c r="Q6485" s="99"/>
      <c r="R6485" s="99"/>
    </row>
    <row r="6486" spans="5:18" s="65" customFormat="1">
      <c r="E6486" s="130"/>
      <c r="P6486" s="99"/>
      <c r="Q6486" s="99"/>
      <c r="R6486" s="99"/>
    </row>
    <row r="6487" spans="5:18" s="65" customFormat="1">
      <c r="E6487" s="130"/>
      <c r="P6487" s="99"/>
      <c r="Q6487" s="99"/>
      <c r="R6487" s="99"/>
    </row>
    <row r="6488" spans="5:18" s="65" customFormat="1">
      <c r="E6488" s="130"/>
      <c r="P6488" s="99"/>
      <c r="Q6488" s="99"/>
      <c r="R6488" s="99"/>
    </row>
    <row r="6489" spans="5:18" s="65" customFormat="1">
      <c r="E6489" s="130"/>
      <c r="P6489" s="99"/>
      <c r="Q6489" s="99"/>
      <c r="R6489" s="99"/>
    </row>
    <row r="6490" spans="5:18" s="65" customFormat="1">
      <c r="E6490" s="130"/>
      <c r="P6490" s="99"/>
      <c r="Q6490" s="99"/>
      <c r="R6490" s="99"/>
    </row>
    <row r="6491" spans="5:18" s="65" customFormat="1">
      <c r="E6491" s="130"/>
      <c r="P6491" s="99"/>
      <c r="Q6491" s="99"/>
      <c r="R6491" s="99"/>
    </row>
    <row r="6492" spans="5:18" s="65" customFormat="1">
      <c r="E6492" s="130"/>
      <c r="P6492" s="99"/>
      <c r="Q6492" s="99"/>
      <c r="R6492" s="99"/>
    </row>
    <row r="6493" spans="5:18" s="65" customFormat="1">
      <c r="E6493" s="130"/>
      <c r="P6493" s="99"/>
      <c r="Q6493" s="99"/>
      <c r="R6493" s="99"/>
    </row>
    <row r="6494" spans="5:18" s="65" customFormat="1">
      <c r="E6494" s="130"/>
      <c r="P6494" s="99"/>
      <c r="Q6494" s="99"/>
      <c r="R6494" s="99"/>
    </row>
    <row r="6495" spans="5:18" s="65" customFormat="1">
      <c r="E6495" s="130"/>
      <c r="P6495" s="99"/>
      <c r="Q6495" s="99"/>
      <c r="R6495" s="99"/>
    </row>
    <row r="6496" spans="5:18" s="65" customFormat="1">
      <c r="E6496" s="130"/>
      <c r="P6496" s="99"/>
      <c r="Q6496" s="99"/>
      <c r="R6496" s="99"/>
    </row>
    <row r="6497" spans="5:18" s="65" customFormat="1">
      <c r="E6497" s="130"/>
      <c r="P6497" s="99"/>
      <c r="Q6497" s="99"/>
      <c r="R6497" s="99"/>
    </row>
    <row r="6498" spans="5:18" s="65" customFormat="1">
      <c r="E6498" s="130"/>
      <c r="P6498" s="99"/>
      <c r="Q6498" s="99"/>
      <c r="R6498" s="99"/>
    </row>
    <row r="6499" spans="5:18" s="65" customFormat="1">
      <c r="E6499" s="130"/>
      <c r="P6499" s="99"/>
      <c r="Q6499" s="99"/>
      <c r="R6499" s="99"/>
    </row>
    <row r="6500" spans="5:18" s="65" customFormat="1">
      <c r="E6500" s="130"/>
      <c r="P6500" s="99"/>
      <c r="Q6500" s="99"/>
      <c r="R6500" s="99"/>
    </row>
    <row r="6501" spans="5:18" s="65" customFormat="1">
      <c r="E6501" s="130"/>
      <c r="P6501" s="99"/>
      <c r="Q6501" s="99"/>
      <c r="R6501" s="99"/>
    </row>
    <row r="6502" spans="5:18" s="65" customFormat="1">
      <c r="E6502" s="130"/>
      <c r="P6502" s="99"/>
      <c r="Q6502" s="99"/>
      <c r="R6502" s="99"/>
    </row>
    <row r="6503" spans="5:18" s="65" customFormat="1">
      <c r="E6503" s="130"/>
      <c r="P6503" s="99"/>
      <c r="Q6503" s="99"/>
      <c r="R6503" s="99"/>
    </row>
    <row r="6504" spans="5:18" s="65" customFormat="1">
      <c r="E6504" s="130"/>
      <c r="P6504" s="99"/>
      <c r="Q6504" s="99"/>
      <c r="R6504" s="99"/>
    </row>
    <row r="6505" spans="5:18" s="65" customFormat="1">
      <c r="E6505" s="130"/>
      <c r="P6505" s="99"/>
      <c r="Q6505" s="99"/>
      <c r="R6505" s="99"/>
    </row>
    <row r="6506" spans="5:18" s="65" customFormat="1">
      <c r="E6506" s="130"/>
      <c r="P6506" s="99"/>
      <c r="Q6506" s="99"/>
      <c r="R6506" s="99"/>
    </row>
    <row r="6507" spans="5:18" s="65" customFormat="1">
      <c r="E6507" s="130"/>
      <c r="P6507" s="99"/>
      <c r="Q6507" s="99"/>
      <c r="R6507" s="99"/>
    </row>
    <row r="6508" spans="5:18" s="65" customFormat="1">
      <c r="E6508" s="130"/>
      <c r="P6508" s="99"/>
      <c r="Q6508" s="99"/>
      <c r="R6508" s="99"/>
    </row>
    <row r="6509" spans="5:18" s="65" customFormat="1">
      <c r="E6509" s="130"/>
      <c r="P6509" s="99"/>
      <c r="Q6509" s="99"/>
      <c r="R6509" s="99"/>
    </row>
    <row r="6510" spans="5:18" s="65" customFormat="1">
      <c r="E6510" s="130"/>
      <c r="P6510" s="99"/>
      <c r="Q6510" s="99"/>
      <c r="R6510" s="99"/>
    </row>
    <row r="6511" spans="5:18" s="65" customFormat="1">
      <c r="E6511" s="130"/>
      <c r="P6511" s="99"/>
      <c r="Q6511" s="99"/>
      <c r="R6511" s="99"/>
    </row>
    <row r="6512" spans="5:18" s="65" customFormat="1">
      <c r="E6512" s="130"/>
      <c r="P6512" s="99"/>
      <c r="Q6512" s="99"/>
      <c r="R6512" s="99"/>
    </row>
    <row r="6513" spans="5:18" s="65" customFormat="1">
      <c r="E6513" s="130"/>
      <c r="P6513" s="99"/>
      <c r="Q6513" s="99"/>
      <c r="R6513" s="99"/>
    </row>
    <row r="6514" spans="5:18" s="65" customFormat="1">
      <c r="E6514" s="130"/>
      <c r="P6514" s="99"/>
      <c r="Q6514" s="99"/>
      <c r="R6514" s="99"/>
    </row>
    <row r="6515" spans="5:18" s="65" customFormat="1">
      <c r="E6515" s="130"/>
      <c r="P6515" s="99"/>
      <c r="Q6515" s="99"/>
      <c r="R6515" s="99"/>
    </row>
    <row r="6516" spans="5:18" s="65" customFormat="1">
      <c r="E6516" s="130"/>
      <c r="P6516" s="99"/>
      <c r="Q6516" s="99"/>
      <c r="R6516" s="99"/>
    </row>
    <row r="6517" spans="5:18" s="65" customFormat="1">
      <c r="E6517" s="130"/>
      <c r="P6517" s="99"/>
      <c r="Q6517" s="99"/>
      <c r="R6517" s="99"/>
    </row>
    <row r="6518" spans="5:18" s="65" customFormat="1">
      <c r="E6518" s="130"/>
      <c r="P6518" s="99"/>
      <c r="Q6518" s="99"/>
      <c r="R6518" s="99"/>
    </row>
    <row r="6519" spans="5:18" s="65" customFormat="1">
      <c r="E6519" s="130"/>
      <c r="P6519" s="99"/>
      <c r="Q6519" s="99"/>
      <c r="R6519" s="99"/>
    </row>
    <row r="6520" spans="5:18" s="65" customFormat="1">
      <c r="E6520" s="130"/>
      <c r="P6520" s="99"/>
      <c r="Q6520" s="99"/>
      <c r="R6520" s="99"/>
    </row>
    <row r="6521" spans="5:18" s="65" customFormat="1">
      <c r="E6521" s="130"/>
      <c r="P6521" s="99"/>
      <c r="Q6521" s="99"/>
      <c r="R6521" s="99"/>
    </row>
    <row r="6522" spans="5:18" s="65" customFormat="1">
      <c r="E6522" s="130"/>
      <c r="P6522" s="99"/>
      <c r="Q6522" s="99"/>
      <c r="R6522" s="99"/>
    </row>
    <row r="6523" spans="5:18" s="65" customFormat="1">
      <c r="E6523" s="130"/>
      <c r="P6523" s="99"/>
      <c r="Q6523" s="99"/>
      <c r="R6523" s="99"/>
    </row>
    <row r="6524" spans="5:18" s="65" customFormat="1">
      <c r="E6524" s="130"/>
      <c r="P6524" s="99"/>
      <c r="Q6524" s="99"/>
      <c r="R6524" s="99"/>
    </row>
    <row r="6525" spans="5:18" s="65" customFormat="1">
      <c r="E6525" s="130"/>
      <c r="P6525" s="99"/>
      <c r="Q6525" s="99"/>
      <c r="R6525" s="99"/>
    </row>
    <row r="6526" spans="5:18" s="65" customFormat="1">
      <c r="E6526" s="130"/>
      <c r="P6526" s="99"/>
      <c r="Q6526" s="99"/>
      <c r="R6526" s="99"/>
    </row>
    <row r="6527" spans="5:18" s="65" customFormat="1">
      <c r="E6527" s="130"/>
      <c r="P6527" s="99"/>
      <c r="Q6527" s="99"/>
      <c r="R6527" s="99"/>
    </row>
    <row r="6528" spans="5:18" s="65" customFormat="1">
      <c r="E6528" s="130"/>
      <c r="P6528" s="99"/>
      <c r="Q6528" s="99"/>
      <c r="R6528" s="99"/>
    </row>
    <row r="6529" spans="5:18" s="65" customFormat="1">
      <c r="E6529" s="130"/>
      <c r="P6529" s="99"/>
      <c r="Q6529" s="99"/>
      <c r="R6529" s="99"/>
    </row>
    <row r="6530" spans="5:18" s="65" customFormat="1">
      <c r="E6530" s="130"/>
      <c r="P6530" s="99"/>
      <c r="Q6530" s="99"/>
      <c r="R6530" s="99"/>
    </row>
    <row r="6531" spans="5:18" s="65" customFormat="1">
      <c r="E6531" s="130"/>
      <c r="P6531" s="99"/>
      <c r="Q6531" s="99"/>
      <c r="R6531" s="99"/>
    </row>
    <row r="6532" spans="5:18" s="65" customFormat="1">
      <c r="E6532" s="130"/>
      <c r="P6532" s="99"/>
      <c r="Q6532" s="99"/>
      <c r="R6532" s="99"/>
    </row>
    <row r="6533" spans="5:18" s="65" customFormat="1">
      <c r="E6533" s="130"/>
      <c r="P6533" s="99"/>
      <c r="Q6533" s="99"/>
      <c r="R6533" s="99"/>
    </row>
    <row r="6534" spans="5:18" s="65" customFormat="1">
      <c r="E6534" s="130"/>
      <c r="P6534" s="99"/>
      <c r="Q6534" s="99"/>
      <c r="R6534" s="99"/>
    </row>
    <row r="6535" spans="5:18" s="65" customFormat="1">
      <c r="E6535" s="130"/>
      <c r="P6535" s="99"/>
      <c r="Q6535" s="99"/>
      <c r="R6535" s="99"/>
    </row>
    <row r="6536" spans="5:18" s="65" customFormat="1">
      <c r="E6536" s="130"/>
      <c r="P6536" s="99"/>
      <c r="Q6536" s="99"/>
      <c r="R6536" s="99"/>
    </row>
    <row r="6537" spans="5:18" s="65" customFormat="1">
      <c r="E6537" s="130"/>
      <c r="P6537" s="99"/>
      <c r="Q6537" s="99"/>
      <c r="R6537" s="99"/>
    </row>
    <row r="6538" spans="5:18" s="65" customFormat="1">
      <c r="E6538" s="130"/>
      <c r="P6538" s="99"/>
      <c r="Q6538" s="99"/>
      <c r="R6538" s="99"/>
    </row>
    <row r="6539" spans="5:18" s="65" customFormat="1">
      <c r="E6539" s="130"/>
      <c r="P6539" s="99"/>
      <c r="Q6539" s="99"/>
      <c r="R6539" s="99"/>
    </row>
    <row r="6540" spans="5:18" s="65" customFormat="1">
      <c r="E6540" s="130"/>
      <c r="P6540" s="99"/>
      <c r="Q6540" s="99"/>
      <c r="R6540" s="99"/>
    </row>
    <row r="6541" spans="5:18" s="65" customFormat="1">
      <c r="E6541" s="130"/>
      <c r="P6541" s="99"/>
      <c r="Q6541" s="99"/>
      <c r="R6541" s="99"/>
    </row>
    <row r="6542" spans="5:18" s="65" customFormat="1">
      <c r="E6542" s="130"/>
      <c r="P6542" s="99"/>
      <c r="Q6542" s="99"/>
      <c r="R6542" s="99"/>
    </row>
    <row r="6543" spans="5:18" s="65" customFormat="1">
      <c r="E6543" s="130"/>
      <c r="P6543" s="99"/>
      <c r="Q6543" s="99"/>
      <c r="R6543" s="99"/>
    </row>
    <row r="6544" spans="5:18" s="65" customFormat="1">
      <c r="E6544" s="130"/>
      <c r="P6544" s="99"/>
      <c r="Q6544" s="99"/>
      <c r="R6544" s="99"/>
    </row>
    <row r="6545" spans="5:18" s="65" customFormat="1">
      <c r="E6545" s="130"/>
      <c r="P6545" s="99"/>
      <c r="Q6545" s="99"/>
      <c r="R6545" s="99"/>
    </row>
    <row r="6546" spans="5:18" s="65" customFormat="1">
      <c r="E6546" s="130"/>
      <c r="P6546" s="99"/>
      <c r="Q6546" s="99"/>
      <c r="R6546" s="99"/>
    </row>
    <row r="6547" spans="5:18" s="65" customFormat="1">
      <c r="E6547" s="130"/>
      <c r="P6547" s="99"/>
      <c r="Q6547" s="99"/>
      <c r="R6547" s="99"/>
    </row>
    <row r="6548" spans="5:18" s="65" customFormat="1">
      <c r="E6548" s="130"/>
      <c r="P6548" s="99"/>
      <c r="Q6548" s="99"/>
      <c r="R6548" s="99"/>
    </row>
    <row r="6549" spans="5:18" s="65" customFormat="1">
      <c r="E6549" s="130"/>
      <c r="P6549" s="99"/>
      <c r="Q6549" s="99"/>
      <c r="R6549" s="99"/>
    </row>
    <row r="6550" spans="5:18" s="65" customFormat="1">
      <c r="E6550" s="130"/>
      <c r="P6550" s="99"/>
      <c r="Q6550" s="99"/>
      <c r="R6550" s="99"/>
    </row>
    <row r="6551" spans="5:18" s="65" customFormat="1">
      <c r="E6551" s="130"/>
      <c r="P6551" s="99"/>
      <c r="Q6551" s="99"/>
      <c r="R6551" s="99"/>
    </row>
    <row r="6552" spans="5:18" s="65" customFormat="1">
      <c r="E6552" s="130"/>
      <c r="P6552" s="99"/>
      <c r="Q6552" s="99"/>
      <c r="R6552" s="99"/>
    </row>
    <row r="6553" spans="5:18" s="65" customFormat="1">
      <c r="E6553" s="130"/>
      <c r="P6553" s="99"/>
      <c r="Q6553" s="99"/>
      <c r="R6553" s="99"/>
    </row>
    <row r="6554" spans="5:18" s="65" customFormat="1">
      <c r="E6554" s="130"/>
      <c r="P6554" s="99"/>
      <c r="Q6554" s="99"/>
      <c r="R6554" s="99"/>
    </row>
    <row r="6555" spans="5:18" s="65" customFormat="1">
      <c r="E6555" s="130"/>
      <c r="P6555" s="99"/>
      <c r="Q6555" s="99"/>
      <c r="R6555" s="99"/>
    </row>
    <row r="6556" spans="5:18" s="65" customFormat="1">
      <c r="E6556" s="130"/>
      <c r="P6556" s="99"/>
      <c r="Q6556" s="99"/>
      <c r="R6556" s="99"/>
    </row>
    <row r="6557" spans="5:18" s="65" customFormat="1">
      <c r="E6557" s="130"/>
      <c r="P6557" s="99"/>
      <c r="Q6557" s="99"/>
      <c r="R6557" s="99"/>
    </row>
    <row r="6558" spans="5:18" s="65" customFormat="1">
      <c r="E6558" s="130"/>
      <c r="P6558" s="99"/>
      <c r="Q6558" s="99"/>
      <c r="R6558" s="99"/>
    </row>
    <row r="6559" spans="5:18" s="65" customFormat="1">
      <c r="E6559" s="130"/>
      <c r="P6559" s="99"/>
      <c r="Q6559" s="99"/>
      <c r="R6559" s="99"/>
    </row>
    <row r="6560" spans="5:18" s="65" customFormat="1">
      <c r="E6560" s="130"/>
      <c r="P6560" s="99"/>
      <c r="Q6560" s="99"/>
      <c r="R6560" s="99"/>
    </row>
    <row r="6561" spans="5:18" s="65" customFormat="1">
      <c r="E6561" s="130"/>
      <c r="P6561" s="99"/>
      <c r="Q6561" s="99"/>
      <c r="R6561" s="99"/>
    </row>
    <row r="6562" spans="5:18" s="65" customFormat="1">
      <c r="E6562" s="130"/>
      <c r="P6562" s="99"/>
      <c r="Q6562" s="99"/>
      <c r="R6562" s="99"/>
    </row>
    <row r="6563" spans="5:18" s="65" customFormat="1">
      <c r="E6563" s="130"/>
      <c r="P6563" s="99"/>
      <c r="Q6563" s="99"/>
      <c r="R6563" s="99"/>
    </row>
    <row r="6564" spans="5:18" s="65" customFormat="1">
      <c r="E6564" s="130"/>
      <c r="P6564" s="99"/>
      <c r="Q6564" s="99"/>
      <c r="R6564" s="99"/>
    </row>
    <row r="6565" spans="5:18" s="65" customFormat="1">
      <c r="E6565" s="130"/>
      <c r="P6565" s="99"/>
      <c r="Q6565" s="99"/>
      <c r="R6565" s="99"/>
    </row>
    <row r="6566" spans="5:18" s="65" customFormat="1">
      <c r="E6566" s="130"/>
      <c r="P6566" s="99"/>
      <c r="Q6566" s="99"/>
      <c r="R6566" s="99"/>
    </row>
    <row r="6567" spans="5:18" s="65" customFormat="1">
      <c r="E6567" s="130"/>
      <c r="P6567" s="99"/>
      <c r="Q6567" s="99"/>
      <c r="R6567" s="99"/>
    </row>
    <row r="6568" spans="5:18" s="65" customFormat="1">
      <c r="E6568" s="130"/>
      <c r="P6568" s="99"/>
      <c r="Q6568" s="99"/>
      <c r="R6568" s="99"/>
    </row>
    <row r="6569" spans="5:18" s="65" customFormat="1">
      <c r="E6569" s="130"/>
      <c r="P6569" s="99"/>
      <c r="Q6569" s="99"/>
      <c r="R6569" s="99"/>
    </row>
    <row r="6570" spans="5:18" s="65" customFormat="1">
      <c r="E6570" s="130"/>
      <c r="P6570" s="99"/>
      <c r="Q6570" s="99"/>
      <c r="R6570" s="99"/>
    </row>
    <row r="6571" spans="5:18" s="65" customFormat="1">
      <c r="E6571" s="130"/>
      <c r="P6571" s="99"/>
      <c r="Q6571" s="99"/>
      <c r="R6571" s="99"/>
    </row>
    <row r="6572" spans="5:18" s="65" customFormat="1">
      <c r="E6572" s="130"/>
      <c r="P6572" s="99"/>
      <c r="Q6572" s="99"/>
      <c r="R6572" s="99"/>
    </row>
    <row r="6573" spans="5:18" s="65" customFormat="1">
      <c r="E6573" s="130"/>
      <c r="P6573" s="99"/>
      <c r="Q6573" s="99"/>
      <c r="R6573" s="99"/>
    </row>
    <row r="6574" spans="5:18" s="65" customFormat="1">
      <c r="E6574" s="130"/>
      <c r="P6574" s="99"/>
      <c r="Q6574" s="99"/>
      <c r="R6574" s="99"/>
    </row>
    <row r="6575" spans="5:18" s="65" customFormat="1">
      <c r="E6575" s="130"/>
      <c r="P6575" s="99"/>
      <c r="Q6575" s="99"/>
      <c r="R6575" s="99"/>
    </row>
    <row r="6576" spans="5:18" s="65" customFormat="1">
      <c r="E6576" s="130"/>
      <c r="P6576" s="99"/>
      <c r="Q6576" s="99"/>
      <c r="R6576" s="99"/>
    </row>
    <row r="6577" spans="5:18" s="65" customFormat="1">
      <c r="E6577" s="130"/>
      <c r="P6577" s="99"/>
      <c r="Q6577" s="99"/>
      <c r="R6577" s="99"/>
    </row>
    <row r="6578" spans="5:18" s="65" customFormat="1">
      <c r="E6578" s="130"/>
      <c r="P6578" s="99"/>
      <c r="Q6578" s="99"/>
      <c r="R6578" s="99"/>
    </row>
    <row r="6579" spans="5:18" s="65" customFormat="1">
      <c r="E6579" s="130"/>
      <c r="P6579" s="99"/>
      <c r="Q6579" s="99"/>
      <c r="R6579" s="99"/>
    </row>
    <row r="6580" spans="5:18" s="65" customFormat="1">
      <c r="E6580" s="130"/>
      <c r="P6580" s="99"/>
      <c r="Q6580" s="99"/>
      <c r="R6580" s="99"/>
    </row>
    <row r="6581" spans="5:18" s="65" customFormat="1">
      <c r="E6581" s="130"/>
      <c r="P6581" s="99"/>
      <c r="Q6581" s="99"/>
      <c r="R6581" s="99"/>
    </row>
    <row r="6582" spans="5:18" s="65" customFormat="1">
      <c r="E6582" s="130"/>
      <c r="P6582" s="99"/>
      <c r="Q6582" s="99"/>
      <c r="R6582" s="99"/>
    </row>
    <row r="6583" spans="5:18" s="65" customFormat="1">
      <c r="E6583" s="130"/>
      <c r="P6583" s="99"/>
      <c r="Q6583" s="99"/>
      <c r="R6583" s="99"/>
    </row>
    <row r="6584" spans="5:18" s="65" customFormat="1">
      <c r="E6584" s="130"/>
      <c r="P6584" s="99"/>
      <c r="Q6584" s="99"/>
      <c r="R6584" s="99"/>
    </row>
    <row r="6585" spans="5:18" s="65" customFormat="1">
      <c r="E6585" s="130"/>
      <c r="P6585" s="99"/>
      <c r="Q6585" s="99"/>
      <c r="R6585" s="99"/>
    </row>
    <row r="6586" spans="5:18" s="65" customFormat="1">
      <c r="E6586" s="130"/>
      <c r="P6586" s="99"/>
      <c r="Q6586" s="99"/>
      <c r="R6586" s="99"/>
    </row>
    <row r="6587" spans="5:18" s="65" customFormat="1">
      <c r="E6587" s="130"/>
      <c r="P6587" s="99"/>
      <c r="Q6587" s="99"/>
      <c r="R6587" s="99"/>
    </row>
    <row r="6588" spans="5:18" s="65" customFormat="1">
      <c r="E6588" s="130"/>
      <c r="P6588" s="99"/>
      <c r="Q6588" s="99"/>
      <c r="R6588" s="99"/>
    </row>
    <row r="6589" spans="5:18" s="65" customFormat="1">
      <c r="E6589" s="130"/>
      <c r="P6589" s="99"/>
      <c r="Q6589" s="99"/>
      <c r="R6589" s="99"/>
    </row>
    <row r="6590" spans="5:18" s="65" customFormat="1">
      <c r="E6590" s="130"/>
      <c r="P6590" s="99"/>
      <c r="Q6590" s="99"/>
      <c r="R6590" s="99"/>
    </row>
    <row r="6591" spans="5:18" s="65" customFormat="1">
      <c r="E6591" s="130"/>
      <c r="P6591" s="99"/>
      <c r="Q6591" s="99"/>
      <c r="R6591" s="99"/>
    </row>
    <row r="6592" spans="5:18" s="65" customFormat="1">
      <c r="E6592" s="130"/>
      <c r="P6592" s="99"/>
      <c r="Q6592" s="99"/>
      <c r="R6592" s="99"/>
    </row>
    <row r="6593" spans="5:18" s="65" customFormat="1">
      <c r="E6593" s="130"/>
      <c r="P6593" s="99"/>
      <c r="Q6593" s="99"/>
      <c r="R6593" s="99"/>
    </row>
    <row r="6594" spans="5:18" s="65" customFormat="1">
      <c r="E6594" s="130"/>
      <c r="P6594" s="99"/>
      <c r="Q6594" s="99"/>
      <c r="R6594" s="99"/>
    </row>
    <row r="6595" spans="5:18" s="65" customFormat="1">
      <c r="E6595" s="130"/>
      <c r="P6595" s="99"/>
      <c r="Q6595" s="99"/>
      <c r="R6595" s="99"/>
    </row>
    <row r="6596" spans="5:18" s="65" customFormat="1">
      <c r="E6596" s="130"/>
      <c r="P6596" s="99"/>
      <c r="Q6596" s="99"/>
      <c r="R6596" s="99"/>
    </row>
    <row r="6597" spans="5:18" s="65" customFormat="1">
      <c r="E6597" s="130"/>
      <c r="P6597" s="99"/>
      <c r="Q6597" s="99"/>
      <c r="R6597" s="99"/>
    </row>
    <row r="6598" spans="5:18" s="65" customFormat="1">
      <c r="E6598" s="130"/>
      <c r="P6598" s="99"/>
      <c r="Q6598" s="99"/>
      <c r="R6598" s="99"/>
    </row>
    <row r="6599" spans="5:18" s="65" customFormat="1">
      <c r="E6599" s="130"/>
      <c r="P6599" s="99"/>
      <c r="Q6599" s="99"/>
      <c r="R6599" s="99"/>
    </row>
    <row r="6600" spans="5:18" s="65" customFormat="1">
      <c r="E6600" s="130"/>
      <c r="P6600" s="99"/>
      <c r="Q6600" s="99"/>
      <c r="R6600" s="99"/>
    </row>
    <row r="6601" spans="5:18" s="65" customFormat="1">
      <c r="E6601" s="130"/>
      <c r="P6601" s="99"/>
      <c r="Q6601" s="99"/>
      <c r="R6601" s="99"/>
    </row>
    <row r="6602" spans="5:18" s="65" customFormat="1">
      <c r="E6602" s="130"/>
      <c r="P6602" s="99"/>
      <c r="Q6602" s="99"/>
      <c r="R6602" s="99"/>
    </row>
    <row r="6603" spans="5:18" s="65" customFormat="1">
      <c r="E6603" s="130"/>
      <c r="P6603" s="99"/>
      <c r="Q6603" s="99"/>
      <c r="R6603" s="99"/>
    </row>
    <row r="6604" spans="5:18" s="65" customFormat="1">
      <c r="E6604" s="130"/>
      <c r="P6604" s="99"/>
      <c r="Q6604" s="99"/>
      <c r="R6604" s="99"/>
    </row>
    <row r="6605" spans="5:18" s="65" customFormat="1">
      <c r="E6605" s="130"/>
      <c r="P6605" s="99"/>
      <c r="Q6605" s="99"/>
      <c r="R6605" s="99"/>
    </row>
    <row r="6606" spans="5:18" s="65" customFormat="1">
      <c r="E6606" s="130"/>
      <c r="P6606" s="99"/>
      <c r="Q6606" s="99"/>
      <c r="R6606" s="99"/>
    </row>
    <row r="6607" spans="5:18" s="65" customFormat="1">
      <c r="E6607" s="130"/>
      <c r="P6607" s="99"/>
      <c r="Q6607" s="99"/>
      <c r="R6607" s="99"/>
    </row>
    <row r="6608" spans="5:18" s="65" customFormat="1">
      <c r="E6608" s="130"/>
      <c r="P6608" s="99"/>
      <c r="Q6608" s="99"/>
      <c r="R6608" s="99"/>
    </row>
    <row r="6609" spans="5:18" s="65" customFormat="1">
      <c r="E6609" s="130"/>
      <c r="P6609" s="99"/>
      <c r="Q6609" s="99"/>
      <c r="R6609" s="99"/>
    </row>
    <row r="6610" spans="5:18" s="65" customFormat="1">
      <c r="E6610" s="130"/>
      <c r="P6610" s="99"/>
      <c r="Q6610" s="99"/>
      <c r="R6610" s="99"/>
    </row>
    <row r="6611" spans="5:18" s="65" customFormat="1">
      <c r="E6611" s="130"/>
      <c r="P6611" s="99"/>
      <c r="Q6611" s="99"/>
      <c r="R6611" s="99"/>
    </row>
    <row r="6612" spans="5:18" s="65" customFormat="1">
      <c r="E6612" s="130"/>
      <c r="P6612" s="99"/>
      <c r="Q6612" s="99"/>
      <c r="R6612" s="99"/>
    </row>
    <row r="6613" spans="5:18" s="65" customFormat="1">
      <c r="E6613" s="130"/>
      <c r="P6613" s="99"/>
      <c r="Q6613" s="99"/>
      <c r="R6613" s="99"/>
    </row>
    <row r="6614" spans="5:18" s="65" customFormat="1">
      <c r="E6614" s="130"/>
      <c r="P6614" s="99"/>
      <c r="Q6614" s="99"/>
      <c r="R6614" s="99"/>
    </row>
    <row r="6615" spans="5:18" s="65" customFormat="1">
      <c r="E6615" s="130"/>
      <c r="P6615" s="99"/>
      <c r="Q6615" s="99"/>
      <c r="R6615" s="99"/>
    </row>
    <row r="6616" spans="5:18" s="65" customFormat="1">
      <c r="E6616" s="130"/>
      <c r="P6616" s="99"/>
      <c r="Q6616" s="99"/>
      <c r="R6616" s="99"/>
    </row>
    <row r="6617" spans="5:18" s="65" customFormat="1">
      <c r="E6617" s="130"/>
      <c r="P6617" s="99"/>
      <c r="Q6617" s="99"/>
      <c r="R6617" s="99"/>
    </row>
    <row r="6618" spans="5:18" s="65" customFormat="1">
      <c r="E6618" s="130"/>
      <c r="P6618" s="99"/>
      <c r="Q6618" s="99"/>
      <c r="R6618" s="99"/>
    </row>
    <row r="6619" spans="5:18" s="65" customFormat="1">
      <c r="E6619" s="130"/>
      <c r="P6619" s="99"/>
      <c r="Q6619" s="99"/>
      <c r="R6619" s="99"/>
    </row>
    <row r="6620" spans="5:18" s="65" customFormat="1">
      <c r="E6620" s="130"/>
      <c r="P6620" s="99"/>
      <c r="Q6620" s="99"/>
      <c r="R6620" s="99"/>
    </row>
    <row r="6621" spans="5:18" s="65" customFormat="1">
      <c r="E6621" s="130"/>
      <c r="P6621" s="99"/>
      <c r="Q6621" s="99"/>
      <c r="R6621" s="99"/>
    </row>
    <row r="6622" spans="5:18" s="65" customFormat="1">
      <c r="E6622" s="130"/>
      <c r="P6622" s="99"/>
      <c r="Q6622" s="99"/>
      <c r="R6622" s="99"/>
    </row>
    <row r="6623" spans="5:18" s="65" customFormat="1">
      <c r="E6623" s="130"/>
      <c r="P6623" s="99"/>
      <c r="Q6623" s="99"/>
      <c r="R6623" s="99"/>
    </row>
    <row r="6624" spans="5:18" s="65" customFormat="1">
      <c r="E6624" s="130"/>
      <c r="P6624" s="99"/>
      <c r="Q6624" s="99"/>
      <c r="R6624" s="99"/>
    </row>
    <row r="6625" spans="5:18" s="65" customFormat="1">
      <c r="E6625" s="130"/>
      <c r="P6625" s="99"/>
      <c r="Q6625" s="99"/>
      <c r="R6625" s="99"/>
    </row>
    <row r="6626" spans="5:18" s="65" customFormat="1">
      <c r="E6626" s="130"/>
      <c r="P6626" s="99"/>
      <c r="Q6626" s="99"/>
      <c r="R6626" s="99"/>
    </row>
    <row r="6627" spans="5:18" s="65" customFormat="1">
      <c r="E6627" s="130"/>
      <c r="P6627" s="99"/>
      <c r="Q6627" s="99"/>
      <c r="R6627" s="99"/>
    </row>
    <row r="6628" spans="5:18" s="65" customFormat="1">
      <c r="E6628" s="130"/>
      <c r="P6628" s="99"/>
      <c r="Q6628" s="99"/>
      <c r="R6628" s="99"/>
    </row>
    <row r="6629" spans="5:18" s="65" customFormat="1">
      <c r="E6629" s="130"/>
      <c r="P6629" s="99"/>
      <c r="Q6629" s="99"/>
      <c r="R6629" s="99"/>
    </row>
    <row r="6630" spans="5:18" s="65" customFormat="1">
      <c r="E6630" s="130"/>
      <c r="P6630" s="99"/>
      <c r="Q6630" s="99"/>
      <c r="R6630" s="99"/>
    </row>
    <row r="6631" spans="5:18" s="65" customFormat="1">
      <c r="E6631" s="130"/>
      <c r="P6631" s="99"/>
      <c r="Q6631" s="99"/>
      <c r="R6631" s="99"/>
    </row>
    <row r="6632" spans="5:18" s="65" customFormat="1">
      <c r="E6632" s="130"/>
      <c r="P6632" s="99"/>
      <c r="Q6632" s="99"/>
      <c r="R6632" s="99"/>
    </row>
    <row r="6633" spans="5:18" s="65" customFormat="1">
      <c r="E6633" s="130"/>
      <c r="P6633" s="99"/>
      <c r="Q6633" s="99"/>
      <c r="R6633" s="99"/>
    </row>
    <row r="6634" spans="5:18" s="65" customFormat="1">
      <c r="E6634" s="130"/>
      <c r="P6634" s="99"/>
      <c r="Q6634" s="99"/>
      <c r="R6634" s="99"/>
    </row>
    <row r="6635" spans="5:18" s="65" customFormat="1">
      <c r="E6635" s="130"/>
      <c r="P6635" s="99"/>
      <c r="Q6635" s="99"/>
      <c r="R6635" s="99"/>
    </row>
    <row r="6636" spans="5:18" s="65" customFormat="1">
      <c r="E6636" s="130"/>
      <c r="P6636" s="99"/>
      <c r="Q6636" s="99"/>
      <c r="R6636" s="99"/>
    </row>
    <row r="6637" spans="5:18" s="65" customFormat="1">
      <c r="E6637" s="130"/>
      <c r="P6637" s="99"/>
      <c r="Q6637" s="99"/>
      <c r="R6637" s="99"/>
    </row>
    <row r="6638" spans="5:18" s="65" customFormat="1">
      <c r="E6638" s="130"/>
      <c r="P6638" s="99"/>
      <c r="Q6638" s="99"/>
      <c r="R6638" s="99"/>
    </row>
    <row r="6639" spans="5:18" s="65" customFormat="1">
      <c r="E6639" s="130"/>
      <c r="P6639" s="99"/>
      <c r="Q6639" s="99"/>
      <c r="R6639" s="99"/>
    </row>
    <row r="6640" spans="5:18" s="65" customFormat="1">
      <c r="E6640" s="130"/>
      <c r="P6640" s="99"/>
      <c r="Q6640" s="99"/>
      <c r="R6640" s="99"/>
    </row>
    <row r="6641" spans="5:18" s="65" customFormat="1">
      <c r="E6641" s="130"/>
      <c r="P6641" s="99"/>
      <c r="Q6641" s="99"/>
      <c r="R6641" s="99"/>
    </row>
    <row r="6642" spans="5:18" s="65" customFormat="1">
      <c r="E6642" s="130"/>
      <c r="P6642" s="99"/>
      <c r="Q6642" s="99"/>
      <c r="R6642" s="99"/>
    </row>
    <row r="6643" spans="5:18" s="65" customFormat="1">
      <c r="E6643" s="130"/>
      <c r="P6643" s="99"/>
      <c r="Q6643" s="99"/>
      <c r="R6643" s="99"/>
    </row>
    <row r="6644" spans="5:18" s="65" customFormat="1">
      <c r="E6644" s="130"/>
      <c r="P6644" s="99"/>
      <c r="Q6644" s="99"/>
      <c r="R6644" s="99"/>
    </row>
    <row r="6645" spans="5:18" s="65" customFormat="1">
      <c r="E6645" s="130"/>
      <c r="P6645" s="99"/>
      <c r="Q6645" s="99"/>
      <c r="R6645" s="99"/>
    </row>
    <row r="6646" spans="5:18" s="65" customFormat="1">
      <c r="E6646" s="130"/>
      <c r="P6646" s="99"/>
      <c r="Q6646" s="99"/>
      <c r="R6646" s="99"/>
    </row>
    <row r="6647" spans="5:18" s="65" customFormat="1">
      <c r="E6647" s="130"/>
      <c r="P6647" s="99"/>
      <c r="Q6647" s="99"/>
      <c r="R6647" s="99"/>
    </row>
    <row r="6648" spans="5:18" s="65" customFormat="1">
      <c r="E6648" s="130"/>
      <c r="P6648" s="99"/>
      <c r="Q6648" s="99"/>
      <c r="R6648" s="99"/>
    </row>
    <row r="6649" spans="5:18" s="65" customFormat="1">
      <c r="E6649" s="130"/>
      <c r="P6649" s="99"/>
      <c r="Q6649" s="99"/>
      <c r="R6649" s="99"/>
    </row>
    <row r="6650" spans="5:18" s="65" customFormat="1">
      <c r="E6650" s="130"/>
      <c r="P6650" s="99"/>
      <c r="Q6650" s="99"/>
      <c r="R6650" s="99"/>
    </row>
    <row r="6651" spans="5:18" s="65" customFormat="1">
      <c r="E6651" s="130"/>
      <c r="P6651" s="99"/>
      <c r="Q6651" s="99"/>
      <c r="R6651" s="99"/>
    </row>
    <row r="6652" spans="5:18" s="65" customFormat="1">
      <c r="E6652" s="130"/>
      <c r="P6652" s="99"/>
      <c r="Q6652" s="99"/>
      <c r="R6652" s="99"/>
    </row>
    <row r="6653" spans="5:18" s="65" customFormat="1">
      <c r="E6653" s="130"/>
      <c r="P6653" s="99"/>
      <c r="Q6653" s="99"/>
      <c r="R6653" s="99"/>
    </row>
    <row r="6654" spans="5:18" s="65" customFormat="1">
      <c r="E6654" s="130"/>
      <c r="P6654" s="99"/>
      <c r="Q6654" s="99"/>
      <c r="R6654" s="99"/>
    </row>
    <row r="6655" spans="5:18" s="65" customFormat="1">
      <c r="E6655" s="130"/>
      <c r="P6655" s="99"/>
      <c r="Q6655" s="99"/>
      <c r="R6655" s="99"/>
    </row>
    <row r="6656" spans="5:18" s="65" customFormat="1">
      <c r="E6656" s="130"/>
      <c r="P6656" s="99"/>
      <c r="Q6656" s="99"/>
      <c r="R6656" s="99"/>
    </row>
    <row r="6657" spans="5:18" s="65" customFormat="1">
      <c r="E6657" s="130"/>
      <c r="P6657" s="99"/>
      <c r="Q6657" s="99"/>
      <c r="R6657" s="99"/>
    </row>
    <row r="6658" spans="5:18" s="65" customFormat="1">
      <c r="E6658" s="130"/>
      <c r="P6658" s="99"/>
      <c r="Q6658" s="99"/>
      <c r="R6658" s="99"/>
    </row>
    <row r="6659" spans="5:18" s="65" customFormat="1">
      <c r="E6659" s="130"/>
      <c r="P6659" s="99"/>
      <c r="Q6659" s="99"/>
      <c r="R6659" s="99"/>
    </row>
    <row r="6660" spans="5:18" s="65" customFormat="1">
      <c r="E6660" s="130"/>
      <c r="P6660" s="99"/>
      <c r="Q6660" s="99"/>
      <c r="R6660" s="99"/>
    </row>
    <row r="6661" spans="5:18" s="65" customFormat="1">
      <c r="E6661" s="130"/>
      <c r="P6661" s="99"/>
      <c r="Q6661" s="99"/>
      <c r="R6661" s="99"/>
    </row>
    <row r="6662" spans="5:18" s="65" customFormat="1">
      <c r="E6662" s="130"/>
      <c r="P6662" s="99"/>
      <c r="Q6662" s="99"/>
      <c r="R6662" s="99"/>
    </row>
    <row r="6663" spans="5:18" s="65" customFormat="1">
      <c r="E6663" s="130"/>
      <c r="P6663" s="99"/>
      <c r="Q6663" s="99"/>
      <c r="R6663" s="99"/>
    </row>
    <row r="6664" spans="5:18" s="65" customFormat="1">
      <c r="E6664" s="130"/>
      <c r="P6664" s="99"/>
      <c r="Q6664" s="99"/>
      <c r="R6664" s="99"/>
    </row>
    <row r="6665" spans="5:18" s="65" customFormat="1">
      <c r="E6665" s="130"/>
      <c r="P6665" s="99"/>
      <c r="Q6665" s="99"/>
      <c r="R6665" s="99"/>
    </row>
    <row r="6666" spans="5:18" s="65" customFormat="1">
      <c r="E6666" s="130"/>
      <c r="P6666" s="99"/>
      <c r="Q6666" s="99"/>
      <c r="R6666" s="99"/>
    </row>
    <row r="6667" spans="5:18" s="65" customFormat="1">
      <c r="E6667" s="130"/>
      <c r="P6667" s="99"/>
      <c r="Q6667" s="99"/>
      <c r="R6667" s="99"/>
    </row>
    <row r="6668" spans="5:18" s="65" customFormat="1">
      <c r="E6668" s="130"/>
      <c r="P6668" s="99"/>
      <c r="Q6668" s="99"/>
      <c r="R6668" s="99"/>
    </row>
    <row r="6669" spans="5:18" s="65" customFormat="1">
      <c r="E6669" s="130"/>
      <c r="P6669" s="99"/>
      <c r="Q6669" s="99"/>
      <c r="R6669" s="99"/>
    </row>
    <row r="6670" spans="5:18" s="65" customFormat="1">
      <c r="E6670" s="130"/>
      <c r="P6670" s="99"/>
      <c r="Q6670" s="99"/>
      <c r="R6670" s="99"/>
    </row>
    <row r="6671" spans="5:18" s="65" customFormat="1">
      <c r="E6671" s="130"/>
      <c r="P6671" s="99"/>
      <c r="Q6671" s="99"/>
      <c r="R6671" s="99"/>
    </row>
    <row r="6672" spans="5:18" s="65" customFormat="1">
      <c r="E6672" s="130"/>
      <c r="P6672" s="99"/>
      <c r="Q6672" s="99"/>
      <c r="R6672" s="99"/>
    </row>
    <row r="6673" spans="5:18" s="65" customFormat="1">
      <c r="E6673" s="130"/>
      <c r="P6673" s="99"/>
      <c r="Q6673" s="99"/>
      <c r="R6673" s="99"/>
    </row>
    <row r="6674" spans="5:18" s="65" customFormat="1">
      <c r="E6674" s="130"/>
      <c r="P6674" s="99"/>
      <c r="Q6674" s="99"/>
      <c r="R6674" s="99"/>
    </row>
    <row r="6675" spans="5:18" s="65" customFormat="1">
      <c r="E6675" s="130"/>
      <c r="P6675" s="99"/>
      <c r="Q6675" s="99"/>
      <c r="R6675" s="99"/>
    </row>
    <row r="6676" spans="5:18" s="65" customFormat="1">
      <c r="E6676" s="130"/>
      <c r="P6676" s="99"/>
      <c r="Q6676" s="99"/>
      <c r="R6676" s="99"/>
    </row>
    <row r="6677" spans="5:18" s="65" customFormat="1">
      <c r="E6677" s="130"/>
      <c r="P6677" s="99"/>
      <c r="Q6677" s="99"/>
      <c r="R6677" s="99"/>
    </row>
    <row r="6678" spans="5:18" s="65" customFormat="1">
      <c r="E6678" s="130"/>
      <c r="P6678" s="99"/>
      <c r="Q6678" s="99"/>
      <c r="R6678" s="99"/>
    </row>
    <row r="6679" spans="5:18" s="65" customFormat="1">
      <c r="E6679" s="130"/>
      <c r="P6679" s="99"/>
      <c r="Q6679" s="99"/>
      <c r="R6679" s="99"/>
    </row>
    <row r="6680" spans="5:18" s="65" customFormat="1">
      <c r="E6680" s="130"/>
      <c r="P6680" s="99"/>
      <c r="Q6680" s="99"/>
      <c r="R6680" s="99"/>
    </row>
    <row r="6681" spans="5:18" s="65" customFormat="1">
      <c r="E6681" s="130"/>
      <c r="P6681" s="99"/>
      <c r="Q6681" s="99"/>
      <c r="R6681" s="99"/>
    </row>
    <row r="6682" spans="5:18" s="65" customFormat="1">
      <c r="E6682" s="130"/>
      <c r="P6682" s="99"/>
      <c r="Q6682" s="99"/>
      <c r="R6682" s="99"/>
    </row>
    <row r="6683" spans="5:18" s="65" customFormat="1">
      <c r="E6683" s="130"/>
      <c r="P6683" s="99"/>
      <c r="Q6683" s="99"/>
      <c r="R6683" s="99"/>
    </row>
    <row r="6684" spans="5:18" s="65" customFormat="1">
      <c r="E6684" s="130"/>
      <c r="P6684" s="99"/>
      <c r="Q6684" s="99"/>
      <c r="R6684" s="99"/>
    </row>
    <row r="6685" spans="5:18" s="65" customFormat="1">
      <c r="E6685" s="130"/>
      <c r="P6685" s="99"/>
      <c r="Q6685" s="99"/>
      <c r="R6685" s="99"/>
    </row>
    <row r="6686" spans="5:18" s="65" customFormat="1">
      <c r="E6686" s="130"/>
      <c r="P6686" s="99"/>
      <c r="Q6686" s="99"/>
      <c r="R6686" s="99"/>
    </row>
    <row r="6687" spans="5:18" s="65" customFormat="1">
      <c r="E6687" s="130"/>
      <c r="P6687" s="99"/>
      <c r="Q6687" s="99"/>
      <c r="R6687" s="99"/>
    </row>
    <row r="6688" spans="5:18" s="65" customFormat="1">
      <c r="E6688" s="130"/>
      <c r="P6688" s="99"/>
      <c r="Q6688" s="99"/>
      <c r="R6688" s="99"/>
    </row>
    <row r="6689" spans="5:18" s="65" customFormat="1">
      <c r="E6689" s="130"/>
      <c r="P6689" s="99"/>
      <c r="Q6689" s="99"/>
      <c r="R6689" s="99"/>
    </row>
    <row r="6690" spans="5:18" s="65" customFormat="1">
      <c r="E6690" s="130"/>
      <c r="P6690" s="99"/>
      <c r="Q6690" s="99"/>
      <c r="R6690" s="99"/>
    </row>
    <row r="6691" spans="5:18" s="65" customFormat="1">
      <c r="E6691" s="130"/>
      <c r="P6691" s="99"/>
      <c r="Q6691" s="99"/>
      <c r="R6691" s="99"/>
    </row>
    <row r="6692" spans="5:18" s="65" customFormat="1">
      <c r="E6692" s="130"/>
      <c r="P6692" s="99"/>
      <c r="Q6692" s="99"/>
      <c r="R6692" s="99"/>
    </row>
    <row r="6693" spans="5:18" s="65" customFormat="1">
      <c r="E6693" s="130"/>
      <c r="P6693" s="99"/>
      <c r="Q6693" s="99"/>
      <c r="R6693" s="99"/>
    </row>
    <row r="6694" spans="5:18" s="65" customFormat="1">
      <c r="E6694" s="130"/>
      <c r="P6694" s="99"/>
      <c r="Q6694" s="99"/>
      <c r="R6694" s="99"/>
    </row>
    <row r="6695" spans="5:18" s="65" customFormat="1">
      <c r="E6695" s="130"/>
      <c r="P6695" s="99"/>
      <c r="Q6695" s="99"/>
      <c r="R6695" s="99"/>
    </row>
    <row r="6696" spans="5:18" s="65" customFormat="1">
      <c r="E6696" s="130"/>
      <c r="P6696" s="99"/>
      <c r="Q6696" s="99"/>
      <c r="R6696" s="99"/>
    </row>
    <row r="6697" spans="5:18" s="65" customFormat="1">
      <c r="E6697" s="130"/>
      <c r="P6697" s="99"/>
      <c r="Q6697" s="99"/>
      <c r="R6697" s="99"/>
    </row>
    <row r="6698" spans="5:18" s="65" customFormat="1">
      <c r="E6698" s="130"/>
      <c r="P6698" s="99"/>
      <c r="Q6698" s="99"/>
      <c r="R6698" s="99"/>
    </row>
    <row r="6699" spans="5:18" s="65" customFormat="1">
      <c r="E6699" s="130"/>
      <c r="P6699" s="99"/>
      <c r="Q6699" s="99"/>
      <c r="R6699" s="99"/>
    </row>
    <row r="6700" spans="5:18" s="65" customFormat="1">
      <c r="E6700" s="130"/>
      <c r="P6700" s="99"/>
      <c r="Q6700" s="99"/>
      <c r="R6700" s="99"/>
    </row>
    <row r="6701" spans="5:18" s="65" customFormat="1">
      <c r="E6701" s="130"/>
      <c r="P6701" s="99"/>
      <c r="Q6701" s="99"/>
      <c r="R6701" s="99"/>
    </row>
    <row r="6702" spans="5:18" s="65" customFormat="1">
      <c r="E6702" s="130"/>
      <c r="P6702" s="99"/>
      <c r="Q6702" s="99"/>
      <c r="R6702" s="99"/>
    </row>
    <row r="6703" spans="5:18" s="65" customFormat="1">
      <c r="E6703" s="130"/>
      <c r="P6703" s="99"/>
      <c r="Q6703" s="99"/>
      <c r="R6703" s="99"/>
    </row>
    <row r="6704" spans="5:18" s="65" customFormat="1">
      <c r="E6704" s="130"/>
      <c r="P6704" s="99"/>
      <c r="Q6704" s="99"/>
      <c r="R6704" s="99"/>
    </row>
    <row r="6705" spans="5:18" s="65" customFormat="1">
      <c r="E6705" s="130"/>
      <c r="P6705" s="99"/>
      <c r="Q6705" s="99"/>
      <c r="R6705" s="99"/>
    </row>
    <row r="6706" spans="5:18" s="65" customFormat="1">
      <c r="E6706" s="130"/>
      <c r="P6706" s="99"/>
      <c r="Q6706" s="99"/>
      <c r="R6706" s="99"/>
    </row>
    <row r="6707" spans="5:18" s="65" customFormat="1">
      <c r="E6707" s="130"/>
      <c r="P6707" s="99"/>
      <c r="Q6707" s="99"/>
      <c r="R6707" s="99"/>
    </row>
    <row r="6708" spans="5:18" s="65" customFormat="1">
      <c r="E6708" s="130"/>
      <c r="P6708" s="99"/>
      <c r="Q6708" s="99"/>
      <c r="R6708" s="99"/>
    </row>
    <row r="6709" spans="5:18" s="65" customFormat="1">
      <c r="E6709" s="130"/>
      <c r="P6709" s="99"/>
      <c r="Q6709" s="99"/>
      <c r="R6709" s="99"/>
    </row>
    <row r="6710" spans="5:18" s="65" customFormat="1">
      <c r="E6710" s="130"/>
      <c r="P6710" s="99"/>
      <c r="Q6710" s="99"/>
      <c r="R6710" s="99"/>
    </row>
    <row r="6711" spans="5:18" s="65" customFormat="1">
      <c r="E6711" s="130"/>
      <c r="P6711" s="99"/>
      <c r="Q6711" s="99"/>
      <c r="R6711" s="99"/>
    </row>
    <row r="6712" spans="5:18" s="65" customFormat="1">
      <c r="E6712" s="130"/>
      <c r="P6712" s="99"/>
      <c r="Q6712" s="99"/>
      <c r="R6712" s="99"/>
    </row>
    <row r="6713" spans="5:18" s="65" customFormat="1">
      <c r="E6713" s="130"/>
      <c r="P6713" s="99"/>
      <c r="Q6713" s="99"/>
      <c r="R6713" s="99"/>
    </row>
    <row r="6714" spans="5:18" s="65" customFormat="1">
      <c r="E6714" s="130"/>
      <c r="P6714" s="99"/>
      <c r="Q6714" s="99"/>
      <c r="R6714" s="99"/>
    </row>
    <row r="6715" spans="5:18" s="65" customFormat="1">
      <c r="E6715" s="130"/>
      <c r="P6715" s="99"/>
      <c r="Q6715" s="99"/>
      <c r="R6715" s="99"/>
    </row>
    <row r="6716" spans="5:18" s="65" customFormat="1">
      <c r="E6716" s="130"/>
      <c r="P6716" s="99"/>
      <c r="Q6716" s="99"/>
      <c r="R6716" s="99"/>
    </row>
    <row r="6717" spans="5:18" s="65" customFormat="1">
      <c r="E6717" s="130"/>
      <c r="P6717" s="99"/>
      <c r="Q6717" s="99"/>
      <c r="R6717" s="99"/>
    </row>
    <row r="6718" spans="5:18" s="65" customFormat="1">
      <c r="E6718" s="130"/>
      <c r="P6718" s="99"/>
      <c r="Q6718" s="99"/>
      <c r="R6718" s="99"/>
    </row>
    <row r="6719" spans="5:18" s="65" customFormat="1">
      <c r="E6719" s="130"/>
      <c r="P6719" s="99"/>
      <c r="Q6719" s="99"/>
      <c r="R6719" s="99"/>
    </row>
    <row r="6720" spans="5:18" s="65" customFormat="1">
      <c r="E6720" s="130"/>
      <c r="P6720" s="99"/>
      <c r="Q6720" s="99"/>
      <c r="R6720" s="99"/>
    </row>
    <row r="6721" spans="5:18" s="65" customFormat="1">
      <c r="E6721" s="130"/>
      <c r="P6721" s="99"/>
      <c r="Q6721" s="99"/>
      <c r="R6721" s="99"/>
    </row>
    <row r="6722" spans="5:18" s="65" customFormat="1">
      <c r="E6722" s="130"/>
      <c r="P6722" s="99"/>
      <c r="Q6722" s="99"/>
      <c r="R6722" s="99"/>
    </row>
    <row r="6723" spans="5:18" s="65" customFormat="1">
      <c r="E6723" s="130"/>
      <c r="P6723" s="99"/>
      <c r="Q6723" s="99"/>
      <c r="R6723" s="99"/>
    </row>
    <row r="6724" spans="5:18" s="65" customFormat="1">
      <c r="E6724" s="130"/>
      <c r="P6724" s="99"/>
      <c r="Q6724" s="99"/>
      <c r="R6724" s="99"/>
    </row>
    <row r="6725" spans="5:18" s="65" customFormat="1">
      <c r="E6725" s="130"/>
      <c r="P6725" s="99"/>
      <c r="Q6725" s="99"/>
      <c r="R6725" s="99"/>
    </row>
    <row r="6726" spans="5:18" s="65" customFormat="1">
      <c r="E6726" s="130"/>
      <c r="P6726" s="99"/>
      <c r="Q6726" s="99"/>
      <c r="R6726" s="99"/>
    </row>
    <row r="6727" spans="5:18" s="65" customFormat="1">
      <c r="E6727" s="130"/>
      <c r="P6727" s="99"/>
      <c r="Q6727" s="99"/>
      <c r="R6727" s="99"/>
    </row>
    <row r="6728" spans="5:18" s="65" customFormat="1">
      <c r="E6728" s="130"/>
      <c r="P6728" s="99"/>
      <c r="Q6728" s="99"/>
      <c r="R6728" s="99"/>
    </row>
    <row r="6729" spans="5:18" s="65" customFormat="1">
      <c r="E6729" s="130"/>
      <c r="P6729" s="99"/>
      <c r="Q6729" s="99"/>
      <c r="R6729" s="99"/>
    </row>
    <row r="6730" spans="5:18" s="65" customFormat="1">
      <c r="E6730" s="130"/>
      <c r="P6730" s="99"/>
      <c r="Q6730" s="99"/>
      <c r="R6730" s="99"/>
    </row>
    <row r="6731" spans="5:18" s="65" customFormat="1">
      <c r="E6731" s="130"/>
      <c r="P6731" s="99"/>
      <c r="Q6731" s="99"/>
      <c r="R6731" s="99"/>
    </row>
    <row r="6732" spans="5:18" s="65" customFormat="1">
      <c r="E6732" s="130"/>
      <c r="P6732" s="99"/>
      <c r="Q6732" s="99"/>
      <c r="R6732" s="99"/>
    </row>
    <row r="6733" spans="5:18" s="65" customFormat="1">
      <c r="E6733" s="130"/>
      <c r="P6733" s="99"/>
      <c r="Q6733" s="99"/>
      <c r="R6733" s="99"/>
    </row>
    <row r="6734" spans="5:18" s="65" customFormat="1">
      <c r="E6734" s="130"/>
      <c r="P6734" s="99"/>
      <c r="Q6734" s="99"/>
      <c r="R6734" s="99"/>
    </row>
    <row r="6735" spans="5:18" s="65" customFormat="1">
      <c r="E6735" s="130"/>
      <c r="P6735" s="99"/>
      <c r="Q6735" s="99"/>
      <c r="R6735" s="99"/>
    </row>
    <row r="6736" spans="5:18" s="65" customFormat="1">
      <c r="E6736" s="130"/>
      <c r="P6736" s="99"/>
      <c r="Q6736" s="99"/>
      <c r="R6736" s="99"/>
    </row>
    <row r="6737" spans="5:18" s="65" customFormat="1">
      <c r="E6737" s="130"/>
      <c r="P6737" s="99"/>
      <c r="Q6737" s="99"/>
      <c r="R6737" s="99"/>
    </row>
    <row r="6738" spans="5:18" s="65" customFormat="1">
      <c r="E6738" s="130"/>
      <c r="P6738" s="99"/>
      <c r="Q6738" s="99"/>
      <c r="R6738" s="99"/>
    </row>
    <row r="6739" spans="5:18" s="65" customFormat="1">
      <c r="E6739" s="130"/>
      <c r="P6739" s="99"/>
      <c r="Q6739" s="99"/>
      <c r="R6739" s="99"/>
    </row>
    <row r="6740" spans="5:18" s="65" customFormat="1">
      <c r="E6740" s="130"/>
      <c r="P6740" s="99"/>
      <c r="Q6740" s="99"/>
      <c r="R6740" s="99"/>
    </row>
    <row r="6741" spans="5:18" s="65" customFormat="1">
      <c r="E6741" s="130"/>
      <c r="P6741" s="99"/>
      <c r="Q6741" s="99"/>
      <c r="R6741" s="99"/>
    </row>
    <row r="6742" spans="5:18" s="65" customFormat="1">
      <c r="E6742" s="130"/>
      <c r="P6742" s="99"/>
      <c r="Q6742" s="99"/>
      <c r="R6742" s="99"/>
    </row>
    <row r="6743" spans="5:18" s="65" customFormat="1">
      <c r="E6743" s="130"/>
      <c r="P6743" s="99"/>
      <c r="Q6743" s="99"/>
      <c r="R6743" s="99"/>
    </row>
    <row r="6744" spans="5:18" s="65" customFormat="1">
      <c r="E6744" s="130"/>
      <c r="P6744" s="99"/>
      <c r="Q6744" s="99"/>
      <c r="R6744" s="99"/>
    </row>
    <row r="6745" spans="5:18" s="65" customFormat="1">
      <c r="E6745" s="130"/>
      <c r="P6745" s="99"/>
      <c r="Q6745" s="99"/>
      <c r="R6745" s="99"/>
    </row>
    <row r="6746" spans="5:18" s="65" customFormat="1">
      <c r="E6746" s="130"/>
      <c r="P6746" s="99"/>
      <c r="Q6746" s="99"/>
      <c r="R6746" s="99"/>
    </row>
    <row r="6747" spans="5:18" s="65" customFormat="1">
      <c r="E6747" s="130"/>
      <c r="P6747" s="99"/>
      <c r="Q6747" s="99"/>
      <c r="R6747" s="99"/>
    </row>
    <row r="6748" spans="5:18" s="65" customFormat="1">
      <c r="E6748" s="130"/>
      <c r="P6748" s="99"/>
      <c r="Q6748" s="99"/>
      <c r="R6748" s="99"/>
    </row>
    <row r="6749" spans="5:18" s="65" customFormat="1">
      <c r="E6749" s="130"/>
      <c r="P6749" s="99"/>
      <c r="Q6749" s="99"/>
      <c r="R6749" s="99"/>
    </row>
    <row r="6750" spans="5:18" s="65" customFormat="1">
      <c r="E6750" s="130"/>
      <c r="P6750" s="99"/>
      <c r="Q6750" s="99"/>
      <c r="R6750" s="99"/>
    </row>
    <row r="6751" spans="5:18" s="65" customFormat="1">
      <c r="E6751" s="130"/>
      <c r="P6751" s="99"/>
      <c r="Q6751" s="99"/>
      <c r="R6751" s="99"/>
    </row>
    <row r="6752" spans="5:18" s="65" customFormat="1">
      <c r="E6752" s="130"/>
      <c r="P6752" s="99"/>
      <c r="Q6752" s="99"/>
      <c r="R6752" s="99"/>
    </row>
    <row r="6753" spans="5:18" s="65" customFormat="1">
      <c r="E6753" s="130"/>
      <c r="P6753" s="99"/>
      <c r="Q6753" s="99"/>
      <c r="R6753" s="99"/>
    </row>
    <row r="6754" spans="5:18" s="65" customFormat="1">
      <c r="E6754" s="130"/>
      <c r="P6754" s="99"/>
      <c r="Q6754" s="99"/>
      <c r="R6754" s="99"/>
    </row>
    <row r="6755" spans="5:18" s="65" customFormat="1">
      <c r="E6755" s="130"/>
      <c r="P6755" s="99"/>
      <c r="Q6755" s="99"/>
      <c r="R6755" s="99"/>
    </row>
    <row r="6756" spans="5:18" s="65" customFormat="1">
      <c r="E6756" s="130"/>
      <c r="P6756" s="99"/>
      <c r="Q6756" s="99"/>
      <c r="R6756" s="99"/>
    </row>
    <row r="6757" spans="5:18" s="65" customFormat="1">
      <c r="E6757" s="130"/>
      <c r="P6757" s="99"/>
      <c r="Q6757" s="99"/>
      <c r="R6757" s="99"/>
    </row>
    <row r="6758" spans="5:18" s="65" customFormat="1">
      <c r="E6758" s="130"/>
      <c r="P6758" s="99"/>
      <c r="Q6758" s="99"/>
      <c r="R6758" s="99"/>
    </row>
    <row r="6759" spans="5:18" s="65" customFormat="1">
      <c r="E6759" s="130"/>
      <c r="P6759" s="99"/>
      <c r="Q6759" s="99"/>
      <c r="R6759" s="99"/>
    </row>
    <row r="6760" spans="5:18" s="65" customFormat="1">
      <c r="E6760" s="130"/>
      <c r="P6760" s="99"/>
      <c r="Q6760" s="99"/>
      <c r="R6760" s="99"/>
    </row>
    <row r="6761" spans="5:18" s="65" customFormat="1">
      <c r="E6761" s="130"/>
      <c r="P6761" s="99"/>
      <c r="Q6761" s="99"/>
      <c r="R6761" s="99"/>
    </row>
    <row r="6762" spans="5:18" s="65" customFormat="1">
      <c r="E6762" s="130"/>
      <c r="P6762" s="99"/>
      <c r="Q6762" s="99"/>
      <c r="R6762" s="99"/>
    </row>
    <row r="6763" spans="5:18" s="65" customFormat="1">
      <c r="E6763" s="130"/>
      <c r="P6763" s="99"/>
      <c r="Q6763" s="99"/>
      <c r="R6763" s="99"/>
    </row>
    <row r="6764" spans="5:18" s="65" customFormat="1">
      <c r="E6764" s="130"/>
      <c r="P6764" s="99"/>
      <c r="Q6764" s="99"/>
      <c r="R6764" s="99"/>
    </row>
    <row r="6765" spans="5:18" s="65" customFormat="1">
      <c r="E6765" s="130"/>
      <c r="P6765" s="99"/>
      <c r="Q6765" s="99"/>
      <c r="R6765" s="99"/>
    </row>
    <row r="6766" spans="5:18" s="65" customFormat="1">
      <c r="E6766" s="130"/>
      <c r="P6766" s="99"/>
      <c r="Q6766" s="99"/>
      <c r="R6766" s="99"/>
    </row>
    <row r="6767" spans="5:18" s="65" customFormat="1">
      <c r="E6767" s="130"/>
      <c r="P6767" s="99"/>
      <c r="Q6767" s="99"/>
      <c r="R6767" s="99"/>
    </row>
    <row r="6768" spans="5:18" s="65" customFormat="1">
      <c r="E6768" s="130"/>
      <c r="P6768" s="99"/>
      <c r="Q6768" s="99"/>
      <c r="R6768" s="99"/>
    </row>
    <row r="6769" spans="5:18" s="65" customFormat="1">
      <c r="E6769" s="130"/>
      <c r="P6769" s="99"/>
      <c r="Q6769" s="99"/>
      <c r="R6769" s="99"/>
    </row>
    <row r="6770" spans="5:18" s="65" customFormat="1">
      <c r="E6770" s="130"/>
      <c r="P6770" s="99"/>
      <c r="Q6770" s="99"/>
      <c r="R6770" s="99"/>
    </row>
    <row r="6771" spans="5:18" s="65" customFormat="1">
      <c r="E6771" s="130"/>
      <c r="P6771" s="99"/>
      <c r="Q6771" s="99"/>
      <c r="R6771" s="99"/>
    </row>
    <row r="6772" spans="5:18" s="65" customFormat="1">
      <c r="E6772" s="130"/>
      <c r="P6772" s="99"/>
      <c r="Q6772" s="99"/>
      <c r="R6772" s="99"/>
    </row>
    <row r="6773" spans="5:18" s="65" customFormat="1">
      <c r="E6773" s="130"/>
      <c r="P6773" s="99"/>
      <c r="Q6773" s="99"/>
      <c r="R6773" s="99"/>
    </row>
    <row r="6774" spans="5:18" s="65" customFormat="1">
      <c r="E6774" s="130"/>
      <c r="P6774" s="99"/>
      <c r="Q6774" s="99"/>
      <c r="R6774" s="99"/>
    </row>
    <row r="6775" spans="5:18" s="65" customFormat="1">
      <c r="E6775" s="130"/>
      <c r="P6775" s="99"/>
      <c r="Q6775" s="99"/>
      <c r="R6775" s="99"/>
    </row>
    <row r="6776" spans="5:18" s="65" customFormat="1">
      <c r="E6776" s="130"/>
      <c r="P6776" s="99"/>
      <c r="Q6776" s="99"/>
      <c r="R6776" s="99"/>
    </row>
    <row r="6777" spans="5:18" s="65" customFormat="1">
      <c r="E6777" s="130"/>
      <c r="P6777" s="99"/>
      <c r="Q6777" s="99"/>
      <c r="R6777" s="99"/>
    </row>
    <row r="6778" spans="5:18" s="65" customFormat="1">
      <c r="E6778" s="130"/>
      <c r="P6778" s="99"/>
      <c r="Q6778" s="99"/>
      <c r="R6778" s="99"/>
    </row>
    <row r="6779" spans="5:18" s="65" customFormat="1">
      <c r="E6779" s="130"/>
      <c r="P6779" s="99"/>
      <c r="Q6779" s="99"/>
      <c r="R6779" s="99"/>
    </row>
    <row r="6780" spans="5:18" s="65" customFormat="1">
      <c r="E6780" s="130"/>
      <c r="P6780" s="99"/>
      <c r="Q6780" s="99"/>
      <c r="R6780" s="99"/>
    </row>
    <row r="6781" spans="5:18" s="65" customFormat="1">
      <c r="E6781" s="130"/>
      <c r="P6781" s="99"/>
      <c r="Q6781" s="99"/>
      <c r="R6781" s="99"/>
    </row>
    <row r="6782" spans="5:18" s="65" customFormat="1">
      <c r="E6782" s="130"/>
      <c r="P6782" s="99"/>
      <c r="Q6782" s="99"/>
      <c r="R6782" s="99"/>
    </row>
    <row r="6783" spans="5:18" s="65" customFormat="1">
      <c r="E6783" s="130"/>
      <c r="P6783" s="99"/>
      <c r="Q6783" s="99"/>
      <c r="R6783" s="99"/>
    </row>
    <row r="6784" spans="5:18" s="65" customFormat="1">
      <c r="E6784" s="130"/>
      <c r="P6784" s="99"/>
      <c r="Q6784" s="99"/>
      <c r="R6784" s="99"/>
    </row>
    <row r="6785" spans="5:18" s="65" customFormat="1">
      <c r="E6785" s="130"/>
      <c r="P6785" s="99"/>
      <c r="Q6785" s="99"/>
      <c r="R6785" s="99"/>
    </row>
    <row r="6786" spans="5:18" s="65" customFormat="1">
      <c r="E6786" s="130"/>
      <c r="P6786" s="99"/>
      <c r="Q6786" s="99"/>
      <c r="R6786" s="99"/>
    </row>
    <row r="6787" spans="5:18" s="65" customFormat="1">
      <c r="E6787" s="130"/>
      <c r="P6787" s="99"/>
      <c r="Q6787" s="99"/>
      <c r="R6787" s="99"/>
    </row>
    <row r="6788" spans="5:18" s="65" customFormat="1">
      <c r="E6788" s="130"/>
      <c r="P6788" s="99"/>
      <c r="Q6788" s="99"/>
      <c r="R6788" s="99"/>
    </row>
    <row r="6789" spans="5:18" s="65" customFormat="1">
      <c r="E6789" s="130"/>
      <c r="P6789" s="99"/>
      <c r="Q6789" s="99"/>
      <c r="R6789" s="99"/>
    </row>
    <row r="6790" spans="5:18" s="65" customFormat="1">
      <c r="E6790" s="130"/>
      <c r="P6790" s="99"/>
      <c r="Q6790" s="99"/>
      <c r="R6790" s="99"/>
    </row>
    <row r="6791" spans="5:18" s="65" customFormat="1">
      <c r="E6791" s="130"/>
      <c r="P6791" s="99"/>
      <c r="Q6791" s="99"/>
      <c r="R6791" s="99"/>
    </row>
    <row r="6792" spans="5:18" s="65" customFormat="1">
      <c r="E6792" s="130"/>
      <c r="P6792" s="99"/>
      <c r="Q6792" s="99"/>
      <c r="R6792" s="99"/>
    </row>
    <row r="6793" spans="5:18" s="65" customFormat="1">
      <c r="E6793" s="130"/>
      <c r="P6793" s="99"/>
      <c r="Q6793" s="99"/>
      <c r="R6793" s="99"/>
    </row>
    <row r="6794" spans="5:18" s="65" customFormat="1">
      <c r="E6794" s="130"/>
      <c r="P6794" s="99"/>
      <c r="Q6794" s="99"/>
      <c r="R6794" s="99"/>
    </row>
    <row r="6795" spans="5:18" s="65" customFormat="1">
      <c r="E6795" s="130"/>
      <c r="P6795" s="99"/>
      <c r="Q6795" s="99"/>
      <c r="R6795" s="99"/>
    </row>
    <row r="6796" spans="5:18" s="65" customFormat="1">
      <c r="E6796" s="130"/>
      <c r="P6796" s="99"/>
      <c r="Q6796" s="99"/>
      <c r="R6796" s="99"/>
    </row>
    <row r="6797" spans="5:18" s="65" customFormat="1">
      <c r="E6797" s="130"/>
      <c r="P6797" s="99"/>
      <c r="Q6797" s="99"/>
      <c r="R6797" s="99"/>
    </row>
    <row r="6798" spans="5:18" s="65" customFormat="1">
      <c r="E6798" s="130"/>
      <c r="P6798" s="99"/>
      <c r="Q6798" s="99"/>
      <c r="R6798" s="99"/>
    </row>
    <row r="6799" spans="5:18" s="65" customFormat="1">
      <c r="E6799" s="130"/>
      <c r="P6799" s="99"/>
      <c r="Q6799" s="99"/>
      <c r="R6799" s="99"/>
    </row>
    <row r="6800" spans="5:18" s="65" customFormat="1">
      <c r="E6800" s="130"/>
      <c r="P6800" s="99"/>
      <c r="Q6800" s="99"/>
      <c r="R6800" s="99"/>
    </row>
    <row r="6801" spans="5:18" s="65" customFormat="1">
      <c r="E6801" s="130"/>
      <c r="P6801" s="99"/>
      <c r="Q6801" s="99"/>
      <c r="R6801" s="99"/>
    </row>
    <row r="6802" spans="5:18" s="65" customFormat="1">
      <c r="E6802" s="130"/>
      <c r="P6802" s="99"/>
      <c r="Q6802" s="99"/>
      <c r="R6802" s="99"/>
    </row>
    <row r="6803" spans="5:18" s="65" customFormat="1">
      <c r="E6803" s="130"/>
      <c r="P6803" s="99"/>
      <c r="Q6803" s="99"/>
      <c r="R6803" s="99"/>
    </row>
    <row r="6804" spans="5:18" s="65" customFormat="1">
      <c r="E6804" s="130"/>
      <c r="P6804" s="99"/>
      <c r="Q6804" s="99"/>
      <c r="R6804" s="99"/>
    </row>
    <row r="6805" spans="5:18" s="65" customFormat="1">
      <c r="E6805" s="130"/>
      <c r="P6805" s="99"/>
      <c r="Q6805" s="99"/>
      <c r="R6805" s="99"/>
    </row>
    <row r="6806" spans="5:18" s="65" customFormat="1">
      <c r="E6806" s="130"/>
      <c r="P6806" s="99"/>
      <c r="Q6806" s="99"/>
      <c r="R6806" s="99"/>
    </row>
    <row r="6807" spans="5:18" s="65" customFormat="1">
      <c r="E6807" s="130"/>
      <c r="P6807" s="99"/>
      <c r="Q6807" s="99"/>
      <c r="R6807" s="99"/>
    </row>
    <row r="6808" spans="5:18" s="65" customFormat="1">
      <c r="E6808" s="130"/>
      <c r="P6808" s="99"/>
      <c r="Q6808" s="99"/>
      <c r="R6808" s="99"/>
    </row>
    <row r="6809" spans="5:18" s="65" customFormat="1">
      <c r="E6809" s="130"/>
      <c r="P6809" s="99"/>
      <c r="Q6809" s="99"/>
      <c r="R6809" s="99"/>
    </row>
    <row r="6810" spans="5:18" s="65" customFormat="1">
      <c r="E6810" s="130"/>
      <c r="P6810" s="99"/>
      <c r="Q6810" s="99"/>
      <c r="R6810" s="99"/>
    </row>
    <row r="6811" spans="5:18" s="65" customFormat="1">
      <c r="E6811" s="130"/>
      <c r="P6811" s="99"/>
      <c r="Q6811" s="99"/>
      <c r="R6811" s="99"/>
    </row>
    <row r="6812" spans="5:18" s="65" customFormat="1">
      <c r="E6812" s="130"/>
      <c r="P6812" s="99"/>
      <c r="Q6812" s="99"/>
      <c r="R6812" s="99"/>
    </row>
    <row r="6813" spans="5:18" s="65" customFormat="1">
      <c r="E6813" s="130"/>
      <c r="P6813" s="99"/>
      <c r="Q6813" s="99"/>
      <c r="R6813" s="99"/>
    </row>
    <row r="6814" spans="5:18" s="65" customFormat="1">
      <c r="E6814" s="130"/>
      <c r="P6814" s="99"/>
      <c r="Q6814" s="99"/>
      <c r="R6814" s="99"/>
    </row>
    <row r="6815" spans="5:18" s="65" customFormat="1">
      <c r="E6815" s="130"/>
      <c r="P6815" s="99"/>
      <c r="Q6815" s="99"/>
      <c r="R6815" s="99"/>
    </row>
    <row r="6816" spans="5:18" s="65" customFormat="1">
      <c r="E6816" s="130"/>
      <c r="P6816" s="99"/>
      <c r="Q6816" s="99"/>
      <c r="R6816" s="99"/>
    </row>
    <row r="6817" spans="5:18" s="65" customFormat="1">
      <c r="E6817" s="130"/>
      <c r="P6817" s="99"/>
      <c r="Q6817" s="99"/>
      <c r="R6817" s="99"/>
    </row>
    <row r="6818" spans="5:18" s="65" customFormat="1">
      <c r="E6818" s="130"/>
      <c r="P6818" s="99"/>
      <c r="Q6818" s="99"/>
      <c r="R6818" s="99"/>
    </row>
    <row r="6819" spans="5:18" s="65" customFormat="1">
      <c r="E6819" s="130"/>
      <c r="P6819" s="99"/>
      <c r="Q6819" s="99"/>
      <c r="R6819" s="99"/>
    </row>
    <row r="6820" spans="5:18" s="65" customFormat="1">
      <c r="E6820" s="130"/>
      <c r="P6820" s="99"/>
      <c r="Q6820" s="99"/>
      <c r="R6820" s="99"/>
    </row>
    <row r="6821" spans="5:18" s="65" customFormat="1">
      <c r="E6821" s="130"/>
      <c r="P6821" s="99"/>
      <c r="Q6821" s="99"/>
      <c r="R6821" s="99"/>
    </row>
    <row r="6822" spans="5:18" s="65" customFormat="1">
      <c r="E6822" s="130"/>
      <c r="P6822" s="99"/>
      <c r="Q6822" s="99"/>
      <c r="R6822" s="99"/>
    </row>
    <row r="6823" spans="5:18" s="65" customFormat="1">
      <c r="E6823" s="130"/>
      <c r="P6823" s="99"/>
      <c r="Q6823" s="99"/>
      <c r="R6823" s="99"/>
    </row>
    <row r="6824" spans="5:18" s="65" customFormat="1">
      <c r="E6824" s="130"/>
      <c r="P6824" s="99"/>
      <c r="Q6824" s="99"/>
      <c r="R6824" s="99"/>
    </row>
    <row r="6825" spans="5:18" s="65" customFormat="1">
      <c r="E6825" s="130"/>
      <c r="P6825" s="99"/>
      <c r="Q6825" s="99"/>
      <c r="R6825" s="99"/>
    </row>
    <row r="6826" spans="5:18" s="65" customFormat="1">
      <c r="E6826" s="130"/>
      <c r="P6826" s="99"/>
      <c r="Q6826" s="99"/>
      <c r="R6826" s="99"/>
    </row>
    <row r="6827" spans="5:18" s="65" customFormat="1">
      <c r="E6827" s="130"/>
      <c r="P6827" s="99"/>
      <c r="Q6827" s="99"/>
      <c r="R6827" s="99"/>
    </row>
    <row r="6828" spans="5:18" s="65" customFormat="1">
      <c r="E6828" s="130"/>
      <c r="P6828" s="99"/>
      <c r="Q6828" s="99"/>
      <c r="R6828" s="99"/>
    </row>
    <row r="6829" spans="5:18" s="65" customFormat="1">
      <c r="E6829" s="130"/>
      <c r="P6829" s="99"/>
      <c r="Q6829" s="99"/>
      <c r="R6829" s="99"/>
    </row>
    <row r="6830" spans="5:18" s="65" customFormat="1">
      <c r="E6830" s="130"/>
      <c r="P6830" s="99"/>
      <c r="Q6830" s="99"/>
      <c r="R6830" s="99"/>
    </row>
    <row r="6831" spans="5:18" s="65" customFormat="1">
      <c r="E6831" s="130"/>
      <c r="P6831" s="99"/>
      <c r="Q6831" s="99"/>
      <c r="R6831" s="99"/>
    </row>
    <row r="6832" spans="5:18" s="65" customFormat="1">
      <c r="E6832" s="130"/>
      <c r="P6832" s="99"/>
      <c r="Q6832" s="99"/>
      <c r="R6832" s="99"/>
    </row>
    <row r="6833" spans="5:18" s="65" customFormat="1">
      <c r="E6833" s="130"/>
      <c r="P6833" s="99"/>
      <c r="Q6833" s="99"/>
      <c r="R6833" s="99"/>
    </row>
    <row r="6834" spans="5:18" s="65" customFormat="1">
      <c r="E6834" s="130"/>
      <c r="P6834" s="99"/>
      <c r="Q6834" s="99"/>
      <c r="R6834" s="99"/>
    </row>
    <row r="6835" spans="5:18" s="65" customFormat="1">
      <c r="E6835" s="130"/>
      <c r="P6835" s="99"/>
      <c r="Q6835" s="99"/>
      <c r="R6835" s="99"/>
    </row>
    <row r="6836" spans="5:18" s="65" customFormat="1">
      <c r="E6836" s="130"/>
      <c r="P6836" s="99"/>
      <c r="Q6836" s="99"/>
      <c r="R6836" s="99"/>
    </row>
    <row r="6837" spans="5:18" s="65" customFormat="1">
      <c r="E6837" s="130"/>
      <c r="P6837" s="99"/>
      <c r="Q6837" s="99"/>
      <c r="R6837" s="99"/>
    </row>
    <row r="6838" spans="5:18" s="65" customFormat="1">
      <c r="E6838" s="130"/>
      <c r="P6838" s="99"/>
      <c r="Q6838" s="99"/>
      <c r="R6838" s="99"/>
    </row>
    <row r="6839" spans="5:18" s="65" customFormat="1">
      <c r="E6839" s="130"/>
      <c r="P6839" s="99"/>
      <c r="Q6839" s="99"/>
      <c r="R6839" s="99"/>
    </row>
    <row r="6840" spans="5:18" s="65" customFormat="1">
      <c r="E6840" s="130"/>
      <c r="P6840" s="99"/>
      <c r="Q6840" s="99"/>
      <c r="R6840" s="99"/>
    </row>
    <row r="6841" spans="5:18" s="65" customFormat="1">
      <c r="E6841" s="130"/>
      <c r="P6841" s="99"/>
      <c r="Q6841" s="99"/>
      <c r="R6841" s="99"/>
    </row>
    <row r="6842" spans="5:18" s="65" customFormat="1">
      <c r="E6842" s="130"/>
      <c r="P6842" s="99"/>
      <c r="Q6842" s="99"/>
      <c r="R6842" s="99"/>
    </row>
    <row r="6843" spans="5:18" s="65" customFormat="1">
      <c r="E6843" s="130"/>
      <c r="P6843" s="99"/>
      <c r="Q6843" s="99"/>
      <c r="R6843" s="99"/>
    </row>
    <row r="6844" spans="5:18" s="65" customFormat="1">
      <c r="E6844" s="130"/>
      <c r="P6844" s="99"/>
      <c r="Q6844" s="99"/>
      <c r="R6844" s="99"/>
    </row>
    <row r="6845" spans="5:18" s="65" customFormat="1">
      <c r="E6845" s="130"/>
      <c r="P6845" s="99"/>
      <c r="Q6845" s="99"/>
      <c r="R6845" s="99"/>
    </row>
    <row r="6846" spans="5:18" s="65" customFormat="1">
      <c r="E6846" s="130"/>
      <c r="P6846" s="99"/>
      <c r="Q6846" s="99"/>
      <c r="R6846" s="99"/>
    </row>
    <row r="6847" spans="5:18" s="65" customFormat="1">
      <c r="E6847" s="130"/>
      <c r="P6847" s="99"/>
      <c r="Q6847" s="99"/>
      <c r="R6847" s="99"/>
    </row>
    <row r="6848" spans="5:18" s="65" customFormat="1">
      <c r="E6848" s="130"/>
      <c r="P6848" s="99"/>
      <c r="Q6848" s="99"/>
      <c r="R6848" s="99"/>
    </row>
    <row r="6849" spans="5:18" s="65" customFormat="1">
      <c r="E6849" s="130"/>
      <c r="P6849" s="99"/>
      <c r="Q6849" s="99"/>
      <c r="R6849" s="99"/>
    </row>
    <row r="6850" spans="5:18" s="65" customFormat="1">
      <c r="E6850" s="130"/>
      <c r="P6850" s="99"/>
      <c r="Q6850" s="99"/>
      <c r="R6850" s="99"/>
    </row>
    <row r="6851" spans="5:18" s="65" customFormat="1">
      <c r="E6851" s="130"/>
      <c r="P6851" s="99"/>
      <c r="Q6851" s="99"/>
      <c r="R6851" s="99"/>
    </row>
    <row r="6852" spans="5:18" s="65" customFormat="1">
      <c r="E6852" s="130"/>
      <c r="P6852" s="99"/>
      <c r="Q6852" s="99"/>
      <c r="R6852" s="99"/>
    </row>
    <row r="6853" spans="5:18" s="65" customFormat="1">
      <c r="E6853" s="130"/>
      <c r="P6853" s="99"/>
      <c r="Q6853" s="99"/>
      <c r="R6853" s="99"/>
    </row>
    <row r="6854" spans="5:18" s="65" customFormat="1">
      <c r="E6854" s="130"/>
      <c r="P6854" s="99"/>
      <c r="Q6854" s="99"/>
      <c r="R6854" s="99"/>
    </row>
    <row r="6855" spans="5:18" s="65" customFormat="1">
      <c r="E6855" s="130"/>
      <c r="P6855" s="99"/>
      <c r="Q6855" s="99"/>
      <c r="R6855" s="99"/>
    </row>
    <row r="6856" spans="5:18" s="65" customFormat="1">
      <c r="E6856" s="130"/>
      <c r="P6856" s="99"/>
      <c r="Q6856" s="99"/>
      <c r="R6856" s="99"/>
    </row>
    <row r="6857" spans="5:18" s="65" customFormat="1">
      <c r="E6857" s="130"/>
      <c r="P6857" s="99"/>
      <c r="Q6857" s="99"/>
      <c r="R6857" s="99"/>
    </row>
    <row r="6858" spans="5:18" s="65" customFormat="1">
      <c r="E6858" s="130"/>
      <c r="P6858" s="99"/>
      <c r="Q6858" s="99"/>
      <c r="R6858" s="99"/>
    </row>
    <row r="6859" spans="5:18" s="65" customFormat="1">
      <c r="E6859" s="130"/>
      <c r="P6859" s="99"/>
      <c r="Q6859" s="99"/>
      <c r="R6859" s="99"/>
    </row>
    <row r="6860" spans="5:18" s="65" customFormat="1">
      <c r="E6860" s="130"/>
      <c r="P6860" s="99"/>
      <c r="Q6860" s="99"/>
      <c r="R6860" s="99"/>
    </row>
    <row r="6861" spans="5:18" s="65" customFormat="1">
      <c r="E6861" s="130"/>
      <c r="P6861" s="99"/>
      <c r="Q6861" s="99"/>
      <c r="R6861" s="99"/>
    </row>
    <row r="6862" spans="5:18" s="65" customFormat="1">
      <c r="E6862" s="130"/>
      <c r="P6862" s="99"/>
      <c r="Q6862" s="99"/>
      <c r="R6862" s="99"/>
    </row>
    <row r="6863" spans="5:18" s="65" customFormat="1">
      <c r="E6863" s="130"/>
      <c r="P6863" s="99"/>
      <c r="Q6863" s="99"/>
      <c r="R6863" s="99"/>
    </row>
    <row r="6864" spans="5:18" s="65" customFormat="1">
      <c r="E6864" s="130"/>
      <c r="P6864" s="99"/>
      <c r="Q6864" s="99"/>
      <c r="R6864" s="99"/>
    </row>
    <row r="6865" spans="5:18" s="65" customFormat="1">
      <c r="E6865" s="130"/>
      <c r="P6865" s="99"/>
      <c r="Q6865" s="99"/>
      <c r="R6865" s="99"/>
    </row>
    <row r="6866" spans="5:18" s="65" customFormat="1">
      <c r="E6866" s="130"/>
      <c r="P6866" s="99"/>
      <c r="Q6866" s="99"/>
      <c r="R6866" s="99"/>
    </row>
    <row r="6867" spans="5:18" s="65" customFormat="1">
      <c r="E6867" s="130"/>
      <c r="P6867" s="99"/>
      <c r="Q6867" s="99"/>
      <c r="R6867" s="99"/>
    </row>
    <row r="6868" spans="5:18" s="65" customFormat="1">
      <c r="E6868" s="130"/>
      <c r="P6868" s="99"/>
      <c r="Q6868" s="99"/>
      <c r="R6868" s="99"/>
    </row>
    <row r="6869" spans="5:18" s="65" customFormat="1">
      <c r="E6869" s="130"/>
      <c r="P6869" s="99"/>
      <c r="Q6869" s="99"/>
      <c r="R6869" s="99"/>
    </row>
    <row r="6870" spans="5:18" s="65" customFormat="1">
      <c r="E6870" s="130"/>
      <c r="P6870" s="99"/>
      <c r="Q6870" s="99"/>
      <c r="R6870" s="99"/>
    </row>
    <row r="6871" spans="5:18" s="65" customFormat="1">
      <c r="E6871" s="130"/>
      <c r="P6871" s="99"/>
      <c r="Q6871" s="99"/>
      <c r="R6871" s="99"/>
    </row>
    <row r="6872" spans="5:18" s="65" customFormat="1">
      <c r="E6872" s="130"/>
      <c r="P6872" s="99"/>
      <c r="Q6872" s="99"/>
      <c r="R6872" s="99"/>
    </row>
    <row r="6873" spans="5:18" s="65" customFormat="1">
      <c r="E6873" s="130"/>
      <c r="P6873" s="99"/>
      <c r="Q6873" s="99"/>
      <c r="R6873" s="99"/>
    </row>
    <row r="6874" spans="5:18" s="65" customFormat="1">
      <c r="E6874" s="130"/>
      <c r="P6874" s="99"/>
      <c r="Q6874" s="99"/>
      <c r="R6874" s="99"/>
    </row>
    <row r="6875" spans="5:18" s="65" customFormat="1">
      <c r="E6875" s="130"/>
      <c r="P6875" s="99"/>
      <c r="Q6875" s="99"/>
      <c r="R6875" s="99"/>
    </row>
    <row r="6876" spans="5:18" s="65" customFormat="1">
      <c r="E6876" s="130"/>
      <c r="P6876" s="99"/>
      <c r="Q6876" s="99"/>
      <c r="R6876" s="99"/>
    </row>
    <row r="6877" spans="5:18" s="65" customFormat="1">
      <c r="E6877" s="130"/>
      <c r="P6877" s="99"/>
      <c r="Q6877" s="99"/>
      <c r="R6877" s="99"/>
    </row>
    <row r="6878" spans="5:18" s="65" customFormat="1">
      <c r="E6878" s="130"/>
      <c r="P6878" s="99"/>
      <c r="Q6878" s="99"/>
      <c r="R6878" s="99"/>
    </row>
    <row r="6879" spans="5:18" s="65" customFormat="1">
      <c r="E6879" s="130"/>
      <c r="P6879" s="99"/>
      <c r="Q6879" s="99"/>
      <c r="R6879" s="99"/>
    </row>
    <row r="6880" spans="5:18" s="65" customFormat="1">
      <c r="E6880" s="130"/>
      <c r="P6880" s="99"/>
      <c r="Q6880" s="99"/>
      <c r="R6880" s="99"/>
    </row>
    <row r="6881" spans="5:18" s="65" customFormat="1">
      <c r="E6881" s="130"/>
      <c r="P6881" s="99"/>
      <c r="Q6881" s="99"/>
      <c r="R6881" s="99"/>
    </row>
    <row r="6882" spans="5:18" s="65" customFormat="1">
      <c r="E6882" s="130"/>
      <c r="P6882" s="99"/>
      <c r="Q6882" s="99"/>
      <c r="R6882" s="99"/>
    </row>
    <row r="6883" spans="5:18" s="65" customFormat="1">
      <c r="E6883" s="130"/>
      <c r="P6883" s="99"/>
      <c r="Q6883" s="99"/>
      <c r="R6883" s="99"/>
    </row>
    <row r="6884" spans="5:18" s="65" customFormat="1">
      <c r="E6884" s="130"/>
      <c r="P6884" s="99"/>
      <c r="Q6884" s="99"/>
      <c r="R6884" s="99"/>
    </row>
    <row r="6885" spans="5:18" s="65" customFormat="1">
      <c r="E6885" s="130"/>
      <c r="P6885" s="99"/>
      <c r="Q6885" s="99"/>
      <c r="R6885" s="99"/>
    </row>
    <row r="6886" spans="5:18" s="65" customFormat="1">
      <c r="E6886" s="130"/>
      <c r="P6886" s="99"/>
      <c r="Q6886" s="99"/>
      <c r="R6886" s="99"/>
    </row>
    <row r="6887" spans="5:18" s="65" customFormat="1">
      <c r="E6887" s="130"/>
      <c r="P6887" s="99"/>
      <c r="Q6887" s="99"/>
      <c r="R6887" s="99"/>
    </row>
    <row r="6888" spans="5:18" s="65" customFormat="1">
      <c r="E6888" s="130"/>
      <c r="P6888" s="99"/>
      <c r="Q6888" s="99"/>
      <c r="R6888" s="99"/>
    </row>
    <row r="6889" spans="5:18" s="65" customFormat="1">
      <c r="E6889" s="130"/>
      <c r="P6889" s="99"/>
      <c r="Q6889" s="99"/>
      <c r="R6889" s="99"/>
    </row>
    <row r="6890" spans="5:18" s="65" customFormat="1">
      <c r="E6890" s="130"/>
      <c r="P6890" s="99"/>
      <c r="Q6890" s="99"/>
      <c r="R6890" s="99"/>
    </row>
    <row r="6891" spans="5:18" s="65" customFormat="1">
      <c r="E6891" s="130"/>
      <c r="P6891" s="99"/>
      <c r="Q6891" s="99"/>
      <c r="R6891" s="99"/>
    </row>
    <row r="6892" spans="5:18" s="65" customFormat="1">
      <c r="E6892" s="130"/>
      <c r="P6892" s="99"/>
      <c r="Q6892" s="99"/>
      <c r="R6892" s="99"/>
    </row>
    <row r="6893" spans="5:18" s="65" customFormat="1">
      <c r="E6893" s="130"/>
      <c r="P6893" s="99"/>
      <c r="Q6893" s="99"/>
      <c r="R6893" s="99"/>
    </row>
    <row r="6894" spans="5:18" s="65" customFormat="1">
      <c r="E6894" s="130"/>
      <c r="P6894" s="99"/>
      <c r="Q6894" s="99"/>
      <c r="R6894" s="99"/>
    </row>
    <row r="6895" spans="5:18" s="65" customFormat="1">
      <c r="E6895" s="130"/>
      <c r="P6895" s="99"/>
      <c r="Q6895" s="99"/>
      <c r="R6895" s="99"/>
    </row>
    <row r="6896" spans="5:18" s="65" customFormat="1">
      <c r="E6896" s="130"/>
      <c r="P6896" s="99"/>
      <c r="Q6896" s="99"/>
      <c r="R6896" s="99"/>
    </row>
    <row r="6897" spans="5:18" s="65" customFormat="1">
      <c r="E6897" s="130"/>
      <c r="P6897" s="99"/>
      <c r="Q6897" s="99"/>
      <c r="R6897" s="99"/>
    </row>
    <row r="6898" spans="5:18" s="65" customFormat="1">
      <c r="E6898" s="130"/>
      <c r="P6898" s="99"/>
      <c r="Q6898" s="99"/>
      <c r="R6898" s="99"/>
    </row>
    <row r="6899" spans="5:18" s="65" customFormat="1">
      <c r="E6899" s="130"/>
      <c r="P6899" s="99"/>
      <c r="Q6899" s="99"/>
      <c r="R6899" s="99"/>
    </row>
    <row r="6900" spans="5:18" s="65" customFormat="1">
      <c r="E6900" s="130"/>
      <c r="P6900" s="99"/>
      <c r="Q6900" s="99"/>
      <c r="R6900" s="99"/>
    </row>
    <row r="6901" spans="5:18" s="65" customFormat="1">
      <c r="E6901" s="130"/>
      <c r="P6901" s="99"/>
      <c r="Q6901" s="99"/>
      <c r="R6901" s="99"/>
    </row>
    <row r="6902" spans="5:18" s="65" customFormat="1">
      <c r="E6902" s="130"/>
      <c r="P6902" s="99"/>
      <c r="Q6902" s="99"/>
      <c r="R6902" s="99"/>
    </row>
    <row r="6903" spans="5:18" s="65" customFormat="1">
      <c r="E6903" s="130"/>
      <c r="P6903" s="99"/>
      <c r="Q6903" s="99"/>
      <c r="R6903" s="99"/>
    </row>
    <row r="6904" spans="5:18" s="65" customFormat="1">
      <c r="E6904" s="130"/>
      <c r="P6904" s="99"/>
      <c r="Q6904" s="99"/>
      <c r="R6904" s="99"/>
    </row>
    <row r="6905" spans="5:18" s="65" customFormat="1">
      <c r="E6905" s="130"/>
      <c r="P6905" s="99"/>
      <c r="Q6905" s="99"/>
      <c r="R6905" s="99"/>
    </row>
    <row r="6906" spans="5:18" s="65" customFormat="1">
      <c r="E6906" s="130"/>
      <c r="P6906" s="99"/>
      <c r="Q6906" s="99"/>
      <c r="R6906" s="99"/>
    </row>
    <row r="6907" spans="5:18" s="65" customFormat="1">
      <c r="E6907" s="130"/>
      <c r="P6907" s="99"/>
      <c r="Q6907" s="99"/>
      <c r="R6907" s="99"/>
    </row>
    <row r="6908" spans="5:18" s="65" customFormat="1">
      <c r="E6908" s="130"/>
      <c r="P6908" s="99"/>
      <c r="Q6908" s="99"/>
      <c r="R6908" s="99"/>
    </row>
    <row r="6909" spans="5:18" s="65" customFormat="1">
      <c r="E6909" s="130"/>
      <c r="P6909" s="99"/>
      <c r="Q6909" s="99"/>
      <c r="R6909" s="99"/>
    </row>
    <row r="6910" spans="5:18" s="65" customFormat="1">
      <c r="E6910" s="130"/>
      <c r="P6910" s="99"/>
      <c r="Q6910" s="99"/>
      <c r="R6910" s="99"/>
    </row>
    <row r="6911" spans="5:18" s="65" customFormat="1">
      <c r="E6911" s="130"/>
      <c r="P6911" s="99"/>
      <c r="Q6911" s="99"/>
      <c r="R6911" s="99"/>
    </row>
    <row r="6912" spans="5:18" s="65" customFormat="1">
      <c r="E6912" s="130"/>
      <c r="P6912" s="99"/>
      <c r="Q6912" s="99"/>
      <c r="R6912" s="99"/>
    </row>
    <row r="6913" spans="5:18" s="65" customFormat="1">
      <c r="E6913" s="130"/>
      <c r="P6913" s="99"/>
      <c r="Q6913" s="99"/>
      <c r="R6913" s="99"/>
    </row>
    <row r="6914" spans="5:18" s="65" customFormat="1">
      <c r="E6914" s="130"/>
      <c r="P6914" s="99"/>
      <c r="Q6914" s="99"/>
      <c r="R6914" s="99"/>
    </row>
    <row r="6915" spans="5:18" s="65" customFormat="1">
      <c r="E6915" s="130"/>
      <c r="P6915" s="99"/>
      <c r="Q6915" s="99"/>
      <c r="R6915" s="99"/>
    </row>
    <row r="6916" spans="5:18" s="65" customFormat="1">
      <c r="E6916" s="130"/>
      <c r="P6916" s="99"/>
      <c r="Q6916" s="99"/>
      <c r="R6916" s="99"/>
    </row>
    <row r="6917" spans="5:18" s="65" customFormat="1">
      <c r="E6917" s="130"/>
      <c r="P6917" s="99"/>
      <c r="Q6917" s="99"/>
      <c r="R6917" s="99"/>
    </row>
    <row r="6918" spans="5:18" s="65" customFormat="1">
      <c r="E6918" s="130"/>
      <c r="P6918" s="99"/>
      <c r="Q6918" s="99"/>
      <c r="R6918" s="99"/>
    </row>
    <row r="6919" spans="5:18" s="65" customFormat="1">
      <c r="E6919" s="130"/>
      <c r="P6919" s="99"/>
      <c r="Q6919" s="99"/>
      <c r="R6919" s="99"/>
    </row>
    <row r="6920" spans="5:18" s="65" customFormat="1">
      <c r="E6920" s="130"/>
      <c r="P6920" s="99"/>
      <c r="Q6920" s="99"/>
      <c r="R6920" s="99"/>
    </row>
    <row r="6921" spans="5:18" s="65" customFormat="1">
      <c r="E6921" s="130"/>
      <c r="P6921" s="99"/>
      <c r="Q6921" s="99"/>
      <c r="R6921" s="99"/>
    </row>
    <row r="6922" spans="5:18" s="65" customFormat="1">
      <c r="E6922" s="130"/>
      <c r="P6922" s="99"/>
      <c r="Q6922" s="99"/>
      <c r="R6922" s="99"/>
    </row>
    <row r="6923" spans="5:18" s="65" customFormat="1">
      <c r="E6923" s="130"/>
      <c r="P6923" s="99"/>
      <c r="Q6923" s="99"/>
      <c r="R6923" s="99"/>
    </row>
    <row r="6924" spans="5:18" s="65" customFormat="1">
      <c r="E6924" s="130"/>
      <c r="P6924" s="99"/>
      <c r="Q6924" s="99"/>
      <c r="R6924" s="99"/>
    </row>
    <row r="6925" spans="5:18" s="65" customFormat="1">
      <c r="E6925" s="130"/>
      <c r="P6925" s="99"/>
      <c r="Q6925" s="99"/>
      <c r="R6925" s="99"/>
    </row>
    <row r="6926" spans="5:18" s="65" customFormat="1">
      <c r="E6926" s="130"/>
      <c r="P6926" s="99"/>
      <c r="Q6926" s="99"/>
      <c r="R6926" s="99"/>
    </row>
    <row r="6927" spans="5:18" s="65" customFormat="1">
      <c r="E6927" s="130"/>
      <c r="P6927" s="99"/>
      <c r="Q6927" s="99"/>
      <c r="R6927" s="99"/>
    </row>
    <row r="6928" spans="5:18" s="65" customFormat="1">
      <c r="E6928" s="130"/>
      <c r="P6928" s="99"/>
      <c r="Q6928" s="99"/>
      <c r="R6928" s="99"/>
    </row>
    <row r="6929" spans="5:18" s="65" customFormat="1">
      <c r="E6929" s="130"/>
      <c r="P6929" s="99"/>
      <c r="Q6929" s="99"/>
      <c r="R6929" s="99"/>
    </row>
    <row r="6930" spans="5:18" s="65" customFormat="1">
      <c r="E6930" s="130"/>
      <c r="P6930" s="99"/>
      <c r="Q6930" s="99"/>
      <c r="R6930" s="99"/>
    </row>
    <row r="6931" spans="5:18" s="65" customFormat="1">
      <c r="E6931" s="130"/>
      <c r="P6931" s="99"/>
      <c r="Q6931" s="99"/>
      <c r="R6931" s="99"/>
    </row>
    <row r="6932" spans="5:18" s="65" customFormat="1">
      <c r="E6932" s="130"/>
      <c r="P6932" s="99"/>
      <c r="Q6932" s="99"/>
      <c r="R6932" s="99"/>
    </row>
    <row r="6933" spans="5:18" s="65" customFormat="1">
      <c r="E6933" s="130"/>
      <c r="P6933" s="99"/>
      <c r="Q6933" s="99"/>
      <c r="R6933" s="99"/>
    </row>
    <row r="6934" spans="5:18" s="65" customFormat="1">
      <c r="E6934" s="130"/>
      <c r="P6934" s="99"/>
      <c r="Q6934" s="99"/>
      <c r="R6934" s="99"/>
    </row>
    <row r="6935" spans="5:18" s="65" customFormat="1">
      <c r="E6935" s="130"/>
      <c r="P6935" s="99"/>
      <c r="Q6935" s="99"/>
      <c r="R6935" s="99"/>
    </row>
    <row r="6936" spans="5:18" s="65" customFormat="1">
      <c r="E6936" s="130"/>
      <c r="P6936" s="99"/>
      <c r="Q6936" s="99"/>
      <c r="R6936" s="99"/>
    </row>
    <row r="6937" spans="5:18" s="65" customFormat="1">
      <c r="E6937" s="130"/>
      <c r="P6937" s="99"/>
      <c r="Q6937" s="99"/>
      <c r="R6937" s="99"/>
    </row>
    <row r="6938" spans="5:18" s="65" customFormat="1">
      <c r="E6938" s="130"/>
      <c r="P6938" s="99"/>
      <c r="Q6938" s="99"/>
      <c r="R6938" s="99"/>
    </row>
    <row r="6939" spans="5:18" s="65" customFormat="1">
      <c r="E6939" s="130"/>
      <c r="P6939" s="99"/>
      <c r="Q6939" s="99"/>
      <c r="R6939" s="99"/>
    </row>
    <row r="6940" spans="5:18" s="65" customFormat="1">
      <c r="E6940" s="130"/>
      <c r="P6940" s="99"/>
      <c r="Q6940" s="99"/>
      <c r="R6940" s="99"/>
    </row>
    <row r="6941" spans="5:18" s="65" customFormat="1">
      <c r="E6941" s="130"/>
      <c r="P6941" s="99"/>
      <c r="Q6941" s="99"/>
      <c r="R6941" s="99"/>
    </row>
    <row r="6942" spans="5:18" s="65" customFormat="1">
      <c r="E6942" s="130"/>
      <c r="P6942" s="99"/>
      <c r="Q6942" s="99"/>
      <c r="R6942" s="99"/>
    </row>
    <row r="6943" spans="5:18" s="65" customFormat="1">
      <c r="E6943" s="130"/>
      <c r="P6943" s="99"/>
      <c r="Q6943" s="99"/>
      <c r="R6943" s="99"/>
    </row>
    <row r="6944" spans="5:18" s="65" customFormat="1">
      <c r="E6944" s="130"/>
      <c r="P6944" s="99"/>
      <c r="Q6944" s="99"/>
      <c r="R6944" s="99"/>
    </row>
    <row r="6945" spans="5:18" s="65" customFormat="1">
      <c r="E6945" s="130"/>
      <c r="P6945" s="99"/>
      <c r="Q6945" s="99"/>
      <c r="R6945" s="99"/>
    </row>
    <row r="6946" spans="5:18" s="65" customFormat="1">
      <c r="E6946" s="130"/>
      <c r="P6946" s="99"/>
      <c r="Q6946" s="99"/>
      <c r="R6946" s="99"/>
    </row>
    <row r="6947" spans="5:18" s="65" customFormat="1">
      <c r="E6947" s="130"/>
      <c r="P6947" s="99"/>
      <c r="Q6947" s="99"/>
      <c r="R6947" s="99"/>
    </row>
    <row r="6948" spans="5:18" s="65" customFormat="1">
      <c r="E6948" s="130"/>
      <c r="P6948" s="99"/>
      <c r="Q6948" s="99"/>
      <c r="R6948" s="99"/>
    </row>
    <row r="6949" spans="5:18" s="65" customFormat="1">
      <c r="E6949" s="130"/>
      <c r="P6949" s="99"/>
      <c r="Q6949" s="99"/>
      <c r="R6949" s="99"/>
    </row>
    <row r="6950" spans="5:18" s="65" customFormat="1">
      <c r="E6950" s="130"/>
      <c r="P6950" s="99"/>
      <c r="Q6950" s="99"/>
      <c r="R6950" s="99"/>
    </row>
    <row r="6951" spans="5:18" s="65" customFormat="1">
      <c r="E6951" s="130"/>
      <c r="P6951" s="99"/>
      <c r="Q6951" s="99"/>
      <c r="R6951" s="99"/>
    </row>
    <row r="6952" spans="5:18" s="65" customFormat="1">
      <c r="E6952" s="130"/>
      <c r="P6952" s="99"/>
      <c r="Q6952" s="99"/>
      <c r="R6952" s="99"/>
    </row>
    <row r="6953" spans="5:18" s="65" customFormat="1">
      <c r="E6953" s="130"/>
      <c r="P6953" s="99"/>
      <c r="Q6953" s="99"/>
      <c r="R6953" s="99"/>
    </row>
    <row r="6954" spans="5:18" s="65" customFormat="1">
      <c r="E6954" s="130"/>
      <c r="P6954" s="99"/>
      <c r="Q6954" s="99"/>
      <c r="R6954" s="99"/>
    </row>
    <row r="6955" spans="5:18" s="65" customFormat="1">
      <c r="E6955" s="130"/>
      <c r="P6955" s="99"/>
      <c r="Q6955" s="99"/>
      <c r="R6955" s="99"/>
    </row>
    <row r="6956" spans="5:18" s="65" customFormat="1">
      <c r="E6956" s="130"/>
      <c r="P6956" s="99"/>
      <c r="Q6956" s="99"/>
      <c r="R6956" s="99"/>
    </row>
    <row r="6957" spans="5:18" s="65" customFormat="1">
      <c r="E6957" s="130"/>
      <c r="P6957" s="99"/>
      <c r="Q6957" s="99"/>
      <c r="R6957" s="99"/>
    </row>
    <row r="6958" spans="5:18" s="65" customFormat="1">
      <c r="E6958" s="130"/>
      <c r="P6958" s="99"/>
      <c r="Q6958" s="99"/>
      <c r="R6958" s="99"/>
    </row>
    <row r="6959" spans="5:18" s="65" customFormat="1">
      <c r="E6959" s="130"/>
      <c r="P6959" s="99"/>
      <c r="Q6959" s="99"/>
      <c r="R6959" s="99"/>
    </row>
    <row r="6960" spans="5:18" s="65" customFormat="1">
      <c r="E6960" s="130"/>
      <c r="P6960" s="99"/>
      <c r="Q6960" s="99"/>
      <c r="R6960" s="99"/>
    </row>
    <row r="6961" spans="5:18" s="65" customFormat="1">
      <c r="E6961" s="130"/>
      <c r="P6961" s="99"/>
      <c r="Q6961" s="99"/>
      <c r="R6961" s="99"/>
    </row>
    <row r="6962" spans="5:18" s="65" customFormat="1">
      <c r="E6962" s="130"/>
      <c r="P6962" s="99"/>
      <c r="Q6962" s="99"/>
      <c r="R6962" s="99"/>
    </row>
    <row r="6963" spans="5:18" s="65" customFormat="1">
      <c r="E6963" s="130"/>
      <c r="P6963" s="99"/>
      <c r="Q6963" s="99"/>
      <c r="R6963" s="99"/>
    </row>
    <row r="6964" spans="5:18" s="65" customFormat="1">
      <c r="E6964" s="130"/>
      <c r="P6964" s="99"/>
      <c r="Q6964" s="99"/>
      <c r="R6964" s="99"/>
    </row>
    <row r="6965" spans="5:18" s="65" customFormat="1">
      <c r="E6965" s="130"/>
      <c r="P6965" s="99"/>
      <c r="Q6965" s="99"/>
      <c r="R6965" s="99"/>
    </row>
    <row r="6966" spans="5:18" s="65" customFormat="1">
      <c r="E6966" s="130"/>
      <c r="P6966" s="99"/>
      <c r="Q6966" s="99"/>
      <c r="R6966" s="99"/>
    </row>
    <row r="6967" spans="5:18" s="65" customFormat="1">
      <c r="E6967" s="130"/>
      <c r="P6967" s="99"/>
      <c r="Q6967" s="99"/>
      <c r="R6967" s="99"/>
    </row>
    <row r="6968" spans="5:18" s="65" customFormat="1">
      <c r="E6968" s="130"/>
      <c r="P6968" s="99"/>
      <c r="Q6968" s="99"/>
      <c r="R6968" s="99"/>
    </row>
    <row r="6969" spans="5:18" s="65" customFormat="1">
      <c r="E6969" s="130"/>
      <c r="P6969" s="99"/>
      <c r="Q6969" s="99"/>
      <c r="R6969" s="99"/>
    </row>
    <row r="6970" spans="5:18" s="65" customFormat="1">
      <c r="E6970" s="130"/>
      <c r="P6970" s="99"/>
      <c r="Q6970" s="99"/>
      <c r="R6970" s="99"/>
    </row>
    <row r="6971" spans="5:18" s="65" customFormat="1">
      <c r="E6971" s="130"/>
      <c r="P6971" s="99"/>
      <c r="Q6971" s="99"/>
      <c r="R6971" s="99"/>
    </row>
    <row r="6972" spans="5:18" s="65" customFormat="1">
      <c r="E6972" s="130"/>
      <c r="P6972" s="99"/>
      <c r="Q6972" s="99"/>
      <c r="R6972" s="99"/>
    </row>
    <row r="6973" spans="5:18" s="65" customFormat="1">
      <c r="E6973" s="130"/>
      <c r="P6973" s="99"/>
      <c r="Q6973" s="99"/>
      <c r="R6973" s="99"/>
    </row>
    <row r="6974" spans="5:18" s="65" customFormat="1">
      <c r="E6974" s="130"/>
      <c r="P6974" s="99"/>
      <c r="Q6974" s="99"/>
      <c r="R6974" s="99"/>
    </row>
    <row r="6975" spans="5:18" s="65" customFormat="1">
      <c r="E6975" s="130"/>
      <c r="P6975" s="99"/>
      <c r="Q6975" s="99"/>
      <c r="R6975" s="99"/>
    </row>
    <row r="6976" spans="5:18" s="65" customFormat="1">
      <c r="E6976" s="130"/>
      <c r="P6976" s="99"/>
      <c r="Q6976" s="99"/>
      <c r="R6976" s="99"/>
    </row>
    <row r="6977" spans="5:18" s="65" customFormat="1">
      <c r="E6977" s="130"/>
      <c r="P6977" s="99"/>
      <c r="Q6977" s="99"/>
      <c r="R6977" s="99"/>
    </row>
    <row r="6978" spans="5:18" s="65" customFormat="1">
      <c r="E6978" s="130"/>
      <c r="P6978" s="99"/>
      <c r="Q6978" s="99"/>
      <c r="R6978" s="99"/>
    </row>
    <row r="6979" spans="5:18" s="65" customFormat="1">
      <c r="E6979" s="130"/>
      <c r="P6979" s="99"/>
      <c r="Q6979" s="99"/>
      <c r="R6979" s="99"/>
    </row>
    <row r="6980" spans="5:18" s="65" customFormat="1">
      <c r="E6980" s="130"/>
      <c r="P6980" s="99"/>
      <c r="Q6980" s="99"/>
      <c r="R6980" s="99"/>
    </row>
    <row r="6981" spans="5:18" s="65" customFormat="1">
      <c r="E6981" s="130"/>
      <c r="P6981" s="99"/>
      <c r="Q6981" s="99"/>
      <c r="R6981" s="99"/>
    </row>
    <row r="6982" spans="5:18" s="65" customFormat="1">
      <c r="E6982" s="130"/>
      <c r="P6982" s="99"/>
      <c r="Q6982" s="99"/>
      <c r="R6982" s="99"/>
    </row>
    <row r="6983" spans="5:18" s="65" customFormat="1">
      <c r="E6983" s="130"/>
      <c r="P6983" s="99"/>
      <c r="Q6983" s="99"/>
      <c r="R6983" s="99"/>
    </row>
    <row r="6984" spans="5:18" s="65" customFormat="1">
      <c r="E6984" s="130"/>
      <c r="P6984" s="99"/>
      <c r="Q6984" s="99"/>
      <c r="R6984" s="99"/>
    </row>
    <row r="6985" spans="5:18" s="65" customFormat="1">
      <c r="E6985" s="130"/>
      <c r="P6985" s="99"/>
      <c r="Q6985" s="99"/>
      <c r="R6985" s="99"/>
    </row>
    <row r="6986" spans="5:18" s="65" customFormat="1">
      <c r="E6986" s="130"/>
      <c r="P6986" s="99"/>
      <c r="Q6986" s="99"/>
      <c r="R6986" s="99"/>
    </row>
    <row r="6987" spans="5:18" s="65" customFormat="1">
      <c r="E6987" s="130"/>
      <c r="P6987" s="99"/>
      <c r="Q6987" s="99"/>
      <c r="R6987" s="99"/>
    </row>
    <row r="6988" spans="5:18" s="65" customFormat="1">
      <c r="E6988" s="130"/>
      <c r="P6988" s="99"/>
      <c r="Q6988" s="99"/>
      <c r="R6988" s="99"/>
    </row>
    <row r="6989" spans="5:18" s="65" customFormat="1">
      <c r="E6989" s="130"/>
      <c r="P6989" s="99"/>
      <c r="Q6989" s="99"/>
      <c r="R6989" s="99"/>
    </row>
    <row r="6990" spans="5:18" s="65" customFormat="1">
      <c r="E6990" s="130"/>
      <c r="P6990" s="99"/>
      <c r="Q6990" s="99"/>
      <c r="R6990" s="99"/>
    </row>
    <row r="6991" spans="5:18" s="65" customFormat="1">
      <c r="E6991" s="130"/>
      <c r="P6991" s="99"/>
      <c r="Q6991" s="99"/>
      <c r="R6991" s="99"/>
    </row>
    <row r="6992" spans="5:18" s="65" customFormat="1">
      <c r="E6992" s="130"/>
      <c r="P6992" s="99"/>
      <c r="Q6992" s="99"/>
      <c r="R6992" s="99"/>
    </row>
    <row r="6993" spans="5:18" s="65" customFormat="1">
      <c r="E6993" s="130"/>
      <c r="P6993" s="99"/>
      <c r="Q6993" s="99"/>
      <c r="R6993" s="99"/>
    </row>
    <row r="6994" spans="5:18" s="65" customFormat="1">
      <c r="E6994" s="130"/>
      <c r="P6994" s="99"/>
      <c r="Q6994" s="99"/>
      <c r="R6994" s="99"/>
    </row>
    <row r="6995" spans="5:18" s="65" customFormat="1">
      <c r="E6995" s="130"/>
      <c r="P6995" s="99"/>
      <c r="Q6995" s="99"/>
      <c r="R6995" s="99"/>
    </row>
    <row r="6996" spans="5:18" s="65" customFormat="1">
      <c r="E6996" s="130"/>
      <c r="P6996" s="99"/>
      <c r="Q6996" s="99"/>
      <c r="R6996" s="99"/>
    </row>
    <row r="6997" spans="5:18" s="65" customFormat="1">
      <c r="E6997" s="130"/>
      <c r="P6997" s="99"/>
      <c r="Q6997" s="99"/>
      <c r="R6997" s="99"/>
    </row>
    <row r="6998" spans="5:18" s="65" customFormat="1">
      <c r="E6998" s="130"/>
      <c r="P6998" s="99"/>
      <c r="Q6998" s="99"/>
      <c r="R6998" s="99"/>
    </row>
    <row r="6999" spans="5:18" s="65" customFormat="1">
      <c r="E6999" s="130"/>
      <c r="P6999" s="99"/>
      <c r="Q6999" s="99"/>
      <c r="R6999" s="99"/>
    </row>
    <row r="7000" spans="5:18" s="65" customFormat="1">
      <c r="E7000" s="130"/>
      <c r="P7000" s="99"/>
      <c r="Q7000" s="99"/>
      <c r="R7000" s="99"/>
    </row>
    <row r="7001" spans="5:18" s="65" customFormat="1">
      <c r="E7001" s="130"/>
      <c r="P7001" s="99"/>
      <c r="Q7001" s="99"/>
      <c r="R7001" s="99"/>
    </row>
    <row r="7002" spans="5:18" s="65" customFormat="1">
      <c r="E7002" s="130"/>
      <c r="P7002" s="99"/>
      <c r="Q7002" s="99"/>
      <c r="R7002" s="99"/>
    </row>
    <row r="7003" spans="5:18" s="65" customFormat="1">
      <c r="E7003" s="130"/>
      <c r="P7003" s="99"/>
      <c r="Q7003" s="99"/>
      <c r="R7003" s="99"/>
    </row>
    <row r="7004" spans="5:18" s="65" customFormat="1">
      <c r="E7004" s="130"/>
      <c r="P7004" s="99"/>
      <c r="Q7004" s="99"/>
      <c r="R7004" s="99"/>
    </row>
    <row r="7005" spans="5:18" s="65" customFormat="1">
      <c r="E7005" s="130"/>
      <c r="P7005" s="99"/>
      <c r="Q7005" s="99"/>
      <c r="R7005" s="99"/>
    </row>
    <row r="7006" spans="5:18" s="65" customFormat="1">
      <c r="E7006" s="130"/>
      <c r="P7006" s="99"/>
      <c r="Q7006" s="99"/>
      <c r="R7006" s="99"/>
    </row>
    <row r="7007" spans="5:18" s="65" customFormat="1">
      <c r="E7007" s="130"/>
      <c r="P7007" s="99"/>
      <c r="Q7007" s="99"/>
      <c r="R7007" s="99"/>
    </row>
    <row r="7008" spans="5:18" s="65" customFormat="1">
      <c r="E7008" s="130"/>
      <c r="P7008" s="99"/>
      <c r="Q7008" s="99"/>
      <c r="R7008" s="99"/>
    </row>
    <row r="7009" spans="5:18" s="65" customFormat="1">
      <c r="E7009" s="130"/>
      <c r="P7009" s="99"/>
      <c r="Q7009" s="99"/>
      <c r="R7009" s="99"/>
    </row>
    <row r="7010" spans="5:18" s="65" customFormat="1">
      <c r="E7010" s="130"/>
      <c r="P7010" s="99"/>
      <c r="Q7010" s="99"/>
      <c r="R7010" s="99"/>
    </row>
    <row r="7011" spans="5:18" s="65" customFormat="1">
      <c r="E7011" s="130"/>
      <c r="P7011" s="99"/>
      <c r="Q7011" s="99"/>
      <c r="R7011" s="99"/>
    </row>
    <row r="7012" spans="5:18" s="65" customFormat="1">
      <c r="E7012" s="130"/>
      <c r="P7012" s="99"/>
      <c r="Q7012" s="99"/>
      <c r="R7012" s="99"/>
    </row>
    <row r="7013" spans="5:18" s="65" customFormat="1">
      <c r="E7013" s="130"/>
      <c r="P7013" s="99"/>
      <c r="Q7013" s="99"/>
      <c r="R7013" s="99"/>
    </row>
    <row r="7014" spans="5:18" s="65" customFormat="1">
      <c r="E7014" s="130"/>
      <c r="P7014" s="99"/>
      <c r="Q7014" s="99"/>
      <c r="R7014" s="99"/>
    </row>
    <row r="7015" spans="5:18" s="65" customFormat="1">
      <c r="E7015" s="130"/>
      <c r="P7015" s="99"/>
      <c r="Q7015" s="99"/>
      <c r="R7015" s="99"/>
    </row>
    <row r="7016" spans="5:18" s="65" customFormat="1">
      <c r="E7016" s="130"/>
      <c r="P7016" s="99"/>
      <c r="Q7016" s="99"/>
      <c r="R7016" s="99"/>
    </row>
    <row r="7017" spans="5:18" s="65" customFormat="1">
      <c r="E7017" s="130"/>
      <c r="P7017" s="99"/>
      <c r="Q7017" s="99"/>
      <c r="R7017" s="99"/>
    </row>
    <row r="7018" spans="5:18" s="65" customFormat="1">
      <c r="E7018" s="130"/>
      <c r="P7018" s="99"/>
      <c r="Q7018" s="99"/>
      <c r="R7018" s="99"/>
    </row>
    <row r="7019" spans="5:18" s="65" customFormat="1">
      <c r="E7019" s="130"/>
      <c r="P7019" s="99"/>
      <c r="Q7019" s="99"/>
      <c r="R7019" s="99"/>
    </row>
    <row r="7020" spans="5:18" s="65" customFormat="1">
      <c r="E7020" s="130"/>
      <c r="P7020" s="99"/>
      <c r="Q7020" s="99"/>
      <c r="R7020" s="99"/>
    </row>
    <row r="7021" spans="5:18" s="65" customFormat="1">
      <c r="E7021" s="130"/>
      <c r="P7021" s="99"/>
      <c r="Q7021" s="99"/>
      <c r="R7021" s="99"/>
    </row>
    <row r="7022" spans="5:18" s="65" customFormat="1">
      <c r="E7022" s="130"/>
      <c r="P7022" s="99"/>
      <c r="Q7022" s="99"/>
      <c r="R7022" s="99"/>
    </row>
    <row r="7023" spans="5:18" s="65" customFormat="1">
      <c r="E7023" s="130"/>
      <c r="P7023" s="99"/>
      <c r="Q7023" s="99"/>
      <c r="R7023" s="99"/>
    </row>
    <row r="7024" spans="5:18" s="65" customFormat="1">
      <c r="E7024" s="130"/>
      <c r="P7024" s="99"/>
      <c r="Q7024" s="99"/>
      <c r="R7024" s="99"/>
    </row>
    <row r="7025" spans="5:18" s="65" customFormat="1">
      <c r="E7025" s="130"/>
      <c r="P7025" s="99"/>
      <c r="Q7025" s="99"/>
      <c r="R7025" s="99"/>
    </row>
    <row r="7026" spans="5:18" s="65" customFormat="1">
      <c r="E7026" s="130"/>
      <c r="P7026" s="99"/>
      <c r="Q7026" s="99"/>
      <c r="R7026" s="99"/>
    </row>
    <row r="7027" spans="5:18" s="65" customFormat="1">
      <c r="E7027" s="130"/>
      <c r="P7027" s="99"/>
      <c r="Q7027" s="99"/>
      <c r="R7027" s="99"/>
    </row>
    <row r="7028" spans="5:18" s="65" customFormat="1">
      <c r="E7028" s="130"/>
      <c r="P7028" s="99"/>
      <c r="Q7028" s="99"/>
      <c r="R7028" s="99"/>
    </row>
    <row r="7029" spans="5:18" s="65" customFormat="1">
      <c r="E7029" s="130"/>
      <c r="P7029" s="99"/>
      <c r="Q7029" s="99"/>
      <c r="R7029" s="99"/>
    </row>
    <row r="7030" spans="5:18" s="65" customFormat="1">
      <c r="E7030" s="130"/>
      <c r="P7030" s="99"/>
      <c r="Q7030" s="99"/>
      <c r="R7030" s="99"/>
    </row>
    <row r="7031" spans="5:18" s="65" customFormat="1">
      <c r="E7031" s="130"/>
      <c r="P7031" s="99"/>
      <c r="Q7031" s="99"/>
      <c r="R7031" s="99"/>
    </row>
    <row r="7032" spans="5:18" s="65" customFormat="1">
      <c r="E7032" s="130"/>
      <c r="P7032" s="99"/>
      <c r="Q7032" s="99"/>
      <c r="R7032" s="99"/>
    </row>
    <row r="7033" spans="5:18" s="65" customFormat="1">
      <c r="E7033" s="130"/>
      <c r="P7033" s="99"/>
      <c r="Q7033" s="99"/>
      <c r="R7033" s="99"/>
    </row>
    <row r="7034" spans="5:18" s="65" customFormat="1">
      <c r="E7034" s="130"/>
      <c r="P7034" s="99"/>
      <c r="Q7034" s="99"/>
      <c r="R7034" s="99"/>
    </row>
    <row r="7035" spans="5:18" s="65" customFormat="1">
      <c r="E7035" s="130"/>
      <c r="P7035" s="99"/>
      <c r="Q7035" s="99"/>
      <c r="R7035" s="99"/>
    </row>
    <row r="7036" spans="5:18" s="65" customFormat="1">
      <c r="E7036" s="130"/>
      <c r="P7036" s="99"/>
      <c r="Q7036" s="99"/>
      <c r="R7036" s="99"/>
    </row>
    <row r="7037" spans="5:18" s="65" customFormat="1">
      <c r="E7037" s="130"/>
      <c r="P7037" s="99"/>
      <c r="Q7037" s="99"/>
      <c r="R7037" s="99"/>
    </row>
    <row r="7038" spans="5:18" s="65" customFormat="1">
      <c r="E7038" s="130"/>
      <c r="P7038" s="99"/>
      <c r="Q7038" s="99"/>
      <c r="R7038" s="99"/>
    </row>
    <row r="7039" spans="5:18" s="65" customFormat="1">
      <c r="E7039" s="130"/>
      <c r="P7039" s="99"/>
      <c r="Q7039" s="99"/>
      <c r="R7039" s="99"/>
    </row>
    <row r="7040" spans="5:18" s="65" customFormat="1">
      <c r="E7040" s="130"/>
      <c r="P7040" s="99"/>
      <c r="Q7040" s="99"/>
      <c r="R7040" s="99"/>
    </row>
    <row r="7041" spans="5:18" s="65" customFormat="1">
      <c r="E7041" s="130"/>
      <c r="P7041" s="99"/>
      <c r="Q7041" s="99"/>
      <c r="R7041" s="99"/>
    </row>
    <row r="7042" spans="5:18" s="65" customFormat="1">
      <c r="E7042" s="130"/>
      <c r="P7042" s="99"/>
      <c r="Q7042" s="99"/>
      <c r="R7042" s="99"/>
    </row>
    <row r="7043" spans="5:18" s="65" customFormat="1">
      <c r="E7043" s="130"/>
      <c r="P7043" s="99"/>
      <c r="Q7043" s="99"/>
      <c r="R7043" s="99"/>
    </row>
    <row r="7044" spans="5:18" s="65" customFormat="1">
      <c r="E7044" s="130"/>
      <c r="P7044" s="99"/>
      <c r="Q7044" s="99"/>
      <c r="R7044" s="99"/>
    </row>
    <row r="7045" spans="5:18" s="65" customFormat="1">
      <c r="E7045" s="130"/>
      <c r="P7045" s="99"/>
      <c r="Q7045" s="99"/>
      <c r="R7045" s="99"/>
    </row>
    <row r="7046" spans="5:18" s="65" customFormat="1">
      <c r="E7046" s="130"/>
      <c r="P7046" s="99"/>
      <c r="Q7046" s="99"/>
      <c r="R7046" s="99"/>
    </row>
    <row r="7047" spans="5:18" s="65" customFormat="1">
      <c r="E7047" s="130"/>
      <c r="P7047" s="99"/>
      <c r="Q7047" s="99"/>
      <c r="R7047" s="99"/>
    </row>
    <row r="7048" spans="5:18" s="65" customFormat="1">
      <c r="E7048" s="130"/>
      <c r="P7048" s="99"/>
      <c r="Q7048" s="99"/>
      <c r="R7048" s="99"/>
    </row>
    <row r="7049" spans="5:18" s="65" customFormat="1">
      <c r="E7049" s="130"/>
      <c r="P7049" s="99"/>
      <c r="Q7049" s="99"/>
      <c r="R7049" s="99"/>
    </row>
    <row r="7050" spans="5:18" s="65" customFormat="1">
      <c r="E7050" s="130"/>
      <c r="P7050" s="99"/>
      <c r="Q7050" s="99"/>
      <c r="R7050" s="99"/>
    </row>
    <row r="7051" spans="5:18" s="65" customFormat="1">
      <c r="E7051" s="130"/>
      <c r="P7051" s="99"/>
      <c r="Q7051" s="99"/>
      <c r="R7051" s="99"/>
    </row>
    <row r="7052" spans="5:18" s="65" customFormat="1">
      <c r="E7052" s="130"/>
      <c r="P7052" s="99"/>
      <c r="Q7052" s="99"/>
      <c r="R7052" s="99"/>
    </row>
    <row r="7053" spans="5:18" s="65" customFormat="1">
      <c r="E7053" s="130"/>
      <c r="P7053" s="99"/>
      <c r="Q7053" s="99"/>
      <c r="R7053" s="99"/>
    </row>
    <row r="7054" spans="5:18" s="65" customFormat="1">
      <c r="E7054" s="130"/>
      <c r="P7054" s="99"/>
      <c r="Q7054" s="99"/>
      <c r="R7054" s="99"/>
    </row>
    <row r="7055" spans="5:18" s="65" customFormat="1">
      <c r="E7055" s="130"/>
      <c r="P7055" s="99"/>
      <c r="Q7055" s="99"/>
      <c r="R7055" s="99"/>
    </row>
    <row r="7056" spans="5:18" s="65" customFormat="1">
      <c r="E7056" s="130"/>
      <c r="P7056" s="99"/>
      <c r="Q7056" s="99"/>
      <c r="R7056" s="99"/>
    </row>
    <row r="7057" spans="5:18" s="65" customFormat="1">
      <c r="E7057" s="130"/>
      <c r="P7057" s="99"/>
      <c r="Q7057" s="99"/>
      <c r="R7057" s="99"/>
    </row>
    <row r="7058" spans="5:18" s="65" customFormat="1">
      <c r="E7058" s="130"/>
      <c r="P7058" s="99"/>
      <c r="Q7058" s="99"/>
      <c r="R7058" s="99"/>
    </row>
    <row r="7059" spans="5:18" s="65" customFormat="1">
      <c r="E7059" s="130"/>
      <c r="P7059" s="99"/>
      <c r="Q7059" s="99"/>
      <c r="R7059" s="99"/>
    </row>
    <row r="7060" spans="5:18" s="65" customFormat="1">
      <c r="E7060" s="130"/>
      <c r="P7060" s="99"/>
      <c r="Q7060" s="99"/>
      <c r="R7060" s="99"/>
    </row>
    <row r="7061" spans="5:18" s="65" customFormat="1">
      <c r="E7061" s="130"/>
      <c r="P7061" s="99"/>
      <c r="Q7061" s="99"/>
      <c r="R7061" s="99"/>
    </row>
    <row r="7062" spans="5:18" s="65" customFormat="1">
      <c r="E7062" s="130"/>
      <c r="P7062" s="99"/>
      <c r="Q7062" s="99"/>
      <c r="R7062" s="99"/>
    </row>
    <row r="7063" spans="5:18" s="65" customFormat="1">
      <c r="E7063" s="130"/>
      <c r="P7063" s="99"/>
      <c r="Q7063" s="99"/>
      <c r="R7063" s="99"/>
    </row>
    <row r="7064" spans="5:18" s="65" customFormat="1">
      <c r="E7064" s="130"/>
      <c r="P7064" s="99"/>
      <c r="Q7064" s="99"/>
      <c r="R7064" s="99"/>
    </row>
    <row r="7065" spans="5:18" s="65" customFormat="1">
      <c r="E7065" s="130"/>
      <c r="P7065" s="99"/>
      <c r="Q7065" s="99"/>
      <c r="R7065" s="99"/>
    </row>
    <row r="7066" spans="5:18" s="65" customFormat="1">
      <c r="E7066" s="130"/>
      <c r="P7066" s="99"/>
      <c r="Q7066" s="99"/>
      <c r="R7066" s="99"/>
    </row>
    <row r="7067" spans="5:18" s="65" customFormat="1">
      <c r="E7067" s="130"/>
      <c r="P7067" s="99"/>
      <c r="Q7067" s="99"/>
      <c r="R7067" s="99"/>
    </row>
    <row r="7068" spans="5:18" s="65" customFormat="1">
      <c r="E7068" s="130"/>
      <c r="P7068" s="99"/>
      <c r="Q7068" s="99"/>
      <c r="R7068" s="99"/>
    </row>
    <row r="7069" spans="5:18" s="65" customFormat="1">
      <c r="E7069" s="130"/>
      <c r="P7069" s="99"/>
      <c r="Q7069" s="99"/>
      <c r="R7069" s="99"/>
    </row>
    <row r="7070" spans="5:18" s="65" customFormat="1">
      <c r="E7070" s="130"/>
      <c r="P7070" s="99"/>
      <c r="Q7070" s="99"/>
      <c r="R7070" s="99"/>
    </row>
    <row r="7071" spans="5:18" s="65" customFormat="1">
      <c r="E7071" s="130"/>
      <c r="P7071" s="99"/>
      <c r="Q7071" s="99"/>
      <c r="R7071" s="99"/>
    </row>
    <row r="7072" spans="5:18" s="65" customFormat="1">
      <c r="E7072" s="130"/>
      <c r="P7072" s="99"/>
      <c r="Q7072" s="99"/>
      <c r="R7072" s="99"/>
    </row>
    <row r="7073" spans="5:18" s="65" customFormat="1">
      <c r="E7073" s="130"/>
      <c r="P7073" s="99"/>
      <c r="Q7073" s="99"/>
      <c r="R7073" s="99"/>
    </row>
    <row r="7074" spans="5:18" s="65" customFormat="1">
      <c r="E7074" s="130"/>
      <c r="P7074" s="99"/>
      <c r="Q7074" s="99"/>
      <c r="R7074" s="99"/>
    </row>
    <row r="7075" spans="5:18" s="65" customFormat="1">
      <c r="E7075" s="130"/>
      <c r="P7075" s="99"/>
      <c r="Q7075" s="99"/>
      <c r="R7075" s="99"/>
    </row>
    <row r="7076" spans="5:18" s="65" customFormat="1">
      <c r="E7076" s="130"/>
      <c r="P7076" s="99"/>
      <c r="Q7076" s="99"/>
      <c r="R7076" s="99"/>
    </row>
    <row r="7077" spans="5:18" s="65" customFormat="1">
      <c r="E7077" s="130"/>
      <c r="P7077" s="99"/>
      <c r="Q7077" s="99"/>
      <c r="R7077" s="99"/>
    </row>
    <row r="7078" spans="5:18" s="65" customFormat="1">
      <c r="E7078" s="130"/>
      <c r="P7078" s="99"/>
      <c r="Q7078" s="99"/>
      <c r="R7078" s="99"/>
    </row>
    <row r="7079" spans="5:18" s="65" customFormat="1">
      <c r="E7079" s="130"/>
      <c r="P7079" s="99"/>
      <c r="Q7079" s="99"/>
      <c r="R7079" s="99"/>
    </row>
    <row r="7080" spans="5:18" s="65" customFormat="1">
      <c r="E7080" s="130"/>
      <c r="P7080" s="99"/>
      <c r="Q7080" s="99"/>
      <c r="R7080" s="99"/>
    </row>
    <row r="7081" spans="5:18" s="65" customFormat="1">
      <c r="E7081" s="130"/>
      <c r="P7081" s="99"/>
      <c r="Q7081" s="99"/>
      <c r="R7081" s="99"/>
    </row>
    <row r="7082" spans="5:18" s="65" customFormat="1">
      <c r="E7082" s="130"/>
      <c r="P7082" s="99"/>
      <c r="Q7082" s="99"/>
      <c r="R7082" s="99"/>
    </row>
    <row r="7083" spans="5:18" s="65" customFormat="1">
      <c r="E7083" s="130"/>
      <c r="P7083" s="99"/>
      <c r="Q7083" s="99"/>
      <c r="R7083" s="99"/>
    </row>
    <row r="7084" spans="5:18" s="65" customFormat="1">
      <c r="E7084" s="130"/>
      <c r="P7084" s="99"/>
      <c r="Q7084" s="99"/>
      <c r="R7084" s="99"/>
    </row>
    <row r="7085" spans="5:18" s="65" customFormat="1">
      <c r="E7085" s="130"/>
      <c r="P7085" s="99"/>
      <c r="Q7085" s="99"/>
      <c r="R7085" s="99"/>
    </row>
    <row r="7086" spans="5:18" s="65" customFormat="1">
      <c r="E7086" s="130"/>
      <c r="P7086" s="99"/>
      <c r="Q7086" s="99"/>
      <c r="R7086" s="99"/>
    </row>
    <row r="7087" spans="5:18" s="65" customFormat="1">
      <c r="E7087" s="130"/>
      <c r="P7087" s="99"/>
      <c r="Q7087" s="99"/>
      <c r="R7087" s="99"/>
    </row>
    <row r="7088" spans="5:18" s="65" customFormat="1">
      <c r="E7088" s="130"/>
      <c r="P7088" s="99"/>
      <c r="Q7088" s="99"/>
      <c r="R7088" s="99"/>
    </row>
    <row r="7089" spans="5:18" s="65" customFormat="1">
      <c r="E7089" s="130"/>
      <c r="P7089" s="99"/>
      <c r="Q7089" s="99"/>
      <c r="R7089" s="99"/>
    </row>
    <row r="7090" spans="5:18" s="65" customFormat="1">
      <c r="E7090" s="130"/>
      <c r="P7090" s="99"/>
      <c r="Q7090" s="99"/>
      <c r="R7090" s="99"/>
    </row>
    <row r="7091" spans="5:18" s="65" customFormat="1">
      <c r="E7091" s="130"/>
      <c r="P7091" s="99"/>
      <c r="Q7091" s="99"/>
      <c r="R7091" s="99"/>
    </row>
    <row r="7092" spans="5:18" s="65" customFormat="1">
      <c r="E7092" s="130"/>
      <c r="P7092" s="99"/>
      <c r="Q7092" s="99"/>
      <c r="R7092" s="99"/>
    </row>
    <row r="7093" spans="5:18" s="65" customFormat="1">
      <c r="E7093" s="130"/>
      <c r="P7093" s="99"/>
      <c r="Q7093" s="99"/>
      <c r="R7093" s="99"/>
    </row>
    <row r="7094" spans="5:18" s="65" customFormat="1">
      <c r="E7094" s="130"/>
      <c r="P7094" s="99"/>
      <c r="Q7094" s="99"/>
      <c r="R7094" s="99"/>
    </row>
    <row r="7095" spans="5:18" s="65" customFormat="1">
      <c r="E7095" s="130"/>
      <c r="P7095" s="99"/>
      <c r="Q7095" s="99"/>
      <c r="R7095" s="99"/>
    </row>
    <row r="7096" spans="5:18" s="65" customFormat="1">
      <c r="E7096" s="130"/>
      <c r="P7096" s="99"/>
      <c r="Q7096" s="99"/>
      <c r="R7096" s="99"/>
    </row>
    <row r="7097" spans="5:18" s="65" customFormat="1">
      <c r="E7097" s="130"/>
      <c r="P7097" s="99"/>
      <c r="Q7097" s="99"/>
      <c r="R7097" s="99"/>
    </row>
    <row r="7098" spans="5:18" s="65" customFormat="1">
      <c r="E7098" s="130"/>
      <c r="P7098" s="99"/>
      <c r="Q7098" s="99"/>
      <c r="R7098" s="99"/>
    </row>
    <row r="7099" spans="5:18" s="65" customFormat="1">
      <c r="E7099" s="130"/>
      <c r="P7099" s="99"/>
      <c r="Q7099" s="99"/>
      <c r="R7099" s="99"/>
    </row>
    <row r="7100" spans="5:18" s="65" customFormat="1">
      <c r="E7100" s="130"/>
      <c r="P7100" s="99"/>
      <c r="Q7100" s="99"/>
      <c r="R7100" s="99"/>
    </row>
    <row r="7101" spans="5:18" s="65" customFormat="1">
      <c r="E7101" s="130"/>
      <c r="P7101" s="99"/>
      <c r="Q7101" s="99"/>
      <c r="R7101" s="99"/>
    </row>
    <row r="7102" spans="5:18" s="65" customFormat="1">
      <c r="E7102" s="130"/>
      <c r="P7102" s="99"/>
      <c r="Q7102" s="99"/>
      <c r="R7102" s="99"/>
    </row>
    <row r="7103" spans="5:18" s="65" customFormat="1">
      <c r="E7103" s="130"/>
      <c r="P7103" s="99"/>
      <c r="Q7103" s="99"/>
      <c r="R7103" s="99"/>
    </row>
    <row r="7104" spans="5:18" s="65" customFormat="1">
      <c r="E7104" s="130"/>
      <c r="P7104" s="99"/>
      <c r="Q7104" s="99"/>
      <c r="R7104" s="99"/>
    </row>
    <row r="7105" spans="5:18" s="65" customFormat="1">
      <c r="E7105" s="130"/>
      <c r="P7105" s="99"/>
      <c r="Q7105" s="99"/>
      <c r="R7105" s="99"/>
    </row>
    <row r="7106" spans="5:18" s="65" customFormat="1">
      <c r="E7106" s="130"/>
      <c r="P7106" s="99"/>
      <c r="Q7106" s="99"/>
      <c r="R7106" s="99"/>
    </row>
    <row r="7107" spans="5:18" s="65" customFormat="1">
      <c r="E7107" s="130"/>
      <c r="P7107" s="99"/>
      <c r="Q7107" s="99"/>
      <c r="R7107" s="99"/>
    </row>
    <row r="7108" spans="5:18" s="65" customFormat="1">
      <c r="E7108" s="130"/>
      <c r="P7108" s="99"/>
      <c r="Q7108" s="99"/>
      <c r="R7108" s="99"/>
    </row>
    <row r="7109" spans="5:18" s="65" customFormat="1">
      <c r="E7109" s="130"/>
      <c r="P7109" s="99"/>
      <c r="Q7109" s="99"/>
      <c r="R7109" s="99"/>
    </row>
    <row r="7110" spans="5:18" s="65" customFormat="1">
      <c r="E7110" s="130"/>
      <c r="P7110" s="99"/>
      <c r="Q7110" s="99"/>
      <c r="R7110" s="99"/>
    </row>
    <row r="7111" spans="5:18" s="65" customFormat="1">
      <c r="E7111" s="130"/>
      <c r="P7111" s="99"/>
      <c r="Q7111" s="99"/>
      <c r="R7111" s="99"/>
    </row>
    <row r="7112" spans="5:18" s="65" customFormat="1">
      <c r="E7112" s="130"/>
      <c r="P7112" s="99"/>
      <c r="Q7112" s="99"/>
      <c r="R7112" s="99"/>
    </row>
    <row r="7113" spans="5:18" s="65" customFormat="1">
      <c r="E7113" s="130"/>
      <c r="P7113" s="99"/>
      <c r="Q7113" s="99"/>
      <c r="R7113" s="99"/>
    </row>
    <row r="7114" spans="5:18" s="65" customFormat="1">
      <c r="E7114" s="130"/>
      <c r="P7114" s="99"/>
      <c r="Q7114" s="99"/>
      <c r="R7114" s="99"/>
    </row>
    <row r="7115" spans="5:18" s="65" customFormat="1">
      <c r="E7115" s="130"/>
      <c r="P7115" s="99"/>
      <c r="Q7115" s="99"/>
      <c r="R7115" s="99"/>
    </row>
    <row r="7116" spans="5:18" s="65" customFormat="1">
      <c r="E7116" s="130"/>
      <c r="P7116" s="99"/>
      <c r="Q7116" s="99"/>
      <c r="R7116" s="99"/>
    </row>
    <row r="7117" spans="5:18" s="65" customFormat="1">
      <c r="E7117" s="130"/>
      <c r="P7117" s="99"/>
      <c r="Q7117" s="99"/>
      <c r="R7117" s="99"/>
    </row>
    <row r="7118" spans="5:18" s="65" customFormat="1">
      <c r="E7118" s="130"/>
      <c r="P7118" s="99"/>
      <c r="Q7118" s="99"/>
      <c r="R7118" s="99"/>
    </row>
    <row r="7119" spans="5:18" s="65" customFormat="1">
      <c r="E7119" s="130"/>
      <c r="P7119" s="99"/>
      <c r="Q7119" s="99"/>
      <c r="R7119" s="99"/>
    </row>
    <row r="7120" spans="5:18" s="65" customFormat="1">
      <c r="E7120" s="130"/>
      <c r="P7120" s="99"/>
      <c r="Q7120" s="99"/>
      <c r="R7120" s="99"/>
    </row>
    <row r="7121" spans="5:18" s="65" customFormat="1">
      <c r="E7121" s="130"/>
      <c r="P7121" s="99"/>
      <c r="Q7121" s="99"/>
      <c r="R7121" s="99"/>
    </row>
    <row r="7122" spans="5:18" s="65" customFormat="1">
      <c r="E7122" s="130"/>
      <c r="P7122" s="99"/>
      <c r="Q7122" s="99"/>
      <c r="R7122" s="99"/>
    </row>
    <row r="7123" spans="5:18" s="65" customFormat="1">
      <c r="E7123" s="130"/>
      <c r="P7123" s="99"/>
      <c r="Q7123" s="99"/>
      <c r="R7123" s="99"/>
    </row>
    <row r="7124" spans="5:18" s="65" customFormat="1">
      <c r="E7124" s="130"/>
      <c r="P7124" s="99"/>
      <c r="Q7124" s="99"/>
      <c r="R7124" s="99"/>
    </row>
    <row r="7125" spans="5:18" s="65" customFormat="1">
      <c r="E7125" s="130"/>
      <c r="P7125" s="99"/>
      <c r="Q7125" s="99"/>
      <c r="R7125" s="99"/>
    </row>
    <row r="7126" spans="5:18" s="65" customFormat="1">
      <c r="E7126" s="130"/>
      <c r="P7126" s="99"/>
      <c r="Q7126" s="99"/>
      <c r="R7126" s="99"/>
    </row>
    <row r="7127" spans="5:18" s="65" customFormat="1">
      <c r="E7127" s="130"/>
      <c r="P7127" s="99"/>
      <c r="Q7127" s="99"/>
      <c r="R7127" s="99"/>
    </row>
    <row r="7128" spans="5:18" s="65" customFormat="1">
      <c r="E7128" s="130"/>
      <c r="P7128" s="99"/>
      <c r="Q7128" s="99"/>
      <c r="R7128" s="99"/>
    </row>
    <row r="7129" spans="5:18" s="65" customFormat="1">
      <c r="E7129" s="130"/>
      <c r="P7129" s="99"/>
      <c r="Q7129" s="99"/>
      <c r="R7129" s="99"/>
    </row>
    <row r="7130" spans="5:18" s="65" customFormat="1">
      <c r="E7130" s="130"/>
      <c r="P7130" s="99"/>
      <c r="Q7130" s="99"/>
      <c r="R7130" s="99"/>
    </row>
    <row r="7131" spans="5:18" s="65" customFormat="1">
      <c r="E7131" s="130"/>
      <c r="P7131" s="99"/>
      <c r="Q7131" s="99"/>
      <c r="R7131" s="99"/>
    </row>
    <row r="7132" spans="5:18" s="65" customFormat="1">
      <c r="E7132" s="130"/>
      <c r="P7132" s="99"/>
      <c r="Q7132" s="99"/>
      <c r="R7132" s="99"/>
    </row>
    <row r="7133" spans="5:18" s="65" customFormat="1">
      <c r="E7133" s="130"/>
      <c r="P7133" s="99"/>
      <c r="Q7133" s="99"/>
      <c r="R7133" s="99"/>
    </row>
    <row r="7134" spans="5:18" s="65" customFormat="1">
      <c r="E7134" s="130"/>
      <c r="P7134" s="99"/>
      <c r="Q7134" s="99"/>
      <c r="R7134" s="99"/>
    </row>
    <row r="7135" spans="5:18" s="65" customFormat="1">
      <c r="E7135" s="130"/>
      <c r="P7135" s="99"/>
      <c r="Q7135" s="99"/>
      <c r="R7135" s="99"/>
    </row>
    <row r="7136" spans="5:18" s="65" customFormat="1">
      <c r="E7136" s="130"/>
      <c r="P7136" s="99"/>
      <c r="Q7136" s="99"/>
      <c r="R7136" s="99"/>
    </row>
    <row r="7137" spans="5:18" s="65" customFormat="1">
      <c r="E7137" s="130"/>
      <c r="P7137" s="99"/>
      <c r="Q7137" s="99"/>
      <c r="R7137" s="99"/>
    </row>
    <row r="7138" spans="5:18" s="65" customFormat="1">
      <c r="E7138" s="130"/>
      <c r="P7138" s="99"/>
      <c r="Q7138" s="99"/>
      <c r="R7138" s="99"/>
    </row>
    <row r="7139" spans="5:18" s="65" customFormat="1">
      <c r="E7139" s="130"/>
      <c r="P7139" s="99"/>
      <c r="Q7139" s="99"/>
      <c r="R7139" s="99"/>
    </row>
    <row r="7140" spans="5:18" s="65" customFormat="1">
      <c r="E7140" s="130"/>
      <c r="P7140" s="99"/>
      <c r="Q7140" s="99"/>
      <c r="R7140" s="99"/>
    </row>
    <row r="7141" spans="5:18" s="65" customFormat="1">
      <c r="E7141" s="130"/>
      <c r="P7141" s="99"/>
      <c r="Q7141" s="99"/>
      <c r="R7141" s="99"/>
    </row>
    <row r="7142" spans="5:18" s="65" customFormat="1">
      <c r="E7142" s="130"/>
      <c r="P7142" s="99"/>
      <c r="Q7142" s="99"/>
      <c r="R7142" s="99"/>
    </row>
    <row r="7143" spans="5:18" s="65" customFormat="1">
      <c r="E7143" s="130"/>
      <c r="P7143" s="99"/>
      <c r="Q7143" s="99"/>
      <c r="R7143" s="99"/>
    </row>
    <row r="7144" spans="5:18" s="65" customFormat="1">
      <c r="E7144" s="130"/>
      <c r="P7144" s="99"/>
      <c r="Q7144" s="99"/>
      <c r="R7144" s="99"/>
    </row>
    <row r="7145" spans="5:18" s="65" customFormat="1">
      <c r="E7145" s="130"/>
      <c r="P7145" s="99"/>
      <c r="Q7145" s="99"/>
      <c r="R7145" s="99"/>
    </row>
    <row r="7146" spans="5:18" s="65" customFormat="1">
      <c r="E7146" s="130"/>
      <c r="P7146" s="99"/>
      <c r="Q7146" s="99"/>
      <c r="R7146" s="99"/>
    </row>
    <row r="7147" spans="5:18" s="65" customFormat="1">
      <c r="E7147" s="130"/>
      <c r="P7147" s="99"/>
      <c r="Q7147" s="99"/>
      <c r="R7147" s="99"/>
    </row>
    <row r="7148" spans="5:18" s="65" customFormat="1">
      <c r="E7148" s="130"/>
      <c r="P7148" s="99"/>
      <c r="Q7148" s="99"/>
      <c r="R7148" s="99"/>
    </row>
    <row r="7149" spans="5:18" s="65" customFormat="1">
      <c r="E7149" s="130"/>
      <c r="P7149" s="99"/>
      <c r="Q7149" s="99"/>
      <c r="R7149" s="99"/>
    </row>
    <row r="7150" spans="5:18" s="65" customFormat="1">
      <c r="E7150" s="130"/>
      <c r="P7150" s="99"/>
      <c r="Q7150" s="99"/>
      <c r="R7150" s="99"/>
    </row>
    <row r="7151" spans="5:18" s="65" customFormat="1">
      <c r="E7151" s="130"/>
      <c r="P7151" s="99"/>
      <c r="Q7151" s="99"/>
      <c r="R7151" s="99"/>
    </row>
    <row r="7152" spans="5:18" s="65" customFormat="1">
      <c r="E7152" s="130"/>
      <c r="P7152" s="99"/>
      <c r="Q7152" s="99"/>
      <c r="R7152" s="99"/>
    </row>
    <row r="7153" spans="5:18" s="65" customFormat="1">
      <c r="E7153" s="130"/>
      <c r="P7153" s="99"/>
      <c r="Q7153" s="99"/>
      <c r="R7153" s="99"/>
    </row>
    <row r="7154" spans="5:18" s="65" customFormat="1">
      <c r="E7154" s="130"/>
      <c r="P7154" s="99"/>
      <c r="Q7154" s="99"/>
      <c r="R7154" s="99"/>
    </row>
    <row r="7155" spans="5:18" s="65" customFormat="1">
      <c r="E7155" s="130"/>
      <c r="P7155" s="99"/>
      <c r="Q7155" s="99"/>
      <c r="R7155" s="99"/>
    </row>
    <row r="7156" spans="5:18" s="65" customFormat="1">
      <c r="E7156" s="130"/>
      <c r="P7156" s="99"/>
      <c r="Q7156" s="99"/>
      <c r="R7156" s="99"/>
    </row>
    <row r="7157" spans="5:18" s="65" customFormat="1">
      <c r="E7157" s="130"/>
      <c r="P7157" s="99"/>
      <c r="Q7157" s="99"/>
      <c r="R7157" s="99"/>
    </row>
    <row r="7158" spans="5:18" s="65" customFormat="1">
      <c r="E7158" s="130"/>
      <c r="P7158" s="99"/>
      <c r="Q7158" s="99"/>
      <c r="R7158" s="99"/>
    </row>
    <row r="7159" spans="5:18" s="65" customFormat="1">
      <c r="E7159" s="130"/>
      <c r="P7159" s="99"/>
      <c r="Q7159" s="99"/>
      <c r="R7159" s="99"/>
    </row>
    <row r="7160" spans="5:18" s="65" customFormat="1">
      <c r="E7160" s="130"/>
      <c r="P7160" s="99"/>
      <c r="Q7160" s="99"/>
      <c r="R7160" s="99"/>
    </row>
    <row r="7161" spans="5:18" s="65" customFormat="1">
      <c r="E7161" s="130"/>
      <c r="P7161" s="99"/>
      <c r="Q7161" s="99"/>
      <c r="R7161" s="99"/>
    </row>
    <row r="7162" spans="5:18" s="65" customFormat="1">
      <c r="E7162" s="130"/>
      <c r="P7162" s="99"/>
      <c r="Q7162" s="99"/>
      <c r="R7162" s="99"/>
    </row>
    <row r="7163" spans="5:18" s="65" customFormat="1">
      <c r="E7163" s="130"/>
      <c r="P7163" s="99"/>
      <c r="Q7163" s="99"/>
      <c r="R7163" s="99"/>
    </row>
    <row r="7164" spans="5:18" s="65" customFormat="1">
      <c r="E7164" s="130"/>
      <c r="P7164" s="99"/>
      <c r="Q7164" s="99"/>
      <c r="R7164" s="99"/>
    </row>
    <row r="7165" spans="5:18" s="65" customFormat="1">
      <c r="E7165" s="130"/>
      <c r="P7165" s="99"/>
      <c r="Q7165" s="99"/>
      <c r="R7165" s="99"/>
    </row>
    <row r="7166" spans="5:18" s="65" customFormat="1">
      <c r="E7166" s="130"/>
      <c r="P7166" s="99"/>
      <c r="Q7166" s="99"/>
      <c r="R7166" s="99"/>
    </row>
    <row r="7167" spans="5:18" s="65" customFormat="1">
      <c r="E7167" s="130"/>
      <c r="P7167" s="99"/>
      <c r="Q7167" s="99"/>
      <c r="R7167" s="99"/>
    </row>
    <row r="7168" spans="5:18" s="65" customFormat="1">
      <c r="E7168" s="130"/>
      <c r="P7168" s="99"/>
      <c r="Q7168" s="99"/>
      <c r="R7168" s="99"/>
    </row>
    <row r="7169" spans="5:18" s="65" customFormat="1">
      <c r="E7169" s="130"/>
      <c r="P7169" s="99"/>
      <c r="Q7169" s="99"/>
      <c r="R7169" s="99"/>
    </row>
    <row r="7170" spans="5:18" s="65" customFormat="1">
      <c r="E7170" s="130"/>
      <c r="P7170" s="99"/>
      <c r="Q7170" s="99"/>
      <c r="R7170" s="99"/>
    </row>
    <row r="7171" spans="5:18" s="65" customFormat="1">
      <c r="E7171" s="130"/>
      <c r="P7171" s="99"/>
      <c r="Q7171" s="99"/>
      <c r="R7171" s="99"/>
    </row>
    <row r="7172" spans="5:18" s="65" customFormat="1">
      <c r="E7172" s="130"/>
      <c r="P7172" s="99"/>
      <c r="Q7172" s="99"/>
      <c r="R7172" s="99"/>
    </row>
    <row r="7173" spans="5:18" s="65" customFormat="1">
      <c r="E7173" s="130"/>
      <c r="P7173" s="99"/>
      <c r="Q7173" s="99"/>
      <c r="R7173" s="99"/>
    </row>
    <row r="7174" spans="5:18" s="65" customFormat="1">
      <c r="E7174" s="130"/>
      <c r="P7174" s="99"/>
      <c r="Q7174" s="99"/>
      <c r="R7174" s="99"/>
    </row>
    <row r="7175" spans="5:18" s="65" customFormat="1">
      <c r="E7175" s="130"/>
      <c r="P7175" s="99"/>
      <c r="Q7175" s="99"/>
      <c r="R7175" s="99"/>
    </row>
    <row r="7176" spans="5:18" s="65" customFormat="1">
      <c r="E7176" s="130"/>
      <c r="P7176" s="99"/>
      <c r="Q7176" s="99"/>
      <c r="R7176" s="99"/>
    </row>
    <row r="7177" spans="5:18" s="65" customFormat="1">
      <c r="E7177" s="130"/>
      <c r="P7177" s="99"/>
      <c r="Q7177" s="99"/>
      <c r="R7177" s="99"/>
    </row>
    <row r="7178" spans="5:18" s="65" customFormat="1">
      <c r="E7178" s="130"/>
      <c r="P7178" s="99"/>
      <c r="Q7178" s="99"/>
      <c r="R7178" s="99"/>
    </row>
    <row r="7179" spans="5:18" s="65" customFormat="1">
      <c r="E7179" s="130"/>
      <c r="P7179" s="99"/>
      <c r="Q7179" s="99"/>
      <c r="R7179" s="99"/>
    </row>
    <row r="7180" spans="5:18" s="65" customFormat="1">
      <c r="E7180" s="130"/>
      <c r="P7180" s="99"/>
      <c r="Q7180" s="99"/>
      <c r="R7180" s="99"/>
    </row>
    <row r="7181" spans="5:18" s="65" customFormat="1">
      <c r="E7181" s="130"/>
      <c r="P7181" s="99"/>
      <c r="Q7181" s="99"/>
      <c r="R7181" s="99"/>
    </row>
    <row r="7182" spans="5:18" s="65" customFormat="1">
      <c r="E7182" s="130"/>
      <c r="P7182" s="99"/>
      <c r="Q7182" s="99"/>
      <c r="R7182" s="99"/>
    </row>
    <row r="7183" spans="5:18" s="65" customFormat="1">
      <c r="E7183" s="130"/>
      <c r="P7183" s="99"/>
      <c r="Q7183" s="99"/>
      <c r="R7183" s="99"/>
    </row>
    <row r="7184" spans="5:18" s="65" customFormat="1">
      <c r="E7184" s="130"/>
      <c r="P7184" s="99"/>
      <c r="Q7184" s="99"/>
      <c r="R7184" s="99"/>
    </row>
    <row r="7185" spans="5:18" s="65" customFormat="1">
      <c r="E7185" s="130"/>
      <c r="P7185" s="99"/>
      <c r="Q7185" s="99"/>
      <c r="R7185" s="99"/>
    </row>
    <row r="7186" spans="5:18" s="65" customFormat="1">
      <c r="E7186" s="130"/>
      <c r="P7186" s="99"/>
      <c r="Q7186" s="99"/>
      <c r="R7186" s="99"/>
    </row>
    <row r="7187" spans="5:18" s="65" customFormat="1">
      <c r="E7187" s="130"/>
      <c r="P7187" s="99"/>
      <c r="Q7187" s="99"/>
      <c r="R7187" s="99"/>
    </row>
    <row r="7188" spans="5:18" s="65" customFormat="1">
      <c r="E7188" s="130"/>
      <c r="P7188" s="99"/>
      <c r="Q7188" s="99"/>
      <c r="R7188" s="99"/>
    </row>
    <row r="7189" spans="5:18" s="65" customFormat="1">
      <c r="E7189" s="130"/>
      <c r="P7189" s="99"/>
      <c r="Q7189" s="99"/>
      <c r="R7189" s="99"/>
    </row>
    <row r="7190" spans="5:18" s="65" customFormat="1">
      <c r="E7190" s="130"/>
      <c r="P7190" s="99"/>
      <c r="Q7190" s="99"/>
      <c r="R7190" s="99"/>
    </row>
    <row r="7191" spans="5:18" s="65" customFormat="1">
      <c r="E7191" s="130"/>
      <c r="P7191" s="99"/>
      <c r="Q7191" s="99"/>
      <c r="R7191" s="99"/>
    </row>
    <row r="7192" spans="5:18" s="65" customFormat="1">
      <c r="E7192" s="130"/>
      <c r="P7192" s="99"/>
      <c r="Q7192" s="99"/>
      <c r="R7192" s="99"/>
    </row>
    <row r="7193" spans="5:18" s="65" customFormat="1">
      <c r="E7193" s="130"/>
      <c r="P7193" s="99"/>
      <c r="Q7193" s="99"/>
      <c r="R7193" s="99"/>
    </row>
    <row r="7194" spans="5:18" s="65" customFormat="1">
      <c r="E7194" s="130"/>
      <c r="P7194" s="99"/>
      <c r="Q7194" s="99"/>
      <c r="R7194" s="99"/>
    </row>
    <row r="7195" spans="5:18" s="65" customFormat="1">
      <c r="E7195" s="130"/>
      <c r="P7195" s="99"/>
      <c r="Q7195" s="99"/>
      <c r="R7195" s="99"/>
    </row>
    <row r="7196" spans="5:18" s="65" customFormat="1">
      <c r="E7196" s="130"/>
      <c r="P7196" s="99"/>
      <c r="Q7196" s="99"/>
      <c r="R7196" s="99"/>
    </row>
    <row r="7197" spans="5:18" s="65" customFormat="1">
      <c r="E7197" s="130"/>
      <c r="P7197" s="99"/>
      <c r="Q7197" s="99"/>
      <c r="R7197" s="99"/>
    </row>
    <row r="7198" spans="5:18" s="65" customFormat="1">
      <c r="E7198" s="130"/>
      <c r="P7198" s="99"/>
      <c r="Q7198" s="99"/>
      <c r="R7198" s="99"/>
    </row>
    <row r="7199" spans="5:18" s="65" customFormat="1">
      <c r="E7199" s="130"/>
      <c r="P7199" s="99"/>
      <c r="Q7199" s="99"/>
      <c r="R7199" s="99"/>
    </row>
    <row r="7200" spans="5:18" s="65" customFormat="1">
      <c r="E7200" s="130"/>
      <c r="P7200" s="99"/>
      <c r="Q7200" s="99"/>
      <c r="R7200" s="99"/>
    </row>
    <row r="7201" spans="5:18" s="65" customFormat="1">
      <c r="E7201" s="130"/>
      <c r="P7201" s="99"/>
      <c r="Q7201" s="99"/>
      <c r="R7201" s="99"/>
    </row>
    <row r="7202" spans="5:18" s="65" customFormat="1">
      <c r="E7202" s="130"/>
      <c r="P7202" s="99"/>
      <c r="Q7202" s="99"/>
      <c r="R7202" s="99"/>
    </row>
    <row r="7203" spans="5:18" s="65" customFormat="1">
      <c r="E7203" s="130"/>
      <c r="P7203" s="99"/>
      <c r="Q7203" s="99"/>
      <c r="R7203" s="99"/>
    </row>
    <row r="7204" spans="5:18" s="65" customFormat="1">
      <c r="E7204" s="130"/>
      <c r="P7204" s="99"/>
      <c r="Q7204" s="99"/>
      <c r="R7204" s="99"/>
    </row>
    <row r="7205" spans="5:18" s="65" customFormat="1">
      <c r="E7205" s="130"/>
      <c r="P7205" s="99"/>
      <c r="Q7205" s="99"/>
      <c r="R7205" s="99"/>
    </row>
    <row r="7206" spans="5:18" s="65" customFormat="1">
      <c r="E7206" s="130"/>
      <c r="P7206" s="99"/>
      <c r="Q7206" s="99"/>
      <c r="R7206" s="99"/>
    </row>
    <row r="7207" spans="5:18" s="65" customFormat="1">
      <c r="E7207" s="130"/>
      <c r="P7207" s="99"/>
      <c r="Q7207" s="99"/>
      <c r="R7207" s="99"/>
    </row>
    <row r="7208" spans="5:18" s="65" customFormat="1">
      <c r="E7208" s="130"/>
      <c r="P7208" s="99"/>
      <c r="Q7208" s="99"/>
      <c r="R7208" s="99"/>
    </row>
    <row r="7209" spans="5:18" s="65" customFormat="1">
      <c r="E7209" s="130"/>
      <c r="P7209" s="99"/>
      <c r="Q7209" s="99"/>
      <c r="R7209" s="99"/>
    </row>
    <row r="7210" spans="5:18" s="65" customFormat="1">
      <c r="E7210" s="130"/>
      <c r="P7210" s="99"/>
      <c r="Q7210" s="99"/>
      <c r="R7210" s="99"/>
    </row>
    <row r="7211" spans="5:18" s="65" customFormat="1">
      <c r="E7211" s="130"/>
      <c r="P7211" s="99"/>
      <c r="Q7211" s="99"/>
      <c r="R7211" s="99"/>
    </row>
    <row r="7212" spans="5:18" s="65" customFormat="1">
      <c r="E7212" s="130"/>
      <c r="P7212" s="99"/>
      <c r="Q7212" s="99"/>
      <c r="R7212" s="99"/>
    </row>
    <row r="7213" spans="5:18" s="65" customFormat="1">
      <c r="E7213" s="130"/>
      <c r="P7213" s="99"/>
      <c r="Q7213" s="99"/>
      <c r="R7213" s="99"/>
    </row>
    <row r="7214" spans="5:18" s="65" customFormat="1">
      <c r="E7214" s="130"/>
      <c r="P7214" s="99"/>
      <c r="Q7214" s="99"/>
      <c r="R7214" s="99"/>
    </row>
    <row r="7215" spans="5:18" s="65" customFormat="1">
      <c r="E7215" s="130"/>
      <c r="P7215" s="99"/>
      <c r="Q7215" s="99"/>
      <c r="R7215" s="99"/>
    </row>
    <row r="7216" spans="5:18" s="65" customFormat="1">
      <c r="E7216" s="130"/>
      <c r="P7216" s="99"/>
      <c r="Q7216" s="99"/>
      <c r="R7216" s="99"/>
    </row>
    <row r="7217" spans="5:18" s="65" customFormat="1">
      <c r="E7217" s="130"/>
      <c r="P7217" s="99"/>
      <c r="Q7217" s="99"/>
      <c r="R7217" s="99"/>
    </row>
    <row r="7218" spans="5:18" s="65" customFormat="1">
      <c r="E7218" s="130"/>
      <c r="P7218" s="99"/>
      <c r="Q7218" s="99"/>
      <c r="R7218" s="99"/>
    </row>
    <row r="7219" spans="5:18" s="65" customFormat="1">
      <c r="E7219" s="130"/>
      <c r="P7219" s="99"/>
      <c r="Q7219" s="99"/>
      <c r="R7219" s="99"/>
    </row>
    <row r="7220" spans="5:18" s="65" customFormat="1">
      <c r="E7220" s="130"/>
      <c r="P7220" s="99"/>
      <c r="Q7220" s="99"/>
      <c r="R7220" s="99"/>
    </row>
    <row r="7221" spans="5:18" s="65" customFormat="1">
      <c r="E7221" s="130"/>
      <c r="P7221" s="99"/>
      <c r="Q7221" s="99"/>
      <c r="R7221" s="99"/>
    </row>
    <row r="7222" spans="5:18" s="65" customFormat="1">
      <c r="E7222" s="130"/>
      <c r="P7222" s="99"/>
      <c r="Q7222" s="99"/>
      <c r="R7222" s="99"/>
    </row>
    <row r="7223" spans="5:18" s="65" customFormat="1">
      <c r="E7223" s="130"/>
      <c r="P7223" s="99"/>
      <c r="Q7223" s="99"/>
      <c r="R7223" s="99"/>
    </row>
    <row r="7224" spans="5:18" s="65" customFormat="1">
      <c r="E7224" s="130"/>
      <c r="P7224" s="99"/>
      <c r="Q7224" s="99"/>
      <c r="R7224" s="99"/>
    </row>
    <row r="7225" spans="5:18" s="65" customFormat="1">
      <c r="E7225" s="130"/>
      <c r="P7225" s="99"/>
      <c r="Q7225" s="99"/>
      <c r="R7225" s="99"/>
    </row>
    <row r="7226" spans="5:18" s="65" customFormat="1">
      <c r="E7226" s="130"/>
      <c r="P7226" s="99"/>
      <c r="Q7226" s="99"/>
      <c r="R7226" s="99"/>
    </row>
    <row r="7227" spans="5:18" s="65" customFormat="1">
      <c r="E7227" s="130"/>
      <c r="P7227" s="99"/>
      <c r="Q7227" s="99"/>
      <c r="R7227" s="99"/>
    </row>
    <row r="7228" spans="5:18" s="65" customFormat="1">
      <c r="E7228" s="130"/>
      <c r="P7228" s="99"/>
      <c r="Q7228" s="99"/>
      <c r="R7228" s="99"/>
    </row>
    <row r="7229" spans="5:18" s="65" customFormat="1">
      <c r="E7229" s="130"/>
      <c r="P7229" s="99"/>
      <c r="Q7229" s="99"/>
      <c r="R7229" s="99"/>
    </row>
    <row r="7230" spans="5:18" s="65" customFormat="1">
      <c r="E7230" s="130"/>
      <c r="P7230" s="99"/>
      <c r="Q7230" s="99"/>
      <c r="R7230" s="99"/>
    </row>
    <row r="7231" spans="5:18" s="65" customFormat="1">
      <c r="E7231" s="130"/>
      <c r="P7231" s="99"/>
      <c r="Q7231" s="99"/>
      <c r="R7231" s="99"/>
    </row>
    <row r="7232" spans="5:18" s="65" customFormat="1">
      <c r="E7232" s="130"/>
      <c r="P7232" s="99"/>
      <c r="Q7232" s="99"/>
      <c r="R7232" s="99"/>
    </row>
    <row r="7233" spans="5:18" s="65" customFormat="1">
      <c r="E7233" s="130"/>
      <c r="P7233" s="99"/>
      <c r="Q7233" s="99"/>
      <c r="R7233" s="99"/>
    </row>
    <row r="7234" spans="5:18" s="65" customFormat="1">
      <c r="E7234" s="130"/>
      <c r="P7234" s="99"/>
      <c r="Q7234" s="99"/>
      <c r="R7234" s="99"/>
    </row>
    <row r="7235" spans="5:18" s="65" customFormat="1">
      <c r="E7235" s="130"/>
      <c r="P7235" s="99"/>
      <c r="Q7235" s="99"/>
      <c r="R7235" s="99"/>
    </row>
    <row r="7236" spans="5:18" s="65" customFormat="1">
      <c r="E7236" s="130"/>
      <c r="P7236" s="99"/>
      <c r="Q7236" s="99"/>
      <c r="R7236" s="99"/>
    </row>
    <row r="7237" spans="5:18" s="65" customFormat="1">
      <c r="E7237" s="130"/>
      <c r="P7237" s="99"/>
      <c r="Q7237" s="99"/>
      <c r="R7237" s="99"/>
    </row>
    <row r="7238" spans="5:18" s="65" customFormat="1">
      <c r="E7238" s="130"/>
      <c r="P7238" s="99"/>
      <c r="Q7238" s="99"/>
      <c r="R7238" s="99"/>
    </row>
    <row r="7239" spans="5:18" s="65" customFormat="1">
      <c r="E7239" s="130"/>
      <c r="P7239" s="99"/>
      <c r="Q7239" s="99"/>
      <c r="R7239" s="99"/>
    </row>
    <row r="7240" spans="5:18" s="65" customFormat="1">
      <c r="E7240" s="130"/>
      <c r="P7240" s="99"/>
      <c r="Q7240" s="99"/>
      <c r="R7240" s="99"/>
    </row>
    <row r="7241" spans="5:18" s="65" customFormat="1">
      <c r="E7241" s="130"/>
      <c r="P7241" s="99"/>
      <c r="Q7241" s="99"/>
      <c r="R7241" s="99"/>
    </row>
    <row r="7242" spans="5:18" s="65" customFormat="1">
      <c r="E7242" s="130"/>
      <c r="P7242" s="99"/>
      <c r="Q7242" s="99"/>
      <c r="R7242" s="99"/>
    </row>
    <row r="7243" spans="5:18" s="65" customFormat="1">
      <c r="E7243" s="130"/>
      <c r="P7243" s="99"/>
      <c r="Q7243" s="99"/>
      <c r="R7243" s="99"/>
    </row>
    <row r="7244" spans="5:18" s="65" customFormat="1">
      <c r="E7244" s="130"/>
      <c r="P7244" s="99"/>
      <c r="Q7244" s="99"/>
      <c r="R7244" s="99"/>
    </row>
    <row r="7245" spans="5:18" s="65" customFormat="1">
      <c r="E7245" s="130"/>
      <c r="P7245" s="99"/>
      <c r="Q7245" s="99"/>
      <c r="R7245" s="99"/>
    </row>
    <row r="7246" spans="5:18" s="65" customFormat="1">
      <c r="E7246" s="130"/>
      <c r="P7246" s="99"/>
      <c r="Q7246" s="99"/>
      <c r="R7246" s="99"/>
    </row>
    <row r="7247" spans="5:18" s="65" customFormat="1">
      <c r="E7247" s="130"/>
      <c r="P7247" s="99"/>
      <c r="Q7247" s="99"/>
      <c r="R7247" s="99"/>
    </row>
    <row r="7248" spans="5:18" s="65" customFormat="1">
      <c r="E7248" s="130"/>
      <c r="P7248" s="99"/>
      <c r="Q7248" s="99"/>
      <c r="R7248" s="99"/>
    </row>
    <row r="7249" spans="5:18" s="65" customFormat="1">
      <c r="E7249" s="130"/>
      <c r="P7249" s="99"/>
      <c r="Q7249" s="99"/>
      <c r="R7249" s="99"/>
    </row>
    <row r="7250" spans="5:18" s="65" customFormat="1">
      <c r="E7250" s="130"/>
      <c r="P7250" s="99"/>
      <c r="Q7250" s="99"/>
      <c r="R7250" s="99"/>
    </row>
    <row r="7251" spans="5:18" s="65" customFormat="1">
      <c r="E7251" s="130"/>
      <c r="P7251" s="99"/>
      <c r="Q7251" s="99"/>
      <c r="R7251" s="99"/>
    </row>
    <row r="7252" spans="5:18" s="65" customFormat="1">
      <c r="E7252" s="130"/>
      <c r="P7252" s="99"/>
      <c r="Q7252" s="99"/>
      <c r="R7252" s="99"/>
    </row>
    <row r="7253" spans="5:18" s="65" customFormat="1">
      <c r="E7253" s="130"/>
      <c r="P7253" s="99"/>
      <c r="Q7253" s="99"/>
      <c r="R7253" s="99"/>
    </row>
    <row r="7254" spans="5:18" s="65" customFormat="1">
      <c r="E7254" s="130"/>
      <c r="P7254" s="99"/>
      <c r="Q7254" s="99"/>
      <c r="R7254" s="99"/>
    </row>
    <row r="7255" spans="5:18" s="65" customFormat="1">
      <c r="E7255" s="130"/>
      <c r="P7255" s="99"/>
      <c r="Q7255" s="99"/>
      <c r="R7255" s="99"/>
    </row>
    <row r="7256" spans="5:18" s="65" customFormat="1">
      <c r="E7256" s="130"/>
      <c r="P7256" s="99"/>
      <c r="Q7256" s="99"/>
      <c r="R7256" s="99"/>
    </row>
    <row r="7257" spans="5:18" s="65" customFormat="1">
      <c r="E7257" s="130"/>
      <c r="P7257" s="99"/>
      <c r="Q7257" s="99"/>
      <c r="R7257" s="99"/>
    </row>
    <row r="7258" spans="5:18" s="65" customFormat="1">
      <c r="E7258" s="130"/>
      <c r="P7258" s="99"/>
      <c r="Q7258" s="99"/>
      <c r="R7258" s="99"/>
    </row>
    <row r="7259" spans="5:18" s="65" customFormat="1">
      <c r="E7259" s="130"/>
      <c r="P7259" s="99"/>
      <c r="Q7259" s="99"/>
      <c r="R7259" s="99"/>
    </row>
    <row r="7260" spans="5:18" s="65" customFormat="1">
      <c r="E7260" s="130"/>
      <c r="P7260" s="99"/>
      <c r="Q7260" s="99"/>
      <c r="R7260" s="99"/>
    </row>
    <row r="7261" spans="5:18" s="65" customFormat="1">
      <c r="E7261" s="130"/>
      <c r="P7261" s="99"/>
      <c r="Q7261" s="99"/>
      <c r="R7261" s="99"/>
    </row>
    <row r="7262" spans="5:18" s="65" customFormat="1">
      <c r="E7262" s="130"/>
      <c r="P7262" s="99"/>
      <c r="Q7262" s="99"/>
      <c r="R7262" s="99"/>
    </row>
    <row r="7263" spans="5:18" s="65" customFormat="1">
      <c r="E7263" s="130"/>
      <c r="P7263" s="99"/>
      <c r="Q7263" s="99"/>
      <c r="R7263" s="99"/>
    </row>
    <row r="7264" spans="5:18" s="65" customFormat="1">
      <c r="E7264" s="130"/>
      <c r="P7264" s="99"/>
      <c r="Q7264" s="99"/>
      <c r="R7264" s="99"/>
    </row>
    <row r="7265" spans="5:18" s="65" customFormat="1">
      <c r="E7265" s="130"/>
      <c r="P7265" s="99"/>
      <c r="Q7265" s="99"/>
      <c r="R7265" s="99"/>
    </row>
    <row r="7266" spans="5:18" s="65" customFormat="1">
      <c r="E7266" s="130"/>
      <c r="P7266" s="99"/>
      <c r="Q7266" s="99"/>
      <c r="R7266" s="99"/>
    </row>
    <row r="7267" spans="5:18" s="65" customFormat="1">
      <c r="E7267" s="130"/>
      <c r="P7267" s="99"/>
      <c r="Q7267" s="99"/>
      <c r="R7267" s="99"/>
    </row>
    <row r="7268" spans="5:18" s="65" customFormat="1">
      <c r="E7268" s="130"/>
      <c r="P7268" s="99"/>
      <c r="Q7268" s="99"/>
      <c r="R7268" s="99"/>
    </row>
    <row r="7269" spans="5:18" s="65" customFormat="1">
      <c r="E7269" s="130"/>
      <c r="P7269" s="99"/>
      <c r="Q7269" s="99"/>
      <c r="R7269" s="99"/>
    </row>
    <row r="7270" spans="5:18" s="65" customFormat="1">
      <c r="E7270" s="130"/>
      <c r="P7270" s="99"/>
      <c r="Q7270" s="99"/>
      <c r="R7270" s="99"/>
    </row>
    <row r="7271" spans="5:18" s="65" customFormat="1">
      <c r="E7271" s="130"/>
      <c r="P7271" s="99"/>
      <c r="Q7271" s="99"/>
      <c r="R7271" s="99"/>
    </row>
    <row r="7272" spans="5:18" s="65" customFormat="1">
      <c r="E7272" s="130"/>
      <c r="P7272" s="99"/>
      <c r="Q7272" s="99"/>
      <c r="R7272" s="99"/>
    </row>
    <row r="7273" spans="5:18" s="65" customFormat="1">
      <c r="E7273" s="130"/>
      <c r="P7273" s="99"/>
      <c r="Q7273" s="99"/>
      <c r="R7273" s="99"/>
    </row>
    <row r="7274" spans="5:18" s="65" customFormat="1">
      <c r="E7274" s="130"/>
      <c r="P7274" s="99"/>
      <c r="Q7274" s="99"/>
      <c r="R7274" s="99"/>
    </row>
    <row r="7275" spans="5:18" s="65" customFormat="1">
      <c r="E7275" s="130"/>
      <c r="P7275" s="99"/>
      <c r="Q7275" s="99"/>
      <c r="R7275" s="99"/>
    </row>
    <row r="7276" spans="5:18" s="65" customFormat="1">
      <c r="E7276" s="130"/>
      <c r="P7276" s="99"/>
      <c r="Q7276" s="99"/>
      <c r="R7276" s="99"/>
    </row>
    <row r="7277" spans="5:18" s="65" customFormat="1">
      <c r="E7277" s="130"/>
      <c r="P7277" s="99"/>
      <c r="Q7277" s="99"/>
      <c r="R7277" s="99"/>
    </row>
    <row r="7278" spans="5:18" s="65" customFormat="1">
      <c r="E7278" s="130"/>
      <c r="P7278" s="99"/>
      <c r="Q7278" s="99"/>
      <c r="R7278" s="99"/>
    </row>
    <row r="7279" spans="5:18" s="65" customFormat="1">
      <c r="E7279" s="130"/>
      <c r="P7279" s="99"/>
      <c r="Q7279" s="99"/>
      <c r="R7279" s="99"/>
    </row>
    <row r="7280" spans="5:18" s="65" customFormat="1">
      <c r="E7280" s="130"/>
      <c r="P7280" s="99"/>
      <c r="Q7280" s="99"/>
      <c r="R7280" s="99"/>
    </row>
    <row r="7281" spans="5:18" s="65" customFormat="1">
      <c r="E7281" s="130"/>
      <c r="P7281" s="99"/>
      <c r="Q7281" s="99"/>
      <c r="R7281" s="99"/>
    </row>
    <row r="7282" spans="5:18" s="65" customFormat="1">
      <c r="E7282" s="130"/>
      <c r="P7282" s="99"/>
      <c r="Q7282" s="99"/>
      <c r="R7282" s="99"/>
    </row>
    <row r="7283" spans="5:18" s="65" customFormat="1">
      <c r="E7283" s="130"/>
      <c r="P7283" s="99"/>
      <c r="Q7283" s="99"/>
      <c r="R7283" s="99"/>
    </row>
    <row r="7284" spans="5:18" s="65" customFormat="1">
      <c r="E7284" s="130"/>
      <c r="P7284" s="99"/>
      <c r="Q7284" s="99"/>
      <c r="R7284" s="99"/>
    </row>
    <row r="7285" spans="5:18" s="65" customFormat="1">
      <c r="E7285" s="130"/>
      <c r="P7285" s="99"/>
      <c r="Q7285" s="99"/>
      <c r="R7285" s="99"/>
    </row>
    <row r="7286" spans="5:18" s="65" customFormat="1">
      <c r="E7286" s="130"/>
      <c r="P7286" s="99"/>
      <c r="Q7286" s="99"/>
      <c r="R7286" s="99"/>
    </row>
    <row r="7287" spans="5:18" s="65" customFormat="1">
      <c r="E7287" s="130"/>
      <c r="P7287" s="99"/>
      <c r="Q7287" s="99"/>
      <c r="R7287" s="99"/>
    </row>
    <row r="7288" spans="5:18" s="65" customFormat="1">
      <c r="E7288" s="130"/>
      <c r="P7288" s="99"/>
      <c r="Q7288" s="99"/>
      <c r="R7288" s="99"/>
    </row>
    <row r="7289" spans="5:18" s="65" customFormat="1">
      <c r="E7289" s="130"/>
      <c r="P7289" s="99"/>
      <c r="Q7289" s="99"/>
      <c r="R7289" s="99"/>
    </row>
    <row r="7290" spans="5:18" s="65" customFormat="1">
      <c r="E7290" s="130"/>
      <c r="P7290" s="99"/>
      <c r="Q7290" s="99"/>
      <c r="R7290" s="99"/>
    </row>
    <row r="7291" spans="5:18" s="65" customFormat="1">
      <c r="E7291" s="130"/>
      <c r="P7291" s="99"/>
      <c r="Q7291" s="99"/>
      <c r="R7291" s="99"/>
    </row>
    <row r="7292" spans="5:18" s="65" customFormat="1">
      <c r="E7292" s="130"/>
      <c r="P7292" s="99"/>
      <c r="Q7292" s="99"/>
      <c r="R7292" s="99"/>
    </row>
    <row r="7293" spans="5:18" s="65" customFormat="1">
      <c r="E7293" s="130"/>
      <c r="P7293" s="99"/>
      <c r="Q7293" s="99"/>
      <c r="R7293" s="99"/>
    </row>
    <row r="7294" spans="5:18" s="65" customFormat="1">
      <c r="E7294" s="130"/>
      <c r="P7294" s="99"/>
      <c r="Q7294" s="99"/>
      <c r="R7294" s="99"/>
    </row>
    <row r="7295" spans="5:18" s="65" customFormat="1">
      <c r="E7295" s="130"/>
      <c r="P7295" s="99"/>
      <c r="Q7295" s="99"/>
      <c r="R7295" s="99"/>
    </row>
    <row r="7296" spans="5:18" s="65" customFormat="1">
      <c r="E7296" s="130"/>
      <c r="P7296" s="99"/>
      <c r="Q7296" s="99"/>
      <c r="R7296" s="99"/>
    </row>
    <row r="7297" spans="5:18" s="65" customFormat="1">
      <c r="E7297" s="130"/>
      <c r="P7297" s="99"/>
      <c r="Q7297" s="99"/>
      <c r="R7297" s="99"/>
    </row>
    <row r="7298" spans="5:18" s="65" customFormat="1">
      <c r="E7298" s="130"/>
      <c r="P7298" s="99"/>
      <c r="Q7298" s="99"/>
      <c r="R7298" s="99"/>
    </row>
    <row r="7299" spans="5:18" s="65" customFormat="1">
      <c r="E7299" s="130"/>
      <c r="P7299" s="99"/>
      <c r="Q7299" s="99"/>
      <c r="R7299" s="99"/>
    </row>
    <row r="7300" spans="5:18" s="65" customFormat="1">
      <c r="E7300" s="130"/>
      <c r="P7300" s="99"/>
      <c r="Q7300" s="99"/>
      <c r="R7300" s="99"/>
    </row>
    <row r="7301" spans="5:18" s="65" customFormat="1">
      <c r="E7301" s="130"/>
      <c r="P7301" s="99"/>
      <c r="Q7301" s="99"/>
      <c r="R7301" s="99"/>
    </row>
    <row r="7302" spans="5:18" s="65" customFormat="1">
      <c r="E7302" s="130"/>
      <c r="P7302" s="99"/>
      <c r="Q7302" s="99"/>
      <c r="R7302" s="99"/>
    </row>
    <row r="7303" spans="5:18" s="65" customFormat="1">
      <c r="E7303" s="130"/>
      <c r="P7303" s="99"/>
      <c r="Q7303" s="99"/>
      <c r="R7303" s="99"/>
    </row>
    <row r="7304" spans="5:18" s="65" customFormat="1">
      <c r="E7304" s="130"/>
      <c r="P7304" s="99"/>
      <c r="Q7304" s="99"/>
      <c r="R7304" s="99"/>
    </row>
    <row r="7305" spans="5:18" s="65" customFormat="1">
      <c r="E7305" s="130"/>
      <c r="P7305" s="99"/>
      <c r="Q7305" s="99"/>
      <c r="R7305" s="99"/>
    </row>
    <row r="7306" spans="5:18" s="65" customFormat="1">
      <c r="E7306" s="130"/>
      <c r="P7306" s="99"/>
      <c r="Q7306" s="99"/>
      <c r="R7306" s="99"/>
    </row>
    <row r="7307" spans="5:18" s="65" customFormat="1">
      <c r="E7307" s="130"/>
      <c r="P7307" s="99"/>
      <c r="Q7307" s="99"/>
      <c r="R7307" s="99"/>
    </row>
    <row r="7308" spans="5:18" s="65" customFormat="1">
      <c r="E7308" s="130"/>
      <c r="P7308" s="99"/>
      <c r="Q7308" s="99"/>
      <c r="R7308" s="99"/>
    </row>
    <row r="7309" spans="5:18" s="65" customFormat="1">
      <c r="E7309" s="130"/>
      <c r="P7309" s="99"/>
      <c r="Q7309" s="99"/>
      <c r="R7309" s="99"/>
    </row>
    <row r="7310" spans="5:18" s="65" customFormat="1">
      <c r="E7310" s="130"/>
      <c r="P7310" s="99"/>
      <c r="Q7310" s="99"/>
      <c r="R7310" s="99"/>
    </row>
    <row r="7311" spans="5:18" s="65" customFormat="1">
      <c r="E7311" s="130"/>
      <c r="P7311" s="99"/>
      <c r="Q7311" s="99"/>
      <c r="R7311" s="99"/>
    </row>
    <row r="7312" spans="5:18" s="65" customFormat="1">
      <c r="E7312" s="130"/>
      <c r="P7312" s="99"/>
      <c r="Q7312" s="99"/>
      <c r="R7312" s="99"/>
    </row>
    <row r="7313" spans="5:18" s="65" customFormat="1">
      <c r="E7313" s="130"/>
      <c r="P7313" s="99"/>
      <c r="Q7313" s="99"/>
      <c r="R7313" s="99"/>
    </row>
    <row r="7314" spans="5:18" s="65" customFormat="1">
      <c r="E7314" s="130"/>
      <c r="P7314" s="99"/>
      <c r="Q7314" s="99"/>
      <c r="R7314" s="99"/>
    </row>
    <row r="7315" spans="5:18" s="65" customFormat="1">
      <c r="E7315" s="130"/>
      <c r="P7315" s="99"/>
      <c r="Q7315" s="99"/>
      <c r="R7315" s="99"/>
    </row>
    <row r="7316" spans="5:18" s="65" customFormat="1">
      <c r="E7316" s="130"/>
      <c r="P7316" s="99"/>
      <c r="Q7316" s="99"/>
      <c r="R7316" s="99"/>
    </row>
    <row r="7317" spans="5:18" s="65" customFormat="1">
      <c r="E7317" s="130"/>
      <c r="P7317" s="99"/>
      <c r="Q7317" s="99"/>
      <c r="R7317" s="99"/>
    </row>
    <row r="7318" spans="5:18" s="65" customFormat="1">
      <c r="E7318" s="130"/>
      <c r="P7318" s="99"/>
      <c r="Q7318" s="99"/>
      <c r="R7318" s="99"/>
    </row>
    <row r="7319" spans="5:18" s="65" customFormat="1">
      <c r="E7319" s="130"/>
      <c r="P7319" s="99"/>
      <c r="Q7319" s="99"/>
      <c r="R7319" s="99"/>
    </row>
    <row r="7320" spans="5:18" s="65" customFormat="1">
      <c r="E7320" s="130"/>
      <c r="P7320" s="99"/>
      <c r="Q7320" s="99"/>
      <c r="R7320" s="99"/>
    </row>
    <row r="7321" spans="5:18" s="65" customFormat="1">
      <c r="E7321" s="130"/>
      <c r="P7321" s="99"/>
      <c r="Q7321" s="99"/>
      <c r="R7321" s="99"/>
    </row>
    <row r="7322" spans="5:18" s="65" customFormat="1">
      <c r="E7322" s="130"/>
      <c r="P7322" s="99"/>
      <c r="Q7322" s="99"/>
      <c r="R7322" s="99"/>
    </row>
    <row r="7323" spans="5:18" s="65" customFormat="1">
      <c r="E7323" s="130"/>
      <c r="P7323" s="99"/>
      <c r="Q7323" s="99"/>
      <c r="R7323" s="99"/>
    </row>
    <row r="7324" spans="5:18" s="65" customFormat="1">
      <c r="E7324" s="130"/>
      <c r="P7324" s="99"/>
      <c r="Q7324" s="99"/>
      <c r="R7324" s="99"/>
    </row>
    <row r="7325" spans="5:18" s="65" customFormat="1">
      <c r="E7325" s="130"/>
      <c r="P7325" s="99"/>
      <c r="Q7325" s="99"/>
      <c r="R7325" s="99"/>
    </row>
    <row r="7326" spans="5:18" s="65" customFormat="1">
      <c r="E7326" s="130"/>
      <c r="P7326" s="99"/>
      <c r="Q7326" s="99"/>
      <c r="R7326" s="99"/>
    </row>
    <row r="7327" spans="5:18" s="65" customFormat="1">
      <c r="E7327" s="130"/>
      <c r="P7327" s="99"/>
      <c r="Q7327" s="99"/>
      <c r="R7327" s="99"/>
    </row>
    <row r="7328" spans="5:18" s="65" customFormat="1">
      <c r="E7328" s="130"/>
      <c r="P7328" s="99"/>
      <c r="Q7328" s="99"/>
      <c r="R7328" s="99"/>
    </row>
    <row r="7329" spans="5:18" s="65" customFormat="1">
      <c r="E7329" s="130"/>
      <c r="P7329" s="99"/>
      <c r="Q7329" s="99"/>
      <c r="R7329" s="99"/>
    </row>
    <row r="7330" spans="5:18" s="65" customFormat="1">
      <c r="E7330" s="130"/>
      <c r="P7330" s="99"/>
      <c r="Q7330" s="99"/>
      <c r="R7330" s="99"/>
    </row>
    <row r="7331" spans="5:18" s="65" customFormat="1">
      <c r="E7331" s="130"/>
      <c r="P7331" s="99"/>
      <c r="Q7331" s="99"/>
      <c r="R7331" s="99"/>
    </row>
    <row r="7332" spans="5:18" s="65" customFormat="1">
      <c r="E7332" s="130"/>
      <c r="P7332" s="99"/>
      <c r="Q7332" s="99"/>
      <c r="R7332" s="99"/>
    </row>
    <row r="7333" spans="5:18" s="65" customFormat="1">
      <c r="E7333" s="130"/>
      <c r="P7333" s="99"/>
      <c r="Q7333" s="99"/>
      <c r="R7333" s="99"/>
    </row>
    <row r="7334" spans="5:18" s="65" customFormat="1">
      <c r="E7334" s="130"/>
      <c r="P7334" s="99"/>
      <c r="Q7334" s="99"/>
      <c r="R7334" s="99"/>
    </row>
    <row r="7335" spans="5:18" s="65" customFormat="1">
      <c r="E7335" s="130"/>
      <c r="P7335" s="99"/>
      <c r="Q7335" s="99"/>
      <c r="R7335" s="99"/>
    </row>
    <row r="7336" spans="5:18" s="65" customFormat="1">
      <c r="E7336" s="130"/>
      <c r="P7336" s="99"/>
      <c r="Q7336" s="99"/>
      <c r="R7336" s="99"/>
    </row>
    <row r="7337" spans="5:18" s="65" customFormat="1">
      <c r="E7337" s="130"/>
      <c r="P7337" s="99"/>
      <c r="Q7337" s="99"/>
      <c r="R7337" s="99"/>
    </row>
    <row r="7338" spans="5:18" s="65" customFormat="1">
      <c r="E7338" s="130"/>
      <c r="P7338" s="99"/>
      <c r="Q7338" s="99"/>
      <c r="R7338" s="99"/>
    </row>
    <row r="7339" spans="5:18" s="65" customFormat="1">
      <c r="E7339" s="130"/>
      <c r="P7339" s="99"/>
      <c r="Q7339" s="99"/>
      <c r="R7339" s="99"/>
    </row>
    <row r="7340" spans="5:18" s="65" customFormat="1">
      <c r="E7340" s="130"/>
      <c r="P7340" s="99"/>
      <c r="Q7340" s="99"/>
      <c r="R7340" s="99"/>
    </row>
    <row r="7341" spans="5:18" s="65" customFormat="1">
      <c r="E7341" s="130"/>
      <c r="P7341" s="99"/>
      <c r="Q7341" s="99"/>
      <c r="R7341" s="99"/>
    </row>
    <row r="7342" spans="5:18" s="65" customFormat="1">
      <c r="E7342" s="130"/>
      <c r="P7342" s="99"/>
      <c r="Q7342" s="99"/>
      <c r="R7342" s="99"/>
    </row>
    <row r="7343" spans="5:18" s="65" customFormat="1">
      <c r="E7343" s="130"/>
      <c r="P7343" s="99"/>
      <c r="Q7343" s="99"/>
      <c r="R7343" s="99"/>
    </row>
    <row r="7344" spans="5:18" s="65" customFormat="1">
      <c r="E7344" s="130"/>
      <c r="P7344" s="99"/>
      <c r="Q7344" s="99"/>
      <c r="R7344" s="99"/>
    </row>
    <row r="7345" spans="5:18" s="65" customFormat="1">
      <c r="E7345" s="130"/>
      <c r="P7345" s="99"/>
      <c r="Q7345" s="99"/>
      <c r="R7345" s="99"/>
    </row>
    <row r="7346" spans="5:18" s="65" customFormat="1">
      <c r="E7346" s="130"/>
      <c r="P7346" s="99"/>
      <c r="Q7346" s="99"/>
      <c r="R7346" s="99"/>
    </row>
    <row r="7347" spans="5:18" s="65" customFormat="1">
      <c r="E7347" s="130"/>
      <c r="P7347" s="99"/>
      <c r="Q7347" s="99"/>
      <c r="R7347" s="99"/>
    </row>
    <row r="7348" spans="5:18" s="65" customFormat="1">
      <c r="E7348" s="130"/>
      <c r="P7348" s="99"/>
      <c r="Q7348" s="99"/>
      <c r="R7348" s="99"/>
    </row>
    <row r="7349" spans="5:18" s="65" customFormat="1">
      <c r="E7349" s="130"/>
      <c r="P7349" s="99"/>
      <c r="Q7349" s="99"/>
      <c r="R7349" s="99"/>
    </row>
    <row r="7350" spans="5:18" s="65" customFormat="1">
      <c r="E7350" s="130"/>
      <c r="P7350" s="99"/>
      <c r="Q7350" s="99"/>
      <c r="R7350" s="99"/>
    </row>
    <row r="7351" spans="5:18" s="65" customFormat="1">
      <c r="E7351" s="130"/>
      <c r="P7351" s="99"/>
      <c r="Q7351" s="99"/>
      <c r="R7351" s="99"/>
    </row>
    <row r="7352" spans="5:18" s="65" customFormat="1">
      <c r="E7352" s="130"/>
      <c r="P7352" s="99"/>
      <c r="Q7352" s="99"/>
      <c r="R7352" s="99"/>
    </row>
    <row r="7353" spans="5:18" s="65" customFormat="1">
      <c r="E7353" s="130"/>
      <c r="P7353" s="99"/>
      <c r="Q7353" s="99"/>
      <c r="R7353" s="99"/>
    </row>
    <row r="7354" spans="5:18" s="65" customFormat="1">
      <c r="E7354" s="130"/>
      <c r="P7354" s="99"/>
      <c r="Q7354" s="99"/>
      <c r="R7354" s="99"/>
    </row>
    <row r="7355" spans="5:18" s="65" customFormat="1">
      <c r="E7355" s="130"/>
      <c r="P7355" s="99"/>
      <c r="Q7355" s="99"/>
      <c r="R7355" s="99"/>
    </row>
    <row r="7356" spans="5:18" s="65" customFormat="1">
      <c r="E7356" s="130"/>
      <c r="P7356" s="99"/>
      <c r="Q7356" s="99"/>
      <c r="R7356" s="99"/>
    </row>
    <row r="7357" spans="5:18" s="65" customFormat="1">
      <c r="E7357" s="130"/>
      <c r="P7357" s="99"/>
      <c r="Q7357" s="99"/>
      <c r="R7357" s="99"/>
    </row>
    <row r="7358" spans="5:18" s="65" customFormat="1">
      <c r="E7358" s="130"/>
      <c r="P7358" s="99"/>
      <c r="Q7358" s="99"/>
      <c r="R7358" s="99"/>
    </row>
    <row r="7359" spans="5:18" s="65" customFormat="1">
      <c r="E7359" s="130"/>
      <c r="P7359" s="99"/>
      <c r="Q7359" s="99"/>
      <c r="R7359" s="99"/>
    </row>
    <row r="7360" spans="5:18" s="65" customFormat="1">
      <c r="E7360" s="130"/>
      <c r="P7360" s="99"/>
      <c r="Q7360" s="99"/>
      <c r="R7360" s="99"/>
    </row>
    <row r="7361" spans="5:18" s="65" customFormat="1">
      <c r="E7361" s="130"/>
      <c r="P7361" s="99"/>
      <c r="Q7361" s="99"/>
      <c r="R7361" s="99"/>
    </row>
    <row r="7362" spans="5:18" s="65" customFormat="1">
      <c r="E7362" s="130"/>
      <c r="P7362" s="99"/>
      <c r="Q7362" s="99"/>
      <c r="R7362" s="99"/>
    </row>
    <row r="7363" spans="5:18" s="65" customFormat="1">
      <c r="E7363" s="130"/>
      <c r="P7363" s="99"/>
      <c r="Q7363" s="99"/>
      <c r="R7363" s="99"/>
    </row>
    <row r="7364" spans="5:18" s="65" customFormat="1">
      <c r="E7364" s="130"/>
      <c r="P7364" s="99"/>
      <c r="Q7364" s="99"/>
      <c r="R7364" s="99"/>
    </row>
    <row r="7365" spans="5:18" s="65" customFormat="1">
      <c r="E7365" s="130"/>
      <c r="P7365" s="99"/>
      <c r="Q7365" s="99"/>
      <c r="R7365" s="99"/>
    </row>
    <row r="7366" spans="5:18" s="65" customFormat="1">
      <c r="E7366" s="130"/>
      <c r="P7366" s="99"/>
      <c r="Q7366" s="99"/>
      <c r="R7366" s="99"/>
    </row>
    <row r="7367" spans="5:18" s="65" customFormat="1">
      <c r="E7367" s="130"/>
      <c r="P7367" s="99"/>
      <c r="Q7367" s="99"/>
      <c r="R7367" s="99"/>
    </row>
    <row r="7368" spans="5:18" s="65" customFormat="1">
      <c r="E7368" s="130"/>
      <c r="P7368" s="99"/>
      <c r="Q7368" s="99"/>
      <c r="R7368" s="99"/>
    </row>
    <row r="7369" spans="5:18" s="65" customFormat="1">
      <c r="E7369" s="130"/>
      <c r="P7369" s="99"/>
      <c r="Q7369" s="99"/>
      <c r="R7369" s="99"/>
    </row>
    <row r="7370" spans="5:18" s="65" customFormat="1">
      <c r="E7370" s="130"/>
      <c r="P7370" s="99"/>
      <c r="Q7370" s="99"/>
      <c r="R7370" s="99"/>
    </row>
    <row r="7371" spans="5:18" s="65" customFormat="1">
      <c r="E7371" s="130"/>
      <c r="P7371" s="99"/>
      <c r="Q7371" s="99"/>
      <c r="R7371" s="99"/>
    </row>
    <row r="7372" spans="5:18" s="65" customFormat="1">
      <c r="E7372" s="130"/>
      <c r="P7372" s="99"/>
      <c r="Q7372" s="99"/>
      <c r="R7372" s="99"/>
    </row>
    <row r="7373" spans="5:18" s="65" customFormat="1">
      <c r="E7373" s="130"/>
      <c r="P7373" s="99"/>
      <c r="Q7373" s="99"/>
      <c r="R7373" s="99"/>
    </row>
    <row r="7374" spans="5:18" s="65" customFormat="1">
      <c r="E7374" s="130"/>
      <c r="P7374" s="99"/>
      <c r="Q7374" s="99"/>
      <c r="R7374" s="99"/>
    </row>
    <row r="7375" spans="5:18" s="65" customFormat="1">
      <c r="E7375" s="130"/>
      <c r="P7375" s="99"/>
      <c r="Q7375" s="99"/>
      <c r="R7375" s="99"/>
    </row>
    <row r="7376" spans="5:18" s="65" customFormat="1">
      <c r="E7376" s="130"/>
      <c r="P7376" s="99"/>
      <c r="Q7376" s="99"/>
      <c r="R7376" s="99"/>
    </row>
    <row r="7377" spans="5:18" s="65" customFormat="1">
      <c r="E7377" s="130"/>
      <c r="P7377" s="99"/>
      <c r="Q7377" s="99"/>
      <c r="R7377" s="99"/>
    </row>
    <row r="7378" spans="5:18" s="65" customFormat="1">
      <c r="E7378" s="130"/>
      <c r="P7378" s="99"/>
      <c r="Q7378" s="99"/>
      <c r="R7378" s="99"/>
    </row>
    <row r="7379" spans="5:18" s="65" customFormat="1">
      <c r="E7379" s="130"/>
      <c r="P7379" s="99"/>
      <c r="Q7379" s="99"/>
      <c r="R7379" s="99"/>
    </row>
    <row r="7380" spans="5:18" s="65" customFormat="1">
      <c r="E7380" s="130"/>
      <c r="P7380" s="99"/>
      <c r="Q7380" s="99"/>
      <c r="R7380" s="99"/>
    </row>
    <row r="7381" spans="5:18" s="65" customFormat="1">
      <c r="E7381" s="130"/>
      <c r="P7381" s="99"/>
      <c r="Q7381" s="99"/>
      <c r="R7381" s="99"/>
    </row>
    <row r="7382" spans="5:18" s="65" customFormat="1">
      <c r="E7382" s="130"/>
      <c r="P7382" s="99"/>
      <c r="Q7382" s="99"/>
      <c r="R7382" s="99"/>
    </row>
    <row r="7383" spans="5:18" s="65" customFormat="1">
      <c r="E7383" s="130"/>
      <c r="P7383" s="99"/>
      <c r="Q7383" s="99"/>
      <c r="R7383" s="99"/>
    </row>
    <row r="7384" spans="5:18" s="65" customFormat="1">
      <c r="E7384" s="130"/>
      <c r="P7384" s="99"/>
      <c r="Q7384" s="99"/>
      <c r="R7384" s="99"/>
    </row>
    <row r="7385" spans="5:18" s="65" customFormat="1">
      <c r="E7385" s="130"/>
      <c r="P7385" s="99"/>
      <c r="Q7385" s="99"/>
      <c r="R7385" s="99"/>
    </row>
    <row r="7386" spans="5:18" s="65" customFormat="1">
      <c r="E7386" s="130"/>
      <c r="P7386" s="99"/>
      <c r="Q7386" s="99"/>
      <c r="R7386" s="99"/>
    </row>
    <row r="7387" spans="5:18" s="65" customFormat="1">
      <c r="E7387" s="130"/>
      <c r="P7387" s="99"/>
      <c r="Q7387" s="99"/>
      <c r="R7387" s="99"/>
    </row>
    <row r="7388" spans="5:18" s="65" customFormat="1">
      <c r="E7388" s="130"/>
      <c r="P7388" s="99"/>
      <c r="Q7388" s="99"/>
      <c r="R7388" s="99"/>
    </row>
    <row r="7389" spans="5:18" s="65" customFormat="1">
      <c r="E7389" s="130"/>
      <c r="P7389" s="99"/>
      <c r="Q7389" s="99"/>
      <c r="R7389" s="99"/>
    </row>
    <row r="7390" spans="5:18" s="65" customFormat="1">
      <c r="E7390" s="130"/>
      <c r="P7390" s="99"/>
      <c r="Q7390" s="99"/>
      <c r="R7390" s="99"/>
    </row>
    <row r="7391" spans="5:18" s="65" customFormat="1">
      <c r="E7391" s="130"/>
      <c r="P7391" s="99"/>
      <c r="Q7391" s="99"/>
      <c r="R7391" s="99"/>
    </row>
    <row r="7392" spans="5:18" s="65" customFormat="1">
      <c r="E7392" s="130"/>
      <c r="P7392" s="99"/>
      <c r="Q7392" s="99"/>
      <c r="R7392" s="99"/>
    </row>
    <row r="7393" spans="5:18" s="65" customFormat="1">
      <c r="E7393" s="130"/>
      <c r="P7393" s="99"/>
      <c r="Q7393" s="99"/>
      <c r="R7393" s="99"/>
    </row>
    <row r="7394" spans="5:18" s="65" customFormat="1">
      <c r="E7394" s="130"/>
      <c r="P7394" s="99"/>
      <c r="Q7394" s="99"/>
      <c r="R7394" s="99"/>
    </row>
    <row r="7395" spans="5:18" s="65" customFormat="1">
      <c r="E7395" s="130"/>
      <c r="P7395" s="99"/>
      <c r="Q7395" s="99"/>
      <c r="R7395" s="99"/>
    </row>
    <row r="7396" spans="5:18" s="65" customFormat="1">
      <c r="E7396" s="130"/>
      <c r="P7396" s="99"/>
      <c r="Q7396" s="99"/>
      <c r="R7396" s="99"/>
    </row>
    <row r="7397" spans="5:18" s="65" customFormat="1">
      <c r="E7397" s="130"/>
      <c r="P7397" s="99"/>
      <c r="Q7397" s="99"/>
      <c r="R7397" s="99"/>
    </row>
    <row r="7398" spans="5:18" s="65" customFormat="1">
      <c r="E7398" s="130"/>
      <c r="P7398" s="99"/>
      <c r="Q7398" s="99"/>
      <c r="R7398" s="99"/>
    </row>
    <row r="7399" spans="5:18" s="65" customFormat="1">
      <c r="E7399" s="130"/>
      <c r="P7399" s="99"/>
      <c r="Q7399" s="99"/>
      <c r="R7399" s="99"/>
    </row>
    <row r="7400" spans="5:18" s="65" customFormat="1">
      <c r="E7400" s="130"/>
      <c r="P7400" s="99"/>
      <c r="Q7400" s="99"/>
      <c r="R7400" s="99"/>
    </row>
    <row r="7401" spans="5:18" s="65" customFormat="1">
      <c r="E7401" s="130"/>
      <c r="P7401" s="99"/>
      <c r="Q7401" s="99"/>
      <c r="R7401" s="99"/>
    </row>
    <row r="7402" spans="5:18" s="65" customFormat="1">
      <c r="E7402" s="130"/>
      <c r="P7402" s="99"/>
      <c r="Q7402" s="99"/>
      <c r="R7402" s="99"/>
    </row>
    <row r="7403" spans="5:18" s="65" customFormat="1">
      <c r="E7403" s="130"/>
      <c r="P7403" s="99"/>
      <c r="Q7403" s="99"/>
      <c r="R7403" s="99"/>
    </row>
    <row r="7404" spans="5:18" s="65" customFormat="1">
      <c r="E7404" s="130"/>
      <c r="P7404" s="99"/>
      <c r="Q7404" s="99"/>
      <c r="R7404" s="99"/>
    </row>
    <row r="7405" spans="5:18" s="65" customFormat="1">
      <c r="E7405" s="130"/>
      <c r="P7405" s="99"/>
      <c r="Q7405" s="99"/>
      <c r="R7405" s="99"/>
    </row>
    <row r="7406" spans="5:18" s="65" customFormat="1">
      <c r="E7406" s="130"/>
      <c r="P7406" s="99"/>
      <c r="Q7406" s="99"/>
      <c r="R7406" s="99"/>
    </row>
    <row r="7407" spans="5:18" s="65" customFormat="1">
      <c r="E7407" s="130"/>
      <c r="P7407" s="99"/>
      <c r="Q7407" s="99"/>
      <c r="R7407" s="99"/>
    </row>
    <row r="7408" spans="5:18" s="65" customFormat="1">
      <c r="E7408" s="130"/>
      <c r="P7408" s="99"/>
      <c r="Q7408" s="99"/>
      <c r="R7408" s="99"/>
    </row>
    <row r="7409" spans="5:18" s="65" customFormat="1">
      <c r="E7409" s="130"/>
      <c r="P7409" s="99"/>
      <c r="Q7409" s="99"/>
      <c r="R7409" s="99"/>
    </row>
    <row r="7410" spans="5:18" s="65" customFormat="1">
      <c r="E7410" s="130"/>
      <c r="P7410" s="99"/>
      <c r="Q7410" s="99"/>
      <c r="R7410" s="99"/>
    </row>
    <row r="7411" spans="5:18" s="65" customFormat="1">
      <c r="E7411" s="130"/>
      <c r="P7411" s="99"/>
      <c r="Q7411" s="99"/>
      <c r="R7411" s="99"/>
    </row>
    <row r="7412" spans="5:18" s="65" customFormat="1">
      <c r="E7412" s="130"/>
      <c r="P7412" s="99"/>
      <c r="Q7412" s="99"/>
      <c r="R7412" s="99"/>
    </row>
    <row r="7413" spans="5:18" s="65" customFormat="1">
      <c r="E7413" s="130"/>
      <c r="P7413" s="99"/>
      <c r="Q7413" s="99"/>
      <c r="R7413" s="99"/>
    </row>
    <row r="7414" spans="5:18" s="65" customFormat="1">
      <c r="E7414" s="130"/>
      <c r="P7414" s="99"/>
      <c r="Q7414" s="99"/>
      <c r="R7414" s="99"/>
    </row>
    <row r="7415" spans="5:18" s="65" customFormat="1">
      <c r="E7415" s="130"/>
      <c r="P7415" s="99"/>
      <c r="Q7415" s="99"/>
      <c r="R7415" s="99"/>
    </row>
    <row r="7416" spans="5:18" s="65" customFormat="1">
      <c r="E7416" s="130"/>
      <c r="P7416" s="99"/>
      <c r="Q7416" s="99"/>
      <c r="R7416" s="99"/>
    </row>
    <row r="7417" spans="5:18" s="65" customFormat="1">
      <c r="E7417" s="130"/>
      <c r="P7417" s="99"/>
      <c r="Q7417" s="99"/>
      <c r="R7417" s="99"/>
    </row>
    <row r="7418" spans="5:18" s="65" customFormat="1">
      <c r="E7418" s="130"/>
      <c r="P7418" s="99"/>
      <c r="Q7418" s="99"/>
      <c r="R7418" s="99"/>
    </row>
    <row r="7419" spans="5:18" s="65" customFormat="1">
      <c r="E7419" s="130"/>
      <c r="P7419" s="99"/>
      <c r="Q7419" s="99"/>
      <c r="R7419" s="99"/>
    </row>
    <row r="7420" spans="5:18" s="65" customFormat="1">
      <c r="E7420" s="130"/>
      <c r="P7420" s="99"/>
      <c r="Q7420" s="99"/>
      <c r="R7420" s="99"/>
    </row>
    <row r="7421" spans="5:18" s="65" customFormat="1">
      <c r="E7421" s="130"/>
      <c r="P7421" s="99"/>
      <c r="Q7421" s="99"/>
      <c r="R7421" s="99"/>
    </row>
    <row r="7422" spans="5:18" s="65" customFormat="1">
      <c r="E7422" s="130"/>
      <c r="P7422" s="99"/>
      <c r="Q7422" s="99"/>
      <c r="R7422" s="99"/>
    </row>
    <row r="7423" spans="5:18" s="65" customFormat="1">
      <c r="E7423" s="130"/>
      <c r="P7423" s="99"/>
      <c r="Q7423" s="99"/>
      <c r="R7423" s="99"/>
    </row>
    <row r="7424" spans="5:18" s="65" customFormat="1">
      <c r="E7424" s="130"/>
      <c r="P7424" s="99"/>
      <c r="Q7424" s="99"/>
      <c r="R7424" s="99"/>
    </row>
    <row r="7425" spans="5:18" s="65" customFormat="1">
      <c r="E7425" s="130"/>
      <c r="P7425" s="99"/>
      <c r="Q7425" s="99"/>
      <c r="R7425" s="99"/>
    </row>
    <row r="7426" spans="5:18" s="65" customFormat="1">
      <c r="E7426" s="130"/>
      <c r="P7426" s="99"/>
      <c r="Q7426" s="99"/>
      <c r="R7426" s="99"/>
    </row>
    <row r="7427" spans="5:18" s="65" customFormat="1">
      <c r="E7427" s="130"/>
      <c r="P7427" s="99"/>
      <c r="Q7427" s="99"/>
      <c r="R7427" s="99"/>
    </row>
    <row r="7428" spans="5:18" s="65" customFormat="1">
      <c r="E7428" s="130"/>
      <c r="P7428" s="99"/>
      <c r="Q7428" s="99"/>
      <c r="R7428" s="99"/>
    </row>
    <row r="7429" spans="5:18" s="65" customFormat="1">
      <c r="E7429" s="130"/>
      <c r="P7429" s="99"/>
      <c r="Q7429" s="99"/>
      <c r="R7429" s="99"/>
    </row>
    <row r="7430" spans="5:18" s="65" customFormat="1">
      <c r="E7430" s="130"/>
      <c r="P7430" s="99"/>
      <c r="Q7430" s="99"/>
      <c r="R7430" s="99"/>
    </row>
    <row r="7431" spans="5:18" s="65" customFormat="1">
      <c r="E7431" s="130"/>
      <c r="P7431" s="99"/>
      <c r="Q7431" s="99"/>
      <c r="R7431" s="99"/>
    </row>
    <row r="7432" spans="5:18" s="65" customFormat="1">
      <c r="E7432" s="130"/>
      <c r="P7432" s="99"/>
      <c r="Q7432" s="99"/>
      <c r="R7432" s="99"/>
    </row>
    <row r="7433" spans="5:18" s="65" customFormat="1">
      <c r="E7433" s="130"/>
      <c r="P7433" s="99"/>
      <c r="Q7433" s="99"/>
      <c r="R7433" s="99"/>
    </row>
    <row r="7434" spans="5:18" s="65" customFormat="1">
      <c r="E7434" s="130"/>
      <c r="P7434" s="99"/>
      <c r="Q7434" s="99"/>
      <c r="R7434" s="99"/>
    </row>
    <row r="7435" spans="5:18" s="65" customFormat="1">
      <c r="E7435" s="130"/>
      <c r="P7435" s="99"/>
      <c r="Q7435" s="99"/>
      <c r="R7435" s="99"/>
    </row>
    <row r="7436" spans="5:18" s="65" customFormat="1">
      <c r="E7436" s="130"/>
      <c r="P7436" s="99"/>
      <c r="Q7436" s="99"/>
      <c r="R7436" s="99"/>
    </row>
    <row r="7437" spans="5:18" s="65" customFormat="1">
      <c r="E7437" s="130"/>
      <c r="P7437" s="99"/>
      <c r="Q7437" s="99"/>
      <c r="R7437" s="99"/>
    </row>
    <row r="7438" spans="5:18" s="65" customFormat="1">
      <c r="E7438" s="130"/>
      <c r="P7438" s="99"/>
      <c r="Q7438" s="99"/>
      <c r="R7438" s="99"/>
    </row>
    <row r="7439" spans="5:18" s="65" customFormat="1">
      <c r="E7439" s="130"/>
      <c r="P7439" s="99"/>
      <c r="Q7439" s="99"/>
      <c r="R7439" s="99"/>
    </row>
    <row r="7440" spans="5:18" s="65" customFormat="1">
      <c r="E7440" s="130"/>
      <c r="P7440" s="99"/>
      <c r="Q7440" s="99"/>
      <c r="R7440" s="99"/>
    </row>
    <row r="7441" spans="5:18" s="65" customFormat="1">
      <c r="E7441" s="130"/>
      <c r="P7441" s="99"/>
      <c r="Q7441" s="99"/>
      <c r="R7441" s="99"/>
    </row>
    <row r="7442" spans="5:18" s="65" customFormat="1">
      <c r="E7442" s="130"/>
      <c r="P7442" s="99"/>
      <c r="Q7442" s="99"/>
      <c r="R7442" s="99"/>
    </row>
    <row r="7443" spans="5:18" s="65" customFormat="1">
      <c r="E7443" s="130"/>
      <c r="P7443" s="99"/>
      <c r="Q7443" s="99"/>
      <c r="R7443" s="99"/>
    </row>
    <row r="7444" spans="5:18" s="65" customFormat="1">
      <c r="E7444" s="130"/>
      <c r="P7444" s="99"/>
      <c r="Q7444" s="99"/>
      <c r="R7444" s="99"/>
    </row>
    <row r="7445" spans="5:18" s="65" customFormat="1">
      <c r="E7445" s="130"/>
      <c r="P7445" s="99"/>
      <c r="Q7445" s="99"/>
      <c r="R7445" s="99"/>
    </row>
    <row r="7446" spans="5:18" s="65" customFormat="1">
      <c r="E7446" s="130"/>
      <c r="P7446" s="99"/>
      <c r="Q7446" s="99"/>
      <c r="R7446" s="99"/>
    </row>
    <row r="7447" spans="5:18" s="65" customFormat="1">
      <c r="E7447" s="130"/>
      <c r="P7447" s="99"/>
      <c r="Q7447" s="99"/>
      <c r="R7447" s="99"/>
    </row>
    <row r="7448" spans="5:18" s="65" customFormat="1">
      <c r="E7448" s="130"/>
      <c r="P7448" s="99"/>
      <c r="Q7448" s="99"/>
      <c r="R7448" s="99"/>
    </row>
    <row r="7449" spans="5:18" s="65" customFormat="1">
      <c r="E7449" s="130"/>
      <c r="P7449" s="99"/>
      <c r="Q7449" s="99"/>
      <c r="R7449" s="99"/>
    </row>
    <row r="7450" spans="5:18" s="65" customFormat="1">
      <c r="E7450" s="130"/>
      <c r="P7450" s="99"/>
      <c r="Q7450" s="99"/>
      <c r="R7450" s="99"/>
    </row>
    <row r="7451" spans="5:18" s="65" customFormat="1">
      <c r="E7451" s="130"/>
      <c r="P7451" s="99"/>
      <c r="Q7451" s="99"/>
      <c r="R7451" s="99"/>
    </row>
    <row r="7452" spans="5:18" s="65" customFormat="1">
      <c r="E7452" s="130"/>
      <c r="P7452" s="99"/>
      <c r="Q7452" s="99"/>
      <c r="R7452" s="99"/>
    </row>
    <row r="7453" spans="5:18" s="65" customFormat="1">
      <c r="E7453" s="130"/>
      <c r="P7453" s="99"/>
      <c r="Q7453" s="99"/>
      <c r="R7453" s="99"/>
    </row>
    <row r="7454" spans="5:18" s="65" customFormat="1">
      <c r="E7454" s="130"/>
      <c r="P7454" s="99"/>
      <c r="Q7454" s="99"/>
      <c r="R7454" s="99"/>
    </row>
    <row r="7455" spans="5:18" s="65" customFormat="1">
      <c r="E7455" s="130"/>
      <c r="P7455" s="99"/>
      <c r="Q7455" s="99"/>
      <c r="R7455" s="99"/>
    </row>
    <row r="7456" spans="5:18" s="65" customFormat="1">
      <c r="E7456" s="130"/>
      <c r="P7456" s="99"/>
      <c r="Q7456" s="99"/>
      <c r="R7456" s="99"/>
    </row>
    <row r="7457" spans="5:18" s="65" customFormat="1">
      <c r="E7457" s="130"/>
      <c r="P7457" s="99"/>
      <c r="Q7457" s="99"/>
      <c r="R7457" s="99"/>
    </row>
    <row r="7458" spans="5:18" s="65" customFormat="1">
      <c r="E7458" s="130"/>
      <c r="P7458" s="99"/>
      <c r="Q7458" s="99"/>
      <c r="R7458" s="99"/>
    </row>
    <row r="7459" spans="5:18" s="65" customFormat="1">
      <c r="E7459" s="130"/>
      <c r="P7459" s="99"/>
      <c r="Q7459" s="99"/>
      <c r="R7459" s="99"/>
    </row>
    <row r="7460" spans="5:18" s="65" customFormat="1">
      <c r="E7460" s="130"/>
      <c r="P7460" s="99"/>
      <c r="Q7460" s="99"/>
      <c r="R7460" s="99"/>
    </row>
    <row r="7461" spans="5:18" s="65" customFormat="1">
      <c r="E7461" s="130"/>
      <c r="P7461" s="99"/>
      <c r="Q7461" s="99"/>
      <c r="R7461" s="99"/>
    </row>
    <row r="7462" spans="5:18" s="65" customFormat="1">
      <c r="E7462" s="130"/>
      <c r="P7462" s="99"/>
      <c r="Q7462" s="99"/>
      <c r="R7462" s="99"/>
    </row>
    <row r="7463" spans="5:18" s="65" customFormat="1">
      <c r="E7463" s="130"/>
      <c r="P7463" s="99"/>
      <c r="Q7463" s="99"/>
      <c r="R7463" s="99"/>
    </row>
    <row r="7464" spans="5:18" s="65" customFormat="1">
      <c r="E7464" s="130"/>
      <c r="P7464" s="99"/>
      <c r="Q7464" s="99"/>
      <c r="R7464" s="99"/>
    </row>
    <row r="7465" spans="5:18" s="65" customFormat="1">
      <c r="E7465" s="130"/>
      <c r="P7465" s="99"/>
      <c r="Q7465" s="99"/>
      <c r="R7465" s="99"/>
    </row>
    <row r="7466" spans="5:18" s="65" customFormat="1">
      <c r="E7466" s="130"/>
      <c r="P7466" s="99"/>
      <c r="Q7466" s="99"/>
      <c r="R7466" s="99"/>
    </row>
    <row r="7467" spans="5:18" s="65" customFormat="1">
      <c r="E7467" s="130"/>
      <c r="P7467" s="99"/>
      <c r="Q7467" s="99"/>
      <c r="R7467" s="99"/>
    </row>
    <row r="7468" spans="5:18" s="65" customFormat="1">
      <c r="E7468" s="130"/>
      <c r="P7468" s="99"/>
      <c r="Q7468" s="99"/>
      <c r="R7468" s="99"/>
    </row>
    <row r="7469" spans="5:18" s="65" customFormat="1">
      <c r="E7469" s="130"/>
      <c r="P7469" s="99"/>
      <c r="Q7469" s="99"/>
      <c r="R7469" s="99"/>
    </row>
    <row r="7470" spans="5:18" s="65" customFormat="1">
      <c r="E7470" s="130"/>
      <c r="P7470" s="99"/>
      <c r="Q7470" s="99"/>
      <c r="R7470" s="99"/>
    </row>
    <row r="7471" spans="5:18" s="65" customFormat="1">
      <c r="E7471" s="130"/>
      <c r="P7471" s="99"/>
      <c r="Q7471" s="99"/>
      <c r="R7471" s="99"/>
    </row>
    <row r="7472" spans="5:18" s="65" customFormat="1">
      <c r="E7472" s="130"/>
      <c r="P7472" s="99"/>
      <c r="Q7472" s="99"/>
      <c r="R7472" s="99"/>
    </row>
    <row r="7473" spans="5:18" s="65" customFormat="1">
      <c r="E7473" s="130"/>
      <c r="P7473" s="99"/>
      <c r="Q7473" s="99"/>
      <c r="R7473" s="99"/>
    </row>
    <row r="7474" spans="5:18" s="65" customFormat="1">
      <c r="E7474" s="130"/>
      <c r="P7474" s="99"/>
      <c r="Q7474" s="99"/>
      <c r="R7474" s="99"/>
    </row>
    <row r="7475" spans="5:18" s="65" customFormat="1">
      <c r="E7475" s="130"/>
      <c r="P7475" s="99"/>
      <c r="Q7475" s="99"/>
      <c r="R7475" s="99"/>
    </row>
    <row r="7476" spans="5:18" s="65" customFormat="1">
      <c r="E7476" s="130"/>
      <c r="P7476" s="99"/>
      <c r="Q7476" s="99"/>
      <c r="R7476" s="99"/>
    </row>
    <row r="7477" spans="5:18" s="65" customFormat="1">
      <c r="E7477" s="130"/>
      <c r="P7477" s="99"/>
      <c r="Q7477" s="99"/>
      <c r="R7477" s="99"/>
    </row>
    <row r="7478" spans="5:18" s="65" customFormat="1">
      <c r="E7478" s="130"/>
      <c r="P7478" s="99"/>
      <c r="Q7478" s="99"/>
      <c r="R7478" s="99"/>
    </row>
    <row r="7479" spans="5:18" s="65" customFormat="1">
      <c r="E7479" s="130"/>
      <c r="P7479" s="99"/>
      <c r="Q7479" s="99"/>
      <c r="R7479" s="99"/>
    </row>
    <row r="7480" spans="5:18" s="65" customFormat="1">
      <c r="E7480" s="130"/>
      <c r="P7480" s="99"/>
      <c r="Q7480" s="99"/>
      <c r="R7480" s="99"/>
    </row>
    <row r="7481" spans="5:18" s="65" customFormat="1">
      <c r="E7481" s="130"/>
      <c r="P7481" s="99"/>
      <c r="Q7481" s="99"/>
      <c r="R7481" s="99"/>
    </row>
    <row r="7482" spans="5:18" s="65" customFormat="1">
      <c r="E7482" s="130"/>
      <c r="P7482" s="99"/>
      <c r="Q7482" s="99"/>
      <c r="R7482" s="99"/>
    </row>
    <row r="7483" spans="5:18" s="65" customFormat="1">
      <c r="E7483" s="130"/>
      <c r="P7483" s="99"/>
      <c r="Q7483" s="99"/>
      <c r="R7483" s="99"/>
    </row>
    <row r="7484" spans="5:18" s="65" customFormat="1">
      <c r="E7484" s="130"/>
      <c r="P7484" s="99"/>
      <c r="Q7484" s="99"/>
      <c r="R7484" s="99"/>
    </row>
    <row r="7485" spans="5:18" s="65" customFormat="1">
      <c r="E7485" s="130"/>
      <c r="P7485" s="99"/>
      <c r="Q7485" s="99"/>
      <c r="R7485" s="99"/>
    </row>
    <row r="7486" spans="5:18" s="65" customFormat="1">
      <c r="E7486" s="130"/>
      <c r="P7486" s="99"/>
      <c r="Q7486" s="99"/>
      <c r="R7486" s="99"/>
    </row>
    <row r="7487" spans="5:18" s="65" customFormat="1">
      <c r="E7487" s="130"/>
      <c r="P7487" s="99"/>
      <c r="Q7487" s="99"/>
      <c r="R7487" s="99"/>
    </row>
    <row r="7488" spans="5:18" s="65" customFormat="1">
      <c r="E7488" s="130"/>
      <c r="P7488" s="99"/>
      <c r="Q7488" s="99"/>
      <c r="R7488" s="99"/>
    </row>
    <row r="7489" spans="5:18" s="65" customFormat="1">
      <c r="E7489" s="130"/>
      <c r="P7489" s="99"/>
      <c r="Q7489" s="99"/>
      <c r="R7489" s="99"/>
    </row>
    <row r="7490" spans="5:18" s="65" customFormat="1">
      <c r="E7490" s="130"/>
      <c r="P7490" s="99"/>
      <c r="Q7490" s="99"/>
      <c r="R7490" s="99"/>
    </row>
    <row r="7491" spans="5:18" s="65" customFormat="1">
      <c r="E7491" s="130"/>
      <c r="P7491" s="99"/>
      <c r="Q7491" s="99"/>
      <c r="R7491" s="99"/>
    </row>
    <row r="7492" spans="5:18" s="65" customFormat="1">
      <c r="E7492" s="130"/>
      <c r="P7492" s="99"/>
      <c r="Q7492" s="99"/>
      <c r="R7492" s="99"/>
    </row>
    <row r="7493" spans="5:18" s="65" customFormat="1">
      <c r="E7493" s="130"/>
      <c r="P7493" s="99"/>
      <c r="Q7493" s="99"/>
      <c r="R7493" s="99"/>
    </row>
    <row r="7494" spans="5:18" s="65" customFormat="1">
      <c r="E7494" s="130"/>
      <c r="P7494" s="99"/>
      <c r="Q7494" s="99"/>
      <c r="R7494" s="99"/>
    </row>
    <row r="7495" spans="5:18" s="65" customFormat="1">
      <c r="E7495" s="130"/>
      <c r="P7495" s="99"/>
      <c r="Q7495" s="99"/>
      <c r="R7495" s="99"/>
    </row>
    <row r="7496" spans="5:18" s="65" customFormat="1">
      <c r="E7496" s="130"/>
      <c r="P7496" s="99"/>
      <c r="Q7496" s="99"/>
      <c r="R7496" s="99"/>
    </row>
    <row r="7497" spans="5:18" s="65" customFormat="1">
      <c r="E7497" s="130"/>
      <c r="P7497" s="99"/>
      <c r="Q7497" s="99"/>
      <c r="R7497" s="99"/>
    </row>
    <row r="7498" spans="5:18" s="65" customFormat="1">
      <c r="E7498" s="130"/>
      <c r="P7498" s="99"/>
      <c r="Q7498" s="99"/>
      <c r="R7498" s="99"/>
    </row>
    <row r="7499" spans="5:18" s="65" customFormat="1">
      <c r="E7499" s="130"/>
      <c r="P7499" s="99"/>
      <c r="Q7499" s="99"/>
      <c r="R7499" s="99"/>
    </row>
    <row r="7500" spans="5:18" s="65" customFormat="1">
      <c r="E7500" s="130"/>
      <c r="P7500" s="99"/>
      <c r="Q7500" s="99"/>
      <c r="R7500" s="99"/>
    </row>
    <row r="7501" spans="5:18" s="65" customFormat="1">
      <c r="E7501" s="130"/>
      <c r="P7501" s="99"/>
      <c r="Q7501" s="99"/>
      <c r="R7501" s="99"/>
    </row>
    <row r="7502" spans="5:18" s="65" customFormat="1">
      <c r="E7502" s="130"/>
      <c r="P7502" s="99"/>
      <c r="Q7502" s="99"/>
      <c r="R7502" s="99"/>
    </row>
    <row r="7503" spans="5:18" s="65" customFormat="1">
      <c r="E7503" s="130"/>
      <c r="P7503" s="99"/>
      <c r="Q7503" s="99"/>
      <c r="R7503" s="99"/>
    </row>
    <row r="7504" spans="5:18" s="65" customFormat="1">
      <c r="E7504" s="130"/>
      <c r="P7504" s="99"/>
      <c r="Q7504" s="99"/>
      <c r="R7504" s="99"/>
    </row>
    <row r="7505" spans="5:18" s="65" customFormat="1">
      <c r="E7505" s="130"/>
      <c r="P7505" s="99"/>
      <c r="Q7505" s="99"/>
      <c r="R7505" s="99"/>
    </row>
    <row r="7506" spans="5:18" s="65" customFormat="1">
      <c r="E7506" s="130"/>
      <c r="P7506" s="99"/>
      <c r="Q7506" s="99"/>
      <c r="R7506" s="99"/>
    </row>
    <row r="7507" spans="5:18" s="65" customFormat="1">
      <c r="E7507" s="130"/>
      <c r="P7507" s="99"/>
      <c r="Q7507" s="99"/>
      <c r="R7507" s="99"/>
    </row>
    <row r="7508" spans="5:18" s="65" customFormat="1">
      <c r="E7508" s="130"/>
      <c r="P7508" s="99"/>
      <c r="Q7508" s="99"/>
      <c r="R7508" s="99"/>
    </row>
    <row r="7509" spans="5:18" s="65" customFormat="1">
      <c r="E7509" s="130"/>
      <c r="P7509" s="99"/>
      <c r="Q7509" s="99"/>
      <c r="R7509" s="99"/>
    </row>
    <row r="7510" spans="5:18" s="65" customFormat="1">
      <c r="E7510" s="130"/>
      <c r="P7510" s="99"/>
      <c r="Q7510" s="99"/>
      <c r="R7510" s="99"/>
    </row>
    <row r="7511" spans="5:18" s="65" customFormat="1">
      <c r="E7511" s="130"/>
      <c r="P7511" s="99"/>
      <c r="Q7511" s="99"/>
      <c r="R7511" s="99"/>
    </row>
    <row r="7512" spans="5:18" s="65" customFormat="1">
      <c r="E7512" s="130"/>
      <c r="P7512" s="99"/>
      <c r="Q7512" s="99"/>
      <c r="R7512" s="99"/>
    </row>
    <row r="7513" spans="5:18" s="65" customFormat="1">
      <c r="E7513" s="130"/>
      <c r="P7513" s="99"/>
      <c r="Q7513" s="99"/>
      <c r="R7513" s="99"/>
    </row>
    <row r="7514" spans="5:18" s="65" customFormat="1">
      <c r="E7514" s="130"/>
      <c r="P7514" s="99"/>
      <c r="Q7514" s="99"/>
      <c r="R7514" s="99"/>
    </row>
    <row r="7515" spans="5:18" s="65" customFormat="1">
      <c r="E7515" s="130"/>
      <c r="P7515" s="99"/>
      <c r="Q7515" s="99"/>
      <c r="R7515" s="99"/>
    </row>
    <row r="7516" spans="5:18" s="65" customFormat="1">
      <c r="E7516" s="130"/>
      <c r="P7516" s="99"/>
      <c r="Q7516" s="99"/>
      <c r="R7516" s="99"/>
    </row>
    <row r="7517" spans="5:18" s="65" customFormat="1">
      <c r="E7517" s="130"/>
      <c r="P7517" s="99"/>
      <c r="Q7517" s="99"/>
      <c r="R7517" s="99"/>
    </row>
    <row r="7518" spans="5:18" s="65" customFormat="1">
      <c r="E7518" s="130"/>
      <c r="P7518" s="99"/>
      <c r="Q7518" s="99"/>
      <c r="R7518" s="99"/>
    </row>
    <row r="7519" spans="5:18" s="65" customFormat="1">
      <c r="E7519" s="130"/>
      <c r="P7519" s="99"/>
      <c r="Q7519" s="99"/>
      <c r="R7519" s="99"/>
    </row>
    <row r="7520" spans="5:18" s="65" customFormat="1">
      <c r="E7520" s="130"/>
      <c r="P7520" s="99"/>
      <c r="Q7520" s="99"/>
      <c r="R7520" s="99"/>
    </row>
    <row r="7521" spans="5:18" s="65" customFormat="1">
      <c r="E7521" s="130"/>
      <c r="P7521" s="99"/>
      <c r="Q7521" s="99"/>
      <c r="R7521" s="99"/>
    </row>
    <row r="7522" spans="5:18" s="65" customFormat="1">
      <c r="E7522" s="130"/>
      <c r="P7522" s="99"/>
      <c r="Q7522" s="99"/>
      <c r="R7522" s="99"/>
    </row>
    <row r="7523" spans="5:18" s="65" customFormat="1">
      <c r="E7523" s="130"/>
      <c r="P7523" s="99"/>
      <c r="Q7523" s="99"/>
      <c r="R7523" s="99"/>
    </row>
    <row r="7524" spans="5:18" s="65" customFormat="1">
      <c r="E7524" s="130"/>
      <c r="P7524" s="99"/>
      <c r="Q7524" s="99"/>
      <c r="R7524" s="99"/>
    </row>
    <row r="7525" spans="5:18" s="65" customFormat="1">
      <c r="E7525" s="130"/>
      <c r="P7525" s="99"/>
      <c r="Q7525" s="99"/>
      <c r="R7525" s="99"/>
    </row>
    <row r="7526" spans="5:18" s="65" customFormat="1">
      <c r="E7526" s="130"/>
      <c r="P7526" s="99"/>
      <c r="Q7526" s="99"/>
      <c r="R7526" s="99"/>
    </row>
    <row r="7527" spans="5:18" s="65" customFormat="1">
      <c r="E7527" s="130"/>
      <c r="P7527" s="99"/>
      <c r="Q7527" s="99"/>
      <c r="R7527" s="99"/>
    </row>
    <row r="7528" spans="5:18" s="65" customFormat="1">
      <c r="E7528" s="130"/>
      <c r="P7528" s="99"/>
      <c r="Q7528" s="99"/>
      <c r="R7528" s="99"/>
    </row>
    <row r="7529" spans="5:18" s="65" customFormat="1">
      <c r="E7529" s="130"/>
      <c r="P7529" s="99"/>
      <c r="Q7529" s="99"/>
      <c r="R7529" s="99"/>
    </row>
    <row r="7530" spans="5:18" s="65" customFormat="1">
      <c r="E7530" s="130"/>
      <c r="P7530" s="99"/>
      <c r="Q7530" s="99"/>
      <c r="R7530" s="99"/>
    </row>
    <row r="7531" spans="5:18" s="65" customFormat="1">
      <c r="E7531" s="130"/>
      <c r="P7531" s="99"/>
      <c r="Q7531" s="99"/>
      <c r="R7531" s="99"/>
    </row>
    <row r="7532" spans="5:18" s="65" customFormat="1">
      <c r="E7532" s="130"/>
      <c r="P7532" s="99"/>
      <c r="Q7532" s="99"/>
      <c r="R7532" s="99"/>
    </row>
    <row r="7533" spans="5:18" s="65" customFormat="1">
      <c r="E7533" s="130"/>
      <c r="P7533" s="99"/>
      <c r="Q7533" s="99"/>
      <c r="R7533" s="99"/>
    </row>
    <row r="7534" spans="5:18" s="65" customFormat="1">
      <c r="E7534" s="130"/>
      <c r="P7534" s="99"/>
      <c r="Q7534" s="99"/>
      <c r="R7534" s="99"/>
    </row>
    <row r="7535" spans="5:18" s="65" customFormat="1">
      <c r="E7535" s="130"/>
      <c r="P7535" s="99"/>
      <c r="Q7535" s="99"/>
      <c r="R7535" s="99"/>
    </row>
    <row r="7536" spans="5:18" s="65" customFormat="1">
      <c r="E7536" s="130"/>
      <c r="P7536" s="99"/>
      <c r="Q7536" s="99"/>
      <c r="R7536" s="99"/>
    </row>
    <row r="7537" spans="5:18" s="65" customFormat="1">
      <c r="E7537" s="130"/>
      <c r="P7537" s="99"/>
      <c r="Q7537" s="99"/>
      <c r="R7537" s="99"/>
    </row>
    <row r="7538" spans="5:18" s="65" customFormat="1">
      <c r="E7538" s="130"/>
      <c r="P7538" s="99"/>
      <c r="Q7538" s="99"/>
      <c r="R7538" s="99"/>
    </row>
    <row r="7539" spans="5:18" s="65" customFormat="1">
      <c r="E7539" s="130"/>
      <c r="P7539" s="99"/>
      <c r="Q7539" s="99"/>
      <c r="R7539" s="99"/>
    </row>
    <row r="7540" spans="5:18" s="65" customFormat="1">
      <c r="E7540" s="130"/>
      <c r="P7540" s="99"/>
      <c r="Q7540" s="99"/>
      <c r="R7540" s="99"/>
    </row>
    <row r="7541" spans="5:18" s="65" customFormat="1">
      <c r="E7541" s="130"/>
      <c r="P7541" s="99"/>
      <c r="Q7541" s="99"/>
      <c r="R7541" s="99"/>
    </row>
    <row r="7542" spans="5:18" s="65" customFormat="1">
      <c r="E7542" s="130"/>
      <c r="P7542" s="99"/>
      <c r="Q7542" s="99"/>
      <c r="R7542" s="99"/>
    </row>
    <row r="7543" spans="5:18" s="65" customFormat="1">
      <c r="E7543" s="130"/>
      <c r="P7543" s="99"/>
      <c r="Q7543" s="99"/>
      <c r="R7543" s="99"/>
    </row>
    <row r="7544" spans="5:18" s="65" customFormat="1">
      <c r="E7544" s="130"/>
      <c r="P7544" s="99"/>
      <c r="Q7544" s="99"/>
      <c r="R7544" s="99"/>
    </row>
    <row r="7545" spans="5:18" s="65" customFormat="1">
      <c r="E7545" s="130"/>
      <c r="P7545" s="99"/>
      <c r="Q7545" s="99"/>
      <c r="R7545" s="99"/>
    </row>
    <row r="7546" spans="5:18" s="65" customFormat="1">
      <c r="E7546" s="130"/>
      <c r="P7546" s="99"/>
      <c r="Q7546" s="99"/>
      <c r="R7546" s="99"/>
    </row>
    <row r="7547" spans="5:18" s="65" customFormat="1">
      <c r="E7547" s="130"/>
      <c r="P7547" s="99"/>
      <c r="Q7547" s="99"/>
      <c r="R7547" s="99"/>
    </row>
    <row r="7548" spans="5:18" s="65" customFormat="1">
      <c r="E7548" s="130"/>
      <c r="P7548" s="99"/>
      <c r="Q7548" s="99"/>
      <c r="R7548" s="99"/>
    </row>
    <row r="7549" spans="5:18" s="65" customFormat="1">
      <c r="E7549" s="130"/>
      <c r="P7549" s="99"/>
      <c r="Q7549" s="99"/>
      <c r="R7549" s="99"/>
    </row>
    <row r="7550" spans="5:18" s="65" customFormat="1">
      <c r="E7550" s="130"/>
      <c r="P7550" s="99"/>
      <c r="Q7550" s="99"/>
      <c r="R7550" s="99"/>
    </row>
    <row r="7551" spans="5:18" s="65" customFormat="1">
      <c r="E7551" s="130"/>
      <c r="P7551" s="99"/>
      <c r="Q7551" s="99"/>
      <c r="R7551" s="99"/>
    </row>
    <row r="7552" spans="5:18" s="65" customFormat="1">
      <c r="E7552" s="130"/>
      <c r="P7552" s="99"/>
      <c r="Q7552" s="99"/>
      <c r="R7552" s="99"/>
    </row>
    <row r="7553" spans="5:18" s="65" customFormat="1">
      <c r="E7553" s="130"/>
      <c r="P7553" s="99"/>
      <c r="Q7553" s="99"/>
      <c r="R7553" s="99"/>
    </row>
    <row r="7554" spans="5:18" s="65" customFormat="1">
      <c r="E7554" s="130"/>
      <c r="P7554" s="99"/>
      <c r="Q7554" s="99"/>
      <c r="R7554" s="99"/>
    </row>
    <row r="7555" spans="5:18" s="65" customFormat="1">
      <c r="E7555" s="130"/>
      <c r="P7555" s="99"/>
      <c r="Q7555" s="99"/>
      <c r="R7555" s="99"/>
    </row>
    <row r="7556" spans="5:18" s="65" customFormat="1">
      <c r="E7556" s="130"/>
      <c r="P7556" s="99"/>
      <c r="Q7556" s="99"/>
      <c r="R7556" s="99"/>
    </row>
    <row r="7557" spans="5:18" s="65" customFormat="1">
      <c r="E7557" s="130"/>
      <c r="P7557" s="99"/>
      <c r="Q7557" s="99"/>
      <c r="R7557" s="99"/>
    </row>
    <row r="7558" spans="5:18" s="65" customFormat="1">
      <c r="E7558" s="130"/>
      <c r="P7558" s="99"/>
      <c r="Q7558" s="99"/>
      <c r="R7558" s="99"/>
    </row>
    <row r="7559" spans="5:18" s="65" customFormat="1">
      <c r="E7559" s="130"/>
      <c r="P7559" s="99"/>
      <c r="Q7559" s="99"/>
      <c r="R7559" s="99"/>
    </row>
    <row r="7560" spans="5:18" s="65" customFormat="1">
      <c r="E7560" s="130"/>
      <c r="P7560" s="99"/>
      <c r="Q7560" s="99"/>
      <c r="R7560" s="99"/>
    </row>
    <row r="7561" spans="5:18" s="65" customFormat="1">
      <c r="E7561" s="130"/>
      <c r="P7561" s="99"/>
      <c r="Q7561" s="99"/>
      <c r="R7561" s="99"/>
    </row>
    <row r="7562" spans="5:18" s="65" customFormat="1">
      <c r="E7562" s="130"/>
      <c r="P7562" s="99"/>
      <c r="Q7562" s="99"/>
      <c r="R7562" s="99"/>
    </row>
    <row r="7563" spans="5:18" s="65" customFormat="1">
      <c r="E7563" s="130"/>
      <c r="P7563" s="99"/>
      <c r="Q7563" s="99"/>
      <c r="R7563" s="99"/>
    </row>
    <row r="7564" spans="5:18" s="65" customFormat="1">
      <c r="E7564" s="130"/>
      <c r="P7564" s="99"/>
      <c r="Q7564" s="99"/>
      <c r="R7564" s="99"/>
    </row>
    <row r="7565" spans="5:18" s="65" customFormat="1">
      <c r="E7565" s="130"/>
      <c r="P7565" s="99"/>
      <c r="Q7565" s="99"/>
      <c r="R7565" s="99"/>
    </row>
    <row r="7566" spans="5:18" s="65" customFormat="1">
      <c r="E7566" s="130"/>
      <c r="P7566" s="99"/>
      <c r="Q7566" s="99"/>
      <c r="R7566" s="99"/>
    </row>
    <row r="7567" spans="5:18" s="65" customFormat="1">
      <c r="E7567" s="130"/>
      <c r="P7567" s="99"/>
      <c r="Q7567" s="99"/>
      <c r="R7567" s="99"/>
    </row>
    <row r="7568" spans="5:18" s="65" customFormat="1">
      <c r="E7568" s="130"/>
      <c r="P7568" s="99"/>
      <c r="Q7568" s="99"/>
      <c r="R7568" s="99"/>
    </row>
    <row r="7569" spans="5:18" s="65" customFormat="1">
      <c r="E7569" s="130"/>
      <c r="P7569" s="99"/>
      <c r="Q7569" s="99"/>
      <c r="R7569" s="99"/>
    </row>
    <row r="7570" spans="5:18" s="65" customFormat="1">
      <c r="E7570" s="130"/>
      <c r="P7570" s="99"/>
      <c r="Q7570" s="99"/>
      <c r="R7570" s="99"/>
    </row>
    <row r="7571" spans="5:18" s="65" customFormat="1">
      <c r="E7571" s="130"/>
      <c r="P7571" s="99"/>
      <c r="Q7571" s="99"/>
      <c r="R7571" s="99"/>
    </row>
    <row r="7572" spans="5:18" s="65" customFormat="1">
      <c r="E7572" s="130"/>
      <c r="P7572" s="99"/>
      <c r="Q7572" s="99"/>
      <c r="R7572" s="99"/>
    </row>
    <row r="7573" spans="5:18" s="65" customFormat="1">
      <c r="E7573" s="130"/>
      <c r="P7573" s="99"/>
      <c r="Q7573" s="99"/>
      <c r="R7573" s="99"/>
    </row>
    <row r="7574" spans="5:18" s="65" customFormat="1">
      <c r="E7574" s="130"/>
      <c r="P7574" s="99"/>
      <c r="Q7574" s="99"/>
      <c r="R7574" s="99"/>
    </row>
    <row r="7575" spans="5:18" s="65" customFormat="1">
      <c r="E7575" s="130"/>
      <c r="P7575" s="99"/>
      <c r="Q7575" s="99"/>
      <c r="R7575" s="99"/>
    </row>
    <row r="7576" spans="5:18" s="65" customFormat="1">
      <c r="E7576" s="130"/>
      <c r="P7576" s="99"/>
      <c r="Q7576" s="99"/>
      <c r="R7576" s="99"/>
    </row>
    <row r="7577" spans="5:18" s="65" customFormat="1">
      <c r="E7577" s="130"/>
      <c r="P7577" s="99"/>
      <c r="Q7577" s="99"/>
      <c r="R7577" s="99"/>
    </row>
    <row r="7578" spans="5:18" s="65" customFormat="1">
      <c r="E7578" s="130"/>
      <c r="P7578" s="99"/>
      <c r="Q7578" s="99"/>
      <c r="R7578" s="99"/>
    </row>
    <row r="7579" spans="5:18" s="65" customFormat="1">
      <c r="E7579" s="130"/>
      <c r="P7579" s="99"/>
      <c r="Q7579" s="99"/>
      <c r="R7579" s="99"/>
    </row>
    <row r="7580" spans="5:18" s="65" customFormat="1">
      <c r="E7580" s="130"/>
      <c r="P7580" s="99"/>
      <c r="Q7580" s="99"/>
      <c r="R7580" s="99"/>
    </row>
    <row r="7581" spans="5:18" s="65" customFormat="1">
      <c r="E7581" s="130"/>
      <c r="P7581" s="99"/>
      <c r="Q7581" s="99"/>
      <c r="R7581" s="99"/>
    </row>
    <row r="7582" spans="5:18" s="65" customFormat="1">
      <c r="E7582" s="130"/>
      <c r="P7582" s="99"/>
      <c r="Q7582" s="99"/>
      <c r="R7582" s="99"/>
    </row>
    <row r="7583" spans="5:18" s="65" customFormat="1">
      <c r="E7583" s="130"/>
      <c r="P7583" s="99"/>
      <c r="Q7583" s="99"/>
      <c r="R7583" s="99"/>
    </row>
    <row r="7584" spans="5:18" s="65" customFormat="1">
      <c r="E7584" s="130"/>
      <c r="P7584" s="99"/>
      <c r="Q7584" s="99"/>
      <c r="R7584" s="99"/>
    </row>
    <row r="7585" spans="5:18" s="65" customFormat="1">
      <c r="E7585" s="130"/>
      <c r="P7585" s="99"/>
      <c r="Q7585" s="99"/>
      <c r="R7585" s="99"/>
    </row>
    <row r="7586" spans="5:18" s="65" customFormat="1">
      <c r="E7586" s="130"/>
      <c r="P7586" s="99"/>
      <c r="Q7586" s="99"/>
      <c r="R7586" s="99"/>
    </row>
    <row r="7587" spans="5:18" s="65" customFormat="1">
      <c r="E7587" s="130"/>
      <c r="P7587" s="99"/>
      <c r="Q7587" s="99"/>
      <c r="R7587" s="99"/>
    </row>
    <row r="7588" spans="5:18" s="65" customFormat="1">
      <c r="E7588" s="130"/>
      <c r="P7588" s="99"/>
      <c r="Q7588" s="99"/>
      <c r="R7588" s="99"/>
    </row>
    <row r="7589" spans="5:18" s="65" customFormat="1">
      <c r="E7589" s="130"/>
      <c r="P7589" s="99"/>
      <c r="Q7589" s="99"/>
      <c r="R7589" s="99"/>
    </row>
    <row r="7590" spans="5:18" s="65" customFormat="1">
      <c r="E7590" s="130"/>
      <c r="P7590" s="99"/>
      <c r="Q7590" s="99"/>
      <c r="R7590" s="99"/>
    </row>
    <row r="7591" spans="5:18" s="65" customFormat="1">
      <c r="E7591" s="130"/>
      <c r="P7591" s="99"/>
      <c r="Q7591" s="99"/>
      <c r="R7591" s="99"/>
    </row>
    <row r="7592" spans="5:18" s="65" customFormat="1">
      <c r="E7592" s="130"/>
      <c r="P7592" s="99"/>
      <c r="Q7592" s="99"/>
      <c r="R7592" s="99"/>
    </row>
    <row r="7593" spans="5:18" s="65" customFormat="1">
      <c r="E7593" s="130"/>
      <c r="P7593" s="99"/>
      <c r="Q7593" s="99"/>
      <c r="R7593" s="99"/>
    </row>
    <row r="7594" spans="5:18" s="65" customFormat="1">
      <c r="E7594" s="130"/>
      <c r="P7594" s="99"/>
      <c r="Q7594" s="99"/>
      <c r="R7594" s="99"/>
    </row>
    <row r="7595" spans="5:18" s="65" customFormat="1">
      <c r="E7595" s="130"/>
      <c r="P7595" s="99"/>
      <c r="Q7595" s="99"/>
      <c r="R7595" s="99"/>
    </row>
    <row r="7596" spans="5:18" s="65" customFormat="1">
      <c r="E7596" s="130"/>
      <c r="P7596" s="99"/>
      <c r="Q7596" s="99"/>
      <c r="R7596" s="99"/>
    </row>
    <row r="7597" spans="5:18" s="65" customFormat="1">
      <c r="E7597" s="130"/>
      <c r="P7597" s="99"/>
      <c r="Q7597" s="99"/>
      <c r="R7597" s="99"/>
    </row>
    <row r="7598" spans="5:18" s="65" customFormat="1">
      <c r="E7598" s="130"/>
      <c r="P7598" s="99"/>
      <c r="Q7598" s="99"/>
      <c r="R7598" s="99"/>
    </row>
    <row r="7599" spans="5:18" s="65" customFormat="1">
      <c r="E7599" s="130"/>
      <c r="P7599" s="99"/>
      <c r="Q7599" s="99"/>
      <c r="R7599" s="99"/>
    </row>
    <row r="7600" spans="5:18" s="65" customFormat="1">
      <c r="E7600" s="130"/>
      <c r="P7600" s="99"/>
      <c r="Q7600" s="99"/>
      <c r="R7600" s="99"/>
    </row>
    <row r="7601" spans="5:18" s="65" customFormat="1">
      <c r="E7601" s="130"/>
      <c r="P7601" s="99"/>
      <c r="Q7601" s="99"/>
      <c r="R7601" s="99"/>
    </row>
    <row r="7602" spans="5:18" s="65" customFormat="1">
      <c r="E7602" s="130"/>
      <c r="P7602" s="99"/>
      <c r="Q7602" s="99"/>
      <c r="R7602" s="99"/>
    </row>
    <row r="7603" spans="5:18" s="65" customFormat="1">
      <c r="E7603" s="130"/>
      <c r="P7603" s="99"/>
      <c r="Q7603" s="99"/>
      <c r="R7603" s="99"/>
    </row>
    <row r="7604" spans="5:18" s="65" customFormat="1">
      <c r="E7604" s="130"/>
      <c r="P7604" s="99"/>
      <c r="Q7604" s="99"/>
      <c r="R7604" s="99"/>
    </row>
    <row r="7605" spans="5:18" s="65" customFormat="1">
      <c r="E7605" s="130"/>
      <c r="P7605" s="99"/>
      <c r="Q7605" s="99"/>
      <c r="R7605" s="99"/>
    </row>
    <row r="7606" spans="5:18" s="65" customFormat="1">
      <c r="E7606" s="130"/>
      <c r="P7606" s="99"/>
      <c r="Q7606" s="99"/>
      <c r="R7606" s="99"/>
    </row>
    <row r="7607" spans="5:18" s="65" customFormat="1">
      <c r="E7607" s="130"/>
      <c r="P7607" s="99"/>
      <c r="Q7607" s="99"/>
      <c r="R7607" s="99"/>
    </row>
    <row r="7608" spans="5:18" s="65" customFormat="1">
      <c r="E7608" s="130"/>
      <c r="P7608" s="99"/>
      <c r="Q7608" s="99"/>
      <c r="R7608" s="99"/>
    </row>
    <row r="7609" spans="5:18" s="65" customFormat="1">
      <c r="E7609" s="130"/>
      <c r="P7609" s="99"/>
      <c r="Q7609" s="99"/>
      <c r="R7609" s="99"/>
    </row>
    <row r="7610" spans="5:18" s="65" customFormat="1">
      <c r="E7610" s="130"/>
      <c r="P7610" s="99"/>
      <c r="Q7610" s="99"/>
      <c r="R7610" s="99"/>
    </row>
    <row r="7611" spans="5:18" s="65" customFormat="1">
      <c r="E7611" s="130"/>
      <c r="P7611" s="99"/>
      <c r="Q7611" s="99"/>
      <c r="R7611" s="99"/>
    </row>
    <row r="7612" spans="5:18" s="65" customFormat="1">
      <c r="E7612" s="130"/>
      <c r="P7612" s="99"/>
      <c r="Q7612" s="99"/>
      <c r="R7612" s="99"/>
    </row>
    <row r="7613" spans="5:18" s="65" customFormat="1">
      <c r="E7613" s="130"/>
      <c r="P7613" s="99"/>
      <c r="Q7613" s="99"/>
      <c r="R7613" s="99"/>
    </row>
    <row r="7614" spans="5:18" s="65" customFormat="1">
      <c r="E7614" s="130"/>
      <c r="P7614" s="99"/>
      <c r="Q7614" s="99"/>
      <c r="R7614" s="99"/>
    </row>
    <row r="7615" spans="5:18" s="65" customFormat="1">
      <c r="E7615" s="130"/>
      <c r="P7615" s="99"/>
      <c r="Q7615" s="99"/>
      <c r="R7615" s="99"/>
    </row>
    <row r="7616" spans="5:18" s="65" customFormat="1">
      <c r="E7616" s="130"/>
      <c r="P7616" s="99"/>
      <c r="Q7616" s="99"/>
      <c r="R7616" s="99"/>
    </row>
    <row r="7617" spans="5:18" s="65" customFormat="1">
      <c r="E7617" s="130"/>
      <c r="P7617" s="99"/>
      <c r="Q7617" s="99"/>
      <c r="R7617" s="99"/>
    </row>
    <row r="7618" spans="5:18" s="65" customFormat="1">
      <c r="E7618" s="130"/>
      <c r="P7618" s="99"/>
      <c r="Q7618" s="99"/>
      <c r="R7618" s="99"/>
    </row>
    <row r="7619" spans="5:18" s="65" customFormat="1">
      <c r="E7619" s="130"/>
      <c r="P7619" s="99"/>
      <c r="Q7619" s="99"/>
      <c r="R7619" s="99"/>
    </row>
    <row r="7620" spans="5:18" s="65" customFormat="1">
      <c r="E7620" s="130"/>
      <c r="P7620" s="99"/>
      <c r="Q7620" s="99"/>
      <c r="R7620" s="99"/>
    </row>
    <row r="7621" spans="5:18" s="65" customFormat="1">
      <c r="E7621" s="130"/>
      <c r="P7621" s="99"/>
      <c r="Q7621" s="99"/>
      <c r="R7621" s="99"/>
    </row>
    <row r="7622" spans="5:18" s="65" customFormat="1">
      <c r="E7622" s="130"/>
      <c r="P7622" s="99"/>
      <c r="Q7622" s="99"/>
      <c r="R7622" s="99"/>
    </row>
    <row r="7623" spans="5:18" s="65" customFormat="1">
      <c r="E7623" s="130"/>
      <c r="P7623" s="99"/>
      <c r="Q7623" s="99"/>
      <c r="R7623" s="99"/>
    </row>
    <row r="7624" spans="5:18" s="65" customFormat="1">
      <c r="E7624" s="130"/>
      <c r="P7624" s="99"/>
      <c r="Q7624" s="99"/>
      <c r="R7624" s="99"/>
    </row>
    <row r="7625" spans="5:18" s="65" customFormat="1">
      <c r="E7625" s="130"/>
      <c r="P7625" s="99"/>
      <c r="Q7625" s="99"/>
      <c r="R7625" s="99"/>
    </row>
    <row r="7626" spans="5:18" s="65" customFormat="1">
      <c r="E7626" s="130"/>
      <c r="P7626" s="99"/>
      <c r="Q7626" s="99"/>
      <c r="R7626" s="99"/>
    </row>
    <row r="7627" spans="5:18" s="65" customFormat="1">
      <c r="E7627" s="130"/>
      <c r="P7627" s="99"/>
      <c r="Q7627" s="99"/>
      <c r="R7627" s="99"/>
    </row>
    <row r="7628" spans="5:18" s="65" customFormat="1">
      <c r="E7628" s="130"/>
      <c r="P7628" s="99"/>
      <c r="Q7628" s="99"/>
      <c r="R7628" s="99"/>
    </row>
    <row r="7629" spans="5:18" s="65" customFormat="1">
      <c r="E7629" s="130"/>
      <c r="P7629" s="99"/>
      <c r="Q7629" s="99"/>
      <c r="R7629" s="99"/>
    </row>
    <row r="7630" spans="5:18" s="65" customFormat="1">
      <c r="E7630" s="130"/>
      <c r="P7630" s="99"/>
      <c r="Q7630" s="99"/>
      <c r="R7630" s="99"/>
    </row>
    <row r="7631" spans="5:18" s="65" customFormat="1">
      <c r="E7631" s="130"/>
      <c r="P7631" s="99"/>
      <c r="Q7631" s="99"/>
      <c r="R7631" s="99"/>
    </row>
    <row r="7632" spans="5:18" s="65" customFormat="1">
      <c r="E7632" s="130"/>
      <c r="P7632" s="99"/>
      <c r="Q7632" s="99"/>
      <c r="R7632" s="99"/>
    </row>
    <row r="7633" spans="5:18" s="65" customFormat="1">
      <c r="E7633" s="130"/>
      <c r="P7633" s="99"/>
      <c r="Q7633" s="99"/>
      <c r="R7633" s="99"/>
    </row>
    <row r="7634" spans="5:18" s="65" customFormat="1">
      <c r="E7634" s="130"/>
      <c r="P7634" s="99"/>
      <c r="Q7634" s="99"/>
      <c r="R7634" s="99"/>
    </row>
    <row r="7635" spans="5:18" s="65" customFormat="1">
      <c r="E7635" s="130"/>
      <c r="P7635" s="99"/>
      <c r="Q7635" s="99"/>
      <c r="R7635" s="99"/>
    </row>
    <row r="7636" spans="5:18" s="65" customFormat="1">
      <c r="E7636" s="130"/>
      <c r="P7636" s="99"/>
      <c r="Q7636" s="99"/>
      <c r="R7636" s="99"/>
    </row>
    <row r="7637" spans="5:18" s="65" customFormat="1">
      <c r="E7637" s="130"/>
      <c r="P7637" s="99"/>
      <c r="Q7637" s="99"/>
      <c r="R7637" s="99"/>
    </row>
    <row r="7638" spans="5:18" s="65" customFormat="1">
      <c r="E7638" s="130"/>
      <c r="P7638" s="99"/>
      <c r="Q7638" s="99"/>
      <c r="R7638" s="99"/>
    </row>
    <row r="7639" spans="5:18" s="65" customFormat="1">
      <c r="E7639" s="130"/>
      <c r="P7639" s="99"/>
      <c r="Q7639" s="99"/>
      <c r="R7639" s="99"/>
    </row>
    <row r="7640" spans="5:18" s="65" customFormat="1">
      <c r="E7640" s="130"/>
      <c r="P7640" s="99"/>
      <c r="Q7640" s="99"/>
      <c r="R7640" s="99"/>
    </row>
    <row r="7641" spans="5:18" s="65" customFormat="1">
      <c r="E7641" s="130"/>
      <c r="P7641" s="99"/>
      <c r="Q7641" s="99"/>
      <c r="R7641" s="99"/>
    </row>
    <row r="7642" spans="5:18" s="65" customFormat="1">
      <c r="E7642" s="130"/>
      <c r="P7642" s="99"/>
      <c r="Q7642" s="99"/>
      <c r="R7642" s="99"/>
    </row>
    <row r="7643" spans="5:18" s="65" customFormat="1">
      <c r="E7643" s="130"/>
      <c r="P7643" s="99"/>
      <c r="Q7643" s="99"/>
      <c r="R7643" s="99"/>
    </row>
    <row r="7644" spans="5:18" s="65" customFormat="1">
      <c r="E7644" s="130"/>
      <c r="P7644" s="99"/>
      <c r="Q7644" s="99"/>
      <c r="R7644" s="99"/>
    </row>
    <row r="7645" spans="5:18" s="65" customFormat="1">
      <c r="E7645" s="130"/>
      <c r="P7645" s="99"/>
      <c r="Q7645" s="99"/>
      <c r="R7645" s="99"/>
    </row>
    <row r="7646" spans="5:18" s="65" customFormat="1">
      <c r="E7646" s="130"/>
      <c r="P7646" s="99"/>
      <c r="Q7646" s="99"/>
      <c r="R7646" s="99"/>
    </row>
    <row r="7647" spans="5:18" s="65" customFormat="1">
      <c r="E7647" s="130"/>
      <c r="P7647" s="99"/>
      <c r="Q7647" s="99"/>
      <c r="R7647" s="99"/>
    </row>
    <row r="7648" spans="5:18" s="65" customFormat="1">
      <c r="E7648" s="130"/>
      <c r="P7648" s="99"/>
      <c r="Q7648" s="99"/>
      <c r="R7648" s="99"/>
    </row>
    <row r="7649" spans="5:18" s="65" customFormat="1">
      <c r="E7649" s="130"/>
      <c r="P7649" s="99"/>
      <c r="Q7649" s="99"/>
      <c r="R7649" s="99"/>
    </row>
    <row r="7650" spans="5:18" s="65" customFormat="1">
      <c r="E7650" s="130"/>
      <c r="P7650" s="99"/>
      <c r="Q7650" s="99"/>
      <c r="R7650" s="99"/>
    </row>
    <row r="7651" spans="5:18" s="65" customFormat="1">
      <c r="E7651" s="130"/>
      <c r="P7651" s="99"/>
      <c r="Q7651" s="99"/>
      <c r="R7651" s="99"/>
    </row>
    <row r="7652" spans="5:18" s="65" customFormat="1">
      <c r="E7652" s="130"/>
      <c r="P7652" s="99"/>
      <c r="Q7652" s="99"/>
      <c r="R7652" s="99"/>
    </row>
    <row r="7653" spans="5:18" s="65" customFormat="1">
      <c r="E7653" s="130"/>
      <c r="P7653" s="99"/>
      <c r="Q7653" s="99"/>
      <c r="R7653" s="99"/>
    </row>
    <row r="7654" spans="5:18" s="65" customFormat="1">
      <c r="E7654" s="130"/>
      <c r="P7654" s="99"/>
      <c r="Q7654" s="99"/>
      <c r="R7654" s="99"/>
    </row>
    <row r="7655" spans="5:18" s="65" customFormat="1">
      <c r="E7655" s="130"/>
      <c r="P7655" s="99"/>
      <c r="Q7655" s="99"/>
      <c r="R7655" s="99"/>
    </row>
    <row r="7656" spans="5:18" s="65" customFormat="1">
      <c r="E7656" s="130"/>
      <c r="P7656" s="99"/>
      <c r="Q7656" s="99"/>
      <c r="R7656" s="99"/>
    </row>
    <row r="7657" spans="5:18" s="65" customFormat="1">
      <c r="E7657" s="130"/>
      <c r="P7657" s="99"/>
      <c r="Q7657" s="99"/>
      <c r="R7657" s="99"/>
    </row>
    <row r="7658" spans="5:18" s="65" customFormat="1">
      <c r="E7658" s="130"/>
      <c r="P7658" s="99"/>
      <c r="Q7658" s="99"/>
      <c r="R7658" s="99"/>
    </row>
    <row r="7659" spans="5:18" s="65" customFormat="1">
      <c r="E7659" s="130"/>
      <c r="P7659" s="99"/>
      <c r="Q7659" s="99"/>
      <c r="R7659" s="99"/>
    </row>
    <row r="7660" spans="5:18" s="65" customFormat="1">
      <c r="E7660" s="130"/>
      <c r="P7660" s="99"/>
      <c r="Q7660" s="99"/>
      <c r="R7660" s="99"/>
    </row>
    <row r="7661" spans="5:18" s="65" customFormat="1">
      <c r="E7661" s="130"/>
      <c r="P7661" s="99"/>
      <c r="Q7661" s="99"/>
      <c r="R7661" s="99"/>
    </row>
    <row r="7662" spans="5:18" s="65" customFormat="1">
      <c r="E7662" s="130"/>
      <c r="P7662" s="99"/>
      <c r="Q7662" s="99"/>
      <c r="R7662" s="99"/>
    </row>
    <row r="7663" spans="5:18" s="65" customFormat="1">
      <c r="E7663" s="130"/>
      <c r="P7663" s="99"/>
      <c r="Q7663" s="99"/>
      <c r="R7663" s="99"/>
    </row>
    <row r="7664" spans="5:18" s="65" customFormat="1">
      <c r="E7664" s="130"/>
      <c r="P7664" s="99"/>
      <c r="Q7664" s="99"/>
      <c r="R7664" s="99"/>
    </row>
    <row r="7665" spans="5:18" s="65" customFormat="1">
      <c r="E7665" s="130"/>
      <c r="P7665" s="99"/>
      <c r="Q7665" s="99"/>
      <c r="R7665" s="99"/>
    </row>
    <row r="7666" spans="5:18" s="65" customFormat="1">
      <c r="E7666" s="130"/>
      <c r="P7666" s="99"/>
      <c r="Q7666" s="99"/>
      <c r="R7666" s="99"/>
    </row>
    <row r="7667" spans="5:18" s="65" customFormat="1">
      <c r="E7667" s="130"/>
      <c r="P7667" s="99"/>
      <c r="Q7667" s="99"/>
      <c r="R7667" s="99"/>
    </row>
    <row r="7668" spans="5:18" s="65" customFormat="1">
      <c r="E7668" s="130"/>
      <c r="P7668" s="99"/>
      <c r="Q7668" s="99"/>
      <c r="R7668" s="99"/>
    </row>
    <row r="7669" spans="5:18" s="65" customFormat="1">
      <c r="E7669" s="130"/>
      <c r="P7669" s="99"/>
      <c r="Q7669" s="99"/>
      <c r="R7669" s="99"/>
    </row>
    <row r="7670" spans="5:18" s="65" customFormat="1">
      <c r="E7670" s="130"/>
      <c r="P7670" s="99"/>
      <c r="Q7670" s="99"/>
      <c r="R7670" s="99"/>
    </row>
    <row r="7671" spans="5:18" s="65" customFormat="1">
      <c r="E7671" s="130"/>
      <c r="P7671" s="99"/>
      <c r="Q7671" s="99"/>
      <c r="R7671" s="99"/>
    </row>
    <row r="7672" spans="5:18" s="65" customFormat="1">
      <c r="E7672" s="130"/>
      <c r="P7672" s="99"/>
      <c r="Q7672" s="99"/>
      <c r="R7672" s="99"/>
    </row>
    <row r="7673" spans="5:18" s="65" customFormat="1">
      <c r="E7673" s="130"/>
      <c r="P7673" s="99"/>
      <c r="Q7673" s="99"/>
      <c r="R7673" s="99"/>
    </row>
    <row r="7674" spans="5:18" s="65" customFormat="1">
      <c r="E7674" s="130"/>
      <c r="P7674" s="99"/>
      <c r="Q7674" s="99"/>
      <c r="R7674" s="99"/>
    </row>
    <row r="7675" spans="5:18" s="65" customFormat="1">
      <c r="E7675" s="130"/>
      <c r="P7675" s="99"/>
      <c r="Q7675" s="99"/>
      <c r="R7675" s="99"/>
    </row>
    <row r="7676" spans="5:18" s="65" customFormat="1">
      <c r="E7676" s="130"/>
      <c r="P7676" s="99"/>
      <c r="Q7676" s="99"/>
      <c r="R7676" s="99"/>
    </row>
    <row r="7677" spans="5:18" s="65" customFormat="1">
      <c r="E7677" s="130"/>
      <c r="P7677" s="99"/>
      <c r="Q7677" s="99"/>
      <c r="R7677" s="99"/>
    </row>
    <row r="7678" spans="5:18" s="65" customFormat="1">
      <c r="E7678" s="130"/>
      <c r="P7678" s="99"/>
      <c r="Q7678" s="99"/>
      <c r="R7678" s="99"/>
    </row>
    <row r="7679" spans="5:18" s="65" customFormat="1">
      <c r="E7679" s="130"/>
      <c r="P7679" s="99"/>
      <c r="Q7679" s="99"/>
      <c r="R7679" s="99"/>
    </row>
    <row r="7680" spans="5:18" s="65" customFormat="1">
      <c r="E7680" s="130"/>
      <c r="P7680" s="99"/>
      <c r="Q7680" s="99"/>
      <c r="R7680" s="99"/>
    </row>
    <row r="7681" spans="5:18" s="65" customFormat="1">
      <c r="E7681" s="130"/>
      <c r="P7681" s="99"/>
      <c r="Q7681" s="99"/>
      <c r="R7681" s="99"/>
    </row>
    <row r="7682" spans="5:18" s="65" customFormat="1">
      <c r="E7682" s="130"/>
      <c r="P7682" s="99"/>
      <c r="Q7682" s="99"/>
      <c r="R7682" s="99"/>
    </row>
    <row r="7683" spans="5:18" s="65" customFormat="1">
      <c r="E7683" s="130"/>
      <c r="P7683" s="99"/>
      <c r="Q7683" s="99"/>
      <c r="R7683" s="99"/>
    </row>
    <row r="7684" spans="5:18" s="65" customFormat="1">
      <c r="E7684" s="130"/>
      <c r="P7684" s="99"/>
      <c r="Q7684" s="99"/>
      <c r="R7684" s="99"/>
    </row>
    <row r="7685" spans="5:18" s="65" customFormat="1">
      <c r="E7685" s="130"/>
      <c r="P7685" s="99"/>
      <c r="Q7685" s="99"/>
      <c r="R7685" s="99"/>
    </row>
    <row r="7686" spans="5:18" s="65" customFormat="1">
      <c r="E7686" s="130"/>
      <c r="P7686" s="99"/>
      <c r="Q7686" s="99"/>
      <c r="R7686" s="99"/>
    </row>
    <row r="7687" spans="5:18" s="65" customFormat="1">
      <c r="E7687" s="130"/>
      <c r="P7687" s="99"/>
      <c r="Q7687" s="99"/>
      <c r="R7687" s="99"/>
    </row>
    <row r="7688" spans="5:18" s="65" customFormat="1">
      <c r="E7688" s="130"/>
      <c r="P7688" s="99"/>
      <c r="Q7688" s="99"/>
      <c r="R7688" s="99"/>
    </row>
    <row r="7689" spans="5:18" s="65" customFormat="1">
      <c r="E7689" s="130"/>
      <c r="P7689" s="99"/>
      <c r="Q7689" s="99"/>
      <c r="R7689" s="99"/>
    </row>
    <row r="7690" spans="5:18" s="65" customFormat="1">
      <c r="E7690" s="130"/>
      <c r="P7690" s="99"/>
      <c r="Q7690" s="99"/>
      <c r="R7690" s="99"/>
    </row>
    <row r="7691" spans="5:18" s="65" customFormat="1">
      <c r="E7691" s="130"/>
      <c r="P7691" s="99"/>
      <c r="Q7691" s="99"/>
      <c r="R7691" s="99"/>
    </row>
    <row r="7692" spans="5:18" s="65" customFormat="1">
      <c r="E7692" s="130"/>
      <c r="P7692" s="99"/>
      <c r="Q7692" s="99"/>
      <c r="R7692" s="99"/>
    </row>
    <row r="7693" spans="5:18" s="65" customFormat="1">
      <c r="E7693" s="130"/>
      <c r="P7693" s="99"/>
      <c r="Q7693" s="99"/>
      <c r="R7693" s="99"/>
    </row>
    <row r="7694" spans="5:18" s="65" customFormat="1">
      <c r="E7694" s="130"/>
      <c r="P7694" s="99"/>
      <c r="Q7694" s="99"/>
      <c r="R7694" s="99"/>
    </row>
    <row r="7695" spans="5:18" s="65" customFormat="1">
      <c r="E7695" s="130"/>
      <c r="P7695" s="99"/>
      <c r="Q7695" s="99"/>
      <c r="R7695" s="99"/>
    </row>
    <row r="7696" spans="5:18" s="65" customFormat="1">
      <c r="E7696" s="130"/>
      <c r="P7696" s="99"/>
      <c r="Q7696" s="99"/>
      <c r="R7696" s="99"/>
    </row>
    <row r="7697" spans="5:18" s="65" customFormat="1">
      <c r="E7697" s="130"/>
      <c r="P7697" s="99"/>
      <c r="Q7697" s="99"/>
      <c r="R7697" s="99"/>
    </row>
    <row r="7698" spans="5:18" s="65" customFormat="1">
      <c r="E7698" s="130"/>
      <c r="P7698" s="99"/>
      <c r="Q7698" s="99"/>
      <c r="R7698" s="99"/>
    </row>
    <row r="7699" spans="5:18" s="65" customFormat="1">
      <c r="E7699" s="130"/>
      <c r="P7699" s="99"/>
      <c r="Q7699" s="99"/>
      <c r="R7699" s="99"/>
    </row>
    <row r="7700" spans="5:18" s="65" customFormat="1">
      <c r="E7700" s="130"/>
      <c r="P7700" s="99"/>
      <c r="Q7700" s="99"/>
      <c r="R7700" s="99"/>
    </row>
    <row r="7701" spans="5:18" s="65" customFormat="1">
      <c r="E7701" s="130"/>
      <c r="P7701" s="99"/>
      <c r="Q7701" s="99"/>
      <c r="R7701" s="99"/>
    </row>
    <row r="7702" spans="5:18" s="65" customFormat="1">
      <c r="E7702" s="130"/>
      <c r="P7702" s="99"/>
      <c r="Q7702" s="99"/>
      <c r="R7702" s="99"/>
    </row>
    <row r="7703" spans="5:18" s="65" customFormat="1">
      <c r="E7703" s="130"/>
      <c r="P7703" s="99"/>
      <c r="Q7703" s="99"/>
      <c r="R7703" s="99"/>
    </row>
    <row r="7704" spans="5:18" s="65" customFormat="1">
      <c r="E7704" s="130"/>
      <c r="P7704" s="99"/>
      <c r="Q7704" s="99"/>
      <c r="R7704" s="99"/>
    </row>
    <row r="7705" spans="5:18" s="65" customFormat="1">
      <c r="E7705" s="130"/>
      <c r="P7705" s="99"/>
      <c r="Q7705" s="99"/>
      <c r="R7705" s="99"/>
    </row>
    <row r="7706" spans="5:18" s="65" customFormat="1">
      <c r="E7706" s="130"/>
      <c r="P7706" s="99"/>
      <c r="Q7706" s="99"/>
      <c r="R7706" s="99"/>
    </row>
    <row r="7707" spans="5:18" s="65" customFormat="1">
      <c r="E7707" s="130"/>
      <c r="P7707" s="99"/>
      <c r="Q7707" s="99"/>
      <c r="R7707" s="99"/>
    </row>
    <row r="7708" spans="5:18" s="65" customFormat="1">
      <c r="E7708" s="130"/>
      <c r="P7708" s="99"/>
      <c r="Q7708" s="99"/>
      <c r="R7708" s="99"/>
    </row>
    <row r="7709" spans="5:18" s="65" customFormat="1">
      <c r="E7709" s="130"/>
      <c r="P7709" s="99"/>
      <c r="Q7709" s="99"/>
      <c r="R7709" s="99"/>
    </row>
    <row r="7710" spans="5:18" s="65" customFormat="1">
      <c r="E7710" s="130"/>
      <c r="P7710" s="99"/>
      <c r="Q7710" s="99"/>
      <c r="R7710" s="99"/>
    </row>
    <row r="7711" spans="5:18" s="65" customFormat="1">
      <c r="E7711" s="130"/>
      <c r="P7711" s="99"/>
      <c r="Q7711" s="99"/>
      <c r="R7711" s="99"/>
    </row>
    <row r="7712" spans="5:18" s="65" customFormat="1">
      <c r="E7712" s="130"/>
      <c r="P7712" s="99"/>
      <c r="Q7712" s="99"/>
      <c r="R7712" s="99"/>
    </row>
    <row r="7713" spans="5:18" s="65" customFormat="1">
      <c r="E7713" s="130"/>
      <c r="P7713" s="99"/>
      <c r="Q7713" s="99"/>
      <c r="R7713" s="99"/>
    </row>
    <row r="7714" spans="5:18" s="65" customFormat="1">
      <c r="E7714" s="130"/>
      <c r="P7714" s="99"/>
      <c r="Q7714" s="99"/>
      <c r="R7714" s="99"/>
    </row>
    <row r="7715" spans="5:18" s="65" customFormat="1">
      <c r="E7715" s="130"/>
      <c r="P7715" s="99"/>
      <c r="Q7715" s="99"/>
      <c r="R7715" s="99"/>
    </row>
    <row r="7716" spans="5:18" s="65" customFormat="1">
      <c r="E7716" s="130"/>
      <c r="P7716" s="99"/>
      <c r="Q7716" s="99"/>
      <c r="R7716" s="99"/>
    </row>
    <row r="7717" spans="5:18" s="65" customFormat="1">
      <c r="E7717" s="130"/>
      <c r="P7717" s="99"/>
      <c r="Q7717" s="99"/>
      <c r="R7717" s="99"/>
    </row>
    <row r="7718" spans="5:18" s="65" customFormat="1">
      <c r="E7718" s="130"/>
      <c r="P7718" s="99"/>
      <c r="Q7718" s="99"/>
      <c r="R7718" s="99"/>
    </row>
    <row r="7719" spans="5:18" s="65" customFormat="1">
      <c r="E7719" s="130"/>
      <c r="P7719" s="99"/>
      <c r="Q7719" s="99"/>
      <c r="R7719" s="99"/>
    </row>
    <row r="7720" spans="5:18" s="65" customFormat="1">
      <c r="E7720" s="130"/>
      <c r="P7720" s="99"/>
      <c r="Q7720" s="99"/>
      <c r="R7720" s="99"/>
    </row>
    <row r="7721" spans="5:18" s="65" customFormat="1">
      <c r="E7721" s="130"/>
      <c r="P7721" s="99"/>
      <c r="Q7721" s="99"/>
      <c r="R7721" s="99"/>
    </row>
    <row r="7722" spans="5:18" s="65" customFormat="1">
      <c r="E7722" s="130"/>
      <c r="P7722" s="99"/>
      <c r="Q7722" s="99"/>
      <c r="R7722" s="99"/>
    </row>
    <row r="7723" spans="5:18" s="65" customFormat="1">
      <c r="E7723" s="130"/>
      <c r="P7723" s="99"/>
      <c r="Q7723" s="99"/>
      <c r="R7723" s="99"/>
    </row>
    <row r="7724" spans="5:18" s="65" customFormat="1">
      <c r="E7724" s="130"/>
      <c r="P7724" s="99"/>
      <c r="Q7724" s="99"/>
      <c r="R7724" s="99"/>
    </row>
    <row r="7725" spans="5:18" s="65" customFormat="1">
      <c r="E7725" s="130"/>
      <c r="P7725" s="99"/>
      <c r="Q7725" s="99"/>
      <c r="R7725" s="99"/>
    </row>
    <row r="7726" spans="5:18" s="65" customFormat="1">
      <c r="E7726" s="130"/>
      <c r="P7726" s="99"/>
      <c r="Q7726" s="99"/>
      <c r="R7726" s="99"/>
    </row>
    <row r="7727" spans="5:18" s="65" customFormat="1">
      <c r="E7727" s="130"/>
      <c r="P7727" s="99"/>
      <c r="Q7727" s="99"/>
      <c r="R7727" s="99"/>
    </row>
    <row r="7728" spans="5:18" s="65" customFormat="1">
      <c r="E7728" s="130"/>
      <c r="P7728" s="99"/>
      <c r="Q7728" s="99"/>
      <c r="R7728" s="99"/>
    </row>
    <row r="7729" spans="5:18" s="65" customFormat="1">
      <c r="E7729" s="130"/>
      <c r="P7729" s="99"/>
      <c r="Q7729" s="99"/>
      <c r="R7729" s="99"/>
    </row>
    <row r="7730" spans="5:18" s="65" customFormat="1">
      <c r="E7730" s="130"/>
      <c r="P7730" s="99"/>
      <c r="Q7730" s="99"/>
      <c r="R7730" s="99"/>
    </row>
    <row r="7731" spans="5:18" s="65" customFormat="1">
      <c r="E7731" s="130"/>
      <c r="P7731" s="99"/>
      <c r="Q7731" s="99"/>
      <c r="R7731" s="99"/>
    </row>
    <row r="7732" spans="5:18" s="65" customFormat="1">
      <c r="E7732" s="130"/>
      <c r="P7732" s="99"/>
      <c r="Q7732" s="99"/>
      <c r="R7732" s="99"/>
    </row>
    <row r="7733" spans="5:18" s="65" customFormat="1">
      <c r="E7733" s="130"/>
      <c r="P7733" s="99"/>
      <c r="Q7733" s="99"/>
      <c r="R7733" s="99"/>
    </row>
    <row r="7734" spans="5:18" s="65" customFormat="1">
      <c r="E7734" s="130"/>
      <c r="P7734" s="99"/>
      <c r="Q7734" s="99"/>
      <c r="R7734" s="99"/>
    </row>
    <row r="7735" spans="5:18" s="65" customFormat="1">
      <c r="E7735" s="130"/>
      <c r="P7735" s="99"/>
      <c r="Q7735" s="99"/>
      <c r="R7735" s="99"/>
    </row>
    <row r="7736" spans="5:18" s="65" customFormat="1">
      <c r="E7736" s="130"/>
      <c r="P7736" s="99"/>
      <c r="Q7736" s="99"/>
      <c r="R7736" s="99"/>
    </row>
    <row r="7737" spans="5:18" s="65" customFormat="1">
      <c r="E7737" s="130"/>
      <c r="P7737" s="99"/>
      <c r="Q7737" s="99"/>
      <c r="R7737" s="99"/>
    </row>
    <row r="7738" spans="5:18" s="65" customFormat="1">
      <c r="E7738" s="130"/>
      <c r="P7738" s="99"/>
      <c r="Q7738" s="99"/>
      <c r="R7738" s="99"/>
    </row>
    <row r="7739" spans="5:18" s="65" customFormat="1">
      <c r="E7739" s="130"/>
      <c r="P7739" s="99"/>
      <c r="Q7739" s="99"/>
      <c r="R7739" s="99"/>
    </row>
    <row r="7740" spans="5:18" s="65" customFormat="1">
      <c r="E7740" s="130"/>
      <c r="P7740" s="99"/>
      <c r="Q7740" s="99"/>
      <c r="R7740" s="99"/>
    </row>
    <row r="7741" spans="5:18" s="65" customFormat="1">
      <c r="E7741" s="130"/>
      <c r="P7741" s="99"/>
      <c r="Q7741" s="99"/>
      <c r="R7741" s="99"/>
    </row>
    <row r="7742" spans="5:18" s="65" customFormat="1">
      <c r="E7742" s="130"/>
      <c r="P7742" s="99"/>
      <c r="Q7742" s="99"/>
      <c r="R7742" s="99"/>
    </row>
    <row r="7743" spans="5:18" s="65" customFormat="1">
      <c r="E7743" s="130"/>
      <c r="P7743" s="99"/>
      <c r="Q7743" s="99"/>
      <c r="R7743" s="99"/>
    </row>
    <row r="7744" spans="5:18" s="65" customFormat="1">
      <c r="E7744" s="130"/>
      <c r="P7744" s="99"/>
      <c r="Q7744" s="99"/>
      <c r="R7744" s="99"/>
    </row>
    <row r="7745" spans="5:18" s="65" customFormat="1">
      <c r="E7745" s="130"/>
      <c r="P7745" s="99"/>
      <c r="Q7745" s="99"/>
      <c r="R7745" s="99"/>
    </row>
    <row r="7746" spans="5:18" s="65" customFormat="1">
      <c r="E7746" s="130"/>
      <c r="P7746" s="99"/>
      <c r="Q7746" s="99"/>
      <c r="R7746" s="99"/>
    </row>
    <row r="7747" spans="5:18" s="65" customFormat="1">
      <c r="E7747" s="130"/>
      <c r="P7747" s="99"/>
      <c r="Q7747" s="99"/>
      <c r="R7747" s="99"/>
    </row>
    <row r="7748" spans="5:18" s="65" customFormat="1">
      <c r="E7748" s="130"/>
      <c r="P7748" s="99"/>
      <c r="Q7748" s="99"/>
      <c r="R7748" s="99"/>
    </row>
    <row r="7749" spans="5:18" s="65" customFormat="1">
      <c r="E7749" s="130"/>
      <c r="P7749" s="99"/>
      <c r="Q7749" s="99"/>
      <c r="R7749" s="99"/>
    </row>
    <row r="7750" spans="5:18" s="65" customFormat="1">
      <c r="E7750" s="130"/>
      <c r="P7750" s="99"/>
      <c r="Q7750" s="99"/>
      <c r="R7750" s="99"/>
    </row>
    <row r="7751" spans="5:18" s="65" customFormat="1">
      <c r="E7751" s="130"/>
      <c r="P7751" s="99"/>
      <c r="Q7751" s="99"/>
      <c r="R7751" s="99"/>
    </row>
    <row r="7752" spans="5:18" s="65" customFormat="1">
      <c r="E7752" s="130"/>
      <c r="P7752" s="99"/>
      <c r="Q7752" s="99"/>
      <c r="R7752" s="99"/>
    </row>
    <row r="7753" spans="5:18" s="65" customFormat="1">
      <c r="E7753" s="130"/>
      <c r="P7753" s="99"/>
      <c r="Q7753" s="99"/>
      <c r="R7753" s="99"/>
    </row>
    <row r="7754" spans="5:18" s="65" customFormat="1">
      <c r="E7754" s="130"/>
      <c r="P7754" s="99"/>
      <c r="Q7754" s="99"/>
      <c r="R7754" s="99"/>
    </row>
    <row r="7755" spans="5:18" s="65" customFormat="1">
      <c r="E7755" s="130"/>
      <c r="P7755" s="99"/>
      <c r="Q7755" s="99"/>
      <c r="R7755" s="99"/>
    </row>
    <row r="7756" spans="5:18" s="65" customFormat="1">
      <c r="E7756" s="130"/>
      <c r="P7756" s="99"/>
      <c r="Q7756" s="99"/>
      <c r="R7756" s="99"/>
    </row>
    <row r="7757" spans="5:18" s="65" customFormat="1">
      <c r="E7757" s="130"/>
      <c r="P7757" s="99"/>
      <c r="Q7757" s="99"/>
      <c r="R7757" s="99"/>
    </row>
    <row r="7758" spans="5:18" s="65" customFormat="1">
      <c r="E7758" s="130"/>
      <c r="P7758" s="99"/>
      <c r="Q7758" s="99"/>
      <c r="R7758" s="99"/>
    </row>
    <row r="7759" spans="5:18" s="65" customFormat="1">
      <c r="E7759" s="130"/>
      <c r="P7759" s="99"/>
      <c r="Q7759" s="99"/>
      <c r="R7759" s="99"/>
    </row>
    <row r="7760" spans="5:18" s="65" customFormat="1">
      <c r="E7760" s="130"/>
      <c r="P7760" s="99"/>
      <c r="Q7760" s="99"/>
      <c r="R7760" s="99"/>
    </row>
    <row r="7761" spans="5:18" s="65" customFormat="1">
      <c r="E7761" s="130"/>
      <c r="P7761" s="99"/>
      <c r="Q7761" s="99"/>
      <c r="R7761" s="99"/>
    </row>
    <row r="7762" spans="5:18" s="65" customFormat="1">
      <c r="E7762" s="130"/>
      <c r="P7762" s="99"/>
      <c r="Q7762" s="99"/>
      <c r="R7762" s="99"/>
    </row>
    <row r="7763" spans="5:18" s="65" customFormat="1">
      <c r="E7763" s="130"/>
      <c r="P7763" s="99"/>
      <c r="Q7763" s="99"/>
      <c r="R7763" s="99"/>
    </row>
    <row r="7764" spans="5:18" s="65" customFormat="1">
      <c r="E7764" s="130"/>
      <c r="P7764" s="99"/>
      <c r="Q7764" s="99"/>
      <c r="R7764" s="99"/>
    </row>
    <row r="7765" spans="5:18" s="65" customFormat="1">
      <c r="E7765" s="130"/>
      <c r="P7765" s="99"/>
      <c r="Q7765" s="99"/>
      <c r="R7765" s="99"/>
    </row>
    <row r="7766" spans="5:18" s="65" customFormat="1">
      <c r="E7766" s="130"/>
      <c r="P7766" s="99"/>
      <c r="Q7766" s="99"/>
      <c r="R7766" s="99"/>
    </row>
    <row r="7767" spans="5:18" s="65" customFormat="1">
      <c r="E7767" s="130"/>
      <c r="P7767" s="99"/>
      <c r="Q7767" s="99"/>
      <c r="R7767" s="99"/>
    </row>
    <row r="7768" spans="5:18" s="65" customFormat="1">
      <c r="E7768" s="130"/>
      <c r="P7768" s="99"/>
      <c r="Q7768" s="99"/>
      <c r="R7768" s="99"/>
    </row>
    <row r="7769" spans="5:18" s="65" customFormat="1">
      <c r="E7769" s="130"/>
      <c r="P7769" s="99"/>
      <c r="Q7769" s="99"/>
      <c r="R7769" s="99"/>
    </row>
    <row r="7770" spans="5:18" s="65" customFormat="1">
      <c r="E7770" s="130"/>
      <c r="P7770" s="99"/>
      <c r="Q7770" s="99"/>
      <c r="R7770" s="99"/>
    </row>
    <row r="7771" spans="5:18" s="65" customFormat="1">
      <c r="E7771" s="130"/>
      <c r="P7771" s="99"/>
      <c r="Q7771" s="99"/>
      <c r="R7771" s="99"/>
    </row>
    <row r="7772" spans="5:18" s="65" customFormat="1">
      <c r="E7772" s="130"/>
      <c r="P7772" s="99"/>
      <c r="Q7772" s="99"/>
      <c r="R7772" s="99"/>
    </row>
    <row r="7773" spans="5:18" s="65" customFormat="1">
      <c r="E7773" s="130"/>
      <c r="P7773" s="99"/>
      <c r="Q7773" s="99"/>
      <c r="R7773" s="99"/>
    </row>
    <row r="7774" spans="5:18" s="65" customFormat="1">
      <c r="E7774" s="130"/>
      <c r="P7774" s="99"/>
      <c r="Q7774" s="99"/>
      <c r="R7774" s="99"/>
    </row>
    <row r="7775" spans="5:18" s="65" customFormat="1">
      <c r="E7775" s="130"/>
      <c r="P7775" s="99"/>
      <c r="Q7775" s="99"/>
      <c r="R7775" s="99"/>
    </row>
    <row r="7776" spans="5:18" s="65" customFormat="1">
      <c r="E7776" s="130"/>
      <c r="P7776" s="99"/>
      <c r="Q7776" s="99"/>
      <c r="R7776" s="99"/>
    </row>
    <row r="7777" spans="5:18" s="65" customFormat="1">
      <c r="E7777" s="130"/>
      <c r="P7777" s="99"/>
      <c r="Q7777" s="99"/>
      <c r="R7777" s="99"/>
    </row>
    <row r="7778" spans="5:18" s="65" customFormat="1">
      <c r="E7778" s="130"/>
      <c r="P7778" s="99"/>
      <c r="Q7778" s="99"/>
      <c r="R7778" s="99"/>
    </row>
    <row r="7779" spans="5:18" s="65" customFormat="1">
      <c r="E7779" s="130"/>
      <c r="P7779" s="99"/>
      <c r="Q7779" s="99"/>
      <c r="R7779" s="99"/>
    </row>
    <row r="7780" spans="5:18" s="65" customFormat="1">
      <c r="E7780" s="130"/>
      <c r="P7780" s="99"/>
      <c r="Q7780" s="99"/>
      <c r="R7780" s="99"/>
    </row>
    <row r="7781" spans="5:18" s="65" customFormat="1">
      <c r="E7781" s="130"/>
      <c r="P7781" s="99"/>
      <c r="Q7781" s="99"/>
      <c r="R7781" s="99"/>
    </row>
    <row r="7782" spans="5:18" s="65" customFormat="1">
      <c r="E7782" s="130"/>
      <c r="P7782" s="99"/>
      <c r="Q7782" s="99"/>
      <c r="R7782" s="99"/>
    </row>
    <row r="7783" spans="5:18" s="65" customFormat="1">
      <c r="E7783" s="130"/>
      <c r="P7783" s="99"/>
      <c r="Q7783" s="99"/>
      <c r="R7783" s="99"/>
    </row>
    <row r="7784" spans="5:18" s="65" customFormat="1">
      <c r="E7784" s="130"/>
      <c r="P7784" s="99"/>
      <c r="Q7784" s="99"/>
      <c r="R7784" s="99"/>
    </row>
    <row r="7785" spans="5:18" s="65" customFormat="1">
      <c r="E7785" s="130"/>
      <c r="P7785" s="99"/>
      <c r="Q7785" s="99"/>
      <c r="R7785" s="99"/>
    </row>
    <row r="7786" spans="5:18" s="65" customFormat="1">
      <c r="E7786" s="130"/>
      <c r="P7786" s="99"/>
      <c r="Q7786" s="99"/>
      <c r="R7786" s="99"/>
    </row>
    <row r="7787" spans="5:18" s="65" customFormat="1">
      <c r="E7787" s="130"/>
      <c r="P7787" s="99"/>
      <c r="Q7787" s="99"/>
      <c r="R7787" s="99"/>
    </row>
    <row r="7788" spans="5:18" s="65" customFormat="1">
      <c r="E7788" s="130"/>
      <c r="P7788" s="99"/>
      <c r="Q7788" s="99"/>
      <c r="R7788" s="99"/>
    </row>
    <row r="7789" spans="5:18" s="65" customFormat="1">
      <c r="E7789" s="130"/>
      <c r="P7789" s="99"/>
      <c r="Q7789" s="99"/>
      <c r="R7789" s="99"/>
    </row>
    <row r="7790" spans="5:18" s="65" customFormat="1">
      <c r="E7790" s="130"/>
      <c r="P7790" s="99"/>
      <c r="Q7790" s="99"/>
      <c r="R7790" s="99"/>
    </row>
    <row r="7791" spans="5:18" s="65" customFormat="1">
      <c r="E7791" s="130"/>
      <c r="P7791" s="99"/>
      <c r="Q7791" s="99"/>
      <c r="R7791" s="99"/>
    </row>
    <row r="7792" spans="5:18" s="65" customFormat="1">
      <c r="E7792" s="130"/>
      <c r="P7792" s="99"/>
      <c r="Q7792" s="99"/>
      <c r="R7792" s="99"/>
    </row>
    <row r="7793" spans="5:18" s="65" customFormat="1">
      <c r="E7793" s="130"/>
      <c r="P7793" s="99"/>
      <c r="Q7793" s="99"/>
      <c r="R7793" s="99"/>
    </row>
    <row r="7794" spans="5:18" s="65" customFormat="1">
      <c r="E7794" s="130"/>
      <c r="P7794" s="99"/>
      <c r="Q7794" s="99"/>
      <c r="R7794" s="99"/>
    </row>
    <row r="7795" spans="5:18" s="65" customFormat="1">
      <c r="E7795" s="130"/>
      <c r="P7795" s="99"/>
      <c r="Q7795" s="99"/>
      <c r="R7795" s="99"/>
    </row>
    <row r="7796" spans="5:18" s="65" customFormat="1">
      <c r="E7796" s="130"/>
      <c r="P7796" s="99"/>
      <c r="Q7796" s="99"/>
      <c r="R7796" s="99"/>
    </row>
    <row r="7797" spans="5:18" s="65" customFormat="1">
      <c r="E7797" s="130"/>
      <c r="P7797" s="99"/>
      <c r="Q7797" s="99"/>
      <c r="R7797" s="99"/>
    </row>
    <row r="7798" spans="5:18" s="65" customFormat="1">
      <c r="E7798" s="130"/>
      <c r="P7798" s="99"/>
      <c r="Q7798" s="99"/>
      <c r="R7798" s="99"/>
    </row>
    <row r="7799" spans="5:18" s="65" customFormat="1">
      <c r="E7799" s="130"/>
      <c r="P7799" s="99"/>
      <c r="Q7799" s="99"/>
      <c r="R7799" s="99"/>
    </row>
    <row r="7800" spans="5:18" s="65" customFormat="1">
      <c r="E7800" s="130"/>
      <c r="P7800" s="99"/>
      <c r="Q7800" s="99"/>
      <c r="R7800" s="99"/>
    </row>
    <row r="7801" spans="5:18" s="65" customFormat="1">
      <c r="E7801" s="130"/>
      <c r="P7801" s="99"/>
      <c r="Q7801" s="99"/>
      <c r="R7801" s="99"/>
    </row>
    <row r="7802" spans="5:18" s="65" customFormat="1">
      <c r="E7802" s="130"/>
      <c r="P7802" s="99"/>
      <c r="Q7802" s="99"/>
      <c r="R7802" s="99"/>
    </row>
    <row r="7803" spans="5:18" s="65" customFormat="1">
      <c r="E7803" s="130"/>
      <c r="P7803" s="99"/>
      <c r="Q7803" s="99"/>
      <c r="R7803" s="99"/>
    </row>
    <row r="7804" spans="5:18" s="65" customFormat="1">
      <c r="E7804" s="130"/>
      <c r="P7804" s="99"/>
      <c r="Q7804" s="99"/>
      <c r="R7804" s="99"/>
    </row>
    <row r="7805" spans="5:18" s="65" customFormat="1">
      <c r="E7805" s="130"/>
      <c r="P7805" s="99"/>
      <c r="Q7805" s="99"/>
      <c r="R7805" s="99"/>
    </row>
    <row r="7806" spans="5:18" s="65" customFormat="1">
      <c r="E7806" s="130"/>
      <c r="P7806" s="99"/>
      <c r="Q7806" s="99"/>
      <c r="R7806" s="99"/>
    </row>
    <row r="7807" spans="5:18" s="65" customFormat="1">
      <c r="E7807" s="130"/>
      <c r="P7807" s="99"/>
      <c r="Q7807" s="99"/>
      <c r="R7807" s="99"/>
    </row>
    <row r="7808" spans="5:18" s="65" customFormat="1">
      <c r="E7808" s="130"/>
      <c r="P7808" s="99"/>
      <c r="Q7808" s="99"/>
      <c r="R7808" s="99"/>
    </row>
    <row r="7809" spans="5:18" s="65" customFormat="1">
      <c r="E7809" s="130"/>
      <c r="P7809" s="99"/>
      <c r="Q7809" s="99"/>
      <c r="R7809" s="99"/>
    </row>
    <row r="7810" spans="5:18" s="65" customFormat="1">
      <c r="E7810" s="130"/>
      <c r="P7810" s="99"/>
      <c r="Q7810" s="99"/>
      <c r="R7810" s="99"/>
    </row>
    <row r="7811" spans="5:18" s="65" customFormat="1">
      <c r="E7811" s="130"/>
      <c r="P7811" s="99"/>
      <c r="Q7811" s="99"/>
      <c r="R7811" s="99"/>
    </row>
    <row r="7812" spans="5:18" s="65" customFormat="1">
      <c r="E7812" s="130"/>
      <c r="P7812" s="99"/>
      <c r="Q7812" s="99"/>
      <c r="R7812" s="99"/>
    </row>
    <row r="7813" spans="5:18" s="65" customFormat="1">
      <c r="E7813" s="130"/>
      <c r="P7813" s="99"/>
      <c r="Q7813" s="99"/>
      <c r="R7813" s="99"/>
    </row>
    <row r="7814" spans="5:18" s="65" customFormat="1">
      <c r="E7814" s="130"/>
      <c r="P7814" s="99"/>
      <c r="Q7814" s="99"/>
      <c r="R7814" s="99"/>
    </row>
    <row r="7815" spans="5:18" s="65" customFormat="1">
      <c r="E7815" s="130"/>
      <c r="P7815" s="99"/>
      <c r="Q7815" s="99"/>
      <c r="R7815" s="99"/>
    </row>
    <row r="7816" spans="5:18" s="65" customFormat="1">
      <c r="E7816" s="130"/>
      <c r="P7816" s="99"/>
      <c r="Q7816" s="99"/>
      <c r="R7816" s="99"/>
    </row>
    <row r="7817" spans="5:18" s="65" customFormat="1">
      <c r="E7817" s="130"/>
      <c r="P7817" s="99"/>
      <c r="Q7817" s="99"/>
      <c r="R7817" s="99"/>
    </row>
    <row r="7818" spans="5:18" s="65" customFormat="1">
      <c r="E7818" s="130"/>
      <c r="P7818" s="99"/>
      <c r="Q7818" s="99"/>
      <c r="R7818" s="99"/>
    </row>
    <row r="7819" spans="5:18" s="65" customFormat="1">
      <c r="E7819" s="130"/>
      <c r="P7819" s="99"/>
      <c r="Q7819" s="99"/>
      <c r="R7819" s="99"/>
    </row>
    <row r="7820" spans="5:18" s="65" customFormat="1">
      <c r="E7820" s="130"/>
      <c r="P7820" s="99"/>
      <c r="Q7820" s="99"/>
      <c r="R7820" s="99"/>
    </row>
    <row r="7821" spans="5:18" s="65" customFormat="1">
      <c r="E7821" s="130"/>
      <c r="P7821" s="99"/>
      <c r="Q7821" s="99"/>
      <c r="R7821" s="99"/>
    </row>
    <row r="7822" spans="5:18" s="65" customFormat="1">
      <c r="E7822" s="130"/>
      <c r="P7822" s="99"/>
      <c r="Q7822" s="99"/>
      <c r="R7822" s="99"/>
    </row>
    <row r="7823" spans="5:18" s="65" customFormat="1">
      <c r="E7823" s="130"/>
      <c r="P7823" s="99"/>
      <c r="Q7823" s="99"/>
      <c r="R7823" s="99"/>
    </row>
    <row r="7824" spans="5:18" s="65" customFormat="1">
      <c r="E7824" s="130"/>
      <c r="P7824" s="99"/>
      <c r="Q7824" s="99"/>
      <c r="R7824" s="99"/>
    </row>
    <row r="7825" spans="5:18" s="65" customFormat="1">
      <c r="E7825" s="130"/>
      <c r="P7825" s="99"/>
      <c r="Q7825" s="99"/>
      <c r="R7825" s="99"/>
    </row>
    <row r="7826" spans="5:18" s="65" customFormat="1">
      <c r="E7826" s="130"/>
      <c r="P7826" s="99"/>
      <c r="Q7826" s="99"/>
      <c r="R7826" s="99"/>
    </row>
    <row r="7827" spans="5:18" s="65" customFormat="1">
      <c r="E7827" s="130"/>
      <c r="P7827" s="99"/>
      <c r="Q7827" s="99"/>
      <c r="R7827" s="99"/>
    </row>
    <row r="7828" spans="5:18" s="65" customFormat="1">
      <c r="E7828" s="130"/>
      <c r="P7828" s="99"/>
      <c r="Q7828" s="99"/>
      <c r="R7828" s="99"/>
    </row>
    <row r="7829" spans="5:18" s="65" customFormat="1">
      <c r="E7829" s="130"/>
      <c r="P7829" s="99"/>
      <c r="Q7829" s="99"/>
      <c r="R7829" s="99"/>
    </row>
    <row r="7830" spans="5:18" s="65" customFormat="1">
      <c r="E7830" s="130"/>
      <c r="P7830" s="99"/>
      <c r="Q7830" s="99"/>
      <c r="R7830" s="99"/>
    </row>
    <row r="7831" spans="5:18" s="65" customFormat="1">
      <c r="E7831" s="130"/>
      <c r="P7831" s="99"/>
      <c r="Q7831" s="99"/>
      <c r="R7831" s="99"/>
    </row>
    <row r="7832" spans="5:18" s="65" customFormat="1">
      <c r="E7832" s="130"/>
      <c r="P7832" s="99"/>
      <c r="Q7832" s="99"/>
      <c r="R7832" s="99"/>
    </row>
    <row r="7833" spans="5:18" s="65" customFormat="1">
      <c r="E7833" s="130"/>
      <c r="P7833" s="99"/>
      <c r="Q7833" s="99"/>
      <c r="R7833" s="99"/>
    </row>
    <row r="7834" spans="5:18" s="65" customFormat="1">
      <c r="E7834" s="130"/>
      <c r="P7834" s="99"/>
      <c r="Q7834" s="99"/>
      <c r="R7834" s="99"/>
    </row>
    <row r="7835" spans="5:18" s="65" customFormat="1">
      <c r="E7835" s="130"/>
      <c r="P7835" s="99"/>
      <c r="Q7835" s="99"/>
      <c r="R7835" s="99"/>
    </row>
    <row r="7836" spans="5:18" s="65" customFormat="1">
      <c r="E7836" s="130"/>
      <c r="P7836" s="99"/>
      <c r="Q7836" s="99"/>
      <c r="R7836" s="99"/>
    </row>
    <row r="7837" spans="5:18" s="65" customFormat="1">
      <c r="E7837" s="130"/>
      <c r="P7837" s="99"/>
      <c r="Q7837" s="99"/>
      <c r="R7837" s="99"/>
    </row>
    <row r="7838" spans="5:18" s="65" customFormat="1">
      <c r="E7838" s="130"/>
      <c r="P7838" s="99"/>
      <c r="Q7838" s="99"/>
      <c r="R7838" s="99"/>
    </row>
    <row r="7839" spans="5:18" s="65" customFormat="1">
      <c r="E7839" s="130"/>
      <c r="P7839" s="99"/>
      <c r="Q7839" s="99"/>
      <c r="R7839" s="99"/>
    </row>
    <row r="7840" spans="5:18" s="65" customFormat="1">
      <c r="E7840" s="130"/>
      <c r="P7840" s="99"/>
      <c r="Q7840" s="99"/>
      <c r="R7840" s="99"/>
    </row>
    <row r="7841" spans="5:18" s="65" customFormat="1">
      <c r="E7841" s="130"/>
      <c r="P7841" s="99"/>
      <c r="Q7841" s="99"/>
      <c r="R7841" s="99"/>
    </row>
    <row r="7842" spans="5:18" s="65" customFormat="1">
      <c r="E7842" s="130"/>
      <c r="P7842" s="99"/>
      <c r="Q7842" s="99"/>
      <c r="R7842" s="99"/>
    </row>
    <row r="7843" spans="5:18" s="65" customFormat="1">
      <c r="E7843" s="130"/>
      <c r="P7843" s="99"/>
      <c r="Q7843" s="99"/>
      <c r="R7843" s="99"/>
    </row>
    <row r="7844" spans="5:18" s="65" customFormat="1">
      <c r="E7844" s="130"/>
      <c r="P7844" s="99"/>
      <c r="Q7844" s="99"/>
      <c r="R7844" s="99"/>
    </row>
    <row r="7845" spans="5:18" s="65" customFormat="1">
      <c r="E7845" s="130"/>
      <c r="P7845" s="99"/>
      <c r="Q7845" s="99"/>
      <c r="R7845" s="99"/>
    </row>
    <row r="7846" spans="5:18" s="65" customFormat="1">
      <c r="E7846" s="130"/>
      <c r="P7846" s="99"/>
      <c r="Q7846" s="99"/>
      <c r="R7846" s="99"/>
    </row>
    <row r="7847" spans="5:18" s="65" customFormat="1">
      <c r="E7847" s="130"/>
      <c r="P7847" s="99"/>
      <c r="Q7847" s="99"/>
      <c r="R7847" s="99"/>
    </row>
    <row r="7848" spans="5:18" s="65" customFormat="1">
      <c r="E7848" s="130"/>
      <c r="P7848" s="99"/>
      <c r="Q7848" s="99"/>
      <c r="R7848" s="99"/>
    </row>
    <row r="7849" spans="5:18" s="65" customFormat="1">
      <c r="E7849" s="130"/>
      <c r="P7849" s="99"/>
      <c r="Q7849" s="99"/>
      <c r="R7849" s="99"/>
    </row>
    <row r="7850" spans="5:18" s="65" customFormat="1">
      <c r="E7850" s="130"/>
      <c r="P7850" s="99"/>
      <c r="Q7850" s="99"/>
      <c r="R7850" s="99"/>
    </row>
    <row r="7851" spans="5:18" s="65" customFormat="1">
      <c r="E7851" s="130"/>
      <c r="P7851" s="99"/>
      <c r="Q7851" s="99"/>
      <c r="R7851" s="99"/>
    </row>
    <row r="7852" spans="5:18" s="65" customFormat="1">
      <c r="E7852" s="130"/>
      <c r="P7852" s="99"/>
      <c r="Q7852" s="99"/>
      <c r="R7852" s="99"/>
    </row>
    <row r="7853" spans="5:18" s="65" customFormat="1">
      <c r="E7853" s="130"/>
      <c r="P7853" s="99"/>
      <c r="Q7853" s="99"/>
      <c r="R7853" s="99"/>
    </row>
    <row r="7854" spans="5:18" s="65" customFormat="1">
      <c r="E7854" s="130"/>
      <c r="P7854" s="99"/>
      <c r="Q7854" s="99"/>
      <c r="R7854" s="99"/>
    </row>
    <row r="7855" spans="5:18" s="65" customFormat="1">
      <c r="E7855" s="130"/>
      <c r="P7855" s="99"/>
      <c r="Q7855" s="99"/>
      <c r="R7855" s="99"/>
    </row>
    <row r="7856" spans="5:18" s="65" customFormat="1">
      <c r="E7856" s="130"/>
      <c r="P7856" s="99"/>
      <c r="Q7856" s="99"/>
      <c r="R7856" s="99"/>
    </row>
    <row r="7857" spans="5:18" s="65" customFormat="1">
      <c r="E7857" s="130"/>
      <c r="P7857" s="99"/>
      <c r="Q7857" s="99"/>
      <c r="R7857" s="99"/>
    </row>
    <row r="7858" spans="5:18" s="65" customFormat="1">
      <c r="E7858" s="130"/>
      <c r="P7858" s="99"/>
      <c r="Q7858" s="99"/>
      <c r="R7858" s="99"/>
    </row>
    <row r="7859" spans="5:18" s="65" customFormat="1">
      <c r="E7859" s="130"/>
      <c r="P7859" s="99"/>
      <c r="Q7859" s="99"/>
      <c r="R7859" s="99"/>
    </row>
    <row r="7860" spans="5:18" s="65" customFormat="1">
      <c r="E7860" s="130"/>
      <c r="P7860" s="99"/>
      <c r="Q7860" s="99"/>
      <c r="R7860" s="99"/>
    </row>
    <row r="7861" spans="5:18" s="65" customFormat="1">
      <c r="E7861" s="130"/>
      <c r="P7861" s="99"/>
      <c r="Q7861" s="99"/>
      <c r="R7861" s="99"/>
    </row>
    <row r="7862" spans="5:18" s="65" customFormat="1">
      <c r="E7862" s="130"/>
      <c r="P7862" s="99"/>
      <c r="Q7862" s="99"/>
      <c r="R7862" s="99"/>
    </row>
    <row r="7863" spans="5:18" s="65" customFormat="1">
      <c r="E7863" s="130"/>
      <c r="P7863" s="99"/>
      <c r="Q7863" s="99"/>
      <c r="R7863" s="99"/>
    </row>
    <row r="7864" spans="5:18" s="65" customFormat="1">
      <c r="E7864" s="130"/>
      <c r="P7864" s="99"/>
      <c r="Q7864" s="99"/>
      <c r="R7864" s="99"/>
    </row>
    <row r="7865" spans="5:18" s="65" customFormat="1">
      <c r="E7865" s="130"/>
      <c r="P7865" s="99"/>
      <c r="Q7865" s="99"/>
      <c r="R7865" s="99"/>
    </row>
    <row r="7866" spans="5:18" s="65" customFormat="1">
      <c r="E7866" s="130"/>
      <c r="P7866" s="99"/>
      <c r="Q7866" s="99"/>
      <c r="R7866" s="99"/>
    </row>
    <row r="7867" spans="5:18" s="65" customFormat="1">
      <c r="E7867" s="130"/>
      <c r="P7867" s="99"/>
      <c r="Q7867" s="99"/>
      <c r="R7867" s="99"/>
    </row>
    <row r="7868" spans="5:18" s="65" customFormat="1">
      <c r="E7868" s="130"/>
      <c r="P7868" s="99"/>
      <c r="Q7868" s="99"/>
      <c r="R7868" s="99"/>
    </row>
    <row r="7869" spans="5:18" s="65" customFormat="1">
      <c r="E7869" s="130"/>
      <c r="P7869" s="99"/>
      <c r="Q7869" s="99"/>
      <c r="R7869" s="99"/>
    </row>
    <row r="7870" spans="5:18" s="65" customFormat="1">
      <c r="E7870" s="130"/>
      <c r="P7870" s="99"/>
      <c r="Q7870" s="99"/>
      <c r="R7870" s="99"/>
    </row>
    <row r="7871" spans="5:18" s="65" customFormat="1">
      <c r="E7871" s="130"/>
      <c r="P7871" s="99"/>
      <c r="Q7871" s="99"/>
      <c r="R7871" s="99"/>
    </row>
    <row r="7872" spans="5:18" s="65" customFormat="1">
      <c r="E7872" s="130"/>
      <c r="P7872" s="99"/>
      <c r="Q7872" s="99"/>
      <c r="R7872" s="99"/>
    </row>
    <row r="7873" spans="5:18" s="65" customFormat="1">
      <c r="E7873" s="130"/>
      <c r="P7873" s="99"/>
      <c r="Q7873" s="99"/>
      <c r="R7873" s="99"/>
    </row>
    <row r="7874" spans="5:18" s="65" customFormat="1">
      <c r="E7874" s="130"/>
      <c r="P7874" s="99"/>
      <c r="Q7874" s="99"/>
      <c r="R7874" s="99"/>
    </row>
    <row r="7875" spans="5:18" s="65" customFormat="1">
      <c r="E7875" s="130"/>
      <c r="P7875" s="99"/>
      <c r="Q7875" s="99"/>
      <c r="R7875" s="99"/>
    </row>
    <row r="7876" spans="5:18" s="65" customFormat="1">
      <c r="E7876" s="130"/>
      <c r="P7876" s="99"/>
      <c r="Q7876" s="99"/>
      <c r="R7876" s="99"/>
    </row>
    <row r="7877" spans="5:18" s="65" customFormat="1">
      <c r="E7877" s="130"/>
      <c r="P7877" s="99"/>
      <c r="Q7877" s="99"/>
      <c r="R7877" s="99"/>
    </row>
    <row r="7878" spans="5:18" s="65" customFormat="1">
      <c r="E7878" s="130"/>
      <c r="P7878" s="99"/>
      <c r="Q7878" s="99"/>
      <c r="R7878" s="99"/>
    </row>
    <row r="7879" spans="5:18" s="65" customFormat="1">
      <c r="E7879" s="130"/>
      <c r="P7879" s="99"/>
      <c r="Q7879" s="99"/>
      <c r="R7879" s="99"/>
    </row>
    <row r="7880" spans="5:18" s="65" customFormat="1">
      <c r="E7880" s="130"/>
      <c r="P7880" s="99"/>
      <c r="Q7880" s="99"/>
      <c r="R7880" s="99"/>
    </row>
    <row r="7881" spans="5:18" s="65" customFormat="1">
      <c r="E7881" s="130"/>
      <c r="P7881" s="99"/>
      <c r="Q7881" s="99"/>
      <c r="R7881" s="99"/>
    </row>
    <row r="7882" spans="5:18" s="65" customFormat="1">
      <c r="E7882" s="130"/>
      <c r="P7882" s="99"/>
      <c r="Q7882" s="99"/>
      <c r="R7882" s="99"/>
    </row>
    <row r="7883" spans="5:18" s="65" customFormat="1">
      <c r="E7883" s="130"/>
      <c r="P7883" s="99"/>
      <c r="Q7883" s="99"/>
      <c r="R7883" s="99"/>
    </row>
    <row r="7884" spans="5:18" s="65" customFormat="1">
      <c r="E7884" s="130"/>
      <c r="P7884" s="99"/>
      <c r="Q7884" s="99"/>
      <c r="R7884" s="99"/>
    </row>
    <row r="7885" spans="5:18" s="65" customFormat="1">
      <c r="E7885" s="130"/>
      <c r="P7885" s="99"/>
      <c r="Q7885" s="99"/>
      <c r="R7885" s="99"/>
    </row>
    <row r="7886" spans="5:18" s="65" customFormat="1">
      <c r="E7886" s="130"/>
      <c r="P7886" s="99"/>
      <c r="Q7886" s="99"/>
      <c r="R7886" s="99"/>
    </row>
    <row r="7887" spans="5:18" s="65" customFormat="1">
      <c r="E7887" s="130"/>
      <c r="P7887" s="99"/>
      <c r="Q7887" s="99"/>
      <c r="R7887" s="99"/>
    </row>
    <row r="7888" spans="5:18" s="65" customFormat="1">
      <c r="E7888" s="130"/>
      <c r="P7888" s="99"/>
      <c r="Q7888" s="99"/>
      <c r="R7888" s="99"/>
    </row>
    <row r="7889" spans="5:18" s="65" customFormat="1">
      <c r="E7889" s="130"/>
      <c r="P7889" s="99"/>
      <c r="Q7889" s="99"/>
      <c r="R7889" s="99"/>
    </row>
    <row r="7890" spans="5:18" s="65" customFormat="1">
      <c r="E7890" s="130"/>
      <c r="P7890" s="99"/>
      <c r="Q7890" s="99"/>
      <c r="R7890" s="99"/>
    </row>
    <row r="7891" spans="5:18" s="65" customFormat="1">
      <c r="E7891" s="130"/>
      <c r="P7891" s="99"/>
      <c r="Q7891" s="99"/>
      <c r="R7891" s="99"/>
    </row>
    <row r="7892" spans="5:18" s="65" customFormat="1">
      <c r="E7892" s="130"/>
      <c r="P7892" s="99"/>
      <c r="Q7892" s="99"/>
      <c r="R7892" s="99"/>
    </row>
    <row r="7893" spans="5:18" s="65" customFormat="1">
      <c r="E7893" s="130"/>
      <c r="P7893" s="99"/>
      <c r="Q7893" s="99"/>
      <c r="R7893" s="99"/>
    </row>
    <row r="7894" spans="5:18" s="65" customFormat="1">
      <c r="E7894" s="130"/>
      <c r="P7894" s="99"/>
      <c r="Q7894" s="99"/>
      <c r="R7894" s="99"/>
    </row>
    <row r="7895" spans="5:18" s="65" customFormat="1">
      <c r="E7895" s="130"/>
      <c r="P7895" s="99"/>
      <c r="Q7895" s="99"/>
      <c r="R7895" s="99"/>
    </row>
    <row r="7896" spans="5:18" s="65" customFormat="1">
      <c r="E7896" s="130"/>
      <c r="P7896" s="99"/>
      <c r="Q7896" s="99"/>
      <c r="R7896" s="99"/>
    </row>
    <row r="7897" spans="5:18" s="65" customFormat="1">
      <c r="E7897" s="130"/>
      <c r="P7897" s="99"/>
      <c r="Q7897" s="99"/>
      <c r="R7897" s="99"/>
    </row>
    <row r="7898" spans="5:18" s="65" customFormat="1">
      <c r="E7898" s="130"/>
      <c r="P7898" s="99"/>
      <c r="Q7898" s="99"/>
      <c r="R7898" s="99"/>
    </row>
    <row r="7899" spans="5:18" s="65" customFormat="1">
      <c r="E7899" s="130"/>
      <c r="P7899" s="99"/>
      <c r="Q7899" s="99"/>
      <c r="R7899" s="99"/>
    </row>
    <row r="7900" spans="5:18" s="65" customFormat="1">
      <c r="E7900" s="130"/>
      <c r="P7900" s="99"/>
      <c r="Q7900" s="99"/>
      <c r="R7900" s="99"/>
    </row>
    <row r="7901" spans="5:18" s="65" customFormat="1">
      <c r="E7901" s="130"/>
      <c r="P7901" s="99"/>
      <c r="Q7901" s="99"/>
      <c r="R7901" s="99"/>
    </row>
    <row r="7902" spans="5:18" s="65" customFormat="1">
      <c r="E7902" s="130"/>
      <c r="P7902" s="99"/>
      <c r="Q7902" s="99"/>
      <c r="R7902" s="99"/>
    </row>
    <row r="7903" spans="5:18" s="65" customFormat="1">
      <c r="E7903" s="130"/>
      <c r="P7903" s="99"/>
      <c r="Q7903" s="99"/>
      <c r="R7903" s="99"/>
    </row>
    <row r="7904" spans="5:18" s="65" customFormat="1">
      <c r="E7904" s="130"/>
      <c r="P7904" s="99"/>
      <c r="Q7904" s="99"/>
      <c r="R7904" s="99"/>
    </row>
    <row r="7905" spans="5:18" s="65" customFormat="1">
      <c r="E7905" s="130"/>
      <c r="P7905" s="99"/>
      <c r="Q7905" s="99"/>
      <c r="R7905" s="99"/>
    </row>
    <row r="7906" spans="5:18" s="65" customFormat="1">
      <c r="E7906" s="130"/>
      <c r="P7906" s="99"/>
      <c r="Q7906" s="99"/>
      <c r="R7906" s="99"/>
    </row>
    <row r="7907" spans="5:18" s="65" customFormat="1">
      <c r="E7907" s="130"/>
      <c r="P7907" s="99"/>
      <c r="Q7907" s="99"/>
      <c r="R7907" s="99"/>
    </row>
    <row r="7908" spans="5:18" s="65" customFormat="1">
      <c r="E7908" s="130"/>
      <c r="P7908" s="99"/>
      <c r="Q7908" s="99"/>
      <c r="R7908" s="99"/>
    </row>
    <row r="7909" spans="5:18" s="65" customFormat="1">
      <c r="E7909" s="130"/>
      <c r="P7909" s="99"/>
      <c r="Q7909" s="99"/>
      <c r="R7909" s="99"/>
    </row>
    <row r="7910" spans="5:18" s="65" customFormat="1">
      <c r="E7910" s="130"/>
      <c r="P7910" s="99"/>
      <c r="Q7910" s="99"/>
      <c r="R7910" s="99"/>
    </row>
    <row r="7911" spans="5:18" s="65" customFormat="1">
      <c r="E7911" s="130"/>
      <c r="P7911" s="99"/>
      <c r="Q7911" s="99"/>
      <c r="R7911" s="99"/>
    </row>
    <row r="7912" spans="5:18" s="65" customFormat="1">
      <c r="E7912" s="130"/>
      <c r="P7912" s="99"/>
      <c r="Q7912" s="99"/>
      <c r="R7912" s="99"/>
    </row>
    <row r="7913" spans="5:18" s="65" customFormat="1">
      <c r="E7913" s="130"/>
      <c r="P7913" s="99"/>
      <c r="Q7913" s="99"/>
      <c r="R7913" s="99"/>
    </row>
    <row r="7914" spans="5:18" s="65" customFormat="1">
      <c r="E7914" s="130"/>
      <c r="P7914" s="99"/>
      <c r="Q7914" s="99"/>
      <c r="R7914" s="99"/>
    </row>
    <row r="7915" spans="5:18" s="65" customFormat="1">
      <c r="E7915" s="130"/>
      <c r="P7915" s="99"/>
      <c r="Q7915" s="99"/>
      <c r="R7915" s="99"/>
    </row>
    <row r="7916" spans="5:18" s="65" customFormat="1">
      <c r="E7916" s="130"/>
      <c r="P7916" s="99"/>
      <c r="Q7916" s="99"/>
      <c r="R7916" s="99"/>
    </row>
    <row r="7917" spans="5:18" s="65" customFormat="1">
      <c r="E7917" s="130"/>
      <c r="P7917" s="99"/>
      <c r="Q7917" s="99"/>
      <c r="R7917" s="99"/>
    </row>
    <row r="7918" spans="5:18" s="65" customFormat="1">
      <c r="E7918" s="130"/>
      <c r="P7918" s="99"/>
      <c r="Q7918" s="99"/>
      <c r="R7918" s="99"/>
    </row>
    <row r="7919" spans="5:18" s="65" customFormat="1">
      <c r="E7919" s="130"/>
      <c r="P7919" s="99"/>
      <c r="Q7919" s="99"/>
      <c r="R7919" s="99"/>
    </row>
    <row r="7920" spans="5:18" s="65" customFormat="1">
      <c r="E7920" s="130"/>
      <c r="P7920" s="99"/>
      <c r="Q7920" s="99"/>
      <c r="R7920" s="99"/>
    </row>
    <row r="7921" spans="5:18" s="65" customFormat="1">
      <c r="E7921" s="130"/>
      <c r="P7921" s="99"/>
      <c r="Q7921" s="99"/>
      <c r="R7921" s="99"/>
    </row>
    <row r="7922" spans="5:18" s="65" customFormat="1">
      <c r="E7922" s="130"/>
      <c r="P7922" s="99"/>
      <c r="Q7922" s="99"/>
      <c r="R7922" s="99"/>
    </row>
    <row r="7923" spans="5:18" s="65" customFormat="1">
      <c r="E7923" s="130"/>
      <c r="P7923" s="99"/>
      <c r="Q7923" s="99"/>
      <c r="R7923" s="99"/>
    </row>
    <row r="7924" spans="5:18" s="65" customFormat="1">
      <c r="E7924" s="130"/>
      <c r="P7924" s="99"/>
      <c r="Q7924" s="99"/>
      <c r="R7924" s="99"/>
    </row>
    <row r="7925" spans="5:18" s="65" customFormat="1">
      <c r="E7925" s="130"/>
      <c r="P7925" s="99"/>
      <c r="Q7925" s="99"/>
      <c r="R7925" s="99"/>
    </row>
    <row r="7926" spans="5:18" s="65" customFormat="1">
      <c r="E7926" s="130"/>
      <c r="P7926" s="99"/>
      <c r="Q7926" s="99"/>
      <c r="R7926" s="99"/>
    </row>
    <row r="7927" spans="5:18" s="65" customFormat="1">
      <c r="E7927" s="130"/>
      <c r="P7927" s="99"/>
      <c r="Q7927" s="99"/>
      <c r="R7927" s="99"/>
    </row>
    <row r="7928" spans="5:18" s="65" customFormat="1">
      <c r="E7928" s="130"/>
      <c r="P7928" s="99"/>
      <c r="Q7928" s="99"/>
      <c r="R7928" s="99"/>
    </row>
    <row r="7929" spans="5:18" s="65" customFormat="1">
      <c r="E7929" s="130"/>
      <c r="P7929" s="99"/>
      <c r="Q7929" s="99"/>
      <c r="R7929" s="99"/>
    </row>
    <row r="7930" spans="5:18" s="65" customFormat="1">
      <c r="E7930" s="130"/>
      <c r="P7930" s="99"/>
      <c r="Q7930" s="99"/>
      <c r="R7930" s="99"/>
    </row>
    <row r="7931" spans="5:18" s="65" customFormat="1">
      <c r="E7931" s="130"/>
      <c r="P7931" s="99"/>
      <c r="Q7931" s="99"/>
      <c r="R7931" s="99"/>
    </row>
    <row r="7932" spans="5:18" s="65" customFormat="1">
      <c r="E7932" s="130"/>
      <c r="P7932" s="99"/>
      <c r="Q7932" s="99"/>
      <c r="R7932" s="99"/>
    </row>
    <row r="7933" spans="5:18" s="65" customFormat="1">
      <c r="E7933" s="130"/>
      <c r="P7933" s="99"/>
      <c r="Q7933" s="99"/>
      <c r="R7933" s="99"/>
    </row>
    <row r="7934" spans="5:18" s="65" customFormat="1">
      <c r="E7934" s="130"/>
      <c r="P7934" s="99"/>
      <c r="Q7934" s="99"/>
      <c r="R7934" s="99"/>
    </row>
    <row r="7935" spans="5:18" s="65" customFormat="1">
      <c r="E7935" s="130"/>
      <c r="P7935" s="99"/>
      <c r="Q7935" s="99"/>
      <c r="R7935" s="99"/>
    </row>
    <row r="7936" spans="5:18" s="65" customFormat="1">
      <c r="E7936" s="130"/>
      <c r="P7936" s="99"/>
      <c r="Q7936" s="99"/>
      <c r="R7936" s="99"/>
    </row>
    <row r="7937" spans="5:18" s="65" customFormat="1">
      <c r="E7937" s="130"/>
      <c r="P7937" s="99"/>
      <c r="Q7937" s="99"/>
      <c r="R7937" s="99"/>
    </row>
    <row r="7938" spans="5:18" s="65" customFormat="1">
      <c r="E7938" s="130"/>
      <c r="P7938" s="99"/>
      <c r="Q7938" s="99"/>
      <c r="R7938" s="99"/>
    </row>
    <row r="7939" spans="5:18" s="65" customFormat="1">
      <c r="E7939" s="130"/>
      <c r="P7939" s="99"/>
      <c r="Q7939" s="99"/>
      <c r="R7939" s="99"/>
    </row>
    <row r="7940" spans="5:18" s="65" customFormat="1">
      <c r="E7940" s="130"/>
      <c r="P7940" s="99"/>
      <c r="Q7940" s="99"/>
      <c r="R7940" s="99"/>
    </row>
    <row r="7941" spans="5:18" s="65" customFormat="1">
      <c r="E7941" s="130"/>
      <c r="P7941" s="99"/>
      <c r="Q7941" s="99"/>
      <c r="R7941" s="99"/>
    </row>
    <row r="7942" spans="5:18" s="65" customFormat="1">
      <c r="E7942" s="130"/>
      <c r="P7942" s="99"/>
      <c r="Q7942" s="99"/>
      <c r="R7942" s="99"/>
    </row>
    <row r="7943" spans="5:18" s="65" customFormat="1">
      <c r="E7943" s="130"/>
      <c r="P7943" s="99"/>
      <c r="Q7943" s="99"/>
      <c r="R7943" s="99"/>
    </row>
    <row r="7944" spans="5:18" s="65" customFormat="1">
      <c r="E7944" s="130"/>
      <c r="P7944" s="99"/>
      <c r="Q7944" s="99"/>
      <c r="R7944" s="99"/>
    </row>
    <row r="7945" spans="5:18" s="65" customFormat="1">
      <c r="E7945" s="130"/>
      <c r="P7945" s="99"/>
      <c r="Q7945" s="99"/>
      <c r="R7945" s="99"/>
    </row>
    <row r="7946" spans="5:18" s="65" customFormat="1">
      <c r="E7946" s="130"/>
      <c r="P7946" s="99"/>
      <c r="Q7946" s="99"/>
      <c r="R7946" s="99"/>
    </row>
    <row r="7947" spans="5:18" s="65" customFormat="1">
      <c r="E7947" s="130"/>
      <c r="P7947" s="99"/>
      <c r="Q7947" s="99"/>
      <c r="R7947" s="99"/>
    </row>
    <row r="7948" spans="5:18" s="65" customFormat="1">
      <c r="E7948" s="130"/>
      <c r="P7948" s="99"/>
      <c r="Q7948" s="99"/>
      <c r="R7948" s="99"/>
    </row>
    <row r="7949" spans="5:18" s="65" customFormat="1">
      <c r="E7949" s="130"/>
      <c r="P7949" s="99"/>
      <c r="Q7949" s="99"/>
      <c r="R7949" s="99"/>
    </row>
    <row r="7950" spans="5:18" s="65" customFormat="1">
      <c r="E7950" s="130"/>
      <c r="P7950" s="99"/>
      <c r="Q7950" s="99"/>
      <c r="R7950" s="99"/>
    </row>
    <row r="7951" spans="5:18" s="65" customFormat="1">
      <c r="E7951" s="130"/>
      <c r="P7951" s="99"/>
      <c r="Q7951" s="99"/>
      <c r="R7951" s="99"/>
    </row>
    <row r="7952" spans="5:18" s="65" customFormat="1">
      <c r="E7952" s="130"/>
      <c r="P7952" s="99"/>
      <c r="Q7952" s="99"/>
      <c r="R7952" s="99"/>
    </row>
    <row r="7953" spans="5:18" s="65" customFormat="1">
      <c r="E7953" s="130"/>
      <c r="P7953" s="99"/>
      <c r="Q7953" s="99"/>
      <c r="R7953" s="99"/>
    </row>
    <row r="7954" spans="5:18" s="65" customFormat="1">
      <c r="E7954" s="130"/>
      <c r="P7954" s="99"/>
      <c r="Q7954" s="99"/>
      <c r="R7954" s="99"/>
    </row>
    <row r="7955" spans="5:18" s="65" customFormat="1">
      <c r="E7955" s="130"/>
      <c r="P7955" s="99"/>
      <c r="Q7955" s="99"/>
      <c r="R7955" s="99"/>
    </row>
    <row r="7956" spans="5:18" s="65" customFormat="1">
      <c r="E7956" s="130"/>
      <c r="P7956" s="99"/>
      <c r="Q7956" s="99"/>
      <c r="R7956" s="99"/>
    </row>
    <row r="7957" spans="5:18" s="65" customFormat="1">
      <c r="E7957" s="130"/>
      <c r="P7957" s="99"/>
      <c r="Q7957" s="99"/>
      <c r="R7957" s="99"/>
    </row>
    <row r="7958" spans="5:18" s="65" customFormat="1">
      <c r="E7958" s="130"/>
      <c r="P7958" s="99"/>
      <c r="Q7958" s="99"/>
      <c r="R7958" s="99"/>
    </row>
    <row r="7959" spans="5:18" s="65" customFormat="1">
      <c r="E7959" s="130"/>
      <c r="P7959" s="99"/>
      <c r="Q7959" s="99"/>
      <c r="R7959" s="99"/>
    </row>
    <row r="7960" spans="5:18" s="65" customFormat="1">
      <c r="E7960" s="130"/>
      <c r="P7960" s="99"/>
      <c r="Q7960" s="99"/>
      <c r="R7960" s="99"/>
    </row>
    <row r="7961" spans="5:18" s="65" customFormat="1">
      <c r="E7961" s="130"/>
      <c r="P7961" s="99"/>
      <c r="Q7961" s="99"/>
      <c r="R7961" s="99"/>
    </row>
    <row r="7962" spans="5:18" s="65" customFormat="1">
      <c r="E7962" s="130"/>
      <c r="P7962" s="99"/>
      <c r="Q7962" s="99"/>
      <c r="R7962" s="99"/>
    </row>
    <row r="7963" spans="5:18" s="65" customFormat="1">
      <c r="E7963" s="130"/>
      <c r="P7963" s="99"/>
      <c r="Q7963" s="99"/>
      <c r="R7963" s="99"/>
    </row>
    <row r="7964" spans="5:18" s="65" customFormat="1">
      <c r="E7964" s="130"/>
      <c r="P7964" s="99"/>
      <c r="Q7964" s="99"/>
      <c r="R7964" s="99"/>
    </row>
    <row r="7965" spans="5:18" s="65" customFormat="1">
      <c r="E7965" s="130"/>
      <c r="P7965" s="99"/>
      <c r="Q7965" s="99"/>
      <c r="R7965" s="99"/>
    </row>
    <row r="7966" spans="5:18" s="65" customFormat="1">
      <c r="E7966" s="130"/>
      <c r="P7966" s="99"/>
      <c r="Q7966" s="99"/>
      <c r="R7966" s="99"/>
    </row>
    <row r="7967" spans="5:18" s="65" customFormat="1">
      <c r="E7967" s="130"/>
      <c r="P7967" s="99"/>
      <c r="Q7967" s="99"/>
      <c r="R7967" s="99"/>
    </row>
    <row r="7968" spans="5:18" s="65" customFormat="1">
      <c r="E7968" s="130"/>
      <c r="P7968" s="99"/>
      <c r="Q7968" s="99"/>
      <c r="R7968" s="99"/>
    </row>
    <row r="7969" spans="5:18" s="65" customFormat="1">
      <c r="E7969" s="130"/>
      <c r="P7969" s="99"/>
      <c r="Q7969" s="99"/>
      <c r="R7969" s="99"/>
    </row>
    <row r="7970" spans="5:18" s="65" customFormat="1">
      <c r="E7970" s="130"/>
      <c r="P7970" s="99"/>
      <c r="Q7970" s="99"/>
      <c r="R7970" s="99"/>
    </row>
    <row r="7971" spans="5:18" s="65" customFormat="1">
      <c r="E7971" s="130"/>
      <c r="P7971" s="99"/>
      <c r="Q7971" s="99"/>
      <c r="R7971" s="99"/>
    </row>
    <row r="7972" spans="5:18" s="65" customFormat="1">
      <c r="E7972" s="130"/>
      <c r="P7972" s="99"/>
      <c r="Q7972" s="99"/>
      <c r="R7972" s="99"/>
    </row>
    <row r="7973" spans="5:18" s="65" customFormat="1">
      <c r="E7973" s="130"/>
      <c r="P7973" s="99"/>
      <c r="Q7973" s="99"/>
      <c r="R7973" s="99"/>
    </row>
    <row r="7974" spans="5:18" s="65" customFormat="1">
      <c r="E7974" s="130"/>
      <c r="P7974" s="99"/>
      <c r="Q7974" s="99"/>
      <c r="R7974" s="99"/>
    </row>
    <row r="7975" spans="5:18" s="65" customFormat="1">
      <c r="E7975" s="130"/>
      <c r="P7975" s="99"/>
      <c r="Q7975" s="99"/>
      <c r="R7975" s="99"/>
    </row>
    <row r="7976" spans="5:18" s="65" customFormat="1">
      <c r="E7976" s="130"/>
      <c r="P7976" s="99"/>
      <c r="Q7976" s="99"/>
      <c r="R7976" s="99"/>
    </row>
    <row r="7977" spans="5:18" s="65" customFormat="1">
      <c r="E7977" s="130"/>
      <c r="P7977" s="99"/>
      <c r="Q7977" s="99"/>
      <c r="R7977" s="99"/>
    </row>
    <row r="7978" spans="5:18" s="65" customFormat="1">
      <c r="E7978" s="130"/>
      <c r="P7978" s="99"/>
      <c r="Q7978" s="99"/>
      <c r="R7978" s="99"/>
    </row>
    <row r="7979" spans="5:18" s="65" customFormat="1">
      <c r="E7979" s="130"/>
      <c r="P7979" s="99"/>
      <c r="Q7979" s="99"/>
      <c r="R7979" s="99"/>
    </row>
    <row r="7980" spans="5:18" s="65" customFormat="1">
      <c r="E7980" s="130"/>
      <c r="P7980" s="99"/>
      <c r="Q7980" s="99"/>
      <c r="R7980" s="99"/>
    </row>
    <row r="7981" spans="5:18" s="65" customFormat="1">
      <c r="E7981" s="130"/>
      <c r="P7981" s="99"/>
      <c r="Q7981" s="99"/>
      <c r="R7981" s="99"/>
    </row>
    <row r="7982" spans="5:18" s="65" customFormat="1">
      <c r="E7982" s="130"/>
      <c r="P7982" s="99"/>
      <c r="Q7982" s="99"/>
      <c r="R7982" s="99"/>
    </row>
    <row r="7983" spans="5:18" s="65" customFormat="1">
      <c r="E7983" s="130"/>
      <c r="P7983" s="99"/>
      <c r="Q7983" s="99"/>
      <c r="R7983" s="99"/>
    </row>
    <row r="7984" spans="5:18" s="65" customFormat="1">
      <c r="E7984" s="130"/>
      <c r="P7984" s="99"/>
      <c r="Q7984" s="99"/>
      <c r="R7984" s="99"/>
    </row>
    <row r="7985" spans="5:18" s="65" customFormat="1">
      <c r="E7985" s="130"/>
      <c r="P7985" s="99"/>
      <c r="Q7985" s="99"/>
      <c r="R7985" s="99"/>
    </row>
    <row r="7986" spans="5:18" s="65" customFormat="1">
      <c r="E7986" s="130"/>
      <c r="P7986" s="99"/>
      <c r="Q7986" s="99"/>
      <c r="R7986" s="99"/>
    </row>
    <row r="7987" spans="5:18" s="65" customFormat="1">
      <c r="E7987" s="130"/>
      <c r="P7987" s="99"/>
      <c r="Q7987" s="99"/>
      <c r="R7987" s="99"/>
    </row>
    <row r="7988" spans="5:18" s="65" customFormat="1">
      <c r="E7988" s="130"/>
      <c r="P7988" s="99"/>
      <c r="Q7988" s="99"/>
      <c r="R7988" s="99"/>
    </row>
    <row r="7989" spans="5:18" s="65" customFormat="1">
      <c r="E7989" s="130"/>
      <c r="P7989" s="99"/>
      <c r="Q7989" s="99"/>
      <c r="R7989" s="99"/>
    </row>
    <row r="7990" spans="5:18" s="65" customFormat="1">
      <c r="E7990" s="130"/>
      <c r="P7990" s="99"/>
      <c r="Q7990" s="99"/>
      <c r="R7990" s="99"/>
    </row>
    <row r="7991" spans="5:18" s="65" customFormat="1">
      <c r="E7991" s="130"/>
      <c r="P7991" s="99"/>
      <c r="Q7991" s="99"/>
      <c r="R7991" s="99"/>
    </row>
    <row r="7992" spans="5:18" s="65" customFormat="1">
      <c r="E7992" s="130"/>
      <c r="P7992" s="99"/>
      <c r="Q7992" s="99"/>
      <c r="R7992" s="99"/>
    </row>
    <row r="7993" spans="5:18" s="65" customFormat="1">
      <c r="E7993" s="130"/>
      <c r="P7993" s="99"/>
      <c r="Q7993" s="99"/>
      <c r="R7993" s="99"/>
    </row>
    <row r="7994" spans="5:18" s="65" customFormat="1">
      <c r="E7994" s="130"/>
      <c r="P7994" s="99"/>
      <c r="Q7994" s="99"/>
      <c r="R7994" s="99"/>
    </row>
    <row r="7995" spans="5:18" s="65" customFormat="1">
      <c r="E7995" s="130"/>
      <c r="P7995" s="99"/>
      <c r="Q7995" s="99"/>
      <c r="R7995" s="99"/>
    </row>
    <row r="7996" spans="5:18" s="65" customFormat="1">
      <c r="E7996" s="130"/>
      <c r="P7996" s="99"/>
      <c r="Q7996" s="99"/>
      <c r="R7996" s="99"/>
    </row>
    <row r="7997" spans="5:18" s="65" customFormat="1">
      <c r="E7997" s="130"/>
      <c r="P7997" s="99"/>
      <c r="Q7997" s="99"/>
      <c r="R7997" s="99"/>
    </row>
    <row r="7998" spans="5:18" s="65" customFormat="1">
      <c r="E7998" s="130"/>
      <c r="P7998" s="99"/>
      <c r="Q7998" s="99"/>
      <c r="R7998" s="99"/>
    </row>
    <row r="7999" spans="5:18" s="65" customFormat="1">
      <c r="E7999" s="130"/>
      <c r="P7999" s="99"/>
      <c r="Q7999" s="99"/>
      <c r="R7999" s="99"/>
    </row>
    <row r="8000" spans="5:18" s="65" customFormat="1">
      <c r="E8000" s="130"/>
      <c r="P8000" s="99"/>
      <c r="Q8000" s="99"/>
      <c r="R8000" s="99"/>
    </row>
    <row r="8001" spans="5:18" s="65" customFormat="1">
      <c r="E8001" s="130"/>
      <c r="P8001" s="99"/>
      <c r="Q8001" s="99"/>
      <c r="R8001" s="99"/>
    </row>
    <row r="8002" spans="5:18" s="65" customFormat="1">
      <c r="E8002" s="130"/>
      <c r="P8002" s="99"/>
      <c r="Q8002" s="99"/>
      <c r="R8002" s="99"/>
    </row>
    <row r="8003" spans="5:18" s="65" customFormat="1">
      <c r="E8003" s="130"/>
      <c r="P8003" s="99"/>
      <c r="Q8003" s="99"/>
      <c r="R8003" s="99"/>
    </row>
    <row r="8004" spans="5:18" s="65" customFormat="1">
      <c r="E8004" s="130"/>
      <c r="P8004" s="99"/>
      <c r="Q8004" s="99"/>
      <c r="R8004" s="99"/>
    </row>
    <row r="8005" spans="5:18" s="65" customFormat="1">
      <c r="E8005" s="130"/>
      <c r="P8005" s="99"/>
      <c r="Q8005" s="99"/>
      <c r="R8005" s="99"/>
    </row>
    <row r="8006" spans="5:18" s="65" customFormat="1">
      <c r="E8006" s="130"/>
      <c r="P8006" s="99"/>
      <c r="Q8006" s="99"/>
      <c r="R8006" s="99"/>
    </row>
    <row r="8007" spans="5:18" s="65" customFormat="1">
      <c r="E8007" s="130"/>
      <c r="P8007" s="99"/>
      <c r="Q8007" s="99"/>
      <c r="R8007" s="99"/>
    </row>
    <row r="8008" spans="5:18" s="65" customFormat="1">
      <c r="E8008" s="130"/>
      <c r="P8008" s="99"/>
      <c r="Q8008" s="99"/>
      <c r="R8008" s="99"/>
    </row>
    <row r="8009" spans="5:18" s="65" customFormat="1">
      <c r="E8009" s="130"/>
      <c r="P8009" s="99"/>
      <c r="Q8009" s="99"/>
      <c r="R8009" s="99"/>
    </row>
    <row r="8010" spans="5:18" s="65" customFormat="1">
      <c r="E8010" s="130"/>
      <c r="P8010" s="99"/>
      <c r="Q8010" s="99"/>
      <c r="R8010" s="99"/>
    </row>
    <row r="8011" spans="5:18" s="65" customFormat="1">
      <c r="E8011" s="130"/>
      <c r="P8011" s="99"/>
      <c r="Q8011" s="99"/>
      <c r="R8011" s="99"/>
    </row>
    <row r="8012" spans="5:18" s="65" customFormat="1">
      <c r="E8012" s="130"/>
      <c r="P8012" s="99"/>
      <c r="Q8012" s="99"/>
      <c r="R8012" s="99"/>
    </row>
    <row r="8013" spans="5:18" s="65" customFormat="1">
      <c r="E8013" s="130"/>
      <c r="P8013" s="99"/>
      <c r="Q8013" s="99"/>
      <c r="R8013" s="99"/>
    </row>
    <row r="8014" spans="5:18" s="65" customFormat="1">
      <c r="E8014" s="130"/>
      <c r="P8014" s="99"/>
      <c r="Q8014" s="99"/>
      <c r="R8014" s="99"/>
    </row>
    <row r="8015" spans="5:18" s="65" customFormat="1">
      <c r="E8015" s="130"/>
      <c r="P8015" s="99"/>
      <c r="Q8015" s="99"/>
      <c r="R8015" s="99"/>
    </row>
    <row r="8016" spans="5:18" s="65" customFormat="1">
      <c r="E8016" s="130"/>
      <c r="P8016" s="99"/>
      <c r="Q8016" s="99"/>
      <c r="R8016" s="99"/>
    </row>
    <row r="8017" spans="5:18" s="65" customFormat="1">
      <c r="E8017" s="130"/>
      <c r="P8017" s="99"/>
      <c r="Q8017" s="99"/>
      <c r="R8017" s="99"/>
    </row>
    <row r="8018" spans="5:18" s="65" customFormat="1">
      <c r="E8018" s="130"/>
      <c r="P8018" s="99"/>
      <c r="Q8018" s="99"/>
      <c r="R8018" s="99"/>
    </row>
    <row r="8019" spans="5:18" s="65" customFormat="1">
      <c r="E8019" s="130"/>
      <c r="P8019" s="99"/>
      <c r="Q8019" s="99"/>
      <c r="R8019" s="99"/>
    </row>
    <row r="8020" spans="5:18" s="65" customFormat="1">
      <c r="E8020" s="130"/>
      <c r="P8020" s="99"/>
      <c r="Q8020" s="99"/>
      <c r="R8020" s="99"/>
    </row>
    <row r="8021" spans="5:18" s="65" customFormat="1">
      <c r="E8021" s="130"/>
      <c r="P8021" s="99"/>
      <c r="Q8021" s="99"/>
      <c r="R8021" s="99"/>
    </row>
    <row r="8022" spans="5:18" s="65" customFormat="1">
      <c r="E8022" s="130"/>
      <c r="P8022" s="99"/>
      <c r="Q8022" s="99"/>
      <c r="R8022" s="99"/>
    </row>
    <row r="8023" spans="5:18" s="65" customFormat="1">
      <c r="E8023" s="130"/>
      <c r="P8023" s="99"/>
      <c r="Q8023" s="99"/>
      <c r="R8023" s="99"/>
    </row>
    <row r="8024" spans="5:18" s="65" customFormat="1">
      <c r="E8024" s="130"/>
      <c r="P8024" s="99"/>
      <c r="Q8024" s="99"/>
      <c r="R8024" s="99"/>
    </row>
    <row r="8025" spans="5:18" s="65" customFormat="1">
      <c r="E8025" s="130"/>
      <c r="P8025" s="99"/>
      <c r="Q8025" s="99"/>
      <c r="R8025" s="99"/>
    </row>
    <row r="8026" spans="5:18" s="65" customFormat="1">
      <c r="E8026" s="130"/>
      <c r="P8026" s="99"/>
      <c r="Q8026" s="99"/>
      <c r="R8026" s="99"/>
    </row>
    <row r="8027" spans="5:18" s="65" customFormat="1">
      <c r="E8027" s="130"/>
      <c r="P8027" s="99"/>
      <c r="Q8027" s="99"/>
      <c r="R8027" s="99"/>
    </row>
    <row r="8028" spans="5:18" s="65" customFormat="1">
      <c r="E8028" s="130"/>
      <c r="P8028" s="99"/>
      <c r="Q8028" s="99"/>
      <c r="R8028" s="99"/>
    </row>
    <row r="8029" spans="5:18" s="65" customFormat="1">
      <c r="E8029" s="130"/>
      <c r="P8029" s="99"/>
      <c r="Q8029" s="99"/>
      <c r="R8029" s="99"/>
    </row>
    <row r="8030" spans="5:18" s="65" customFormat="1">
      <c r="E8030" s="130"/>
      <c r="P8030" s="99"/>
      <c r="Q8030" s="99"/>
      <c r="R8030" s="99"/>
    </row>
    <row r="8031" spans="5:18" s="65" customFormat="1">
      <c r="E8031" s="130"/>
      <c r="P8031" s="99"/>
      <c r="Q8031" s="99"/>
      <c r="R8031" s="99"/>
    </row>
    <row r="8032" spans="5:18" s="65" customFormat="1">
      <c r="E8032" s="130"/>
      <c r="P8032" s="99"/>
      <c r="Q8032" s="99"/>
      <c r="R8032" s="99"/>
    </row>
    <row r="8033" spans="5:18" s="65" customFormat="1">
      <c r="E8033" s="130"/>
      <c r="P8033" s="99"/>
      <c r="Q8033" s="99"/>
      <c r="R8033" s="99"/>
    </row>
    <row r="8034" spans="5:18" s="65" customFormat="1">
      <c r="E8034" s="130"/>
      <c r="P8034" s="99"/>
      <c r="Q8034" s="99"/>
      <c r="R8034" s="99"/>
    </row>
    <row r="8035" spans="5:18" s="65" customFormat="1">
      <c r="E8035" s="130"/>
      <c r="P8035" s="99"/>
      <c r="Q8035" s="99"/>
      <c r="R8035" s="99"/>
    </row>
    <row r="8036" spans="5:18" s="65" customFormat="1">
      <c r="E8036" s="130"/>
      <c r="P8036" s="99"/>
      <c r="Q8036" s="99"/>
      <c r="R8036" s="99"/>
    </row>
    <row r="8037" spans="5:18" s="65" customFormat="1">
      <c r="E8037" s="130"/>
      <c r="P8037" s="99"/>
      <c r="Q8037" s="99"/>
      <c r="R8037" s="99"/>
    </row>
    <row r="8038" spans="5:18" s="65" customFormat="1">
      <c r="E8038" s="130"/>
      <c r="P8038" s="99"/>
      <c r="Q8038" s="99"/>
      <c r="R8038" s="99"/>
    </row>
    <row r="8039" spans="5:18" s="65" customFormat="1">
      <c r="E8039" s="130"/>
      <c r="P8039" s="99"/>
      <c r="Q8039" s="99"/>
      <c r="R8039" s="99"/>
    </row>
    <row r="8040" spans="5:18" s="65" customFormat="1">
      <c r="E8040" s="130"/>
      <c r="P8040" s="99"/>
      <c r="Q8040" s="99"/>
      <c r="R8040" s="99"/>
    </row>
    <row r="8041" spans="5:18" s="65" customFormat="1">
      <c r="E8041" s="130"/>
      <c r="P8041" s="99"/>
      <c r="Q8041" s="99"/>
      <c r="R8041" s="99"/>
    </row>
    <row r="8042" spans="5:18" s="65" customFormat="1">
      <c r="E8042" s="130"/>
      <c r="P8042" s="99"/>
      <c r="Q8042" s="99"/>
      <c r="R8042" s="99"/>
    </row>
    <row r="8043" spans="5:18" s="65" customFormat="1">
      <c r="E8043" s="130"/>
      <c r="P8043" s="99"/>
      <c r="Q8043" s="99"/>
      <c r="R8043" s="99"/>
    </row>
    <row r="8044" spans="5:18" s="65" customFormat="1">
      <c r="E8044" s="130"/>
      <c r="P8044" s="99"/>
      <c r="Q8044" s="99"/>
      <c r="R8044" s="99"/>
    </row>
    <row r="8045" spans="5:18" s="65" customFormat="1">
      <c r="E8045" s="130"/>
      <c r="P8045" s="99"/>
      <c r="Q8045" s="99"/>
      <c r="R8045" s="99"/>
    </row>
    <row r="8046" spans="5:18" s="65" customFormat="1">
      <c r="E8046" s="130"/>
      <c r="P8046" s="99"/>
      <c r="Q8046" s="99"/>
      <c r="R8046" s="99"/>
    </row>
    <row r="8047" spans="5:18" s="65" customFormat="1">
      <c r="E8047" s="130"/>
      <c r="P8047" s="99"/>
      <c r="Q8047" s="99"/>
      <c r="R8047" s="99"/>
    </row>
    <row r="8048" spans="5:18" s="65" customFormat="1">
      <c r="E8048" s="130"/>
      <c r="P8048" s="99"/>
      <c r="Q8048" s="99"/>
      <c r="R8048" s="99"/>
    </row>
    <row r="8049" spans="5:18" s="65" customFormat="1">
      <c r="E8049" s="130"/>
      <c r="P8049" s="99"/>
      <c r="Q8049" s="99"/>
      <c r="R8049" s="99"/>
    </row>
    <row r="8050" spans="5:18" s="65" customFormat="1">
      <c r="E8050" s="130"/>
      <c r="P8050" s="99"/>
      <c r="Q8050" s="99"/>
      <c r="R8050" s="99"/>
    </row>
    <row r="8051" spans="5:18" s="65" customFormat="1">
      <c r="E8051" s="130"/>
      <c r="P8051" s="99"/>
      <c r="Q8051" s="99"/>
      <c r="R8051" s="99"/>
    </row>
    <row r="8052" spans="5:18" s="65" customFormat="1">
      <c r="E8052" s="130"/>
      <c r="P8052" s="99"/>
      <c r="Q8052" s="99"/>
      <c r="R8052" s="99"/>
    </row>
    <row r="8053" spans="5:18" s="65" customFormat="1">
      <c r="E8053" s="130"/>
      <c r="P8053" s="99"/>
      <c r="Q8053" s="99"/>
      <c r="R8053" s="99"/>
    </row>
    <row r="8054" spans="5:18" s="65" customFormat="1">
      <c r="E8054" s="130"/>
      <c r="P8054" s="99"/>
      <c r="Q8054" s="99"/>
      <c r="R8054" s="99"/>
    </row>
    <row r="8055" spans="5:18" s="65" customFormat="1">
      <c r="E8055" s="130"/>
      <c r="P8055" s="99"/>
      <c r="Q8055" s="99"/>
      <c r="R8055" s="99"/>
    </row>
    <row r="8056" spans="5:18" s="65" customFormat="1">
      <c r="E8056" s="130"/>
      <c r="P8056" s="99"/>
      <c r="Q8056" s="99"/>
      <c r="R8056" s="99"/>
    </row>
    <row r="8057" spans="5:18" s="65" customFormat="1">
      <c r="E8057" s="130"/>
      <c r="P8057" s="99"/>
      <c r="Q8057" s="99"/>
      <c r="R8057" s="99"/>
    </row>
    <row r="8058" spans="5:18" s="65" customFormat="1">
      <c r="E8058" s="130"/>
      <c r="P8058" s="99"/>
      <c r="Q8058" s="99"/>
      <c r="R8058" s="99"/>
    </row>
    <row r="8059" spans="5:18" s="65" customFormat="1">
      <c r="E8059" s="130"/>
      <c r="P8059" s="99"/>
      <c r="Q8059" s="99"/>
      <c r="R8059" s="99"/>
    </row>
    <row r="8060" spans="5:18" s="65" customFormat="1">
      <c r="E8060" s="130"/>
      <c r="P8060" s="99"/>
      <c r="Q8060" s="99"/>
      <c r="R8060" s="99"/>
    </row>
    <row r="8061" spans="5:18" s="65" customFormat="1">
      <c r="E8061" s="130"/>
      <c r="P8061" s="99"/>
      <c r="Q8061" s="99"/>
      <c r="R8061" s="99"/>
    </row>
    <row r="8062" spans="5:18" s="65" customFormat="1">
      <c r="E8062" s="130"/>
      <c r="P8062" s="99"/>
      <c r="Q8062" s="99"/>
      <c r="R8062" s="99"/>
    </row>
    <row r="8063" spans="5:18" s="65" customFormat="1">
      <c r="E8063" s="130"/>
      <c r="P8063" s="99"/>
      <c r="Q8063" s="99"/>
      <c r="R8063" s="99"/>
    </row>
    <row r="8064" spans="5:18" s="65" customFormat="1">
      <c r="E8064" s="130"/>
      <c r="P8064" s="99"/>
      <c r="Q8064" s="99"/>
      <c r="R8064" s="99"/>
    </row>
    <row r="8065" spans="5:18" s="65" customFormat="1">
      <c r="E8065" s="130"/>
      <c r="P8065" s="99"/>
      <c r="Q8065" s="99"/>
      <c r="R8065" s="99"/>
    </row>
    <row r="8066" spans="5:18" s="65" customFormat="1">
      <c r="E8066" s="130"/>
      <c r="P8066" s="99"/>
      <c r="Q8066" s="99"/>
      <c r="R8066" s="99"/>
    </row>
    <row r="8067" spans="5:18" s="65" customFormat="1">
      <c r="E8067" s="130"/>
      <c r="P8067" s="99"/>
      <c r="Q8067" s="99"/>
      <c r="R8067" s="99"/>
    </row>
    <row r="8068" spans="5:18" s="65" customFormat="1">
      <c r="E8068" s="130"/>
      <c r="P8068" s="99"/>
      <c r="Q8068" s="99"/>
      <c r="R8068" s="99"/>
    </row>
    <row r="8069" spans="5:18" s="65" customFormat="1">
      <c r="E8069" s="130"/>
      <c r="P8069" s="99"/>
      <c r="Q8069" s="99"/>
      <c r="R8069" s="99"/>
    </row>
    <row r="8070" spans="5:18" s="65" customFormat="1">
      <c r="E8070" s="130"/>
      <c r="P8070" s="99"/>
      <c r="Q8070" s="99"/>
      <c r="R8070" s="99"/>
    </row>
    <row r="8071" spans="5:18" s="65" customFormat="1">
      <c r="E8071" s="130"/>
      <c r="P8071" s="99"/>
      <c r="Q8071" s="99"/>
      <c r="R8071" s="99"/>
    </row>
    <row r="8072" spans="5:18" s="65" customFormat="1">
      <c r="E8072" s="130"/>
      <c r="P8072" s="99"/>
      <c r="Q8072" s="99"/>
      <c r="R8072" s="99"/>
    </row>
    <row r="8073" spans="5:18" s="65" customFormat="1">
      <c r="E8073" s="130"/>
      <c r="P8073" s="99"/>
      <c r="Q8073" s="99"/>
      <c r="R8073" s="99"/>
    </row>
    <row r="8074" spans="5:18" s="65" customFormat="1">
      <c r="E8074" s="130"/>
      <c r="P8074" s="99"/>
      <c r="Q8074" s="99"/>
      <c r="R8074" s="99"/>
    </row>
    <row r="8075" spans="5:18" s="65" customFormat="1">
      <c r="E8075" s="130"/>
      <c r="P8075" s="99"/>
      <c r="Q8075" s="99"/>
      <c r="R8075" s="99"/>
    </row>
    <row r="8076" spans="5:18" s="65" customFormat="1">
      <c r="E8076" s="130"/>
      <c r="P8076" s="99"/>
      <c r="Q8076" s="99"/>
      <c r="R8076" s="99"/>
    </row>
    <row r="8077" spans="5:18" s="65" customFormat="1">
      <c r="E8077" s="130"/>
      <c r="P8077" s="99"/>
      <c r="Q8077" s="99"/>
      <c r="R8077" s="99"/>
    </row>
    <row r="8078" spans="5:18" s="65" customFormat="1">
      <c r="E8078" s="130"/>
      <c r="P8078" s="99"/>
      <c r="Q8078" s="99"/>
      <c r="R8078" s="99"/>
    </row>
    <row r="8079" spans="5:18" s="65" customFormat="1">
      <c r="E8079" s="130"/>
      <c r="P8079" s="99"/>
      <c r="Q8079" s="99"/>
      <c r="R8079" s="99"/>
    </row>
    <row r="8080" spans="5:18" s="65" customFormat="1">
      <c r="E8080" s="130"/>
      <c r="P8080" s="99"/>
      <c r="Q8080" s="99"/>
      <c r="R8080" s="99"/>
    </row>
    <row r="8081" spans="5:18" s="65" customFormat="1">
      <c r="E8081" s="130"/>
      <c r="P8081" s="99"/>
      <c r="Q8081" s="99"/>
      <c r="R8081" s="99"/>
    </row>
    <row r="8082" spans="5:18" s="65" customFormat="1">
      <c r="E8082" s="130"/>
      <c r="P8082" s="99"/>
      <c r="Q8082" s="99"/>
      <c r="R8082" s="99"/>
    </row>
    <row r="8083" spans="5:18" s="65" customFormat="1">
      <c r="E8083" s="130"/>
      <c r="P8083" s="99"/>
      <c r="Q8083" s="99"/>
      <c r="R8083" s="99"/>
    </row>
    <row r="8084" spans="5:18" s="65" customFormat="1">
      <c r="E8084" s="130"/>
      <c r="P8084" s="99"/>
      <c r="Q8084" s="99"/>
      <c r="R8084" s="99"/>
    </row>
    <row r="8085" spans="5:18" s="65" customFormat="1">
      <c r="E8085" s="130"/>
      <c r="P8085" s="99"/>
      <c r="Q8085" s="99"/>
      <c r="R8085" s="99"/>
    </row>
    <row r="8086" spans="5:18" s="65" customFormat="1">
      <c r="E8086" s="130"/>
      <c r="P8086" s="99"/>
      <c r="Q8086" s="99"/>
      <c r="R8086" s="99"/>
    </row>
    <row r="8087" spans="5:18" s="65" customFormat="1">
      <c r="E8087" s="130"/>
      <c r="P8087" s="99"/>
      <c r="Q8087" s="99"/>
      <c r="R8087" s="99"/>
    </row>
    <row r="8088" spans="5:18" s="65" customFormat="1">
      <c r="E8088" s="130"/>
      <c r="P8088" s="99"/>
      <c r="Q8088" s="99"/>
      <c r="R8088" s="99"/>
    </row>
    <row r="8089" spans="5:18" s="65" customFormat="1">
      <c r="E8089" s="130"/>
      <c r="P8089" s="99"/>
      <c r="Q8089" s="99"/>
      <c r="R8089" s="99"/>
    </row>
    <row r="8090" spans="5:18" s="65" customFormat="1">
      <c r="E8090" s="130"/>
      <c r="P8090" s="99"/>
      <c r="Q8090" s="99"/>
      <c r="R8090" s="99"/>
    </row>
    <row r="8091" spans="5:18" s="65" customFormat="1">
      <c r="E8091" s="130"/>
      <c r="P8091" s="99"/>
      <c r="Q8091" s="99"/>
      <c r="R8091" s="99"/>
    </row>
    <row r="8092" spans="5:18" s="65" customFormat="1">
      <c r="E8092" s="130"/>
      <c r="P8092" s="99"/>
      <c r="Q8092" s="99"/>
      <c r="R8092" s="99"/>
    </row>
    <row r="8093" spans="5:18" s="65" customFormat="1">
      <c r="E8093" s="130"/>
      <c r="P8093" s="99"/>
      <c r="Q8093" s="99"/>
      <c r="R8093" s="99"/>
    </row>
    <row r="8094" spans="5:18" s="65" customFormat="1">
      <c r="E8094" s="130"/>
      <c r="P8094" s="99"/>
      <c r="Q8094" s="99"/>
      <c r="R8094" s="99"/>
    </row>
    <row r="8095" spans="5:18" s="65" customFormat="1">
      <c r="E8095" s="130"/>
      <c r="P8095" s="99"/>
      <c r="Q8095" s="99"/>
      <c r="R8095" s="99"/>
    </row>
    <row r="8096" spans="5:18" s="65" customFormat="1">
      <c r="E8096" s="130"/>
      <c r="P8096" s="99"/>
      <c r="Q8096" s="99"/>
      <c r="R8096" s="99"/>
    </row>
    <row r="8097" spans="5:18" s="65" customFormat="1">
      <c r="E8097" s="130"/>
      <c r="P8097" s="99"/>
      <c r="Q8097" s="99"/>
      <c r="R8097" s="99"/>
    </row>
    <row r="8098" spans="5:18" s="65" customFormat="1">
      <c r="E8098" s="130"/>
      <c r="P8098" s="99"/>
      <c r="Q8098" s="99"/>
      <c r="R8098" s="99"/>
    </row>
    <row r="8099" spans="5:18" s="65" customFormat="1">
      <c r="E8099" s="130"/>
      <c r="P8099" s="99"/>
      <c r="Q8099" s="99"/>
      <c r="R8099" s="99"/>
    </row>
    <row r="8100" spans="5:18" s="65" customFormat="1">
      <c r="E8100" s="130"/>
      <c r="P8100" s="99"/>
      <c r="Q8100" s="99"/>
      <c r="R8100" s="99"/>
    </row>
    <row r="8101" spans="5:18" s="65" customFormat="1">
      <c r="E8101" s="130"/>
      <c r="P8101" s="99"/>
      <c r="Q8101" s="99"/>
      <c r="R8101" s="99"/>
    </row>
    <row r="8102" spans="5:18" s="65" customFormat="1">
      <c r="E8102" s="130"/>
      <c r="P8102" s="99"/>
      <c r="Q8102" s="99"/>
      <c r="R8102" s="99"/>
    </row>
    <row r="8103" spans="5:18" s="65" customFormat="1">
      <c r="E8103" s="130"/>
      <c r="P8103" s="99"/>
      <c r="Q8103" s="99"/>
      <c r="R8103" s="99"/>
    </row>
    <row r="8104" spans="5:18" s="65" customFormat="1">
      <c r="E8104" s="130"/>
      <c r="P8104" s="99"/>
      <c r="Q8104" s="99"/>
      <c r="R8104" s="99"/>
    </row>
    <row r="8105" spans="5:18" s="65" customFormat="1">
      <c r="E8105" s="130"/>
      <c r="P8105" s="99"/>
      <c r="Q8105" s="99"/>
      <c r="R8105" s="99"/>
    </row>
    <row r="8106" spans="5:18" s="65" customFormat="1">
      <c r="E8106" s="130"/>
      <c r="P8106" s="99"/>
      <c r="Q8106" s="99"/>
      <c r="R8106" s="99"/>
    </row>
    <row r="8107" spans="5:18" s="65" customFormat="1">
      <c r="E8107" s="130"/>
      <c r="P8107" s="99"/>
      <c r="Q8107" s="99"/>
      <c r="R8107" s="99"/>
    </row>
    <row r="8108" spans="5:18" s="65" customFormat="1">
      <c r="E8108" s="130"/>
      <c r="P8108" s="99"/>
      <c r="Q8108" s="99"/>
      <c r="R8108" s="99"/>
    </row>
    <row r="8109" spans="5:18" s="65" customFormat="1">
      <c r="E8109" s="130"/>
      <c r="P8109" s="99"/>
      <c r="Q8109" s="99"/>
      <c r="R8109" s="99"/>
    </row>
    <row r="8110" spans="5:18" s="65" customFormat="1">
      <c r="E8110" s="130"/>
      <c r="P8110" s="99"/>
      <c r="Q8110" s="99"/>
      <c r="R8110" s="99"/>
    </row>
    <row r="8111" spans="5:18" s="65" customFormat="1">
      <c r="E8111" s="130"/>
      <c r="P8111" s="99"/>
      <c r="Q8111" s="99"/>
      <c r="R8111" s="99"/>
    </row>
    <row r="8112" spans="5:18" s="65" customFormat="1">
      <c r="E8112" s="130"/>
      <c r="P8112" s="99"/>
      <c r="Q8112" s="99"/>
      <c r="R8112" s="99"/>
    </row>
    <row r="8113" spans="5:18" s="65" customFormat="1">
      <c r="E8113" s="130"/>
      <c r="P8113" s="99"/>
      <c r="Q8113" s="99"/>
      <c r="R8113" s="99"/>
    </row>
    <row r="8114" spans="5:18" s="65" customFormat="1">
      <c r="E8114" s="130"/>
      <c r="P8114" s="99"/>
      <c r="Q8114" s="99"/>
      <c r="R8114" s="99"/>
    </row>
    <row r="8115" spans="5:18" s="65" customFormat="1">
      <c r="E8115" s="130"/>
      <c r="P8115" s="99"/>
      <c r="Q8115" s="99"/>
      <c r="R8115" s="99"/>
    </row>
    <row r="8116" spans="5:18" s="65" customFormat="1">
      <c r="E8116" s="130"/>
      <c r="P8116" s="99"/>
      <c r="Q8116" s="99"/>
      <c r="R8116" s="99"/>
    </row>
    <row r="8117" spans="5:18" s="65" customFormat="1">
      <c r="E8117" s="130"/>
      <c r="P8117" s="99"/>
      <c r="Q8117" s="99"/>
      <c r="R8117" s="99"/>
    </row>
    <row r="8118" spans="5:18" s="65" customFormat="1">
      <c r="E8118" s="130"/>
      <c r="P8118" s="99"/>
      <c r="Q8118" s="99"/>
      <c r="R8118" s="99"/>
    </row>
    <row r="8119" spans="5:18" s="65" customFormat="1">
      <c r="E8119" s="130"/>
      <c r="P8119" s="99"/>
      <c r="Q8119" s="99"/>
      <c r="R8119" s="99"/>
    </row>
    <row r="8120" spans="5:18" s="65" customFormat="1">
      <c r="E8120" s="130"/>
      <c r="P8120" s="99"/>
      <c r="Q8120" s="99"/>
      <c r="R8120" s="99"/>
    </row>
    <row r="8121" spans="5:18" s="65" customFormat="1">
      <c r="E8121" s="130"/>
      <c r="P8121" s="99"/>
      <c r="Q8121" s="99"/>
      <c r="R8121" s="99"/>
    </row>
    <row r="8122" spans="5:18" s="65" customFormat="1">
      <c r="E8122" s="130"/>
      <c r="P8122" s="99"/>
      <c r="Q8122" s="99"/>
      <c r="R8122" s="99"/>
    </row>
    <row r="8123" spans="5:18" s="65" customFormat="1">
      <c r="E8123" s="130"/>
      <c r="P8123" s="99"/>
      <c r="Q8123" s="99"/>
      <c r="R8123" s="99"/>
    </row>
    <row r="8124" spans="5:18" s="65" customFormat="1">
      <c r="E8124" s="130"/>
      <c r="P8124" s="99"/>
      <c r="Q8124" s="99"/>
      <c r="R8124" s="99"/>
    </row>
    <row r="8125" spans="5:18" s="65" customFormat="1">
      <c r="E8125" s="130"/>
      <c r="P8125" s="99"/>
      <c r="Q8125" s="99"/>
      <c r="R8125" s="99"/>
    </row>
    <row r="8126" spans="5:18" s="65" customFormat="1">
      <c r="E8126" s="130"/>
      <c r="P8126" s="99"/>
      <c r="Q8126" s="99"/>
      <c r="R8126" s="99"/>
    </row>
    <row r="8127" spans="5:18" s="65" customFormat="1">
      <c r="E8127" s="130"/>
      <c r="P8127" s="99"/>
      <c r="Q8127" s="99"/>
      <c r="R8127" s="99"/>
    </row>
    <row r="8128" spans="5:18" s="65" customFormat="1">
      <c r="E8128" s="130"/>
      <c r="P8128" s="99"/>
      <c r="Q8128" s="99"/>
      <c r="R8128" s="99"/>
    </row>
    <row r="8129" spans="5:18" s="65" customFormat="1">
      <c r="E8129" s="130"/>
      <c r="P8129" s="99"/>
      <c r="Q8129" s="99"/>
      <c r="R8129" s="99"/>
    </row>
    <row r="8130" spans="5:18" s="65" customFormat="1">
      <c r="E8130" s="130"/>
      <c r="P8130" s="99"/>
      <c r="Q8130" s="99"/>
      <c r="R8130" s="99"/>
    </row>
    <row r="8131" spans="5:18" s="65" customFormat="1">
      <c r="E8131" s="130"/>
      <c r="P8131" s="99"/>
      <c r="Q8131" s="99"/>
      <c r="R8131" s="99"/>
    </row>
    <row r="8132" spans="5:18" s="65" customFormat="1">
      <c r="E8132" s="130"/>
      <c r="P8132" s="99"/>
      <c r="Q8132" s="99"/>
      <c r="R8132" s="99"/>
    </row>
    <row r="8133" spans="5:18" s="65" customFormat="1">
      <c r="E8133" s="130"/>
      <c r="P8133" s="99"/>
      <c r="Q8133" s="99"/>
      <c r="R8133" s="99"/>
    </row>
    <row r="8134" spans="5:18" s="65" customFormat="1">
      <c r="E8134" s="130"/>
      <c r="P8134" s="99"/>
      <c r="Q8134" s="99"/>
      <c r="R8134" s="99"/>
    </row>
    <row r="8135" spans="5:18" s="65" customFormat="1">
      <c r="E8135" s="130"/>
      <c r="P8135" s="99"/>
      <c r="Q8135" s="99"/>
      <c r="R8135" s="99"/>
    </row>
    <row r="8136" spans="5:18" s="65" customFormat="1">
      <c r="E8136" s="130"/>
      <c r="P8136" s="99"/>
      <c r="Q8136" s="99"/>
      <c r="R8136" s="99"/>
    </row>
    <row r="8137" spans="5:18" s="65" customFormat="1">
      <c r="E8137" s="130"/>
      <c r="P8137" s="99"/>
      <c r="Q8137" s="99"/>
      <c r="R8137" s="99"/>
    </row>
    <row r="8138" spans="5:18" s="65" customFormat="1">
      <c r="E8138" s="130"/>
      <c r="P8138" s="99"/>
      <c r="Q8138" s="99"/>
      <c r="R8138" s="99"/>
    </row>
    <row r="8139" spans="5:18" s="65" customFormat="1">
      <c r="E8139" s="130"/>
      <c r="P8139" s="99"/>
      <c r="Q8139" s="99"/>
      <c r="R8139" s="99"/>
    </row>
    <row r="8140" spans="5:18" s="65" customFormat="1">
      <c r="E8140" s="130"/>
      <c r="P8140" s="99"/>
      <c r="Q8140" s="99"/>
      <c r="R8140" s="99"/>
    </row>
    <row r="8141" spans="5:18" s="65" customFormat="1">
      <c r="E8141" s="130"/>
      <c r="P8141" s="99"/>
      <c r="Q8141" s="99"/>
      <c r="R8141" s="99"/>
    </row>
    <row r="8142" spans="5:18" s="65" customFormat="1">
      <c r="E8142" s="130"/>
      <c r="P8142" s="99"/>
      <c r="Q8142" s="99"/>
      <c r="R8142" s="99"/>
    </row>
    <row r="8143" spans="5:18" s="65" customFormat="1">
      <c r="E8143" s="130"/>
      <c r="P8143" s="99"/>
      <c r="Q8143" s="99"/>
      <c r="R8143" s="99"/>
    </row>
    <row r="8144" spans="5:18" s="65" customFormat="1">
      <c r="E8144" s="130"/>
      <c r="P8144" s="99"/>
      <c r="Q8144" s="99"/>
      <c r="R8144" s="99"/>
    </row>
    <row r="8145" spans="5:18" s="65" customFormat="1">
      <c r="E8145" s="130"/>
      <c r="P8145" s="99"/>
      <c r="Q8145" s="99"/>
      <c r="R8145" s="99"/>
    </row>
    <row r="8146" spans="5:18" s="65" customFormat="1">
      <c r="E8146" s="130"/>
      <c r="P8146" s="99"/>
      <c r="Q8146" s="99"/>
      <c r="R8146" s="99"/>
    </row>
    <row r="8147" spans="5:18" s="65" customFormat="1">
      <c r="E8147" s="130"/>
      <c r="P8147" s="99"/>
      <c r="Q8147" s="99"/>
      <c r="R8147" s="99"/>
    </row>
    <row r="8148" spans="5:18" s="65" customFormat="1">
      <c r="E8148" s="130"/>
      <c r="P8148" s="99"/>
      <c r="Q8148" s="99"/>
      <c r="R8148" s="99"/>
    </row>
    <row r="8149" spans="5:18" s="65" customFormat="1">
      <c r="E8149" s="130"/>
      <c r="P8149" s="99"/>
      <c r="Q8149" s="99"/>
      <c r="R8149" s="99"/>
    </row>
    <row r="8150" spans="5:18" s="65" customFormat="1">
      <c r="E8150" s="130"/>
      <c r="P8150" s="99"/>
      <c r="Q8150" s="99"/>
      <c r="R8150" s="99"/>
    </row>
    <row r="8151" spans="5:18" s="65" customFormat="1">
      <c r="E8151" s="130"/>
      <c r="P8151" s="99"/>
      <c r="Q8151" s="99"/>
      <c r="R8151" s="99"/>
    </row>
    <row r="8152" spans="5:18" s="65" customFormat="1">
      <c r="E8152" s="130"/>
      <c r="P8152" s="99"/>
      <c r="Q8152" s="99"/>
      <c r="R8152" s="99"/>
    </row>
    <row r="8153" spans="5:18" s="65" customFormat="1">
      <c r="E8153" s="130"/>
      <c r="P8153" s="99"/>
      <c r="Q8153" s="99"/>
      <c r="R8153" s="99"/>
    </row>
    <row r="8154" spans="5:18" s="65" customFormat="1">
      <c r="E8154" s="130"/>
      <c r="P8154" s="99"/>
      <c r="Q8154" s="99"/>
      <c r="R8154" s="99"/>
    </row>
    <row r="8155" spans="5:18" s="65" customFormat="1">
      <c r="E8155" s="130"/>
      <c r="P8155" s="99"/>
      <c r="Q8155" s="99"/>
      <c r="R8155" s="99"/>
    </row>
    <row r="8156" spans="5:18" s="65" customFormat="1">
      <c r="E8156" s="130"/>
      <c r="P8156" s="99"/>
      <c r="Q8156" s="99"/>
      <c r="R8156" s="99"/>
    </row>
    <row r="8157" spans="5:18" s="65" customFormat="1">
      <c r="E8157" s="130"/>
      <c r="P8157" s="99"/>
      <c r="Q8157" s="99"/>
      <c r="R8157" s="99"/>
    </row>
    <row r="8158" spans="5:18" s="65" customFormat="1">
      <c r="E8158" s="130"/>
      <c r="P8158" s="99"/>
      <c r="Q8158" s="99"/>
      <c r="R8158" s="99"/>
    </row>
    <row r="8159" spans="5:18" s="65" customFormat="1">
      <c r="E8159" s="130"/>
      <c r="P8159" s="99"/>
      <c r="Q8159" s="99"/>
      <c r="R8159" s="99"/>
    </row>
    <row r="8160" spans="5:18" s="65" customFormat="1">
      <c r="E8160" s="130"/>
      <c r="P8160" s="99"/>
      <c r="Q8160" s="99"/>
      <c r="R8160" s="99"/>
    </row>
    <row r="8161" spans="5:18" s="65" customFormat="1">
      <c r="E8161" s="130"/>
      <c r="P8161" s="99"/>
      <c r="Q8161" s="99"/>
      <c r="R8161" s="99"/>
    </row>
    <row r="8162" spans="5:18" s="65" customFormat="1">
      <c r="E8162" s="130"/>
      <c r="P8162" s="99"/>
      <c r="Q8162" s="99"/>
      <c r="R8162" s="99"/>
    </row>
    <row r="8163" spans="5:18" s="65" customFormat="1">
      <c r="E8163" s="130"/>
      <c r="P8163" s="99"/>
      <c r="Q8163" s="99"/>
      <c r="R8163" s="99"/>
    </row>
    <row r="8164" spans="5:18" s="65" customFormat="1">
      <c r="E8164" s="130"/>
      <c r="P8164" s="99"/>
      <c r="Q8164" s="99"/>
      <c r="R8164" s="99"/>
    </row>
    <row r="8165" spans="5:18" s="65" customFormat="1">
      <c r="E8165" s="130"/>
      <c r="P8165" s="99"/>
      <c r="Q8165" s="99"/>
      <c r="R8165" s="99"/>
    </row>
    <row r="8166" spans="5:18" s="65" customFormat="1">
      <c r="E8166" s="130"/>
      <c r="P8166" s="99"/>
      <c r="Q8166" s="99"/>
      <c r="R8166" s="99"/>
    </row>
    <row r="8167" spans="5:18" s="65" customFormat="1">
      <c r="E8167" s="130"/>
      <c r="P8167" s="99"/>
      <c r="Q8167" s="99"/>
      <c r="R8167" s="99"/>
    </row>
    <row r="8168" spans="5:18" s="65" customFormat="1">
      <c r="E8168" s="130"/>
      <c r="P8168" s="99"/>
      <c r="Q8168" s="99"/>
      <c r="R8168" s="99"/>
    </row>
    <row r="8169" spans="5:18" s="65" customFormat="1">
      <c r="E8169" s="130"/>
      <c r="P8169" s="99"/>
      <c r="Q8169" s="99"/>
      <c r="R8169" s="99"/>
    </row>
    <row r="8170" spans="5:18" s="65" customFormat="1">
      <c r="E8170" s="130"/>
      <c r="P8170" s="99"/>
      <c r="Q8170" s="99"/>
      <c r="R8170" s="99"/>
    </row>
    <row r="8171" spans="5:18" s="65" customFormat="1">
      <c r="E8171" s="130"/>
      <c r="P8171" s="99"/>
      <c r="Q8171" s="99"/>
      <c r="R8171" s="99"/>
    </row>
    <row r="8172" spans="5:18" s="65" customFormat="1">
      <c r="E8172" s="130"/>
      <c r="P8172" s="99"/>
      <c r="Q8172" s="99"/>
      <c r="R8172" s="99"/>
    </row>
    <row r="8173" spans="5:18" s="65" customFormat="1">
      <c r="E8173" s="130"/>
      <c r="P8173" s="99"/>
      <c r="Q8173" s="99"/>
      <c r="R8173" s="99"/>
    </row>
    <row r="8174" spans="5:18" s="65" customFormat="1">
      <c r="E8174" s="130"/>
      <c r="P8174" s="99"/>
      <c r="Q8174" s="99"/>
      <c r="R8174" s="99"/>
    </row>
    <row r="8175" spans="5:18" s="65" customFormat="1">
      <c r="E8175" s="130"/>
      <c r="P8175" s="99"/>
      <c r="Q8175" s="99"/>
      <c r="R8175" s="99"/>
    </row>
    <row r="8176" spans="5:18" s="65" customFormat="1">
      <c r="E8176" s="130"/>
      <c r="P8176" s="99"/>
      <c r="Q8176" s="99"/>
      <c r="R8176" s="99"/>
    </row>
    <row r="8177" spans="5:18" s="65" customFormat="1">
      <c r="E8177" s="130"/>
      <c r="P8177" s="99"/>
      <c r="Q8177" s="99"/>
      <c r="R8177" s="99"/>
    </row>
    <row r="8178" spans="5:18" s="65" customFormat="1">
      <c r="E8178" s="130"/>
      <c r="P8178" s="99"/>
      <c r="Q8178" s="99"/>
      <c r="R8178" s="99"/>
    </row>
    <row r="8179" spans="5:18" s="65" customFormat="1">
      <c r="E8179" s="130"/>
      <c r="P8179" s="99"/>
      <c r="Q8179" s="99"/>
      <c r="R8179" s="99"/>
    </row>
    <row r="8180" spans="5:18" s="65" customFormat="1">
      <c r="E8180" s="130"/>
      <c r="P8180" s="99"/>
      <c r="Q8180" s="99"/>
      <c r="R8180" s="99"/>
    </row>
    <row r="8181" spans="5:18" s="65" customFormat="1">
      <c r="E8181" s="130"/>
      <c r="P8181" s="99"/>
      <c r="Q8181" s="99"/>
      <c r="R8181" s="99"/>
    </row>
    <row r="8182" spans="5:18" s="65" customFormat="1">
      <c r="E8182" s="130"/>
      <c r="P8182" s="99"/>
      <c r="Q8182" s="99"/>
      <c r="R8182" s="99"/>
    </row>
    <row r="8183" spans="5:18" s="65" customFormat="1">
      <c r="E8183" s="130"/>
      <c r="P8183" s="99"/>
      <c r="Q8183" s="99"/>
      <c r="R8183" s="99"/>
    </row>
    <row r="8184" spans="5:18" s="65" customFormat="1">
      <c r="E8184" s="130"/>
      <c r="P8184" s="99"/>
      <c r="Q8184" s="99"/>
      <c r="R8184" s="99"/>
    </row>
    <row r="8185" spans="5:18" s="65" customFormat="1">
      <c r="E8185" s="130"/>
      <c r="P8185" s="99"/>
      <c r="Q8185" s="99"/>
      <c r="R8185" s="99"/>
    </row>
    <row r="8186" spans="5:18" s="65" customFormat="1">
      <c r="E8186" s="130"/>
      <c r="P8186" s="99"/>
      <c r="Q8186" s="99"/>
      <c r="R8186" s="99"/>
    </row>
    <row r="8187" spans="5:18" s="65" customFormat="1">
      <c r="E8187" s="130"/>
      <c r="P8187" s="99"/>
      <c r="Q8187" s="99"/>
      <c r="R8187" s="99"/>
    </row>
    <row r="8188" spans="5:18" s="65" customFormat="1">
      <c r="E8188" s="130"/>
      <c r="P8188" s="99"/>
      <c r="Q8188" s="99"/>
      <c r="R8188" s="99"/>
    </row>
    <row r="8189" spans="5:18" s="65" customFormat="1">
      <c r="E8189" s="130"/>
      <c r="P8189" s="99"/>
      <c r="Q8189" s="99"/>
      <c r="R8189" s="99"/>
    </row>
    <row r="8190" spans="5:18" s="65" customFormat="1">
      <c r="E8190" s="130"/>
      <c r="P8190" s="99"/>
      <c r="Q8190" s="99"/>
      <c r="R8190" s="99"/>
    </row>
    <row r="8191" spans="5:18" s="65" customFormat="1">
      <c r="E8191" s="130"/>
      <c r="P8191" s="99"/>
      <c r="Q8191" s="99"/>
      <c r="R8191" s="99"/>
    </row>
    <row r="8192" spans="5:18" s="65" customFormat="1">
      <c r="E8192" s="130"/>
      <c r="P8192" s="99"/>
      <c r="Q8192" s="99"/>
      <c r="R8192" s="99"/>
    </row>
    <row r="8193" spans="5:18" s="65" customFormat="1">
      <c r="E8193" s="130"/>
      <c r="P8193" s="99"/>
      <c r="Q8193" s="99"/>
      <c r="R8193" s="99"/>
    </row>
    <row r="8194" spans="5:18" s="65" customFormat="1">
      <c r="E8194" s="130"/>
      <c r="P8194" s="99"/>
      <c r="Q8194" s="99"/>
      <c r="R8194" s="99"/>
    </row>
    <row r="8195" spans="5:18" s="65" customFormat="1">
      <c r="E8195" s="130"/>
      <c r="P8195" s="99"/>
      <c r="Q8195" s="99"/>
      <c r="R8195" s="99"/>
    </row>
    <row r="8196" spans="5:18" s="65" customFormat="1">
      <c r="E8196" s="130"/>
      <c r="P8196" s="99"/>
      <c r="Q8196" s="99"/>
      <c r="R8196" s="99"/>
    </row>
    <row r="8197" spans="5:18" s="65" customFormat="1">
      <c r="E8197" s="130"/>
      <c r="P8197" s="99"/>
      <c r="Q8197" s="99"/>
      <c r="R8197" s="99"/>
    </row>
    <row r="8198" spans="5:18" s="65" customFormat="1">
      <c r="E8198" s="130"/>
      <c r="P8198" s="99"/>
      <c r="Q8198" s="99"/>
      <c r="R8198" s="99"/>
    </row>
    <row r="8199" spans="5:18" s="65" customFormat="1">
      <c r="E8199" s="130"/>
      <c r="P8199" s="99"/>
      <c r="Q8199" s="99"/>
      <c r="R8199" s="99"/>
    </row>
    <row r="8200" spans="5:18" s="65" customFormat="1">
      <c r="E8200" s="130"/>
      <c r="P8200" s="99"/>
      <c r="Q8200" s="99"/>
      <c r="R8200" s="99"/>
    </row>
    <row r="8201" spans="5:18" s="65" customFormat="1">
      <c r="E8201" s="130"/>
      <c r="P8201" s="99"/>
      <c r="Q8201" s="99"/>
      <c r="R8201" s="99"/>
    </row>
    <row r="8202" spans="5:18" s="65" customFormat="1">
      <c r="E8202" s="130"/>
      <c r="P8202" s="99"/>
      <c r="Q8202" s="99"/>
      <c r="R8202" s="99"/>
    </row>
    <row r="8203" spans="5:18" s="65" customFormat="1">
      <c r="E8203" s="130"/>
      <c r="P8203" s="99"/>
      <c r="Q8203" s="99"/>
      <c r="R8203" s="99"/>
    </row>
    <row r="8204" spans="5:18" s="65" customFormat="1">
      <c r="E8204" s="130"/>
      <c r="P8204" s="99"/>
      <c r="Q8204" s="99"/>
      <c r="R8204" s="99"/>
    </row>
    <row r="8205" spans="5:18" s="65" customFormat="1">
      <c r="E8205" s="130"/>
      <c r="P8205" s="99"/>
      <c r="Q8205" s="99"/>
      <c r="R8205" s="99"/>
    </row>
    <row r="8206" spans="5:18" s="65" customFormat="1">
      <c r="E8206" s="130"/>
      <c r="P8206" s="99"/>
      <c r="Q8206" s="99"/>
      <c r="R8206" s="99"/>
    </row>
    <row r="8207" spans="5:18" s="65" customFormat="1">
      <c r="E8207" s="130"/>
      <c r="P8207" s="99"/>
      <c r="Q8207" s="99"/>
      <c r="R8207" s="99"/>
    </row>
    <row r="8208" spans="5:18" s="65" customFormat="1">
      <c r="E8208" s="130"/>
      <c r="P8208" s="99"/>
      <c r="Q8208" s="99"/>
      <c r="R8208" s="99"/>
    </row>
    <row r="8209" spans="5:18" s="65" customFormat="1">
      <c r="E8209" s="130"/>
      <c r="P8209" s="99"/>
      <c r="Q8209" s="99"/>
      <c r="R8209" s="99"/>
    </row>
    <row r="8210" spans="5:18" s="65" customFormat="1">
      <c r="E8210" s="130"/>
      <c r="P8210" s="99"/>
      <c r="Q8210" s="99"/>
      <c r="R8210" s="99"/>
    </row>
    <row r="8211" spans="5:18" s="65" customFormat="1">
      <c r="E8211" s="130"/>
      <c r="P8211" s="99"/>
      <c r="Q8211" s="99"/>
      <c r="R8211" s="99"/>
    </row>
    <row r="8212" spans="5:18" s="65" customFormat="1">
      <c r="E8212" s="130"/>
      <c r="P8212" s="99"/>
      <c r="Q8212" s="99"/>
      <c r="R8212" s="99"/>
    </row>
    <row r="8213" spans="5:18" s="65" customFormat="1">
      <c r="E8213" s="130"/>
      <c r="P8213" s="99"/>
      <c r="Q8213" s="99"/>
      <c r="R8213" s="99"/>
    </row>
    <row r="8214" spans="5:18" s="65" customFormat="1">
      <c r="E8214" s="130"/>
      <c r="P8214" s="99"/>
      <c r="Q8214" s="99"/>
      <c r="R8214" s="99"/>
    </row>
    <row r="8215" spans="5:18" s="65" customFormat="1">
      <c r="E8215" s="130"/>
      <c r="P8215" s="99"/>
      <c r="Q8215" s="99"/>
      <c r="R8215" s="99"/>
    </row>
    <row r="8216" spans="5:18" s="65" customFormat="1">
      <c r="E8216" s="130"/>
      <c r="P8216" s="99"/>
      <c r="Q8216" s="99"/>
      <c r="R8216" s="99"/>
    </row>
    <row r="8217" spans="5:18" s="65" customFormat="1">
      <c r="E8217" s="130"/>
      <c r="P8217" s="99"/>
      <c r="Q8217" s="99"/>
      <c r="R8217" s="99"/>
    </row>
    <row r="8218" spans="5:18" s="65" customFormat="1">
      <c r="E8218" s="130"/>
      <c r="P8218" s="99"/>
      <c r="Q8218" s="99"/>
      <c r="R8218" s="99"/>
    </row>
    <row r="8219" spans="5:18" s="65" customFormat="1">
      <c r="E8219" s="130"/>
      <c r="P8219" s="99"/>
      <c r="Q8219" s="99"/>
      <c r="R8219" s="99"/>
    </row>
    <row r="8220" spans="5:18" s="65" customFormat="1">
      <c r="E8220" s="130"/>
      <c r="P8220" s="99"/>
      <c r="Q8220" s="99"/>
      <c r="R8220" s="99"/>
    </row>
    <row r="8221" spans="5:18" s="65" customFormat="1">
      <c r="E8221" s="130"/>
      <c r="P8221" s="99"/>
      <c r="Q8221" s="99"/>
      <c r="R8221" s="99"/>
    </row>
    <row r="8222" spans="5:18" s="65" customFormat="1">
      <c r="E8222" s="130"/>
      <c r="P8222" s="99"/>
      <c r="Q8222" s="99"/>
      <c r="R8222" s="99"/>
    </row>
    <row r="8223" spans="5:18" s="65" customFormat="1">
      <c r="E8223" s="130"/>
      <c r="P8223" s="99"/>
      <c r="Q8223" s="99"/>
      <c r="R8223" s="99"/>
    </row>
    <row r="8224" spans="5:18" s="65" customFormat="1">
      <c r="E8224" s="130"/>
      <c r="P8224" s="99"/>
      <c r="Q8224" s="99"/>
      <c r="R8224" s="99"/>
    </row>
    <row r="8225" spans="5:18" s="65" customFormat="1">
      <c r="E8225" s="130"/>
      <c r="P8225" s="99"/>
      <c r="Q8225" s="99"/>
      <c r="R8225" s="99"/>
    </row>
    <row r="8226" spans="5:18" s="65" customFormat="1">
      <c r="E8226" s="130"/>
      <c r="P8226" s="99"/>
      <c r="Q8226" s="99"/>
      <c r="R8226" s="99"/>
    </row>
    <row r="8227" spans="5:18" s="65" customFormat="1">
      <c r="E8227" s="130"/>
      <c r="P8227" s="99"/>
      <c r="Q8227" s="99"/>
      <c r="R8227" s="99"/>
    </row>
    <row r="8228" spans="5:18" s="65" customFormat="1">
      <c r="E8228" s="130"/>
      <c r="P8228" s="99"/>
      <c r="Q8228" s="99"/>
      <c r="R8228" s="99"/>
    </row>
    <row r="8229" spans="5:18" s="65" customFormat="1">
      <c r="E8229" s="130"/>
      <c r="P8229" s="99"/>
      <c r="Q8229" s="99"/>
      <c r="R8229" s="99"/>
    </row>
    <row r="8230" spans="5:18" s="65" customFormat="1">
      <c r="E8230" s="130"/>
      <c r="P8230" s="99"/>
      <c r="Q8230" s="99"/>
      <c r="R8230" s="99"/>
    </row>
    <row r="8231" spans="5:18" s="65" customFormat="1">
      <c r="E8231" s="130"/>
      <c r="P8231" s="99"/>
      <c r="Q8231" s="99"/>
      <c r="R8231" s="99"/>
    </row>
    <row r="8232" spans="5:18" s="65" customFormat="1">
      <c r="E8232" s="130"/>
      <c r="P8232" s="99"/>
      <c r="Q8232" s="99"/>
      <c r="R8232" s="99"/>
    </row>
    <row r="8233" spans="5:18" s="65" customFormat="1">
      <c r="E8233" s="130"/>
      <c r="P8233" s="99"/>
      <c r="Q8233" s="99"/>
      <c r="R8233" s="99"/>
    </row>
    <row r="8234" spans="5:18" s="65" customFormat="1">
      <c r="E8234" s="130"/>
      <c r="P8234" s="99"/>
      <c r="Q8234" s="99"/>
      <c r="R8234" s="99"/>
    </row>
    <row r="8235" spans="5:18" s="65" customFormat="1">
      <c r="E8235" s="130"/>
      <c r="P8235" s="99"/>
      <c r="Q8235" s="99"/>
      <c r="R8235" s="99"/>
    </row>
    <row r="8236" spans="5:18" s="65" customFormat="1">
      <c r="E8236" s="130"/>
      <c r="P8236" s="99"/>
      <c r="Q8236" s="99"/>
      <c r="R8236" s="99"/>
    </row>
    <row r="8237" spans="5:18" s="65" customFormat="1">
      <c r="E8237" s="130"/>
      <c r="P8237" s="99"/>
      <c r="Q8237" s="99"/>
      <c r="R8237" s="99"/>
    </row>
    <row r="8238" spans="5:18" s="65" customFormat="1">
      <c r="E8238" s="130"/>
      <c r="P8238" s="99"/>
      <c r="Q8238" s="99"/>
      <c r="R8238" s="99"/>
    </row>
    <row r="8239" spans="5:18" s="65" customFormat="1">
      <c r="E8239" s="130"/>
      <c r="P8239" s="99"/>
      <c r="Q8239" s="99"/>
      <c r="R8239" s="99"/>
    </row>
    <row r="8240" spans="5:18" s="65" customFormat="1">
      <c r="E8240" s="130"/>
      <c r="P8240" s="99"/>
      <c r="Q8240" s="99"/>
      <c r="R8240" s="99"/>
    </row>
    <row r="8241" spans="5:18" s="65" customFormat="1">
      <c r="E8241" s="130"/>
      <c r="P8241" s="99"/>
      <c r="Q8241" s="99"/>
      <c r="R8241" s="99"/>
    </row>
    <row r="8242" spans="5:18" s="65" customFormat="1">
      <c r="E8242" s="130"/>
      <c r="P8242" s="99"/>
      <c r="Q8242" s="99"/>
      <c r="R8242" s="99"/>
    </row>
    <row r="8243" spans="5:18" s="65" customFormat="1">
      <c r="E8243" s="130"/>
      <c r="P8243" s="99"/>
      <c r="Q8243" s="99"/>
      <c r="R8243" s="99"/>
    </row>
    <row r="8244" spans="5:18" s="65" customFormat="1">
      <c r="E8244" s="130"/>
      <c r="P8244" s="99"/>
      <c r="Q8244" s="99"/>
      <c r="R8244" s="99"/>
    </row>
    <row r="8245" spans="5:18" s="65" customFormat="1">
      <c r="E8245" s="130"/>
      <c r="P8245" s="99"/>
      <c r="Q8245" s="99"/>
      <c r="R8245" s="99"/>
    </row>
    <row r="8246" spans="5:18" s="65" customFormat="1">
      <c r="E8246" s="130"/>
      <c r="P8246" s="99"/>
      <c r="Q8246" s="99"/>
      <c r="R8246" s="99"/>
    </row>
    <row r="8247" spans="5:18" s="65" customFormat="1">
      <c r="E8247" s="130"/>
      <c r="P8247" s="99"/>
      <c r="Q8247" s="99"/>
      <c r="R8247" s="99"/>
    </row>
    <row r="8248" spans="5:18" s="65" customFormat="1">
      <c r="E8248" s="130"/>
      <c r="P8248" s="99"/>
      <c r="Q8248" s="99"/>
      <c r="R8248" s="99"/>
    </row>
    <row r="8249" spans="5:18" s="65" customFormat="1">
      <c r="E8249" s="130"/>
      <c r="P8249" s="99"/>
      <c r="Q8249" s="99"/>
      <c r="R8249" s="99"/>
    </row>
    <row r="8250" spans="5:18" s="65" customFormat="1">
      <c r="E8250" s="130"/>
      <c r="P8250" s="99"/>
      <c r="Q8250" s="99"/>
      <c r="R8250" s="99"/>
    </row>
    <row r="8251" spans="5:18" s="65" customFormat="1">
      <c r="E8251" s="130"/>
      <c r="P8251" s="99"/>
      <c r="Q8251" s="99"/>
      <c r="R8251" s="99"/>
    </row>
    <row r="8252" spans="5:18" s="65" customFormat="1">
      <c r="E8252" s="130"/>
      <c r="P8252" s="99"/>
      <c r="Q8252" s="99"/>
      <c r="R8252" s="99"/>
    </row>
    <row r="8253" spans="5:18" s="65" customFormat="1">
      <c r="E8253" s="130"/>
      <c r="P8253" s="99"/>
      <c r="Q8253" s="99"/>
      <c r="R8253" s="99"/>
    </row>
    <row r="8254" spans="5:18" s="65" customFormat="1">
      <c r="E8254" s="130"/>
      <c r="P8254" s="99"/>
      <c r="Q8254" s="99"/>
      <c r="R8254" s="99"/>
    </row>
    <row r="8255" spans="5:18" s="65" customFormat="1">
      <c r="E8255" s="130"/>
      <c r="P8255" s="99"/>
      <c r="Q8255" s="99"/>
      <c r="R8255" s="99"/>
    </row>
    <row r="8256" spans="5:18" s="65" customFormat="1">
      <c r="E8256" s="130"/>
      <c r="P8256" s="99"/>
      <c r="Q8256" s="99"/>
      <c r="R8256" s="99"/>
    </row>
    <row r="8257" spans="5:18" s="65" customFormat="1">
      <c r="E8257" s="130"/>
      <c r="P8257" s="99"/>
      <c r="Q8257" s="99"/>
      <c r="R8257" s="99"/>
    </row>
    <row r="8258" spans="5:18" s="65" customFormat="1">
      <c r="E8258" s="130"/>
      <c r="P8258" s="99"/>
      <c r="Q8258" s="99"/>
      <c r="R8258" s="99"/>
    </row>
    <row r="8259" spans="5:18" s="65" customFormat="1">
      <c r="E8259" s="130"/>
      <c r="P8259" s="99"/>
      <c r="Q8259" s="99"/>
      <c r="R8259" s="99"/>
    </row>
    <row r="8260" spans="5:18" s="65" customFormat="1">
      <c r="E8260" s="130"/>
      <c r="P8260" s="99"/>
      <c r="Q8260" s="99"/>
      <c r="R8260" s="99"/>
    </row>
    <row r="8261" spans="5:18" s="65" customFormat="1">
      <c r="E8261" s="130"/>
      <c r="P8261" s="99"/>
      <c r="Q8261" s="99"/>
      <c r="R8261" s="99"/>
    </row>
    <row r="8262" spans="5:18" s="65" customFormat="1">
      <c r="E8262" s="130"/>
      <c r="P8262" s="99"/>
      <c r="Q8262" s="99"/>
      <c r="R8262" s="99"/>
    </row>
    <row r="8263" spans="5:18" s="65" customFormat="1">
      <c r="E8263" s="130"/>
      <c r="P8263" s="99"/>
      <c r="Q8263" s="99"/>
      <c r="R8263" s="99"/>
    </row>
    <row r="8264" spans="5:18" s="65" customFormat="1">
      <c r="E8264" s="130"/>
      <c r="P8264" s="99"/>
      <c r="Q8264" s="99"/>
      <c r="R8264" s="99"/>
    </row>
    <row r="8265" spans="5:18" s="65" customFormat="1">
      <c r="E8265" s="130"/>
      <c r="P8265" s="99"/>
      <c r="Q8265" s="99"/>
      <c r="R8265" s="99"/>
    </row>
    <row r="8266" spans="5:18" s="65" customFormat="1">
      <c r="E8266" s="130"/>
      <c r="P8266" s="99"/>
      <c r="Q8266" s="99"/>
      <c r="R8266" s="99"/>
    </row>
    <row r="8267" spans="5:18" s="65" customFormat="1">
      <c r="E8267" s="130"/>
      <c r="P8267" s="99"/>
      <c r="Q8267" s="99"/>
      <c r="R8267" s="99"/>
    </row>
    <row r="8268" spans="5:18" s="65" customFormat="1">
      <c r="E8268" s="130"/>
      <c r="P8268" s="99"/>
      <c r="Q8268" s="99"/>
      <c r="R8268" s="99"/>
    </row>
    <row r="8269" spans="5:18" s="65" customFormat="1">
      <c r="E8269" s="130"/>
      <c r="P8269" s="99"/>
      <c r="Q8269" s="99"/>
      <c r="R8269" s="99"/>
    </row>
    <row r="8270" spans="5:18" s="65" customFormat="1">
      <c r="E8270" s="130"/>
      <c r="P8270" s="99"/>
      <c r="Q8270" s="99"/>
      <c r="R8270" s="99"/>
    </row>
    <row r="8271" spans="5:18" s="65" customFormat="1">
      <c r="E8271" s="130"/>
      <c r="P8271" s="99"/>
      <c r="Q8271" s="99"/>
      <c r="R8271" s="99"/>
    </row>
    <row r="8272" spans="5:18" s="65" customFormat="1">
      <c r="E8272" s="130"/>
      <c r="P8272" s="99"/>
      <c r="Q8272" s="99"/>
      <c r="R8272" s="99"/>
    </row>
    <row r="8273" spans="5:18" s="65" customFormat="1">
      <c r="E8273" s="130"/>
      <c r="P8273" s="99"/>
      <c r="Q8273" s="99"/>
      <c r="R8273" s="99"/>
    </row>
    <row r="8274" spans="5:18" s="65" customFormat="1">
      <c r="E8274" s="130"/>
      <c r="P8274" s="99"/>
      <c r="Q8274" s="99"/>
      <c r="R8274" s="99"/>
    </row>
    <row r="8275" spans="5:18" s="65" customFormat="1">
      <c r="E8275" s="130"/>
      <c r="P8275" s="99"/>
      <c r="Q8275" s="99"/>
      <c r="R8275" s="99"/>
    </row>
    <row r="8276" spans="5:18" s="65" customFormat="1">
      <c r="E8276" s="130"/>
      <c r="P8276" s="99"/>
      <c r="Q8276" s="99"/>
      <c r="R8276" s="99"/>
    </row>
    <row r="8277" spans="5:18" s="65" customFormat="1">
      <c r="E8277" s="130"/>
      <c r="P8277" s="99"/>
      <c r="Q8277" s="99"/>
      <c r="R8277" s="99"/>
    </row>
    <row r="8278" spans="5:18" s="65" customFormat="1">
      <c r="E8278" s="130"/>
      <c r="P8278" s="99"/>
      <c r="Q8278" s="99"/>
      <c r="R8278" s="99"/>
    </row>
    <row r="8279" spans="5:18" s="65" customFormat="1">
      <c r="E8279" s="130"/>
      <c r="P8279" s="99"/>
      <c r="Q8279" s="99"/>
      <c r="R8279" s="99"/>
    </row>
    <row r="8280" spans="5:18" s="65" customFormat="1">
      <c r="E8280" s="130"/>
      <c r="P8280" s="99"/>
      <c r="Q8280" s="99"/>
      <c r="R8280" s="99"/>
    </row>
    <row r="8281" spans="5:18" s="65" customFormat="1">
      <c r="E8281" s="130"/>
      <c r="P8281" s="99"/>
      <c r="Q8281" s="99"/>
      <c r="R8281" s="99"/>
    </row>
    <row r="8282" spans="5:18" s="65" customFormat="1">
      <c r="E8282" s="130"/>
      <c r="P8282" s="99"/>
      <c r="Q8282" s="99"/>
      <c r="R8282" s="99"/>
    </row>
    <row r="8283" spans="5:18" s="65" customFormat="1">
      <c r="E8283" s="130"/>
      <c r="P8283" s="99"/>
      <c r="Q8283" s="99"/>
      <c r="R8283" s="99"/>
    </row>
    <row r="8284" spans="5:18" s="65" customFormat="1">
      <c r="E8284" s="130"/>
      <c r="P8284" s="99"/>
      <c r="Q8284" s="99"/>
      <c r="R8284" s="99"/>
    </row>
    <row r="8285" spans="5:18" s="65" customFormat="1">
      <c r="E8285" s="130"/>
      <c r="P8285" s="99"/>
      <c r="Q8285" s="99"/>
      <c r="R8285" s="99"/>
    </row>
    <row r="8286" spans="5:18" s="65" customFormat="1">
      <c r="E8286" s="130"/>
      <c r="P8286" s="99"/>
      <c r="Q8286" s="99"/>
      <c r="R8286" s="99"/>
    </row>
    <row r="8287" spans="5:18" s="65" customFormat="1">
      <c r="E8287" s="130"/>
      <c r="P8287" s="99"/>
      <c r="Q8287" s="99"/>
      <c r="R8287" s="99"/>
    </row>
    <row r="8288" spans="5:18" s="65" customFormat="1">
      <c r="E8288" s="130"/>
      <c r="P8288" s="99"/>
      <c r="Q8288" s="99"/>
      <c r="R8288" s="99"/>
    </row>
    <row r="8289" spans="5:18" s="65" customFormat="1">
      <c r="E8289" s="130"/>
      <c r="P8289" s="99"/>
      <c r="Q8289" s="99"/>
      <c r="R8289" s="99"/>
    </row>
    <row r="8290" spans="5:18" s="65" customFormat="1">
      <c r="E8290" s="130"/>
      <c r="P8290" s="99"/>
      <c r="Q8290" s="99"/>
      <c r="R8290" s="99"/>
    </row>
    <row r="8291" spans="5:18" s="65" customFormat="1">
      <c r="E8291" s="130"/>
      <c r="P8291" s="99"/>
      <c r="Q8291" s="99"/>
      <c r="R8291" s="99"/>
    </row>
    <row r="8292" spans="5:18" s="65" customFormat="1">
      <c r="E8292" s="130"/>
      <c r="P8292" s="99"/>
      <c r="Q8292" s="99"/>
      <c r="R8292" s="99"/>
    </row>
    <row r="8293" spans="5:18" s="65" customFormat="1">
      <c r="E8293" s="130"/>
      <c r="P8293" s="99"/>
      <c r="Q8293" s="99"/>
      <c r="R8293" s="99"/>
    </row>
    <row r="8294" spans="5:18" s="65" customFormat="1">
      <c r="E8294" s="130"/>
      <c r="P8294" s="99"/>
      <c r="Q8294" s="99"/>
      <c r="R8294" s="99"/>
    </row>
    <row r="8295" spans="5:18" s="65" customFormat="1">
      <c r="E8295" s="130"/>
      <c r="P8295" s="99"/>
      <c r="Q8295" s="99"/>
      <c r="R8295" s="99"/>
    </row>
    <row r="8296" spans="5:18" s="65" customFormat="1">
      <c r="E8296" s="130"/>
      <c r="P8296" s="99"/>
      <c r="Q8296" s="99"/>
      <c r="R8296" s="99"/>
    </row>
    <row r="8297" spans="5:18" s="65" customFormat="1">
      <c r="E8297" s="130"/>
      <c r="P8297" s="99"/>
      <c r="Q8297" s="99"/>
      <c r="R8297" s="99"/>
    </row>
    <row r="8298" spans="5:18" s="65" customFormat="1">
      <c r="E8298" s="130"/>
      <c r="P8298" s="99"/>
      <c r="Q8298" s="99"/>
      <c r="R8298" s="99"/>
    </row>
    <row r="8299" spans="5:18" s="65" customFormat="1">
      <c r="E8299" s="130"/>
      <c r="P8299" s="99"/>
      <c r="Q8299" s="99"/>
      <c r="R8299" s="99"/>
    </row>
    <row r="8300" spans="5:18" s="65" customFormat="1">
      <c r="E8300" s="130"/>
      <c r="P8300" s="99"/>
      <c r="Q8300" s="99"/>
      <c r="R8300" s="99"/>
    </row>
    <row r="8301" spans="5:18" s="65" customFormat="1">
      <c r="E8301" s="130"/>
      <c r="P8301" s="99"/>
      <c r="Q8301" s="99"/>
      <c r="R8301" s="99"/>
    </row>
    <row r="8302" spans="5:18" s="65" customFormat="1">
      <c r="E8302" s="130"/>
      <c r="P8302" s="99"/>
      <c r="Q8302" s="99"/>
      <c r="R8302" s="99"/>
    </row>
    <row r="8303" spans="5:18" s="65" customFormat="1">
      <c r="E8303" s="130"/>
      <c r="P8303" s="99"/>
      <c r="Q8303" s="99"/>
      <c r="R8303" s="99"/>
    </row>
    <row r="8304" spans="5:18" s="65" customFormat="1">
      <c r="E8304" s="130"/>
      <c r="P8304" s="99"/>
      <c r="Q8304" s="99"/>
      <c r="R8304" s="99"/>
    </row>
    <row r="8305" spans="5:18" s="65" customFormat="1">
      <c r="E8305" s="130"/>
      <c r="P8305" s="99"/>
      <c r="Q8305" s="99"/>
      <c r="R8305" s="99"/>
    </row>
    <row r="8306" spans="5:18" s="65" customFormat="1">
      <c r="E8306" s="130"/>
      <c r="P8306" s="99"/>
      <c r="Q8306" s="99"/>
      <c r="R8306" s="99"/>
    </row>
    <row r="8307" spans="5:18" s="65" customFormat="1">
      <c r="E8307" s="130"/>
      <c r="P8307" s="99"/>
      <c r="Q8307" s="99"/>
      <c r="R8307" s="99"/>
    </row>
    <row r="8308" spans="5:18" s="65" customFormat="1">
      <c r="E8308" s="130"/>
      <c r="P8308" s="99"/>
      <c r="Q8308" s="99"/>
      <c r="R8308" s="99"/>
    </row>
    <row r="8309" spans="5:18" s="65" customFormat="1">
      <c r="E8309" s="130"/>
      <c r="P8309" s="99"/>
      <c r="Q8309" s="99"/>
      <c r="R8309" s="99"/>
    </row>
    <row r="8310" spans="5:18" s="65" customFormat="1">
      <c r="E8310" s="130"/>
      <c r="P8310" s="99"/>
      <c r="Q8310" s="99"/>
      <c r="R8310" s="99"/>
    </row>
    <row r="8311" spans="5:18" s="65" customFormat="1">
      <c r="E8311" s="130"/>
      <c r="P8311" s="99"/>
      <c r="Q8311" s="99"/>
      <c r="R8311" s="99"/>
    </row>
    <row r="8312" spans="5:18" s="65" customFormat="1">
      <c r="E8312" s="130"/>
      <c r="P8312" s="99"/>
      <c r="Q8312" s="99"/>
      <c r="R8312" s="99"/>
    </row>
    <row r="8313" spans="5:18" s="65" customFormat="1">
      <c r="E8313" s="130"/>
      <c r="P8313" s="99"/>
      <c r="Q8313" s="99"/>
      <c r="R8313" s="99"/>
    </row>
    <row r="8314" spans="5:18" s="65" customFormat="1">
      <c r="E8314" s="130"/>
      <c r="P8314" s="99"/>
      <c r="Q8314" s="99"/>
      <c r="R8314" s="99"/>
    </row>
    <row r="8315" spans="5:18" s="65" customFormat="1">
      <c r="E8315" s="130"/>
      <c r="P8315" s="99"/>
      <c r="Q8315" s="99"/>
      <c r="R8315" s="99"/>
    </row>
    <row r="8316" spans="5:18" s="65" customFormat="1">
      <c r="E8316" s="130"/>
      <c r="P8316" s="99"/>
      <c r="Q8316" s="99"/>
      <c r="R8316" s="99"/>
    </row>
    <row r="8317" spans="5:18" s="65" customFormat="1">
      <c r="E8317" s="130"/>
      <c r="P8317" s="99"/>
      <c r="Q8317" s="99"/>
      <c r="R8317" s="99"/>
    </row>
    <row r="8318" spans="5:18" s="65" customFormat="1">
      <c r="E8318" s="130"/>
      <c r="P8318" s="99"/>
      <c r="Q8318" s="99"/>
      <c r="R8318" s="99"/>
    </row>
    <row r="8319" spans="5:18" s="65" customFormat="1">
      <c r="E8319" s="130"/>
      <c r="P8319" s="99"/>
      <c r="Q8319" s="99"/>
      <c r="R8319" s="99"/>
    </row>
    <row r="8320" spans="5:18" s="65" customFormat="1">
      <c r="E8320" s="130"/>
      <c r="P8320" s="99"/>
      <c r="Q8320" s="99"/>
      <c r="R8320" s="99"/>
    </row>
    <row r="8321" spans="5:18" s="65" customFormat="1">
      <c r="E8321" s="130"/>
      <c r="P8321" s="99"/>
      <c r="Q8321" s="99"/>
      <c r="R8321" s="99"/>
    </row>
    <row r="8322" spans="5:18" s="65" customFormat="1">
      <c r="E8322" s="130"/>
      <c r="P8322" s="99"/>
      <c r="Q8322" s="99"/>
      <c r="R8322" s="99"/>
    </row>
    <row r="8323" spans="5:18" s="65" customFormat="1">
      <c r="E8323" s="130"/>
      <c r="P8323" s="99"/>
      <c r="Q8323" s="99"/>
      <c r="R8323" s="99"/>
    </row>
    <row r="8324" spans="5:18" s="65" customFormat="1">
      <c r="E8324" s="130"/>
      <c r="P8324" s="99"/>
      <c r="Q8324" s="99"/>
      <c r="R8324" s="99"/>
    </row>
    <row r="8325" spans="5:18" s="65" customFormat="1">
      <c r="E8325" s="130"/>
      <c r="P8325" s="99"/>
      <c r="Q8325" s="99"/>
      <c r="R8325" s="99"/>
    </row>
    <row r="8326" spans="5:18" s="65" customFormat="1">
      <c r="E8326" s="130"/>
      <c r="P8326" s="99"/>
      <c r="Q8326" s="99"/>
      <c r="R8326" s="99"/>
    </row>
    <row r="8327" spans="5:18" s="65" customFormat="1">
      <c r="E8327" s="130"/>
      <c r="P8327" s="99"/>
      <c r="Q8327" s="99"/>
      <c r="R8327" s="99"/>
    </row>
    <row r="8328" spans="5:18" s="65" customFormat="1">
      <c r="E8328" s="130"/>
      <c r="P8328" s="99"/>
      <c r="Q8328" s="99"/>
      <c r="R8328" s="99"/>
    </row>
    <row r="8329" spans="5:18" s="65" customFormat="1">
      <c r="E8329" s="130"/>
      <c r="P8329" s="99"/>
      <c r="Q8329" s="99"/>
      <c r="R8329" s="99"/>
    </row>
    <row r="8330" spans="5:18" s="65" customFormat="1">
      <c r="E8330" s="130"/>
      <c r="P8330" s="99"/>
      <c r="Q8330" s="99"/>
      <c r="R8330" s="99"/>
    </row>
    <row r="8331" spans="5:18" s="65" customFormat="1">
      <c r="E8331" s="130"/>
      <c r="P8331" s="99"/>
      <c r="Q8331" s="99"/>
      <c r="R8331" s="99"/>
    </row>
    <row r="8332" spans="5:18" s="65" customFormat="1">
      <c r="E8332" s="130"/>
      <c r="P8332" s="99"/>
      <c r="Q8332" s="99"/>
      <c r="R8332" s="99"/>
    </row>
    <row r="8333" spans="5:18" s="65" customFormat="1">
      <c r="E8333" s="130"/>
      <c r="P8333" s="99"/>
      <c r="Q8333" s="99"/>
      <c r="R8333" s="99"/>
    </row>
    <row r="8334" spans="5:18" s="65" customFormat="1">
      <c r="E8334" s="130"/>
      <c r="P8334" s="99"/>
      <c r="Q8334" s="99"/>
      <c r="R8334" s="99"/>
    </row>
    <row r="8335" spans="5:18" s="65" customFormat="1">
      <c r="E8335" s="130"/>
      <c r="P8335" s="99"/>
      <c r="Q8335" s="99"/>
      <c r="R8335" s="99"/>
    </row>
    <row r="8336" spans="5:18" s="65" customFormat="1">
      <c r="E8336" s="130"/>
      <c r="P8336" s="99"/>
      <c r="Q8336" s="99"/>
      <c r="R8336" s="99"/>
    </row>
    <row r="8337" spans="5:18" s="65" customFormat="1">
      <c r="E8337" s="130"/>
      <c r="P8337" s="99"/>
      <c r="Q8337" s="99"/>
      <c r="R8337" s="99"/>
    </row>
    <row r="8338" spans="5:18" s="65" customFormat="1">
      <c r="E8338" s="130"/>
      <c r="P8338" s="99"/>
      <c r="Q8338" s="99"/>
      <c r="R8338" s="99"/>
    </row>
    <row r="8339" spans="5:18" s="65" customFormat="1">
      <c r="E8339" s="130"/>
      <c r="P8339" s="99"/>
      <c r="Q8339" s="99"/>
      <c r="R8339" s="99"/>
    </row>
    <row r="8340" spans="5:18" s="65" customFormat="1">
      <c r="E8340" s="130"/>
      <c r="P8340" s="99"/>
      <c r="Q8340" s="99"/>
      <c r="R8340" s="99"/>
    </row>
    <row r="8341" spans="5:18" s="65" customFormat="1">
      <c r="E8341" s="130"/>
      <c r="P8341" s="99"/>
      <c r="Q8341" s="99"/>
      <c r="R8341" s="99"/>
    </row>
    <row r="8342" spans="5:18" s="65" customFormat="1">
      <c r="E8342" s="130"/>
      <c r="P8342" s="99"/>
      <c r="Q8342" s="99"/>
      <c r="R8342" s="99"/>
    </row>
    <row r="8343" spans="5:18" s="65" customFormat="1">
      <c r="E8343" s="130"/>
      <c r="P8343" s="99"/>
      <c r="Q8343" s="99"/>
      <c r="R8343" s="99"/>
    </row>
    <row r="8344" spans="5:18" s="65" customFormat="1">
      <c r="E8344" s="130"/>
      <c r="P8344" s="99"/>
      <c r="Q8344" s="99"/>
      <c r="R8344" s="99"/>
    </row>
    <row r="8345" spans="5:18" s="65" customFormat="1">
      <c r="E8345" s="130"/>
      <c r="P8345" s="99"/>
      <c r="Q8345" s="99"/>
      <c r="R8345" s="99"/>
    </row>
    <row r="8346" spans="5:18" s="65" customFormat="1">
      <c r="E8346" s="130"/>
      <c r="P8346" s="99"/>
      <c r="Q8346" s="99"/>
      <c r="R8346" s="99"/>
    </row>
    <row r="8347" spans="5:18" s="65" customFormat="1">
      <c r="E8347" s="130"/>
      <c r="P8347" s="99"/>
      <c r="Q8347" s="99"/>
      <c r="R8347" s="99"/>
    </row>
    <row r="8348" spans="5:18" s="65" customFormat="1">
      <c r="E8348" s="130"/>
      <c r="P8348" s="99"/>
      <c r="Q8348" s="99"/>
      <c r="R8348" s="99"/>
    </row>
    <row r="8349" spans="5:18" s="65" customFormat="1">
      <c r="E8349" s="130"/>
      <c r="P8349" s="99"/>
      <c r="Q8349" s="99"/>
      <c r="R8349" s="99"/>
    </row>
    <row r="8350" spans="5:18" s="65" customFormat="1">
      <c r="E8350" s="130"/>
      <c r="P8350" s="99"/>
      <c r="Q8350" s="99"/>
      <c r="R8350" s="99"/>
    </row>
    <row r="8351" spans="5:18" s="65" customFormat="1">
      <c r="E8351" s="130"/>
      <c r="P8351" s="99"/>
      <c r="Q8351" s="99"/>
      <c r="R8351" s="99"/>
    </row>
    <row r="8352" spans="5:18" s="65" customFormat="1">
      <c r="E8352" s="130"/>
      <c r="P8352" s="99"/>
      <c r="Q8352" s="99"/>
      <c r="R8352" s="99"/>
    </row>
    <row r="8353" spans="5:18" s="65" customFormat="1">
      <c r="E8353" s="130"/>
      <c r="P8353" s="99"/>
      <c r="Q8353" s="99"/>
      <c r="R8353" s="99"/>
    </row>
    <row r="8354" spans="5:18" s="65" customFormat="1">
      <c r="E8354" s="130"/>
      <c r="P8354" s="99"/>
      <c r="Q8354" s="99"/>
      <c r="R8354" s="99"/>
    </row>
    <row r="8355" spans="5:18" s="65" customFormat="1">
      <c r="E8355" s="130"/>
      <c r="P8355" s="99"/>
      <c r="Q8355" s="99"/>
      <c r="R8355" s="99"/>
    </row>
    <row r="8356" spans="5:18" s="65" customFormat="1">
      <c r="E8356" s="130"/>
      <c r="P8356" s="99"/>
      <c r="Q8356" s="99"/>
      <c r="R8356" s="99"/>
    </row>
    <row r="8357" spans="5:18" s="65" customFormat="1">
      <c r="E8357" s="130"/>
      <c r="P8357" s="99"/>
      <c r="Q8357" s="99"/>
      <c r="R8357" s="99"/>
    </row>
    <row r="8358" spans="5:18" s="65" customFormat="1">
      <c r="E8358" s="130"/>
      <c r="P8358" s="99"/>
      <c r="Q8358" s="99"/>
      <c r="R8358" s="99"/>
    </row>
    <row r="8359" spans="5:18" s="65" customFormat="1">
      <c r="E8359" s="130"/>
      <c r="P8359" s="99"/>
      <c r="Q8359" s="99"/>
      <c r="R8359" s="99"/>
    </row>
    <row r="8360" spans="5:18" s="65" customFormat="1">
      <c r="E8360" s="130"/>
      <c r="P8360" s="99"/>
      <c r="Q8360" s="99"/>
      <c r="R8360" s="99"/>
    </row>
    <row r="8361" spans="5:18" s="65" customFormat="1">
      <c r="E8361" s="130"/>
      <c r="P8361" s="99"/>
      <c r="Q8361" s="99"/>
      <c r="R8361" s="99"/>
    </row>
    <row r="8362" spans="5:18" s="65" customFormat="1">
      <c r="E8362" s="130"/>
      <c r="P8362" s="99"/>
      <c r="Q8362" s="99"/>
      <c r="R8362" s="99"/>
    </row>
    <row r="8363" spans="5:18" s="65" customFormat="1">
      <c r="E8363" s="130"/>
      <c r="P8363" s="99"/>
      <c r="Q8363" s="99"/>
      <c r="R8363" s="99"/>
    </row>
    <row r="8364" spans="5:18" s="65" customFormat="1">
      <c r="E8364" s="130"/>
      <c r="P8364" s="99"/>
      <c r="Q8364" s="99"/>
      <c r="R8364" s="99"/>
    </row>
    <row r="8365" spans="5:18" s="65" customFormat="1">
      <c r="E8365" s="130"/>
      <c r="P8365" s="99"/>
      <c r="Q8365" s="99"/>
      <c r="R8365" s="99"/>
    </row>
    <row r="8366" spans="5:18" s="65" customFormat="1">
      <c r="E8366" s="130"/>
      <c r="P8366" s="99"/>
      <c r="Q8366" s="99"/>
      <c r="R8366" s="99"/>
    </row>
    <row r="8367" spans="5:18" s="65" customFormat="1">
      <c r="E8367" s="130"/>
      <c r="P8367" s="99"/>
      <c r="Q8367" s="99"/>
      <c r="R8367" s="99"/>
    </row>
    <row r="8368" spans="5:18" s="65" customFormat="1">
      <c r="E8368" s="130"/>
      <c r="P8368" s="99"/>
      <c r="Q8368" s="99"/>
      <c r="R8368" s="99"/>
    </row>
    <row r="8369" spans="5:18" s="65" customFormat="1">
      <c r="E8369" s="130"/>
      <c r="P8369" s="99"/>
      <c r="Q8369" s="99"/>
      <c r="R8369" s="99"/>
    </row>
    <row r="8370" spans="5:18" s="65" customFormat="1">
      <c r="E8370" s="130"/>
      <c r="P8370" s="99"/>
      <c r="Q8370" s="99"/>
      <c r="R8370" s="99"/>
    </row>
    <row r="8371" spans="5:18" s="65" customFormat="1">
      <c r="E8371" s="130"/>
      <c r="P8371" s="99"/>
      <c r="Q8371" s="99"/>
      <c r="R8371" s="99"/>
    </row>
    <row r="8372" spans="5:18" s="65" customFormat="1">
      <c r="E8372" s="130"/>
      <c r="P8372" s="99"/>
      <c r="Q8372" s="99"/>
      <c r="R8372" s="99"/>
    </row>
    <row r="8373" spans="5:18" s="65" customFormat="1">
      <c r="E8373" s="130"/>
      <c r="P8373" s="99"/>
      <c r="Q8373" s="99"/>
      <c r="R8373" s="99"/>
    </row>
    <row r="8374" spans="5:18" s="65" customFormat="1">
      <c r="E8374" s="130"/>
      <c r="P8374" s="99"/>
      <c r="Q8374" s="99"/>
      <c r="R8374" s="99"/>
    </row>
    <row r="8375" spans="5:18" s="65" customFormat="1">
      <c r="E8375" s="130"/>
      <c r="P8375" s="99"/>
      <c r="Q8375" s="99"/>
      <c r="R8375" s="99"/>
    </row>
    <row r="8376" spans="5:18" s="65" customFormat="1">
      <c r="E8376" s="130"/>
      <c r="P8376" s="99"/>
      <c r="Q8376" s="99"/>
      <c r="R8376" s="99"/>
    </row>
    <row r="8377" spans="5:18" s="65" customFormat="1">
      <c r="E8377" s="130"/>
      <c r="P8377" s="99"/>
      <c r="Q8377" s="99"/>
      <c r="R8377" s="99"/>
    </row>
    <row r="8378" spans="5:18" s="65" customFormat="1">
      <c r="E8378" s="130"/>
      <c r="P8378" s="99"/>
      <c r="Q8378" s="99"/>
      <c r="R8378" s="99"/>
    </row>
    <row r="8379" spans="5:18" s="65" customFormat="1">
      <c r="E8379" s="130"/>
      <c r="P8379" s="99"/>
      <c r="Q8379" s="99"/>
      <c r="R8379" s="99"/>
    </row>
    <row r="8380" spans="5:18" s="65" customFormat="1">
      <c r="E8380" s="130"/>
      <c r="P8380" s="99"/>
      <c r="Q8380" s="99"/>
      <c r="R8380" s="99"/>
    </row>
    <row r="8381" spans="5:18" s="65" customFormat="1">
      <c r="E8381" s="130"/>
      <c r="P8381" s="99"/>
      <c r="Q8381" s="99"/>
      <c r="R8381" s="99"/>
    </row>
    <row r="8382" spans="5:18" s="65" customFormat="1">
      <c r="E8382" s="130"/>
      <c r="P8382" s="99"/>
      <c r="Q8382" s="99"/>
      <c r="R8382" s="99"/>
    </row>
    <row r="8383" spans="5:18" s="65" customFormat="1">
      <c r="E8383" s="130"/>
      <c r="P8383" s="99"/>
      <c r="Q8383" s="99"/>
      <c r="R8383" s="99"/>
    </row>
    <row r="8384" spans="5:18" s="65" customFormat="1">
      <c r="E8384" s="130"/>
      <c r="P8384" s="99"/>
      <c r="Q8384" s="99"/>
      <c r="R8384" s="99"/>
    </row>
    <row r="8385" spans="5:18" s="65" customFormat="1">
      <c r="E8385" s="130"/>
      <c r="P8385" s="99"/>
      <c r="Q8385" s="99"/>
      <c r="R8385" s="99"/>
    </row>
    <row r="8386" spans="5:18" s="65" customFormat="1">
      <c r="E8386" s="130"/>
      <c r="P8386" s="99"/>
      <c r="Q8386" s="99"/>
      <c r="R8386" s="99"/>
    </row>
    <row r="8387" spans="5:18" s="65" customFormat="1">
      <c r="E8387" s="130"/>
      <c r="P8387" s="99"/>
      <c r="Q8387" s="99"/>
      <c r="R8387" s="99"/>
    </row>
    <row r="8388" spans="5:18" s="65" customFormat="1">
      <c r="E8388" s="130"/>
      <c r="P8388" s="99"/>
      <c r="Q8388" s="99"/>
      <c r="R8388" s="99"/>
    </row>
    <row r="8389" spans="5:18" s="65" customFormat="1">
      <c r="E8389" s="130"/>
      <c r="P8389" s="99"/>
      <c r="Q8389" s="99"/>
      <c r="R8389" s="99"/>
    </row>
    <row r="8390" spans="5:18" s="65" customFormat="1">
      <c r="E8390" s="130"/>
      <c r="P8390" s="99"/>
      <c r="Q8390" s="99"/>
      <c r="R8390" s="99"/>
    </row>
    <row r="8391" spans="5:18" s="65" customFormat="1">
      <c r="E8391" s="130"/>
      <c r="P8391" s="99"/>
      <c r="Q8391" s="99"/>
      <c r="R8391" s="99"/>
    </row>
    <row r="8392" spans="5:18" s="65" customFormat="1">
      <c r="E8392" s="130"/>
      <c r="P8392" s="99"/>
      <c r="Q8392" s="99"/>
      <c r="R8392" s="99"/>
    </row>
    <row r="8393" spans="5:18" s="65" customFormat="1">
      <c r="E8393" s="130"/>
      <c r="P8393" s="99"/>
      <c r="Q8393" s="99"/>
      <c r="R8393" s="99"/>
    </row>
    <row r="8394" spans="5:18" s="65" customFormat="1">
      <c r="E8394" s="130"/>
      <c r="P8394" s="99"/>
      <c r="Q8394" s="99"/>
      <c r="R8394" s="99"/>
    </row>
    <row r="8395" spans="5:18" s="65" customFormat="1">
      <c r="E8395" s="130"/>
      <c r="P8395" s="99"/>
      <c r="Q8395" s="99"/>
      <c r="R8395" s="99"/>
    </row>
    <row r="8396" spans="5:18" s="65" customFormat="1">
      <c r="E8396" s="130"/>
      <c r="P8396" s="99"/>
      <c r="Q8396" s="99"/>
      <c r="R8396" s="99"/>
    </row>
    <row r="8397" spans="5:18" s="65" customFormat="1">
      <c r="E8397" s="130"/>
      <c r="P8397" s="99"/>
      <c r="Q8397" s="99"/>
      <c r="R8397" s="99"/>
    </row>
    <row r="8398" spans="5:18" s="65" customFormat="1">
      <c r="E8398" s="130"/>
      <c r="P8398" s="99"/>
      <c r="Q8398" s="99"/>
      <c r="R8398" s="99"/>
    </row>
    <row r="8399" spans="5:18" s="65" customFormat="1">
      <c r="E8399" s="130"/>
      <c r="P8399" s="99"/>
      <c r="Q8399" s="99"/>
      <c r="R8399" s="99"/>
    </row>
    <row r="8400" spans="5:18" s="65" customFormat="1">
      <c r="E8400" s="130"/>
      <c r="P8400" s="99"/>
      <c r="Q8400" s="99"/>
      <c r="R8400" s="99"/>
    </row>
    <row r="8401" spans="5:18" s="65" customFormat="1">
      <c r="E8401" s="130"/>
      <c r="P8401" s="99"/>
      <c r="Q8401" s="99"/>
      <c r="R8401" s="99"/>
    </row>
    <row r="8402" spans="5:18" s="65" customFormat="1">
      <c r="E8402" s="130"/>
      <c r="P8402" s="99"/>
      <c r="Q8402" s="99"/>
      <c r="R8402" s="99"/>
    </row>
    <row r="8403" spans="5:18" s="65" customFormat="1">
      <c r="E8403" s="130"/>
      <c r="P8403" s="99"/>
      <c r="Q8403" s="99"/>
      <c r="R8403" s="99"/>
    </row>
    <row r="8404" spans="5:18" s="65" customFormat="1">
      <c r="E8404" s="130"/>
      <c r="P8404" s="99"/>
      <c r="Q8404" s="99"/>
      <c r="R8404" s="99"/>
    </row>
    <row r="8405" spans="5:18" s="65" customFormat="1">
      <c r="E8405" s="130"/>
      <c r="P8405" s="99"/>
      <c r="Q8405" s="99"/>
      <c r="R8405" s="99"/>
    </row>
    <row r="8406" spans="5:18" s="65" customFormat="1">
      <c r="E8406" s="130"/>
      <c r="P8406" s="99"/>
      <c r="Q8406" s="99"/>
      <c r="R8406" s="99"/>
    </row>
    <row r="8407" spans="5:18" s="65" customFormat="1">
      <c r="E8407" s="130"/>
      <c r="P8407" s="99"/>
      <c r="Q8407" s="99"/>
      <c r="R8407" s="99"/>
    </row>
    <row r="8408" spans="5:18" s="65" customFormat="1">
      <c r="E8408" s="130"/>
      <c r="P8408" s="99"/>
      <c r="Q8408" s="99"/>
      <c r="R8408" s="99"/>
    </row>
    <row r="8409" spans="5:18" s="65" customFormat="1">
      <c r="E8409" s="130"/>
      <c r="P8409" s="99"/>
      <c r="Q8409" s="99"/>
      <c r="R8409" s="99"/>
    </row>
    <row r="8410" spans="5:18" s="65" customFormat="1">
      <c r="E8410" s="130"/>
      <c r="P8410" s="99"/>
      <c r="Q8410" s="99"/>
      <c r="R8410" s="99"/>
    </row>
    <row r="8411" spans="5:18" s="65" customFormat="1">
      <c r="E8411" s="130"/>
      <c r="P8411" s="99"/>
      <c r="Q8411" s="99"/>
      <c r="R8411" s="99"/>
    </row>
    <row r="8412" spans="5:18" s="65" customFormat="1">
      <c r="E8412" s="130"/>
      <c r="P8412" s="99"/>
      <c r="Q8412" s="99"/>
      <c r="R8412" s="99"/>
    </row>
    <row r="8413" spans="5:18" s="65" customFormat="1">
      <c r="E8413" s="130"/>
      <c r="P8413" s="99"/>
      <c r="Q8413" s="99"/>
      <c r="R8413" s="99"/>
    </row>
    <row r="8414" spans="5:18" s="65" customFormat="1">
      <c r="E8414" s="130"/>
      <c r="P8414" s="99"/>
      <c r="Q8414" s="99"/>
      <c r="R8414" s="99"/>
    </row>
    <row r="8415" spans="5:18" s="65" customFormat="1">
      <c r="E8415" s="130"/>
      <c r="P8415" s="99"/>
      <c r="Q8415" s="99"/>
      <c r="R8415" s="99"/>
    </row>
    <row r="8416" spans="5:18" s="65" customFormat="1">
      <c r="E8416" s="130"/>
      <c r="P8416" s="99"/>
      <c r="Q8416" s="99"/>
      <c r="R8416" s="99"/>
    </row>
    <row r="8417" spans="5:18" s="65" customFormat="1">
      <c r="E8417" s="130"/>
      <c r="P8417" s="99"/>
      <c r="Q8417" s="99"/>
      <c r="R8417" s="99"/>
    </row>
    <row r="8418" spans="5:18" s="65" customFormat="1">
      <c r="E8418" s="130"/>
      <c r="P8418" s="99"/>
      <c r="Q8418" s="99"/>
      <c r="R8418" s="99"/>
    </row>
    <row r="8419" spans="5:18" s="65" customFormat="1">
      <c r="E8419" s="130"/>
      <c r="P8419" s="99"/>
      <c r="Q8419" s="99"/>
      <c r="R8419" s="99"/>
    </row>
    <row r="8420" spans="5:18" s="65" customFormat="1">
      <c r="E8420" s="130"/>
      <c r="P8420" s="99"/>
      <c r="Q8420" s="99"/>
      <c r="R8420" s="99"/>
    </row>
    <row r="8421" spans="5:18" s="65" customFormat="1">
      <c r="E8421" s="130"/>
      <c r="P8421" s="99"/>
      <c r="Q8421" s="99"/>
      <c r="R8421" s="99"/>
    </row>
    <row r="8422" spans="5:18" s="65" customFormat="1">
      <c r="E8422" s="130"/>
      <c r="P8422" s="99"/>
      <c r="Q8422" s="99"/>
      <c r="R8422" s="99"/>
    </row>
    <row r="8423" spans="5:18" s="65" customFormat="1">
      <c r="E8423" s="130"/>
      <c r="P8423" s="99"/>
      <c r="Q8423" s="99"/>
      <c r="R8423" s="99"/>
    </row>
    <row r="8424" spans="5:18" s="65" customFormat="1">
      <c r="E8424" s="130"/>
      <c r="P8424" s="99"/>
      <c r="Q8424" s="99"/>
      <c r="R8424" s="99"/>
    </row>
    <row r="8425" spans="5:18" s="65" customFormat="1">
      <c r="E8425" s="130"/>
      <c r="P8425" s="99"/>
      <c r="Q8425" s="99"/>
      <c r="R8425" s="99"/>
    </row>
    <row r="8426" spans="5:18" s="65" customFormat="1">
      <c r="E8426" s="130"/>
      <c r="P8426" s="99"/>
      <c r="Q8426" s="99"/>
      <c r="R8426" s="99"/>
    </row>
    <row r="8427" spans="5:18" s="65" customFormat="1">
      <c r="E8427" s="130"/>
      <c r="P8427" s="99"/>
      <c r="Q8427" s="99"/>
      <c r="R8427" s="99"/>
    </row>
    <row r="8428" spans="5:18" s="65" customFormat="1">
      <c r="E8428" s="130"/>
      <c r="P8428" s="99"/>
      <c r="Q8428" s="99"/>
      <c r="R8428" s="99"/>
    </row>
    <row r="8429" spans="5:18" s="65" customFormat="1">
      <c r="E8429" s="130"/>
      <c r="P8429" s="99"/>
      <c r="Q8429" s="99"/>
      <c r="R8429" s="99"/>
    </row>
    <row r="8430" spans="5:18" s="65" customFormat="1">
      <c r="E8430" s="130"/>
      <c r="P8430" s="99"/>
      <c r="Q8430" s="99"/>
      <c r="R8430" s="99"/>
    </row>
    <row r="8431" spans="5:18" s="65" customFormat="1">
      <c r="E8431" s="130"/>
      <c r="P8431" s="99"/>
      <c r="Q8431" s="99"/>
      <c r="R8431" s="99"/>
    </row>
    <row r="8432" spans="5:18" s="65" customFormat="1">
      <c r="E8432" s="130"/>
      <c r="P8432" s="99"/>
      <c r="Q8432" s="99"/>
      <c r="R8432" s="99"/>
    </row>
    <row r="8433" spans="5:18" s="65" customFormat="1">
      <c r="E8433" s="130"/>
      <c r="P8433" s="99"/>
      <c r="Q8433" s="99"/>
      <c r="R8433" s="99"/>
    </row>
    <row r="8434" spans="5:18" s="65" customFormat="1">
      <c r="E8434" s="130"/>
      <c r="P8434" s="99"/>
      <c r="Q8434" s="99"/>
      <c r="R8434" s="99"/>
    </row>
    <row r="8435" spans="5:18" s="65" customFormat="1">
      <c r="E8435" s="130"/>
      <c r="P8435" s="99"/>
      <c r="Q8435" s="99"/>
      <c r="R8435" s="99"/>
    </row>
    <row r="8436" spans="5:18" s="65" customFormat="1">
      <c r="E8436" s="130"/>
      <c r="P8436" s="99"/>
      <c r="Q8436" s="99"/>
      <c r="R8436" s="99"/>
    </row>
    <row r="8437" spans="5:18" s="65" customFormat="1">
      <c r="E8437" s="130"/>
      <c r="P8437" s="99"/>
      <c r="Q8437" s="99"/>
      <c r="R8437" s="99"/>
    </row>
    <row r="8438" spans="5:18" s="65" customFormat="1">
      <c r="E8438" s="130"/>
      <c r="P8438" s="99"/>
      <c r="Q8438" s="99"/>
      <c r="R8438" s="99"/>
    </row>
    <row r="8439" spans="5:18" s="65" customFormat="1">
      <c r="E8439" s="130"/>
      <c r="P8439" s="99"/>
      <c r="Q8439" s="99"/>
      <c r="R8439" s="99"/>
    </row>
    <row r="8440" spans="5:18" s="65" customFormat="1">
      <c r="E8440" s="130"/>
      <c r="P8440" s="99"/>
      <c r="Q8440" s="99"/>
      <c r="R8440" s="99"/>
    </row>
    <row r="8441" spans="5:18" s="65" customFormat="1">
      <c r="E8441" s="130"/>
      <c r="P8441" s="99"/>
      <c r="Q8441" s="99"/>
      <c r="R8441" s="99"/>
    </row>
    <row r="8442" spans="5:18" s="65" customFormat="1">
      <c r="E8442" s="130"/>
      <c r="P8442" s="99"/>
      <c r="Q8442" s="99"/>
      <c r="R8442" s="99"/>
    </row>
    <row r="8443" spans="5:18" s="65" customFormat="1">
      <c r="E8443" s="130"/>
      <c r="P8443" s="99"/>
      <c r="Q8443" s="99"/>
      <c r="R8443" s="99"/>
    </row>
    <row r="8444" spans="5:18" s="65" customFormat="1">
      <c r="E8444" s="130"/>
      <c r="P8444" s="99"/>
      <c r="Q8444" s="99"/>
      <c r="R8444" s="99"/>
    </row>
    <row r="8445" spans="5:18" s="65" customFormat="1">
      <c r="E8445" s="130"/>
      <c r="P8445" s="99"/>
      <c r="Q8445" s="99"/>
      <c r="R8445" s="99"/>
    </row>
    <row r="8446" spans="5:18" s="65" customFormat="1">
      <c r="E8446" s="130"/>
      <c r="P8446" s="99"/>
      <c r="Q8446" s="99"/>
      <c r="R8446" s="99"/>
    </row>
    <row r="8447" spans="5:18" s="65" customFormat="1">
      <c r="E8447" s="130"/>
      <c r="P8447" s="99"/>
      <c r="Q8447" s="99"/>
      <c r="R8447" s="99"/>
    </row>
    <row r="8448" spans="5:18" s="65" customFormat="1">
      <c r="E8448" s="130"/>
      <c r="P8448" s="99"/>
      <c r="Q8448" s="99"/>
      <c r="R8448" s="99"/>
    </row>
    <row r="8449" spans="5:18" s="65" customFormat="1">
      <c r="E8449" s="130"/>
      <c r="P8449" s="99"/>
      <c r="Q8449" s="99"/>
      <c r="R8449" s="99"/>
    </row>
    <row r="8450" spans="5:18" s="65" customFormat="1">
      <c r="E8450" s="130"/>
      <c r="P8450" s="99"/>
      <c r="Q8450" s="99"/>
      <c r="R8450" s="99"/>
    </row>
    <row r="8451" spans="5:18" s="65" customFormat="1">
      <c r="E8451" s="130"/>
      <c r="P8451" s="99"/>
      <c r="Q8451" s="99"/>
      <c r="R8451" s="99"/>
    </row>
    <row r="8452" spans="5:18" s="65" customFormat="1">
      <c r="E8452" s="130"/>
      <c r="P8452" s="99"/>
      <c r="Q8452" s="99"/>
      <c r="R8452" s="99"/>
    </row>
    <row r="8453" spans="5:18" s="65" customFormat="1">
      <c r="E8453" s="130"/>
      <c r="P8453" s="99"/>
      <c r="Q8453" s="99"/>
      <c r="R8453" s="99"/>
    </row>
    <row r="8454" spans="5:18" s="65" customFormat="1">
      <c r="E8454" s="130"/>
      <c r="P8454" s="99"/>
      <c r="Q8454" s="99"/>
      <c r="R8454" s="99"/>
    </row>
    <row r="8455" spans="5:18" s="65" customFormat="1">
      <c r="E8455" s="130"/>
      <c r="P8455" s="99"/>
      <c r="Q8455" s="99"/>
      <c r="R8455" s="99"/>
    </row>
    <row r="8456" spans="5:18" s="65" customFormat="1">
      <c r="E8456" s="130"/>
      <c r="P8456" s="99"/>
      <c r="Q8456" s="99"/>
      <c r="R8456" s="99"/>
    </row>
    <row r="8457" spans="5:18" s="65" customFormat="1">
      <c r="E8457" s="130"/>
      <c r="P8457" s="99"/>
      <c r="Q8457" s="99"/>
      <c r="R8457" s="99"/>
    </row>
    <row r="8458" spans="5:18" s="65" customFormat="1">
      <c r="E8458" s="130"/>
      <c r="P8458" s="99"/>
      <c r="Q8458" s="99"/>
      <c r="R8458" s="99"/>
    </row>
    <row r="8459" spans="5:18" s="65" customFormat="1">
      <c r="E8459" s="130"/>
      <c r="P8459" s="99"/>
      <c r="Q8459" s="99"/>
      <c r="R8459" s="99"/>
    </row>
    <row r="8460" spans="5:18" s="65" customFormat="1">
      <c r="E8460" s="130"/>
      <c r="P8460" s="99"/>
      <c r="Q8460" s="99"/>
      <c r="R8460" s="99"/>
    </row>
    <row r="8461" spans="5:18" s="65" customFormat="1">
      <c r="E8461" s="130"/>
      <c r="P8461" s="99"/>
      <c r="Q8461" s="99"/>
      <c r="R8461" s="99"/>
    </row>
    <row r="8462" spans="5:18" s="65" customFormat="1">
      <c r="E8462" s="130"/>
      <c r="P8462" s="99"/>
      <c r="Q8462" s="99"/>
      <c r="R8462" s="99"/>
    </row>
    <row r="8463" spans="5:18" s="65" customFormat="1">
      <c r="E8463" s="130"/>
      <c r="P8463" s="99"/>
      <c r="Q8463" s="99"/>
      <c r="R8463" s="99"/>
    </row>
    <row r="8464" spans="5:18" s="65" customFormat="1">
      <c r="E8464" s="130"/>
      <c r="P8464" s="99"/>
      <c r="Q8464" s="99"/>
      <c r="R8464" s="99"/>
    </row>
    <row r="8465" spans="5:18" s="65" customFormat="1">
      <c r="E8465" s="130"/>
      <c r="P8465" s="99"/>
      <c r="Q8465" s="99"/>
      <c r="R8465" s="99"/>
    </row>
    <row r="8466" spans="5:18" s="65" customFormat="1">
      <c r="E8466" s="130"/>
      <c r="P8466" s="99"/>
      <c r="Q8466" s="99"/>
      <c r="R8466" s="99"/>
    </row>
    <row r="8467" spans="5:18" s="65" customFormat="1">
      <c r="E8467" s="130"/>
      <c r="P8467" s="99"/>
      <c r="Q8467" s="99"/>
      <c r="R8467" s="99"/>
    </row>
    <row r="8468" spans="5:18" s="65" customFormat="1">
      <c r="E8468" s="130"/>
      <c r="P8468" s="99"/>
      <c r="Q8468" s="99"/>
      <c r="R8468" s="99"/>
    </row>
    <row r="8469" spans="5:18" s="65" customFormat="1">
      <c r="E8469" s="130"/>
      <c r="P8469" s="99"/>
      <c r="Q8469" s="99"/>
      <c r="R8469" s="99"/>
    </row>
    <row r="8470" spans="5:18" s="65" customFormat="1">
      <c r="E8470" s="130"/>
      <c r="P8470" s="99"/>
      <c r="Q8470" s="99"/>
      <c r="R8470" s="99"/>
    </row>
    <row r="8471" spans="5:18" s="65" customFormat="1">
      <c r="E8471" s="130"/>
      <c r="P8471" s="99"/>
      <c r="Q8471" s="99"/>
      <c r="R8471" s="99"/>
    </row>
    <row r="8472" spans="5:18" s="65" customFormat="1">
      <c r="E8472" s="130"/>
      <c r="P8472" s="99"/>
      <c r="Q8472" s="99"/>
      <c r="R8472" s="99"/>
    </row>
    <row r="8473" spans="5:18" s="65" customFormat="1">
      <c r="E8473" s="130"/>
      <c r="P8473" s="99"/>
      <c r="Q8473" s="99"/>
      <c r="R8473" s="99"/>
    </row>
    <row r="8474" spans="5:18" s="65" customFormat="1">
      <c r="E8474" s="130"/>
      <c r="P8474" s="99"/>
      <c r="Q8474" s="99"/>
      <c r="R8474" s="99"/>
    </row>
    <row r="8475" spans="5:18" s="65" customFormat="1">
      <c r="E8475" s="130"/>
      <c r="P8475" s="99"/>
      <c r="Q8475" s="99"/>
      <c r="R8475" s="99"/>
    </row>
    <row r="8476" spans="5:18" s="65" customFormat="1">
      <c r="E8476" s="130"/>
      <c r="P8476" s="99"/>
      <c r="Q8476" s="99"/>
      <c r="R8476" s="99"/>
    </row>
    <row r="8477" spans="5:18" s="65" customFormat="1">
      <c r="E8477" s="130"/>
      <c r="P8477" s="99"/>
      <c r="Q8477" s="99"/>
      <c r="R8477" s="99"/>
    </row>
    <row r="8478" spans="5:18" s="65" customFormat="1">
      <c r="E8478" s="130"/>
      <c r="P8478" s="99"/>
      <c r="Q8478" s="99"/>
      <c r="R8478" s="99"/>
    </row>
    <row r="8479" spans="5:18" s="65" customFormat="1">
      <c r="E8479" s="130"/>
      <c r="P8479" s="99"/>
      <c r="Q8479" s="99"/>
      <c r="R8479" s="99"/>
    </row>
    <row r="8480" spans="5:18" s="65" customFormat="1">
      <c r="E8480" s="130"/>
      <c r="P8480" s="99"/>
      <c r="Q8480" s="99"/>
      <c r="R8480" s="99"/>
    </row>
    <row r="8481" spans="5:18" s="65" customFormat="1">
      <c r="E8481" s="130"/>
      <c r="P8481" s="99"/>
      <c r="Q8481" s="99"/>
      <c r="R8481" s="99"/>
    </row>
    <row r="8482" spans="5:18" s="65" customFormat="1">
      <c r="E8482" s="130"/>
      <c r="P8482" s="99"/>
      <c r="Q8482" s="99"/>
      <c r="R8482" s="99"/>
    </row>
    <row r="8483" spans="5:18" s="65" customFormat="1">
      <c r="E8483" s="130"/>
      <c r="P8483" s="99"/>
      <c r="Q8483" s="99"/>
      <c r="R8483" s="99"/>
    </row>
    <row r="8484" spans="5:18" s="65" customFormat="1">
      <c r="E8484" s="130"/>
      <c r="P8484" s="99"/>
      <c r="Q8484" s="99"/>
      <c r="R8484" s="99"/>
    </row>
    <row r="8485" spans="5:18" s="65" customFormat="1">
      <c r="E8485" s="130"/>
      <c r="P8485" s="99"/>
      <c r="Q8485" s="99"/>
      <c r="R8485" s="99"/>
    </row>
    <row r="8486" spans="5:18" s="65" customFormat="1">
      <c r="E8486" s="130"/>
      <c r="P8486" s="99"/>
      <c r="Q8486" s="99"/>
      <c r="R8486" s="99"/>
    </row>
    <row r="8487" spans="5:18" s="65" customFormat="1">
      <c r="E8487" s="130"/>
      <c r="P8487" s="99"/>
      <c r="Q8487" s="99"/>
      <c r="R8487" s="99"/>
    </row>
    <row r="8488" spans="5:18" s="65" customFormat="1">
      <c r="E8488" s="130"/>
      <c r="P8488" s="99"/>
      <c r="Q8488" s="99"/>
      <c r="R8488" s="99"/>
    </row>
    <row r="8489" spans="5:18" s="65" customFormat="1">
      <c r="E8489" s="130"/>
      <c r="P8489" s="99"/>
      <c r="Q8489" s="99"/>
      <c r="R8489" s="99"/>
    </row>
    <row r="8490" spans="5:18" s="65" customFormat="1">
      <c r="E8490" s="130"/>
      <c r="P8490" s="99"/>
      <c r="Q8490" s="99"/>
      <c r="R8490" s="99"/>
    </row>
    <row r="8491" spans="5:18" s="65" customFormat="1">
      <c r="E8491" s="130"/>
      <c r="P8491" s="99"/>
      <c r="Q8491" s="99"/>
      <c r="R8491" s="99"/>
    </row>
    <row r="8492" spans="5:18" s="65" customFormat="1">
      <c r="E8492" s="130"/>
      <c r="P8492" s="99"/>
      <c r="Q8492" s="99"/>
      <c r="R8492" s="99"/>
    </row>
    <row r="8493" spans="5:18" s="65" customFormat="1">
      <c r="E8493" s="130"/>
      <c r="P8493" s="99"/>
      <c r="Q8493" s="99"/>
      <c r="R8493" s="99"/>
    </row>
    <row r="8494" spans="5:18" s="65" customFormat="1">
      <c r="E8494" s="130"/>
      <c r="P8494" s="99"/>
      <c r="Q8494" s="99"/>
      <c r="R8494" s="99"/>
    </row>
    <row r="8495" spans="5:18" s="65" customFormat="1">
      <c r="E8495" s="130"/>
      <c r="P8495" s="99"/>
      <c r="Q8495" s="99"/>
      <c r="R8495" s="99"/>
    </row>
    <row r="8496" spans="5:18" s="65" customFormat="1">
      <c r="E8496" s="130"/>
      <c r="P8496" s="99"/>
      <c r="Q8496" s="99"/>
      <c r="R8496" s="99"/>
    </row>
    <row r="8497" spans="5:18" s="65" customFormat="1">
      <c r="E8497" s="130"/>
      <c r="P8497" s="99"/>
      <c r="Q8497" s="99"/>
      <c r="R8497" s="99"/>
    </row>
    <row r="8498" spans="5:18" s="65" customFormat="1">
      <c r="E8498" s="130"/>
      <c r="P8498" s="99"/>
      <c r="Q8498" s="99"/>
      <c r="R8498" s="99"/>
    </row>
    <row r="8499" spans="5:18" s="65" customFormat="1">
      <c r="E8499" s="130"/>
      <c r="P8499" s="99"/>
      <c r="Q8499" s="99"/>
      <c r="R8499" s="99"/>
    </row>
    <row r="8500" spans="5:18" s="65" customFormat="1">
      <c r="E8500" s="130"/>
      <c r="P8500" s="99"/>
      <c r="Q8500" s="99"/>
      <c r="R8500" s="99"/>
    </row>
    <row r="8501" spans="5:18" s="65" customFormat="1">
      <c r="E8501" s="130"/>
      <c r="P8501" s="99"/>
      <c r="Q8501" s="99"/>
      <c r="R8501" s="99"/>
    </row>
    <row r="8502" spans="5:18" s="65" customFormat="1">
      <c r="E8502" s="130"/>
      <c r="P8502" s="99"/>
      <c r="Q8502" s="99"/>
      <c r="R8502" s="99"/>
    </row>
    <row r="8503" spans="5:18" s="65" customFormat="1">
      <c r="E8503" s="130"/>
      <c r="P8503" s="99"/>
      <c r="Q8503" s="99"/>
      <c r="R8503" s="99"/>
    </row>
    <row r="8504" spans="5:18" s="65" customFormat="1">
      <c r="E8504" s="130"/>
      <c r="P8504" s="99"/>
      <c r="Q8504" s="99"/>
      <c r="R8504" s="99"/>
    </row>
    <row r="8505" spans="5:18" s="65" customFormat="1">
      <c r="E8505" s="130"/>
      <c r="P8505" s="99"/>
      <c r="Q8505" s="99"/>
      <c r="R8505" s="99"/>
    </row>
    <row r="8506" spans="5:18" s="65" customFormat="1">
      <c r="E8506" s="130"/>
      <c r="P8506" s="99"/>
      <c r="Q8506" s="99"/>
      <c r="R8506" s="99"/>
    </row>
    <row r="8507" spans="5:18" s="65" customFormat="1">
      <c r="E8507" s="130"/>
      <c r="P8507" s="99"/>
      <c r="Q8507" s="99"/>
      <c r="R8507" s="99"/>
    </row>
    <row r="8508" spans="5:18" s="65" customFormat="1">
      <c r="E8508" s="130"/>
      <c r="P8508" s="99"/>
      <c r="Q8508" s="99"/>
      <c r="R8508" s="99"/>
    </row>
    <row r="8509" spans="5:18" s="65" customFormat="1">
      <c r="E8509" s="130"/>
      <c r="P8509" s="99"/>
      <c r="Q8509" s="99"/>
      <c r="R8509" s="99"/>
    </row>
    <row r="8510" spans="5:18" s="65" customFormat="1">
      <c r="E8510" s="130"/>
      <c r="P8510" s="99"/>
      <c r="Q8510" s="99"/>
      <c r="R8510" s="99"/>
    </row>
    <row r="8511" spans="5:18" s="65" customFormat="1">
      <c r="E8511" s="130"/>
      <c r="P8511" s="99"/>
      <c r="Q8511" s="99"/>
      <c r="R8511" s="99"/>
    </row>
    <row r="8512" spans="5:18" s="65" customFormat="1">
      <c r="E8512" s="130"/>
      <c r="P8512" s="99"/>
      <c r="Q8512" s="99"/>
      <c r="R8512" s="99"/>
    </row>
    <row r="8513" spans="5:18" s="65" customFormat="1">
      <c r="E8513" s="130"/>
      <c r="P8513" s="99"/>
      <c r="Q8513" s="99"/>
      <c r="R8513" s="99"/>
    </row>
    <row r="8514" spans="5:18" s="65" customFormat="1">
      <c r="E8514" s="130"/>
      <c r="P8514" s="99"/>
      <c r="Q8514" s="99"/>
      <c r="R8514" s="99"/>
    </row>
    <row r="8515" spans="5:18" s="65" customFormat="1">
      <c r="E8515" s="130"/>
      <c r="P8515" s="99"/>
      <c r="Q8515" s="99"/>
      <c r="R8515" s="99"/>
    </row>
    <row r="8516" spans="5:18" s="65" customFormat="1">
      <c r="E8516" s="130"/>
      <c r="P8516" s="99"/>
      <c r="Q8516" s="99"/>
      <c r="R8516" s="99"/>
    </row>
    <row r="8517" spans="5:18" s="65" customFormat="1">
      <c r="E8517" s="130"/>
      <c r="P8517" s="99"/>
      <c r="Q8517" s="99"/>
      <c r="R8517" s="99"/>
    </row>
    <row r="8518" spans="5:18" s="65" customFormat="1">
      <c r="E8518" s="130"/>
      <c r="P8518" s="99"/>
      <c r="Q8518" s="99"/>
      <c r="R8518" s="99"/>
    </row>
    <row r="8519" spans="5:18" s="65" customFormat="1">
      <c r="E8519" s="130"/>
      <c r="P8519" s="99"/>
      <c r="Q8519" s="99"/>
      <c r="R8519" s="99"/>
    </row>
    <row r="8520" spans="5:18" s="65" customFormat="1">
      <c r="E8520" s="130"/>
      <c r="P8520" s="99"/>
      <c r="Q8520" s="99"/>
      <c r="R8520" s="99"/>
    </row>
    <row r="8521" spans="5:18" s="65" customFormat="1">
      <c r="E8521" s="130"/>
      <c r="P8521" s="99"/>
      <c r="Q8521" s="99"/>
      <c r="R8521" s="99"/>
    </row>
    <row r="8522" spans="5:18" s="65" customFormat="1">
      <c r="E8522" s="130"/>
      <c r="P8522" s="99"/>
      <c r="Q8522" s="99"/>
      <c r="R8522" s="99"/>
    </row>
    <row r="8523" spans="5:18" s="65" customFormat="1">
      <c r="E8523" s="130"/>
      <c r="P8523" s="99"/>
      <c r="Q8523" s="99"/>
      <c r="R8523" s="99"/>
    </row>
    <row r="8524" spans="5:18" s="65" customFormat="1">
      <c r="E8524" s="130"/>
      <c r="P8524" s="99"/>
      <c r="Q8524" s="99"/>
      <c r="R8524" s="99"/>
    </row>
    <row r="8525" spans="5:18" s="65" customFormat="1">
      <c r="E8525" s="130"/>
      <c r="P8525" s="99"/>
      <c r="Q8525" s="99"/>
      <c r="R8525" s="99"/>
    </row>
    <row r="8526" spans="5:18" s="65" customFormat="1">
      <c r="E8526" s="130"/>
      <c r="P8526" s="99"/>
      <c r="Q8526" s="99"/>
      <c r="R8526" s="99"/>
    </row>
    <row r="8527" spans="5:18" s="65" customFormat="1">
      <c r="E8527" s="130"/>
      <c r="P8527" s="99"/>
      <c r="Q8527" s="99"/>
      <c r="R8527" s="99"/>
    </row>
    <row r="8528" spans="5:18" s="65" customFormat="1">
      <c r="E8528" s="130"/>
      <c r="P8528" s="99"/>
      <c r="Q8528" s="99"/>
      <c r="R8528" s="99"/>
    </row>
    <row r="8529" spans="5:18" s="65" customFormat="1">
      <c r="E8529" s="130"/>
      <c r="P8529" s="99"/>
      <c r="Q8529" s="99"/>
      <c r="R8529" s="99"/>
    </row>
    <row r="8530" spans="5:18" s="65" customFormat="1">
      <c r="E8530" s="130"/>
      <c r="P8530" s="99"/>
      <c r="Q8530" s="99"/>
      <c r="R8530" s="99"/>
    </row>
    <row r="8531" spans="5:18" s="65" customFormat="1">
      <c r="E8531" s="130"/>
      <c r="P8531" s="99"/>
      <c r="Q8531" s="99"/>
      <c r="R8531" s="99"/>
    </row>
    <row r="8532" spans="5:18" s="65" customFormat="1">
      <c r="E8532" s="130"/>
      <c r="P8532" s="99"/>
      <c r="Q8532" s="99"/>
      <c r="R8532" s="99"/>
    </row>
    <row r="8533" spans="5:18" s="65" customFormat="1">
      <c r="E8533" s="130"/>
      <c r="P8533" s="99"/>
      <c r="Q8533" s="99"/>
      <c r="R8533" s="99"/>
    </row>
    <row r="8534" spans="5:18" s="65" customFormat="1">
      <c r="E8534" s="130"/>
      <c r="P8534" s="99"/>
      <c r="Q8534" s="99"/>
      <c r="R8534" s="99"/>
    </row>
    <row r="8535" spans="5:18" s="65" customFormat="1">
      <c r="E8535" s="130"/>
      <c r="P8535" s="99"/>
      <c r="Q8535" s="99"/>
      <c r="R8535" s="99"/>
    </row>
    <row r="8536" spans="5:18" s="65" customFormat="1">
      <c r="E8536" s="130"/>
      <c r="P8536" s="99"/>
      <c r="Q8536" s="99"/>
      <c r="R8536" s="99"/>
    </row>
    <row r="8537" spans="5:18" s="65" customFormat="1">
      <c r="E8537" s="130"/>
      <c r="P8537" s="99"/>
      <c r="Q8537" s="99"/>
      <c r="R8537" s="99"/>
    </row>
    <row r="8538" spans="5:18" s="65" customFormat="1">
      <c r="E8538" s="130"/>
      <c r="P8538" s="99"/>
      <c r="Q8538" s="99"/>
      <c r="R8538" s="99"/>
    </row>
    <row r="8539" spans="5:18" s="65" customFormat="1">
      <c r="E8539" s="130"/>
      <c r="P8539" s="99"/>
      <c r="Q8539" s="99"/>
      <c r="R8539" s="99"/>
    </row>
    <row r="8540" spans="5:18" s="65" customFormat="1">
      <c r="E8540" s="130"/>
      <c r="P8540" s="99"/>
      <c r="Q8540" s="99"/>
      <c r="R8540" s="99"/>
    </row>
    <row r="8541" spans="5:18" s="65" customFormat="1">
      <c r="E8541" s="130"/>
      <c r="P8541" s="99"/>
      <c r="Q8541" s="99"/>
      <c r="R8541" s="99"/>
    </row>
    <row r="8542" spans="5:18" s="65" customFormat="1">
      <c r="E8542" s="130"/>
      <c r="P8542" s="99"/>
      <c r="Q8542" s="99"/>
      <c r="R8542" s="99"/>
    </row>
    <row r="8543" spans="5:18" s="65" customFormat="1">
      <c r="E8543" s="130"/>
      <c r="P8543" s="99"/>
      <c r="Q8543" s="99"/>
      <c r="R8543" s="99"/>
    </row>
    <row r="8544" spans="5:18" s="65" customFormat="1">
      <c r="E8544" s="130"/>
      <c r="P8544" s="99"/>
      <c r="Q8544" s="99"/>
      <c r="R8544" s="99"/>
    </row>
    <row r="8545" spans="5:18" s="65" customFormat="1">
      <c r="E8545" s="130"/>
      <c r="P8545" s="99"/>
      <c r="Q8545" s="99"/>
      <c r="R8545" s="99"/>
    </row>
    <row r="8546" spans="5:18" s="65" customFormat="1">
      <c r="E8546" s="130"/>
      <c r="P8546" s="99"/>
      <c r="Q8546" s="99"/>
      <c r="R8546" s="99"/>
    </row>
    <row r="8547" spans="5:18" s="65" customFormat="1">
      <c r="E8547" s="130"/>
      <c r="P8547" s="99"/>
      <c r="Q8547" s="99"/>
      <c r="R8547" s="99"/>
    </row>
    <row r="8548" spans="5:18" s="65" customFormat="1">
      <c r="E8548" s="130"/>
      <c r="P8548" s="99"/>
      <c r="Q8548" s="99"/>
      <c r="R8548" s="99"/>
    </row>
    <row r="8549" spans="5:18" s="65" customFormat="1">
      <c r="E8549" s="130"/>
      <c r="P8549" s="99"/>
      <c r="Q8549" s="99"/>
      <c r="R8549" s="99"/>
    </row>
    <row r="8550" spans="5:18" s="65" customFormat="1">
      <c r="E8550" s="130"/>
      <c r="P8550" s="99"/>
      <c r="Q8550" s="99"/>
      <c r="R8550" s="99"/>
    </row>
    <row r="8551" spans="5:18" s="65" customFormat="1">
      <c r="E8551" s="130"/>
      <c r="P8551" s="99"/>
      <c r="Q8551" s="99"/>
      <c r="R8551" s="99"/>
    </row>
    <row r="8552" spans="5:18" s="65" customFormat="1">
      <c r="E8552" s="130"/>
      <c r="P8552" s="99"/>
      <c r="Q8552" s="99"/>
      <c r="R8552" s="99"/>
    </row>
    <row r="8553" spans="5:18" s="65" customFormat="1">
      <c r="E8553" s="130"/>
      <c r="P8553" s="99"/>
      <c r="Q8553" s="99"/>
      <c r="R8553" s="99"/>
    </row>
    <row r="8554" spans="5:18" s="65" customFormat="1">
      <c r="E8554" s="130"/>
      <c r="P8554" s="99"/>
      <c r="Q8554" s="99"/>
      <c r="R8554" s="99"/>
    </row>
    <row r="8555" spans="5:18" s="65" customFormat="1">
      <c r="E8555" s="130"/>
      <c r="P8555" s="99"/>
      <c r="Q8555" s="99"/>
      <c r="R8555" s="99"/>
    </row>
    <row r="8556" spans="5:18" s="65" customFormat="1">
      <c r="E8556" s="130"/>
      <c r="P8556" s="99"/>
      <c r="Q8556" s="99"/>
      <c r="R8556" s="99"/>
    </row>
    <row r="8557" spans="5:18" s="65" customFormat="1">
      <c r="E8557" s="130"/>
      <c r="P8557" s="99"/>
      <c r="Q8557" s="99"/>
      <c r="R8557" s="99"/>
    </row>
    <row r="8558" spans="5:18" s="65" customFormat="1">
      <c r="E8558" s="130"/>
      <c r="P8558" s="99"/>
      <c r="Q8558" s="99"/>
      <c r="R8558" s="99"/>
    </row>
    <row r="8559" spans="5:18" s="65" customFormat="1">
      <c r="E8559" s="130"/>
      <c r="P8559" s="99"/>
      <c r="Q8559" s="99"/>
      <c r="R8559" s="99"/>
    </row>
    <row r="8560" spans="5:18" s="65" customFormat="1">
      <c r="E8560" s="130"/>
      <c r="P8560" s="99"/>
      <c r="Q8560" s="99"/>
      <c r="R8560" s="99"/>
    </row>
    <row r="8561" spans="5:18" s="65" customFormat="1">
      <c r="E8561" s="130"/>
      <c r="P8561" s="99"/>
      <c r="Q8561" s="99"/>
      <c r="R8561" s="99"/>
    </row>
    <row r="8562" spans="5:18" s="65" customFormat="1">
      <c r="E8562" s="130"/>
      <c r="P8562" s="99"/>
      <c r="Q8562" s="99"/>
      <c r="R8562" s="99"/>
    </row>
    <row r="8563" spans="5:18" s="65" customFormat="1">
      <c r="E8563" s="130"/>
      <c r="P8563" s="99"/>
      <c r="Q8563" s="99"/>
      <c r="R8563" s="99"/>
    </row>
    <row r="8564" spans="5:18" s="65" customFormat="1">
      <c r="E8564" s="130"/>
      <c r="P8564" s="99"/>
      <c r="Q8564" s="99"/>
      <c r="R8564" s="99"/>
    </row>
    <row r="8565" spans="5:18" s="65" customFormat="1">
      <c r="E8565" s="130"/>
      <c r="P8565" s="99"/>
      <c r="Q8565" s="99"/>
      <c r="R8565" s="99"/>
    </row>
    <row r="8566" spans="5:18" s="65" customFormat="1">
      <c r="E8566" s="130"/>
      <c r="P8566" s="99"/>
      <c r="Q8566" s="99"/>
      <c r="R8566" s="99"/>
    </row>
    <row r="8567" spans="5:18" s="65" customFormat="1">
      <c r="E8567" s="130"/>
      <c r="P8567" s="99"/>
      <c r="Q8567" s="99"/>
      <c r="R8567" s="99"/>
    </row>
    <row r="8568" spans="5:18" s="65" customFormat="1">
      <c r="E8568" s="130"/>
      <c r="P8568" s="99"/>
      <c r="Q8568" s="99"/>
      <c r="R8568" s="99"/>
    </row>
    <row r="8569" spans="5:18" s="65" customFormat="1">
      <c r="E8569" s="130"/>
      <c r="P8569" s="99"/>
      <c r="Q8569" s="99"/>
      <c r="R8569" s="99"/>
    </row>
    <row r="8570" spans="5:18" s="65" customFormat="1">
      <c r="E8570" s="130"/>
      <c r="P8570" s="99"/>
      <c r="Q8570" s="99"/>
      <c r="R8570" s="99"/>
    </row>
    <row r="8571" spans="5:18" s="65" customFormat="1">
      <c r="E8571" s="130"/>
      <c r="P8571" s="99"/>
      <c r="Q8571" s="99"/>
      <c r="R8571" s="99"/>
    </row>
    <row r="8572" spans="5:18" s="65" customFormat="1">
      <c r="E8572" s="130"/>
      <c r="P8572" s="99"/>
      <c r="Q8572" s="99"/>
      <c r="R8572" s="99"/>
    </row>
    <row r="8573" spans="5:18" s="65" customFormat="1">
      <c r="E8573" s="130"/>
      <c r="P8573" s="99"/>
      <c r="Q8573" s="99"/>
      <c r="R8573" s="99"/>
    </row>
    <row r="8574" spans="5:18" s="65" customFormat="1">
      <c r="E8574" s="130"/>
      <c r="P8574" s="99"/>
      <c r="Q8574" s="99"/>
      <c r="R8574" s="99"/>
    </row>
    <row r="8575" spans="5:18" s="65" customFormat="1">
      <c r="E8575" s="130"/>
      <c r="P8575" s="99"/>
      <c r="Q8575" s="99"/>
      <c r="R8575" s="99"/>
    </row>
    <row r="8576" spans="5:18" s="65" customFormat="1">
      <c r="E8576" s="130"/>
      <c r="P8576" s="99"/>
      <c r="Q8576" s="99"/>
      <c r="R8576" s="99"/>
    </row>
    <row r="8577" spans="5:18" s="65" customFormat="1">
      <c r="E8577" s="130"/>
      <c r="P8577" s="99"/>
      <c r="Q8577" s="99"/>
      <c r="R8577" s="99"/>
    </row>
    <row r="8578" spans="5:18" s="65" customFormat="1">
      <c r="E8578" s="130"/>
      <c r="P8578" s="99"/>
      <c r="Q8578" s="99"/>
      <c r="R8578" s="99"/>
    </row>
    <row r="8579" spans="5:18" s="65" customFormat="1">
      <c r="E8579" s="130"/>
      <c r="P8579" s="99"/>
      <c r="Q8579" s="99"/>
      <c r="R8579" s="99"/>
    </row>
    <row r="8580" spans="5:18" s="65" customFormat="1">
      <c r="E8580" s="130"/>
      <c r="P8580" s="99"/>
      <c r="Q8580" s="99"/>
      <c r="R8580" s="99"/>
    </row>
    <row r="8581" spans="5:18" s="65" customFormat="1">
      <c r="E8581" s="130"/>
      <c r="P8581" s="99"/>
      <c r="Q8581" s="99"/>
      <c r="R8581" s="99"/>
    </row>
    <row r="8582" spans="5:18" s="65" customFormat="1">
      <c r="E8582" s="130"/>
      <c r="P8582" s="99"/>
      <c r="Q8582" s="99"/>
      <c r="R8582" s="99"/>
    </row>
    <row r="8583" spans="5:18" s="65" customFormat="1">
      <c r="E8583" s="130"/>
      <c r="P8583" s="99"/>
      <c r="Q8583" s="99"/>
      <c r="R8583" s="99"/>
    </row>
    <row r="8584" spans="5:18" s="65" customFormat="1">
      <c r="E8584" s="130"/>
      <c r="P8584" s="99"/>
      <c r="Q8584" s="99"/>
      <c r="R8584" s="99"/>
    </row>
    <row r="8585" spans="5:18" s="65" customFormat="1">
      <c r="E8585" s="130"/>
      <c r="P8585" s="99"/>
      <c r="Q8585" s="99"/>
      <c r="R8585" s="99"/>
    </row>
    <row r="8586" spans="5:18" s="65" customFormat="1">
      <c r="E8586" s="130"/>
      <c r="P8586" s="99"/>
      <c r="Q8586" s="99"/>
      <c r="R8586" s="99"/>
    </row>
    <row r="8587" spans="5:18" s="65" customFormat="1">
      <c r="E8587" s="130"/>
      <c r="P8587" s="99"/>
      <c r="Q8587" s="99"/>
      <c r="R8587" s="99"/>
    </row>
    <row r="8588" spans="5:18" s="65" customFormat="1">
      <c r="E8588" s="130"/>
      <c r="P8588" s="99"/>
      <c r="Q8588" s="99"/>
      <c r="R8588" s="99"/>
    </row>
    <row r="8589" spans="5:18" s="65" customFormat="1">
      <c r="E8589" s="130"/>
      <c r="P8589" s="99"/>
      <c r="Q8589" s="99"/>
      <c r="R8589" s="99"/>
    </row>
    <row r="8590" spans="5:18" s="65" customFormat="1">
      <c r="E8590" s="130"/>
      <c r="P8590" s="99"/>
      <c r="Q8590" s="99"/>
      <c r="R8590" s="99"/>
    </row>
    <row r="8591" spans="5:18" s="65" customFormat="1">
      <c r="E8591" s="130"/>
      <c r="P8591" s="99"/>
      <c r="Q8591" s="99"/>
      <c r="R8591" s="99"/>
    </row>
    <row r="8592" spans="5:18" s="65" customFormat="1">
      <c r="E8592" s="130"/>
      <c r="P8592" s="99"/>
      <c r="Q8592" s="99"/>
      <c r="R8592" s="99"/>
    </row>
    <row r="8593" spans="5:18" s="65" customFormat="1">
      <c r="E8593" s="130"/>
      <c r="P8593" s="99"/>
      <c r="Q8593" s="99"/>
      <c r="R8593" s="99"/>
    </row>
    <row r="8594" spans="5:18" s="65" customFormat="1">
      <c r="E8594" s="130"/>
      <c r="P8594" s="99"/>
      <c r="Q8594" s="99"/>
      <c r="R8594" s="99"/>
    </row>
    <row r="8595" spans="5:18" s="65" customFormat="1">
      <c r="E8595" s="130"/>
      <c r="P8595" s="99"/>
      <c r="Q8595" s="99"/>
      <c r="R8595" s="99"/>
    </row>
    <row r="8596" spans="5:18" s="65" customFormat="1">
      <c r="E8596" s="130"/>
      <c r="P8596" s="99"/>
      <c r="Q8596" s="99"/>
      <c r="R8596" s="99"/>
    </row>
    <row r="8597" spans="5:18" s="65" customFormat="1">
      <c r="E8597" s="130"/>
      <c r="P8597" s="99"/>
      <c r="Q8597" s="99"/>
      <c r="R8597" s="99"/>
    </row>
    <row r="8598" spans="5:18" s="65" customFormat="1">
      <c r="E8598" s="130"/>
      <c r="P8598" s="99"/>
      <c r="Q8598" s="99"/>
      <c r="R8598" s="99"/>
    </row>
    <row r="8599" spans="5:18" s="65" customFormat="1">
      <c r="E8599" s="130"/>
      <c r="P8599" s="99"/>
      <c r="Q8599" s="99"/>
      <c r="R8599" s="99"/>
    </row>
    <row r="8600" spans="5:18" s="65" customFormat="1">
      <c r="E8600" s="130"/>
      <c r="P8600" s="99"/>
      <c r="Q8600" s="99"/>
      <c r="R8600" s="99"/>
    </row>
    <row r="8601" spans="5:18" s="65" customFormat="1">
      <c r="E8601" s="130"/>
      <c r="P8601" s="99"/>
      <c r="Q8601" s="99"/>
      <c r="R8601" s="99"/>
    </row>
    <row r="8602" spans="5:18" s="65" customFormat="1">
      <c r="E8602" s="130"/>
      <c r="P8602" s="99"/>
      <c r="Q8602" s="99"/>
      <c r="R8602" s="99"/>
    </row>
    <row r="8603" spans="5:18" s="65" customFormat="1">
      <c r="E8603" s="130"/>
      <c r="P8603" s="99"/>
      <c r="Q8603" s="99"/>
      <c r="R8603" s="99"/>
    </row>
    <row r="8604" spans="5:18" s="65" customFormat="1">
      <c r="E8604" s="130"/>
      <c r="P8604" s="99"/>
      <c r="Q8604" s="99"/>
      <c r="R8604" s="99"/>
    </row>
    <row r="8605" spans="5:18" s="65" customFormat="1">
      <c r="E8605" s="130"/>
      <c r="P8605" s="99"/>
      <c r="Q8605" s="99"/>
      <c r="R8605" s="99"/>
    </row>
    <row r="8606" spans="5:18" s="65" customFormat="1">
      <c r="E8606" s="130"/>
      <c r="P8606" s="99"/>
      <c r="Q8606" s="99"/>
      <c r="R8606" s="99"/>
    </row>
    <row r="8607" spans="5:18" s="65" customFormat="1">
      <c r="E8607" s="130"/>
      <c r="P8607" s="99"/>
      <c r="Q8607" s="99"/>
      <c r="R8607" s="99"/>
    </row>
    <row r="8608" spans="5:18" s="65" customFormat="1">
      <c r="E8608" s="130"/>
      <c r="P8608" s="99"/>
      <c r="Q8608" s="99"/>
      <c r="R8608" s="99"/>
    </row>
    <row r="8609" spans="5:18" s="65" customFormat="1">
      <c r="E8609" s="130"/>
      <c r="P8609" s="99"/>
      <c r="Q8609" s="99"/>
      <c r="R8609" s="99"/>
    </row>
    <row r="8610" spans="5:18" s="65" customFormat="1">
      <c r="E8610" s="130"/>
      <c r="P8610" s="99"/>
      <c r="Q8610" s="99"/>
      <c r="R8610" s="99"/>
    </row>
    <row r="8611" spans="5:18" s="65" customFormat="1">
      <c r="E8611" s="130"/>
      <c r="P8611" s="99"/>
      <c r="Q8611" s="99"/>
      <c r="R8611" s="99"/>
    </row>
    <row r="8612" spans="5:18" s="65" customFormat="1">
      <c r="E8612" s="130"/>
      <c r="P8612" s="99"/>
      <c r="Q8612" s="99"/>
      <c r="R8612" s="99"/>
    </row>
    <row r="8613" spans="5:18" s="65" customFormat="1">
      <c r="E8613" s="130"/>
      <c r="P8613" s="99"/>
      <c r="Q8613" s="99"/>
      <c r="R8613" s="99"/>
    </row>
    <row r="8614" spans="5:18" s="65" customFormat="1">
      <c r="E8614" s="130"/>
      <c r="P8614" s="99"/>
      <c r="Q8614" s="99"/>
      <c r="R8614" s="99"/>
    </row>
    <row r="8615" spans="5:18" s="65" customFormat="1">
      <c r="E8615" s="130"/>
      <c r="P8615" s="99"/>
      <c r="Q8615" s="99"/>
      <c r="R8615" s="99"/>
    </row>
    <row r="8616" spans="5:18" s="65" customFormat="1">
      <c r="E8616" s="130"/>
      <c r="P8616" s="99"/>
      <c r="Q8616" s="99"/>
      <c r="R8616" s="99"/>
    </row>
    <row r="8617" spans="5:18" s="65" customFormat="1">
      <c r="E8617" s="130"/>
      <c r="P8617" s="99"/>
      <c r="Q8617" s="99"/>
      <c r="R8617" s="99"/>
    </row>
    <row r="8618" spans="5:18" s="65" customFormat="1">
      <c r="E8618" s="130"/>
      <c r="P8618" s="99"/>
      <c r="Q8618" s="99"/>
      <c r="R8618" s="99"/>
    </row>
    <row r="8619" spans="5:18" s="65" customFormat="1">
      <c r="E8619" s="130"/>
      <c r="P8619" s="99"/>
      <c r="Q8619" s="99"/>
      <c r="R8619" s="99"/>
    </row>
    <row r="8620" spans="5:18" s="65" customFormat="1">
      <c r="E8620" s="130"/>
      <c r="P8620" s="99"/>
      <c r="Q8620" s="99"/>
      <c r="R8620" s="99"/>
    </row>
    <row r="8621" spans="5:18" s="65" customFormat="1">
      <c r="E8621" s="130"/>
      <c r="P8621" s="99"/>
      <c r="Q8621" s="99"/>
      <c r="R8621" s="99"/>
    </row>
    <row r="8622" spans="5:18" s="65" customFormat="1">
      <c r="E8622" s="130"/>
      <c r="P8622" s="99"/>
      <c r="Q8622" s="99"/>
      <c r="R8622" s="99"/>
    </row>
    <row r="8623" spans="5:18" s="65" customFormat="1">
      <c r="E8623" s="130"/>
      <c r="P8623" s="99"/>
      <c r="Q8623" s="99"/>
      <c r="R8623" s="99"/>
    </row>
    <row r="8624" spans="5:18" s="65" customFormat="1">
      <c r="E8624" s="130"/>
      <c r="P8624" s="99"/>
      <c r="Q8624" s="99"/>
      <c r="R8624" s="99"/>
    </row>
    <row r="8625" spans="5:18" s="65" customFormat="1">
      <c r="E8625" s="130"/>
      <c r="P8625" s="99"/>
      <c r="Q8625" s="99"/>
      <c r="R8625" s="99"/>
    </row>
    <row r="8626" spans="5:18" s="65" customFormat="1">
      <c r="E8626" s="130"/>
      <c r="P8626" s="99"/>
      <c r="Q8626" s="99"/>
      <c r="R8626" s="99"/>
    </row>
    <row r="8627" spans="5:18" s="65" customFormat="1">
      <c r="E8627" s="130"/>
      <c r="P8627" s="99"/>
      <c r="Q8627" s="99"/>
      <c r="R8627" s="99"/>
    </row>
    <row r="8628" spans="5:18" s="65" customFormat="1">
      <c r="E8628" s="130"/>
      <c r="P8628" s="99"/>
      <c r="Q8628" s="99"/>
      <c r="R8628" s="99"/>
    </row>
    <row r="8629" spans="5:18" s="65" customFormat="1">
      <c r="E8629" s="130"/>
      <c r="P8629" s="99"/>
      <c r="Q8629" s="99"/>
      <c r="R8629" s="99"/>
    </row>
    <row r="8630" spans="5:18" s="65" customFormat="1">
      <c r="E8630" s="130"/>
      <c r="P8630" s="99"/>
      <c r="Q8630" s="99"/>
      <c r="R8630" s="99"/>
    </row>
    <row r="8631" spans="5:18" s="65" customFormat="1">
      <c r="E8631" s="130"/>
      <c r="P8631" s="99"/>
      <c r="Q8631" s="99"/>
      <c r="R8631" s="99"/>
    </row>
    <row r="8632" spans="5:18" s="65" customFormat="1">
      <c r="E8632" s="130"/>
      <c r="P8632" s="99"/>
      <c r="Q8632" s="99"/>
      <c r="R8632" s="99"/>
    </row>
    <row r="8633" spans="5:18" s="65" customFormat="1">
      <c r="E8633" s="130"/>
      <c r="P8633" s="99"/>
      <c r="Q8633" s="99"/>
      <c r="R8633" s="99"/>
    </row>
    <row r="8634" spans="5:18" s="65" customFormat="1">
      <c r="E8634" s="130"/>
      <c r="P8634" s="99"/>
      <c r="Q8634" s="99"/>
      <c r="R8634" s="99"/>
    </row>
    <row r="8635" spans="5:18" s="65" customFormat="1">
      <c r="E8635" s="130"/>
      <c r="P8635" s="99"/>
      <c r="Q8635" s="99"/>
      <c r="R8635" s="99"/>
    </row>
    <row r="8636" spans="5:18" s="65" customFormat="1">
      <c r="E8636" s="130"/>
      <c r="P8636" s="99"/>
      <c r="Q8636" s="99"/>
      <c r="R8636" s="99"/>
    </row>
    <row r="8637" spans="5:18" s="65" customFormat="1">
      <c r="E8637" s="130"/>
      <c r="P8637" s="99"/>
      <c r="Q8637" s="99"/>
      <c r="R8637" s="99"/>
    </row>
    <row r="8638" spans="5:18" s="65" customFormat="1">
      <c r="E8638" s="130"/>
      <c r="P8638" s="99"/>
      <c r="Q8638" s="99"/>
      <c r="R8638" s="99"/>
    </row>
    <row r="8639" spans="5:18" s="65" customFormat="1">
      <c r="E8639" s="130"/>
      <c r="P8639" s="99"/>
      <c r="Q8639" s="99"/>
      <c r="R8639" s="99"/>
    </row>
    <row r="8640" spans="5:18" s="65" customFormat="1">
      <c r="E8640" s="130"/>
      <c r="P8640" s="99"/>
      <c r="Q8640" s="99"/>
      <c r="R8640" s="99"/>
    </row>
    <row r="8641" spans="5:18" s="65" customFormat="1">
      <c r="E8641" s="130"/>
      <c r="P8641" s="99"/>
      <c r="Q8641" s="99"/>
      <c r="R8641" s="99"/>
    </row>
    <row r="8642" spans="5:18" s="65" customFormat="1">
      <c r="E8642" s="130"/>
      <c r="P8642" s="99"/>
      <c r="Q8642" s="99"/>
      <c r="R8642" s="99"/>
    </row>
    <row r="8643" spans="5:18" s="65" customFormat="1">
      <c r="E8643" s="130"/>
      <c r="P8643" s="99"/>
      <c r="Q8643" s="99"/>
      <c r="R8643" s="99"/>
    </row>
    <row r="8644" spans="5:18" s="65" customFormat="1">
      <c r="E8644" s="130"/>
      <c r="P8644" s="99"/>
      <c r="Q8644" s="99"/>
      <c r="R8644" s="99"/>
    </row>
    <row r="8645" spans="5:18" s="65" customFormat="1">
      <c r="E8645" s="130"/>
      <c r="P8645" s="99"/>
      <c r="Q8645" s="99"/>
      <c r="R8645" s="99"/>
    </row>
    <row r="8646" spans="5:18" s="65" customFormat="1">
      <c r="E8646" s="130"/>
      <c r="P8646" s="99"/>
      <c r="Q8646" s="99"/>
      <c r="R8646" s="99"/>
    </row>
    <row r="8647" spans="5:18" s="65" customFormat="1">
      <c r="E8647" s="130"/>
      <c r="P8647" s="99"/>
      <c r="Q8647" s="99"/>
      <c r="R8647" s="99"/>
    </row>
    <row r="8648" spans="5:18" s="65" customFormat="1">
      <c r="E8648" s="130"/>
      <c r="P8648" s="99"/>
      <c r="Q8648" s="99"/>
      <c r="R8648" s="99"/>
    </row>
    <row r="8649" spans="5:18" s="65" customFormat="1">
      <c r="E8649" s="130"/>
      <c r="P8649" s="99"/>
      <c r="Q8649" s="99"/>
      <c r="R8649" s="99"/>
    </row>
    <row r="8650" spans="5:18" s="65" customFormat="1">
      <c r="E8650" s="130"/>
      <c r="P8650" s="99"/>
      <c r="Q8650" s="99"/>
      <c r="R8650" s="99"/>
    </row>
    <row r="8651" spans="5:18" s="65" customFormat="1">
      <c r="E8651" s="130"/>
      <c r="P8651" s="99"/>
      <c r="Q8651" s="99"/>
      <c r="R8651" s="99"/>
    </row>
    <row r="8652" spans="5:18" s="65" customFormat="1">
      <c r="E8652" s="130"/>
      <c r="P8652" s="99"/>
      <c r="Q8652" s="99"/>
      <c r="R8652" s="99"/>
    </row>
    <row r="8653" spans="5:18" s="65" customFormat="1">
      <c r="E8653" s="130"/>
      <c r="P8653" s="99"/>
      <c r="Q8653" s="99"/>
      <c r="R8653" s="99"/>
    </row>
    <row r="8654" spans="5:18" s="65" customFormat="1">
      <c r="E8654" s="130"/>
      <c r="P8654" s="99"/>
      <c r="Q8654" s="99"/>
      <c r="R8654" s="99"/>
    </row>
    <row r="8655" spans="5:18" s="65" customFormat="1">
      <c r="E8655" s="130"/>
      <c r="P8655" s="99"/>
      <c r="Q8655" s="99"/>
      <c r="R8655" s="99"/>
    </row>
    <row r="8656" spans="5:18" s="65" customFormat="1">
      <c r="E8656" s="130"/>
      <c r="P8656" s="99"/>
      <c r="Q8656" s="99"/>
      <c r="R8656" s="99"/>
    </row>
    <row r="8657" spans="5:18" s="65" customFormat="1">
      <c r="E8657" s="130"/>
      <c r="P8657" s="99"/>
      <c r="Q8657" s="99"/>
      <c r="R8657" s="99"/>
    </row>
    <row r="8658" spans="5:18" s="65" customFormat="1">
      <c r="E8658" s="130"/>
      <c r="P8658" s="99"/>
      <c r="Q8658" s="99"/>
      <c r="R8658" s="99"/>
    </row>
    <row r="8659" spans="5:18" s="65" customFormat="1">
      <c r="E8659" s="130"/>
      <c r="P8659" s="99"/>
      <c r="Q8659" s="99"/>
      <c r="R8659" s="99"/>
    </row>
    <row r="8660" spans="5:18" s="65" customFormat="1">
      <c r="E8660" s="130"/>
      <c r="P8660" s="99"/>
      <c r="Q8660" s="99"/>
      <c r="R8660" s="99"/>
    </row>
    <row r="8661" spans="5:18" s="65" customFormat="1">
      <c r="E8661" s="130"/>
      <c r="P8661" s="99"/>
      <c r="Q8661" s="99"/>
      <c r="R8661" s="99"/>
    </row>
    <row r="8662" spans="5:18" s="65" customFormat="1">
      <c r="E8662" s="130"/>
      <c r="P8662" s="99"/>
      <c r="Q8662" s="99"/>
      <c r="R8662" s="99"/>
    </row>
    <row r="8663" spans="5:18" s="65" customFormat="1">
      <c r="E8663" s="130"/>
      <c r="P8663" s="99"/>
      <c r="Q8663" s="99"/>
      <c r="R8663" s="99"/>
    </row>
    <row r="8664" spans="5:18" s="65" customFormat="1">
      <c r="E8664" s="130"/>
      <c r="P8664" s="99"/>
      <c r="Q8664" s="99"/>
      <c r="R8664" s="99"/>
    </row>
    <row r="8665" spans="5:18" s="65" customFormat="1">
      <c r="E8665" s="130"/>
      <c r="P8665" s="99"/>
      <c r="Q8665" s="99"/>
      <c r="R8665" s="99"/>
    </row>
    <row r="8666" spans="5:18" s="65" customFormat="1">
      <c r="E8666" s="130"/>
      <c r="P8666" s="99"/>
      <c r="Q8666" s="99"/>
      <c r="R8666" s="99"/>
    </row>
    <row r="8667" spans="5:18" s="65" customFormat="1">
      <c r="E8667" s="130"/>
      <c r="P8667" s="99"/>
      <c r="Q8667" s="99"/>
      <c r="R8667" s="99"/>
    </row>
    <row r="8668" spans="5:18" s="65" customFormat="1">
      <c r="E8668" s="130"/>
      <c r="P8668" s="99"/>
      <c r="Q8668" s="99"/>
      <c r="R8668" s="99"/>
    </row>
    <row r="8669" spans="5:18" s="65" customFormat="1">
      <c r="E8669" s="130"/>
      <c r="P8669" s="99"/>
      <c r="Q8669" s="99"/>
      <c r="R8669" s="99"/>
    </row>
    <row r="8670" spans="5:18" s="65" customFormat="1">
      <c r="E8670" s="130"/>
      <c r="P8670" s="99"/>
      <c r="Q8670" s="99"/>
      <c r="R8670" s="99"/>
    </row>
    <row r="8671" spans="5:18" s="65" customFormat="1">
      <c r="E8671" s="130"/>
      <c r="P8671" s="99"/>
      <c r="Q8671" s="99"/>
      <c r="R8671" s="99"/>
    </row>
    <row r="8672" spans="5:18" s="65" customFormat="1">
      <c r="E8672" s="130"/>
      <c r="P8672" s="99"/>
      <c r="Q8672" s="99"/>
      <c r="R8672" s="99"/>
    </row>
    <row r="8673" spans="5:18" s="65" customFormat="1">
      <c r="E8673" s="130"/>
      <c r="P8673" s="99"/>
      <c r="Q8673" s="99"/>
      <c r="R8673" s="99"/>
    </row>
    <row r="8674" spans="5:18" s="65" customFormat="1">
      <c r="E8674" s="130"/>
      <c r="P8674" s="99"/>
      <c r="Q8674" s="99"/>
      <c r="R8674" s="99"/>
    </row>
    <row r="8675" spans="5:18" s="65" customFormat="1">
      <c r="E8675" s="130"/>
      <c r="P8675" s="99"/>
      <c r="Q8675" s="99"/>
      <c r="R8675" s="99"/>
    </row>
    <row r="8676" spans="5:18" s="65" customFormat="1">
      <c r="E8676" s="130"/>
      <c r="P8676" s="99"/>
      <c r="Q8676" s="99"/>
      <c r="R8676" s="99"/>
    </row>
    <row r="8677" spans="5:18" s="65" customFormat="1">
      <c r="E8677" s="130"/>
      <c r="P8677" s="99"/>
      <c r="Q8677" s="99"/>
      <c r="R8677" s="99"/>
    </row>
    <row r="8678" spans="5:18" s="65" customFormat="1">
      <c r="E8678" s="130"/>
      <c r="P8678" s="99"/>
      <c r="Q8678" s="99"/>
      <c r="R8678" s="99"/>
    </row>
    <row r="8679" spans="5:18" s="65" customFormat="1">
      <c r="E8679" s="130"/>
      <c r="P8679" s="99"/>
      <c r="Q8679" s="99"/>
      <c r="R8679" s="99"/>
    </row>
    <row r="8680" spans="5:18" s="65" customFormat="1">
      <c r="E8680" s="130"/>
      <c r="P8680" s="99"/>
      <c r="Q8680" s="99"/>
      <c r="R8680" s="99"/>
    </row>
    <row r="8681" spans="5:18" s="65" customFormat="1">
      <c r="E8681" s="130"/>
      <c r="P8681" s="99"/>
      <c r="Q8681" s="99"/>
      <c r="R8681" s="99"/>
    </row>
    <row r="8682" spans="5:18" s="65" customFormat="1">
      <c r="E8682" s="130"/>
      <c r="P8682" s="99"/>
      <c r="Q8682" s="99"/>
      <c r="R8682" s="99"/>
    </row>
    <row r="8683" spans="5:18" s="65" customFormat="1">
      <c r="E8683" s="130"/>
      <c r="P8683" s="99"/>
      <c r="Q8683" s="99"/>
      <c r="R8683" s="99"/>
    </row>
    <row r="8684" spans="5:18" s="65" customFormat="1">
      <c r="E8684" s="130"/>
      <c r="P8684" s="99"/>
      <c r="Q8684" s="99"/>
      <c r="R8684" s="99"/>
    </row>
    <row r="8685" spans="5:18" s="65" customFormat="1">
      <c r="E8685" s="130"/>
      <c r="P8685" s="99"/>
      <c r="Q8685" s="99"/>
      <c r="R8685" s="99"/>
    </row>
    <row r="8686" spans="5:18" s="65" customFormat="1">
      <c r="E8686" s="130"/>
      <c r="P8686" s="99"/>
      <c r="Q8686" s="99"/>
      <c r="R8686" s="99"/>
    </row>
    <row r="8687" spans="5:18" s="65" customFormat="1">
      <c r="E8687" s="130"/>
      <c r="P8687" s="99"/>
      <c r="Q8687" s="99"/>
      <c r="R8687" s="99"/>
    </row>
    <row r="8688" spans="5:18" s="65" customFormat="1">
      <c r="E8688" s="130"/>
      <c r="P8688" s="99"/>
      <c r="Q8688" s="99"/>
      <c r="R8688" s="99"/>
    </row>
    <row r="8689" spans="5:18" s="65" customFormat="1">
      <c r="E8689" s="130"/>
      <c r="P8689" s="99"/>
      <c r="Q8689" s="99"/>
      <c r="R8689" s="99"/>
    </row>
    <row r="8690" spans="5:18" s="65" customFormat="1">
      <c r="E8690" s="130"/>
      <c r="P8690" s="99"/>
      <c r="Q8690" s="99"/>
      <c r="R8690" s="99"/>
    </row>
    <row r="8691" spans="5:18" s="65" customFormat="1">
      <c r="E8691" s="130"/>
      <c r="P8691" s="99"/>
      <c r="Q8691" s="99"/>
      <c r="R8691" s="99"/>
    </row>
    <row r="8692" spans="5:18" s="65" customFormat="1">
      <c r="E8692" s="130"/>
      <c r="P8692" s="99"/>
      <c r="Q8692" s="99"/>
      <c r="R8692" s="99"/>
    </row>
    <row r="8693" spans="5:18" s="65" customFormat="1">
      <c r="E8693" s="130"/>
      <c r="P8693" s="99"/>
      <c r="Q8693" s="99"/>
      <c r="R8693" s="99"/>
    </row>
    <row r="8694" spans="5:18" s="65" customFormat="1">
      <c r="E8694" s="130"/>
      <c r="P8694" s="99"/>
      <c r="Q8694" s="99"/>
      <c r="R8694" s="99"/>
    </row>
    <row r="8695" spans="5:18" s="65" customFormat="1">
      <c r="E8695" s="130"/>
      <c r="P8695" s="99"/>
      <c r="Q8695" s="99"/>
      <c r="R8695" s="99"/>
    </row>
    <row r="8696" spans="5:18" s="65" customFormat="1">
      <c r="E8696" s="130"/>
      <c r="P8696" s="99"/>
      <c r="Q8696" s="99"/>
      <c r="R8696" s="99"/>
    </row>
    <row r="8697" spans="5:18" s="65" customFormat="1">
      <c r="E8697" s="130"/>
      <c r="P8697" s="99"/>
      <c r="Q8697" s="99"/>
      <c r="R8697" s="99"/>
    </row>
    <row r="8698" spans="5:18" s="65" customFormat="1">
      <c r="E8698" s="130"/>
      <c r="P8698" s="99"/>
      <c r="Q8698" s="99"/>
      <c r="R8698" s="99"/>
    </row>
    <row r="8699" spans="5:18" s="65" customFormat="1">
      <c r="E8699" s="130"/>
      <c r="P8699" s="99"/>
      <c r="Q8699" s="99"/>
      <c r="R8699" s="99"/>
    </row>
    <row r="8700" spans="5:18" s="65" customFormat="1">
      <c r="E8700" s="130"/>
      <c r="P8700" s="99"/>
      <c r="Q8700" s="99"/>
      <c r="R8700" s="99"/>
    </row>
    <row r="8701" spans="5:18" s="65" customFormat="1">
      <c r="E8701" s="130"/>
      <c r="P8701" s="99"/>
      <c r="Q8701" s="99"/>
      <c r="R8701" s="99"/>
    </row>
    <row r="8702" spans="5:18" s="65" customFormat="1">
      <c r="E8702" s="130"/>
      <c r="P8702" s="99"/>
      <c r="Q8702" s="99"/>
      <c r="R8702" s="99"/>
    </row>
    <row r="8703" spans="5:18" s="65" customFormat="1">
      <c r="E8703" s="130"/>
      <c r="P8703" s="99"/>
      <c r="Q8703" s="99"/>
      <c r="R8703" s="99"/>
    </row>
    <row r="8704" spans="5:18" s="65" customFormat="1">
      <c r="E8704" s="130"/>
      <c r="P8704" s="99"/>
      <c r="Q8704" s="99"/>
      <c r="R8704" s="99"/>
    </row>
    <row r="8705" spans="5:18" s="65" customFormat="1">
      <c r="E8705" s="130"/>
      <c r="P8705" s="99"/>
      <c r="Q8705" s="99"/>
      <c r="R8705" s="99"/>
    </row>
    <row r="8706" spans="5:18" s="65" customFormat="1">
      <c r="E8706" s="130"/>
      <c r="P8706" s="99"/>
      <c r="Q8706" s="99"/>
      <c r="R8706" s="99"/>
    </row>
    <row r="8707" spans="5:18" s="65" customFormat="1">
      <c r="E8707" s="130"/>
      <c r="P8707" s="99"/>
      <c r="Q8707" s="99"/>
      <c r="R8707" s="99"/>
    </row>
    <row r="8708" spans="5:18" s="65" customFormat="1">
      <c r="E8708" s="130"/>
      <c r="P8708" s="99"/>
      <c r="Q8708" s="99"/>
      <c r="R8708" s="99"/>
    </row>
    <row r="8709" spans="5:18" s="65" customFormat="1">
      <c r="E8709" s="130"/>
      <c r="P8709" s="99"/>
      <c r="Q8709" s="99"/>
      <c r="R8709" s="99"/>
    </row>
    <row r="8710" spans="5:18" s="65" customFormat="1">
      <c r="E8710" s="130"/>
      <c r="P8710" s="99"/>
      <c r="Q8710" s="99"/>
      <c r="R8710" s="99"/>
    </row>
    <row r="8711" spans="5:18" s="65" customFormat="1">
      <c r="E8711" s="130"/>
      <c r="P8711" s="99"/>
      <c r="Q8711" s="99"/>
      <c r="R8711" s="99"/>
    </row>
    <row r="8712" spans="5:18" s="65" customFormat="1">
      <c r="E8712" s="130"/>
      <c r="P8712" s="99"/>
      <c r="Q8712" s="99"/>
      <c r="R8712" s="99"/>
    </row>
    <row r="8713" spans="5:18" s="65" customFormat="1">
      <c r="E8713" s="130"/>
      <c r="P8713" s="99"/>
      <c r="Q8713" s="99"/>
      <c r="R8713" s="99"/>
    </row>
    <row r="8714" spans="5:18" s="65" customFormat="1">
      <c r="E8714" s="130"/>
      <c r="P8714" s="99"/>
      <c r="Q8714" s="99"/>
      <c r="R8714" s="99"/>
    </row>
    <row r="8715" spans="5:18" s="65" customFormat="1">
      <c r="E8715" s="130"/>
      <c r="P8715" s="99"/>
      <c r="Q8715" s="99"/>
      <c r="R8715" s="99"/>
    </row>
    <row r="8716" spans="5:18" s="65" customFormat="1">
      <c r="E8716" s="130"/>
      <c r="P8716" s="99"/>
      <c r="Q8716" s="99"/>
      <c r="R8716" s="99"/>
    </row>
    <row r="8717" spans="5:18" s="65" customFormat="1">
      <c r="E8717" s="130"/>
      <c r="P8717" s="99"/>
      <c r="Q8717" s="99"/>
      <c r="R8717" s="99"/>
    </row>
    <row r="8718" spans="5:18" s="65" customFormat="1">
      <c r="E8718" s="130"/>
      <c r="P8718" s="99"/>
      <c r="Q8718" s="99"/>
      <c r="R8718" s="99"/>
    </row>
    <row r="8719" spans="5:18" s="65" customFormat="1">
      <c r="E8719" s="130"/>
      <c r="P8719" s="99"/>
      <c r="Q8719" s="99"/>
      <c r="R8719" s="99"/>
    </row>
    <row r="8720" spans="5:18" s="65" customFormat="1">
      <c r="E8720" s="130"/>
      <c r="P8720" s="99"/>
      <c r="Q8720" s="99"/>
      <c r="R8720" s="99"/>
    </row>
    <row r="8721" spans="5:18" s="65" customFormat="1">
      <c r="E8721" s="130"/>
      <c r="P8721" s="99"/>
      <c r="Q8721" s="99"/>
      <c r="R8721" s="99"/>
    </row>
    <row r="8722" spans="5:18" s="65" customFormat="1">
      <c r="E8722" s="130"/>
      <c r="P8722" s="99"/>
      <c r="Q8722" s="99"/>
      <c r="R8722" s="99"/>
    </row>
    <row r="8723" spans="5:18" s="65" customFormat="1">
      <c r="E8723" s="130"/>
      <c r="P8723" s="99"/>
      <c r="Q8723" s="99"/>
      <c r="R8723" s="99"/>
    </row>
    <row r="8724" spans="5:18" s="65" customFormat="1">
      <c r="E8724" s="130"/>
      <c r="P8724" s="99"/>
      <c r="Q8724" s="99"/>
      <c r="R8724" s="99"/>
    </row>
    <row r="8725" spans="5:18" s="65" customFormat="1">
      <c r="E8725" s="130"/>
      <c r="P8725" s="99"/>
      <c r="Q8725" s="99"/>
      <c r="R8725" s="99"/>
    </row>
    <row r="8726" spans="5:18" s="65" customFormat="1">
      <c r="E8726" s="130"/>
      <c r="P8726" s="99"/>
      <c r="Q8726" s="99"/>
      <c r="R8726" s="99"/>
    </row>
    <row r="8727" spans="5:18" s="65" customFormat="1">
      <c r="E8727" s="130"/>
      <c r="P8727" s="99"/>
      <c r="Q8727" s="99"/>
      <c r="R8727" s="99"/>
    </row>
    <row r="8728" spans="5:18" s="65" customFormat="1">
      <c r="E8728" s="130"/>
      <c r="P8728" s="99"/>
      <c r="Q8728" s="99"/>
      <c r="R8728" s="99"/>
    </row>
    <row r="8729" spans="5:18" s="65" customFormat="1">
      <c r="E8729" s="130"/>
      <c r="P8729" s="99"/>
      <c r="Q8729" s="99"/>
      <c r="R8729" s="99"/>
    </row>
    <row r="8730" spans="5:18" s="65" customFormat="1">
      <c r="E8730" s="130"/>
      <c r="P8730" s="99"/>
      <c r="Q8730" s="99"/>
      <c r="R8730" s="99"/>
    </row>
    <row r="8731" spans="5:18" s="65" customFormat="1">
      <c r="E8731" s="130"/>
      <c r="P8731" s="99"/>
      <c r="Q8731" s="99"/>
      <c r="R8731" s="99"/>
    </row>
    <row r="8732" spans="5:18" s="65" customFormat="1">
      <c r="E8732" s="130"/>
      <c r="P8732" s="99"/>
      <c r="Q8732" s="99"/>
      <c r="R8732" s="99"/>
    </row>
    <row r="8733" spans="5:18" s="65" customFormat="1">
      <c r="E8733" s="130"/>
      <c r="P8733" s="99"/>
      <c r="Q8733" s="99"/>
      <c r="R8733" s="99"/>
    </row>
    <row r="8734" spans="5:18" s="65" customFormat="1">
      <c r="E8734" s="130"/>
      <c r="P8734" s="99"/>
      <c r="Q8734" s="99"/>
      <c r="R8734" s="99"/>
    </row>
    <row r="8735" spans="5:18" s="65" customFormat="1">
      <c r="E8735" s="130"/>
      <c r="P8735" s="99"/>
      <c r="Q8735" s="99"/>
      <c r="R8735" s="99"/>
    </row>
    <row r="8736" spans="5:18" s="65" customFormat="1">
      <c r="E8736" s="130"/>
      <c r="P8736" s="99"/>
      <c r="Q8736" s="99"/>
      <c r="R8736" s="99"/>
    </row>
    <row r="8737" spans="5:18" s="65" customFormat="1">
      <c r="E8737" s="130"/>
      <c r="P8737" s="99"/>
      <c r="Q8737" s="99"/>
      <c r="R8737" s="99"/>
    </row>
    <row r="8738" spans="5:18" s="65" customFormat="1">
      <c r="E8738" s="130"/>
      <c r="P8738" s="99"/>
      <c r="Q8738" s="99"/>
      <c r="R8738" s="99"/>
    </row>
    <row r="8739" spans="5:18" s="65" customFormat="1">
      <c r="E8739" s="130"/>
      <c r="P8739" s="99"/>
      <c r="Q8739" s="99"/>
      <c r="R8739" s="99"/>
    </row>
    <row r="8740" spans="5:18" s="65" customFormat="1">
      <c r="E8740" s="130"/>
      <c r="P8740" s="99"/>
      <c r="Q8740" s="99"/>
      <c r="R8740" s="99"/>
    </row>
    <row r="8741" spans="5:18" s="65" customFormat="1">
      <c r="E8741" s="130"/>
      <c r="P8741" s="99"/>
      <c r="Q8741" s="99"/>
      <c r="R8741" s="99"/>
    </row>
    <row r="8742" spans="5:18" s="65" customFormat="1">
      <c r="E8742" s="130"/>
      <c r="P8742" s="99"/>
      <c r="Q8742" s="99"/>
      <c r="R8742" s="99"/>
    </row>
    <row r="8743" spans="5:18" s="65" customFormat="1">
      <c r="E8743" s="130"/>
      <c r="P8743" s="99"/>
      <c r="Q8743" s="99"/>
      <c r="R8743" s="99"/>
    </row>
    <row r="8744" spans="5:18" s="65" customFormat="1">
      <c r="E8744" s="130"/>
      <c r="P8744" s="99"/>
      <c r="Q8744" s="99"/>
      <c r="R8744" s="99"/>
    </row>
    <row r="8745" spans="5:18" s="65" customFormat="1">
      <c r="E8745" s="130"/>
      <c r="P8745" s="99"/>
      <c r="Q8745" s="99"/>
      <c r="R8745" s="99"/>
    </row>
    <row r="8746" spans="5:18" s="65" customFormat="1">
      <c r="E8746" s="130"/>
      <c r="P8746" s="99"/>
      <c r="Q8746" s="99"/>
      <c r="R8746" s="99"/>
    </row>
    <row r="8747" spans="5:18" s="65" customFormat="1">
      <c r="E8747" s="130"/>
      <c r="P8747" s="99"/>
      <c r="Q8747" s="99"/>
      <c r="R8747" s="99"/>
    </row>
    <row r="8748" spans="5:18" s="65" customFormat="1">
      <c r="E8748" s="130"/>
      <c r="P8748" s="99"/>
      <c r="Q8748" s="99"/>
      <c r="R8748" s="99"/>
    </row>
    <row r="8749" spans="5:18" s="65" customFormat="1">
      <c r="E8749" s="130"/>
      <c r="P8749" s="99"/>
      <c r="Q8749" s="99"/>
      <c r="R8749" s="99"/>
    </row>
    <row r="8750" spans="5:18" s="65" customFormat="1">
      <c r="E8750" s="130"/>
      <c r="P8750" s="99"/>
      <c r="Q8750" s="99"/>
      <c r="R8750" s="99"/>
    </row>
    <row r="8751" spans="5:18" s="65" customFormat="1">
      <c r="E8751" s="130"/>
      <c r="P8751" s="99"/>
      <c r="Q8751" s="99"/>
      <c r="R8751" s="99"/>
    </row>
    <row r="8752" spans="5:18" s="65" customFormat="1">
      <c r="E8752" s="130"/>
      <c r="P8752" s="99"/>
      <c r="Q8752" s="99"/>
      <c r="R8752" s="99"/>
    </row>
    <row r="8753" spans="5:18" s="65" customFormat="1">
      <c r="E8753" s="130"/>
      <c r="P8753" s="99"/>
      <c r="Q8753" s="99"/>
      <c r="R8753" s="99"/>
    </row>
    <row r="8754" spans="5:18" s="65" customFormat="1">
      <c r="E8754" s="130"/>
      <c r="P8754" s="99"/>
      <c r="Q8754" s="99"/>
      <c r="R8754" s="99"/>
    </row>
    <row r="8755" spans="5:18" s="65" customFormat="1">
      <c r="E8755" s="130"/>
      <c r="P8755" s="99"/>
      <c r="Q8755" s="99"/>
      <c r="R8755" s="99"/>
    </row>
    <row r="8756" spans="5:18" s="65" customFormat="1">
      <c r="E8756" s="130"/>
      <c r="P8756" s="99"/>
      <c r="Q8756" s="99"/>
      <c r="R8756" s="99"/>
    </row>
    <row r="8757" spans="5:18" s="65" customFormat="1">
      <c r="E8757" s="130"/>
      <c r="P8757" s="99"/>
      <c r="Q8757" s="99"/>
      <c r="R8757" s="99"/>
    </row>
    <row r="8758" spans="5:18" s="65" customFormat="1">
      <c r="E8758" s="130"/>
      <c r="P8758" s="99"/>
      <c r="Q8758" s="99"/>
      <c r="R8758" s="99"/>
    </row>
    <row r="8759" spans="5:18" s="65" customFormat="1">
      <c r="E8759" s="130"/>
      <c r="P8759" s="99"/>
      <c r="Q8759" s="99"/>
      <c r="R8759" s="99"/>
    </row>
    <row r="8760" spans="5:18" s="65" customFormat="1">
      <c r="E8760" s="130"/>
      <c r="P8760" s="99"/>
      <c r="Q8760" s="99"/>
      <c r="R8760" s="99"/>
    </row>
    <row r="8761" spans="5:18" s="65" customFormat="1">
      <c r="E8761" s="130"/>
      <c r="P8761" s="99"/>
      <c r="Q8761" s="99"/>
      <c r="R8761" s="99"/>
    </row>
    <row r="8762" spans="5:18" s="65" customFormat="1">
      <c r="E8762" s="130"/>
      <c r="P8762" s="99"/>
      <c r="Q8762" s="99"/>
      <c r="R8762" s="99"/>
    </row>
    <row r="8763" spans="5:18" s="65" customFormat="1">
      <c r="E8763" s="130"/>
      <c r="P8763" s="99"/>
      <c r="Q8763" s="99"/>
      <c r="R8763" s="99"/>
    </row>
    <row r="8764" spans="5:18" s="65" customFormat="1">
      <c r="E8764" s="130"/>
      <c r="P8764" s="99"/>
      <c r="Q8764" s="99"/>
      <c r="R8764" s="99"/>
    </row>
    <row r="8765" spans="5:18" s="65" customFormat="1">
      <c r="E8765" s="130"/>
      <c r="P8765" s="99"/>
      <c r="Q8765" s="99"/>
      <c r="R8765" s="99"/>
    </row>
    <row r="8766" spans="5:18" s="65" customFormat="1">
      <c r="E8766" s="130"/>
      <c r="P8766" s="99"/>
      <c r="Q8766" s="99"/>
      <c r="R8766" s="99"/>
    </row>
    <row r="8767" spans="5:18" s="65" customFormat="1">
      <c r="E8767" s="130"/>
      <c r="P8767" s="99"/>
      <c r="Q8767" s="99"/>
      <c r="R8767" s="99"/>
    </row>
    <row r="8768" spans="5:18" s="65" customFormat="1">
      <c r="E8768" s="130"/>
      <c r="P8768" s="99"/>
      <c r="Q8768" s="99"/>
      <c r="R8768" s="99"/>
    </row>
    <row r="8769" spans="5:18" s="65" customFormat="1">
      <c r="E8769" s="130"/>
      <c r="P8769" s="99"/>
      <c r="Q8769" s="99"/>
      <c r="R8769" s="99"/>
    </row>
    <row r="8770" spans="5:18" s="65" customFormat="1">
      <c r="E8770" s="130"/>
      <c r="P8770" s="99"/>
      <c r="Q8770" s="99"/>
      <c r="R8770" s="99"/>
    </row>
    <row r="8771" spans="5:18" s="65" customFormat="1">
      <c r="E8771" s="130"/>
      <c r="P8771" s="99"/>
      <c r="Q8771" s="99"/>
      <c r="R8771" s="99"/>
    </row>
    <row r="8772" spans="5:18" s="65" customFormat="1">
      <c r="E8772" s="130"/>
      <c r="P8772" s="99"/>
      <c r="Q8772" s="99"/>
      <c r="R8772" s="99"/>
    </row>
    <row r="8773" spans="5:18" s="65" customFormat="1">
      <c r="E8773" s="130"/>
      <c r="P8773" s="99"/>
      <c r="Q8773" s="99"/>
      <c r="R8773" s="99"/>
    </row>
    <row r="8774" spans="5:18" s="65" customFormat="1">
      <c r="E8774" s="130"/>
      <c r="P8774" s="99"/>
      <c r="Q8774" s="99"/>
      <c r="R8774" s="99"/>
    </row>
    <row r="8775" spans="5:18" s="65" customFormat="1">
      <c r="E8775" s="130"/>
      <c r="P8775" s="99"/>
      <c r="Q8775" s="99"/>
      <c r="R8775" s="99"/>
    </row>
    <row r="8776" spans="5:18" s="65" customFormat="1">
      <c r="E8776" s="130"/>
      <c r="P8776" s="99"/>
      <c r="Q8776" s="99"/>
      <c r="R8776" s="99"/>
    </row>
    <row r="8777" spans="5:18" s="65" customFormat="1">
      <c r="E8777" s="130"/>
      <c r="P8777" s="99"/>
      <c r="Q8777" s="99"/>
      <c r="R8777" s="99"/>
    </row>
    <row r="8778" spans="5:18" s="65" customFormat="1">
      <c r="E8778" s="130"/>
      <c r="P8778" s="99"/>
      <c r="Q8778" s="99"/>
      <c r="R8778" s="99"/>
    </row>
    <row r="8779" spans="5:18" s="65" customFormat="1">
      <c r="E8779" s="130"/>
      <c r="P8779" s="99"/>
      <c r="Q8779" s="99"/>
      <c r="R8779" s="99"/>
    </row>
    <row r="8780" spans="5:18" s="65" customFormat="1">
      <c r="E8780" s="130"/>
      <c r="P8780" s="99"/>
      <c r="Q8780" s="99"/>
      <c r="R8780" s="99"/>
    </row>
    <row r="8781" spans="5:18" s="65" customFormat="1">
      <c r="E8781" s="130"/>
      <c r="P8781" s="99"/>
      <c r="Q8781" s="99"/>
      <c r="R8781" s="99"/>
    </row>
    <row r="8782" spans="5:18" s="65" customFormat="1">
      <c r="E8782" s="130"/>
      <c r="P8782" s="99"/>
      <c r="Q8782" s="99"/>
      <c r="R8782" s="99"/>
    </row>
    <row r="8783" spans="5:18" s="65" customFormat="1">
      <c r="E8783" s="130"/>
      <c r="P8783" s="99"/>
      <c r="Q8783" s="99"/>
      <c r="R8783" s="99"/>
    </row>
    <row r="8784" spans="5:18" s="65" customFormat="1">
      <c r="E8784" s="130"/>
      <c r="P8784" s="99"/>
      <c r="Q8784" s="99"/>
      <c r="R8784" s="99"/>
    </row>
    <row r="8785" spans="5:18" s="65" customFormat="1">
      <c r="E8785" s="130"/>
      <c r="P8785" s="99"/>
      <c r="Q8785" s="99"/>
      <c r="R8785" s="99"/>
    </row>
    <row r="8786" spans="5:18" s="65" customFormat="1">
      <c r="E8786" s="130"/>
      <c r="P8786" s="99"/>
      <c r="Q8786" s="99"/>
      <c r="R8786" s="99"/>
    </row>
    <row r="8787" spans="5:18" s="65" customFormat="1">
      <c r="E8787" s="130"/>
      <c r="P8787" s="99"/>
      <c r="Q8787" s="99"/>
      <c r="R8787" s="99"/>
    </row>
    <row r="8788" spans="5:18" s="65" customFormat="1">
      <c r="E8788" s="130"/>
      <c r="P8788" s="99"/>
      <c r="Q8788" s="99"/>
      <c r="R8788" s="99"/>
    </row>
    <row r="8789" spans="5:18" s="65" customFormat="1">
      <c r="E8789" s="130"/>
      <c r="P8789" s="99"/>
      <c r="Q8789" s="99"/>
      <c r="R8789" s="99"/>
    </row>
    <row r="8790" spans="5:18" s="65" customFormat="1">
      <c r="E8790" s="130"/>
      <c r="P8790" s="99"/>
      <c r="Q8790" s="99"/>
      <c r="R8790" s="99"/>
    </row>
    <row r="8791" spans="5:18" s="65" customFormat="1">
      <c r="E8791" s="130"/>
      <c r="P8791" s="99"/>
      <c r="Q8791" s="99"/>
      <c r="R8791" s="99"/>
    </row>
    <row r="8792" spans="5:18" s="65" customFormat="1">
      <c r="E8792" s="130"/>
      <c r="P8792" s="99"/>
      <c r="Q8792" s="99"/>
      <c r="R8792" s="99"/>
    </row>
    <row r="8793" spans="5:18" s="65" customFormat="1">
      <c r="E8793" s="130"/>
      <c r="P8793" s="99"/>
      <c r="Q8793" s="99"/>
      <c r="R8793" s="99"/>
    </row>
    <row r="8794" spans="5:18" s="65" customFormat="1">
      <c r="E8794" s="130"/>
      <c r="P8794" s="99"/>
      <c r="Q8794" s="99"/>
      <c r="R8794" s="99"/>
    </row>
    <row r="8795" spans="5:18" s="65" customFormat="1">
      <c r="E8795" s="130"/>
      <c r="P8795" s="99"/>
      <c r="Q8795" s="99"/>
      <c r="R8795" s="99"/>
    </row>
    <row r="8796" spans="5:18" s="65" customFormat="1">
      <c r="E8796" s="130"/>
      <c r="P8796" s="99"/>
      <c r="Q8796" s="99"/>
      <c r="R8796" s="99"/>
    </row>
    <row r="8797" spans="5:18" s="65" customFormat="1">
      <c r="E8797" s="130"/>
      <c r="P8797" s="99"/>
      <c r="Q8797" s="99"/>
      <c r="R8797" s="99"/>
    </row>
    <row r="8798" spans="5:18" s="65" customFormat="1">
      <c r="E8798" s="130"/>
      <c r="P8798" s="99"/>
      <c r="Q8798" s="99"/>
      <c r="R8798" s="99"/>
    </row>
    <row r="8799" spans="5:18" s="65" customFormat="1">
      <c r="E8799" s="130"/>
      <c r="P8799" s="99"/>
      <c r="Q8799" s="99"/>
      <c r="R8799" s="99"/>
    </row>
    <row r="8800" spans="5:18" s="65" customFormat="1">
      <c r="E8800" s="130"/>
      <c r="P8800" s="99"/>
      <c r="Q8800" s="99"/>
      <c r="R8800" s="99"/>
    </row>
    <row r="8801" spans="5:18" s="65" customFormat="1">
      <c r="E8801" s="130"/>
      <c r="P8801" s="99"/>
      <c r="Q8801" s="99"/>
      <c r="R8801" s="99"/>
    </row>
    <row r="8802" spans="5:18" s="65" customFormat="1">
      <c r="E8802" s="130"/>
      <c r="P8802" s="99"/>
      <c r="Q8802" s="99"/>
      <c r="R8802" s="99"/>
    </row>
    <row r="8803" spans="5:18" s="65" customFormat="1">
      <c r="E8803" s="130"/>
      <c r="P8803" s="99"/>
      <c r="Q8803" s="99"/>
      <c r="R8803" s="99"/>
    </row>
    <row r="8804" spans="5:18" s="65" customFormat="1">
      <c r="E8804" s="130"/>
      <c r="P8804" s="99"/>
      <c r="Q8804" s="99"/>
      <c r="R8804" s="99"/>
    </row>
    <row r="8805" spans="5:18" s="65" customFormat="1">
      <c r="E8805" s="130"/>
      <c r="P8805" s="99"/>
      <c r="Q8805" s="99"/>
      <c r="R8805" s="99"/>
    </row>
    <row r="8806" spans="5:18" s="65" customFormat="1">
      <c r="E8806" s="130"/>
      <c r="P8806" s="99"/>
      <c r="Q8806" s="99"/>
      <c r="R8806" s="99"/>
    </row>
    <row r="8807" spans="5:18" s="65" customFormat="1">
      <c r="E8807" s="130"/>
      <c r="P8807" s="99"/>
      <c r="Q8807" s="99"/>
      <c r="R8807" s="99"/>
    </row>
    <row r="8808" spans="5:18" s="65" customFormat="1">
      <c r="E8808" s="130"/>
      <c r="P8808" s="99"/>
      <c r="Q8808" s="99"/>
      <c r="R8808" s="99"/>
    </row>
    <row r="8809" spans="5:18" s="65" customFormat="1">
      <c r="E8809" s="130"/>
      <c r="P8809" s="99"/>
      <c r="Q8809" s="99"/>
      <c r="R8809" s="99"/>
    </row>
    <row r="8810" spans="5:18" s="65" customFormat="1">
      <c r="E8810" s="130"/>
      <c r="P8810" s="99"/>
      <c r="Q8810" s="99"/>
      <c r="R8810" s="99"/>
    </row>
    <row r="8811" spans="5:18" s="65" customFormat="1">
      <c r="E8811" s="130"/>
      <c r="P8811" s="99"/>
      <c r="Q8811" s="99"/>
      <c r="R8811" s="99"/>
    </row>
    <row r="8812" spans="5:18" s="65" customFormat="1">
      <c r="E8812" s="130"/>
      <c r="P8812" s="99"/>
      <c r="Q8812" s="99"/>
      <c r="R8812" s="99"/>
    </row>
    <row r="8813" spans="5:18" s="65" customFormat="1">
      <c r="E8813" s="130"/>
      <c r="P8813" s="99"/>
      <c r="Q8813" s="99"/>
      <c r="R8813" s="99"/>
    </row>
    <row r="8814" spans="5:18" s="65" customFormat="1">
      <c r="E8814" s="130"/>
      <c r="P8814" s="99"/>
      <c r="Q8814" s="99"/>
      <c r="R8814" s="99"/>
    </row>
    <row r="8815" spans="5:18" s="65" customFormat="1">
      <c r="E8815" s="130"/>
      <c r="P8815" s="99"/>
      <c r="Q8815" s="99"/>
      <c r="R8815" s="99"/>
    </row>
    <row r="8816" spans="5:18" s="65" customFormat="1">
      <c r="E8816" s="130"/>
      <c r="P8816" s="99"/>
      <c r="Q8816" s="99"/>
      <c r="R8816" s="99"/>
    </row>
    <row r="8817" spans="5:18" s="65" customFormat="1">
      <c r="E8817" s="130"/>
      <c r="P8817" s="99"/>
      <c r="Q8817" s="99"/>
      <c r="R8817" s="99"/>
    </row>
    <row r="8818" spans="5:18" s="65" customFormat="1">
      <c r="E8818" s="130"/>
      <c r="P8818" s="99"/>
      <c r="Q8818" s="99"/>
      <c r="R8818" s="99"/>
    </row>
    <row r="8819" spans="5:18" s="65" customFormat="1">
      <c r="E8819" s="130"/>
      <c r="P8819" s="99"/>
      <c r="Q8819" s="99"/>
      <c r="R8819" s="99"/>
    </row>
    <row r="8820" spans="5:18" s="65" customFormat="1">
      <c r="E8820" s="130"/>
      <c r="P8820" s="99"/>
      <c r="Q8820" s="99"/>
      <c r="R8820" s="99"/>
    </row>
    <row r="8821" spans="5:18" s="65" customFormat="1">
      <c r="E8821" s="130"/>
      <c r="P8821" s="99"/>
      <c r="Q8821" s="99"/>
      <c r="R8821" s="99"/>
    </row>
    <row r="8822" spans="5:18" s="65" customFormat="1">
      <c r="E8822" s="130"/>
      <c r="P8822" s="99"/>
      <c r="Q8822" s="99"/>
      <c r="R8822" s="99"/>
    </row>
    <row r="8823" spans="5:18" s="65" customFormat="1">
      <c r="E8823" s="130"/>
      <c r="P8823" s="99"/>
      <c r="Q8823" s="99"/>
      <c r="R8823" s="99"/>
    </row>
    <row r="8824" spans="5:18" s="65" customFormat="1">
      <c r="E8824" s="130"/>
      <c r="P8824" s="99"/>
      <c r="Q8824" s="99"/>
      <c r="R8824" s="99"/>
    </row>
    <row r="8825" spans="5:18" s="65" customFormat="1">
      <c r="E8825" s="130"/>
      <c r="P8825" s="99"/>
      <c r="Q8825" s="99"/>
      <c r="R8825" s="99"/>
    </row>
    <row r="8826" spans="5:18" s="65" customFormat="1">
      <c r="E8826" s="130"/>
      <c r="P8826" s="99"/>
      <c r="Q8826" s="99"/>
      <c r="R8826" s="99"/>
    </row>
    <row r="8827" spans="5:18" s="65" customFormat="1">
      <c r="E8827" s="130"/>
      <c r="P8827" s="99"/>
      <c r="Q8827" s="99"/>
      <c r="R8827" s="99"/>
    </row>
    <row r="8828" spans="5:18" s="65" customFormat="1">
      <c r="E8828" s="130"/>
      <c r="P8828" s="99"/>
      <c r="Q8828" s="99"/>
      <c r="R8828" s="99"/>
    </row>
    <row r="8829" spans="5:18" s="65" customFormat="1">
      <c r="E8829" s="130"/>
      <c r="P8829" s="99"/>
      <c r="Q8829" s="99"/>
      <c r="R8829" s="99"/>
    </row>
    <row r="8830" spans="5:18" s="65" customFormat="1">
      <c r="E8830" s="130"/>
      <c r="P8830" s="99"/>
      <c r="Q8830" s="99"/>
      <c r="R8830" s="99"/>
    </row>
    <row r="8831" spans="5:18" s="65" customFormat="1">
      <c r="E8831" s="130"/>
      <c r="P8831" s="99"/>
      <c r="Q8831" s="99"/>
      <c r="R8831" s="99"/>
    </row>
    <row r="8832" spans="5:18" s="65" customFormat="1">
      <c r="E8832" s="130"/>
      <c r="P8832" s="99"/>
      <c r="Q8832" s="99"/>
      <c r="R8832" s="99"/>
    </row>
    <row r="8833" spans="5:18" s="65" customFormat="1">
      <c r="E8833" s="130"/>
      <c r="P8833" s="99"/>
      <c r="Q8833" s="99"/>
      <c r="R8833" s="99"/>
    </row>
    <row r="8834" spans="5:18" s="65" customFormat="1">
      <c r="E8834" s="130"/>
      <c r="P8834" s="99"/>
      <c r="Q8834" s="99"/>
      <c r="R8834" s="99"/>
    </row>
    <row r="8835" spans="5:18" s="65" customFormat="1">
      <c r="E8835" s="130"/>
      <c r="P8835" s="99"/>
      <c r="Q8835" s="99"/>
      <c r="R8835" s="99"/>
    </row>
    <row r="8836" spans="5:18" s="65" customFormat="1">
      <c r="E8836" s="130"/>
      <c r="P8836" s="99"/>
      <c r="Q8836" s="99"/>
      <c r="R8836" s="99"/>
    </row>
    <row r="8837" spans="5:18" s="65" customFormat="1">
      <c r="E8837" s="130"/>
      <c r="P8837" s="99"/>
      <c r="Q8837" s="99"/>
      <c r="R8837" s="99"/>
    </row>
    <row r="8838" spans="5:18" s="65" customFormat="1">
      <c r="E8838" s="130"/>
      <c r="P8838" s="99"/>
      <c r="Q8838" s="99"/>
      <c r="R8838" s="99"/>
    </row>
    <row r="8839" spans="5:18" s="65" customFormat="1">
      <c r="E8839" s="130"/>
      <c r="P8839" s="99"/>
      <c r="Q8839" s="99"/>
      <c r="R8839" s="99"/>
    </row>
    <row r="8840" spans="5:18" s="65" customFormat="1">
      <c r="E8840" s="130"/>
      <c r="P8840" s="99"/>
      <c r="Q8840" s="99"/>
      <c r="R8840" s="99"/>
    </row>
    <row r="8841" spans="5:18" s="65" customFormat="1">
      <c r="E8841" s="130"/>
      <c r="P8841" s="99"/>
      <c r="Q8841" s="99"/>
      <c r="R8841" s="99"/>
    </row>
    <row r="8842" spans="5:18" s="65" customFormat="1">
      <c r="E8842" s="130"/>
      <c r="P8842" s="99"/>
      <c r="Q8842" s="99"/>
      <c r="R8842" s="99"/>
    </row>
    <row r="8843" spans="5:18" s="65" customFormat="1">
      <c r="E8843" s="130"/>
      <c r="P8843" s="99"/>
      <c r="Q8843" s="99"/>
      <c r="R8843" s="99"/>
    </row>
    <row r="8844" spans="5:18" s="65" customFormat="1">
      <c r="E8844" s="130"/>
      <c r="P8844" s="99"/>
      <c r="Q8844" s="99"/>
      <c r="R8844" s="99"/>
    </row>
    <row r="8845" spans="5:18" s="65" customFormat="1">
      <c r="E8845" s="130"/>
      <c r="P8845" s="99"/>
      <c r="Q8845" s="99"/>
      <c r="R8845" s="99"/>
    </row>
    <row r="8846" spans="5:18" s="65" customFormat="1">
      <c r="E8846" s="130"/>
      <c r="P8846" s="99"/>
      <c r="Q8846" s="99"/>
      <c r="R8846" s="99"/>
    </row>
    <row r="8847" spans="5:18" s="65" customFormat="1">
      <c r="E8847" s="130"/>
      <c r="P8847" s="99"/>
      <c r="Q8847" s="99"/>
      <c r="R8847" s="99"/>
    </row>
    <row r="8848" spans="5:18" s="65" customFormat="1">
      <c r="E8848" s="130"/>
      <c r="P8848" s="99"/>
      <c r="Q8848" s="99"/>
      <c r="R8848" s="99"/>
    </row>
    <row r="8849" spans="5:18" s="65" customFormat="1">
      <c r="E8849" s="130"/>
      <c r="P8849" s="99"/>
      <c r="Q8849" s="99"/>
      <c r="R8849" s="99"/>
    </row>
    <row r="8850" spans="5:18" s="65" customFormat="1">
      <c r="E8850" s="130"/>
      <c r="P8850" s="99"/>
      <c r="Q8850" s="99"/>
      <c r="R8850" s="99"/>
    </row>
    <row r="8851" spans="5:18" s="65" customFormat="1">
      <c r="E8851" s="130"/>
      <c r="P8851" s="99"/>
      <c r="Q8851" s="99"/>
      <c r="R8851" s="99"/>
    </row>
    <row r="8852" spans="5:18" s="65" customFormat="1">
      <c r="E8852" s="130"/>
      <c r="P8852" s="99"/>
      <c r="Q8852" s="99"/>
      <c r="R8852" s="99"/>
    </row>
    <row r="8853" spans="5:18" s="65" customFormat="1">
      <c r="E8853" s="130"/>
      <c r="P8853" s="99"/>
      <c r="Q8853" s="99"/>
      <c r="R8853" s="99"/>
    </row>
    <row r="8854" spans="5:18" s="65" customFormat="1">
      <c r="E8854" s="130"/>
      <c r="P8854" s="99"/>
      <c r="Q8854" s="99"/>
      <c r="R8854" s="99"/>
    </row>
    <row r="8855" spans="5:18" s="65" customFormat="1">
      <c r="E8855" s="130"/>
      <c r="P8855" s="99"/>
      <c r="Q8855" s="99"/>
      <c r="R8855" s="99"/>
    </row>
    <row r="8856" spans="5:18" s="65" customFormat="1">
      <c r="E8856" s="130"/>
      <c r="P8856" s="99"/>
      <c r="Q8856" s="99"/>
      <c r="R8856" s="99"/>
    </row>
    <row r="8857" spans="5:18" s="65" customFormat="1">
      <c r="E8857" s="130"/>
      <c r="P8857" s="99"/>
      <c r="Q8857" s="99"/>
      <c r="R8857" s="99"/>
    </row>
    <row r="8858" spans="5:18" s="65" customFormat="1">
      <c r="E8858" s="130"/>
      <c r="P8858" s="99"/>
      <c r="Q8858" s="99"/>
      <c r="R8858" s="99"/>
    </row>
    <row r="8859" spans="5:18" s="65" customFormat="1">
      <c r="E8859" s="130"/>
      <c r="P8859" s="99"/>
      <c r="Q8859" s="99"/>
      <c r="R8859" s="99"/>
    </row>
    <row r="8860" spans="5:18" s="65" customFormat="1">
      <c r="E8860" s="130"/>
      <c r="P8860" s="99"/>
      <c r="Q8860" s="99"/>
      <c r="R8860" s="99"/>
    </row>
    <row r="8861" spans="5:18" s="65" customFormat="1">
      <c r="E8861" s="130"/>
      <c r="P8861" s="99"/>
      <c r="Q8861" s="99"/>
      <c r="R8861" s="99"/>
    </row>
    <row r="8862" spans="5:18" s="65" customFormat="1">
      <c r="E8862" s="130"/>
      <c r="P8862" s="99"/>
      <c r="Q8862" s="99"/>
      <c r="R8862" s="99"/>
    </row>
    <row r="8863" spans="5:18" s="65" customFormat="1">
      <c r="E8863" s="130"/>
      <c r="P8863" s="99"/>
      <c r="Q8863" s="99"/>
      <c r="R8863" s="99"/>
    </row>
    <row r="8864" spans="5:18" s="65" customFormat="1">
      <c r="E8864" s="130"/>
      <c r="P8864" s="99"/>
      <c r="Q8864" s="99"/>
      <c r="R8864" s="99"/>
    </row>
    <row r="8865" spans="5:18" s="65" customFormat="1">
      <c r="E8865" s="130"/>
      <c r="P8865" s="99"/>
      <c r="Q8865" s="99"/>
      <c r="R8865" s="99"/>
    </row>
    <row r="8866" spans="5:18" s="65" customFormat="1">
      <c r="E8866" s="130"/>
      <c r="P8866" s="99"/>
      <c r="Q8866" s="99"/>
      <c r="R8866" s="99"/>
    </row>
    <row r="8867" spans="5:18" s="65" customFormat="1">
      <c r="E8867" s="130"/>
      <c r="P8867" s="99"/>
      <c r="Q8867" s="99"/>
      <c r="R8867" s="99"/>
    </row>
    <row r="8868" spans="5:18" s="65" customFormat="1">
      <c r="E8868" s="130"/>
      <c r="P8868" s="99"/>
      <c r="Q8868" s="99"/>
      <c r="R8868" s="99"/>
    </row>
    <row r="8869" spans="5:18" s="65" customFormat="1">
      <c r="E8869" s="130"/>
      <c r="P8869" s="99"/>
      <c r="Q8869" s="99"/>
      <c r="R8869" s="99"/>
    </row>
    <row r="8870" spans="5:18" s="65" customFormat="1">
      <c r="E8870" s="130"/>
      <c r="P8870" s="99"/>
      <c r="Q8870" s="99"/>
      <c r="R8870" s="99"/>
    </row>
    <row r="8871" spans="5:18" s="65" customFormat="1">
      <c r="E8871" s="130"/>
      <c r="P8871" s="99"/>
      <c r="Q8871" s="99"/>
      <c r="R8871" s="99"/>
    </row>
    <row r="8872" spans="5:18" s="65" customFormat="1">
      <c r="E8872" s="130"/>
      <c r="P8872" s="99"/>
      <c r="Q8872" s="99"/>
      <c r="R8872" s="99"/>
    </row>
    <row r="8873" spans="5:18" s="65" customFormat="1">
      <c r="E8873" s="130"/>
      <c r="P8873" s="99"/>
      <c r="Q8873" s="99"/>
      <c r="R8873" s="99"/>
    </row>
    <row r="8874" spans="5:18" s="65" customFormat="1">
      <c r="E8874" s="130"/>
      <c r="P8874" s="99"/>
      <c r="Q8874" s="99"/>
      <c r="R8874" s="99"/>
    </row>
    <row r="8875" spans="5:18" s="65" customFormat="1">
      <c r="E8875" s="130"/>
      <c r="P8875" s="99"/>
      <c r="Q8875" s="99"/>
      <c r="R8875" s="99"/>
    </row>
    <row r="8876" spans="5:18" s="65" customFormat="1">
      <c r="E8876" s="130"/>
      <c r="P8876" s="99"/>
      <c r="Q8876" s="99"/>
      <c r="R8876" s="99"/>
    </row>
    <row r="8877" spans="5:18" s="65" customFormat="1">
      <c r="E8877" s="130"/>
      <c r="P8877" s="99"/>
      <c r="Q8877" s="99"/>
      <c r="R8877" s="99"/>
    </row>
    <row r="8878" spans="5:18" s="65" customFormat="1">
      <c r="E8878" s="130"/>
      <c r="P8878" s="99"/>
      <c r="Q8878" s="99"/>
      <c r="R8878" s="99"/>
    </row>
    <row r="8879" spans="5:18" s="65" customFormat="1">
      <c r="E8879" s="130"/>
      <c r="P8879" s="99"/>
      <c r="Q8879" s="99"/>
      <c r="R8879" s="99"/>
    </row>
    <row r="8880" spans="5:18" s="65" customFormat="1">
      <c r="E8880" s="130"/>
      <c r="P8880" s="99"/>
      <c r="Q8880" s="99"/>
      <c r="R8880" s="99"/>
    </row>
    <row r="8881" spans="5:18" s="65" customFormat="1">
      <c r="E8881" s="130"/>
      <c r="P8881" s="99"/>
      <c r="Q8881" s="99"/>
      <c r="R8881" s="99"/>
    </row>
    <row r="8882" spans="5:18" s="65" customFormat="1">
      <c r="E8882" s="130"/>
      <c r="P8882" s="99"/>
      <c r="Q8882" s="99"/>
      <c r="R8882" s="99"/>
    </row>
    <row r="8883" spans="5:18" s="65" customFormat="1">
      <c r="E8883" s="130"/>
      <c r="P8883" s="99"/>
      <c r="Q8883" s="99"/>
      <c r="R8883" s="99"/>
    </row>
    <row r="8884" spans="5:18" s="65" customFormat="1">
      <c r="E8884" s="130"/>
      <c r="P8884" s="99"/>
      <c r="Q8884" s="99"/>
      <c r="R8884" s="99"/>
    </row>
    <row r="8885" spans="5:18" s="65" customFormat="1">
      <c r="E8885" s="130"/>
      <c r="P8885" s="99"/>
      <c r="Q8885" s="99"/>
      <c r="R8885" s="99"/>
    </row>
    <row r="8886" spans="5:18" s="65" customFormat="1">
      <c r="E8886" s="130"/>
      <c r="P8886" s="99"/>
      <c r="Q8886" s="99"/>
      <c r="R8886" s="99"/>
    </row>
    <row r="8887" spans="5:18" s="65" customFormat="1">
      <c r="E8887" s="130"/>
      <c r="P8887" s="99"/>
      <c r="Q8887" s="99"/>
      <c r="R8887" s="99"/>
    </row>
    <row r="8888" spans="5:18" s="65" customFormat="1">
      <c r="E8888" s="130"/>
      <c r="P8888" s="99"/>
      <c r="Q8888" s="99"/>
      <c r="R8888" s="99"/>
    </row>
    <row r="8889" spans="5:18" s="65" customFormat="1">
      <c r="E8889" s="130"/>
      <c r="P8889" s="99"/>
      <c r="Q8889" s="99"/>
      <c r="R8889" s="99"/>
    </row>
    <row r="8890" spans="5:18" s="65" customFormat="1">
      <c r="E8890" s="130"/>
      <c r="P8890" s="99"/>
      <c r="Q8890" s="99"/>
      <c r="R8890" s="99"/>
    </row>
    <row r="8891" spans="5:18" s="65" customFormat="1">
      <c r="E8891" s="130"/>
      <c r="P8891" s="99"/>
      <c r="Q8891" s="99"/>
      <c r="R8891" s="99"/>
    </row>
    <row r="8892" spans="5:18" s="65" customFormat="1">
      <c r="E8892" s="130"/>
      <c r="P8892" s="99"/>
      <c r="Q8892" s="99"/>
      <c r="R8892" s="99"/>
    </row>
    <row r="8893" spans="5:18" s="65" customFormat="1">
      <c r="E8893" s="130"/>
      <c r="P8893" s="99"/>
      <c r="Q8893" s="99"/>
      <c r="R8893" s="99"/>
    </row>
    <row r="8894" spans="5:18" s="65" customFormat="1">
      <c r="E8894" s="130"/>
      <c r="P8894" s="99"/>
      <c r="Q8894" s="99"/>
      <c r="R8894" s="99"/>
    </row>
    <row r="8895" spans="5:18" s="65" customFormat="1">
      <c r="E8895" s="130"/>
      <c r="P8895" s="99"/>
      <c r="Q8895" s="99"/>
      <c r="R8895" s="99"/>
    </row>
    <row r="8896" spans="5:18" s="65" customFormat="1">
      <c r="E8896" s="130"/>
      <c r="P8896" s="99"/>
      <c r="Q8896" s="99"/>
      <c r="R8896" s="99"/>
    </row>
    <row r="8897" spans="5:18" s="65" customFormat="1">
      <c r="E8897" s="130"/>
      <c r="P8897" s="99"/>
      <c r="Q8897" s="99"/>
      <c r="R8897" s="99"/>
    </row>
    <row r="8898" spans="5:18" s="65" customFormat="1">
      <c r="E8898" s="130"/>
      <c r="P8898" s="99"/>
      <c r="Q8898" s="99"/>
      <c r="R8898" s="99"/>
    </row>
    <row r="8899" spans="5:18" s="65" customFormat="1">
      <c r="E8899" s="130"/>
      <c r="P8899" s="99"/>
      <c r="Q8899" s="99"/>
      <c r="R8899" s="99"/>
    </row>
    <row r="8900" spans="5:18" s="65" customFormat="1">
      <c r="E8900" s="130"/>
      <c r="P8900" s="99"/>
      <c r="Q8900" s="99"/>
      <c r="R8900" s="99"/>
    </row>
    <row r="8901" spans="5:18" s="65" customFormat="1">
      <c r="E8901" s="130"/>
      <c r="P8901" s="99"/>
      <c r="Q8901" s="99"/>
      <c r="R8901" s="99"/>
    </row>
    <row r="8902" spans="5:18" s="65" customFormat="1">
      <c r="E8902" s="130"/>
      <c r="P8902" s="99"/>
      <c r="Q8902" s="99"/>
      <c r="R8902" s="99"/>
    </row>
    <row r="8903" spans="5:18" s="65" customFormat="1">
      <c r="E8903" s="130"/>
      <c r="P8903" s="99"/>
      <c r="Q8903" s="99"/>
      <c r="R8903" s="99"/>
    </row>
    <row r="8904" spans="5:18" s="65" customFormat="1">
      <c r="E8904" s="130"/>
      <c r="P8904" s="99"/>
      <c r="Q8904" s="99"/>
      <c r="R8904" s="99"/>
    </row>
    <row r="8905" spans="5:18" s="65" customFormat="1">
      <c r="E8905" s="130"/>
      <c r="P8905" s="99"/>
      <c r="Q8905" s="99"/>
      <c r="R8905" s="99"/>
    </row>
    <row r="8906" spans="5:18" s="65" customFormat="1">
      <c r="E8906" s="130"/>
      <c r="P8906" s="99"/>
      <c r="Q8906" s="99"/>
      <c r="R8906" s="99"/>
    </row>
    <row r="8907" spans="5:18" s="65" customFormat="1">
      <c r="E8907" s="130"/>
      <c r="P8907" s="99"/>
      <c r="Q8907" s="99"/>
      <c r="R8907" s="99"/>
    </row>
    <row r="8908" spans="5:18" s="65" customFormat="1">
      <c r="E8908" s="130"/>
      <c r="P8908" s="99"/>
      <c r="Q8908" s="99"/>
      <c r="R8908" s="99"/>
    </row>
    <row r="8909" spans="5:18" s="65" customFormat="1">
      <c r="E8909" s="130"/>
      <c r="P8909" s="99"/>
      <c r="Q8909" s="99"/>
      <c r="R8909" s="99"/>
    </row>
    <row r="8910" spans="5:18" s="65" customFormat="1">
      <c r="E8910" s="130"/>
      <c r="P8910" s="99"/>
      <c r="Q8910" s="99"/>
      <c r="R8910" s="99"/>
    </row>
    <row r="8911" spans="5:18" s="65" customFormat="1">
      <c r="E8911" s="130"/>
      <c r="P8911" s="99"/>
      <c r="Q8911" s="99"/>
      <c r="R8911" s="99"/>
    </row>
    <row r="8912" spans="5:18" s="65" customFormat="1">
      <c r="E8912" s="130"/>
      <c r="P8912" s="99"/>
      <c r="Q8912" s="99"/>
      <c r="R8912" s="99"/>
    </row>
    <row r="8913" spans="5:18" s="65" customFormat="1">
      <c r="E8913" s="130"/>
      <c r="P8913" s="99"/>
      <c r="Q8913" s="99"/>
      <c r="R8913" s="99"/>
    </row>
    <row r="8914" spans="5:18" s="65" customFormat="1">
      <c r="E8914" s="130"/>
      <c r="P8914" s="99"/>
      <c r="Q8914" s="99"/>
      <c r="R8914" s="99"/>
    </row>
    <row r="8915" spans="5:18" s="65" customFormat="1">
      <c r="E8915" s="130"/>
      <c r="P8915" s="99"/>
      <c r="Q8915" s="99"/>
      <c r="R8915" s="99"/>
    </row>
    <row r="8916" spans="5:18" s="65" customFormat="1">
      <c r="E8916" s="130"/>
      <c r="P8916" s="99"/>
      <c r="Q8916" s="99"/>
      <c r="R8916" s="99"/>
    </row>
    <row r="8917" spans="5:18" s="65" customFormat="1">
      <c r="E8917" s="130"/>
      <c r="P8917" s="99"/>
      <c r="Q8917" s="99"/>
      <c r="R8917" s="99"/>
    </row>
    <row r="8918" spans="5:18" s="65" customFormat="1">
      <c r="E8918" s="130"/>
      <c r="P8918" s="99"/>
      <c r="Q8918" s="99"/>
      <c r="R8918" s="99"/>
    </row>
    <row r="8919" spans="5:18" s="65" customFormat="1">
      <c r="E8919" s="130"/>
      <c r="P8919" s="99"/>
      <c r="Q8919" s="99"/>
      <c r="R8919" s="99"/>
    </row>
    <row r="8920" spans="5:18" s="65" customFormat="1">
      <c r="E8920" s="130"/>
      <c r="P8920" s="99"/>
      <c r="Q8920" s="99"/>
      <c r="R8920" s="99"/>
    </row>
    <row r="8921" spans="5:18" s="65" customFormat="1">
      <c r="E8921" s="130"/>
      <c r="P8921" s="99"/>
      <c r="Q8921" s="99"/>
      <c r="R8921" s="99"/>
    </row>
    <row r="8922" spans="5:18" s="65" customFormat="1">
      <c r="E8922" s="130"/>
      <c r="P8922" s="99"/>
      <c r="Q8922" s="99"/>
      <c r="R8922" s="99"/>
    </row>
    <row r="8923" spans="5:18" s="65" customFormat="1">
      <c r="E8923" s="130"/>
      <c r="P8923" s="99"/>
      <c r="Q8923" s="99"/>
      <c r="R8923" s="99"/>
    </row>
    <row r="8924" spans="5:18" s="65" customFormat="1">
      <c r="E8924" s="130"/>
      <c r="P8924" s="99"/>
      <c r="Q8924" s="99"/>
      <c r="R8924" s="99"/>
    </row>
    <row r="8925" spans="5:18" s="65" customFormat="1">
      <c r="E8925" s="130"/>
      <c r="P8925" s="99"/>
      <c r="Q8925" s="99"/>
      <c r="R8925" s="99"/>
    </row>
    <row r="8926" spans="5:18" s="65" customFormat="1">
      <c r="E8926" s="130"/>
      <c r="P8926" s="99"/>
      <c r="Q8926" s="99"/>
      <c r="R8926" s="99"/>
    </row>
    <row r="8927" spans="5:18" s="65" customFormat="1">
      <c r="E8927" s="130"/>
      <c r="P8927" s="99"/>
      <c r="Q8927" s="99"/>
      <c r="R8927" s="99"/>
    </row>
    <row r="8928" spans="5:18" s="65" customFormat="1">
      <c r="E8928" s="130"/>
      <c r="P8928" s="99"/>
      <c r="Q8928" s="99"/>
      <c r="R8928" s="99"/>
    </row>
    <row r="8929" spans="5:18" s="65" customFormat="1">
      <c r="E8929" s="130"/>
      <c r="P8929" s="99"/>
      <c r="Q8929" s="99"/>
      <c r="R8929" s="99"/>
    </row>
    <row r="8930" spans="5:18" s="65" customFormat="1">
      <c r="E8930" s="130"/>
      <c r="P8930" s="99"/>
      <c r="Q8930" s="99"/>
      <c r="R8930" s="99"/>
    </row>
    <row r="8931" spans="5:18" s="65" customFormat="1">
      <c r="E8931" s="130"/>
      <c r="P8931" s="99"/>
      <c r="Q8931" s="99"/>
      <c r="R8931" s="99"/>
    </row>
    <row r="8932" spans="5:18" s="65" customFormat="1">
      <c r="E8932" s="130"/>
      <c r="P8932" s="99"/>
      <c r="Q8932" s="99"/>
      <c r="R8932" s="99"/>
    </row>
    <row r="8933" spans="5:18" s="65" customFormat="1">
      <c r="E8933" s="130"/>
      <c r="P8933" s="99"/>
      <c r="Q8933" s="99"/>
      <c r="R8933" s="99"/>
    </row>
    <row r="8934" spans="5:18" s="65" customFormat="1">
      <c r="E8934" s="130"/>
      <c r="P8934" s="99"/>
      <c r="Q8934" s="99"/>
      <c r="R8934" s="99"/>
    </row>
    <row r="8935" spans="5:18" s="65" customFormat="1">
      <c r="E8935" s="130"/>
      <c r="P8935" s="99"/>
      <c r="Q8935" s="99"/>
      <c r="R8935" s="99"/>
    </row>
    <row r="8936" spans="5:18" s="65" customFormat="1">
      <c r="E8936" s="130"/>
      <c r="P8936" s="99"/>
      <c r="Q8936" s="99"/>
      <c r="R8936" s="99"/>
    </row>
    <row r="8937" spans="5:18" s="65" customFormat="1">
      <c r="E8937" s="130"/>
      <c r="P8937" s="99"/>
      <c r="Q8937" s="99"/>
      <c r="R8937" s="99"/>
    </row>
    <row r="8938" spans="5:18" s="65" customFormat="1">
      <c r="E8938" s="130"/>
      <c r="P8938" s="99"/>
      <c r="Q8938" s="99"/>
      <c r="R8938" s="99"/>
    </row>
    <row r="8939" spans="5:18" s="65" customFormat="1">
      <c r="E8939" s="130"/>
      <c r="P8939" s="99"/>
      <c r="Q8939" s="99"/>
      <c r="R8939" s="99"/>
    </row>
    <row r="8940" spans="5:18" s="65" customFormat="1">
      <c r="E8940" s="130"/>
      <c r="P8940" s="99"/>
      <c r="Q8940" s="99"/>
      <c r="R8940" s="99"/>
    </row>
    <row r="8941" spans="5:18" s="65" customFormat="1">
      <c r="E8941" s="130"/>
      <c r="P8941" s="99"/>
      <c r="Q8941" s="99"/>
      <c r="R8941" s="99"/>
    </row>
    <row r="8942" spans="5:18" s="65" customFormat="1">
      <c r="E8942" s="130"/>
      <c r="P8942" s="99"/>
      <c r="Q8942" s="99"/>
      <c r="R8942" s="99"/>
    </row>
    <row r="8943" spans="5:18" s="65" customFormat="1">
      <c r="E8943" s="130"/>
      <c r="P8943" s="99"/>
      <c r="Q8943" s="99"/>
      <c r="R8943" s="99"/>
    </row>
    <row r="8944" spans="5:18" s="65" customFormat="1">
      <c r="E8944" s="130"/>
      <c r="P8944" s="99"/>
      <c r="Q8944" s="99"/>
      <c r="R8944" s="99"/>
    </row>
    <row r="8945" spans="5:18" s="65" customFormat="1">
      <c r="E8945" s="130"/>
      <c r="P8945" s="99"/>
      <c r="Q8945" s="99"/>
      <c r="R8945" s="99"/>
    </row>
    <row r="8946" spans="5:18" s="65" customFormat="1">
      <c r="E8946" s="130"/>
      <c r="P8946" s="99"/>
      <c r="Q8946" s="99"/>
      <c r="R8946" s="99"/>
    </row>
    <row r="8947" spans="5:18" s="65" customFormat="1">
      <c r="E8947" s="130"/>
      <c r="P8947" s="99"/>
      <c r="Q8947" s="99"/>
      <c r="R8947" s="99"/>
    </row>
    <row r="8948" spans="5:18" s="65" customFormat="1">
      <c r="E8948" s="130"/>
      <c r="P8948" s="99"/>
      <c r="Q8948" s="99"/>
      <c r="R8948" s="99"/>
    </row>
    <row r="8949" spans="5:18" s="65" customFormat="1">
      <c r="E8949" s="130"/>
      <c r="P8949" s="99"/>
      <c r="Q8949" s="99"/>
      <c r="R8949" s="99"/>
    </row>
    <row r="8950" spans="5:18" s="65" customFormat="1">
      <c r="E8950" s="130"/>
      <c r="P8950" s="99"/>
      <c r="Q8950" s="99"/>
      <c r="R8950" s="99"/>
    </row>
    <row r="8951" spans="5:18" s="65" customFormat="1">
      <c r="E8951" s="130"/>
      <c r="P8951" s="99"/>
      <c r="Q8951" s="99"/>
      <c r="R8951" s="99"/>
    </row>
    <row r="8952" spans="5:18" s="65" customFormat="1">
      <c r="E8952" s="130"/>
      <c r="P8952" s="99"/>
      <c r="Q8952" s="99"/>
      <c r="R8952" s="99"/>
    </row>
    <row r="8953" spans="5:18" s="65" customFormat="1">
      <c r="E8953" s="130"/>
      <c r="P8953" s="99"/>
      <c r="Q8953" s="99"/>
      <c r="R8953" s="99"/>
    </row>
    <row r="8954" spans="5:18" s="65" customFormat="1">
      <c r="E8954" s="130"/>
      <c r="P8954" s="99"/>
      <c r="Q8954" s="99"/>
      <c r="R8954" s="99"/>
    </row>
    <row r="8955" spans="5:18" s="65" customFormat="1">
      <c r="E8955" s="130"/>
      <c r="P8955" s="99"/>
      <c r="Q8955" s="99"/>
      <c r="R8955" s="99"/>
    </row>
    <row r="8956" spans="5:18" s="65" customFormat="1">
      <c r="E8956" s="130"/>
      <c r="P8956" s="99"/>
      <c r="Q8956" s="99"/>
      <c r="R8956" s="99"/>
    </row>
    <row r="8957" spans="5:18" s="65" customFormat="1">
      <c r="E8957" s="130"/>
      <c r="P8957" s="99"/>
      <c r="Q8957" s="99"/>
      <c r="R8957" s="99"/>
    </row>
    <row r="8958" spans="5:18" s="65" customFormat="1">
      <c r="E8958" s="130"/>
      <c r="P8958" s="99"/>
      <c r="Q8958" s="99"/>
      <c r="R8958" s="99"/>
    </row>
    <row r="8959" spans="5:18" s="65" customFormat="1">
      <c r="E8959" s="130"/>
      <c r="P8959" s="99"/>
      <c r="Q8959" s="99"/>
      <c r="R8959" s="99"/>
    </row>
    <row r="8960" spans="5:18" s="65" customFormat="1">
      <c r="E8960" s="130"/>
      <c r="P8960" s="99"/>
      <c r="Q8960" s="99"/>
      <c r="R8960" s="99"/>
    </row>
    <row r="8961" spans="5:18" s="65" customFormat="1">
      <c r="E8961" s="130"/>
      <c r="P8961" s="99"/>
      <c r="Q8961" s="99"/>
      <c r="R8961" s="99"/>
    </row>
    <row r="8962" spans="5:18" s="65" customFormat="1">
      <c r="E8962" s="130"/>
      <c r="P8962" s="99"/>
      <c r="Q8962" s="99"/>
      <c r="R8962" s="99"/>
    </row>
    <row r="8963" spans="5:18" s="65" customFormat="1">
      <c r="E8963" s="130"/>
      <c r="P8963" s="99"/>
      <c r="Q8963" s="99"/>
      <c r="R8963" s="99"/>
    </row>
    <row r="8964" spans="5:18" s="65" customFormat="1">
      <c r="E8964" s="130"/>
      <c r="P8964" s="99"/>
      <c r="Q8964" s="99"/>
      <c r="R8964" s="99"/>
    </row>
    <row r="8965" spans="5:18" s="65" customFormat="1">
      <c r="E8965" s="130"/>
      <c r="P8965" s="99"/>
      <c r="Q8965" s="99"/>
      <c r="R8965" s="99"/>
    </row>
    <row r="8966" spans="5:18" s="65" customFormat="1">
      <c r="E8966" s="130"/>
      <c r="P8966" s="99"/>
      <c r="Q8966" s="99"/>
      <c r="R8966" s="99"/>
    </row>
    <row r="8967" spans="5:18" s="65" customFormat="1">
      <c r="E8967" s="130"/>
      <c r="P8967" s="99"/>
      <c r="Q8967" s="99"/>
      <c r="R8967" s="99"/>
    </row>
    <row r="8968" spans="5:18" s="65" customFormat="1">
      <c r="E8968" s="130"/>
      <c r="P8968" s="99"/>
      <c r="Q8968" s="99"/>
      <c r="R8968" s="99"/>
    </row>
    <row r="8969" spans="5:18" s="65" customFormat="1">
      <c r="E8969" s="130"/>
      <c r="P8969" s="99"/>
      <c r="Q8969" s="99"/>
      <c r="R8969" s="99"/>
    </row>
    <row r="8970" spans="5:18" s="65" customFormat="1">
      <c r="E8970" s="130"/>
      <c r="P8970" s="99"/>
      <c r="Q8970" s="99"/>
      <c r="R8970" s="99"/>
    </row>
    <row r="8971" spans="5:18" s="65" customFormat="1">
      <c r="E8971" s="130"/>
      <c r="P8971" s="99"/>
      <c r="Q8971" s="99"/>
      <c r="R8971" s="99"/>
    </row>
    <row r="8972" spans="5:18" s="65" customFormat="1">
      <c r="E8972" s="130"/>
      <c r="P8972" s="99"/>
      <c r="Q8972" s="99"/>
      <c r="R8972" s="99"/>
    </row>
    <row r="8973" spans="5:18" s="65" customFormat="1">
      <c r="E8973" s="130"/>
      <c r="P8973" s="99"/>
      <c r="Q8973" s="99"/>
      <c r="R8973" s="99"/>
    </row>
    <row r="8974" spans="5:18" s="65" customFormat="1">
      <c r="E8974" s="130"/>
      <c r="P8974" s="99"/>
      <c r="Q8974" s="99"/>
      <c r="R8974" s="99"/>
    </row>
    <row r="8975" spans="5:18" s="65" customFormat="1">
      <c r="E8975" s="130"/>
      <c r="P8975" s="99"/>
      <c r="Q8975" s="99"/>
      <c r="R8975" s="99"/>
    </row>
    <row r="8976" spans="5:18" s="65" customFormat="1">
      <c r="E8976" s="130"/>
      <c r="P8976" s="99"/>
      <c r="Q8976" s="99"/>
      <c r="R8976" s="99"/>
    </row>
    <row r="8977" spans="5:18" s="65" customFormat="1">
      <c r="E8977" s="130"/>
      <c r="P8977" s="99"/>
      <c r="Q8977" s="99"/>
      <c r="R8977" s="99"/>
    </row>
    <row r="8978" spans="5:18" s="65" customFormat="1">
      <c r="E8978" s="130"/>
      <c r="P8978" s="99"/>
      <c r="Q8978" s="99"/>
      <c r="R8978" s="99"/>
    </row>
    <row r="8979" spans="5:18" s="65" customFormat="1">
      <c r="E8979" s="130"/>
      <c r="P8979" s="99"/>
      <c r="Q8979" s="99"/>
      <c r="R8979" s="99"/>
    </row>
    <row r="8980" spans="5:18" s="65" customFormat="1">
      <c r="E8980" s="130"/>
      <c r="P8980" s="99"/>
      <c r="Q8980" s="99"/>
      <c r="R8980" s="99"/>
    </row>
    <row r="8981" spans="5:18" s="65" customFormat="1">
      <c r="E8981" s="130"/>
      <c r="P8981" s="99"/>
      <c r="Q8981" s="99"/>
      <c r="R8981" s="99"/>
    </row>
    <row r="8982" spans="5:18" s="65" customFormat="1">
      <c r="E8982" s="130"/>
      <c r="P8982" s="99"/>
      <c r="Q8982" s="99"/>
      <c r="R8982" s="99"/>
    </row>
    <row r="8983" spans="5:18" s="65" customFormat="1">
      <c r="E8983" s="130"/>
      <c r="P8983" s="99"/>
      <c r="Q8983" s="99"/>
      <c r="R8983" s="99"/>
    </row>
    <row r="8984" spans="5:18" s="65" customFormat="1">
      <c r="E8984" s="130"/>
      <c r="P8984" s="99"/>
      <c r="Q8984" s="99"/>
      <c r="R8984" s="99"/>
    </row>
    <row r="8985" spans="5:18" s="65" customFormat="1">
      <c r="E8985" s="130"/>
      <c r="P8985" s="99"/>
      <c r="Q8985" s="99"/>
      <c r="R8985" s="99"/>
    </row>
    <row r="8986" spans="5:18" s="65" customFormat="1">
      <c r="E8986" s="130"/>
      <c r="P8986" s="99"/>
      <c r="Q8986" s="99"/>
      <c r="R8986" s="99"/>
    </row>
    <row r="8987" spans="5:18" s="65" customFormat="1">
      <c r="E8987" s="130"/>
      <c r="P8987" s="99"/>
      <c r="Q8987" s="99"/>
      <c r="R8987" s="99"/>
    </row>
    <row r="8988" spans="5:18" s="65" customFormat="1">
      <c r="E8988" s="130"/>
      <c r="P8988" s="99"/>
      <c r="Q8988" s="99"/>
      <c r="R8988" s="99"/>
    </row>
    <row r="8989" spans="5:18" s="65" customFormat="1">
      <c r="E8989" s="130"/>
      <c r="P8989" s="99"/>
      <c r="Q8989" s="99"/>
      <c r="R8989" s="99"/>
    </row>
    <row r="8990" spans="5:18" s="65" customFormat="1">
      <c r="E8990" s="130"/>
      <c r="P8990" s="99"/>
      <c r="Q8990" s="99"/>
      <c r="R8990" s="99"/>
    </row>
    <row r="8991" spans="5:18" s="65" customFormat="1">
      <c r="E8991" s="130"/>
      <c r="P8991" s="99"/>
      <c r="Q8991" s="99"/>
      <c r="R8991" s="99"/>
    </row>
    <row r="8992" spans="5:18" s="65" customFormat="1">
      <c r="E8992" s="130"/>
      <c r="P8992" s="99"/>
      <c r="Q8992" s="99"/>
      <c r="R8992" s="99"/>
    </row>
    <row r="8993" spans="5:18" s="65" customFormat="1">
      <c r="E8993" s="130"/>
      <c r="P8993" s="99"/>
      <c r="Q8993" s="99"/>
      <c r="R8993" s="99"/>
    </row>
    <row r="8994" spans="5:18" s="65" customFormat="1">
      <c r="E8994" s="130"/>
      <c r="P8994" s="99"/>
      <c r="Q8994" s="99"/>
      <c r="R8994" s="99"/>
    </row>
    <row r="8995" spans="5:18" s="65" customFormat="1">
      <c r="E8995" s="130"/>
      <c r="P8995" s="99"/>
      <c r="Q8995" s="99"/>
      <c r="R8995" s="99"/>
    </row>
    <row r="8996" spans="5:18" s="65" customFormat="1">
      <c r="E8996" s="130"/>
      <c r="P8996" s="99"/>
      <c r="Q8996" s="99"/>
      <c r="R8996" s="99"/>
    </row>
    <row r="8997" spans="5:18" s="65" customFormat="1">
      <c r="E8997" s="130"/>
      <c r="P8997" s="99"/>
      <c r="Q8997" s="99"/>
      <c r="R8997" s="99"/>
    </row>
    <row r="8998" spans="5:18" s="65" customFormat="1">
      <c r="E8998" s="130"/>
      <c r="P8998" s="99"/>
      <c r="Q8998" s="99"/>
      <c r="R8998" s="99"/>
    </row>
    <row r="8999" spans="5:18" s="65" customFormat="1">
      <c r="E8999" s="130"/>
      <c r="P8999" s="99"/>
      <c r="Q8999" s="99"/>
      <c r="R8999" s="99"/>
    </row>
    <row r="9000" spans="5:18" s="65" customFormat="1">
      <c r="E9000" s="130"/>
      <c r="P9000" s="99"/>
      <c r="Q9000" s="99"/>
      <c r="R9000" s="99"/>
    </row>
    <row r="9001" spans="5:18" s="65" customFormat="1">
      <c r="E9001" s="130"/>
      <c r="P9001" s="99"/>
      <c r="Q9001" s="99"/>
      <c r="R9001" s="99"/>
    </row>
    <row r="9002" spans="5:18" s="65" customFormat="1">
      <c r="E9002" s="130"/>
      <c r="P9002" s="99"/>
      <c r="Q9002" s="99"/>
      <c r="R9002" s="99"/>
    </row>
    <row r="9003" spans="5:18" s="65" customFormat="1">
      <c r="E9003" s="130"/>
      <c r="P9003" s="99"/>
      <c r="Q9003" s="99"/>
      <c r="R9003" s="99"/>
    </row>
    <row r="9004" spans="5:18" s="65" customFormat="1">
      <c r="E9004" s="130"/>
      <c r="P9004" s="99"/>
      <c r="Q9004" s="99"/>
      <c r="R9004" s="99"/>
    </row>
    <row r="9005" spans="5:18" s="65" customFormat="1">
      <c r="E9005" s="130"/>
      <c r="P9005" s="99"/>
      <c r="Q9005" s="99"/>
      <c r="R9005" s="99"/>
    </row>
    <row r="9006" spans="5:18" s="65" customFormat="1">
      <c r="E9006" s="130"/>
      <c r="P9006" s="99"/>
      <c r="Q9006" s="99"/>
      <c r="R9006" s="99"/>
    </row>
    <row r="9007" spans="5:18" s="65" customFormat="1">
      <c r="E9007" s="130"/>
      <c r="P9007" s="99"/>
      <c r="Q9007" s="99"/>
      <c r="R9007" s="99"/>
    </row>
    <row r="9008" spans="5:18" s="65" customFormat="1">
      <c r="E9008" s="130"/>
      <c r="P9008" s="99"/>
      <c r="Q9008" s="99"/>
      <c r="R9008" s="99"/>
    </row>
    <row r="9009" spans="5:18" s="65" customFormat="1">
      <c r="E9009" s="130"/>
      <c r="P9009" s="99"/>
      <c r="Q9009" s="99"/>
      <c r="R9009" s="99"/>
    </row>
    <row r="9010" spans="5:18" s="65" customFormat="1">
      <c r="E9010" s="130"/>
      <c r="P9010" s="99"/>
      <c r="Q9010" s="99"/>
      <c r="R9010" s="99"/>
    </row>
    <row r="9011" spans="5:18" s="65" customFormat="1">
      <c r="E9011" s="130"/>
      <c r="P9011" s="99"/>
      <c r="Q9011" s="99"/>
      <c r="R9011" s="99"/>
    </row>
    <row r="9012" spans="5:18" s="65" customFormat="1">
      <c r="E9012" s="130"/>
      <c r="P9012" s="99"/>
      <c r="Q9012" s="99"/>
      <c r="R9012" s="99"/>
    </row>
    <row r="9013" spans="5:18" s="65" customFormat="1">
      <c r="E9013" s="130"/>
      <c r="P9013" s="99"/>
      <c r="Q9013" s="99"/>
      <c r="R9013" s="99"/>
    </row>
    <row r="9014" spans="5:18" s="65" customFormat="1">
      <c r="E9014" s="130"/>
      <c r="P9014" s="99"/>
      <c r="Q9014" s="99"/>
      <c r="R9014" s="99"/>
    </row>
    <row r="9015" spans="5:18" s="65" customFormat="1">
      <c r="E9015" s="130"/>
      <c r="P9015" s="99"/>
      <c r="Q9015" s="99"/>
      <c r="R9015" s="99"/>
    </row>
    <row r="9016" spans="5:18" s="65" customFormat="1">
      <c r="E9016" s="130"/>
      <c r="P9016" s="99"/>
      <c r="Q9016" s="99"/>
      <c r="R9016" s="99"/>
    </row>
    <row r="9017" spans="5:18" s="65" customFormat="1">
      <c r="E9017" s="130"/>
      <c r="P9017" s="99"/>
      <c r="Q9017" s="99"/>
      <c r="R9017" s="99"/>
    </row>
    <row r="9018" spans="5:18" s="65" customFormat="1">
      <c r="E9018" s="130"/>
      <c r="P9018" s="99"/>
      <c r="Q9018" s="99"/>
      <c r="R9018" s="99"/>
    </row>
    <row r="9019" spans="5:18" s="65" customFormat="1">
      <c r="E9019" s="130"/>
      <c r="P9019" s="99"/>
      <c r="Q9019" s="99"/>
      <c r="R9019" s="99"/>
    </row>
    <row r="9020" spans="5:18" s="65" customFormat="1">
      <c r="E9020" s="130"/>
      <c r="P9020" s="99"/>
      <c r="Q9020" s="99"/>
      <c r="R9020" s="99"/>
    </row>
    <row r="9021" spans="5:18" s="65" customFormat="1">
      <c r="E9021" s="130"/>
      <c r="P9021" s="99"/>
      <c r="Q9021" s="99"/>
      <c r="R9021" s="99"/>
    </row>
    <row r="9022" spans="5:18" s="65" customFormat="1">
      <c r="E9022" s="130"/>
      <c r="P9022" s="99"/>
      <c r="Q9022" s="99"/>
      <c r="R9022" s="99"/>
    </row>
    <row r="9023" spans="5:18" s="65" customFormat="1">
      <c r="E9023" s="130"/>
      <c r="P9023" s="99"/>
      <c r="Q9023" s="99"/>
      <c r="R9023" s="99"/>
    </row>
    <row r="9024" spans="5:18" s="65" customFormat="1">
      <c r="E9024" s="130"/>
      <c r="P9024" s="99"/>
      <c r="Q9024" s="99"/>
      <c r="R9024" s="99"/>
    </row>
    <row r="9025" spans="5:18" s="65" customFormat="1">
      <c r="E9025" s="130"/>
      <c r="P9025" s="99"/>
      <c r="Q9025" s="99"/>
      <c r="R9025" s="99"/>
    </row>
    <row r="9026" spans="5:18" s="65" customFormat="1">
      <c r="E9026" s="130"/>
      <c r="P9026" s="99"/>
      <c r="Q9026" s="99"/>
      <c r="R9026" s="99"/>
    </row>
    <row r="9027" spans="5:18" s="65" customFormat="1">
      <c r="E9027" s="130"/>
      <c r="P9027" s="99"/>
      <c r="Q9027" s="99"/>
      <c r="R9027" s="99"/>
    </row>
    <row r="9028" spans="5:18" s="65" customFormat="1">
      <c r="E9028" s="130"/>
      <c r="P9028" s="99"/>
      <c r="Q9028" s="99"/>
      <c r="R9028" s="99"/>
    </row>
    <row r="9029" spans="5:18" s="65" customFormat="1">
      <c r="E9029" s="130"/>
      <c r="P9029" s="99"/>
      <c r="Q9029" s="99"/>
      <c r="R9029" s="99"/>
    </row>
    <row r="9030" spans="5:18" s="65" customFormat="1">
      <c r="E9030" s="130"/>
      <c r="P9030" s="99"/>
      <c r="Q9030" s="99"/>
      <c r="R9030" s="99"/>
    </row>
    <row r="9031" spans="5:18" s="65" customFormat="1">
      <c r="E9031" s="130"/>
      <c r="P9031" s="99"/>
      <c r="Q9031" s="99"/>
      <c r="R9031" s="99"/>
    </row>
    <row r="9032" spans="5:18" s="65" customFormat="1">
      <c r="E9032" s="130"/>
      <c r="P9032" s="99"/>
      <c r="Q9032" s="99"/>
      <c r="R9032" s="99"/>
    </row>
    <row r="9033" spans="5:18" s="65" customFormat="1">
      <c r="E9033" s="130"/>
      <c r="P9033" s="99"/>
      <c r="Q9033" s="99"/>
      <c r="R9033" s="99"/>
    </row>
    <row r="9034" spans="5:18" s="65" customFormat="1">
      <c r="E9034" s="130"/>
      <c r="P9034" s="99"/>
      <c r="Q9034" s="99"/>
      <c r="R9034" s="99"/>
    </row>
    <row r="9035" spans="5:18" s="65" customFormat="1">
      <c r="E9035" s="130"/>
      <c r="P9035" s="99"/>
      <c r="Q9035" s="99"/>
      <c r="R9035" s="99"/>
    </row>
    <row r="9036" spans="5:18" s="65" customFormat="1">
      <c r="E9036" s="130"/>
      <c r="P9036" s="99"/>
      <c r="Q9036" s="99"/>
      <c r="R9036" s="99"/>
    </row>
    <row r="9037" spans="5:18" s="65" customFormat="1">
      <c r="E9037" s="130"/>
      <c r="P9037" s="99"/>
      <c r="Q9037" s="99"/>
      <c r="R9037" s="99"/>
    </row>
    <row r="9038" spans="5:18" s="65" customFormat="1">
      <c r="E9038" s="130"/>
      <c r="P9038" s="99"/>
      <c r="Q9038" s="99"/>
      <c r="R9038" s="99"/>
    </row>
    <row r="9039" spans="5:18" s="65" customFormat="1">
      <c r="E9039" s="130"/>
      <c r="P9039" s="99"/>
      <c r="Q9039" s="99"/>
      <c r="R9039" s="99"/>
    </row>
    <row r="9040" spans="5:18" s="65" customFormat="1">
      <c r="E9040" s="130"/>
      <c r="P9040" s="99"/>
      <c r="Q9040" s="99"/>
      <c r="R9040" s="99"/>
    </row>
    <row r="9041" spans="5:18" s="65" customFormat="1">
      <c r="E9041" s="130"/>
      <c r="P9041" s="99"/>
      <c r="Q9041" s="99"/>
      <c r="R9041" s="99"/>
    </row>
    <row r="9042" spans="5:18" s="65" customFormat="1">
      <c r="E9042" s="130"/>
      <c r="P9042" s="99"/>
      <c r="Q9042" s="99"/>
      <c r="R9042" s="99"/>
    </row>
    <row r="9043" spans="5:18" s="65" customFormat="1">
      <c r="E9043" s="130"/>
      <c r="P9043" s="99"/>
      <c r="Q9043" s="99"/>
      <c r="R9043" s="99"/>
    </row>
    <row r="9044" spans="5:18" s="65" customFormat="1">
      <c r="E9044" s="130"/>
      <c r="P9044" s="99"/>
      <c r="Q9044" s="99"/>
      <c r="R9044" s="99"/>
    </row>
    <row r="9045" spans="5:18" s="65" customFormat="1">
      <c r="E9045" s="130"/>
      <c r="P9045" s="99"/>
      <c r="Q9045" s="99"/>
      <c r="R9045" s="99"/>
    </row>
    <row r="9046" spans="5:18" s="65" customFormat="1">
      <c r="E9046" s="130"/>
      <c r="P9046" s="99"/>
      <c r="Q9046" s="99"/>
      <c r="R9046" s="99"/>
    </row>
    <row r="9047" spans="5:18" s="65" customFormat="1">
      <c r="E9047" s="130"/>
      <c r="P9047" s="99"/>
      <c r="Q9047" s="99"/>
      <c r="R9047" s="99"/>
    </row>
    <row r="9048" spans="5:18" s="65" customFormat="1">
      <c r="E9048" s="130"/>
      <c r="P9048" s="99"/>
      <c r="Q9048" s="99"/>
      <c r="R9048" s="99"/>
    </row>
    <row r="9049" spans="5:18" s="65" customFormat="1">
      <c r="E9049" s="130"/>
      <c r="P9049" s="99"/>
      <c r="Q9049" s="99"/>
      <c r="R9049" s="99"/>
    </row>
    <row r="9050" spans="5:18" s="65" customFormat="1">
      <c r="E9050" s="130"/>
      <c r="P9050" s="99"/>
      <c r="Q9050" s="99"/>
      <c r="R9050" s="99"/>
    </row>
    <row r="9051" spans="5:18" s="65" customFormat="1">
      <c r="E9051" s="130"/>
      <c r="P9051" s="99"/>
      <c r="Q9051" s="99"/>
      <c r="R9051" s="99"/>
    </row>
    <row r="9052" spans="5:18" s="65" customFormat="1">
      <c r="E9052" s="130"/>
      <c r="P9052" s="99"/>
      <c r="Q9052" s="99"/>
      <c r="R9052" s="99"/>
    </row>
    <row r="9053" spans="5:18" s="65" customFormat="1">
      <c r="E9053" s="130"/>
      <c r="P9053" s="99"/>
      <c r="Q9053" s="99"/>
      <c r="R9053" s="99"/>
    </row>
    <row r="9054" spans="5:18" s="65" customFormat="1">
      <c r="E9054" s="130"/>
      <c r="P9054" s="99"/>
      <c r="Q9054" s="99"/>
      <c r="R9054" s="99"/>
    </row>
    <row r="9055" spans="5:18" s="65" customFormat="1">
      <c r="E9055" s="130"/>
      <c r="P9055" s="99"/>
      <c r="Q9055" s="99"/>
      <c r="R9055" s="99"/>
    </row>
    <row r="9056" spans="5:18" s="65" customFormat="1">
      <c r="E9056" s="130"/>
      <c r="P9056" s="99"/>
      <c r="Q9056" s="99"/>
      <c r="R9056" s="99"/>
    </row>
    <row r="9057" spans="5:18" s="65" customFormat="1">
      <c r="E9057" s="130"/>
      <c r="P9057" s="99"/>
      <c r="Q9057" s="99"/>
      <c r="R9057" s="99"/>
    </row>
    <row r="9058" spans="5:18" s="65" customFormat="1">
      <c r="E9058" s="130"/>
      <c r="P9058" s="99"/>
      <c r="Q9058" s="99"/>
      <c r="R9058" s="99"/>
    </row>
    <row r="9059" spans="5:18" s="65" customFormat="1">
      <c r="E9059" s="130"/>
      <c r="P9059" s="99"/>
      <c r="Q9059" s="99"/>
      <c r="R9059" s="99"/>
    </row>
    <row r="9060" spans="5:18" s="65" customFormat="1">
      <c r="E9060" s="130"/>
      <c r="P9060" s="99"/>
      <c r="Q9060" s="99"/>
      <c r="R9060" s="99"/>
    </row>
    <row r="9061" spans="5:18" s="65" customFormat="1">
      <c r="E9061" s="130"/>
      <c r="P9061" s="99"/>
      <c r="Q9061" s="99"/>
      <c r="R9061" s="99"/>
    </row>
    <row r="9062" spans="5:18" s="65" customFormat="1">
      <c r="E9062" s="130"/>
      <c r="P9062" s="99"/>
      <c r="Q9062" s="99"/>
      <c r="R9062" s="99"/>
    </row>
    <row r="9063" spans="5:18" s="65" customFormat="1">
      <c r="E9063" s="130"/>
      <c r="P9063" s="99"/>
      <c r="Q9063" s="99"/>
      <c r="R9063" s="99"/>
    </row>
    <row r="9064" spans="5:18" s="65" customFormat="1">
      <c r="E9064" s="130"/>
      <c r="P9064" s="99"/>
      <c r="Q9064" s="99"/>
      <c r="R9064" s="99"/>
    </row>
    <row r="9065" spans="5:18" s="65" customFormat="1">
      <c r="E9065" s="130"/>
      <c r="P9065" s="99"/>
      <c r="Q9065" s="99"/>
      <c r="R9065" s="99"/>
    </row>
    <row r="9066" spans="5:18" s="65" customFormat="1">
      <c r="E9066" s="130"/>
      <c r="P9066" s="99"/>
      <c r="Q9066" s="99"/>
      <c r="R9066" s="99"/>
    </row>
    <row r="9067" spans="5:18" s="65" customFormat="1">
      <c r="E9067" s="130"/>
      <c r="P9067" s="99"/>
      <c r="Q9067" s="99"/>
      <c r="R9067" s="99"/>
    </row>
    <row r="9068" spans="5:18" s="65" customFormat="1">
      <c r="E9068" s="130"/>
      <c r="P9068" s="99"/>
      <c r="Q9068" s="99"/>
      <c r="R9068" s="99"/>
    </row>
    <row r="9069" spans="5:18" s="65" customFormat="1">
      <c r="E9069" s="130"/>
      <c r="P9069" s="99"/>
      <c r="Q9069" s="99"/>
      <c r="R9069" s="99"/>
    </row>
    <row r="9070" spans="5:18" s="65" customFormat="1">
      <c r="E9070" s="130"/>
      <c r="P9070" s="99"/>
      <c r="Q9070" s="99"/>
      <c r="R9070" s="99"/>
    </row>
    <row r="9071" spans="5:18" s="65" customFormat="1">
      <c r="E9071" s="130"/>
      <c r="P9071" s="99"/>
      <c r="Q9071" s="99"/>
      <c r="R9071" s="99"/>
    </row>
    <row r="9072" spans="5:18" s="65" customFormat="1">
      <c r="E9072" s="130"/>
      <c r="P9072" s="99"/>
      <c r="Q9072" s="99"/>
      <c r="R9072" s="99"/>
    </row>
    <row r="9073" spans="5:18" s="65" customFormat="1">
      <c r="E9073" s="130"/>
      <c r="P9073" s="99"/>
      <c r="Q9073" s="99"/>
      <c r="R9073" s="99"/>
    </row>
    <row r="9074" spans="5:18" s="65" customFormat="1">
      <c r="E9074" s="130"/>
      <c r="P9074" s="99"/>
      <c r="Q9074" s="99"/>
      <c r="R9074" s="99"/>
    </row>
    <row r="9075" spans="5:18" s="65" customFormat="1">
      <c r="E9075" s="130"/>
      <c r="P9075" s="99"/>
      <c r="Q9075" s="99"/>
      <c r="R9075" s="99"/>
    </row>
    <row r="9076" spans="5:18" s="65" customFormat="1">
      <c r="E9076" s="130"/>
      <c r="P9076" s="99"/>
      <c r="Q9076" s="99"/>
      <c r="R9076" s="99"/>
    </row>
    <row r="9077" spans="5:18" s="65" customFormat="1">
      <c r="E9077" s="130"/>
      <c r="P9077" s="99"/>
      <c r="Q9077" s="99"/>
      <c r="R9077" s="99"/>
    </row>
    <row r="9078" spans="5:18" s="65" customFormat="1">
      <c r="E9078" s="130"/>
      <c r="P9078" s="99"/>
      <c r="Q9078" s="99"/>
      <c r="R9078" s="99"/>
    </row>
    <row r="9079" spans="5:18" s="65" customFormat="1">
      <c r="E9079" s="130"/>
      <c r="P9079" s="99"/>
      <c r="Q9079" s="99"/>
      <c r="R9079" s="99"/>
    </row>
    <row r="9080" spans="5:18" s="65" customFormat="1">
      <c r="E9080" s="130"/>
      <c r="P9080" s="99"/>
      <c r="Q9080" s="99"/>
      <c r="R9080" s="99"/>
    </row>
    <row r="9081" spans="5:18" s="65" customFormat="1">
      <c r="E9081" s="130"/>
      <c r="P9081" s="99"/>
      <c r="Q9081" s="99"/>
      <c r="R9081" s="99"/>
    </row>
    <row r="9082" spans="5:18" s="65" customFormat="1">
      <c r="E9082" s="130"/>
      <c r="P9082" s="99"/>
      <c r="Q9082" s="99"/>
      <c r="R9082" s="99"/>
    </row>
    <row r="9083" spans="5:18" s="65" customFormat="1">
      <c r="E9083" s="130"/>
      <c r="P9083" s="99"/>
      <c r="Q9083" s="99"/>
      <c r="R9083" s="99"/>
    </row>
    <row r="9084" spans="5:18" s="65" customFormat="1">
      <c r="E9084" s="130"/>
      <c r="P9084" s="99"/>
      <c r="Q9084" s="99"/>
      <c r="R9084" s="99"/>
    </row>
    <row r="9085" spans="5:18" s="65" customFormat="1">
      <c r="E9085" s="130"/>
      <c r="P9085" s="99"/>
      <c r="Q9085" s="99"/>
      <c r="R9085" s="99"/>
    </row>
    <row r="9086" spans="5:18" s="65" customFormat="1">
      <c r="E9086" s="130"/>
      <c r="P9086" s="99"/>
      <c r="Q9086" s="99"/>
      <c r="R9086" s="99"/>
    </row>
    <row r="9087" spans="5:18" s="65" customFormat="1">
      <c r="E9087" s="130"/>
      <c r="P9087" s="99"/>
      <c r="Q9087" s="99"/>
      <c r="R9087" s="99"/>
    </row>
    <row r="9088" spans="5:18" s="65" customFormat="1">
      <c r="E9088" s="130"/>
      <c r="P9088" s="99"/>
      <c r="Q9088" s="99"/>
      <c r="R9088" s="99"/>
    </row>
    <row r="9089" spans="5:18" s="65" customFormat="1">
      <c r="E9089" s="130"/>
      <c r="P9089" s="99"/>
      <c r="Q9089" s="99"/>
      <c r="R9089" s="99"/>
    </row>
    <row r="9090" spans="5:18" s="65" customFormat="1">
      <c r="E9090" s="130"/>
      <c r="P9090" s="99"/>
      <c r="Q9090" s="99"/>
      <c r="R9090" s="99"/>
    </row>
    <row r="9091" spans="5:18" s="65" customFormat="1">
      <c r="E9091" s="130"/>
      <c r="P9091" s="99"/>
      <c r="Q9091" s="99"/>
      <c r="R9091" s="99"/>
    </row>
    <row r="9092" spans="5:18" s="65" customFormat="1">
      <c r="E9092" s="130"/>
      <c r="P9092" s="99"/>
      <c r="Q9092" s="99"/>
      <c r="R9092" s="99"/>
    </row>
    <row r="9093" spans="5:18" s="65" customFormat="1">
      <c r="E9093" s="130"/>
      <c r="P9093" s="99"/>
      <c r="Q9093" s="99"/>
      <c r="R9093" s="99"/>
    </row>
    <row r="9094" spans="5:18" s="65" customFormat="1">
      <c r="E9094" s="130"/>
      <c r="P9094" s="99"/>
      <c r="Q9094" s="99"/>
      <c r="R9094" s="99"/>
    </row>
    <row r="9095" spans="5:18" s="65" customFormat="1">
      <c r="E9095" s="130"/>
      <c r="P9095" s="99"/>
      <c r="Q9095" s="99"/>
      <c r="R9095" s="99"/>
    </row>
    <row r="9096" spans="5:18" s="65" customFormat="1">
      <c r="E9096" s="130"/>
      <c r="P9096" s="99"/>
      <c r="Q9096" s="99"/>
      <c r="R9096" s="99"/>
    </row>
    <row r="9097" spans="5:18" s="65" customFormat="1">
      <c r="E9097" s="130"/>
      <c r="P9097" s="99"/>
      <c r="Q9097" s="99"/>
      <c r="R9097" s="99"/>
    </row>
    <row r="9098" spans="5:18" s="65" customFormat="1">
      <c r="E9098" s="130"/>
      <c r="P9098" s="99"/>
      <c r="Q9098" s="99"/>
      <c r="R9098" s="99"/>
    </row>
    <row r="9099" spans="5:18" s="65" customFormat="1">
      <c r="E9099" s="130"/>
      <c r="P9099" s="99"/>
      <c r="Q9099" s="99"/>
      <c r="R9099" s="99"/>
    </row>
    <row r="9100" spans="5:18" s="65" customFormat="1">
      <c r="E9100" s="130"/>
      <c r="P9100" s="99"/>
      <c r="Q9100" s="99"/>
      <c r="R9100" s="99"/>
    </row>
    <row r="9101" spans="5:18" s="65" customFormat="1">
      <c r="E9101" s="130"/>
      <c r="P9101" s="99"/>
      <c r="Q9101" s="99"/>
      <c r="R9101" s="99"/>
    </row>
    <row r="9102" spans="5:18" s="65" customFormat="1">
      <c r="E9102" s="130"/>
      <c r="P9102" s="99"/>
      <c r="Q9102" s="99"/>
      <c r="R9102" s="99"/>
    </row>
    <row r="9103" spans="5:18" s="65" customFormat="1">
      <c r="E9103" s="130"/>
      <c r="P9103" s="99"/>
      <c r="Q9103" s="99"/>
      <c r="R9103" s="99"/>
    </row>
    <row r="9104" spans="5:18" s="65" customFormat="1">
      <c r="E9104" s="130"/>
      <c r="P9104" s="99"/>
      <c r="Q9104" s="99"/>
      <c r="R9104" s="99"/>
    </row>
    <row r="9105" spans="5:18" s="65" customFormat="1">
      <c r="E9105" s="130"/>
      <c r="P9105" s="99"/>
      <c r="Q9105" s="99"/>
      <c r="R9105" s="99"/>
    </row>
    <row r="9106" spans="5:18" s="65" customFormat="1">
      <c r="E9106" s="130"/>
      <c r="P9106" s="99"/>
      <c r="Q9106" s="99"/>
      <c r="R9106" s="99"/>
    </row>
    <row r="9107" spans="5:18" s="65" customFormat="1">
      <c r="E9107" s="130"/>
      <c r="P9107" s="99"/>
      <c r="Q9107" s="99"/>
      <c r="R9107" s="99"/>
    </row>
    <row r="9108" spans="5:18" s="65" customFormat="1">
      <c r="E9108" s="130"/>
      <c r="P9108" s="99"/>
      <c r="Q9108" s="99"/>
      <c r="R9108" s="99"/>
    </row>
    <row r="9109" spans="5:18" s="65" customFormat="1">
      <c r="E9109" s="130"/>
      <c r="P9109" s="99"/>
      <c r="Q9109" s="99"/>
      <c r="R9109" s="99"/>
    </row>
    <row r="9110" spans="5:18" s="65" customFormat="1">
      <c r="E9110" s="130"/>
      <c r="P9110" s="99"/>
      <c r="Q9110" s="99"/>
      <c r="R9110" s="99"/>
    </row>
    <row r="9111" spans="5:18" s="65" customFormat="1">
      <c r="E9111" s="130"/>
      <c r="P9111" s="99"/>
      <c r="Q9111" s="99"/>
      <c r="R9111" s="99"/>
    </row>
    <row r="9112" spans="5:18" s="65" customFormat="1">
      <c r="E9112" s="130"/>
      <c r="P9112" s="99"/>
      <c r="Q9112" s="99"/>
      <c r="R9112" s="99"/>
    </row>
    <row r="9113" spans="5:18" s="65" customFormat="1">
      <c r="E9113" s="130"/>
      <c r="P9113" s="99"/>
      <c r="Q9113" s="99"/>
      <c r="R9113" s="99"/>
    </row>
    <row r="9114" spans="5:18" s="65" customFormat="1">
      <c r="E9114" s="130"/>
      <c r="P9114" s="99"/>
      <c r="Q9114" s="99"/>
      <c r="R9114" s="99"/>
    </row>
    <row r="9115" spans="5:18" s="65" customFormat="1">
      <c r="E9115" s="130"/>
      <c r="P9115" s="99"/>
      <c r="Q9115" s="99"/>
      <c r="R9115" s="99"/>
    </row>
    <row r="9116" spans="5:18" s="65" customFormat="1">
      <c r="E9116" s="130"/>
      <c r="P9116" s="99"/>
      <c r="Q9116" s="99"/>
      <c r="R9116" s="99"/>
    </row>
    <row r="9117" spans="5:18" s="65" customFormat="1">
      <c r="E9117" s="130"/>
      <c r="P9117" s="99"/>
      <c r="Q9117" s="99"/>
      <c r="R9117" s="99"/>
    </row>
    <row r="9118" spans="5:18" s="65" customFormat="1">
      <c r="E9118" s="130"/>
      <c r="P9118" s="99"/>
      <c r="Q9118" s="99"/>
      <c r="R9118" s="99"/>
    </row>
    <row r="9119" spans="5:18" s="65" customFormat="1">
      <c r="E9119" s="130"/>
      <c r="P9119" s="99"/>
      <c r="Q9119" s="99"/>
      <c r="R9119" s="99"/>
    </row>
    <row r="9120" spans="5:18" s="65" customFormat="1">
      <c r="E9120" s="130"/>
      <c r="P9120" s="99"/>
      <c r="Q9120" s="99"/>
      <c r="R9120" s="99"/>
    </row>
    <row r="9121" spans="5:18" s="65" customFormat="1">
      <c r="E9121" s="130"/>
      <c r="P9121" s="99"/>
      <c r="Q9121" s="99"/>
      <c r="R9121" s="99"/>
    </row>
    <row r="9122" spans="5:18" s="65" customFormat="1">
      <c r="E9122" s="130"/>
      <c r="P9122" s="99"/>
      <c r="Q9122" s="99"/>
      <c r="R9122" s="99"/>
    </row>
    <row r="9123" spans="5:18" s="65" customFormat="1">
      <c r="E9123" s="130"/>
      <c r="P9123" s="99"/>
      <c r="Q9123" s="99"/>
      <c r="R9123" s="99"/>
    </row>
    <row r="9124" spans="5:18" s="65" customFormat="1">
      <c r="E9124" s="130"/>
      <c r="P9124" s="99"/>
      <c r="Q9124" s="99"/>
      <c r="R9124" s="99"/>
    </row>
    <row r="9125" spans="5:18" s="65" customFormat="1">
      <c r="E9125" s="130"/>
      <c r="P9125" s="99"/>
      <c r="Q9125" s="99"/>
      <c r="R9125" s="99"/>
    </row>
    <row r="9126" spans="5:18" s="65" customFormat="1">
      <c r="E9126" s="130"/>
      <c r="P9126" s="99"/>
      <c r="Q9126" s="99"/>
      <c r="R9126" s="99"/>
    </row>
    <row r="9127" spans="5:18" s="65" customFormat="1">
      <c r="E9127" s="130"/>
      <c r="P9127" s="99"/>
      <c r="Q9127" s="99"/>
      <c r="R9127" s="99"/>
    </row>
    <row r="9128" spans="5:18" s="65" customFormat="1">
      <c r="E9128" s="130"/>
      <c r="P9128" s="99"/>
      <c r="Q9128" s="99"/>
      <c r="R9128" s="99"/>
    </row>
    <row r="9129" spans="5:18" s="65" customFormat="1">
      <c r="E9129" s="130"/>
      <c r="P9129" s="99"/>
      <c r="Q9129" s="99"/>
      <c r="R9129" s="99"/>
    </row>
    <row r="9130" spans="5:18" s="65" customFormat="1">
      <c r="E9130" s="130"/>
      <c r="P9130" s="99"/>
      <c r="Q9130" s="99"/>
      <c r="R9130" s="99"/>
    </row>
    <row r="9131" spans="5:18" s="65" customFormat="1">
      <c r="E9131" s="130"/>
      <c r="P9131" s="99"/>
      <c r="Q9131" s="99"/>
      <c r="R9131" s="99"/>
    </row>
    <row r="9132" spans="5:18" s="65" customFormat="1">
      <c r="E9132" s="130"/>
      <c r="P9132" s="99"/>
      <c r="Q9132" s="99"/>
      <c r="R9132" s="99"/>
    </row>
    <row r="9133" spans="5:18" s="65" customFormat="1">
      <c r="E9133" s="130"/>
      <c r="P9133" s="99"/>
      <c r="Q9133" s="99"/>
      <c r="R9133" s="99"/>
    </row>
    <row r="9134" spans="5:18" s="65" customFormat="1">
      <c r="E9134" s="130"/>
      <c r="P9134" s="99"/>
      <c r="Q9134" s="99"/>
      <c r="R9134" s="99"/>
    </row>
    <row r="9135" spans="5:18" s="65" customFormat="1">
      <c r="E9135" s="130"/>
      <c r="P9135" s="99"/>
      <c r="Q9135" s="99"/>
      <c r="R9135" s="99"/>
    </row>
    <row r="9136" spans="5:18" s="65" customFormat="1">
      <c r="E9136" s="130"/>
      <c r="P9136" s="99"/>
      <c r="Q9136" s="99"/>
      <c r="R9136" s="99"/>
    </row>
    <row r="9137" spans="5:18" s="65" customFormat="1">
      <c r="E9137" s="130"/>
      <c r="P9137" s="99"/>
      <c r="Q9137" s="99"/>
      <c r="R9137" s="99"/>
    </row>
    <row r="9138" spans="5:18" s="65" customFormat="1">
      <c r="E9138" s="130"/>
      <c r="P9138" s="99"/>
      <c r="Q9138" s="99"/>
      <c r="R9138" s="99"/>
    </row>
    <row r="9139" spans="5:18" s="65" customFormat="1">
      <c r="E9139" s="130"/>
      <c r="P9139" s="99"/>
      <c r="Q9139" s="99"/>
      <c r="R9139" s="99"/>
    </row>
    <row r="9140" spans="5:18" s="65" customFormat="1">
      <c r="E9140" s="130"/>
      <c r="P9140" s="99"/>
      <c r="Q9140" s="99"/>
      <c r="R9140" s="99"/>
    </row>
    <row r="9141" spans="5:18" s="65" customFormat="1">
      <c r="E9141" s="130"/>
      <c r="P9141" s="99"/>
      <c r="Q9141" s="99"/>
      <c r="R9141" s="99"/>
    </row>
    <row r="9142" spans="5:18" s="65" customFormat="1">
      <c r="E9142" s="130"/>
      <c r="P9142" s="99"/>
      <c r="Q9142" s="99"/>
      <c r="R9142" s="99"/>
    </row>
    <row r="9143" spans="5:18" s="65" customFormat="1">
      <c r="E9143" s="130"/>
      <c r="P9143" s="99"/>
      <c r="Q9143" s="99"/>
      <c r="R9143" s="99"/>
    </row>
    <row r="9144" spans="5:18" s="65" customFormat="1">
      <c r="E9144" s="130"/>
      <c r="P9144" s="99"/>
      <c r="Q9144" s="99"/>
      <c r="R9144" s="99"/>
    </row>
    <row r="9145" spans="5:18" s="65" customFormat="1">
      <c r="E9145" s="130"/>
      <c r="P9145" s="99"/>
      <c r="Q9145" s="99"/>
      <c r="R9145" s="99"/>
    </row>
    <row r="9146" spans="5:18" s="65" customFormat="1">
      <c r="E9146" s="130"/>
      <c r="P9146" s="99"/>
      <c r="Q9146" s="99"/>
      <c r="R9146" s="99"/>
    </row>
    <row r="9147" spans="5:18" s="65" customFormat="1">
      <c r="E9147" s="130"/>
      <c r="P9147" s="99"/>
      <c r="Q9147" s="99"/>
      <c r="R9147" s="99"/>
    </row>
    <row r="9148" spans="5:18" s="65" customFormat="1">
      <c r="E9148" s="130"/>
      <c r="P9148" s="99"/>
      <c r="Q9148" s="99"/>
      <c r="R9148" s="99"/>
    </row>
    <row r="9149" spans="5:18" s="65" customFormat="1">
      <c r="E9149" s="130"/>
      <c r="P9149" s="99"/>
      <c r="Q9149" s="99"/>
      <c r="R9149" s="99"/>
    </row>
    <row r="9150" spans="5:18" s="65" customFormat="1">
      <c r="E9150" s="130"/>
      <c r="P9150" s="99"/>
      <c r="Q9150" s="99"/>
      <c r="R9150" s="99"/>
    </row>
    <row r="9151" spans="5:18" s="65" customFormat="1">
      <c r="E9151" s="130"/>
      <c r="P9151" s="99"/>
      <c r="Q9151" s="99"/>
      <c r="R9151" s="99"/>
    </row>
    <row r="9152" spans="5:18" s="65" customFormat="1">
      <c r="E9152" s="130"/>
      <c r="P9152" s="99"/>
      <c r="Q9152" s="99"/>
      <c r="R9152" s="99"/>
    </row>
    <row r="9153" spans="5:18" s="65" customFormat="1">
      <c r="E9153" s="130"/>
      <c r="P9153" s="99"/>
      <c r="Q9153" s="99"/>
      <c r="R9153" s="99"/>
    </row>
    <row r="9154" spans="5:18" s="65" customFormat="1">
      <c r="E9154" s="130"/>
      <c r="P9154" s="99"/>
      <c r="Q9154" s="99"/>
      <c r="R9154" s="99"/>
    </row>
    <row r="9155" spans="5:18" s="65" customFormat="1">
      <c r="E9155" s="130"/>
      <c r="P9155" s="99"/>
      <c r="Q9155" s="99"/>
      <c r="R9155" s="99"/>
    </row>
    <row r="9156" spans="5:18" s="65" customFormat="1">
      <c r="E9156" s="130"/>
      <c r="P9156" s="99"/>
      <c r="Q9156" s="99"/>
      <c r="R9156" s="99"/>
    </row>
    <row r="9157" spans="5:18" s="65" customFormat="1">
      <c r="E9157" s="130"/>
      <c r="P9157" s="99"/>
      <c r="Q9157" s="99"/>
      <c r="R9157" s="99"/>
    </row>
    <row r="9158" spans="5:18" s="65" customFormat="1">
      <c r="E9158" s="130"/>
      <c r="P9158" s="99"/>
      <c r="Q9158" s="99"/>
      <c r="R9158" s="99"/>
    </row>
    <row r="9159" spans="5:18" s="65" customFormat="1">
      <c r="E9159" s="130"/>
      <c r="P9159" s="99"/>
      <c r="Q9159" s="99"/>
      <c r="R9159" s="99"/>
    </row>
    <row r="9160" spans="5:18" s="65" customFormat="1">
      <c r="E9160" s="130"/>
      <c r="P9160" s="99"/>
      <c r="Q9160" s="99"/>
      <c r="R9160" s="99"/>
    </row>
    <row r="9161" spans="5:18" s="65" customFormat="1">
      <c r="E9161" s="130"/>
      <c r="P9161" s="99"/>
      <c r="Q9161" s="99"/>
      <c r="R9161" s="99"/>
    </row>
    <row r="9162" spans="5:18" s="65" customFormat="1">
      <c r="E9162" s="130"/>
      <c r="P9162" s="99"/>
      <c r="Q9162" s="99"/>
      <c r="R9162" s="99"/>
    </row>
    <row r="9163" spans="5:18" s="65" customFormat="1">
      <c r="E9163" s="130"/>
      <c r="P9163" s="99"/>
      <c r="Q9163" s="99"/>
      <c r="R9163" s="99"/>
    </row>
    <row r="9164" spans="5:18" s="65" customFormat="1">
      <c r="E9164" s="130"/>
      <c r="P9164" s="99"/>
      <c r="Q9164" s="99"/>
      <c r="R9164" s="99"/>
    </row>
    <row r="9165" spans="5:18" s="65" customFormat="1">
      <c r="E9165" s="130"/>
      <c r="P9165" s="99"/>
      <c r="Q9165" s="99"/>
      <c r="R9165" s="99"/>
    </row>
    <row r="9166" spans="5:18" s="65" customFormat="1">
      <c r="E9166" s="130"/>
      <c r="P9166" s="99"/>
      <c r="Q9166" s="99"/>
      <c r="R9166" s="99"/>
    </row>
    <row r="9167" spans="5:18" s="65" customFormat="1">
      <c r="E9167" s="130"/>
      <c r="P9167" s="99"/>
      <c r="Q9167" s="99"/>
      <c r="R9167" s="99"/>
    </row>
    <row r="9168" spans="5:18" s="65" customFormat="1">
      <c r="E9168" s="130"/>
      <c r="P9168" s="99"/>
      <c r="Q9168" s="99"/>
      <c r="R9168" s="99"/>
    </row>
    <row r="9169" spans="5:18" s="65" customFormat="1">
      <c r="E9169" s="130"/>
      <c r="P9169" s="99"/>
      <c r="Q9169" s="99"/>
      <c r="R9169" s="99"/>
    </row>
    <row r="9170" spans="5:18" s="65" customFormat="1">
      <c r="E9170" s="130"/>
      <c r="P9170" s="99"/>
      <c r="Q9170" s="99"/>
      <c r="R9170" s="99"/>
    </row>
    <row r="9171" spans="5:18" s="65" customFormat="1">
      <c r="E9171" s="130"/>
      <c r="P9171" s="99"/>
      <c r="Q9171" s="99"/>
      <c r="R9171" s="99"/>
    </row>
    <row r="9172" spans="5:18" s="65" customFormat="1">
      <c r="E9172" s="130"/>
      <c r="P9172" s="99"/>
      <c r="Q9172" s="99"/>
      <c r="R9172" s="99"/>
    </row>
    <row r="9173" spans="5:18" s="65" customFormat="1">
      <c r="E9173" s="130"/>
      <c r="P9173" s="99"/>
      <c r="Q9173" s="99"/>
      <c r="R9173" s="99"/>
    </row>
    <row r="9174" spans="5:18" s="65" customFormat="1">
      <c r="E9174" s="130"/>
      <c r="P9174" s="99"/>
      <c r="Q9174" s="99"/>
      <c r="R9174" s="99"/>
    </row>
    <row r="9175" spans="5:18" s="65" customFormat="1">
      <c r="E9175" s="130"/>
      <c r="P9175" s="99"/>
      <c r="Q9175" s="99"/>
      <c r="R9175" s="99"/>
    </row>
    <row r="9176" spans="5:18" s="65" customFormat="1">
      <c r="E9176" s="130"/>
      <c r="P9176" s="99"/>
      <c r="Q9176" s="99"/>
      <c r="R9176" s="99"/>
    </row>
    <row r="9177" spans="5:18" s="65" customFormat="1">
      <c r="E9177" s="130"/>
      <c r="P9177" s="99"/>
      <c r="Q9177" s="99"/>
      <c r="R9177" s="99"/>
    </row>
    <row r="9178" spans="5:18" s="65" customFormat="1">
      <c r="E9178" s="130"/>
      <c r="P9178" s="99"/>
      <c r="Q9178" s="99"/>
      <c r="R9178" s="99"/>
    </row>
    <row r="9179" spans="5:18" s="65" customFormat="1">
      <c r="E9179" s="130"/>
      <c r="P9179" s="99"/>
      <c r="Q9179" s="99"/>
      <c r="R9179" s="99"/>
    </row>
    <row r="9180" spans="5:18" s="65" customFormat="1">
      <c r="E9180" s="130"/>
      <c r="P9180" s="99"/>
      <c r="Q9180" s="99"/>
      <c r="R9180" s="99"/>
    </row>
    <row r="9181" spans="5:18" s="65" customFormat="1">
      <c r="E9181" s="130"/>
      <c r="P9181" s="99"/>
      <c r="Q9181" s="99"/>
      <c r="R9181" s="99"/>
    </row>
    <row r="9182" spans="5:18" s="65" customFormat="1">
      <c r="E9182" s="130"/>
      <c r="P9182" s="99"/>
      <c r="Q9182" s="99"/>
      <c r="R9182" s="99"/>
    </row>
    <row r="9183" spans="5:18" s="65" customFormat="1">
      <c r="E9183" s="130"/>
      <c r="P9183" s="99"/>
      <c r="Q9183" s="99"/>
      <c r="R9183" s="99"/>
    </row>
    <row r="9184" spans="5:18" s="65" customFormat="1">
      <c r="E9184" s="130"/>
      <c r="P9184" s="99"/>
      <c r="Q9184" s="99"/>
      <c r="R9184" s="99"/>
    </row>
    <row r="9185" spans="5:18" s="65" customFormat="1">
      <c r="E9185" s="130"/>
      <c r="P9185" s="99"/>
      <c r="Q9185" s="99"/>
      <c r="R9185" s="99"/>
    </row>
    <row r="9186" spans="5:18" s="65" customFormat="1">
      <c r="E9186" s="130"/>
      <c r="P9186" s="99"/>
      <c r="Q9186" s="99"/>
      <c r="R9186" s="99"/>
    </row>
    <row r="9187" spans="5:18" s="65" customFormat="1">
      <c r="E9187" s="130"/>
      <c r="P9187" s="99"/>
      <c r="Q9187" s="99"/>
      <c r="R9187" s="99"/>
    </row>
    <row r="9188" spans="5:18" s="65" customFormat="1">
      <c r="E9188" s="130"/>
      <c r="P9188" s="99"/>
      <c r="Q9188" s="99"/>
      <c r="R9188" s="99"/>
    </row>
    <row r="9189" spans="5:18" s="65" customFormat="1">
      <c r="E9189" s="130"/>
      <c r="P9189" s="99"/>
      <c r="Q9189" s="99"/>
      <c r="R9189" s="99"/>
    </row>
    <row r="9190" spans="5:18" s="65" customFormat="1">
      <c r="E9190" s="130"/>
      <c r="P9190" s="99"/>
      <c r="Q9190" s="99"/>
      <c r="R9190" s="99"/>
    </row>
    <row r="9191" spans="5:18" s="65" customFormat="1">
      <c r="E9191" s="130"/>
      <c r="P9191" s="99"/>
      <c r="Q9191" s="99"/>
      <c r="R9191" s="99"/>
    </row>
    <row r="9192" spans="5:18" s="65" customFormat="1">
      <c r="E9192" s="130"/>
      <c r="P9192" s="99"/>
      <c r="Q9192" s="99"/>
      <c r="R9192" s="99"/>
    </row>
    <row r="9193" spans="5:18" s="65" customFormat="1">
      <c r="E9193" s="130"/>
      <c r="P9193" s="99"/>
      <c r="Q9193" s="99"/>
      <c r="R9193" s="99"/>
    </row>
    <row r="9194" spans="5:18" s="65" customFormat="1">
      <c r="E9194" s="130"/>
      <c r="P9194" s="99"/>
      <c r="Q9194" s="99"/>
      <c r="R9194" s="99"/>
    </row>
    <row r="9195" spans="5:18" s="65" customFormat="1">
      <c r="E9195" s="130"/>
      <c r="P9195" s="99"/>
      <c r="Q9195" s="99"/>
      <c r="R9195" s="99"/>
    </row>
    <row r="9196" spans="5:18" s="65" customFormat="1">
      <c r="E9196" s="130"/>
      <c r="P9196" s="99"/>
      <c r="Q9196" s="99"/>
      <c r="R9196" s="99"/>
    </row>
    <row r="9197" spans="5:18" s="65" customFormat="1">
      <c r="E9197" s="130"/>
      <c r="P9197" s="99"/>
      <c r="Q9197" s="99"/>
      <c r="R9197" s="99"/>
    </row>
    <row r="9198" spans="5:18" s="65" customFormat="1">
      <c r="E9198" s="130"/>
      <c r="P9198" s="99"/>
      <c r="Q9198" s="99"/>
      <c r="R9198" s="99"/>
    </row>
    <row r="9199" spans="5:18" s="65" customFormat="1">
      <c r="E9199" s="130"/>
      <c r="P9199" s="99"/>
      <c r="Q9199" s="99"/>
      <c r="R9199" s="99"/>
    </row>
    <row r="9200" spans="5:18" s="65" customFormat="1">
      <c r="E9200" s="130"/>
      <c r="P9200" s="99"/>
      <c r="Q9200" s="99"/>
      <c r="R9200" s="99"/>
    </row>
    <row r="9201" spans="5:18" s="65" customFormat="1">
      <c r="E9201" s="130"/>
      <c r="P9201" s="99"/>
      <c r="Q9201" s="99"/>
      <c r="R9201" s="99"/>
    </row>
    <row r="9202" spans="5:18" s="65" customFormat="1">
      <c r="E9202" s="130"/>
      <c r="P9202" s="99"/>
      <c r="Q9202" s="99"/>
      <c r="R9202" s="99"/>
    </row>
    <row r="9203" spans="5:18" s="65" customFormat="1">
      <c r="E9203" s="130"/>
      <c r="P9203" s="99"/>
      <c r="Q9203" s="99"/>
      <c r="R9203" s="99"/>
    </row>
    <row r="9204" spans="5:18" s="65" customFormat="1">
      <c r="E9204" s="130"/>
      <c r="P9204" s="99"/>
      <c r="Q9204" s="99"/>
      <c r="R9204" s="99"/>
    </row>
    <row r="9205" spans="5:18" s="65" customFormat="1">
      <c r="E9205" s="130"/>
      <c r="P9205" s="99"/>
      <c r="Q9205" s="99"/>
      <c r="R9205" s="99"/>
    </row>
    <row r="9206" spans="5:18" s="65" customFormat="1">
      <c r="E9206" s="130"/>
      <c r="P9206" s="99"/>
      <c r="Q9206" s="99"/>
      <c r="R9206" s="99"/>
    </row>
    <row r="9207" spans="5:18" s="65" customFormat="1">
      <c r="E9207" s="130"/>
      <c r="P9207" s="99"/>
      <c r="Q9207" s="99"/>
      <c r="R9207" s="99"/>
    </row>
    <row r="9208" spans="5:18" s="65" customFormat="1">
      <c r="E9208" s="130"/>
      <c r="P9208" s="99"/>
      <c r="Q9208" s="99"/>
      <c r="R9208" s="99"/>
    </row>
    <row r="9209" spans="5:18" s="65" customFormat="1">
      <c r="E9209" s="130"/>
      <c r="P9209" s="99"/>
      <c r="Q9209" s="99"/>
      <c r="R9209" s="99"/>
    </row>
    <row r="9210" spans="5:18" s="65" customFormat="1">
      <c r="E9210" s="130"/>
      <c r="P9210" s="99"/>
      <c r="Q9210" s="99"/>
      <c r="R9210" s="99"/>
    </row>
    <row r="9211" spans="5:18" s="65" customFormat="1">
      <c r="E9211" s="130"/>
      <c r="P9211" s="99"/>
      <c r="Q9211" s="99"/>
      <c r="R9211" s="99"/>
    </row>
    <row r="9212" spans="5:18" s="65" customFormat="1">
      <c r="E9212" s="130"/>
      <c r="P9212" s="99"/>
      <c r="Q9212" s="99"/>
      <c r="R9212" s="99"/>
    </row>
    <row r="9213" spans="5:18" s="65" customFormat="1">
      <c r="E9213" s="130"/>
      <c r="P9213" s="99"/>
      <c r="Q9213" s="99"/>
      <c r="R9213" s="99"/>
    </row>
    <row r="9214" spans="5:18" s="65" customFormat="1">
      <c r="E9214" s="130"/>
      <c r="P9214" s="99"/>
      <c r="Q9214" s="99"/>
      <c r="R9214" s="99"/>
    </row>
    <row r="9215" spans="5:18" s="65" customFormat="1">
      <c r="E9215" s="130"/>
      <c r="P9215" s="99"/>
      <c r="Q9215" s="99"/>
      <c r="R9215" s="99"/>
    </row>
    <row r="9216" spans="5:18" s="65" customFormat="1">
      <c r="E9216" s="130"/>
      <c r="P9216" s="99"/>
      <c r="Q9216" s="99"/>
      <c r="R9216" s="99"/>
    </row>
    <row r="9217" spans="5:18" s="65" customFormat="1">
      <c r="E9217" s="130"/>
      <c r="P9217" s="99"/>
      <c r="Q9217" s="99"/>
      <c r="R9217" s="99"/>
    </row>
    <row r="9218" spans="5:18" s="65" customFormat="1">
      <c r="E9218" s="130"/>
      <c r="P9218" s="99"/>
      <c r="Q9218" s="99"/>
      <c r="R9218" s="99"/>
    </row>
    <row r="9219" spans="5:18" s="65" customFormat="1">
      <c r="E9219" s="130"/>
      <c r="P9219" s="99"/>
      <c r="Q9219" s="99"/>
      <c r="R9219" s="99"/>
    </row>
    <row r="9220" spans="5:18" s="65" customFormat="1">
      <c r="E9220" s="130"/>
      <c r="P9220" s="99"/>
      <c r="Q9220" s="99"/>
      <c r="R9220" s="99"/>
    </row>
    <row r="9221" spans="5:18" s="65" customFormat="1">
      <c r="E9221" s="130"/>
      <c r="P9221" s="99"/>
      <c r="Q9221" s="99"/>
      <c r="R9221" s="99"/>
    </row>
    <row r="9222" spans="5:18" s="65" customFormat="1">
      <c r="E9222" s="130"/>
      <c r="P9222" s="99"/>
      <c r="Q9222" s="99"/>
      <c r="R9222" s="99"/>
    </row>
    <row r="9223" spans="5:18" s="65" customFormat="1">
      <c r="E9223" s="130"/>
      <c r="P9223" s="99"/>
      <c r="Q9223" s="99"/>
      <c r="R9223" s="99"/>
    </row>
    <row r="9224" spans="5:18" s="65" customFormat="1">
      <c r="E9224" s="130"/>
      <c r="P9224" s="99"/>
      <c r="Q9224" s="99"/>
      <c r="R9224" s="99"/>
    </row>
    <row r="9225" spans="5:18" s="65" customFormat="1">
      <c r="E9225" s="130"/>
      <c r="P9225" s="99"/>
      <c r="Q9225" s="99"/>
      <c r="R9225" s="99"/>
    </row>
    <row r="9226" spans="5:18" s="65" customFormat="1">
      <c r="E9226" s="130"/>
      <c r="P9226" s="99"/>
      <c r="Q9226" s="99"/>
      <c r="R9226" s="99"/>
    </row>
    <row r="9227" spans="5:18" s="65" customFormat="1">
      <c r="E9227" s="130"/>
      <c r="P9227" s="99"/>
      <c r="Q9227" s="99"/>
      <c r="R9227" s="99"/>
    </row>
    <row r="9228" spans="5:18" s="65" customFormat="1">
      <c r="E9228" s="130"/>
      <c r="P9228" s="99"/>
      <c r="Q9228" s="99"/>
      <c r="R9228" s="99"/>
    </row>
    <row r="9229" spans="5:18" s="65" customFormat="1">
      <c r="E9229" s="130"/>
      <c r="P9229" s="99"/>
      <c r="Q9229" s="99"/>
      <c r="R9229" s="99"/>
    </row>
    <row r="9230" spans="5:18" s="65" customFormat="1">
      <c r="E9230" s="130"/>
      <c r="P9230" s="99"/>
      <c r="Q9230" s="99"/>
      <c r="R9230" s="99"/>
    </row>
    <row r="9231" spans="5:18" s="65" customFormat="1">
      <c r="E9231" s="130"/>
      <c r="P9231" s="99"/>
      <c r="Q9231" s="99"/>
      <c r="R9231" s="99"/>
    </row>
    <row r="9232" spans="5:18" s="65" customFormat="1">
      <c r="E9232" s="130"/>
      <c r="P9232" s="99"/>
      <c r="Q9232" s="99"/>
      <c r="R9232" s="99"/>
    </row>
    <row r="9233" spans="5:18" s="65" customFormat="1">
      <c r="E9233" s="130"/>
      <c r="P9233" s="99"/>
      <c r="Q9233" s="99"/>
      <c r="R9233" s="99"/>
    </row>
    <row r="9234" spans="5:18" s="65" customFormat="1">
      <c r="E9234" s="130"/>
      <c r="P9234" s="99"/>
      <c r="Q9234" s="99"/>
      <c r="R9234" s="99"/>
    </row>
    <row r="9235" spans="5:18" s="65" customFormat="1">
      <c r="E9235" s="130"/>
      <c r="P9235" s="99"/>
      <c r="Q9235" s="99"/>
      <c r="R9235" s="99"/>
    </row>
    <row r="9236" spans="5:18" s="65" customFormat="1">
      <c r="E9236" s="130"/>
      <c r="P9236" s="99"/>
      <c r="Q9236" s="99"/>
      <c r="R9236" s="99"/>
    </row>
    <row r="9237" spans="5:18" s="65" customFormat="1">
      <c r="E9237" s="130"/>
      <c r="P9237" s="99"/>
      <c r="Q9237" s="99"/>
      <c r="R9237" s="99"/>
    </row>
    <row r="9238" spans="5:18" s="65" customFormat="1">
      <c r="E9238" s="130"/>
      <c r="P9238" s="99"/>
      <c r="Q9238" s="99"/>
      <c r="R9238" s="99"/>
    </row>
    <row r="9239" spans="5:18" s="65" customFormat="1">
      <c r="E9239" s="130"/>
      <c r="P9239" s="99"/>
      <c r="Q9239" s="99"/>
      <c r="R9239" s="99"/>
    </row>
    <row r="9240" spans="5:18" s="65" customFormat="1">
      <c r="E9240" s="130"/>
      <c r="P9240" s="99"/>
      <c r="Q9240" s="99"/>
      <c r="R9240" s="99"/>
    </row>
    <row r="9241" spans="5:18" s="65" customFormat="1">
      <c r="E9241" s="130"/>
      <c r="P9241" s="99"/>
      <c r="Q9241" s="99"/>
      <c r="R9241" s="99"/>
    </row>
    <row r="9242" spans="5:18" s="65" customFormat="1">
      <c r="E9242" s="130"/>
      <c r="P9242" s="99"/>
      <c r="Q9242" s="99"/>
      <c r="R9242" s="99"/>
    </row>
    <row r="9243" spans="5:18" s="65" customFormat="1">
      <c r="E9243" s="130"/>
      <c r="P9243" s="99"/>
      <c r="Q9243" s="99"/>
      <c r="R9243" s="99"/>
    </row>
    <row r="9244" spans="5:18" s="65" customFormat="1">
      <c r="E9244" s="130"/>
      <c r="P9244" s="99"/>
      <c r="Q9244" s="99"/>
      <c r="R9244" s="99"/>
    </row>
    <row r="9245" spans="5:18" s="65" customFormat="1">
      <c r="E9245" s="130"/>
      <c r="P9245" s="99"/>
      <c r="Q9245" s="99"/>
      <c r="R9245" s="99"/>
    </row>
    <row r="9246" spans="5:18" s="65" customFormat="1">
      <c r="E9246" s="130"/>
      <c r="P9246" s="99"/>
      <c r="Q9246" s="99"/>
      <c r="R9246" s="99"/>
    </row>
    <row r="9247" spans="5:18" s="65" customFormat="1">
      <c r="E9247" s="130"/>
      <c r="P9247" s="99"/>
      <c r="Q9247" s="99"/>
      <c r="R9247" s="99"/>
    </row>
    <row r="9248" spans="5:18" s="65" customFormat="1">
      <c r="E9248" s="130"/>
      <c r="P9248" s="99"/>
      <c r="Q9248" s="99"/>
      <c r="R9248" s="99"/>
    </row>
    <row r="9249" spans="5:18" s="65" customFormat="1">
      <c r="E9249" s="130"/>
      <c r="P9249" s="99"/>
      <c r="Q9249" s="99"/>
      <c r="R9249" s="99"/>
    </row>
    <row r="9250" spans="5:18" s="65" customFormat="1">
      <c r="E9250" s="130"/>
      <c r="P9250" s="99"/>
      <c r="Q9250" s="99"/>
      <c r="R9250" s="99"/>
    </row>
    <row r="9251" spans="5:18" s="65" customFormat="1">
      <c r="E9251" s="130"/>
      <c r="P9251" s="99"/>
      <c r="Q9251" s="99"/>
      <c r="R9251" s="99"/>
    </row>
    <row r="9252" spans="5:18" s="65" customFormat="1">
      <c r="E9252" s="130"/>
      <c r="P9252" s="99"/>
      <c r="Q9252" s="99"/>
      <c r="R9252" s="99"/>
    </row>
    <row r="9253" spans="5:18" s="65" customFormat="1">
      <c r="E9253" s="130"/>
      <c r="P9253" s="99"/>
      <c r="Q9253" s="99"/>
      <c r="R9253" s="99"/>
    </row>
    <row r="9254" spans="5:18" s="65" customFormat="1">
      <c r="E9254" s="130"/>
      <c r="P9254" s="99"/>
      <c r="Q9254" s="99"/>
      <c r="R9254" s="99"/>
    </row>
    <row r="9255" spans="5:18" s="65" customFormat="1">
      <c r="E9255" s="130"/>
      <c r="P9255" s="99"/>
      <c r="Q9255" s="99"/>
      <c r="R9255" s="99"/>
    </row>
    <row r="9256" spans="5:18" s="65" customFormat="1">
      <c r="E9256" s="130"/>
      <c r="P9256" s="99"/>
      <c r="Q9256" s="99"/>
      <c r="R9256" s="99"/>
    </row>
    <row r="9257" spans="5:18" s="65" customFormat="1">
      <c r="E9257" s="130"/>
      <c r="P9257" s="99"/>
      <c r="Q9257" s="99"/>
      <c r="R9257" s="99"/>
    </row>
    <row r="9258" spans="5:18" s="65" customFormat="1">
      <c r="E9258" s="130"/>
      <c r="P9258" s="99"/>
      <c r="Q9258" s="99"/>
      <c r="R9258" s="99"/>
    </row>
    <row r="9259" spans="5:18" s="65" customFormat="1">
      <c r="E9259" s="130"/>
      <c r="P9259" s="99"/>
      <c r="Q9259" s="99"/>
      <c r="R9259" s="99"/>
    </row>
    <row r="9260" spans="5:18" s="65" customFormat="1">
      <c r="E9260" s="130"/>
      <c r="P9260" s="99"/>
      <c r="Q9260" s="99"/>
      <c r="R9260" s="99"/>
    </row>
    <row r="9261" spans="5:18" s="65" customFormat="1">
      <c r="E9261" s="130"/>
      <c r="P9261" s="99"/>
      <c r="Q9261" s="99"/>
      <c r="R9261" s="99"/>
    </row>
    <row r="9262" spans="5:18" s="65" customFormat="1">
      <c r="E9262" s="130"/>
      <c r="P9262" s="99"/>
      <c r="Q9262" s="99"/>
      <c r="R9262" s="99"/>
    </row>
    <row r="9263" spans="5:18" s="65" customFormat="1">
      <c r="E9263" s="130"/>
      <c r="P9263" s="99"/>
      <c r="Q9263" s="99"/>
      <c r="R9263" s="99"/>
    </row>
    <row r="9264" spans="5:18" s="65" customFormat="1">
      <c r="E9264" s="130"/>
      <c r="P9264" s="99"/>
      <c r="Q9264" s="99"/>
      <c r="R9264" s="99"/>
    </row>
    <row r="9265" spans="5:18" s="65" customFormat="1">
      <c r="E9265" s="130"/>
      <c r="P9265" s="99"/>
      <c r="Q9265" s="99"/>
      <c r="R9265" s="99"/>
    </row>
    <row r="9266" spans="5:18" s="65" customFormat="1">
      <c r="E9266" s="130"/>
      <c r="P9266" s="99"/>
      <c r="Q9266" s="99"/>
      <c r="R9266" s="99"/>
    </row>
    <row r="9267" spans="5:18" s="65" customFormat="1">
      <c r="E9267" s="130"/>
      <c r="P9267" s="99"/>
      <c r="Q9267" s="99"/>
      <c r="R9267" s="99"/>
    </row>
    <row r="9268" spans="5:18" s="65" customFormat="1">
      <c r="E9268" s="130"/>
      <c r="P9268" s="99"/>
      <c r="Q9268" s="99"/>
      <c r="R9268" s="99"/>
    </row>
    <row r="9269" spans="5:18" s="65" customFormat="1">
      <c r="E9269" s="130"/>
      <c r="P9269" s="99"/>
      <c r="Q9269" s="99"/>
      <c r="R9269" s="99"/>
    </row>
    <row r="9270" spans="5:18" s="65" customFormat="1">
      <c r="E9270" s="130"/>
      <c r="P9270" s="99"/>
      <c r="Q9270" s="99"/>
      <c r="R9270" s="99"/>
    </row>
    <row r="9271" spans="5:18" s="65" customFormat="1">
      <c r="E9271" s="130"/>
      <c r="P9271" s="99"/>
      <c r="Q9271" s="99"/>
      <c r="R9271" s="99"/>
    </row>
    <row r="9272" spans="5:18" s="65" customFormat="1">
      <c r="E9272" s="130"/>
      <c r="P9272" s="99"/>
      <c r="Q9272" s="99"/>
      <c r="R9272" s="99"/>
    </row>
    <row r="9273" spans="5:18" s="65" customFormat="1">
      <c r="E9273" s="130"/>
      <c r="P9273" s="99"/>
      <c r="Q9273" s="99"/>
      <c r="R9273" s="99"/>
    </row>
    <row r="9274" spans="5:18" s="65" customFormat="1">
      <c r="E9274" s="130"/>
      <c r="P9274" s="99"/>
      <c r="Q9274" s="99"/>
      <c r="R9274" s="99"/>
    </row>
    <row r="9275" spans="5:18" s="65" customFormat="1">
      <c r="E9275" s="130"/>
      <c r="P9275" s="99"/>
      <c r="Q9275" s="99"/>
      <c r="R9275" s="99"/>
    </row>
    <row r="9276" spans="5:18" s="65" customFormat="1">
      <c r="E9276" s="130"/>
      <c r="P9276" s="99"/>
      <c r="Q9276" s="99"/>
      <c r="R9276" s="99"/>
    </row>
    <row r="9277" spans="5:18" s="65" customFormat="1">
      <c r="E9277" s="130"/>
      <c r="P9277" s="99"/>
      <c r="Q9277" s="99"/>
      <c r="R9277" s="99"/>
    </row>
    <row r="9278" spans="5:18" s="65" customFormat="1">
      <c r="E9278" s="130"/>
      <c r="P9278" s="99"/>
      <c r="Q9278" s="99"/>
      <c r="R9278" s="99"/>
    </row>
    <row r="9279" spans="5:18" s="65" customFormat="1">
      <c r="E9279" s="130"/>
      <c r="P9279" s="99"/>
      <c r="Q9279" s="99"/>
      <c r="R9279" s="99"/>
    </row>
    <row r="9280" spans="5:18" s="65" customFormat="1">
      <c r="E9280" s="130"/>
      <c r="P9280" s="99"/>
      <c r="Q9280" s="99"/>
      <c r="R9280" s="99"/>
    </row>
    <row r="9281" spans="5:18" s="65" customFormat="1">
      <c r="E9281" s="130"/>
      <c r="P9281" s="99"/>
      <c r="Q9281" s="99"/>
      <c r="R9281" s="99"/>
    </row>
    <row r="9282" spans="5:18" s="65" customFormat="1">
      <c r="E9282" s="130"/>
      <c r="P9282" s="99"/>
      <c r="Q9282" s="99"/>
      <c r="R9282" s="99"/>
    </row>
    <row r="9283" spans="5:18" s="65" customFormat="1">
      <c r="E9283" s="130"/>
      <c r="P9283" s="99"/>
      <c r="Q9283" s="99"/>
      <c r="R9283" s="99"/>
    </row>
    <row r="9284" spans="5:18" s="65" customFormat="1">
      <c r="E9284" s="130"/>
      <c r="P9284" s="99"/>
      <c r="Q9284" s="99"/>
      <c r="R9284" s="99"/>
    </row>
    <row r="9285" spans="5:18" s="65" customFormat="1">
      <c r="E9285" s="130"/>
      <c r="P9285" s="99"/>
      <c r="Q9285" s="99"/>
      <c r="R9285" s="99"/>
    </row>
    <row r="9286" spans="5:18" s="65" customFormat="1">
      <c r="E9286" s="130"/>
      <c r="P9286" s="99"/>
      <c r="Q9286" s="99"/>
      <c r="R9286" s="99"/>
    </row>
    <row r="9287" spans="5:18" s="65" customFormat="1">
      <c r="E9287" s="130"/>
      <c r="P9287" s="99"/>
      <c r="Q9287" s="99"/>
      <c r="R9287" s="99"/>
    </row>
    <row r="9288" spans="5:18" s="65" customFormat="1">
      <c r="E9288" s="130"/>
      <c r="P9288" s="99"/>
      <c r="Q9288" s="99"/>
      <c r="R9288" s="99"/>
    </row>
    <row r="9289" spans="5:18" s="65" customFormat="1">
      <c r="E9289" s="130"/>
      <c r="P9289" s="99"/>
      <c r="Q9289" s="99"/>
      <c r="R9289" s="99"/>
    </row>
    <row r="9290" spans="5:18" s="65" customFormat="1">
      <c r="E9290" s="130"/>
      <c r="P9290" s="99"/>
      <c r="Q9290" s="99"/>
      <c r="R9290" s="99"/>
    </row>
    <row r="9291" spans="5:18" s="65" customFormat="1">
      <c r="E9291" s="130"/>
      <c r="P9291" s="99"/>
      <c r="Q9291" s="99"/>
      <c r="R9291" s="99"/>
    </row>
    <row r="9292" spans="5:18" s="65" customFormat="1">
      <c r="E9292" s="130"/>
      <c r="P9292" s="99"/>
      <c r="Q9292" s="99"/>
      <c r="R9292" s="99"/>
    </row>
    <row r="9293" spans="5:18" s="65" customFormat="1">
      <c r="E9293" s="130"/>
      <c r="P9293" s="99"/>
      <c r="Q9293" s="99"/>
      <c r="R9293" s="99"/>
    </row>
    <row r="9294" spans="5:18" s="65" customFormat="1">
      <c r="E9294" s="130"/>
      <c r="P9294" s="99"/>
      <c r="Q9294" s="99"/>
      <c r="R9294" s="99"/>
    </row>
    <row r="9295" spans="5:18" s="65" customFormat="1">
      <c r="E9295" s="130"/>
      <c r="P9295" s="99"/>
      <c r="Q9295" s="99"/>
      <c r="R9295" s="99"/>
    </row>
    <row r="9296" spans="5:18" s="65" customFormat="1">
      <c r="E9296" s="130"/>
      <c r="P9296" s="99"/>
      <c r="Q9296" s="99"/>
      <c r="R9296" s="99"/>
    </row>
    <row r="9297" spans="5:18" s="65" customFormat="1">
      <c r="E9297" s="130"/>
      <c r="P9297" s="99"/>
      <c r="Q9297" s="99"/>
      <c r="R9297" s="99"/>
    </row>
    <row r="9298" spans="5:18" s="65" customFormat="1">
      <c r="E9298" s="130"/>
      <c r="P9298" s="99"/>
      <c r="Q9298" s="99"/>
      <c r="R9298" s="99"/>
    </row>
    <row r="9299" spans="5:18" s="65" customFormat="1">
      <c r="E9299" s="130"/>
      <c r="P9299" s="99"/>
      <c r="Q9299" s="99"/>
      <c r="R9299" s="99"/>
    </row>
    <row r="9300" spans="5:18" s="65" customFormat="1">
      <c r="E9300" s="130"/>
      <c r="P9300" s="99"/>
      <c r="Q9300" s="99"/>
      <c r="R9300" s="99"/>
    </row>
    <row r="9301" spans="5:18" s="65" customFormat="1">
      <c r="E9301" s="130"/>
      <c r="P9301" s="99"/>
      <c r="Q9301" s="99"/>
      <c r="R9301" s="99"/>
    </row>
    <row r="9302" spans="5:18" s="65" customFormat="1">
      <c r="E9302" s="130"/>
      <c r="P9302" s="99"/>
      <c r="Q9302" s="99"/>
      <c r="R9302" s="99"/>
    </row>
    <row r="9303" spans="5:18" s="65" customFormat="1">
      <c r="E9303" s="130"/>
      <c r="P9303" s="99"/>
      <c r="Q9303" s="99"/>
      <c r="R9303" s="99"/>
    </row>
    <row r="9304" spans="5:18" s="65" customFormat="1">
      <c r="E9304" s="130"/>
      <c r="P9304" s="99"/>
      <c r="Q9304" s="99"/>
      <c r="R9304" s="99"/>
    </row>
    <row r="9305" spans="5:18" s="65" customFormat="1">
      <c r="E9305" s="130"/>
      <c r="P9305" s="99"/>
      <c r="Q9305" s="99"/>
      <c r="R9305" s="99"/>
    </row>
    <row r="9306" spans="5:18" s="65" customFormat="1">
      <c r="E9306" s="130"/>
      <c r="P9306" s="99"/>
      <c r="Q9306" s="99"/>
      <c r="R9306" s="99"/>
    </row>
    <row r="9307" spans="5:18" s="65" customFormat="1">
      <c r="E9307" s="130"/>
      <c r="P9307" s="99"/>
      <c r="Q9307" s="99"/>
      <c r="R9307" s="99"/>
    </row>
    <row r="9308" spans="5:18" s="65" customFormat="1">
      <c r="E9308" s="130"/>
      <c r="P9308" s="99"/>
      <c r="Q9308" s="99"/>
      <c r="R9308" s="99"/>
    </row>
    <row r="9309" spans="5:18" s="65" customFormat="1">
      <c r="E9309" s="130"/>
      <c r="P9309" s="99"/>
      <c r="Q9309" s="99"/>
      <c r="R9309" s="99"/>
    </row>
    <row r="9310" spans="5:18" s="65" customFormat="1">
      <c r="E9310" s="130"/>
      <c r="P9310" s="99"/>
      <c r="Q9310" s="99"/>
      <c r="R9310" s="99"/>
    </row>
    <row r="9311" spans="5:18" s="65" customFormat="1">
      <c r="E9311" s="130"/>
      <c r="P9311" s="99"/>
      <c r="Q9311" s="99"/>
      <c r="R9311" s="99"/>
    </row>
    <row r="9312" spans="5:18" s="65" customFormat="1">
      <c r="E9312" s="130"/>
      <c r="P9312" s="99"/>
      <c r="Q9312" s="99"/>
      <c r="R9312" s="99"/>
    </row>
    <row r="9313" spans="5:18" s="65" customFormat="1">
      <c r="E9313" s="130"/>
      <c r="P9313" s="99"/>
      <c r="Q9313" s="99"/>
      <c r="R9313" s="99"/>
    </row>
    <row r="9314" spans="5:18" s="65" customFormat="1">
      <c r="E9314" s="130"/>
      <c r="P9314" s="99"/>
      <c r="Q9314" s="99"/>
      <c r="R9314" s="99"/>
    </row>
    <row r="9315" spans="5:18" s="65" customFormat="1">
      <c r="E9315" s="130"/>
      <c r="P9315" s="99"/>
      <c r="Q9315" s="99"/>
      <c r="R9315" s="99"/>
    </row>
    <row r="9316" spans="5:18" s="65" customFormat="1">
      <c r="E9316" s="130"/>
      <c r="P9316" s="99"/>
      <c r="Q9316" s="99"/>
      <c r="R9316" s="99"/>
    </row>
    <row r="9317" spans="5:18" s="65" customFormat="1">
      <c r="E9317" s="130"/>
      <c r="P9317" s="99"/>
      <c r="Q9317" s="99"/>
      <c r="R9317" s="99"/>
    </row>
    <row r="9318" spans="5:18" s="65" customFormat="1">
      <c r="E9318" s="130"/>
      <c r="P9318" s="99"/>
      <c r="Q9318" s="99"/>
      <c r="R9318" s="99"/>
    </row>
    <row r="9319" spans="5:18" s="65" customFormat="1">
      <c r="E9319" s="130"/>
      <c r="P9319" s="99"/>
      <c r="Q9319" s="99"/>
      <c r="R9319" s="99"/>
    </row>
    <row r="9320" spans="5:18" s="65" customFormat="1">
      <c r="E9320" s="130"/>
      <c r="P9320" s="99"/>
      <c r="Q9320" s="99"/>
      <c r="R9320" s="99"/>
    </row>
    <row r="9321" spans="5:18" s="65" customFormat="1">
      <c r="E9321" s="130"/>
      <c r="P9321" s="99"/>
      <c r="Q9321" s="99"/>
      <c r="R9321" s="99"/>
    </row>
    <row r="9322" spans="5:18" s="65" customFormat="1">
      <c r="E9322" s="130"/>
      <c r="P9322" s="99"/>
      <c r="Q9322" s="99"/>
      <c r="R9322" s="99"/>
    </row>
    <row r="9323" spans="5:18" s="65" customFormat="1">
      <c r="E9323" s="130"/>
      <c r="P9323" s="99"/>
      <c r="Q9323" s="99"/>
      <c r="R9323" s="99"/>
    </row>
    <row r="9324" spans="5:18" s="65" customFormat="1">
      <c r="E9324" s="130"/>
      <c r="P9324" s="99"/>
      <c r="Q9324" s="99"/>
      <c r="R9324" s="99"/>
    </row>
    <row r="9325" spans="5:18" s="65" customFormat="1">
      <c r="E9325" s="130"/>
      <c r="P9325" s="99"/>
      <c r="Q9325" s="99"/>
      <c r="R9325" s="99"/>
    </row>
    <row r="9326" spans="5:18" s="65" customFormat="1">
      <c r="E9326" s="130"/>
      <c r="P9326" s="99"/>
      <c r="Q9326" s="99"/>
      <c r="R9326" s="99"/>
    </row>
    <row r="9327" spans="5:18" s="65" customFormat="1">
      <c r="E9327" s="130"/>
      <c r="P9327" s="99"/>
      <c r="Q9327" s="99"/>
      <c r="R9327" s="99"/>
    </row>
    <row r="9328" spans="5:18" s="65" customFormat="1">
      <c r="E9328" s="130"/>
      <c r="P9328" s="99"/>
      <c r="Q9328" s="99"/>
      <c r="R9328" s="99"/>
    </row>
    <row r="9329" spans="5:18" s="65" customFormat="1">
      <c r="E9329" s="130"/>
      <c r="P9329" s="99"/>
      <c r="Q9329" s="99"/>
      <c r="R9329" s="99"/>
    </row>
    <row r="9330" spans="5:18" s="65" customFormat="1">
      <c r="E9330" s="130"/>
      <c r="P9330" s="99"/>
      <c r="Q9330" s="99"/>
      <c r="R9330" s="99"/>
    </row>
    <row r="9331" spans="5:18" s="65" customFormat="1">
      <c r="E9331" s="130"/>
      <c r="P9331" s="99"/>
      <c r="Q9331" s="99"/>
      <c r="R9331" s="99"/>
    </row>
    <row r="9332" spans="5:18" s="65" customFormat="1">
      <c r="E9332" s="130"/>
      <c r="P9332" s="99"/>
      <c r="Q9332" s="99"/>
      <c r="R9332" s="99"/>
    </row>
    <row r="9333" spans="5:18" s="65" customFormat="1">
      <c r="E9333" s="130"/>
      <c r="P9333" s="99"/>
      <c r="Q9333" s="99"/>
      <c r="R9333" s="99"/>
    </row>
    <row r="9334" spans="5:18" s="65" customFormat="1">
      <c r="E9334" s="130"/>
      <c r="P9334" s="99"/>
      <c r="Q9334" s="99"/>
      <c r="R9334" s="99"/>
    </row>
    <row r="9335" spans="5:18" s="65" customFormat="1">
      <c r="E9335" s="130"/>
      <c r="P9335" s="99"/>
      <c r="Q9335" s="99"/>
      <c r="R9335" s="99"/>
    </row>
    <row r="9336" spans="5:18" s="65" customFormat="1">
      <c r="E9336" s="130"/>
      <c r="P9336" s="99"/>
      <c r="Q9336" s="99"/>
      <c r="R9336" s="99"/>
    </row>
    <row r="9337" spans="5:18" s="65" customFormat="1">
      <c r="E9337" s="130"/>
      <c r="P9337" s="99"/>
      <c r="Q9337" s="99"/>
      <c r="R9337" s="99"/>
    </row>
    <row r="9338" spans="5:18" s="65" customFormat="1">
      <c r="E9338" s="130"/>
      <c r="P9338" s="99"/>
      <c r="Q9338" s="99"/>
      <c r="R9338" s="99"/>
    </row>
    <row r="9339" spans="5:18" s="65" customFormat="1">
      <c r="E9339" s="130"/>
      <c r="P9339" s="99"/>
      <c r="Q9339" s="99"/>
      <c r="R9339" s="99"/>
    </row>
    <row r="9340" spans="5:18" s="65" customFormat="1">
      <c r="E9340" s="130"/>
      <c r="P9340" s="99"/>
      <c r="Q9340" s="99"/>
      <c r="R9340" s="99"/>
    </row>
    <row r="9341" spans="5:18" s="65" customFormat="1">
      <c r="E9341" s="130"/>
      <c r="P9341" s="99"/>
      <c r="Q9341" s="99"/>
      <c r="R9341" s="99"/>
    </row>
    <row r="9342" spans="5:18" s="65" customFormat="1">
      <c r="E9342" s="130"/>
      <c r="P9342" s="99"/>
      <c r="Q9342" s="99"/>
      <c r="R9342" s="99"/>
    </row>
    <row r="9343" spans="5:18" s="65" customFormat="1">
      <c r="E9343" s="130"/>
      <c r="P9343" s="99"/>
      <c r="Q9343" s="99"/>
      <c r="R9343" s="99"/>
    </row>
    <row r="9344" spans="5:18" s="65" customFormat="1">
      <c r="E9344" s="130"/>
      <c r="P9344" s="99"/>
      <c r="Q9344" s="99"/>
      <c r="R9344" s="99"/>
    </row>
    <row r="9345" spans="5:18" s="65" customFormat="1">
      <c r="E9345" s="130"/>
      <c r="P9345" s="99"/>
      <c r="Q9345" s="99"/>
      <c r="R9345" s="99"/>
    </row>
    <row r="9346" spans="5:18" s="65" customFormat="1">
      <c r="E9346" s="130"/>
      <c r="P9346" s="99"/>
      <c r="Q9346" s="99"/>
      <c r="R9346" s="99"/>
    </row>
    <row r="9347" spans="5:18" s="65" customFormat="1">
      <c r="E9347" s="130"/>
      <c r="P9347" s="99"/>
      <c r="Q9347" s="99"/>
      <c r="R9347" s="99"/>
    </row>
    <row r="9348" spans="5:18" s="65" customFormat="1">
      <c r="E9348" s="130"/>
      <c r="P9348" s="99"/>
      <c r="Q9348" s="99"/>
      <c r="R9348" s="99"/>
    </row>
    <row r="9349" spans="5:18" s="65" customFormat="1">
      <c r="E9349" s="130"/>
      <c r="P9349" s="99"/>
      <c r="Q9349" s="99"/>
      <c r="R9349" s="99"/>
    </row>
    <row r="9350" spans="5:18" s="65" customFormat="1">
      <c r="E9350" s="130"/>
      <c r="P9350" s="99"/>
      <c r="Q9350" s="99"/>
      <c r="R9350" s="99"/>
    </row>
    <row r="9351" spans="5:18" s="65" customFormat="1">
      <c r="E9351" s="130"/>
      <c r="P9351" s="99"/>
      <c r="Q9351" s="99"/>
      <c r="R9351" s="99"/>
    </row>
    <row r="9352" spans="5:18" s="65" customFormat="1">
      <c r="E9352" s="130"/>
      <c r="P9352" s="99"/>
      <c r="Q9352" s="99"/>
      <c r="R9352" s="99"/>
    </row>
    <row r="9353" spans="5:18" s="65" customFormat="1">
      <c r="E9353" s="130"/>
      <c r="P9353" s="99"/>
      <c r="Q9353" s="99"/>
      <c r="R9353" s="99"/>
    </row>
    <row r="9354" spans="5:18" s="65" customFormat="1">
      <c r="E9354" s="130"/>
      <c r="P9354" s="99"/>
      <c r="Q9354" s="99"/>
      <c r="R9354" s="99"/>
    </row>
    <row r="9355" spans="5:18" s="65" customFormat="1">
      <c r="E9355" s="130"/>
      <c r="P9355" s="99"/>
      <c r="Q9355" s="99"/>
      <c r="R9355" s="99"/>
    </row>
    <row r="9356" spans="5:18" s="65" customFormat="1">
      <c r="E9356" s="130"/>
      <c r="P9356" s="99"/>
      <c r="Q9356" s="99"/>
      <c r="R9356" s="99"/>
    </row>
    <row r="9357" spans="5:18" s="65" customFormat="1">
      <c r="E9357" s="130"/>
      <c r="P9357" s="99"/>
      <c r="Q9357" s="99"/>
      <c r="R9357" s="99"/>
    </row>
    <row r="9358" spans="5:18" s="65" customFormat="1">
      <c r="E9358" s="130"/>
      <c r="P9358" s="99"/>
      <c r="Q9358" s="99"/>
      <c r="R9358" s="99"/>
    </row>
    <row r="9359" spans="5:18" s="65" customFormat="1">
      <c r="E9359" s="130"/>
      <c r="P9359" s="99"/>
      <c r="Q9359" s="99"/>
      <c r="R9359" s="99"/>
    </row>
    <row r="9360" spans="5:18" s="65" customFormat="1">
      <c r="E9360" s="130"/>
      <c r="P9360" s="99"/>
      <c r="Q9360" s="99"/>
      <c r="R9360" s="99"/>
    </row>
    <row r="9361" spans="5:18" s="65" customFormat="1">
      <c r="E9361" s="130"/>
      <c r="P9361" s="99"/>
      <c r="Q9361" s="99"/>
      <c r="R9361" s="99"/>
    </row>
    <row r="9362" spans="5:18" s="65" customFormat="1">
      <c r="E9362" s="130"/>
      <c r="P9362" s="99"/>
      <c r="Q9362" s="99"/>
      <c r="R9362" s="99"/>
    </row>
    <row r="9363" spans="5:18" s="65" customFormat="1">
      <c r="E9363" s="130"/>
      <c r="P9363" s="99"/>
      <c r="Q9363" s="99"/>
      <c r="R9363" s="99"/>
    </row>
    <row r="9364" spans="5:18" s="65" customFormat="1">
      <c r="E9364" s="130"/>
      <c r="P9364" s="99"/>
      <c r="Q9364" s="99"/>
      <c r="R9364" s="99"/>
    </row>
    <row r="9365" spans="5:18" s="65" customFormat="1">
      <c r="E9365" s="130"/>
      <c r="P9365" s="99"/>
      <c r="Q9365" s="99"/>
      <c r="R9365" s="99"/>
    </row>
    <row r="9366" spans="5:18" s="65" customFormat="1">
      <c r="E9366" s="130"/>
      <c r="P9366" s="99"/>
      <c r="Q9366" s="99"/>
      <c r="R9366" s="99"/>
    </row>
    <row r="9367" spans="5:18" s="65" customFormat="1">
      <c r="E9367" s="130"/>
      <c r="P9367" s="99"/>
      <c r="Q9367" s="99"/>
      <c r="R9367" s="99"/>
    </row>
    <row r="9368" spans="5:18" s="65" customFormat="1">
      <c r="E9368" s="130"/>
      <c r="P9368" s="99"/>
      <c r="Q9368" s="99"/>
      <c r="R9368" s="99"/>
    </row>
    <row r="9369" spans="5:18" s="65" customFormat="1">
      <c r="E9369" s="130"/>
      <c r="P9369" s="99"/>
      <c r="Q9369" s="99"/>
      <c r="R9369" s="99"/>
    </row>
    <row r="9370" spans="5:18" s="65" customFormat="1">
      <c r="E9370" s="130"/>
      <c r="P9370" s="99"/>
      <c r="Q9370" s="99"/>
      <c r="R9370" s="99"/>
    </row>
    <row r="9371" spans="5:18" s="65" customFormat="1">
      <c r="E9371" s="130"/>
      <c r="P9371" s="99"/>
      <c r="Q9371" s="99"/>
      <c r="R9371" s="99"/>
    </row>
    <row r="9372" spans="5:18" s="65" customFormat="1">
      <c r="E9372" s="130"/>
      <c r="P9372" s="99"/>
      <c r="Q9372" s="99"/>
      <c r="R9372" s="99"/>
    </row>
    <row r="9373" spans="5:18" s="65" customFormat="1">
      <c r="E9373" s="130"/>
      <c r="P9373" s="99"/>
      <c r="Q9373" s="99"/>
      <c r="R9373" s="99"/>
    </row>
    <row r="9374" spans="5:18" s="65" customFormat="1">
      <c r="E9374" s="130"/>
      <c r="P9374" s="99"/>
      <c r="Q9374" s="99"/>
      <c r="R9374" s="99"/>
    </row>
    <row r="9375" spans="5:18" s="65" customFormat="1">
      <c r="E9375" s="130"/>
      <c r="P9375" s="99"/>
      <c r="Q9375" s="99"/>
      <c r="R9375" s="99"/>
    </row>
    <row r="9376" spans="5:18" s="65" customFormat="1">
      <c r="E9376" s="130"/>
      <c r="P9376" s="99"/>
      <c r="Q9376" s="99"/>
      <c r="R9376" s="99"/>
    </row>
    <row r="9377" spans="5:18" s="65" customFormat="1">
      <c r="E9377" s="130"/>
      <c r="P9377" s="99"/>
      <c r="Q9377" s="99"/>
      <c r="R9377" s="99"/>
    </row>
    <row r="9378" spans="5:18" s="65" customFormat="1">
      <c r="E9378" s="130"/>
      <c r="P9378" s="99"/>
      <c r="Q9378" s="99"/>
      <c r="R9378" s="99"/>
    </row>
    <row r="9379" spans="5:18" s="65" customFormat="1">
      <c r="E9379" s="130"/>
      <c r="P9379" s="99"/>
      <c r="Q9379" s="99"/>
      <c r="R9379" s="99"/>
    </row>
    <row r="9380" spans="5:18" s="65" customFormat="1">
      <c r="E9380" s="130"/>
      <c r="P9380" s="99"/>
      <c r="Q9380" s="99"/>
      <c r="R9380" s="99"/>
    </row>
    <row r="9381" spans="5:18" s="65" customFormat="1">
      <c r="E9381" s="130"/>
      <c r="P9381" s="99"/>
      <c r="Q9381" s="99"/>
      <c r="R9381" s="99"/>
    </row>
    <row r="9382" spans="5:18" s="65" customFormat="1">
      <c r="E9382" s="130"/>
      <c r="P9382" s="99"/>
      <c r="Q9382" s="99"/>
      <c r="R9382" s="99"/>
    </row>
    <row r="9383" spans="5:18" s="65" customFormat="1">
      <c r="E9383" s="130"/>
      <c r="P9383" s="99"/>
      <c r="Q9383" s="99"/>
      <c r="R9383" s="99"/>
    </row>
    <row r="9384" spans="5:18" s="65" customFormat="1">
      <c r="E9384" s="130"/>
      <c r="P9384" s="99"/>
      <c r="Q9384" s="99"/>
      <c r="R9384" s="99"/>
    </row>
    <row r="9385" spans="5:18" s="65" customFormat="1">
      <c r="E9385" s="130"/>
      <c r="P9385" s="99"/>
      <c r="Q9385" s="99"/>
      <c r="R9385" s="99"/>
    </row>
    <row r="9386" spans="5:18" s="65" customFormat="1">
      <c r="E9386" s="130"/>
      <c r="P9386" s="99"/>
      <c r="Q9386" s="99"/>
      <c r="R9386" s="99"/>
    </row>
    <row r="9387" spans="5:18" s="65" customFormat="1">
      <c r="E9387" s="130"/>
      <c r="P9387" s="99"/>
      <c r="Q9387" s="99"/>
      <c r="R9387" s="99"/>
    </row>
    <row r="9388" spans="5:18" s="65" customFormat="1">
      <c r="E9388" s="130"/>
      <c r="P9388" s="99"/>
      <c r="Q9388" s="99"/>
      <c r="R9388" s="99"/>
    </row>
    <row r="9389" spans="5:18" s="65" customFormat="1">
      <c r="E9389" s="130"/>
      <c r="P9389" s="99"/>
      <c r="Q9389" s="99"/>
      <c r="R9389" s="99"/>
    </row>
    <row r="9390" spans="5:18" s="65" customFormat="1">
      <c r="E9390" s="130"/>
      <c r="P9390" s="99"/>
      <c r="Q9390" s="99"/>
      <c r="R9390" s="99"/>
    </row>
    <row r="9391" spans="5:18" s="65" customFormat="1">
      <c r="E9391" s="130"/>
      <c r="P9391" s="99"/>
      <c r="Q9391" s="99"/>
      <c r="R9391" s="99"/>
    </row>
    <row r="9392" spans="5:18" s="65" customFormat="1">
      <c r="E9392" s="130"/>
      <c r="P9392" s="99"/>
      <c r="Q9392" s="99"/>
      <c r="R9392" s="99"/>
    </row>
    <row r="9393" spans="5:18" s="65" customFormat="1">
      <c r="E9393" s="130"/>
      <c r="P9393" s="99"/>
      <c r="Q9393" s="99"/>
      <c r="R9393" s="99"/>
    </row>
    <row r="9394" spans="5:18" s="65" customFormat="1">
      <c r="E9394" s="130"/>
      <c r="P9394" s="99"/>
      <c r="Q9394" s="99"/>
      <c r="R9394" s="99"/>
    </row>
    <row r="9395" spans="5:18" s="65" customFormat="1">
      <c r="E9395" s="130"/>
      <c r="P9395" s="99"/>
      <c r="Q9395" s="99"/>
      <c r="R9395" s="99"/>
    </row>
    <row r="9396" spans="5:18" s="65" customFormat="1">
      <c r="E9396" s="130"/>
      <c r="P9396" s="99"/>
      <c r="Q9396" s="99"/>
      <c r="R9396" s="99"/>
    </row>
    <row r="9397" spans="5:18" s="65" customFormat="1">
      <c r="E9397" s="130"/>
      <c r="P9397" s="99"/>
      <c r="Q9397" s="99"/>
      <c r="R9397" s="99"/>
    </row>
    <row r="9398" spans="5:18" s="65" customFormat="1">
      <c r="E9398" s="130"/>
      <c r="P9398" s="99"/>
      <c r="Q9398" s="99"/>
      <c r="R9398" s="99"/>
    </row>
    <row r="9399" spans="5:18" s="65" customFormat="1">
      <c r="E9399" s="130"/>
      <c r="P9399" s="99"/>
      <c r="Q9399" s="99"/>
      <c r="R9399" s="99"/>
    </row>
    <row r="9400" spans="5:18" s="65" customFormat="1">
      <c r="E9400" s="130"/>
      <c r="P9400" s="99"/>
      <c r="Q9400" s="99"/>
      <c r="R9400" s="99"/>
    </row>
    <row r="9401" spans="5:18" s="65" customFormat="1">
      <c r="E9401" s="130"/>
      <c r="P9401" s="99"/>
      <c r="Q9401" s="99"/>
      <c r="R9401" s="99"/>
    </row>
    <row r="9402" spans="5:18" s="65" customFormat="1">
      <c r="E9402" s="130"/>
      <c r="P9402" s="99"/>
      <c r="Q9402" s="99"/>
      <c r="R9402" s="99"/>
    </row>
    <row r="9403" spans="5:18" s="65" customFormat="1">
      <c r="E9403" s="130"/>
      <c r="P9403" s="99"/>
      <c r="Q9403" s="99"/>
      <c r="R9403" s="99"/>
    </row>
    <row r="9404" spans="5:18" s="65" customFormat="1">
      <c r="E9404" s="130"/>
      <c r="P9404" s="99"/>
      <c r="Q9404" s="99"/>
      <c r="R9404" s="99"/>
    </row>
    <row r="9405" spans="5:18" s="65" customFormat="1">
      <c r="E9405" s="130"/>
      <c r="P9405" s="99"/>
      <c r="Q9405" s="99"/>
      <c r="R9405" s="99"/>
    </row>
    <row r="9406" spans="5:18" s="65" customFormat="1">
      <c r="E9406" s="130"/>
      <c r="P9406" s="99"/>
      <c r="Q9406" s="99"/>
      <c r="R9406" s="99"/>
    </row>
    <row r="9407" spans="5:18" s="65" customFormat="1">
      <c r="E9407" s="130"/>
      <c r="P9407" s="99"/>
      <c r="Q9407" s="99"/>
      <c r="R9407" s="99"/>
    </row>
    <row r="9408" spans="5:18" s="65" customFormat="1">
      <c r="E9408" s="130"/>
      <c r="P9408" s="99"/>
      <c r="Q9408" s="99"/>
      <c r="R9408" s="99"/>
    </row>
    <row r="9409" spans="5:18" s="65" customFormat="1">
      <c r="E9409" s="130"/>
      <c r="P9409" s="99"/>
      <c r="Q9409" s="99"/>
      <c r="R9409" s="99"/>
    </row>
    <row r="9410" spans="5:18" s="65" customFormat="1">
      <c r="E9410" s="130"/>
      <c r="P9410" s="99"/>
      <c r="Q9410" s="99"/>
      <c r="R9410" s="99"/>
    </row>
    <row r="9411" spans="5:18" s="65" customFormat="1">
      <c r="E9411" s="130"/>
      <c r="P9411" s="99"/>
      <c r="Q9411" s="99"/>
      <c r="R9411" s="99"/>
    </row>
    <row r="9412" spans="5:18" s="65" customFormat="1">
      <c r="E9412" s="130"/>
      <c r="P9412" s="99"/>
      <c r="Q9412" s="99"/>
      <c r="R9412" s="99"/>
    </row>
    <row r="9413" spans="5:18" s="65" customFormat="1">
      <c r="E9413" s="130"/>
      <c r="P9413" s="99"/>
      <c r="Q9413" s="99"/>
      <c r="R9413" s="99"/>
    </row>
    <row r="9414" spans="5:18" s="65" customFormat="1">
      <c r="E9414" s="130"/>
      <c r="P9414" s="99"/>
      <c r="Q9414" s="99"/>
      <c r="R9414" s="99"/>
    </row>
    <row r="9415" spans="5:18" s="65" customFormat="1">
      <c r="E9415" s="130"/>
      <c r="P9415" s="99"/>
      <c r="Q9415" s="99"/>
      <c r="R9415" s="99"/>
    </row>
    <row r="9416" spans="5:18" s="65" customFormat="1">
      <c r="E9416" s="130"/>
      <c r="P9416" s="99"/>
      <c r="Q9416" s="99"/>
      <c r="R9416" s="99"/>
    </row>
    <row r="9417" spans="5:18" s="65" customFormat="1">
      <c r="E9417" s="130"/>
      <c r="P9417" s="99"/>
      <c r="Q9417" s="99"/>
      <c r="R9417" s="99"/>
    </row>
    <row r="9418" spans="5:18" s="65" customFormat="1">
      <c r="E9418" s="130"/>
      <c r="P9418" s="99"/>
      <c r="Q9418" s="99"/>
      <c r="R9418" s="99"/>
    </row>
    <row r="9419" spans="5:18" s="65" customFormat="1">
      <c r="E9419" s="130"/>
      <c r="P9419" s="99"/>
      <c r="Q9419" s="99"/>
      <c r="R9419" s="99"/>
    </row>
    <row r="9420" spans="5:18" s="65" customFormat="1">
      <c r="E9420" s="130"/>
      <c r="P9420" s="99"/>
      <c r="Q9420" s="99"/>
      <c r="R9420" s="99"/>
    </row>
    <row r="9421" spans="5:18" s="65" customFormat="1">
      <c r="E9421" s="130"/>
      <c r="P9421" s="99"/>
      <c r="Q9421" s="99"/>
      <c r="R9421" s="99"/>
    </row>
    <row r="9422" spans="5:18" s="65" customFormat="1">
      <c r="E9422" s="130"/>
      <c r="P9422" s="99"/>
      <c r="Q9422" s="99"/>
      <c r="R9422" s="99"/>
    </row>
    <row r="9423" spans="5:18" s="65" customFormat="1">
      <c r="E9423" s="130"/>
      <c r="P9423" s="99"/>
      <c r="Q9423" s="99"/>
      <c r="R9423" s="99"/>
    </row>
    <row r="9424" spans="5:18" s="65" customFormat="1">
      <c r="E9424" s="130"/>
      <c r="P9424" s="99"/>
      <c r="Q9424" s="99"/>
      <c r="R9424" s="99"/>
    </row>
    <row r="9425" spans="5:18" s="65" customFormat="1">
      <c r="E9425" s="130"/>
      <c r="P9425" s="99"/>
      <c r="Q9425" s="99"/>
      <c r="R9425" s="99"/>
    </row>
    <row r="9426" spans="5:18" s="65" customFormat="1">
      <c r="E9426" s="130"/>
      <c r="P9426" s="99"/>
      <c r="Q9426" s="99"/>
      <c r="R9426" s="99"/>
    </row>
    <row r="9427" spans="5:18" s="65" customFormat="1">
      <c r="E9427" s="130"/>
      <c r="P9427" s="99"/>
      <c r="Q9427" s="99"/>
      <c r="R9427" s="99"/>
    </row>
    <row r="9428" spans="5:18" s="65" customFormat="1">
      <c r="E9428" s="130"/>
      <c r="P9428" s="99"/>
      <c r="Q9428" s="99"/>
      <c r="R9428" s="99"/>
    </row>
    <row r="9429" spans="5:18" s="65" customFormat="1">
      <c r="E9429" s="130"/>
      <c r="P9429" s="99"/>
      <c r="Q9429" s="99"/>
      <c r="R9429" s="99"/>
    </row>
    <row r="9430" spans="5:18" s="65" customFormat="1">
      <c r="E9430" s="130"/>
      <c r="P9430" s="99"/>
      <c r="Q9430" s="99"/>
      <c r="R9430" s="99"/>
    </row>
    <row r="9431" spans="5:18" s="65" customFormat="1">
      <c r="E9431" s="130"/>
      <c r="P9431" s="99"/>
      <c r="Q9431" s="99"/>
      <c r="R9431" s="99"/>
    </row>
    <row r="9432" spans="5:18" s="65" customFormat="1">
      <c r="E9432" s="130"/>
      <c r="P9432" s="99"/>
      <c r="Q9432" s="99"/>
      <c r="R9432" s="99"/>
    </row>
    <row r="9433" spans="5:18" s="65" customFormat="1">
      <c r="E9433" s="130"/>
      <c r="P9433" s="99"/>
      <c r="Q9433" s="99"/>
      <c r="R9433" s="99"/>
    </row>
    <row r="9434" spans="5:18" s="65" customFormat="1">
      <c r="E9434" s="130"/>
      <c r="P9434" s="99"/>
      <c r="Q9434" s="99"/>
      <c r="R9434" s="99"/>
    </row>
    <row r="9435" spans="5:18" s="65" customFormat="1">
      <c r="E9435" s="130"/>
      <c r="P9435" s="99"/>
      <c r="Q9435" s="99"/>
      <c r="R9435" s="99"/>
    </row>
    <row r="9436" spans="5:18" s="65" customFormat="1">
      <c r="E9436" s="130"/>
      <c r="P9436" s="99"/>
      <c r="Q9436" s="99"/>
      <c r="R9436" s="99"/>
    </row>
    <row r="9437" spans="5:18" s="65" customFormat="1">
      <c r="E9437" s="130"/>
      <c r="P9437" s="99"/>
      <c r="Q9437" s="99"/>
      <c r="R9437" s="99"/>
    </row>
    <row r="9438" spans="5:18" s="65" customFormat="1">
      <c r="E9438" s="130"/>
      <c r="P9438" s="99"/>
      <c r="Q9438" s="99"/>
      <c r="R9438" s="99"/>
    </row>
    <row r="9439" spans="5:18" s="65" customFormat="1">
      <c r="E9439" s="130"/>
      <c r="P9439" s="99"/>
      <c r="Q9439" s="99"/>
      <c r="R9439" s="99"/>
    </row>
    <row r="9440" spans="5:18" s="65" customFormat="1">
      <c r="E9440" s="130"/>
      <c r="P9440" s="99"/>
      <c r="Q9440" s="99"/>
      <c r="R9440" s="99"/>
    </row>
    <row r="9441" spans="5:18" s="65" customFormat="1">
      <c r="E9441" s="130"/>
      <c r="P9441" s="99"/>
      <c r="Q9441" s="99"/>
      <c r="R9441" s="99"/>
    </row>
    <row r="9442" spans="5:18" s="65" customFormat="1">
      <c r="E9442" s="130"/>
      <c r="P9442" s="99"/>
      <c r="Q9442" s="99"/>
      <c r="R9442" s="99"/>
    </row>
    <row r="9443" spans="5:18" s="65" customFormat="1">
      <c r="E9443" s="130"/>
      <c r="P9443" s="99"/>
      <c r="Q9443" s="99"/>
      <c r="R9443" s="99"/>
    </row>
    <row r="9444" spans="5:18" s="65" customFormat="1">
      <c r="E9444" s="130"/>
      <c r="P9444" s="99"/>
      <c r="Q9444" s="99"/>
      <c r="R9444" s="99"/>
    </row>
    <row r="9445" spans="5:18" s="65" customFormat="1">
      <c r="E9445" s="130"/>
      <c r="P9445" s="99"/>
      <c r="Q9445" s="99"/>
      <c r="R9445" s="99"/>
    </row>
    <row r="9446" spans="5:18" s="65" customFormat="1">
      <c r="E9446" s="130"/>
      <c r="P9446" s="99"/>
      <c r="Q9446" s="99"/>
      <c r="R9446" s="99"/>
    </row>
    <row r="9447" spans="5:18" s="65" customFormat="1">
      <c r="E9447" s="130"/>
      <c r="P9447" s="99"/>
      <c r="Q9447" s="99"/>
      <c r="R9447" s="99"/>
    </row>
    <row r="9448" spans="5:18" s="65" customFormat="1">
      <c r="E9448" s="130"/>
      <c r="P9448" s="99"/>
      <c r="Q9448" s="99"/>
      <c r="R9448" s="99"/>
    </row>
    <row r="9449" spans="5:18" s="65" customFormat="1">
      <c r="E9449" s="130"/>
      <c r="P9449" s="99"/>
      <c r="Q9449" s="99"/>
      <c r="R9449" s="99"/>
    </row>
    <row r="9450" spans="5:18" s="65" customFormat="1">
      <c r="E9450" s="130"/>
      <c r="P9450" s="99"/>
      <c r="Q9450" s="99"/>
      <c r="R9450" s="99"/>
    </row>
    <row r="9451" spans="5:18" s="65" customFormat="1">
      <c r="E9451" s="130"/>
      <c r="P9451" s="99"/>
      <c r="Q9451" s="99"/>
      <c r="R9451" s="99"/>
    </row>
    <row r="9452" spans="5:18" s="65" customFormat="1">
      <c r="E9452" s="130"/>
      <c r="P9452" s="99"/>
      <c r="Q9452" s="99"/>
      <c r="R9452" s="99"/>
    </row>
    <row r="9453" spans="5:18" s="65" customFormat="1">
      <c r="E9453" s="130"/>
      <c r="P9453" s="99"/>
      <c r="Q9453" s="99"/>
      <c r="R9453" s="99"/>
    </row>
    <row r="9454" spans="5:18" s="65" customFormat="1">
      <c r="E9454" s="130"/>
      <c r="P9454" s="99"/>
      <c r="Q9454" s="99"/>
      <c r="R9454" s="99"/>
    </row>
    <row r="9455" spans="5:18" s="65" customFormat="1">
      <c r="E9455" s="130"/>
      <c r="P9455" s="99"/>
      <c r="Q9455" s="99"/>
      <c r="R9455" s="99"/>
    </row>
    <row r="9456" spans="5:18" s="65" customFormat="1">
      <c r="E9456" s="130"/>
      <c r="P9456" s="99"/>
      <c r="Q9456" s="99"/>
      <c r="R9456" s="99"/>
    </row>
    <row r="9457" spans="5:18" s="65" customFormat="1">
      <c r="E9457" s="130"/>
      <c r="P9457" s="99"/>
      <c r="Q9457" s="99"/>
      <c r="R9457" s="99"/>
    </row>
    <row r="9458" spans="5:18" s="65" customFormat="1">
      <c r="E9458" s="130"/>
      <c r="P9458" s="99"/>
      <c r="Q9458" s="99"/>
      <c r="R9458" s="99"/>
    </row>
    <row r="9459" spans="5:18" s="65" customFormat="1">
      <c r="E9459" s="130"/>
      <c r="P9459" s="99"/>
      <c r="Q9459" s="99"/>
      <c r="R9459" s="99"/>
    </row>
    <row r="9460" spans="5:18" s="65" customFormat="1">
      <c r="E9460" s="130"/>
      <c r="P9460" s="99"/>
      <c r="Q9460" s="99"/>
      <c r="R9460" s="99"/>
    </row>
    <row r="9461" spans="5:18" s="65" customFormat="1">
      <c r="E9461" s="130"/>
      <c r="P9461" s="99"/>
      <c r="Q9461" s="99"/>
      <c r="R9461" s="99"/>
    </row>
    <row r="9462" spans="5:18" s="65" customFormat="1">
      <c r="E9462" s="130"/>
      <c r="P9462" s="99"/>
      <c r="Q9462" s="99"/>
      <c r="R9462" s="99"/>
    </row>
    <row r="9463" spans="5:18" s="65" customFormat="1">
      <c r="E9463" s="130"/>
      <c r="P9463" s="99"/>
      <c r="Q9463" s="99"/>
      <c r="R9463" s="99"/>
    </row>
    <row r="9464" spans="5:18" s="65" customFormat="1">
      <c r="E9464" s="130"/>
      <c r="P9464" s="99"/>
      <c r="Q9464" s="99"/>
      <c r="R9464" s="99"/>
    </row>
    <row r="9465" spans="5:18" s="65" customFormat="1">
      <c r="E9465" s="130"/>
      <c r="P9465" s="99"/>
      <c r="Q9465" s="99"/>
      <c r="R9465" s="99"/>
    </row>
    <row r="9466" spans="5:18" s="65" customFormat="1">
      <c r="E9466" s="130"/>
      <c r="P9466" s="99"/>
      <c r="Q9466" s="99"/>
      <c r="R9466" s="99"/>
    </row>
    <row r="9467" spans="5:18" s="65" customFormat="1">
      <c r="E9467" s="130"/>
      <c r="P9467" s="99"/>
      <c r="Q9467" s="99"/>
      <c r="R9467" s="99"/>
    </row>
    <row r="9468" spans="5:18" s="65" customFormat="1">
      <c r="E9468" s="130"/>
      <c r="P9468" s="99"/>
      <c r="Q9468" s="99"/>
      <c r="R9468" s="99"/>
    </row>
    <row r="9469" spans="5:18" s="65" customFormat="1">
      <c r="E9469" s="130"/>
      <c r="P9469" s="99"/>
      <c r="Q9469" s="99"/>
      <c r="R9469" s="99"/>
    </row>
    <row r="9470" spans="5:18" s="65" customFormat="1">
      <c r="E9470" s="130"/>
      <c r="P9470" s="99"/>
      <c r="Q9470" s="99"/>
      <c r="R9470" s="99"/>
    </row>
    <row r="9471" spans="5:18" s="65" customFormat="1">
      <c r="E9471" s="130"/>
      <c r="P9471" s="99"/>
      <c r="Q9471" s="99"/>
      <c r="R9471" s="99"/>
    </row>
    <row r="9472" spans="5:18" s="65" customFormat="1">
      <c r="E9472" s="130"/>
      <c r="P9472" s="99"/>
      <c r="Q9472" s="99"/>
      <c r="R9472" s="99"/>
    </row>
    <row r="9473" spans="5:18" s="65" customFormat="1">
      <c r="E9473" s="130"/>
      <c r="P9473" s="99"/>
      <c r="Q9473" s="99"/>
      <c r="R9473" s="99"/>
    </row>
    <row r="9474" spans="5:18" s="65" customFormat="1">
      <c r="E9474" s="130"/>
      <c r="P9474" s="99"/>
      <c r="Q9474" s="99"/>
      <c r="R9474" s="99"/>
    </row>
    <row r="9475" spans="5:18" s="65" customFormat="1">
      <c r="E9475" s="130"/>
      <c r="P9475" s="99"/>
      <c r="Q9475" s="99"/>
      <c r="R9475" s="99"/>
    </row>
    <row r="9476" spans="5:18" s="65" customFormat="1">
      <c r="E9476" s="130"/>
      <c r="P9476" s="99"/>
      <c r="Q9476" s="99"/>
      <c r="R9476" s="99"/>
    </row>
    <row r="9477" spans="5:18" s="65" customFormat="1">
      <c r="E9477" s="130"/>
      <c r="P9477" s="99"/>
      <c r="Q9477" s="99"/>
      <c r="R9477" s="99"/>
    </row>
    <row r="9478" spans="5:18" s="65" customFormat="1">
      <c r="E9478" s="130"/>
      <c r="P9478" s="99"/>
      <c r="Q9478" s="99"/>
      <c r="R9478" s="99"/>
    </row>
    <row r="9479" spans="5:18" s="65" customFormat="1">
      <c r="E9479" s="130"/>
      <c r="P9479" s="99"/>
      <c r="Q9479" s="99"/>
      <c r="R9479" s="99"/>
    </row>
    <row r="9480" spans="5:18" s="65" customFormat="1">
      <c r="E9480" s="130"/>
      <c r="P9480" s="99"/>
      <c r="Q9480" s="99"/>
      <c r="R9480" s="99"/>
    </row>
    <row r="9481" spans="5:18" s="65" customFormat="1">
      <c r="E9481" s="130"/>
      <c r="P9481" s="99"/>
      <c r="Q9481" s="99"/>
      <c r="R9481" s="99"/>
    </row>
    <row r="9482" spans="5:18" s="65" customFormat="1">
      <c r="E9482" s="130"/>
      <c r="P9482" s="99"/>
      <c r="Q9482" s="99"/>
      <c r="R9482" s="99"/>
    </row>
    <row r="9483" spans="5:18" s="65" customFormat="1">
      <c r="E9483" s="130"/>
      <c r="P9483" s="99"/>
      <c r="Q9483" s="99"/>
      <c r="R9483" s="99"/>
    </row>
    <row r="9484" spans="5:18" s="65" customFormat="1">
      <c r="E9484" s="130"/>
      <c r="P9484" s="99"/>
      <c r="Q9484" s="99"/>
      <c r="R9484" s="99"/>
    </row>
    <row r="9485" spans="5:18" s="65" customFormat="1">
      <c r="E9485" s="130"/>
      <c r="P9485" s="99"/>
      <c r="Q9485" s="99"/>
      <c r="R9485" s="99"/>
    </row>
    <row r="9486" spans="5:18" s="65" customFormat="1">
      <c r="E9486" s="130"/>
      <c r="P9486" s="99"/>
      <c r="Q9486" s="99"/>
      <c r="R9486" s="99"/>
    </row>
    <row r="9487" spans="5:18" s="65" customFormat="1">
      <c r="E9487" s="130"/>
      <c r="P9487" s="99"/>
      <c r="Q9487" s="99"/>
      <c r="R9487" s="99"/>
    </row>
    <row r="9488" spans="5:18" s="65" customFormat="1">
      <c r="E9488" s="130"/>
      <c r="P9488" s="99"/>
      <c r="Q9488" s="99"/>
      <c r="R9488" s="99"/>
    </row>
    <row r="9489" spans="5:18" s="65" customFormat="1">
      <c r="E9489" s="130"/>
      <c r="P9489" s="99"/>
      <c r="Q9489" s="99"/>
      <c r="R9489" s="99"/>
    </row>
    <row r="9490" spans="5:18" s="65" customFormat="1">
      <c r="E9490" s="130"/>
      <c r="P9490" s="99"/>
      <c r="Q9490" s="99"/>
      <c r="R9490" s="99"/>
    </row>
    <row r="9491" spans="5:18" s="65" customFormat="1">
      <c r="E9491" s="130"/>
      <c r="P9491" s="99"/>
      <c r="Q9491" s="99"/>
      <c r="R9491" s="99"/>
    </row>
    <row r="9492" spans="5:18" s="65" customFormat="1">
      <c r="E9492" s="130"/>
      <c r="P9492" s="99"/>
      <c r="Q9492" s="99"/>
      <c r="R9492" s="99"/>
    </row>
    <row r="9493" spans="5:18" s="65" customFormat="1">
      <c r="E9493" s="130"/>
      <c r="P9493" s="99"/>
      <c r="Q9493" s="99"/>
      <c r="R9493" s="99"/>
    </row>
    <row r="9494" spans="5:18" s="65" customFormat="1">
      <c r="E9494" s="130"/>
      <c r="P9494" s="99"/>
      <c r="Q9494" s="99"/>
      <c r="R9494" s="99"/>
    </row>
    <row r="9495" spans="5:18" s="65" customFormat="1">
      <c r="E9495" s="130"/>
      <c r="P9495" s="99"/>
      <c r="Q9495" s="99"/>
      <c r="R9495" s="99"/>
    </row>
    <row r="9496" spans="5:18" s="65" customFormat="1">
      <c r="E9496" s="130"/>
      <c r="P9496" s="99"/>
      <c r="Q9496" s="99"/>
      <c r="R9496" s="99"/>
    </row>
    <row r="9497" spans="5:18" s="65" customFormat="1">
      <c r="E9497" s="130"/>
      <c r="P9497" s="99"/>
      <c r="Q9497" s="99"/>
      <c r="R9497" s="99"/>
    </row>
    <row r="9498" spans="5:18" s="65" customFormat="1">
      <c r="E9498" s="130"/>
      <c r="P9498" s="99"/>
      <c r="Q9498" s="99"/>
      <c r="R9498" s="99"/>
    </row>
    <row r="9499" spans="5:18" s="65" customFormat="1">
      <c r="E9499" s="130"/>
      <c r="P9499" s="99"/>
      <c r="Q9499" s="99"/>
      <c r="R9499" s="99"/>
    </row>
    <row r="9500" spans="5:18" s="65" customFormat="1">
      <c r="E9500" s="130"/>
      <c r="P9500" s="99"/>
      <c r="Q9500" s="99"/>
      <c r="R9500" s="99"/>
    </row>
    <row r="9501" spans="5:18" s="65" customFormat="1">
      <c r="E9501" s="130"/>
      <c r="P9501" s="99"/>
      <c r="Q9501" s="99"/>
      <c r="R9501" s="99"/>
    </row>
    <row r="9502" spans="5:18" s="65" customFormat="1">
      <c r="E9502" s="130"/>
      <c r="P9502" s="99"/>
      <c r="Q9502" s="99"/>
      <c r="R9502" s="99"/>
    </row>
    <row r="9503" spans="5:18" s="65" customFormat="1">
      <c r="E9503" s="130"/>
      <c r="P9503" s="99"/>
      <c r="Q9503" s="99"/>
      <c r="R9503" s="99"/>
    </row>
    <row r="9504" spans="5:18" s="65" customFormat="1">
      <c r="E9504" s="130"/>
      <c r="P9504" s="99"/>
      <c r="Q9504" s="99"/>
      <c r="R9504" s="99"/>
    </row>
    <row r="9505" spans="5:18" s="65" customFormat="1">
      <c r="E9505" s="130"/>
      <c r="P9505" s="99"/>
      <c r="Q9505" s="99"/>
      <c r="R9505" s="99"/>
    </row>
    <row r="9506" spans="5:18" s="65" customFormat="1">
      <c r="E9506" s="130"/>
      <c r="P9506" s="99"/>
      <c r="Q9506" s="99"/>
      <c r="R9506" s="99"/>
    </row>
    <row r="9507" spans="5:18" s="65" customFormat="1">
      <c r="E9507" s="130"/>
      <c r="P9507" s="99"/>
      <c r="Q9507" s="99"/>
      <c r="R9507" s="99"/>
    </row>
    <row r="9508" spans="5:18" s="65" customFormat="1">
      <c r="E9508" s="130"/>
      <c r="P9508" s="99"/>
      <c r="Q9508" s="99"/>
      <c r="R9508" s="99"/>
    </row>
    <row r="9509" spans="5:18" s="65" customFormat="1">
      <c r="E9509" s="130"/>
      <c r="P9509" s="99"/>
      <c r="Q9509" s="99"/>
      <c r="R9509" s="99"/>
    </row>
    <row r="9510" spans="5:18" s="65" customFormat="1">
      <c r="E9510" s="130"/>
      <c r="P9510" s="99"/>
      <c r="Q9510" s="99"/>
      <c r="R9510" s="99"/>
    </row>
    <row r="9511" spans="5:18" s="65" customFormat="1">
      <c r="E9511" s="130"/>
      <c r="P9511" s="99"/>
      <c r="Q9511" s="99"/>
      <c r="R9511" s="99"/>
    </row>
    <row r="9512" spans="5:18" s="65" customFormat="1">
      <c r="E9512" s="130"/>
      <c r="P9512" s="99"/>
      <c r="Q9512" s="99"/>
      <c r="R9512" s="99"/>
    </row>
    <row r="9513" spans="5:18" s="65" customFormat="1">
      <c r="E9513" s="130"/>
      <c r="P9513" s="99"/>
      <c r="Q9513" s="99"/>
      <c r="R9513" s="99"/>
    </row>
    <row r="9514" spans="5:18" s="65" customFormat="1">
      <c r="E9514" s="130"/>
      <c r="P9514" s="99"/>
      <c r="Q9514" s="99"/>
      <c r="R9514" s="99"/>
    </row>
    <row r="9515" spans="5:18" s="65" customFormat="1">
      <c r="E9515" s="130"/>
      <c r="P9515" s="99"/>
      <c r="Q9515" s="99"/>
      <c r="R9515" s="99"/>
    </row>
    <row r="9516" spans="5:18" s="65" customFormat="1">
      <c r="E9516" s="130"/>
      <c r="P9516" s="99"/>
      <c r="Q9516" s="99"/>
      <c r="R9516" s="99"/>
    </row>
    <row r="9517" spans="5:18" s="65" customFormat="1">
      <c r="E9517" s="130"/>
      <c r="P9517" s="99"/>
      <c r="Q9517" s="99"/>
      <c r="R9517" s="99"/>
    </row>
    <row r="9518" spans="5:18" s="65" customFormat="1">
      <c r="E9518" s="130"/>
      <c r="P9518" s="99"/>
      <c r="Q9518" s="99"/>
      <c r="R9518" s="99"/>
    </row>
    <row r="9519" spans="5:18" s="65" customFormat="1">
      <c r="E9519" s="130"/>
      <c r="P9519" s="99"/>
      <c r="Q9519" s="99"/>
      <c r="R9519" s="99"/>
    </row>
    <row r="9520" spans="5:18" s="65" customFormat="1">
      <c r="E9520" s="130"/>
      <c r="P9520" s="99"/>
      <c r="Q9520" s="99"/>
      <c r="R9520" s="99"/>
    </row>
    <row r="9521" spans="5:18" s="65" customFormat="1">
      <c r="E9521" s="130"/>
      <c r="P9521" s="99"/>
      <c r="Q9521" s="99"/>
      <c r="R9521" s="99"/>
    </row>
    <row r="9522" spans="5:18" s="65" customFormat="1">
      <c r="E9522" s="130"/>
      <c r="P9522" s="99"/>
      <c r="Q9522" s="99"/>
      <c r="R9522" s="99"/>
    </row>
    <row r="9523" spans="5:18" s="65" customFormat="1">
      <c r="E9523" s="130"/>
      <c r="P9523" s="99"/>
      <c r="Q9523" s="99"/>
      <c r="R9523" s="99"/>
    </row>
    <row r="9524" spans="5:18" s="65" customFormat="1">
      <c r="E9524" s="130"/>
      <c r="P9524" s="99"/>
      <c r="Q9524" s="99"/>
      <c r="R9524" s="99"/>
    </row>
    <row r="9525" spans="5:18" s="65" customFormat="1">
      <c r="E9525" s="130"/>
      <c r="P9525" s="99"/>
      <c r="Q9525" s="99"/>
      <c r="R9525" s="99"/>
    </row>
    <row r="9526" spans="5:18" s="65" customFormat="1">
      <c r="E9526" s="130"/>
      <c r="P9526" s="99"/>
      <c r="Q9526" s="99"/>
      <c r="R9526" s="99"/>
    </row>
    <row r="9527" spans="5:18" s="65" customFormat="1">
      <c r="E9527" s="130"/>
      <c r="P9527" s="99"/>
      <c r="Q9527" s="99"/>
      <c r="R9527" s="99"/>
    </row>
    <row r="9528" spans="5:18" s="65" customFormat="1">
      <c r="E9528" s="130"/>
      <c r="P9528" s="99"/>
      <c r="Q9528" s="99"/>
      <c r="R9528" s="99"/>
    </row>
    <row r="9529" spans="5:18" s="65" customFormat="1">
      <c r="E9529" s="130"/>
      <c r="P9529" s="99"/>
      <c r="Q9529" s="99"/>
      <c r="R9529" s="99"/>
    </row>
    <row r="9530" spans="5:18" s="65" customFormat="1">
      <c r="E9530" s="130"/>
      <c r="P9530" s="99"/>
      <c r="Q9530" s="99"/>
      <c r="R9530" s="99"/>
    </row>
    <row r="9531" spans="5:18" s="65" customFormat="1">
      <c r="E9531" s="130"/>
      <c r="P9531" s="99"/>
      <c r="Q9531" s="99"/>
      <c r="R9531" s="99"/>
    </row>
    <row r="9532" spans="5:18" s="65" customFormat="1">
      <c r="E9532" s="130"/>
      <c r="P9532" s="99"/>
      <c r="Q9532" s="99"/>
      <c r="R9532" s="99"/>
    </row>
    <row r="9533" spans="5:18" s="65" customFormat="1">
      <c r="E9533" s="130"/>
      <c r="P9533" s="99"/>
      <c r="Q9533" s="99"/>
      <c r="R9533" s="99"/>
    </row>
    <row r="9534" spans="5:18" s="65" customFormat="1">
      <c r="E9534" s="130"/>
      <c r="P9534" s="99"/>
      <c r="Q9534" s="99"/>
      <c r="R9534" s="99"/>
    </row>
    <row r="9535" spans="5:18" s="65" customFormat="1">
      <c r="E9535" s="130"/>
      <c r="P9535" s="99"/>
      <c r="Q9535" s="99"/>
      <c r="R9535" s="99"/>
    </row>
    <row r="9536" spans="5:18" s="65" customFormat="1">
      <c r="E9536" s="130"/>
      <c r="P9536" s="99"/>
      <c r="Q9536" s="99"/>
      <c r="R9536" s="99"/>
    </row>
    <row r="9537" spans="5:18" s="65" customFormat="1">
      <c r="E9537" s="130"/>
      <c r="P9537" s="99"/>
      <c r="Q9537" s="99"/>
      <c r="R9537" s="99"/>
    </row>
    <row r="9538" spans="5:18" s="65" customFormat="1">
      <c r="E9538" s="130"/>
      <c r="P9538" s="99"/>
      <c r="Q9538" s="99"/>
      <c r="R9538" s="99"/>
    </row>
    <row r="9539" spans="5:18" s="65" customFormat="1">
      <c r="E9539" s="130"/>
      <c r="P9539" s="99"/>
      <c r="Q9539" s="99"/>
      <c r="R9539" s="99"/>
    </row>
    <row r="9540" spans="5:18" s="65" customFormat="1">
      <c r="E9540" s="130"/>
      <c r="P9540" s="99"/>
      <c r="Q9540" s="99"/>
      <c r="R9540" s="99"/>
    </row>
    <row r="9541" spans="5:18" s="65" customFormat="1">
      <c r="E9541" s="130"/>
      <c r="P9541" s="99"/>
      <c r="Q9541" s="99"/>
      <c r="R9541" s="99"/>
    </row>
    <row r="9542" spans="5:18" s="65" customFormat="1">
      <c r="E9542" s="130"/>
      <c r="P9542" s="99"/>
      <c r="Q9542" s="99"/>
      <c r="R9542" s="99"/>
    </row>
    <row r="9543" spans="5:18" s="65" customFormat="1">
      <c r="E9543" s="130"/>
      <c r="P9543" s="99"/>
      <c r="Q9543" s="99"/>
      <c r="R9543" s="99"/>
    </row>
    <row r="9544" spans="5:18" s="65" customFormat="1">
      <c r="E9544" s="130"/>
      <c r="P9544" s="99"/>
      <c r="Q9544" s="99"/>
      <c r="R9544" s="99"/>
    </row>
    <row r="9545" spans="5:18" s="65" customFormat="1">
      <c r="E9545" s="130"/>
      <c r="P9545" s="99"/>
      <c r="Q9545" s="99"/>
      <c r="R9545" s="99"/>
    </row>
    <row r="9546" spans="5:18" s="65" customFormat="1">
      <c r="E9546" s="130"/>
      <c r="P9546" s="99"/>
      <c r="Q9546" s="99"/>
      <c r="R9546" s="99"/>
    </row>
    <row r="9547" spans="5:18" s="65" customFormat="1">
      <c r="E9547" s="130"/>
      <c r="P9547" s="99"/>
      <c r="Q9547" s="99"/>
      <c r="R9547" s="99"/>
    </row>
    <row r="9548" spans="5:18" s="65" customFormat="1">
      <c r="E9548" s="130"/>
      <c r="P9548" s="99"/>
      <c r="Q9548" s="99"/>
      <c r="R9548" s="99"/>
    </row>
    <row r="9549" spans="5:18" s="65" customFormat="1">
      <c r="E9549" s="130"/>
      <c r="P9549" s="99"/>
      <c r="Q9549" s="99"/>
      <c r="R9549" s="99"/>
    </row>
    <row r="9550" spans="5:18" s="65" customFormat="1">
      <c r="E9550" s="130"/>
      <c r="P9550" s="99"/>
      <c r="Q9550" s="99"/>
      <c r="R9550" s="99"/>
    </row>
    <row r="9551" spans="5:18" s="65" customFormat="1">
      <c r="E9551" s="130"/>
      <c r="P9551" s="99"/>
      <c r="Q9551" s="99"/>
      <c r="R9551" s="99"/>
    </row>
    <row r="9552" spans="5:18" s="65" customFormat="1">
      <c r="E9552" s="130"/>
      <c r="P9552" s="99"/>
      <c r="Q9552" s="99"/>
      <c r="R9552" s="99"/>
    </row>
    <row r="9553" spans="5:18" s="65" customFormat="1">
      <c r="E9553" s="130"/>
      <c r="P9553" s="99"/>
      <c r="Q9553" s="99"/>
      <c r="R9553" s="99"/>
    </row>
    <row r="9554" spans="5:18" s="65" customFormat="1">
      <c r="E9554" s="130"/>
      <c r="P9554" s="99"/>
      <c r="Q9554" s="99"/>
      <c r="R9554" s="99"/>
    </row>
    <row r="9555" spans="5:18" s="65" customFormat="1">
      <c r="E9555" s="130"/>
      <c r="P9555" s="99"/>
      <c r="Q9555" s="99"/>
      <c r="R9555" s="99"/>
    </row>
    <row r="9556" spans="5:18" s="65" customFormat="1">
      <c r="E9556" s="130"/>
      <c r="P9556" s="99"/>
      <c r="Q9556" s="99"/>
      <c r="R9556" s="99"/>
    </row>
    <row r="9557" spans="5:18" s="65" customFormat="1">
      <c r="E9557" s="130"/>
      <c r="P9557" s="99"/>
      <c r="Q9557" s="99"/>
      <c r="R9557" s="99"/>
    </row>
    <row r="9558" spans="5:18" s="65" customFormat="1">
      <c r="E9558" s="130"/>
      <c r="P9558" s="99"/>
      <c r="Q9558" s="99"/>
      <c r="R9558" s="99"/>
    </row>
    <row r="9559" spans="5:18" s="65" customFormat="1">
      <c r="E9559" s="130"/>
      <c r="P9559" s="99"/>
      <c r="Q9559" s="99"/>
      <c r="R9559" s="99"/>
    </row>
    <row r="9560" spans="5:18" s="65" customFormat="1">
      <c r="E9560" s="130"/>
      <c r="P9560" s="99"/>
      <c r="Q9560" s="99"/>
      <c r="R9560" s="99"/>
    </row>
    <row r="9561" spans="5:18" s="65" customFormat="1">
      <c r="E9561" s="130"/>
      <c r="P9561" s="99"/>
      <c r="Q9561" s="99"/>
      <c r="R9561" s="99"/>
    </row>
    <row r="9562" spans="5:18" s="65" customFormat="1">
      <c r="E9562" s="130"/>
      <c r="P9562" s="99"/>
      <c r="Q9562" s="99"/>
      <c r="R9562" s="99"/>
    </row>
    <row r="9563" spans="5:18" s="65" customFormat="1">
      <c r="E9563" s="130"/>
      <c r="P9563" s="99"/>
      <c r="Q9563" s="99"/>
      <c r="R9563" s="99"/>
    </row>
    <row r="9564" spans="5:18" s="65" customFormat="1">
      <c r="E9564" s="130"/>
      <c r="P9564" s="99"/>
      <c r="Q9564" s="99"/>
      <c r="R9564" s="99"/>
    </row>
    <row r="9565" spans="5:18" s="65" customFormat="1">
      <c r="E9565" s="130"/>
      <c r="P9565" s="99"/>
      <c r="Q9565" s="99"/>
      <c r="R9565" s="99"/>
    </row>
    <row r="9566" spans="5:18" s="65" customFormat="1">
      <c r="E9566" s="130"/>
      <c r="P9566" s="99"/>
      <c r="Q9566" s="99"/>
      <c r="R9566" s="99"/>
    </row>
    <row r="9567" spans="5:18" s="65" customFormat="1">
      <c r="E9567" s="130"/>
      <c r="P9567" s="99"/>
      <c r="Q9567" s="99"/>
      <c r="R9567" s="99"/>
    </row>
    <row r="9568" spans="5:18" s="65" customFormat="1">
      <c r="E9568" s="130"/>
      <c r="P9568" s="99"/>
      <c r="Q9568" s="99"/>
      <c r="R9568" s="99"/>
    </row>
    <row r="9569" spans="5:18" s="65" customFormat="1">
      <c r="E9569" s="130"/>
      <c r="P9569" s="99"/>
      <c r="Q9569" s="99"/>
      <c r="R9569" s="99"/>
    </row>
    <row r="9570" spans="5:18" s="65" customFormat="1">
      <c r="E9570" s="130"/>
      <c r="P9570" s="99"/>
      <c r="Q9570" s="99"/>
      <c r="R9570" s="99"/>
    </row>
    <row r="9571" spans="5:18" s="65" customFormat="1">
      <c r="E9571" s="130"/>
      <c r="P9571" s="99"/>
      <c r="Q9571" s="99"/>
      <c r="R9571" s="99"/>
    </row>
    <row r="9572" spans="5:18" s="65" customFormat="1">
      <c r="E9572" s="130"/>
      <c r="P9572" s="99"/>
      <c r="Q9572" s="99"/>
      <c r="R9572" s="99"/>
    </row>
    <row r="9573" spans="5:18" s="65" customFormat="1">
      <c r="E9573" s="130"/>
      <c r="P9573" s="99"/>
      <c r="Q9573" s="99"/>
      <c r="R9573" s="99"/>
    </row>
    <row r="9574" spans="5:18" s="65" customFormat="1">
      <c r="E9574" s="130"/>
      <c r="P9574" s="99"/>
      <c r="Q9574" s="99"/>
      <c r="R9574" s="99"/>
    </row>
    <row r="9575" spans="5:18" s="65" customFormat="1">
      <c r="E9575" s="130"/>
      <c r="P9575" s="99"/>
      <c r="Q9575" s="99"/>
      <c r="R9575" s="99"/>
    </row>
    <row r="9576" spans="5:18" s="65" customFormat="1">
      <c r="E9576" s="130"/>
      <c r="P9576" s="99"/>
      <c r="Q9576" s="99"/>
      <c r="R9576" s="99"/>
    </row>
    <row r="9577" spans="5:18" s="65" customFormat="1">
      <c r="E9577" s="130"/>
      <c r="P9577" s="99"/>
      <c r="Q9577" s="99"/>
      <c r="R9577" s="99"/>
    </row>
    <row r="9578" spans="5:18" s="65" customFormat="1">
      <c r="E9578" s="130"/>
      <c r="P9578" s="99"/>
      <c r="Q9578" s="99"/>
      <c r="R9578" s="99"/>
    </row>
    <row r="9579" spans="5:18" s="65" customFormat="1">
      <c r="E9579" s="130"/>
      <c r="P9579" s="99"/>
      <c r="Q9579" s="99"/>
      <c r="R9579" s="99"/>
    </row>
    <row r="9580" spans="5:18" s="65" customFormat="1">
      <c r="E9580" s="130"/>
      <c r="P9580" s="99"/>
      <c r="Q9580" s="99"/>
      <c r="R9580" s="99"/>
    </row>
    <row r="9581" spans="5:18" s="65" customFormat="1">
      <c r="E9581" s="130"/>
      <c r="P9581" s="99"/>
      <c r="Q9581" s="99"/>
      <c r="R9581" s="99"/>
    </row>
    <row r="9582" spans="5:18" s="65" customFormat="1">
      <c r="E9582" s="130"/>
      <c r="P9582" s="99"/>
      <c r="Q9582" s="99"/>
      <c r="R9582" s="99"/>
    </row>
    <row r="9583" spans="5:18" s="65" customFormat="1">
      <c r="E9583" s="130"/>
      <c r="P9583" s="99"/>
      <c r="Q9583" s="99"/>
      <c r="R9583" s="99"/>
    </row>
    <row r="9584" spans="5:18" s="65" customFormat="1">
      <c r="E9584" s="130"/>
      <c r="P9584" s="99"/>
      <c r="Q9584" s="99"/>
      <c r="R9584" s="99"/>
    </row>
    <row r="9585" spans="5:18" s="65" customFormat="1">
      <c r="E9585" s="130"/>
      <c r="P9585" s="99"/>
      <c r="Q9585" s="99"/>
      <c r="R9585" s="99"/>
    </row>
    <row r="9586" spans="5:18" s="65" customFormat="1">
      <c r="E9586" s="130"/>
      <c r="P9586" s="99"/>
      <c r="Q9586" s="99"/>
      <c r="R9586" s="99"/>
    </row>
    <row r="9587" spans="5:18" s="65" customFormat="1">
      <c r="E9587" s="130"/>
      <c r="P9587" s="99"/>
      <c r="Q9587" s="99"/>
      <c r="R9587" s="99"/>
    </row>
    <row r="9588" spans="5:18" s="65" customFormat="1">
      <c r="E9588" s="130"/>
      <c r="P9588" s="99"/>
      <c r="Q9588" s="99"/>
      <c r="R9588" s="99"/>
    </row>
    <row r="9589" spans="5:18" s="65" customFormat="1">
      <c r="E9589" s="130"/>
      <c r="P9589" s="99"/>
      <c r="Q9589" s="99"/>
      <c r="R9589" s="99"/>
    </row>
    <row r="9590" spans="5:18" s="65" customFormat="1">
      <c r="E9590" s="130"/>
      <c r="P9590" s="99"/>
      <c r="Q9590" s="99"/>
      <c r="R9590" s="99"/>
    </row>
    <row r="9591" spans="5:18" s="65" customFormat="1">
      <c r="E9591" s="130"/>
      <c r="P9591" s="99"/>
      <c r="Q9591" s="99"/>
      <c r="R9591" s="99"/>
    </row>
    <row r="9592" spans="5:18" s="65" customFormat="1">
      <c r="E9592" s="130"/>
      <c r="P9592" s="99"/>
      <c r="Q9592" s="99"/>
      <c r="R9592" s="99"/>
    </row>
    <row r="9593" spans="5:18" s="65" customFormat="1">
      <c r="E9593" s="130"/>
      <c r="P9593" s="99"/>
      <c r="Q9593" s="99"/>
      <c r="R9593" s="99"/>
    </row>
    <row r="9594" spans="5:18" s="65" customFormat="1">
      <c r="E9594" s="130"/>
      <c r="P9594" s="99"/>
      <c r="Q9594" s="99"/>
      <c r="R9594" s="99"/>
    </row>
    <row r="9595" spans="5:18" s="65" customFormat="1">
      <c r="E9595" s="130"/>
      <c r="P9595" s="99"/>
      <c r="Q9595" s="99"/>
      <c r="R9595" s="99"/>
    </row>
    <row r="9596" spans="5:18" s="65" customFormat="1">
      <c r="E9596" s="130"/>
      <c r="P9596" s="99"/>
      <c r="Q9596" s="99"/>
      <c r="R9596" s="99"/>
    </row>
    <row r="9597" spans="5:18" s="65" customFormat="1">
      <c r="E9597" s="130"/>
      <c r="P9597" s="99"/>
      <c r="Q9597" s="99"/>
      <c r="R9597" s="99"/>
    </row>
    <row r="9598" spans="5:18" s="65" customFormat="1">
      <c r="E9598" s="130"/>
      <c r="P9598" s="99"/>
      <c r="Q9598" s="99"/>
      <c r="R9598" s="99"/>
    </row>
    <row r="9599" spans="5:18" s="65" customFormat="1">
      <c r="E9599" s="130"/>
      <c r="P9599" s="99"/>
      <c r="Q9599" s="99"/>
      <c r="R9599" s="99"/>
    </row>
    <row r="9600" spans="5:18" s="65" customFormat="1">
      <c r="E9600" s="130"/>
      <c r="P9600" s="99"/>
      <c r="Q9600" s="99"/>
      <c r="R9600" s="99"/>
    </row>
    <row r="9601" spans="5:18" s="65" customFormat="1">
      <c r="E9601" s="130"/>
      <c r="P9601" s="99"/>
      <c r="Q9601" s="99"/>
      <c r="R9601" s="99"/>
    </row>
    <row r="9602" spans="5:18" s="65" customFormat="1">
      <c r="E9602" s="130"/>
      <c r="P9602" s="99"/>
      <c r="Q9602" s="99"/>
      <c r="R9602" s="99"/>
    </row>
    <row r="9603" spans="5:18" s="65" customFormat="1">
      <c r="E9603" s="130"/>
      <c r="P9603" s="99"/>
      <c r="Q9603" s="99"/>
      <c r="R9603" s="99"/>
    </row>
    <row r="9604" spans="5:18" s="65" customFormat="1">
      <c r="E9604" s="130"/>
      <c r="P9604" s="99"/>
      <c r="Q9604" s="99"/>
      <c r="R9604" s="99"/>
    </row>
    <row r="9605" spans="5:18" s="65" customFormat="1">
      <c r="E9605" s="130"/>
      <c r="P9605" s="99"/>
      <c r="Q9605" s="99"/>
      <c r="R9605" s="99"/>
    </row>
    <row r="9606" spans="5:18" s="65" customFormat="1">
      <c r="E9606" s="130"/>
      <c r="P9606" s="99"/>
      <c r="Q9606" s="99"/>
      <c r="R9606" s="99"/>
    </row>
    <row r="9607" spans="5:18" s="65" customFormat="1">
      <c r="E9607" s="130"/>
      <c r="P9607" s="99"/>
      <c r="Q9607" s="99"/>
      <c r="R9607" s="99"/>
    </row>
    <row r="9608" spans="5:18" s="65" customFormat="1">
      <c r="E9608" s="130"/>
      <c r="P9608" s="99"/>
      <c r="Q9608" s="99"/>
      <c r="R9608" s="99"/>
    </row>
    <row r="9609" spans="5:18" s="65" customFormat="1">
      <c r="E9609" s="130"/>
      <c r="P9609" s="99"/>
      <c r="Q9609" s="99"/>
      <c r="R9609" s="99"/>
    </row>
    <row r="9610" spans="5:18" s="65" customFormat="1">
      <c r="E9610" s="130"/>
      <c r="P9610" s="99"/>
      <c r="Q9610" s="99"/>
      <c r="R9610" s="99"/>
    </row>
    <row r="9611" spans="5:18" s="65" customFormat="1">
      <c r="E9611" s="130"/>
      <c r="P9611" s="99"/>
      <c r="Q9611" s="99"/>
      <c r="R9611" s="99"/>
    </row>
    <row r="9612" spans="5:18" s="65" customFormat="1">
      <c r="E9612" s="130"/>
      <c r="P9612" s="99"/>
      <c r="Q9612" s="99"/>
      <c r="R9612" s="99"/>
    </row>
    <row r="9613" spans="5:18" s="65" customFormat="1">
      <c r="E9613" s="130"/>
      <c r="P9613" s="99"/>
      <c r="Q9613" s="99"/>
      <c r="R9613" s="99"/>
    </row>
    <row r="9614" spans="5:18" s="65" customFormat="1">
      <c r="E9614" s="130"/>
      <c r="P9614" s="99"/>
      <c r="Q9614" s="99"/>
      <c r="R9614" s="99"/>
    </row>
    <row r="9615" spans="5:18" s="65" customFormat="1">
      <c r="E9615" s="130"/>
      <c r="P9615" s="99"/>
      <c r="Q9615" s="99"/>
      <c r="R9615" s="99"/>
    </row>
    <row r="9616" spans="5:18" s="65" customFormat="1">
      <c r="E9616" s="130"/>
      <c r="P9616" s="99"/>
      <c r="Q9616" s="99"/>
      <c r="R9616" s="99"/>
    </row>
    <row r="9617" spans="5:18" s="65" customFormat="1">
      <c r="E9617" s="130"/>
      <c r="P9617" s="99"/>
      <c r="Q9617" s="99"/>
      <c r="R9617" s="99"/>
    </row>
    <row r="9618" spans="5:18" s="65" customFormat="1">
      <c r="E9618" s="130"/>
      <c r="P9618" s="99"/>
      <c r="Q9618" s="99"/>
      <c r="R9618" s="99"/>
    </row>
    <row r="9619" spans="5:18" s="65" customFormat="1">
      <c r="E9619" s="130"/>
      <c r="P9619" s="99"/>
      <c r="Q9619" s="99"/>
      <c r="R9619" s="99"/>
    </row>
    <row r="9620" spans="5:18" s="65" customFormat="1">
      <c r="E9620" s="130"/>
      <c r="P9620" s="99"/>
      <c r="Q9620" s="99"/>
      <c r="R9620" s="99"/>
    </row>
    <row r="9621" spans="5:18" s="65" customFormat="1">
      <c r="E9621" s="130"/>
      <c r="P9621" s="99"/>
      <c r="Q9621" s="99"/>
      <c r="R9621" s="99"/>
    </row>
    <row r="9622" spans="5:18" s="65" customFormat="1">
      <c r="E9622" s="130"/>
      <c r="P9622" s="99"/>
      <c r="Q9622" s="99"/>
      <c r="R9622" s="99"/>
    </row>
    <row r="9623" spans="5:18" s="65" customFormat="1">
      <c r="E9623" s="130"/>
      <c r="P9623" s="99"/>
      <c r="Q9623" s="99"/>
      <c r="R9623" s="99"/>
    </row>
    <row r="9624" spans="5:18" s="65" customFormat="1">
      <c r="E9624" s="130"/>
      <c r="P9624" s="99"/>
      <c r="Q9624" s="99"/>
      <c r="R9624" s="99"/>
    </row>
    <row r="9625" spans="5:18" s="65" customFormat="1">
      <c r="E9625" s="130"/>
      <c r="P9625" s="99"/>
      <c r="Q9625" s="99"/>
      <c r="R9625" s="99"/>
    </row>
    <row r="9626" spans="5:18" s="65" customFormat="1">
      <c r="E9626" s="130"/>
      <c r="P9626" s="99"/>
      <c r="Q9626" s="99"/>
      <c r="R9626" s="99"/>
    </row>
    <row r="9627" spans="5:18" s="65" customFormat="1">
      <c r="E9627" s="130"/>
      <c r="P9627" s="99"/>
      <c r="Q9627" s="99"/>
      <c r="R9627" s="99"/>
    </row>
    <row r="9628" spans="5:18" s="65" customFormat="1">
      <c r="E9628" s="130"/>
      <c r="P9628" s="99"/>
      <c r="Q9628" s="99"/>
      <c r="R9628" s="99"/>
    </row>
    <row r="9629" spans="5:18" s="65" customFormat="1">
      <c r="E9629" s="130"/>
      <c r="P9629" s="99"/>
      <c r="Q9629" s="99"/>
      <c r="R9629" s="99"/>
    </row>
    <row r="9630" spans="5:18" s="65" customFormat="1">
      <c r="E9630" s="130"/>
      <c r="P9630" s="99"/>
      <c r="Q9630" s="99"/>
      <c r="R9630" s="99"/>
    </row>
    <row r="9631" spans="5:18" s="65" customFormat="1">
      <c r="E9631" s="130"/>
      <c r="P9631" s="99"/>
      <c r="Q9631" s="99"/>
      <c r="R9631" s="99"/>
    </row>
    <row r="9632" spans="5:18" s="65" customFormat="1">
      <c r="E9632" s="130"/>
      <c r="P9632" s="99"/>
      <c r="Q9632" s="99"/>
      <c r="R9632" s="99"/>
    </row>
    <row r="9633" spans="5:18" s="65" customFormat="1">
      <c r="E9633" s="130"/>
      <c r="P9633" s="99"/>
      <c r="Q9633" s="99"/>
      <c r="R9633" s="99"/>
    </row>
    <row r="9634" spans="5:18" s="65" customFormat="1">
      <c r="E9634" s="130"/>
      <c r="P9634" s="99"/>
      <c r="Q9634" s="99"/>
      <c r="R9634" s="99"/>
    </row>
    <row r="9635" spans="5:18" s="65" customFormat="1">
      <c r="E9635" s="130"/>
      <c r="P9635" s="99"/>
      <c r="Q9635" s="99"/>
      <c r="R9635" s="99"/>
    </row>
    <row r="9636" spans="5:18" s="65" customFormat="1">
      <c r="E9636" s="130"/>
      <c r="P9636" s="99"/>
      <c r="Q9636" s="99"/>
      <c r="R9636" s="99"/>
    </row>
    <row r="9637" spans="5:18" s="65" customFormat="1">
      <c r="E9637" s="130"/>
      <c r="P9637" s="99"/>
      <c r="Q9637" s="99"/>
      <c r="R9637" s="99"/>
    </row>
    <row r="9638" spans="5:18" s="65" customFormat="1">
      <c r="E9638" s="130"/>
      <c r="P9638" s="99"/>
      <c r="Q9638" s="99"/>
      <c r="R9638" s="99"/>
    </row>
    <row r="9639" spans="5:18" s="65" customFormat="1">
      <c r="E9639" s="130"/>
      <c r="P9639" s="99"/>
      <c r="Q9639" s="99"/>
      <c r="R9639" s="99"/>
    </row>
    <row r="9640" spans="5:18" s="65" customFormat="1">
      <c r="E9640" s="130"/>
      <c r="P9640" s="99"/>
      <c r="Q9640" s="99"/>
      <c r="R9640" s="99"/>
    </row>
    <row r="9641" spans="5:18" s="65" customFormat="1">
      <c r="E9641" s="130"/>
      <c r="P9641" s="99"/>
      <c r="Q9641" s="99"/>
      <c r="R9641" s="99"/>
    </row>
    <row r="9642" spans="5:18" s="65" customFormat="1">
      <c r="E9642" s="130"/>
      <c r="P9642" s="99"/>
      <c r="Q9642" s="99"/>
      <c r="R9642" s="99"/>
    </row>
    <row r="9643" spans="5:18" s="65" customFormat="1">
      <c r="E9643" s="130"/>
      <c r="P9643" s="99"/>
      <c r="Q9643" s="99"/>
      <c r="R9643" s="99"/>
    </row>
    <row r="9644" spans="5:18" s="65" customFormat="1">
      <c r="E9644" s="130"/>
      <c r="P9644" s="99"/>
      <c r="Q9644" s="99"/>
      <c r="R9644" s="99"/>
    </row>
    <row r="9645" spans="5:18" s="65" customFormat="1">
      <c r="E9645" s="130"/>
      <c r="P9645" s="99"/>
      <c r="Q9645" s="99"/>
      <c r="R9645" s="99"/>
    </row>
    <row r="9646" spans="5:18" s="65" customFormat="1">
      <c r="E9646" s="130"/>
      <c r="P9646" s="99"/>
      <c r="Q9646" s="99"/>
      <c r="R9646" s="99"/>
    </row>
    <row r="9647" spans="5:18" s="65" customFormat="1">
      <c r="E9647" s="130"/>
      <c r="P9647" s="99"/>
      <c r="Q9647" s="99"/>
      <c r="R9647" s="99"/>
    </row>
    <row r="9648" spans="5:18" s="65" customFormat="1">
      <c r="E9648" s="130"/>
      <c r="P9648" s="99"/>
      <c r="Q9648" s="99"/>
      <c r="R9648" s="99"/>
    </row>
    <row r="9649" spans="5:18" s="65" customFormat="1">
      <c r="E9649" s="130"/>
      <c r="P9649" s="99"/>
      <c r="Q9649" s="99"/>
      <c r="R9649" s="99"/>
    </row>
    <row r="9650" spans="5:18" s="65" customFormat="1">
      <c r="E9650" s="130"/>
      <c r="P9650" s="99"/>
      <c r="Q9650" s="99"/>
      <c r="R9650" s="99"/>
    </row>
    <row r="9651" spans="5:18" s="65" customFormat="1">
      <c r="E9651" s="130"/>
      <c r="P9651" s="99"/>
      <c r="Q9651" s="99"/>
      <c r="R9651" s="99"/>
    </row>
    <row r="9652" spans="5:18" s="65" customFormat="1">
      <c r="E9652" s="130"/>
      <c r="P9652" s="99"/>
      <c r="Q9652" s="99"/>
      <c r="R9652" s="99"/>
    </row>
    <row r="9653" spans="5:18" s="65" customFormat="1">
      <c r="E9653" s="130"/>
      <c r="P9653" s="99"/>
      <c r="Q9653" s="99"/>
      <c r="R9653" s="99"/>
    </row>
    <row r="9654" spans="5:18" s="65" customFormat="1">
      <c r="E9654" s="130"/>
      <c r="P9654" s="99"/>
      <c r="Q9654" s="99"/>
      <c r="R9654" s="99"/>
    </row>
    <row r="9655" spans="5:18" s="65" customFormat="1">
      <c r="E9655" s="130"/>
      <c r="P9655" s="99"/>
      <c r="Q9655" s="99"/>
      <c r="R9655" s="99"/>
    </row>
    <row r="9656" spans="5:18" s="65" customFormat="1">
      <c r="E9656" s="130"/>
      <c r="P9656" s="99"/>
      <c r="Q9656" s="99"/>
      <c r="R9656" s="99"/>
    </row>
    <row r="9657" spans="5:18" s="65" customFormat="1">
      <c r="E9657" s="130"/>
      <c r="P9657" s="99"/>
      <c r="Q9657" s="99"/>
      <c r="R9657" s="99"/>
    </row>
    <row r="9658" spans="5:18" s="65" customFormat="1">
      <c r="E9658" s="130"/>
      <c r="P9658" s="99"/>
      <c r="Q9658" s="99"/>
      <c r="R9658" s="99"/>
    </row>
    <row r="9659" spans="5:18" s="65" customFormat="1">
      <c r="E9659" s="130"/>
      <c r="P9659" s="99"/>
      <c r="Q9659" s="99"/>
      <c r="R9659" s="99"/>
    </row>
    <row r="9660" spans="5:18" s="65" customFormat="1">
      <c r="E9660" s="130"/>
      <c r="P9660" s="99"/>
      <c r="Q9660" s="99"/>
      <c r="R9660" s="99"/>
    </row>
    <row r="9661" spans="5:18" s="65" customFormat="1">
      <c r="E9661" s="130"/>
      <c r="P9661" s="99"/>
      <c r="Q9661" s="99"/>
      <c r="R9661" s="99"/>
    </row>
    <row r="9662" spans="5:18" s="65" customFormat="1">
      <c r="E9662" s="130"/>
      <c r="P9662" s="99"/>
      <c r="Q9662" s="99"/>
      <c r="R9662" s="99"/>
    </row>
    <row r="9663" spans="5:18" s="65" customFormat="1">
      <c r="E9663" s="130"/>
      <c r="P9663" s="99"/>
      <c r="Q9663" s="99"/>
      <c r="R9663" s="99"/>
    </row>
    <row r="9664" spans="5:18" s="65" customFormat="1">
      <c r="E9664" s="130"/>
      <c r="P9664" s="99"/>
      <c r="Q9664" s="99"/>
      <c r="R9664" s="99"/>
    </row>
    <row r="9665" spans="5:18" s="65" customFormat="1">
      <c r="E9665" s="130"/>
      <c r="P9665" s="99"/>
      <c r="Q9665" s="99"/>
      <c r="R9665" s="99"/>
    </row>
    <row r="9666" spans="5:18" s="65" customFormat="1">
      <c r="E9666" s="130"/>
      <c r="P9666" s="99"/>
      <c r="Q9666" s="99"/>
      <c r="R9666" s="99"/>
    </row>
    <row r="9667" spans="5:18" s="65" customFormat="1">
      <c r="E9667" s="130"/>
      <c r="P9667" s="99"/>
      <c r="Q9667" s="99"/>
      <c r="R9667" s="99"/>
    </row>
    <row r="9668" spans="5:18" s="65" customFormat="1">
      <c r="E9668" s="130"/>
      <c r="P9668" s="99"/>
      <c r="Q9668" s="99"/>
      <c r="R9668" s="99"/>
    </row>
    <row r="9669" spans="5:18" s="65" customFormat="1">
      <c r="E9669" s="130"/>
      <c r="P9669" s="99"/>
      <c r="Q9669" s="99"/>
      <c r="R9669" s="99"/>
    </row>
    <row r="9670" spans="5:18" s="65" customFormat="1">
      <c r="E9670" s="130"/>
      <c r="P9670" s="99"/>
      <c r="Q9670" s="99"/>
      <c r="R9670" s="99"/>
    </row>
    <row r="9671" spans="5:18" s="65" customFormat="1">
      <c r="E9671" s="130"/>
      <c r="P9671" s="99"/>
      <c r="Q9671" s="99"/>
      <c r="R9671" s="99"/>
    </row>
    <row r="9672" spans="5:18" s="65" customFormat="1">
      <c r="E9672" s="130"/>
      <c r="P9672" s="99"/>
      <c r="Q9672" s="99"/>
      <c r="R9672" s="99"/>
    </row>
    <row r="9673" spans="5:18" s="65" customFormat="1">
      <c r="E9673" s="130"/>
      <c r="P9673" s="99"/>
      <c r="Q9673" s="99"/>
      <c r="R9673" s="99"/>
    </row>
    <row r="9674" spans="5:18" s="65" customFormat="1">
      <c r="E9674" s="130"/>
      <c r="P9674" s="99"/>
      <c r="Q9674" s="99"/>
      <c r="R9674" s="99"/>
    </row>
    <row r="9675" spans="5:18" s="65" customFormat="1">
      <c r="E9675" s="130"/>
      <c r="P9675" s="99"/>
      <c r="Q9675" s="99"/>
      <c r="R9675" s="99"/>
    </row>
    <row r="9676" spans="5:18" s="65" customFormat="1">
      <c r="E9676" s="130"/>
      <c r="P9676" s="99"/>
      <c r="Q9676" s="99"/>
      <c r="R9676" s="99"/>
    </row>
    <row r="9677" spans="5:18" s="65" customFormat="1">
      <c r="E9677" s="130"/>
      <c r="P9677" s="99"/>
      <c r="Q9677" s="99"/>
      <c r="R9677" s="99"/>
    </row>
    <row r="9678" spans="5:18" s="65" customFormat="1">
      <c r="E9678" s="130"/>
      <c r="P9678" s="99"/>
      <c r="Q9678" s="99"/>
      <c r="R9678" s="99"/>
    </row>
    <row r="9679" spans="5:18" s="65" customFormat="1">
      <c r="E9679" s="130"/>
      <c r="P9679" s="99"/>
      <c r="Q9679" s="99"/>
      <c r="R9679" s="99"/>
    </row>
    <row r="9680" spans="5:18" s="65" customFormat="1">
      <c r="E9680" s="130"/>
      <c r="P9680" s="99"/>
      <c r="Q9680" s="99"/>
      <c r="R9680" s="99"/>
    </row>
    <row r="9681" spans="5:18" s="65" customFormat="1">
      <c r="E9681" s="130"/>
      <c r="P9681" s="99"/>
      <c r="Q9681" s="99"/>
      <c r="R9681" s="99"/>
    </row>
    <row r="9682" spans="5:18" s="65" customFormat="1">
      <c r="E9682" s="130"/>
      <c r="P9682" s="99"/>
      <c r="Q9682" s="99"/>
      <c r="R9682" s="99"/>
    </row>
    <row r="9683" spans="5:18" s="65" customFormat="1">
      <c r="E9683" s="130"/>
      <c r="P9683" s="99"/>
      <c r="Q9683" s="99"/>
      <c r="R9683" s="99"/>
    </row>
    <row r="9684" spans="5:18" s="65" customFormat="1">
      <c r="E9684" s="130"/>
      <c r="P9684" s="99"/>
      <c r="Q9684" s="99"/>
      <c r="R9684" s="99"/>
    </row>
    <row r="9685" spans="5:18" s="65" customFormat="1">
      <c r="E9685" s="130"/>
      <c r="P9685" s="99"/>
      <c r="Q9685" s="99"/>
      <c r="R9685" s="99"/>
    </row>
    <row r="9686" spans="5:18" s="65" customFormat="1">
      <c r="E9686" s="130"/>
      <c r="P9686" s="99"/>
      <c r="Q9686" s="99"/>
      <c r="R9686" s="99"/>
    </row>
    <row r="9687" spans="5:18" s="65" customFormat="1">
      <c r="E9687" s="130"/>
      <c r="P9687" s="99"/>
      <c r="Q9687" s="99"/>
      <c r="R9687" s="99"/>
    </row>
    <row r="9688" spans="5:18" s="65" customFormat="1">
      <c r="E9688" s="130"/>
      <c r="P9688" s="99"/>
      <c r="Q9688" s="99"/>
      <c r="R9688" s="99"/>
    </row>
    <row r="9689" spans="5:18" s="65" customFormat="1">
      <c r="E9689" s="130"/>
      <c r="P9689" s="99"/>
      <c r="Q9689" s="99"/>
      <c r="R9689" s="99"/>
    </row>
    <row r="9690" spans="5:18" s="65" customFormat="1">
      <c r="E9690" s="130"/>
      <c r="P9690" s="99"/>
      <c r="Q9690" s="99"/>
      <c r="R9690" s="99"/>
    </row>
    <row r="9691" spans="5:18" s="65" customFormat="1">
      <c r="E9691" s="130"/>
      <c r="P9691" s="99"/>
      <c r="Q9691" s="99"/>
      <c r="R9691" s="99"/>
    </row>
    <row r="9692" spans="5:18" s="65" customFormat="1">
      <c r="E9692" s="130"/>
      <c r="P9692" s="99"/>
      <c r="Q9692" s="99"/>
      <c r="R9692" s="99"/>
    </row>
    <row r="9693" spans="5:18" s="65" customFormat="1">
      <c r="E9693" s="130"/>
      <c r="P9693" s="99"/>
      <c r="Q9693" s="99"/>
      <c r="R9693" s="99"/>
    </row>
    <row r="9694" spans="5:18" s="65" customFormat="1">
      <c r="E9694" s="130"/>
      <c r="P9694" s="99"/>
      <c r="Q9694" s="99"/>
      <c r="R9694" s="99"/>
    </row>
    <row r="9695" spans="5:18" s="65" customFormat="1">
      <c r="E9695" s="130"/>
      <c r="P9695" s="99"/>
      <c r="Q9695" s="99"/>
      <c r="R9695" s="99"/>
    </row>
    <row r="9696" spans="5:18" s="65" customFormat="1">
      <c r="E9696" s="130"/>
      <c r="P9696" s="99"/>
      <c r="Q9696" s="99"/>
      <c r="R9696" s="99"/>
    </row>
    <row r="9697" spans="5:18" s="65" customFormat="1">
      <c r="E9697" s="130"/>
      <c r="P9697" s="99"/>
      <c r="Q9697" s="99"/>
      <c r="R9697" s="99"/>
    </row>
    <row r="9698" spans="5:18" s="65" customFormat="1">
      <c r="E9698" s="130"/>
      <c r="P9698" s="99"/>
      <c r="Q9698" s="99"/>
      <c r="R9698" s="99"/>
    </row>
    <row r="9699" spans="5:18" s="65" customFormat="1">
      <c r="E9699" s="130"/>
      <c r="P9699" s="99"/>
      <c r="Q9699" s="99"/>
      <c r="R9699" s="99"/>
    </row>
    <row r="9700" spans="5:18" s="65" customFormat="1">
      <c r="E9700" s="130"/>
      <c r="P9700" s="99"/>
      <c r="Q9700" s="99"/>
      <c r="R9700" s="99"/>
    </row>
    <row r="9701" spans="5:18" s="65" customFormat="1">
      <c r="E9701" s="130"/>
      <c r="P9701" s="99"/>
      <c r="Q9701" s="99"/>
      <c r="R9701" s="99"/>
    </row>
    <row r="9702" spans="5:18" s="65" customFormat="1">
      <c r="E9702" s="130"/>
      <c r="P9702" s="99"/>
      <c r="Q9702" s="99"/>
      <c r="R9702" s="99"/>
    </row>
    <row r="9703" spans="5:18" s="65" customFormat="1">
      <c r="E9703" s="130"/>
      <c r="P9703" s="99"/>
      <c r="Q9703" s="99"/>
      <c r="R9703" s="99"/>
    </row>
    <row r="9704" spans="5:18" s="65" customFormat="1">
      <c r="E9704" s="130"/>
      <c r="P9704" s="99"/>
      <c r="Q9704" s="99"/>
      <c r="R9704" s="99"/>
    </row>
    <row r="9705" spans="5:18" s="65" customFormat="1">
      <c r="E9705" s="130"/>
      <c r="P9705" s="99"/>
      <c r="Q9705" s="99"/>
      <c r="R9705" s="99"/>
    </row>
    <row r="9706" spans="5:18" s="65" customFormat="1">
      <c r="E9706" s="130"/>
      <c r="P9706" s="99"/>
      <c r="Q9706" s="99"/>
      <c r="R9706" s="99"/>
    </row>
    <row r="9707" spans="5:18" s="65" customFormat="1">
      <c r="E9707" s="130"/>
      <c r="P9707" s="99"/>
      <c r="Q9707" s="99"/>
      <c r="R9707" s="99"/>
    </row>
    <row r="9708" spans="5:18" s="65" customFormat="1">
      <c r="E9708" s="130"/>
      <c r="P9708" s="99"/>
      <c r="Q9708" s="99"/>
      <c r="R9708" s="99"/>
    </row>
    <row r="9709" spans="5:18" s="65" customFormat="1">
      <c r="E9709" s="130"/>
      <c r="P9709" s="99"/>
      <c r="Q9709" s="99"/>
      <c r="R9709" s="99"/>
    </row>
    <row r="9710" spans="5:18" s="65" customFormat="1">
      <c r="E9710" s="130"/>
      <c r="P9710" s="99"/>
      <c r="Q9710" s="99"/>
      <c r="R9710" s="99"/>
    </row>
    <row r="9711" spans="5:18" s="65" customFormat="1">
      <c r="E9711" s="130"/>
      <c r="P9711" s="99"/>
      <c r="Q9711" s="99"/>
      <c r="R9711" s="99"/>
    </row>
    <row r="9712" spans="5:18" s="65" customFormat="1">
      <c r="E9712" s="130"/>
      <c r="P9712" s="99"/>
      <c r="Q9712" s="99"/>
      <c r="R9712" s="99"/>
    </row>
    <row r="9713" spans="5:18" s="65" customFormat="1">
      <c r="E9713" s="130"/>
      <c r="P9713" s="99"/>
      <c r="Q9713" s="99"/>
      <c r="R9713" s="99"/>
    </row>
    <row r="9714" spans="5:18" s="65" customFormat="1">
      <c r="E9714" s="130"/>
      <c r="P9714" s="99"/>
      <c r="Q9714" s="99"/>
      <c r="R9714" s="99"/>
    </row>
    <row r="9715" spans="5:18" s="65" customFormat="1">
      <c r="E9715" s="130"/>
      <c r="P9715" s="99"/>
      <c r="Q9715" s="99"/>
      <c r="R9715" s="99"/>
    </row>
    <row r="9716" spans="5:18" s="65" customFormat="1">
      <c r="E9716" s="130"/>
      <c r="P9716" s="99"/>
      <c r="Q9716" s="99"/>
      <c r="R9716" s="99"/>
    </row>
    <row r="9717" spans="5:18" s="65" customFormat="1">
      <c r="E9717" s="130"/>
      <c r="P9717" s="99"/>
      <c r="Q9717" s="99"/>
      <c r="R9717" s="99"/>
    </row>
    <row r="9718" spans="5:18" s="65" customFormat="1">
      <c r="E9718" s="130"/>
      <c r="P9718" s="99"/>
      <c r="Q9718" s="99"/>
      <c r="R9718" s="99"/>
    </row>
    <row r="9719" spans="5:18" s="65" customFormat="1">
      <c r="E9719" s="130"/>
      <c r="P9719" s="99"/>
      <c r="Q9719" s="99"/>
      <c r="R9719" s="99"/>
    </row>
    <row r="9720" spans="5:18" s="65" customFormat="1">
      <c r="E9720" s="130"/>
      <c r="P9720" s="99"/>
      <c r="Q9720" s="99"/>
      <c r="R9720" s="99"/>
    </row>
    <row r="9721" spans="5:18" s="65" customFormat="1">
      <c r="E9721" s="130"/>
      <c r="P9721" s="99"/>
      <c r="Q9721" s="99"/>
      <c r="R9721" s="99"/>
    </row>
    <row r="9722" spans="5:18" s="65" customFormat="1">
      <c r="E9722" s="130"/>
      <c r="P9722" s="99"/>
      <c r="Q9722" s="99"/>
      <c r="R9722" s="99"/>
    </row>
    <row r="9723" spans="5:18" s="65" customFormat="1">
      <c r="E9723" s="130"/>
      <c r="P9723" s="99"/>
      <c r="Q9723" s="99"/>
      <c r="R9723" s="99"/>
    </row>
    <row r="9724" spans="5:18" s="65" customFormat="1">
      <c r="E9724" s="130"/>
      <c r="P9724" s="99"/>
      <c r="Q9724" s="99"/>
      <c r="R9724" s="99"/>
    </row>
    <row r="9725" spans="5:18" s="65" customFormat="1">
      <c r="E9725" s="130"/>
      <c r="P9725" s="99"/>
      <c r="Q9725" s="99"/>
      <c r="R9725" s="99"/>
    </row>
    <row r="9726" spans="5:18" s="65" customFormat="1">
      <c r="E9726" s="130"/>
      <c r="P9726" s="99"/>
      <c r="Q9726" s="99"/>
      <c r="R9726" s="99"/>
    </row>
    <row r="9727" spans="5:18" s="65" customFormat="1">
      <c r="E9727" s="130"/>
      <c r="P9727" s="99"/>
      <c r="Q9727" s="99"/>
      <c r="R9727" s="99"/>
    </row>
    <row r="9728" spans="5:18" s="65" customFormat="1">
      <c r="E9728" s="130"/>
      <c r="P9728" s="99"/>
      <c r="Q9728" s="99"/>
      <c r="R9728" s="99"/>
    </row>
    <row r="9729" spans="5:18" s="65" customFormat="1">
      <c r="E9729" s="130"/>
      <c r="P9729" s="99"/>
      <c r="Q9729" s="99"/>
      <c r="R9729" s="99"/>
    </row>
    <row r="9730" spans="5:18" s="65" customFormat="1">
      <c r="E9730" s="130"/>
      <c r="P9730" s="99"/>
      <c r="Q9730" s="99"/>
      <c r="R9730" s="99"/>
    </row>
    <row r="9731" spans="5:18" s="65" customFormat="1">
      <c r="E9731" s="130"/>
      <c r="P9731" s="99"/>
      <c r="Q9731" s="99"/>
      <c r="R9731" s="99"/>
    </row>
    <row r="9732" spans="5:18" s="65" customFormat="1">
      <c r="E9732" s="130"/>
      <c r="P9732" s="99"/>
      <c r="Q9732" s="99"/>
      <c r="R9732" s="99"/>
    </row>
    <row r="9733" spans="5:18" s="65" customFormat="1">
      <c r="E9733" s="130"/>
      <c r="P9733" s="99"/>
      <c r="Q9733" s="99"/>
      <c r="R9733" s="99"/>
    </row>
    <row r="9734" spans="5:18" s="65" customFormat="1">
      <c r="E9734" s="130"/>
      <c r="P9734" s="99"/>
      <c r="Q9734" s="99"/>
      <c r="R9734" s="99"/>
    </row>
    <row r="9735" spans="5:18" s="65" customFormat="1">
      <c r="E9735" s="130"/>
      <c r="P9735" s="99"/>
      <c r="Q9735" s="99"/>
      <c r="R9735" s="99"/>
    </row>
    <row r="9736" spans="5:18" s="65" customFormat="1">
      <c r="E9736" s="130"/>
      <c r="P9736" s="99"/>
      <c r="Q9736" s="99"/>
      <c r="R9736" s="99"/>
    </row>
    <row r="9737" spans="5:18" s="65" customFormat="1">
      <c r="E9737" s="130"/>
      <c r="P9737" s="99"/>
      <c r="Q9737" s="99"/>
      <c r="R9737" s="99"/>
    </row>
    <row r="9738" spans="5:18" s="65" customFormat="1">
      <c r="E9738" s="130"/>
      <c r="P9738" s="99"/>
      <c r="Q9738" s="99"/>
      <c r="R9738" s="99"/>
    </row>
    <row r="9739" spans="5:18" s="65" customFormat="1">
      <c r="E9739" s="130"/>
      <c r="P9739" s="99"/>
      <c r="Q9739" s="99"/>
      <c r="R9739" s="99"/>
    </row>
    <row r="9740" spans="5:18" s="65" customFormat="1">
      <c r="E9740" s="130"/>
      <c r="P9740" s="99"/>
      <c r="Q9740" s="99"/>
      <c r="R9740" s="99"/>
    </row>
    <row r="9741" spans="5:18" s="65" customFormat="1">
      <c r="E9741" s="130"/>
      <c r="P9741" s="99"/>
      <c r="Q9741" s="99"/>
      <c r="R9741" s="99"/>
    </row>
    <row r="9742" spans="5:18" s="65" customFormat="1">
      <c r="E9742" s="130"/>
      <c r="P9742" s="99"/>
      <c r="Q9742" s="99"/>
      <c r="R9742" s="99"/>
    </row>
    <row r="9743" spans="5:18" s="65" customFormat="1">
      <c r="E9743" s="130"/>
      <c r="P9743" s="99"/>
      <c r="Q9743" s="99"/>
      <c r="R9743" s="99"/>
    </row>
    <row r="9744" spans="5:18" s="65" customFormat="1">
      <c r="E9744" s="130"/>
      <c r="P9744" s="99"/>
      <c r="Q9744" s="99"/>
      <c r="R9744" s="99"/>
    </row>
    <row r="9745" spans="5:18" s="65" customFormat="1">
      <c r="E9745" s="130"/>
      <c r="P9745" s="99"/>
      <c r="Q9745" s="99"/>
      <c r="R9745" s="99"/>
    </row>
    <row r="9746" spans="5:18" s="65" customFormat="1">
      <c r="E9746" s="130"/>
      <c r="P9746" s="99"/>
      <c r="Q9746" s="99"/>
      <c r="R9746" s="99"/>
    </row>
    <row r="9747" spans="5:18" s="65" customFormat="1">
      <c r="E9747" s="130"/>
      <c r="P9747" s="99"/>
      <c r="Q9747" s="99"/>
      <c r="R9747" s="99"/>
    </row>
    <row r="9748" spans="5:18" s="65" customFormat="1">
      <c r="E9748" s="130"/>
      <c r="P9748" s="99"/>
      <c r="Q9748" s="99"/>
      <c r="R9748" s="99"/>
    </row>
    <row r="9749" spans="5:18" s="65" customFormat="1">
      <c r="E9749" s="130"/>
      <c r="P9749" s="99"/>
      <c r="Q9749" s="99"/>
      <c r="R9749" s="99"/>
    </row>
    <row r="9750" spans="5:18" s="65" customFormat="1">
      <c r="E9750" s="130"/>
      <c r="P9750" s="99"/>
      <c r="Q9750" s="99"/>
      <c r="R9750" s="99"/>
    </row>
    <row r="9751" spans="5:18" s="65" customFormat="1">
      <c r="E9751" s="130"/>
      <c r="P9751" s="99"/>
      <c r="Q9751" s="99"/>
      <c r="R9751" s="99"/>
    </row>
    <row r="9752" spans="5:18" s="65" customFormat="1">
      <c r="E9752" s="130"/>
      <c r="P9752" s="99"/>
      <c r="Q9752" s="99"/>
      <c r="R9752" s="99"/>
    </row>
    <row r="9753" spans="5:18" s="65" customFormat="1">
      <c r="E9753" s="130"/>
      <c r="P9753" s="99"/>
      <c r="Q9753" s="99"/>
      <c r="R9753" s="99"/>
    </row>
    <row r="9754" spans="5:18" s="65" customFormat="1">
      <c r="E9754" s="130"/>
      <c r="P9754" s="99"/>
      <c r="Q9754" s="99"/>
      <c r="R9754" s="99"/>
    </row>
    <row r="9755" spans="5:18" s="65" customFormat="1">
      <c r="E9755" s="130"/>
      <c r="P9755" s="99"/>
      <c r="Q9755" s="99"/>
      <c r="R9755" s="99"/>
    </row>
    <row r="9756" spans="5:18" s="65" customFormat="1">
      <c r="E9756" s="130"/>
      <c r="P9756" s="99"/>
      <c r="Q9756" s="99"/>
      <c r="R9756" s="99"/>
    </row>
    <row r="9757" spans="5:18" s="65" customFormat="1">
      <c r="E9757" s="130"/>
      <c r="P9757" s="99"/>
      <c r="Q9757" s="99"/>
      <c r="R9757" s="99"/>
    </row>
    <row r="9758" spans="5:18" s="65" customFormat="1">
      <c r="E9758" s="130"/>
      <c r="P9758" s="99"/>
      <c r="Q9758" s="99"/>
      <c r="R9758" s="99"/>
    </row>
    <row r="9759" spans="5:18" s="65" customFormat="1">
      <c r="E9759" s="130"/>
      <c r="P9759" s="99"/>
      <c r="Q9759" s="99"/>
      <c r="R9759" s="99"/>
    </row>
    <row r="9760" spans="5:18" s="65" customFormat="1">
      <c r="E9760" s="130"/>
      <c r="P9760" s="99"/>
      <c r="Q9760" s="99"/>
      <c r="R9760" s="99"/>
    </row>
    <row r="9761" spans="5:18" s="65" customFormat="1">
      <c r="E9761" s="130"/>
      <c r="P9761" s="99"/>
      <c r="Q9761" s="99"/>
      <c r="R9761" s="99"/>
    </row>
    <row r="9762" spans="5:18" s="65" customFormat="1">
      <c r="E9762" s="130"/>
      <c r="P9762" s="99"/>
      <c r="Q9762" s="99"/>
      <c r="R9762" s="99"/>
    </row>
    <row r="9763" spans="5:18" s="65" customFormat="1">
      <c r="E9763" s="130"/>
      <c r="P9763" s="99"/>
      <c r="Q9763" s="99"/>
      <c r="R9763" s="99"/>
    </row>
    <row r="9764" spans="5:18" s="65" customFormat="1">
      <c r="E9764" s="130"/>
      <c r="P9764" s="99"/>
      <c r="Q9764" s="99"/>
      <c r="R9764" s="99"/>
    </row>
    <row r="9765" spans="5:18" s="65" customFormat="1">
      <c r="E9765" s="130"/>
      <c r="P9765" s="99"/>
      <c r="Q9765" s="99"/>
      <c r="R9765" s="99"/>
    </row>
    <row r="9766" spans="5:18" s="65" customFormat="1">
      <c r="E9766" s="130"/>
      <c r="P9766" s="99"/>
      <c r="Q9766" s="99"/>
      <c r="R9766" s="99"/>
    </row>
    <row r="9767" spans="5:18" s="65" customFormat="1">
      <c r="E9767" s="130"/>
      <c r="P9767" s="99"/>
      <c r="Q9767" s="99"/>
      <c r="R9767" s="99"/>
    </row>
    <row r="9768" spans="5:18" s="65" customFormat="1">
      <c r="E9768" s="130"/>
      <c r="P9768" s="99"/>
      <c r="Q9768" s="99"/>
      <c r="R9768" s="99"/>
    </row>
    <row r="9769" spans="5:18" s="65" customFormat="1">
      <c r="E9769" s="130"/>
      <c r="P9769" s="99"/>
      <c r="Q9769" s="99"/>
      <c r="R9769" s="99"/>
    </row>
    <row r="9770" spans="5:18" s="65" customFormat="1">
      <c r="E9770" s="130"/>
      <c r="P9770" s="99"/>
      <c r="Q9770" s="99"/>
      <c r="R9770" s="99"/>
    </row>
    <row r="9771" spans="5:18" s="65" customFormat="1">
      <c r="E9771" s="130"/>
      <c r="P9771" s="99"/>
      <c r="Q9771" s="99"/>
      <c r="R9771" s="99"/>
    </row>
    <row r="9772" spans="5:18" s="65" customFormat="1">
      <c r="E9772" s="130"/>
      <c r="P9772" s="99"/>
      <c r="Q9772" s="99"/>
      <c r="R9772" s="99"/>
    </row>
    <row r="9773" spans="5:18" s="65" customFormat="1">
      <c r="E9773" s="130"/>
      <c r="P9773" s="99"/>
      <c r="Q9773" s="99"/>
      <c r="R9773" s="99"/>
    </row>
    <row r="9774" spans="5:18" s="65" customFormat="1">
      <c r="E9774" s="130"/>
      <c r="P9774" s="99"/>
      <c r="Q9774" s="99"/>
      <c r="R9774" s="99"/>
    </row>
    <row r="9775" spans="5:18" s="65" customFormat="1">
      <c r="E9775" s="130"/>
      <c r="P9775" s="99"/>
      <c r="Q9775" s="99"/>
      <c r="R9775" s="99"/>
    </row>
    <row r="9776" spans="5:18" s="65" customFormat="1">
      <c r="E9776" s="130"/>
      <c r="P9776" s="99"/>
      <c r="Q9776" s="99"/>
      <c r="R9776" s="99"/>
    </row>
    <row r="9777" spans="5:18" s="65" customFormat="1">
      <c r="E9777" s="130"/>
      <c r="P9777" s="99"/>
      <c r="Q9777" s="99"/>
      <c r="R9777" s="99"/>
    </row>
    <row r="9778" spans="5:18" s="65" customFormat="1">
      <c r="E9778" s="130"/>
      <c r="P9778" s="99"/>
      <c r="Q9778" s="99"/>
      <c r="R9778" s="99"/>
    </row>
    <row r="9779" spans="5:18" s="65" customFormat="1">
      <c r="E9779" s="130"/>
      <c r="P9779" s="99"/>
      <c r="Q9779" s="99"/>
      <c r="R9779" s="99"/>
    </row>
    <row r="9780" spans="5:18" s="65" customFormat="1">
      <c r="E9780" s="130"/>
      <c r="P9780" s="99"/>
      <c r="Q9780" s="99"/>
      <c r="R9780" s="99"/>
    </row>
    <row r="9781" spans="5:18" s="65" customFormat="1">
      <c r="E9781" s="130"/>
      <c r="P9781" s="99"/>
      <c r="Q9781" s="99"/>
      <c r="R9781" s="99"/>
    </row>
    <row r="9782" spans="5:18" s="65" customFormat="1">
      <c r="E9782" s="130"/>
      <c r="P9782" s="99"/>
      <c r="Q9782" s="99"/>
      <c r="R9782" s="99"/>
    </row>
    <row r="9783" spans="5:18" s="65" customFormat="1">
      <c r="E9783" s="130"/>
      <c r="P9783" s="99"/>
      <c r="Q9783" s="99"/>
      <c r="R9783" s="99"/>
    </row>
    <row r="9784" spans="5:18" s="65" customFormat="1">
      <c r="E9784" s="130"/>
      <c r="P9784" s="99"/>
      <c r="Q9784" s="99"/>
      <c r="R9784" s="99"/>
    </row>
    <row r="9785" spans="5:18" s="65" customFormat="1">
      <c r="E9785" s="130"/>
      <c r="P9785" s="99"/>
      <c r="Q9785" s="99"/>
      <c r="R9785" s="99"/>
    </row>
    <row r="9786" spans="5:18" s="65" customFormat="1">
      <c r="E9786" s="130"/>
      <c r="P9786" s="99"/>
      <c r="Q9786" s="99"/>
      <c r="R9786" s="99"/>
    </row>
    <row r="9787" spans="5:18" s="65" customFormat="1">
      <c r="E9787" s="130"/>
      <c r="P9787" s="99"/>
      <c r="Q9787" s="99"/>
      <c r="R9787" s="99"/>
    </row>
    <row r="9788" spans="5:18" s="65" customFormat="1">
      <c r="E9788" s="130"/>
      <c r="P9788" s="99"/>
      <c r="Q9788" s="99"/>
      <c r="R9788" s="99"/>
    </row>
    <row r="9789" spans="5:18" s="65" customFormat="1">
      <c r="E9789" s="130"/>
      <c r="P9789" s="99"/>
      <c r="Q9789" s="99"/>
      <c r="R9789" s="99"/>
    </row>
    <row r="9790" spans="5:18" s="65" customFormat="1">
      <c r="E9790" s="130"/>
      <c r="P9790" s="99"/>
      <c r="Q9790" s="99"/>
      <c r="R9790" s="99"/>
    </row>
    <row r="9791" spans="5:18" s="65" customFormat="1">
      <c r="E9791" s="130"/>
      <c r="P9791" s="99"/>
      <c r="Q9791" s="99"/>
      <c r="R9791" s="99"/>
    </row>
    <row r="9792" spans="5:18" s="65" customFormat="1">
      <c r="E9792" s="130"/>
      <c r="P9792" s="99"/>
      <c r="Q9792" s="99"/>
      <c r="R9792" s="99"/>
    </row>
    <row r="9793" spans="5:18" s="65" customFormat="1">
      <c r="E9793" s="130"/>
      <c r="P9793" s="99"/>
      <c r="Q9793" s="99"/>
      <c r="R9793" s="99"/>
    </row>
    <row r="9794" spans="5:18" s="65" customFormat="1">
      <c r="E9794" s="130"/>
      <c r="P9794" s="99"/>
      <c r="Q9794" s="99"/>
      <c r="R9794" s="99"/>
    </row>
    <row r="9795" spans="5:18" s="65" customFormat="1">
      <c r="E9795" s="130"/>
      <c r="P9795" s="99"/>
      <c r="Q9795" s="99"/>
      <c r="R9795" s="99"/>
    </row>
    <row r="9796" spans="5:18" s="65" customFormat="1">
      <c r="E9796" s="130"/>
      <c r="P9796" s="99"/>
      <c r="Q9796" s="99"/>
      <c r="R9796" s="99"/>
    </row>
    <row r="9797" spans="5:18" s="65" customFormat="1">
      <c r="E9797" s="130"/>
      <c r="P9797" s="99"/>
      <c r="Q9797" s="99"/>
      <c r="R9797" s="99"/>
    </row>
    <row r="9798" spans="5:18" s="65" customFormat="1">
      <c r="E9798" s="130"/>
      <c r="P9798" s="99"/>
      <c r="Q9798" s="99"/>
      <c r="R9798" s="99"/>
    </row>
    <row r="9799" spans="5:18" s="65" customFormat="1">
      <c r="E9799" s="130"/>
      <c r="P9799" s="99"/>
      <c r="Q9799" s="99"/>
      <c r="R9799" s="99"/>
    </row>
    <row r="9800" spans="5:18" s="65" customFormat="1">
      <c r="E9800" s="130"/>
      <c r="P9800" s="99"/>
      <c r="Q9800" s="99"/>
      <c r="R9800" s="99"/>
    </row>
    <row r="9801" spans="5:18" s="65" customFormat="1">
      <c r="E9801" s="130"/>
      <c r="P9801" s="99"/>
      <c r="Q9801" s="99"/>
      <c r="R9801" s="99"/>
    </row>
    <row r="9802" spans="5:18" s="65" customFormat="1">
      <c r="E9802" s="130"/>
      <c r="P9802" s="99"/>
      <c r="Q9802" s="99"/>
      <c r="R9802" s="99"/>
    </row>
    <row r="9803" spans="5:18" s="65" customFormat="1">
      <c r="E9803" s="130"/>
      <c r="P9803" s="99"/>
      <c r="Q9803" s="99"/>
      <c r="R9803" s="99"/>
    </row>
    <row r="9804" spans="5:18" s="65" customFormat="1">
      <c r="E9804" s="130"/>
      <c r="P9804" s="99"/>
      <c r="Q9804" s="99"/>
      <c r="R9804" s="99"/>
    </row>
    <row r="9805" spans="5:18" s="65" customFormat="1">
      <c r="E9805" s="130"/>
      <c r="P9805" s="99"/>
      <c r="Q9805" s="99"/>
      <c r="R9805" s="99"/>
    </row>
    <row r="9806" spans="5:18" s="65" customFormat="1">
      <c r="E9806" s="130"/>
      <c r="P9806" s="99"/>
      <c r="Q9806" s="99"/>
      <c r="R9806" s="99"/>
    </row>
    <row r="9807" spans="5:18" s="65" customFormat="1">
      <c r="E9807" s="130"/>
      <c r="P9807" s="99"/>
      <c r="Q9807" s="99"/>
      <c r="R9807" s="99"/>
    </row>
    <row r="9808" spans="5:18" s="65" customFormat="1">
      <c r="E9808" s="130"/>
      <c r="P9808" s="99"/>
      <c r="Q9808" s="99"/>
      <c r="R9808" s="99"/>
    </row>
    <row r="9809" spans="5:18" s="65" customFormat="1">
      <c r="E9809" s="130"/>
      <c r="P9809" s="99"/>
      <c r="Q9809" s="99"/>
      <c r="R9809" s="99"/>
    </row>
    <row r="9810" spans="5:18" s="65" customFormat="1">
      <c r="E9810" s="130"/>
      <c r="P9810" s="99"/>
      <c r="Q9810" s="99"/>
      <c r="R9810" s="99"/>
    </row>
    <row r="9811" spans="5:18" s="65" customFormat="1">
      <c r="E9811" s="130"/>
      <c r="P9811" s="99"/>
      <c r="Q9811" s="99"/>
      <c r="R9811" s="99"/>
    </row>
    <row r="9812" spans="5:18" s="65" customFormat="1">
      <c r="E9812" s="130"/>
      <c r="P9812" s="99"/>
      <c r="Q9812" s="99"/>
      <c r="R9812" s="99"/>
    </row>
    <row r="9813" spans="5:18" s="65" customFormat="1">
      <c r="E9813" s="130"/>
      <c r="P9813" s="99"/>
      <c r="Q9813" s="99"/>
      <c r="R9813" s="99"/>
    </row>
    <row r="9814" spans="5:18" s="65" customFormat="1">
      <c r="E9814" s="130"/>
      <c r="P9814" s="99"/>
      <c r="Q9814" s="99"/>
      <c r="R9814" s="99"/>
    </row>
    <row r="9815" spans="5:18" s="65" customFormat="1">
      <c r="E9815" s="130"/>
      <c r="P9815" s="99"/>
      <c r="Q9815" s="99"/>
      <c r="R9815" s="99"/>
    </row>
    <row r="9816" spans="5:18" s="65" customFormat="1">
      <c r="E9816" s="130"/>
      <c r="P9816" s="99"/>
      <c r="Q9816" s="99"/>
      <c r="R9816" s="99"/>
    </row>
    <row r="9817" spans="5:18" s="65" customFormat="1">
      <c r="E9817" s="130"/>
      <c r="P9817" s="99"/>
      <c r="Q9817" s="99"/>
      <c r="R9817" s="99"/>
    </row>
    <row r="9818" spans="5:18" s="65" customFormat="1">
      <c r="E9818" s="130"/>
      <c r="P9818" s="99"/>
      <c r="Q9818" s="99"/>
      <c r="R9818" s="99"/>
    </row>
    <row r="9819" spans="5:18" s="65" customFormat="1">
      <c r="E9819" s="130"/>
      <c r="P9819" s="99"/>
      <c r="Q9819" s="99"/>
      <c r="R9819" s="99"/>
    </row>
    <row r="9820" spans="5:18" s="65" customFormat="1">
      <c r="E9820" s="130"/>
      <c r="P9820" s="99"/>
      <c r="Q9820" s="99"/>
      <c r="R9820" s="99"/>
    </row>
    <row r="9821" spans="5:18" s="65" customFormat="1">
      <c r="E9821" s="130"/>
      <c r="P9821" s="99"/>
      <c r="Q9821" s="99"/>
      <c r="R9821" s="99"/>
    </row>
    <row r="9822" spans="5:18" s="65" customFormat="1">
      <c r="E9822" s="130"/>
      <c r="P9822" s="99"/>
      <c r="Q9822" s="99"/>
      <c r="R9822" s="99"/>
    </row>
    <row r="9823" spans="5:18" s="65" customFormat="1">
      <c r="E9823" s="130"/>
      <c r="P9823" s="99"/>
      <c r="Q9823" s="99"/>
      <c r="R9823" s="99"/>
    </row>
    <row r="9824" spans="5:18" s="65" customFormat="1">
      <c r="E9824" s="130"/>
      <c r="P9824" s="99"/>
      <c r="Q9824" s="99"/>
      <c r="R9824" s="99"/>
    </row>
    <row r="9825" spans="5:18" s="65" customFormat="1">
      <c r="E9825" s="130"/>
      <c r="P9825" s="99"/>
      <c r="Q9825" s="99"/>
      <c r="R9825" s="99"/>
    </row>
    <row r="9826" spans="5:18" s="65" customFormat="1">
      <c r="E9826" s="130"/>
      <c r="P9826" s="99"/>
      <c r="Q9826" s="99"/>
      <c r="R9826" s="99"/>
    </row>
    <row r="9827" spans="5:18" s="65" customFormat="1">
      <c r="E9827" s="130"/>
      <c r="P9827" s="99"/>
      <c r="Q9827" s="99"/>
      <c r="R9827" s="99"/>
    </row>
    <row r="9828" spans="5:18" s="65" customFormat="1">
      <c r="E9828" s="130"/>
      <c r="P9828" s="99"/>
      <c r="Q9828" s="99"/>
      <c r="R9828" s="99"/>
    </row>
    <row r="9829" spans="5:18" s="65" customFormat="1">
      <c r="E9829" s="130"/>
      <c r="P9829" s="99"/>
      <c r="Q9829" s="99"/>
      <c r="R9829" s="99"/>
    </row>
    <row r="9830" spans="5:18" s="65" customFormat="1">
      <c r="E9830" s="130"/>
      <c r="P9830" s="99"/>
      <c r="Q9830" s="99"/>
      <c r="R9830" s="99"/>
    </row>
    <row r="9831" spans="5:18" s="65" customFormat="1">
      <c r="E9831" s="130"/>
      <c r="P9831" s="99"/>
      <c r="Q9831" s="99"/>
      <c r="R9831" s="99"/>
    </row>
    <row r="9832" spans="5:18" s="65" customFormat="1">
      <c r="E9832" s="130"/>
      <c r="P9832" s="99"/>
      <c r="Q9832" s="99"/>
      <c r="R9832" s="99"/>
    </row>
    <row r="9833" spans="5:18" s="65" customFormat="1">
      <c r="E9833" s="130"/>
      <c r="P9833" s="99"/>
      <c r="Q9833" s="99"/>
      <c r="R9833" s="99"/>
    </row>
    <row r="9834" spans="5:18" s="65" customFormat="1">
      <c r="E9834" s="130"/>
      <c r="P9834" s="99"/>
      <c r="Q9834" s="99"/>
      <c r="R9834" s="99"/>
    </row>
    <row r="9835" spans="5:18" s="65" customFormat="1">
      <c r="E9835" s="130"/>
      <c r="P9835" s="99"/>
      <c r="Q9835" s="99"/>
      <c r="R9835" s="99"/>
    </row>
    <row r="9836" spans="5:18" s="65" customFormat="1">
      <c r="E9836" s="130"/>
      <c r="P9836" s="99"/>
      <c r="Q9836" s="99"/>
      <c r="R9836" s="99"/>
    </row>
    <row r="9837" spans="5:18" s="65" customFormat="1">
      <c r="E9837" s="130"/>
      <c r="P9837" s="99"/>
      <c r="Q9837" s="99"/>
      <c r="R9837" s="99"/>
    </row>
    <row r="9838" spans="5:18" s="65" customFormat="1">
      <c r="E9838" s="130"/>
      <c r="P9838" s="99"/>
      <c r="Q9838" s="99"/>
      <c r="R9838" s="99"/>
    </row>
    <row r="9839" spans="5:18" s="65" customFormat="1">
      <c r="E9839" s="130"/>
      <c r="P9839" s="99"/>
      <c r="Q9839" s="99"/>
      <c r="R9839" s="99"/>
    </row>
    <row r="9840" spans="5:18" s="65" customFormat="1">
      <c r="E9840" s="130"/>
      <c r="P9840" s="99"/>
      <c r="Q9840" s="99"/>
      <c r="R9840" s="99"/>
    </row>
    <row r="9841" spans="5:18" s="65" customFormat="1">
      <c r="E9841" s="130"/>
      <c r="P9841" s="99"/>
      <c r="Q9841" s="99"/>
      <c r="R9841" s="99"/>
    </row>
    <row r="9842" spans="5:18" s="65" customFormat="1">
      <c r="E9842" s="130"/>
      <c r="P9842" s="99"/>
      <c r="Q9842" s="99"/>
      <c r="R9842" s="99"/>
    </row>
    <row r="9843" spans="5:18" s="65" customFormat="1">
      <c r="E9843" s="130"/>
      <c r="P9843" s="99"/>
      <c r="Q9843" s="99"/>
      <c r="R9843" s="99"/>
    </row>
    <row r="9844" spans="5:18" s="65" customFormat="1">
      <c r="E9844" s="130"/>
      <c r="P9844" s="99"/>
      <c r="Q9844" s="99"/>
      <c r="R9844" s="99"/>
    </row>
    <row r="9845" spans="5:18" s="65" customFormat="1">
      <c r="E9845" s="130"/>
      <c r="P9845" s="99"/>
      <c r="Q9845" s="99"/>
      <c r="R9845" s="99"/>
    </row>
    <row r="9846" spans="5:18" s="65" customFormat="1">
      <c r="E9846" s="130"/>
      <c r="P9846" s="99"/>
      <c r="Q9846" s="99"/>
      <c r="R9846" s="99"/>
    </row>
    <row r="9847" spans="5:18" s="65" customFormat="1">
      <c r="E9847" s="130"/>
      <c r="P9847" s="99"/>
      <c r="Q9847" s="99"/>
      <c r="R9847" s="99"/>
    </row>
    <row r="9848" spans="5:18" s="65" customFormat="1">
      <c r="E9848" s="130"/>
      <c r="P9848" s="99"/>
      <c r="Q9848" s="99"/>
      <c r="R9848" s="99"/>
    </row>
    <row r="9849" spans="5:18" s="65" customFormat="1">
      <c r="E9849" s="130"/>
      <c r="P9849" s="99"/>
      <c r="Q9849" s="99"/>
      <c r="R9849" s="99"/>
    </row>
    <row r="9850" spans="5:18" s="65" customFormat="1">
      <c r="E9850" s="130"/>
      <c r="P9850" s="99"/>
      <c r="Q9850" s="99"/>
      <c r="R9850" s="99"/>
    </row>
    <row r="9851" spans="5:18" s="65" customFormat="1">
      <c r="E9851" s="130"/>
      <c r="P9851" s="99"/>
      <c r="Q9851" s="99"/>
      <c r="R9851" s="99"/>
    </row>
    <row r="9852" spans="5:18" s="65" customFormat="1">
      <c r="E9852" s="130"/>
      <c r="P9852" s="99"/>
      <c r="Q9852" s="99"/>
      <c r="R9852" s="99"/>
    </row>
    <row r="9853" spans="5:18" s="65" customFormat="1">
      <c r="E9853" s="130"/>
      <c r="P9853" s="99"/>
      <c r="Q9853" s="99"/>
      <c r="R9853" s="99"/>
    </row>
    <row r="9854" spans="5:18" s="65" customFormat="1">
      <c r="E9854" s="130"/>
      <c r="P9854" s="99"/>
      <c r="Q9854" s="99"/>
      <c r="R9854" s="99"/>
    </row>
    <row r="9855" spans="5:18" s="65" customFormat="1">
      <c r="E9855" s="130"/>
      <c r="P9855" s="99"/>
      <c r="Q9855" s="99"/>
      <c r="R9855" s="99"/>
    </row>
    <row r="9856" spans="5:18" s="65" customFormat="1">
      <c r="E9856" s="130"/>
      <c r="P9856" s="99"/>
      <c r="Q9856" s="99"/>
      <c r="R9856" s="99"/>
    </row>
    <row r="9857" spans="5:18" s="65" customFormat="1">
      <c r="E9857" s="130"/>
      <c r="P9857" s="99"/>
      <c r="Q9857" s="99"/>
      <c r="R9857" s="99"/>
    </row>
    <row r="9858" spans="5:18" s="65" customFormat="1">
      <c r="E9858" s="130"/>
      <c r="P9858" s="99"/>
      <c r="Q9858" s="99"/>
      <c r="R9858" s="99"/>
    </row>
    <row r="9859" spans="5:18" s="65" customFormat="1">
      <c r="E9859" s="130"/>
      <c r="P9859" s="99"/>
      <c r="Q9859" s="99"/>
      <c r="R9859" s="99"/>
    </row>
    <row r="9860" spans="5:18" s="65" customFormat="1">
      <c r="E9860" s="130"/>
      <c r="P9860" s="99"/>
      <c r="Q9860" s="99"/>
      <c r="R9860" s="99"/>
    </row>
    <row r="9861" spans="5:18" s="65" customFormat="1">
      <c r="E9861" s="130"/>
      <c r="P9861" s="99"/>
      <c r="Q9861" s="99"/>
      <c r="R9861" s="99"/>
    </row>
    <row r="9862" spans="5:18" s="65" customFormat="1">
      <c r="E9862" s="130"/>
      <c r="P9862" s="99"/>
      <c r="Q9862" s="99"/>
      <c r="R9862" s="99"/>
    </row>
    <row r="9863" spans="5:18" s="65" customFormat="1">
      <c r="E9863" s="130"/>
      <c r="P9863" s="99"/>
      <c r="Q9863" s="99"/>
      <c r="R9863" s="99"/>
    </row>
    <row r="9864" spans="5:18" s="65" customFormat="1">
      <c r="E9864" s="130"/>
      <c r="P9864" s="99"/>
      <c r="Q9864" s="99"/>
      <c r="R9864" s="99"/>
    </row>
    <row r="9865" spans="5:18" s="65" customFormat="1">
      <c r="E9865" s="130"/>
      <c r="P9865" s="99"/>
      <c r="Q9865" s="99"/>
      <c r="R9865" s="99"/>
    </row>
    <row r="9866" spans="5:18" s="65" customFormat="1">
      <c r="E9866" s="130"/>
      <c r="P9866" s="99"/>
      <c r="Q9866" s="99"/>
      <c r="R9866" s="99"/>
    </row>
    <row r="9867" spans="5:18" s="65" customFormat="1">
      <c r="E9867" s="130"/>
      <c r="P9867" s="99"/>
      <c r="Q9867" s="99"/>
      <c r="R9867" s="99"/>
    </row>
    <row r="9868" spans="5:18" s="65" customFormat="1">
      <c r="E9868" s="130"/>
      <c r="P9868" s="99"/>
      <c r="Q9868" s="99"/>
      <c r="R9868" s="99"/>
    </row>
    <row r="9869" spans="5:18" s="65" customFormat="1">
      <c r="E9869" s="130"/>
      <c r="P9869" s="99"/>
      <c r="Q9869" s="99"/>
      <c r="R9869" s="99"/>
    </row>
    <row r="9870" spans="5:18" s="65" customFormat="1">
      <c r="E9870" s="130"/>
      <c r="P9870" s="99"/>
      <c r="Q9870" s="99"/>
      <c r="R9870" s="99"/>
    </row>
    <row r="9871" spans="5:18" s="65" customFormat="1">
      <c r="E9871" s="130"/>
      <c r="P9871" s="99"/>
      <c r="Q9871" s="99"/>
      <c r="R9871" s="99"/>
    </row>
    <row r="9872" spans="5:18" s="65" customFormat="1">
      <c r="E9872" s="130"/>
      <c r="P9872" s="99"/>
      <c r="Q9872" s="99"/>
      <c r="R9872" s="99"/>
    </row>
    <row r="9873" spans="5:18" s="65" customFormat="1">
      <c r="E9873" s="130"/>
      <c r="P9873" s="99"/>
      <c r="Q9873" s="99"/>
      <c r="R9873" s="99"/>
    </row>
    <row r="9874" spans="5:18" s="65" customFormat="1">
      <c r="E9874" s="130"/>
      <c r="P9874" s="99"/>
      <c r="Q9874" s="99"/>
      <c r="R9874" s="99"/>
    </row>
    <row r="9875" spans="5:18" s="65" customFormat="1">
      <c r="E9875" s="130"/>
      <c r="P9875" s="99"/>
      <c r="Q9875" s="99"/>
      <c r="R9875" s="99"/>
    </row>
    <row r="9876" spans="5:18" s="65" customFormat="1">
      <c r="E9876" s="130"/>
      <c r="P9876" s="99"/>
      <c r="Q9876" s="99"/>
      <c r="R9876" s="99"/>
    </row>
    <row r="9877" spans="5:18" s="65" customFormat="1">
      <c r="E9877" s="130"/>
      <c r="P9877" s="99"/>
      <c r="Q9877" s="99"/>
      <c r="R9877" s="99"/>
    </row>
    <row r="9878" spans="5:18" s="65" customFormat="1">
      <c r="E9878" s="130"/>
      <c r="P9878" s="99"/>
      <c r="Q9878" s="99"/>
      <c r="R9878" s="99"/>
    </row>
    <row r="9879" spans="5:18" s="65" customFormat="1">
      <c r="E9879" s="130"/>
      <c r="P9879" s="99"/>
      <c r="Q9879" s="99"/>
      <c r="R9879" s="99"/>
    </row>
    <row r="9880" spans="5:18" s="65" customFormat="1">
      <c r="E9880" s="130"/>
      <c r="P9880" s="99"/>
      <c r="Q9880" s="99"/>
      <c r="R9880" s="99"/>
    </row>
    <row r="9881" spans="5:18" s="65" customFormat="1">
      <c r="E9881" s="130"/>
      <c r="P9881" s="99"/>
      <c r="Q9881" s="99"/>
      <c r="R9881" s="99"/>
    </row>
    <row r="9882" spans="5:18" s="65" customFormat="1">
      <c r="E9882" s="130"/>
      <c r="P9882" s="99"/>
      <c r="Q9882" s="99"/>
      <c r="R9882" s="99"/>
    </row>
    <row r="9883" spans="5:18" s="65" customFormat="1">
      <c r="E9883" s="130"/>
      <c r="P9883" s="99"/>
      <c r="Q9883" s="99"/>
      <c r="R9883" s="99"/>
    </row>
    <row r="9884" spans="5:18" s="65" customFormat="1">
      <c r="E9884" s="130"/>
      <c r="P9884" s="99"/>
      <c r="Q9884" s="99"/>
      <c r="R9884" s="99"/>
    </row>
    <row r="9885" spans="5:18" s="65" customFormat="1">
      <c r="E9885" s="130"/>
      <c r="P9885" s="99"/>
      <c r="Q9885" s="99"/>
      <c r="R9885" s="99"/>
    </row>
    <row r="9886" spans="5:18" s="65" customFormat="1">
      <c r="E9886" s="130"/>
      <c r="P9886" s="99"/>
      <c r="Q9886" s="99"/>
      <c r="R9886" s="99"/>
    </row>
    <row r="9887" spans="5:18" s="65" customFormat="1">
      <c r="E9887" s="130"/>
      <c r="P9887" s="99"/>
      <c r="Q9887" s="99"/>
      <c r="R9887" s="99"/>
    </row>
    <row r="9888" spans="5:18" s="65" customFormat="1">
      <c r="E9888" s="130"/>
      <c r="P9888" s="99"/>
      <c r="Q9888" s="99"/>
      <c r="R9888" s="99"/>
    </row>
    <row r="9889" spans="5:18" s="65" customFormat="1">
      <c r="E9889" s="130"/>
      <c r="P9889" s="99"/>
      <c r="Q9889" s="99"/>
      <c r="R9889" s="99"/>
    </row>
    <row r="9890" spans="5:18" s="65" customFormat="1">
      <c r="E9890" s="130"/>
      <c r="P9890" s="99"/>
      <c r="Q9890" s="99"/>
      <c r="R9890" s="99"/>
    </row>
    <row r="9891" spans="5:18" s="65" customFormat="1">
      <c r="E9891" s="130"/>
      <c r="P9891" s="99"/>
      <c r="Q9891" s="99"/>
      <c r="R9891" s="99"/>
    </row>
    <row r="9892" spans="5:18" s="65" customFormat="1">
      <c r="E9892" s="130"/>
      <c r="P9892" s="99"/>
      <c r="Q9892" s="99"/>
      <c r="R9892" s="99"/>
    </row>
    <row r="9893" spans="5:18" s="65" customFormat="1">
      <c r="E9893" s="130"/>
      <c r="P9893" s="99"/>
      <c r="Q9893" s="99"/>
      <c r="R9893" s="99"/>
    </row>
    <row r="9894" spans="5:18" s="65" customFormat="1">
      <c r="E9894" s="130"/>
      <c r="P9894" s="99"/>
      <c r="Q9894" s="99"/>
      <c r="R9894" s="99"/>
    </row>
    <row r="9895" spans="5:18" s="65" customFormat="1">
      <c r="E9895" s="130"/>
      <c r="P9895" s="99"/>
      <c r="Q9895" s="99"/>
      <c r="R9895" s="99"/>
    </row>
    <row r="9896" spans="5:18" s="65" customFormat="1">
      <c r="E9896" s="130"/>
      <c r="P9896" s="99"/>
      <c r="Q9896" s="99"/>
      <c r="R9896" s="99"/>
    </row>
    <row r="9897" spans="5:18" s="65" customFormat="1">
      <c r="E9897" s="130"/>
      <c r="P9897" s="99"/>
      <c r="Q9897" s="99"/>
      <c r="R9897" s="99"/>
    </row>
    <row r="9898" spans="5:18" s="65" customFormat="1">
      <c r="E9898" s="130"/>
      <c r="P9898" s="99"/>
      <c r="Q9898" s="99"/>
      <c r="R9898" s="99"/>
    </row>
    <row r="9899" spans="5:18" s="65" customFormat="1">
      <c r="E9899" s="130"/>
      <c r="P9899" s="99"/>
      <c r="Q9899" s="99"/>
      <c r="R9899" s="99"/>
    </row>
    <row r="9900" spans="5:18" s="65" customFormat="1">
      <c r="E9900" s="130"/>
      <c r="P9900" s="99"/>
      <c r="Q9900" s="99"/>
      <c r="R9900" s="99"/>
    </row>
    <row r="9901" spans="5:18" s="65" customFormat="1">
      <c r="E9901" s="130"/>
      <c r="P9901" s="99"/>
      <c r="Q9901" s="99"/>
      <c r="R9901" s="99"/>
    </row>
    <row r="9902" spans="5:18" s="65" customFormat="1">
      <c r="E9902" s="130"/>
      <c r="P9902" s="99"/>
      <c r="Q9902" s="99"/>
      <c r="R9902" s="99"/>
    </row>
    <row r="9903" spans="5:18" s="65" customFormat="1">
      <c r="E9903" s="130"/>
      <c r="P9903" s="99"/>
      <c r="Q9903" s="99"/>
      <c r="R9903" s="99"/>
    </row>
    <row r="9904" spans="5:18" s="65" customFormat="1">
      <c r="E9904" s="130"/>
      <c r="P9904" s="99"/>
      <c r="Q9904" s="99"/>
      <c r="R9904" s="99"/>
    </row>
    <row r="9905" spans="5:18" s="65" customFormat="1">
      <c r="E9905" s="130"/>
      <c r="P9905" s="99"/>
      <c r="Q9905" s="99"/>
      <c r="R9905" s="99"/>
    </row>
    <row r="9906" spans="5:18" s="65" customFormat="1">
      <c r="E9906" s="130"/>
      <c r="P9906" s="99"/>
      <c r="Q9906" s="99"/>
      <c r="R9906" s="99"/>
    </row>
    <row r="9907" spans="5:18" s="65" customFormat="1">
      <c r="E9907" s="130"/>
      <c r="P9907" s="99"/>
      <c r="Q9907" s="99"/>
      <c r="R9907" s="99"/>
    </row>
    <row r="9908" spans="5:18" s="65" customFormat="1">
      <c r="E9908" s="130"/>
      <c r="P9908" s="99"/>
      <c r="Q9908" s="99"/>
      <c r="R9908" s="99"/>
    </row>
    <row r="9909" spans="5:18" s="65" customFormat="1">
      <c r="E9909" s="130"/>
      <c r="P9909" s="99"/>
      <c r="Q9909" s="99"/>
      <c r="R9909" s="99"/>
    </row>
    <row r="9910" spans="5:18" s="65" customFormat="1">
      <c r="E9910" s="130"/>
      <c r="P9910" s="99"/>
      <c r="Q9910" s="99"/>
      <c r="R9910" s="99"/>
    </row>
    <row r="9911" spans="5:18" s="65" customFormat="1">
      <c r="E9911" s="130"/>
      <c r="P9911" s="99"/>
      <c r="Q9911" s="99"/>
      <c r="R9911" s="99"/>
    </row>
    <row r="9912" spans="5:18" s="65" customFormat="1">
      <c r="E9912" s="130"/>
      <c r="P9912" s="99"/>
      <c r="Q9912" s="99"/>
      <c r="R9912" s="99"/>
    </row>
    <row r="9913" spans="5:18" s="65" customFormat="1">
      <c r="E9913" s="130"/>
      <c r="P9913" s="99"/>
      <c r="Q9913" s="99"/>
      <c r="R9913" s="99"/>
    </row>
    <row r="9914" spans="5:18" s="65" customFormat="1">
      <c r="E9914" s="130"/>
      <c r="P9914" s="99"/>
      <c r="Q9914" s="99"/>
      <c r="R9914" s="99"/>
    </row>
    <row r="9915" spans="5:18" s="65" customFormat="1">
      <c r="E9915" s="130"/>
      <c r="P9915" s="99"/>
      <c r="Q9915" s="99"/>
      <c r="R9915" s="99"/>
    </row>
    <row r="9916" spans="5:18" s="65" customFormat="1">
      <c r="E9916" s="130"/>
      <c r="P9916" s="99"/>
      <c r="Q9916" s="99"/>
      <c r="R9916" s="99"/>
    </row>
    <row r="9917" spans="5:18" s="65" customFormat="1">
      <c r="E9917" s="130"/>
      <c r="P9917" s="99"/>
      <c r="Q9917" s="99"/>
      <c r="R9917" s="99"/>
    </row>
    <row r="9918" spans="5:18" s="65" customFormat="1">
      <c r="E9918" s="130"/>
      <c r="P9918" s="99"/>
      <c r="Q9918" s="99"/>
      <c r="R9918" s="99"/>
    </row>
    <row r="9919" spans="5:18" s="65" customFormat="1">
      <c r="E9919" s="130"/>
      <c r="P9919" s="99"/>
      <c r="Q9919" s="99"/>
      <c r="R9919" s="99"/>
    </row>
    <row r="9920" spans="5:18" s="65" customFormat="1">
      <c r="E9920" s="130"/>
      <c r="P9920" s="99"/>
      <c r="Q9920" s="99"/>
      <c r="R9920" s="99"/>
    </row>
    <row r="9921" spans="5:18" s="65" customFormat="1">
      <c r="E9921" s="130"/>
      <c r="P9921" s="99"/>
      <c r="Q9921" s="99"/>
      <c r="R9921" s="99"/>
    </row>
    <row r="9922" spans="5:18" s="65" customFormat="1">
      <c r="E9922" s="130"/>
      <c r="P9922" s="99"/>
      <c r="Q9922" s="99"/>
      <c r="R9922" s="99"/>
    </row>
    <row r="9923" spans="5:18" s="65" customFormat="1">
      <c r="E9923" s="130"/>
      <c r="P9923" s="99"/>
      <c r="Q9923" s="99"/>
      <c r="R9923" s="99"/>
    </row>
    <row r="9924" spans="5:18" s="65" customFormat="1">
      <c r="E9924" s="130"/>
      <c r="P9924" s="99"/>
      <c r="Q9924" s="99"/>
      <c r="R9924" s="99"/>
    </row>
    <row r="9925" spans="5:18" s="65" customFormat="1">
      <c r="E9925" s="130"/>
      <c r="P9925" s="99"/>
      <c r="Q9925" s="99"/>
      <c r="R9925" s="99"/>
    </row>
    <row r="9926" spans="5:18" s="65" customFormat="1">
      <c r="E9926" s="130"/>
      <c r="P9926" s="99"/>
      <c r="Q9926" s="99"/>
      <c r="R9926" s="99"/>
    </row>
    <row r="9927" spans="5:18" s="65" customFormat="1">
      <c r="E9927" s="130"/>
      <c r="P9927" s="99"/>
      <c r="Q9927" s="99"/>
      <c r="R9927" s="99"/>
    </row>
    <row r="9928" spans="5:18" s="65" customFormat="1">
      <c r="E9928" s="130"/>
      <c r="P9928" s="99"/>
      <c r="Q9928" s="99"/>
      <c r="R9928" s="99"/>
    </row>
    <row r="9929" spans="5:18" s="65" customFormat="1">
      <c r="E9929" s="130"/>
      <c r="P9929" s="99"/>
      <c r="Q9929" s="99"/>
      <c r="R9929" s="99"/>
    </row>
    <row r="9930" spans="5:18" s="65" customFormat="1">
      <c r="E9930" s="130"/>
      <c r="P9930" s="99"/>
      <c r="Q9930" s="99"/>
      <c r="R9930" s="99"/>
    </row>
    <row r="9931" spans="5:18" s="65" customFormat="1">
      <c r="E9931" s="130"/>
      <c r="P9931" s="99"/>
      <c r="Q9931" s="99"/>
      <c r="R9931" s="99"/>
    </row>
    <row r="9932" spans="5:18" s="65" customFormat="1">
      <c r="E9932" s="130"/>
      <c r="P9932" s="99"/>
      <c r="Q9932" s="99"/>
      <c r="R9932" s="99"/>
    </row>
    <row r="9933" spans="5:18" s="65" customFormat="1">
      <c r="E9933" s="130"/>
      <c r="P9933" s="99"/>
      <c r="Q9933" s="99"/>
      <c r="R9933" s="99"/>
    </row>
    <row r="9934" spans="5:18" s="65" customFormat="1">
      <c r="E9934" s="130"/>
      <c r="P9934" s="99"/>
      <c r="Q9934" s="99"/>
      <c r="R9934" s="99"/>
    </row>
    <row r="9935" spans="5:18" s="65" customFormat="1">
      <c r="E9935" s="130"/>
      <c r="P9935" s="99"/>
      <c r="Q9935" s="99"/>
      <c r="R9935" s="99"/>
    </row>
    <row r="9936" spans="5:18" s="65" customFormat="1">
      <c r="E9936" s="130"/>
      <c r="P9936" s="99"/>
      <c r="Q9936" s="99"/>
      <c r="R9936" s="99"/>
    </row>
    <row r="9937" spans="5:18" s="65" customFormat="1">
      <c r="E9937" s="130"/>
      <c r="P9937" s="99"/>
      <c r="Q9937" s="99"/>
      <c r="R9937" s="99"/>
    </row>
    <row r="9938" spans="5:18" s="65" customFormat="1">
      <c r="E9938" s="130"/>
      <c r="P9938" s="99"/>
      <c r="Q9938" s="99"/>
      <c r="R9938" s="99"/>
    </row>
    <row r="9939" spans="5:18" s="65" customFormat="1">
      <c r="E9939" s="130"/>
      <c r="P9939" s="99"/>
      <c r="Q9939" s="99"/>
      <c r="R9939" s="99"/>
    </row>
    <row r="9940" spans="5:18" s="65" customFormat="1">
      <c r="E9940" s="130"/>
      <c r="P9940" s="99"/>
      <c r="Q9940" s="99"/>
      <c r="R9940" s="99"/>
    </row>
    <row r="9941" spans="5:18" s="65" customFormat="1">
      <c r="E9941" s="130"/>
      <c r="P9941" s="99"/>
      <c r="Q9941" s="99"/>
      <c r="R9941" s="99"/>
    </row>
    <row r="9942" spans="5:18" s="65" customFormat="1">
      <c r="E9942" s="130"/>
      <c r="P9942" s="99"/>
      <c r="Q9942" s="99"/>
      <c r="R9942" s="99"/>
    </row>
    <row r="9943" spans="5:18" s="65" customFormat="1">
      <c r="E9943" s="130"/>
      <c r="P9943" s="99"/>
      <c r="Q9943" s="99"/>
      <c r="R9943" s="99"/>
    </row>
    <row r="9944" spans="5:18" s="65" customFormat="1">
      <c r="E9944" s="130"/>
      <c r="P9944" s="99"/>
      <c r="Q9944" s="99"/>
      <c r="R9944" s="99"/>
    </row>
    <row r="9945" spans="5:18" s="65" customFormat="1">
      <c r="E9945" s="130"/>
      <c r="P9945" s="99"/>
      <c r="Q9945" s="99"/>
      <c r="R9945" s="99"/>
    </row>
    <row r="9946" spans="5:18" s="65" customFormat="1">
      <c r="E9946" s="130"/>
      <c r="P9946" s="99"/>
      <c r="Q9946" s="99"/>
      <c r="R9946" s="99"/>
    </row>
    <row r="9947" spans="5:18" s="65" customFormat="1">
      <c r="E9947" s="130"/>
      <c r="P9947" s="99"/>
      <c r="Q9947" s="99"/>
      <c r="R9947" s="99"/>
    </row>
    <row r="9948" spans="5:18" s="65" customFormat="1">
      <c r="E9948" s="130"/>
      <c r="P9948" s="99"/>
      <c r="Q9948" s="99"/>
      <c r="R9948" s="99"/>
    </row>
    <row r="9949" spans="5:18" s="65" customFormat="1">
      <c r="E9949" s="130"/>
      <c r="P9949" s="99"/>
      <c r="Q9949" s="99"/>
      <c r="R9949" s="99"/>
    </row>
    <row r="9950" spans="5:18" s="65" customFormat="1">
      <c r="E9950" s="130"/>
      <c r="P9950" s="99"/>
      <c r="Q9950" s="99"/>
      <c r="R9950" s="99"/>
    </row>
    <row r="9951" spans="5:18" s="65" customFormat="1">
      <c r="E9951" s="130"/>
      <c r="P9951" s="99"/>
      <c r="Q9951" s="99"/>
      <c r="R9951" s="99"/>
    </row>
    <row r="9952" spans="5:18" s="65" customFormat="1">
      <c r="E9952" s="130"/>
      <c r="P9952" s="99"/>
      <c r="Q9952" s="99"/>
      <c r="R9952" s="99"/>
    </row>
    <row r="9953" spans="5:18" s="65" customFormat="1">
      <c r="E9953" s="130"/>
      <c r="P9953" s="99"/>
      <c r="Q9953" s="99"/>
      <c r="R9953" s="99"/>
    </row>
    <row r="9954" spans="5:18" s="65" customFormat="1">
      <c r="E9954" s="130"/>
      <c r="P9954" s="99"/>
      <c r="Q9954" s="99"/>
      <c r="R9954" s="99"/>
    </row>
    <row r="9955" spans="5:18" s="65" customFormat="1">
      <c r="E9955" s="130"/>
      <c r="P9955" s="99"/>
      <c r="Q9955" s="99"/>
      <c r="R9955" s="99"/>
    </row>
    <row r="9956" spans="5:18" s="65" customFormat="1">
      <c r="E9956" s="130"/>
      <c r="P9956" s="99"/>
      <c r="Q9956" s="99"/>
      <c r="R9956" s="99"/>
    </row>
    <row r="9957" spans="5:18" s="65" customFormat="1">
      <c r="E9957" s="130"/>
      <c r="P9957" s="99"/>
      <c r="Q9957" s="99"/>
      <c r="R9957" s="99"/>
    </row>
    <row r="9958" spans="5:18" s="65" customFormat="1">
      <c r="E9958" s="130"/>
      <c r="P9958" s="99"/>
      <c r="Q9958" s="99"/>
      <c r="R9958" s="99"/>
    </row>
    <row r="9959" spans="5:18" s="65" customFormat="1">
      <c r="E9959" s="130"/>
      <c r="P9959" s="99"/>
      <c r="Q9959" s="99"/>
      <c r="R9959" s="99"/>
    </row>
    <row r="9960" spans="5:18" s="65" customFormat="1">
      <c r="E9960" s="130"/>
      <c r="P9960" s="99"/>
      <c r="Q9960" s="99"/>
      <c r="R9960" s="99"/>
    </row>
    <row r="9961" spans="5:18" s="65" customFormat="1">
      <c r="E9961" s="130"/>
      <c r="P9961" s="99"/>
      <c r="Q9961" s="99"/>
      <c r="R9961" s="99"/>
    </row>
    <row r="9962" spans="5:18" s="65" customFormat="1">
      <c r="E9962" s="130"/>
      <c r="P9962" s="99"/>
      <c r="Q9962" s="99"/>
      <c r="R9962" s="99"/>
    </row>
    <row r="9963" spans="5:18" s="65" customFormat="1">
      <c r="E9963" s="130"/>
      <c r="P9963" s="99"/>
      <c r="Q9963" s="99"/>
      <c r="R9963" s="99"/>
    </row>
    <row r="9964" spans="5:18" s="65" customFormat="1">
      <c r="E9964" s="130"/>
      <c r="P9964" s="99"/>
      <c r="Q9964" s="99"/>
      <c r="R9964" s="99"/>
    </row>
    <row r="9965" spans="5:18" s="65" customFormat="1">
      <c r="E9965" s="130"/>
      <c r="P9965" s="99"/>
      <c r="Q9965" s="99"/>
      <c r="R9965" s="99"/>
    </row>
    <row r="9966" spans="5:18" s="65" customFormat="1">
      <c r="E9966" s="130"/>
      <c r="P9966" s="99"/>
      <c r="Q9966" s="99"/>
      <c r="R9966" s="99"/>
    </row>
    <row r="9967" spans="5:18" s="65" customFormat="1">
      <c r="E9967" s="130"/>
      <c r="P9967" s="99"/>
      <c r="Q9967" s="99"/>
      <c r="R9967" s="99"/>
    </row>
    <row r="9968" spans="5:18" s="65" customFormat="1">
      <c r="E9968" s="130"/>
      <c r="P9968" s="99"/>
      <c r="Q9968" s="99"/>
      <c r="R9968" s="99"/>
    </row>
    <row r="9969" spans="5:18" s="65" customFormat="1">
      <c r="E9969" s="130"/>
      <c r="P9969" s="99"/>
      <c r="Q9969" s="99"/>
      <c r="R9969" s="99"/>
    </row>
    <row r="9970" spans="5:18" s="65" customFormat="1">
      <c r="E9970" s="130"/>
      <c r="P9970" s="99"/>
      <c r="Q9970" s="99"/>
      <c r="R9970" s="99"/>
    </row>
    <row r="9971" spans="5:18" s="65" customFormat="1">
      <c r="E9971" s="130"/>
      <c r="P9971" s="99"/>
      <c r="Q9971" s="99"/>
      <c r="R9971" s="99"/>
    </row>
    <row r="9972" spans="5:18" s="65" customFormat="1">
      <c r="E9972" s="130"/>
      <c r="P9972" s="99"/>
      <c r="Q9972" s="99"/>
      <c r="R9972" s="99"/>
    </row>
    <row r="9973" spans="5:18" s="65" customFormat="1">
      <c r="E9973" s="130"/>
      <c r="P9973" s="99"/>
      <c r="Q9973" s="99"/>
      <c r="R9973" s="99"/>
    </row>
    <row r="9974" spans="5:18" s="65" customFormat="1">
      <c r="E9974" s="130"/>
      <c r="P9974" s="99"/>
      <c r="Q9974" s="99"/>
      <c r="R9974" s="99"/>
    </row>
    <row r="9975" spans="5:18" s="65" customFormat="1">
      <c r="E9975" s="130"/>
      <c r="P9975" s="99"/>
      <c r="Q9975" s="99"/>
      <c r="R9975" s="99"/>
    </row>
    <row r="9976" spans="5:18" s="65" customFormat="1">
      <c r="E9976" s="130"/>
      <c r="P9976" s="99"/>
      <c r="Q9976" s="99"/>
      <c r="R9976" s="99"/>
    </row>
    <row r="9977" spans="5:18" s="65" customFormat="1">
      <c r="E9977" s="130"/>
      <c r="P9977" s="99"/>
      <c r="Q9977" s="99"/>
      <c r="R9977" s="99"/>
    </row>
    <row r="9978" spans="5:18" s="65" customFormat="1">
      <c r="E9978" s="130"/>
      <c r="P9978" s="99"/>
      <c r="Q9978" s="99"/>
      <c r="R9978" s="99"/>
    </row>
    <row r="9979" spans="5:18" s="65" customFormat="1">
      <c r="E9979" s="130"/>
      <c r="P9979" s="99"/>
      <c r="Q9979" s="99"/>
      <c r="R9979" s="99"/>
    </row>
    <row r="9980" spans="5:18" s="65" customFormat="1">
      <c r="E9980" s="130"/>
      <c r="P9980" s="99"/>
      <c r="Q9980" s="99"/>
      <c r="R9980" s="99"/>
    </row>
    <row r="9981" spans="5:18" s="65" customFormat="1">
      <c r="E9981" s="130"/>
      <c r="P9981" s="99"/>
      <c r="Q9981" s="99"/>
      <c r="R9981" s="99"/>
    </row>
    <row r="9982" spans="5:18" s="65" customFormat="1">
      <c r="E9982" s="130"/>
      <c r="P9982" s="99"/>
      <c r="Q9982" s="99"/>
      <c r="R9982" s="99"/>
    </row>
    <row r="9983" spans="5:18" s="65" customFormat="1">
      <c r="E9983" s="130"/>
      <c r="P9983" s="99"/>
      <c r="Q9983" s="99"/>
      <c r="R9983" s="99"/>
    </row>
    <row r="9984" spans="5:18" s="65" customFormat="1">
      <c r="E9984" s="130"/>
      <c r="P9984" s="99"/>
      <c r="Q9984" s="99"/>
      <c r="R9984" s="99"/>
    </row>
    <row r="9985" spans="5:18" s="65" customFormat="1">
      <c r="E9985" s="130"/>
      <c r="P9985" s="99"/>
      <c r="Q9985" s="99"/>
      <c r="R9985" s="99"/>
    </row>
    <row r="9986" spans="5:18" s="65" customFormat="1">
      <c r="E9986" s="130"/>
      <c r="P9986" s="99"/>
      <c r="Q9986" s="99"/>
      <c r="R9986" s="99"/>
    </row>
    <row r="9987" spans="5:18" s="65" customFormat="1">
      <c r="E9987" s="130"/>
      <c r="P9987" s="99"/>
      <c r="Q9987" s="99"/>
      <c r="R9987" s="99"/>
    </row>
    <row r="9988" spans="5:18" s="65" customFormat="1">
      <c r="E9988" s="130"/>
      <c r="P9988" s="99"/>
      <c r="Q9988" s="99"/>
      <c r="R9988" s="99"/>
    </row>
    <row r="9989" spans="5:18" s="65" customFormat="1">
      <c r="E9989" s="130"/>
      <c r="P9989" s="99"/>
      <c r="Q9989" s="99"/>
      <c r="R9989" s="99"/>
    </row>
    <row r="9990" spans="5:18" s="65" customFormat="1">
      <c r="E9990" s="130"/>
      <c r="P9990" s="99"/>
      <c r="Q9990" s="99"/>
      <c r="R9990" s="99"/>
    </row>
    <row r="9991" spans="5:18" s="65" customFormat="1">
      <c r="E9991" s="130"/>
      <c r="P9991" s="99"/>
      <c r="Q9991" s="99"/>
      <c r="R9991" s="99"/>
    </row>
    <row r="9992" spans="5:18" s="65" customFormat="1">
      <c r="E9992" s="130"/>
      <c r="P9992" s="99"/>
      <c r="Q9992" s="99"/>
      <c r="R9992" s="99"/>
    </row>
    <row r="9993" spans="5:18" s="65" customFormat="1">
      <c r="E9993" s="130"/>
      <c r="P9993" s="99"/>
      <c r="Q9993" s="99"/>
      <c r="R9993" s="99"/>
    </row>
    <row r="9994" spans="5:18" s="65" customFormat="1">
      <c r="E9994" s="130"/>
      <c r="P9994" s="99"/>
      <c r="Q9994" s="99"/>
      <c r="R9994" s="99"/>
    </row>
    <row r="9995" spans="5:18" s="65" customFormat="1">
      <c r="E9995" s="130"/>
      <c r="P9995" s="99"/>
      <c r="Q9995" s="99"/>
      <c r="R9995" s="99"/>
    </row>
    <row r="9996" spans="5:18" s="65" customFormat="1">
      <c r="E9996" s="130"/>
      <c r="P9996" s="99"/>
      <c r="Q9996" s="99"/>
      <c r="R9996" s="99"/>
    </row>
    <row r="9997" spans="5:18" s="65" customFormat="1">
      <c r="E9997" s="130"/>
      <c r="P9997" s="99"/>
      <c r="Q9997" s="99"/>
      <c r="R9997" s="99"/>
    </row>
    <row r="9998" spans="5:18" s="65" customFormat="1">
      <c r="E9998" s="130"/>
      <c r="P9998" s="99"/>
      <c r="Q9998" s="99"/>
      <c r="R9998" s="99"/>
    </row>
    <row r="9999" spans="5:18" s="65" customFormat="1">
      <c r="E9999" s="130"/>
      <c r="P9999" s="99"/>
      <c r="Q9999" s="99"/>
      <c r="R9999" s="99"/>
    </row>
    <row r="10000" spans="5:18" s="65" customFormat="1">
      <c r="E10000" s="130"/>
      <c r="P10000" s="99"/>
      <c r="Q10000" s="99"/>
      <c r="R10000" s="99"/>
    </row>
    <row r="10001" spans="5:18" s="65" customFormat="1">
      <c r="E10001" s="130"/>
      <c r="P10001" s="99"/>
      <c r="Q10001" s="99"/>
      <c r="R10001" s="99"/>
    </row>
    <row r="10002" spans="5:18" s="65" customFormat="1">
      <c r="E10002" s="130"/>
      <c r="P10002" s="99"/>
      <c r="Q10002" s="99"/>
      <c r="R10002" s="99"/>
    </row>
    <row r="10003" spans="5:18" s="65" customFormat="1">
      <c r="E10003" s="130"/>
      <c r="P10003" s="99"/>
      <c r="Q10003" s="99"/>
      <c r="R10003" s="99"/>
    </row>
    <row r="10004" spans="5:18" s="65" customFormat="1">
      <c r="E10004" s="130"/>
      <c r="P10004" s="99"/>
      <c r="Q10004" s="99"/>
      <c r="R10004" s="99"/>
    </row>
    <row r="10005" spans="5:18" s="65" customFormat="1">
      <c r="E10005" s="130"/>
      <c r="P10005" s="99"/>
      <c r="Q10005" s="99"/>
      <c r="R10005" s="99"/>
    </row>
    <row r="10006" spans="5:18" s="65" customFormat="1">
      <c r="E10006" s="130"/>
      <c r="P10006" s="99"/>
      <c r="Q10006" s="99"/>
      <c r="R10006" s="99"/>
    </row>
    <row r="10007" spans="5:18" s="65" customFormat="1">
      <c r="E10007" s="130"/>
      <c r="P10007" s="99"/>
      <c r="Q10007" s="99"/>
      <c r="R10007" s="99"/>
    </row>
    <row r="10008" spans="5:18" s="65" customFormat="1">
      <c r="E10008" s="130"/>
      <c r="P10008" s="99"/>
      <c r="Q10008" s="99"/>
      <c r="R10008" s="99"/>
    </row>
    <row r="10009" spans="5:18" s="65" customFormat="1">
      <c r="E10009" s="130"/>
      <c r="P10009" s="99"/>
      <c r="Q10009" s="99"/>
      <c r="R10009" s="99"/>
    </row>
    <row r="10010" spans="5:18" s="65" customFormat="1">
      <c r="E10010" s="130"/>
      <c r="P10010" s="99"/>
      <c r="Q10010" s="99"/>
      <c r="R10010" s="99"/>
    </row>
    <row r="10011" spans="5:18" s="65" customFormat="1">
      <c r="E10011" s="130"/>
      <c r="P10011" s="99"/>
      <c r="Q10011" s="99"/>
      <c r="R10011" s="99"/>
    </row>
    <row r="10012" spans="5:18" s="65" customFormat="1">
      <c r="E10012" s="130"/>
      <c r="P10012" s="99"/>
      <c r="Q10012" s="99"/>
      <c r="R10012" s="99"/>
    </row>
    <row r="10013" spans="5:18" s="65" customFormat="1">
      <c r="E10013" s="130"/>
      <c r="P10013" s="99"/>
      <c r="Q10013" s="99"/>
      <c r="R10013" s="99"/>
    </row>
    <row r="10014" spans="5:18" s="65" customFormat="1">
      <c r="E10014" s="130"/>
      <c r="P10014" s="99"/>
      <c r="Q10014" s="99"/>
      <c r="R10014" s="99"/>
    </row>
    <row r="10015" spans="5:18" s="65" customFormat="1">
      <c r="E10015" s="130"/>
      <c r="P10015" s="99"/>
      <c r="Q10015" s="99"/>
      <c r="R10015" s="99"/>
    </row>
    <row r="10016" spans="5:18" s="65" customFormat="1">
      <c r="E10016" s="130"/>
      <c r="P10016" s="99"/>
      <c r="Q10016" s="99"/>
      <c r="R10016" s="99"/>
    </row>
    <row r="10017" spans="5:18" s="65" customFormat="1">
      <c r="E10017" s="130"/>
      <c r="P10017" s="99"/>
      <c r="Q10017" s="99"/>
      <c r="R10017" s="99"/>
    </row>
    <row r="10018" spans="5:18" s="65" customFormat="1">
      <c r="E10018" s="130"/>
      <c r="P10018" s="99"/>
      <c r="Q10018" s="99"/>
      <c r="R10018" s="99"/>
    </row>
    <row r="10019" spans="5:18" s="65" customFormat="1">
      <c r="E10019" s="130"/>
      <c r="P10019" s="99"/>
      <c r="Q10019" s="99"/>
      <c r="R10019" s="99"/>
    </row>
    <row r="10020" spans="5:18" s="65" customFormat="1">
      <c r="E10020" s="130"/>
      <c r="P10020" s="99"/>
      <c r="Q10020" s="99"/>
      <c r="R10020" s="99"/>
    </row>
    <row r="10021" spans="5:18" s="65" customFormat="1">
      <c r="E10021" s="130"/>
      <c r="P10021" s="99"/>
      <c r="Q10021" s="99"/>
      <c r="R10021" s="99"/>
    </row>
    <row r="10022" spans="5:18" s="65" customFormat="1">
      <c r="E10022" s="130"/>
      <c r="P10022" s="99"/>
      <c r="Q10022" s="99"/>
      <c r="R10022" s="99"/>
    </row>
    <row r="10023" spans="5:18" s="65" customFormat="1">
      <c r="E10023" s="130"/>
      <c r="P10023" s="99"/>
      <c r="Q10023" s="99"/>
      <c r="R10023" s="99"/>
    </row>
    <row r="10024" spans="5:18" s="65" customFormat="1">
      <c r="E10024" s="130"/>
      <c r="P10024" s="99"/>
      <c r="Q10024" s="99"/>
      <c r="R10024" s="99"/>
    </row>
    <row r="10025" spans="5:18" s="65" customFormat="1">
      <c r="E10025" s="130"/>
      <c r="P10025" s="99"/>
      <c r="Q10025" s="99"/>
      <c r="R10025" s="99"/>
    </row>
    <row r="10026" spans="5:18" s="65" customFormat="1">
      <c r="E10026" s="130"/>
      <c r="P10026" s="99"/>
      <c r="Q10026" s="99"/>
      <c r="R10026" s="99"/>
    </row>
    <row r="10027" spans="5:18" s="65" customFormat="1">
      <c r="E10027" s="130"/>
      <c r="P10027" s="99"/>
      <c r="Q10027" s="99"/>
      <c r="R10027" s="99"/>
    </row>
    <row r="10028" spans="5:18" s="65" customFormat="1">
      <c r="E10028" s="130"/>
      <c r="P10028" s="99"/>
      <c r="Q10028" s="99"/>
      <c r="R10028" s="99"/>
    </row>
    <row r="10029" spans="5:18" s="65" customFormat="1">
      <c r="E10029" s="130"/>
      <c r="P10029" s="99"/>
      <c r="Q10029" s="99"/>
      <c r="R10029" s="99"/>
    </row>
    <row r="10030" spans="5:18" s="65" customFormat="1">
      <c r="E10030" s="130"/>
      <c r="P10030" s="99"/>
      <c r="Q10030" s="99"/>
      <c r="R10030" s="99"/>
    </row>
    <row r="10031" spans="5:18" s="65" customFormat="1">
      <c r="E10031" s="130"/>
      <c r="P10031" s="99"/>
      <c r="Q10031" s="99"/>
      <c r="R10031" s="99"/>
    </row>
    <row r="10032" spans="5:18" s="65" customFormat="1">
      <c r="E10032" s="130"/>
      <c r="P10032" s="99"/>
      <c r="Q10032" s="99"/>
      <c r="R10032" s="99"/>
    </row>
    <row r="10033" spans="5:18" s="65" customFormat="1">
      <c r="E10033" s="130"/>
      <c r="P10033" s="99"/>
      <c r="Q10033" s="99"/>
      <c r="R10033" s="99"/>
    </row>
    <row r="10034" spans="5:18" s="65" customFormat="1">
      <c r="E10034" s="130"/>
      <c r="P10034" s="99"/>
      <c r="Q10034" s="99"/>
      <c r="R10034" s="99"/>
    </row>
    <row r="10035" spans="5:18" s="65" customFormat="1">
      <c r="E10035" s="130"/>
      <c r="P10035" s="99"/>
      <c r="Q10035" s="99"/>
      <c r="R10035" s="99"/>
    </row>
    <row r="10036" spans="5:18" s="65" customFormat="1">
      <c r="E10036" s="130"/>
      <c r="P10036" s="99"/>
      <c r="Q10036" s="99"/>
      <c r="R10036" s="99"/>
    </row>
    <row r="10037" spans="5:18" s="65" customFormat="1">
      <c r="E10037" s="130"/>
      <c r="P10037" s="99"/>
      <c r="Q10037" s="99"/>
      <c r="R10037" s="99"/>
    </row>
    <row r="10038" spans="5:18" s="65" customFormat="1">
      <c r="E10038" s="130"/>
      <c r="P10038" s="99"/>
      <c r="Q10038" s="99"/>
      <c r="R10038" s="99"/>
    </row>
    <row r="10039" spans="5:18" s="65" customFormat="1">
      <c r="E10039" s="130"/>
      <c r="P10039" s="99"/>
      <c r="Q10039" s="99"/>
      <c r="R10039" s="99"/>
    </row>
    <row r="10040" spans="5:18" s="65" customFormat="1">
      <c r="E10040" s="130"/>
      <c r="P10040" s="99"/>
      <c r="Q10040" s="99"/>
      <c r="R10040" s="99"/>
    </row>
    <row r="10041" spans="5:18" s="65" customFormat="1">
      <c r="E10041" s="130"/>
      <c r="P10041" s="99"/>
      <c r="Q10041" s="99"/>
      <c r="R10041" s="99"/>
    </row>
    <row r="10042" spans="5:18" s="65" customFormat="1">
      <c r="E10042" s="130"/>
      <c r="P10042" s="99"/>
      <c r="Q10042" s="99"/>
      <c r="R10042" s="99"/>
    </row>
    <row r="10043" spans="5:18" s="65" customFormat="1">
      <c r="E10043" s="130"/>
      <c r="P10043" s="99"/>
      <c r="Q10043" s="99"/>
      <c r="R10043" s="99"/>
    </row>
    <row r="10044" spans="5:18" s="65" customFormat="1">
      <c r="E10044" s="130"/>
      <c r="P10044" s="99"/>
      <c r="Q10044" s="99"/>
      <c r="R10044" s="99"/>
    </row>
    <row r="10045" spans="5:18" s="65" customFormat="1">
      <c r="E10045" s="130"/>
      <c r="P10045" s="99"/>
      <c r="Q10045" s="99"/>
      <c r="R10045" s="99"/>
    </row>
    <row r="10046" spans="5:18" s="65" customFormat="1">
      <c r="E10046" s="130"/>
      <c r="P10046" s="99"/>
      <c r="Q10046" s="99"/>
      <c r="R10046" s="99"/>
    </row>
    <row r="10047" spans="5:18" s="65" customFormat="1">
      <c r="E10047" s="130"/>
      <c r="P10047" s="99"/>
      <c r="Q10047" s="99"/>
      <c r="R10047" s="99"/>
    </row>
    <row r="10048" spans="5:18" s="65" customFormat="1">
      <c r="E10048" s="130"/>
      <c r="P10048" s="99"/>
      <c r="Q10048" s="99"/>
      <c r="R10048" s="99"/>
    </row>
    <row r="10049" spans="5:18" s="65" customFormat="1">
      <c r="E10049" s="130"/>
      <c r="P10049" s="99"/>
      <c r="Q10049" s="99"/>
      <c r="R10049" s="99"/>
    </row>
    <row r="10050" spans="5:18" s="65" customFormat="1">
      <c r="E10050" s="130"/>
      <c r="P10050" s="99"/>
      <c r="Q10050" s="99"/>
      <c r="R10050" s="99"/>
    </row>
    <row r="10051" spans="5:18" s="65" customFormat="1">
      <c r="E10051" s="130"/>
      <c r="P10051" s="99"/>
      <c r="Q10051" s="99"/>
      <c r="R10051" s="99"/>
    </row>
    <row r="10052" spans="5:18" s="65" customFormat="1">
      <c r="E10052" s="130"/>
      <c r="P10052" s="99"/>
      <c r="Q10052" s="99"/>
      <c r="R10052" s="99"/>
    </row>
    <row r="10053" spans="5:18" s="65" customFormat="1">
      <c r="E10053" s="130"/>
      <c r="P10053" s="99"/>
      <c r="Q10053" s="99"/>
      <c r="R10053" s="99"/>
    </row>
    <row r="10054" spans="5:18" s="65" customFormat="1">
      <c r="E10054" s="130"/>
      <c r="P10054" s="99"/>
      <c r="Q10054" s="99"/>
      <c r="R10054" s="99"/>
    </row>
    <row r="10055" spans="5:18" s="65" customFormat="1">
      <c r="E10055" s="130"/>
      <c r="P10055" s="99"/>
      <c r="Q10055" s="99"/>
      <c r="R10055" s="99"/>
    </row>
    <row r="10056" spans="5:18" s="65" customFormat="1">
      <c r="E10056" s="130"/>
      <c r="P10056" s="99"/>
      <c r="Q10056" s="99"/>
      <c r="R10056" s="99"/>
    </row>
    <row r="10057" spans="5:18" s="65" customFormat="1">
      <c r="E10057" s="130"/>
      <c r="P10057" s="99"/>
      <c r="Q10057" s="99"/>
      <c r="R10057" s="99"/>
    </row>
    <row r="10058" spans="5:18" s="65" customFormat="1">
      <c r="E10058" s="130"/>
      <c r="P10058" s="99"/>
      <c r="Q10058" s="99"/>
      <c r="R10058" s="99"/>
    </row>
    <row r="10059" spans="5:18" s="65" customFormat="1">
      <c r="E10059" s="130"/>
      <c r="P10059" s="99"/>
      <c r="Q10059" s="99"/>
      <c r="R10059" s="99"/>
    </row>
    <row r="10060" spans="5:18" s="65" customFormat="1">
      <c r="E10060" s="130"/>
      <c r="P10060" s="99"/>
      <c r="Q10060" s="99"/>
      <c r="R10060" s="99"/>
    </row>
    <row r="10061" spans="5:18" s="65" customFormat="1">
      <c r="E10061" s="130"/>
      <c r="P10061" s="99"/>
      <c r="Q10061" s="99"/>
      <c r="R10061" s="99"/>
    </row>
    <row r="10062" spans="5:18" s="65" customFormat="1">
      <c r="E10062" s="130"/>
      <c r="P10062" s="99"/>
      <c r="Q10062" s="99"/>
      <c r="R10062" s="99"/>
    </row>
    <row r="10063" spans="5:18" s="65" customFormat="1">
      <c r="E10063" s="130"/>
      <c r="P10063" s="99"/>
      <c r="Q10063" s="99"/>
      <c r="R10063" s="99"/>
    </row>
    <row r="10064" spans="5:18" s="65" customFormat="1">
      <c r="E10064" s="130"/>
      <c r="P10064" s="99"/>
      <c r="Q10064" s="99"/>
      <c r="R10064" s="99"/>
    </row>
    <row r="10065" spans="5:18" s="65" customFormat="1">
      <c r="E10065" s="130"/>
      <c r="P10065" s="99"/>
      <c r="Q10065" s="99"/>
      <c r="R10065" s="99"/>
    </row>
    <row r="10066" spans="5:18" s="65" customFormat="1">
      <c r="E10066" s="130"/>
      <c r="P10066" s="99"/>
      <c r="Q10066" s="99"/>
      <c r="R10066" s="99"/>
    </row>
    <row r="10067" spans="5:18" s="65" customFormat="1">
      <c r="E10067" s="130"/>
      <c r="P10067" s="99"/>
      <c r="Q10067" s="99"/>
      <c r="R10067" s="99"/>
    </row>
    <row r="10068" spans="5:18" s="65" customFormat="1">
      <c r="E10068" s="130"/>
      <c r="P10068" s="99"/>
      <c r="Q10068" s="99"/>
      <c r="R10068" s="99"/>
    </row>
    <row r="10069" spans="5:18" s="65" customFormat="1">
      <c r="E10069" s="130"/>
      <c r="P10069" s="99"/>
      <c r="Q10069" s="99"/>
      <c r="R10069" s="99"/>
    </row>
    <row r="10070" spans="5:18" s="65" customFormat="1">
      <c r="E10070" s="130"/>
      <c r="P10070" s="99"/>
      <c r="Q10070" s="99"/>
      <c r="R10070" s="99"/>
    </row>
    <row r="10071" spans="5:18" s="65" customFormat="1">
      <c r="E10071" s="130"/>
      <c r="P10071" s="99"/>
      <c r="Q10071" s="99"/>
      <c r="R10071" s="99"/>
    </row>
    <row r="10072" spans="5:18" s="65" customFormat="1">
      <c r="E10072" s="130"/>
      <c r="P10072" s="99"/>
      <c r="Q10072" s="99"/>
      <c r="R10072" s="99"/>
    </row>
    <row r="10073" spans="5:18" s="65" customFormat="1">
      <c r="E10073" s="130"/>
      <c r="P10073" s="99"/>
      <c r="Q10073" s="99"/>
      <c r="R10073" s="99"/>
    </row>
    <row r="10074" spans="5:18" s="65" customFormat="1">
      <c r="E10074" s="130"/>
      <c r="P10074" s="99"/>
      <c r="Q10074" s="99"/>
      <c r="R10074" s="99"/>
    </row>
    <row r="10075" spans="5:18" s="65" customFormat="1">
      <c r="E10075" s="130"/>
      <c r="P10075" s="99"/>
      <c r="Q10075" s="99"/>
      <c r="R10075" s="99"/>
    </row>
    <row r="10076" spans="5:18" s="65" customFormat="1">
      <c r="E10076" s="130"/>
      <c r="P10076" s="99"/>
      <c r="Q10076" s="99"/>
      <c r="R10076" s="99"/>
    </row>
    <row r="10077" spans="5:18" s="65" customFormat="1">
      <c r="E10077" s="130"/>
      <c r="P10077" s="99"/>
      <c r="Q10077" s="99"/>
      <c r="R10077" s="99"/>
    </row>
    <row r="10078" spans="5:18" s="65" customFormat="1">
      <c r="E10078" s="130"/>
      <c r="P10078" s="99"/>
      <c r="Q10078" s="99"/>
      <c r="R10078" s="99"/>
    </row>
    <row r="10079" spans="5:18" s="65" customFormat="1">
      <c r="E10079" s="130"/>
      <c r="P10079" s="99"/>
      <c r="Q10079" s="99"/>
      <c r="R10079" s="99"/>
    </row>
    <row r="10080" spans="5:18" s="65" customFormat="1">
      <c r="E10080" s="130"/>
      <c r="P10080" s="99"/>
      <c r="Q10080" s="99"/>
      <c r="R10080" s="99"/>
    </row>
    <row r="10081" spans="5:18" s="65" customFormat="1">
      <c r="E10081" s="130"/>
      <c r="P10081" s="99"/>
      <c r="Q10081" s="99"/>
      <c r="R10081" s="99"/>
    </row>
    <row r="10082" spans="5:18" s="65" customFormat="1">
      <c r="E10082" s="130"/>
      <c r="P10082" s="99"/>
      <c r="Q10082" s="99"/>
      <c r="R10082" s="99"/>
    </row>
    <row r="10083" spans="5:18" s="65" customFormat="1">
      <c r="E10083" s="130"/>
      <c r="P10083" s="99"/>
      <c r="Q10083" s="99"/>
      <c r="R10083" s="99"/>
    </row>
    <row r="10084" spans="5:18" s="65" customFormat="1">
      <c r="E10084" s="130"/>
      <c r="P10084" s="99"/>
      <c r="Q10084" s="99"/>
      <c r="R10084" s="99"/>
    </row>
    <row r="10085" spans="5:18" s="65" customFormat="1">
      <c r="E10085" s="130"/>
      <c r="P10085" s="99"/>
      <c r="Q10085" s="99"/>
      <c r="R10085" s="99"/>
    </row>
    <row r="10086" spans="5:18" s="65" customFormat="1">
      <c r="E10086" s="130"/>
      <c r="P10086" s="99"/>
      <c r="Q10086" s="99"/>
      <c r="R10086" s="99"/>
    </row>
    <row r="10087" spans="5:18" s="65" customFormat="1">
      <c r="E10087" s="130"/>
      <c r="P10087" s="99"/>
      <c r="Q10087" s="99"/>
      <c r="R10087" s="99"/>
    </row>
    <row r="10088" spans="5:18" s="65" customFormat="1">
      <c r="E10088" s="130"/>
      <c r="P10088" s="99"/>
      <c r="Q10088" s="99"/>
      <c r="R10088" s="99"/>
    </row>
    <row r="10089" spans="5:18" s="65" customFormat="1">
      <c r="E10089" s="130"/>
      <c r="P10089" s="99"/>
      <c r="Q10089" s="99"/>
      <c r="R10089" s="99"/>
    </row>
    <row r="10090" spans="5:18" s="65" customFormat="1">
      <c r="E10090" s="130"/>
      <c r="P10090" s="99"/>
      <c r="Q10090" s="99"/>
      <c r="R10090" s="99"/>
    </row>
    <row r="10091" spans="5:18" s="65" customFormat="1">
      <c r="E10091" s="130"/>
      <c r="P10091" s="99"/>
      <c r="Q10091" s="99"/>
      <c r="R10091" s="99"/>
    </row>
    <row r="10092" spans="5:18" s="65" customFormat="1">
      <c r="E10092" s="130"/>
      <c r="P10092" s="99"/>
      <c r="Q10092" s="99"/>
      <c r="R10092" s="99"/>
    </row>
    <row r="10093" spans="5:18" s="65" customFormat="1">
      <c r="E10093" s="130"/>
      <c r="P10093" s="99"/>
      <c r="Q10093" s="99"/>
      <c r="R10093" s="99"/>
    </row>
    <row r="10094" spans="5:18" s="65" customFormat="1">
      <c r="E10094" s="130"/>
      <c r="P10094" s="99"/>
      <c r="Q10094" s="99"/>
      <c r="R10094" s="99"/>
    </row>
    <row r="10095" spans="5:18" s="65" customFormat="1">
      <c r="E10095" s="130"/>
      <c r="P10095" s="99"/>
      <c r="Q10095" s="99"/>
      <c r="R10095" s="99"/>
    </row>
    <row r="10096" spans="5:18" s="65" customFormat="1">
      <c r="E10096" s="130"/>
      <c r="P10096" s="99"/>
      <c r="Q10096" s="99"/>
      <c r="R10096" s="99"/>
    </row>
    <row r="10097" spans="5:18" s="65" customFormat="1">
      <c r="E10097" s="130"/>
      <c r="P10097" s="99"/>
      <c r="Q10097" s="99"/>
      <c r="R10097" s="99"/>
    </row>
    <row r="10098" spans="5:18" s="65" customFormat="1">
      <c r="E10098" s="130"/>
      <c r="P10098" s="99"/>
      <c r="Q10098" s="99"/>
      <c r="R10098" s="99"/>
    </row>
    <row r="10099" spans="5:18" s="65" customFormat="1">
      <c r="E10099" s="130"/>
      <c r="P10099" s="99"/>
      <c r="Q10099" s="99"/>
      <c r="R10099" s="99"/>
    </row>
    <row r="10100" spans="5:18" s="65" customFormat="1">
      <c r="E10100" s="130"/>
      <c r="P10100" s="99"/>
      <c r="Q10100" s="99"/>
      <c r="R10100" s="99"/>
    </row>
    <row r="10101" spans="5:18" s="65" customFormat="1">
      <c r="E10101" s="130"/>
      <c r="P10101" s="99"/>
      <c r="Q10101" s="99"/>
      <c r="R10101" s="99"/>
    </row>
    <row r="10102" spans="5:18" s="65" customFormat="1">
      <c r="E10102" s="130"/>
      <c r="P10102" s="99"/>
      <c r="Q10102" s="99"/>
      <c r="R10102" s="99"/>
    </row>
    <row r="10103" spans="5:18" s="65" customFormat="1">
      <c r="E10103" s="130"/>
      <c r="P10103" s="99"/>
      <c r="Q10103" s="99"/>
      <c r="R10103" s="99"/>
    </row>
    <row r="10104" spans="5:18" s="65" customFormat="1">
      <c r="E10104" s="130"/>
      <c r="P10104" s="99"/>
      <c r="Q10104" s="99"/>
      <c r="R10104" s="99"/>
    </row>
    <row r="10105" spans="5:18" s="65" customFormat="1">
      <c r="E10105" s="130"/>
      <c r="P10105" s="99"/>
      <c r="Q10105" s="99"/>
      <c r="R10105" s="99"/>
    </row>
    <row r="10106" spans="5:18" s="65" customFormat="1">
      <c r="E10106" s="130"/>
      <c r="P10106" s="99"/>
      <c r="Q10106" s="99"/>
      <c r="R10106" s="99"/>
    </row>
    <row r="10107" spans="5:18" s="65" customFormat="1">
      <c r="E10107" s="130"/>
      <c r="P10107" s="99"/>
      <c r="Q10107" s="99"/>
      <c r="R10107" s="99"/>
    </row>
    <row r="10108" spans="5:18" s="65" customFormat="1">
      <c r="E10108" s="130"/>
      <c r="P10108" s="99"/>
      <c r="Q10108" s="99"/>
      <c r="R10108" s="99"/>
    </row>
    <row r="10109" spans="5:18" s="65" customFormat="1">
      <c r="E10109" s="130"/>
      <c r="P10109" s="99"/>
      <c r="Q10109" s="99"/>
      <c r="R10109" s="99"/>
    </row>
    <row r="10110" spans="5:18" s="65" customFormat="1">
      <c r="E10110" s="130"/>
      <c r="P10110" s="99"/>
      <c r="Q10110" s="99"/>
      <c r="R10110" s="99"/>
    </row>
    <row r="10111" spans="5:18" s="65" customFormat="1">
      <c r="E10111" s="130"/>
      <c r="P10111" s="99"/>
      <c r="Q10111" s="99"/>
      <c r="R10111" s="99"/>
    </row>
    <row r="10112" spans="5:18" s="65" customFormat="1">
      <c r="E10112" s="130"/>
      <c r="P10112" s="99"/>
      <c r="Q10112" s="99"/>
      <c r="R10112" s="99"/>
    </row>
    <row r="10113" spans="5:18" s="65" customFormat="1">
      <c r="E10113" s="130"/>
      <c r="P10113" s="99"/>
      <c r="Q10113" s="99"/>
      <c r="R10113" s="99"/>
    </row>
    <row r="10114" spans="5:18" s="65" customFormat="1">
      <c r="E10114" s="130"/>
      <c r="P10114" s="99"/>
      <c r="Q10114" s="99"/>
      <c r="R10114" s="99"/>
    </row>
    <row r="10115" spans="5:18" s="65" customFormat="1">
      <c r="E10115" s="130"/>
      <c r="P10115" s="99"/>
      <c r="Q10115" s="99"/>
      <c r="R10115" s="99"/>
    </row>
    <row r="10116" spans="5:18" s="65" customFormat="1">
      <c r="E10116" s="130"/>
      <c r="P10116" s="99"/>
      <c r="Q10116" s="99"/>
      <c r="R10116" s="99"/>
    </row>
    <row r="10117" spans="5:18" s="65" customFormat="1">
      <c r="E10117" s="130"/>
      <c r="P10117" s="99"/>
      <c r="Q10117" s="99"/>
      <c r="R10117" s="99"/>
    </row>
    <row r="10118" spans="5:18" s="65" customFormat="1">
      <c r="E10118" s="130"/>
      <c r="P10118" s="99"/>
      <c r="Q10118" s="99"/>
      <c r="R10118" s="99"/>
    </row>
    <row r="10119" spans="5:18" s="65" customFormat="1">
      <c r="E10119" s="130"/>
      <c r="P10119" s="99"/>
      <c r="Q10119" s="99"/>
      <c r="R10119" s="99"/>
    </row>
    <row r="10120" spans="5:18" s="65" customFormat="1">
      <c r="E10120" s="130"/>
      <c r="P10120" s="99"/>
      <c r="Q10120" s="99"/>
      <c r="R10120" s="99"/>
    </row>
    <row r="10121" spans="5:18" s="65" customFormat="1">
      <c r="E10121" s="130"/>
      <c r="P10121" s="99"/>
      <c r="Q10121" s="99"/>
      <c r="R10121" s="99"/>
    </row>
    <row r="10122" spans="5:18" s="65" customFormat="1">
      <c r="E10122" s="130"/>
      <c r="P10122" s="99"/>
      <c r="Q10122" s="99"/>
      <c r="R10122" s="99"/>
    </row>
    <row r="10123" spans="5:18" s="65" customFormat="1">
      <c r="E10123" s="130"/>
      <c r="P10123" s="99"/>
      <c r="Q10123" s="99"/>
      <c r="R10123" s="99"/>
    </row>
    <row r="10124" spans="5:18" s="65" customFormat="1">
      <c r="E10124" s="130"/>
      <c r="P10124" s="99"/>
      <c r="Q10124" s="99"/>
      <c r="R10124" s="99"/>
    </row>
    <row r="10125" spans="5:18" s="65" customFormat="1">
      <c r="E10125" s="130"/>
      <c r="P10125" s="99"/>
      <c r="Q10125" s="99"/>
      <c r="R10125" s="99"/>
    </row>
    <row r="10126" spans="5:18" s="65" customFormat="1">
      <c r="E10126" s="130"/>
      <c r="P10126" s="99"/>
      <c r="Q10126" s="99"/>
      <c r="R10126" s="99"/>
    </row>
    <row r="10127" spans="5:18" s="65" customFormat="1">
      <c r="E10127" s="130"/>
      <c r="P10127" s="99"/>
      <c r="Q10127" s="99"/>
      <c r="R10127" s="99"/>
    </row>
    <row r="10128" spans="5:18" s="65" customFormat="1">
      <c r="E10128" s="130"/>
      <c r="P10128" s="99"/>
      <c r="Q10128" s="99"/>
      <c r="R10128" s="99"/>
    </row>
    <row r="10129" spans="5:18" s="65" customFormat="1">
      <c r="E10129" s="130"/>
      <c r="P10129" s="99"/>
      <c r="Q10129" s="99"/>
      <c r="R10129" s="99"/>
    </row>
    <row r="10130" spans="5:18" s="65" customFormat="1">
      <c r="E10130" s="130"/>
      <c r="P10130" s="99"/>
      <c r="Q10130" s="99"/>
      <c r="R10130" s="99"/>
    </row>
    <row r="10131" spans="5:18" s="65" customFormat="1">
      <c r="E10131" s="130"/>
      <c r="P10131" s="99"/>
      <c r="Q10131" s="99"/>
      <c r="R10131" s="99"/>
    </row>
    <row r="10132" spans="5:18" s="65" customFormat="1">
      <c r="E10132" s="130"/>
      <c r="P10132" s="99"/>
      <c r="Q10132" s="99"/>
      <c r="R10132" s="99"/>
    </row>
    <row r="10133" spans="5:18" s="65" customFormat="1">
      <c r="E10133" s="130"/>
      <c r="P10133" s="99"/>
      <c r="Q10133" s="99"/>
      <c r="R10133" s="99"/>
    </row>
    <row r="10134" spans="5:18" s="65" customFormat="1">
      <c r="E10134" s="130"/>
      <c r="P10134" s="99"/>
      <c r="Q10134" s="99"/>
      <c r="R10134" s="99"/>
    </row>
    <row r="10135" spans="5:18" s="65" customFormat="1">
      <c r="E10135" s="130"/>
      <c r="P10135" s="99"/>
      <c r="Q10135" s="99"/>
      <c r="R10135" s="99"/>
    </row>
    <row r="10136" spans="5:18" s="65" customFormat="1">
      <c r="E10136" s="130"/>
      <c r="P10136" s="99"/>
      <c r="Q10136" s="99"/>
      <c r="R10136" s="99"/>
    </row>
    <row r="10137" spans="5:18" s="65" customFormat="1">
      <c r="E10137" s="130"/>
      <c r="P10137" s="99"/>
      <c r="Q10137" s="99"/>
      <c r="R10137" s="99"/>
    </row>
    <row r="10138" spans="5:18" s="65" customFormat="1">
      <c r="E10138" s="130"/>
      <c r="P10138" s="99"/>
      <c r="Q10138" s="99"/>
      <c r="R10138" s="99"/>
    </row>
    <row r="10139" spans="5:18" s="65" customFormat="1">
      <c r="E10139" s="130"/>
      <c r="P10139" s="99"/>
      <c r="Q10139" s="99"/>
      <c r="R10139" s="99"/>
    </row>
    <row r="10140" spans="5:18" s="65" customFormat="1">
      <c r="E10140" s="130"/>
      <c r="P10140" s="99"/>
      <c r="Q10140" s="99"/>
      <c r="R10140" s="99"/>
    </row>
    <row r="10141" spans="5:18" s="65" customFormat="1">
      <c r="E10141" s="130"/>
      <c r="P10141" s="99"/>
      <c r="Q10141" s="99"/>
      <c r="R10141" s="99"/>
    </row>
    <row r="10142" spans="5:18" s="65" customFormat="1">
      <c r="E10142" s="130"/>
      <c r="P10142" s="99"/>
      <c r="Q10142" s="99"/>
      <c r="R10142" s="99"/>
    </row>
    <row r="10143" spans="5:18" s="65" customFormat="1">
      <c r="E10143" s="130"/>
      <c r="P10143" s="99"/>
      <c r="Q10143" s="99"/>
      <c r="R10143" s="99"/>
    </row>
    <row r="10144" spans="5:18" s="65" customFormat="1">
      <c r="E10144" s="130"/>
      <c r="P10144" s="99"/>
      <c r="Q10144" s="99"/>
      <c r="R10144" s="99"/>
    </row>
    <row r="10145" spans="5:18" s="65" customFormat="1">
      <c r="E10145" s="130"/>
      <c r="P10145" s="99"/>
      <c r="Q10145" s="99"/>
      <c r="R10145" s="99"/>
    </row>
    <row r="10146" spans="5:18" s="65" customFormat="1">
      <c r="E10146" s="130"/>
      <c r="P10146" s="99"/>
      <c r="Q10146" s="99"/>
      <c r="R10146" s="99"/>
    </row>
    <row r="10147" spans="5:18" s="65" customFormat="1">
      <c r="E10147" s="130"/>
      <c r="P10147" s="99"/>
      <c r="Q10147" s="99"/>
      <c r="R10147" s="99"/>
    </row>
    <row r="10148" spans="5:18" s="65" customFormat="1">
      <c r="E10148" s="130"/>
      <c r="P10148" s="99"/>
      <c r="Q10148" s="99"/>
      <c r="R10148" s="99"/>
    </row>
    <row r="10149" spans="5:18" s="65" customFormat="1">
      <c r="E10149" s="130"/>
      <c r="P10149" s="99"/>
      <c r="Q10149" s="99"/>
      <c r="R10149" s="99"/>
    </row>
    <row r="10150" spans="5:18" s="65" customFormat="1">
      <c r="E10150" s="130"/>
      <c r="P10150" s="99"/>
      <c r="Q10150" s="99"/>
      <c r="R10150" s="99"/>
    </row>
    <row r="10151" spans="5:18" s="65" customFormat="1">
      <c r="E10151" s="130"/>
      <c r="P10151" s="99"/>
      <c r="Q10151" s="99"/>
      <c r="R10151" s="99"/>
    </row>
    <row r="10152" spans="5:18" s="65" customFormat="1">
      <c r="E10152" s="130"/>
      <c r="P10152" s="99"/>
      <c r="Q10152" s="99"/>
      <c r="R10152" s="99"/>
    </row>
    <row r="10153" spans="5:18" s="65" customFormat="1">
      <c r="E10153" s="130"/>
      <c r="P10153" s="99"/>
      <c r="Q10153" s="99"/>
      <c r="R10153" s="99"/>
    </row>
    <row r="10154" spans="5:18" s="65" customFormat="1">
      <c r="E10154" s="130"/>
      <c r="P10154" s="99"/>
      <c r="Q10154" s="99"/>
      <c r="R10154" s="99"/>
    </row>
    <row r="10155" spans="5:18" s="65" customFormat="1">
      <c r="E10155" s="130"/>
      <c r="P10155" s="99"/>
      <c r="Q10155" s="99"/>
      <c r="R10155" s="99"/>
    </row>
    <row r="10156" spans="5:18" s="65" customFormat="1">
      <c r="E10156" s="130"/>
      <c r="P10156" s="99"/>
      <c r="Q10156" s="99"/>
      <c r="R10156" s="99"/>
    </row>
    <row r="10157" spans="5:18" s="65" customFormat="1">
      <c r="E10157" s="130"/>
      <c r="P10157" s="99"/>
      <c r="Q10157" s="99"/>
      <c r="R10157" s="99"/>
    </row>
    <row r="10158" spans="5:18" s="65" customFormat="1">
      <c r="E10158" s="130"/>
      <c r="P10158" s="99"/>
      <c r="Q10158" s="99"/>
      <c r="R10158" s="99"/>
    </row>
    <row r="10159" spans="5:18" s="65" customFormat="1">
      <c r="E10159" s="130"/>
      <c r="P10159" s="99"/>
      <c r="Q10159" s="99"/>
      <c r="R10159" s="99"/>
    </row>
    <row r="10160" spans="5:18" s="65" customFormat="1">
      <c r="E10160" s="130"/>
      <c r="P10160" s="99"/>
      <c r="Q10160" s="99"/>
      <c r="R10160" s="99"/>
    </row>
    <row r="10161" spans="5:18" s="65" customFormat="1">
      <c r="E10161" s="130"/>
      <c r="P10161" s="99"/>
      <c r="Q10161" s="99"/>
      <c r="R10161" s="99"/>
    </row>
    <row r="10162" spans="5:18" s="65" customFormat="1">
      <c r="E10162" s="130"/>
      <c r="P10162" s="99"/>
      <c r="Q10162" s="99"/>
      <c r="R10162" s="99"/>
    </row>
    <row r="10163" spans="5:18" s="65" customFormat="1">
      <c r="E10163" s="130"/>
      <c r="P10163" s="99"/>
      <c r="Q10163" s="99"/>
      <c r="R10163" s="99"/>
    </row>
    <row r="10164" spans="5:18" s="65" customFormat="1">
      <c r="E10164" s="130"/>
      <c r="P10164" s="99"/>
      <c r="Q10164" s="99"/>
      <c r="R10164" s="99"/>
    </row>
    <row r="10165" spans="5:18" s="65" customFormat="1">
      <c r="E10165" s="130"/>
      <c r="P10165" s="99"/>
      <c r="Q10165" s="99"/>
      <c r="R10165" s="99"/>
    </row>
    <row r="10166" spans="5:18" s="65" customFormat="1">
      <c r="E10166" s="130"/>
      <c r="P10166" s="99"/>
      <c r="Q10166" s="99"/>
      <c r="R10166" s="99"/>
    </row>
    <row r="10167" spans="5:18" s="65" customFormat="1">
      <c r="E10167" s="130"/>
      <c r="P10167" s="99"/>
      <c r="Q10167" s="99"/>
      <c r="R10167" s="99"/>
    </row>
    <row r="10168" spans="5:18" s="65" customFormat="1">
      <c r="E10168" s="130"/>
      <c r="P10168" s="99"/>
      <c r="Q10168" s="99"/>
      <c r="R10168" s="99"/>
    </row>
    <row r="10169" spans="5:18" s="65" customFormat="1">
      <c r="E10169" s="130"/>
      <c r="P10169" s="99"/>
      <c r="Q10169" s="99"/>
      <c r="R10169" s="99"/>
    </row>
    <row r="10170" spans="5:18" s="65" customFormat="1">
      <c r="E10170" s="130"/>
      <c r="P10170" s="99"/>
      <c r="Q10170" s="99"/>
      <c r="R10170" s="99"/>
    </row>
    <row r="10171" spans="5:18" s="65" customFormat="1">
      <c r="E10171" s="130"/>
      <c r="P10171" s="99"/>
      <c r="Q10171" s="99"/>
      <c r="R10171" s="99"/>
    </row>
    <row r="10172" spans="5:18" s="65" customFormat="1">
      <c r="E10172" s="130"/>
      <c r="P10172" s="99"/>
      <c r="Q10172" s="99"/>
      <c r="R10172" s="99"/>
    </row>
    <row r="10173" spans="5:18" s="65" customFormat="1">
      <c r="E10173" s="130"/>
      <c r="P10173" s="99"/>
      <c r="Q10173" s="99"/>
      <c r="R10173" s="99"/>
    </row>
    <row r="10174" spans="5:18" s="65" customFormat="1">
      <c r="E10174" s="130"/>
      <c r="P10174" s="99"/>
      <c r="Q10174" s="99"/>
      <c r="R10174" s="99"/>
    </row>
    <row r="10175" spans="5:18" s="65" customFormat="1">
      <c r="E10175" s="130"/>
      <c r="P10175" s="99"/>
      <c r="Q10175" s="99"/>
      <c r="R10175" s="99"/>
    </row>
    <row r="10176" spans="5:18" s="65" customFormat="1">
      <c r="E10176" s="130"/>
      <c r="P10176" s="99"/>
      <c r="Q10176" s="99"/>
      <c r="R10176" s="99"/>
    </row>
    <row r="10177" spans="5:18" s="65" customFormat="1">
      <c r="E10177" s="130"/>
      <c r="P10177" s="99"/>
      <c r="Q10177" s="99"/>
      <c r="R10177" s="99"/>
    </row>
    <row r="10178" spans="5:18" s="65" customFormat="1">
      <c r="E10178" s="130"/>
      <c r="P10178" s="99"/>
      <c r="Q10178" s="99"/>
      <c r="R10178" s="99"/>
    </row>
    <row r="10179" spans="5:18" s="65" customFormat="1">
      <c r="E10179" s="130"/>
      <c r="P10179" s="99"/>
      <c r="Q10179" s="99"/>
      <c r="R10179" s="99"/>
    </row>
    <row r="10180" spans="5:18" s="65" customFormat="1">
      <c r="E10180" s="130"/>
      <c r="P10180" s="99"/>
      <c r="Q10180" s="99"/>
      <c r="R10180" s="99"/>
    </row>
    <row r="10181" spans="5:18" s="65" customFormat="1">
      <c r="E10181" s="130"/>
      <c r="P10181" s="99"/>
      <c r="Q10181" s="99"/>
      <c r="R10181" s="99"/>
    </row>
    <row r="10182" spans="5:18" s="65" customFormat="1">
      <c r="E10182" s="130"/>
      <c r="P10182" s="99"/>
      <c r="Q10182" s="99"/>
      <c r="R10182" s="99"/>
    </row>
    <row r="10183" spans="5:18" s="65" customFormat="1">
      <c r="E10183" s="130"/>
      <c r="P10183" s="99"/>
      <c r="Q10183" s="99"/>
      <c r="R10183" s="99"/>
    </row>
    <row r="10184" spans="5:18" s="65" customFormat="1">
      <c r="E10184" s="130"/>
      <c r="P10184" s="99"/>
      <c r="Q10184" s="99"/>
      <c r="R10184" s="99"/>
    </row>
    <row r="10185" spans="5:18" s="65" customFormat="1">
      <c r="E10185" s="130"/>
      <c r="P10185" s="99"/>
      <c r="Q10185" s="99"/>
      <c r="R10185" s="99"/>
    </row>
    <row r="10186" spans="5:18" s="65" customFormat="1">
      <c r="E10186" s="130"/>
      <c r="P10186" s="99"/>
      <c r="Q10186" s="99"/>
      <c r="R10186" s="99"/>
    </row>
    <row r="10187" spans="5:18" s="65" customFormat="1">
      <c r="E10187" s="130"/>
      <c r="P10187" s="99"/>
      <c r="Q10187" s="99"/>
      <c r="R10187" s="99"/>
    </row>
    <row r="10188" spans="5:18" s="65" customFormat="1">
      <c r="E10188" s="130"/>
      <c r="P10188" s="99"/>
      <c r="Q10188" s="99"/>
      <c r="R10188" s="99"/>
    </row>
    <row r="10189" spans="5:18" s="65" customFormat="1">
      <c r="E10189" s="130"/>
      <c r="P10189" s="99"/>
      <c r="Q10189" s="99"/>
      <c r="R10189" s="99"/>
    </row>
    <row r="10190" spans="5:18" s="65" customFormat="1">
      <c r="E10190" s="130"/>
      <c r="P10190" s="99"/>
      <c r="Q10190" s="99"/>
      <c r="R10190" s="99"/>
    </row>
    <row r="10191" spans="5:18" s="65" customFormat="1">
      <c r="E10191" s="130"/>
      <c r="P10191" s="99"/>
      <c r="Q10191" s="99"/>
      <c r="R10191" s="99"/>
    </row>
    <row r="10192" spans="5:18" s="65" customFormat="1">
      <c r="E10192" s="130"/>
      <c r="P10192" s="99"/>
      <c r="Q10192" s="99"/>
      <c r="R10192" s="99"/>
    </row>
    <row r="10193" spans="5:18" s="65" customFormat="1">
      <c r="E10193" s="130"/>
      <c r="P10193" s="99"/>
      <c r="Q10193" s="99"/>
      <c r="R10193" s="99"/>
    </row>
    <row r="10194" spans="5:18" s="65" customFormat="1">
      <c r="E10194" s="130"/>
      <c r="P10194" s="99"/>
      <c r="Q10194" s="99"/>
      <c r="R10194" s="99"/>
    </row>
    <row r="10195" spans="5:18" s="65" customFormat="1">
      <c r="E10195" s="130"/>
      <c r="P10195" s="99"/>
      <c r="Q10195" s="99"/>
      <c r="R10195" s="99"/>
    </row>
    <row r="10196" spans="5:18" s="65" customFormat="1">
      <c r="E10196" s="130"/>
      <c r="P10196" s="99"/>
      <c r="Q10196" s="99"/>
      <c r="R10196" s="99"/>
    </row>
    <row r="10197" spans="5:18" s="65" customFormat="1">
      <c r="E10197" s="130"/>
      <c r="P10197" s="99"/>
      <c r="Q10197" s="99"/>
      <c r="R10197" s="99"/>
    </row>
    <row r="10198" spans="5:18" s="65" customFormat="1">
      <c r="E10198" s="130"/>
      <c r="P10198" s="99"/>
      <c r="Q10198" s="99"/>
      <c r="R10198" s="99"/>
    </row>
    <row r="10199" spans="5:18" s="65" customFormat="1">
      <c r="E10199" s="130"/>
      <c r="P10199" s="99"/>
      <c r="Q10199" s="99"/>
      <c r="R10199" s="99"/>
    </row>
    <row r="10200" spans="5:18" s="65" customFormat="1">
      <c r="E10200" s="130"/>
      <c r="P10200" s="99"/>
      <c r="Q10200" s="99"/>
      <c r="R10200" s="99"/>
    </row>
    <row r="10201" spans="5:18" s="65" customFormat="1">
      <c r="E10201" s="130"/>
      <c r="P10201" s="99"/>
      <c r="Q10201" s="99"/>
      <c r="R10201" s="99"/>
    </row>
    <row r="10202" spans="5:18" s="65" customFormat="1">
      <c r="E10202" s="130"/>
      <c r="P10202" s="99"/>
      <c r="Q10202" s="99"/>
      <c r="R10202" s="99"/>
    </row>
    <row r="10203" spans="5:18" s="65" customFormat="1">
      <c r="E10203" s="130"/>
      <c r="P10203" s="99"/>
      <c r="Q10203" s="99"/>
      <c r="R10203" s="99"/>
    </row>
    <row r="10204" spans="5:18" s="65" customFormat="1">
      <c r="E10204" s="130"/>
      <c r="P10204" s="99"/>
      <c r="Q10204" s="99"/>
      <c r="R10204" s="99"/>
    </row>
    <row r="10205" spans="5:18" s="65" customFormat="1">
      <c r="E10205" s="130"/>
      <c r="P10205" s="99"/>
      <c r="Q10205" s="99"/>
      <c r="R10205" s="99"/>
    </row>
    <row r="10206" spans="5:18" s="65" customFormat="1">
      <c r="E10206" s="130"/>
      <c r="P10206" s="99"/>
      <c r="Q10206" s="99"/>
      <c r="R10206" s="99"/>
    </row>
    <row r="10207" spans="5:18" s="65" customFormat="1">
      <c r="E10207" s="130"/>
      <c r="P10207" s="99"/>
      <c r="Q10207" s="99"/>
      <c r="R10207" s="99"/>
    </row>
    <row r="10208" spans="5:18" s="65" customFormat="1">
      <c r="E10208" s="130"/>
      <c r="P10208" s="99"/>
      <c r="Q10208" s="99"/>
      <c r="R10208" s="99"/>
    </row>
    <row r="10209" spans="5:18" s="65" customFormat="1">
      <c r="E10209" s="130"/>
      <c r="P10209" s="99"/>
      <c r="Q10209" s="99"/>
      <c r="R10209" s="99"/>
    </row>
    <row r="10210" spans="5:18" s="65" customFormat="1">
      <c r="E10210" s="130"/>
      <c r="P10210" s="99"/>
      <c r="Q10210" s="99"/>
      <c r="R10210" s="99"/>
    </row>
    <row r="10211" spans="5:18" s="65" customFormat="1">
      <c r="E10211" s="130"/>
      <c r="P10211" s="99"/>
      <c r="Q10211" s="99"/>
      <c r="R10211" s="99"/>
    </row>
    <row r="10212" spans="5:18" s="65" customFormat="1">
      <c r="E10212" s="130"/>
      <c r="P10212" s="99"/>
      <c r="Q10212" s="99"/>
      <c r="R10212" s="99"/>
    </row>
    <row r="10213" spans="5:18" s="65" customFormat="1">
      <c r="E10213" s="130"/>
      <c r="P10213" s="99"/>
      <c r="Q10213" s="99"/>
      <c r="R10213" s="99"/>
    </row>
    <row r="10214" spans="5:18" s="65" customFormat="1">
      <c r="E10214" s="130"/>
      <c r="P10214" s="99"/>
      <c r="Q10214" s="99"/>
      <c r="R10214" s="99"/>
    </row>
    <row r="10215" spans="5:18" s="65" customFormat="1">
      <c r="E10215" s="130"/>
      <c r="P10215" s="99"/>
      <c r="Q10215" s="99"/>
      <c r="R10215" s="99"/>
    </row>
    <row r="10216" spans="5:18" s="65" customFormat="1">
      <c r="E10216" s="130"/>
      <c r="P10216" s="99"/>
      <c r="Q10216" s="99"/>
      <c r="R10216" s="99"/>
    </row>
    <row r="10217" spans="5:18" s="65" customFormat="1">
      <c r="E10217" s="130"/>
      <c r="P10217" s="99"/>
      <c r="Q10217" s="99"/>
      <c r="R10217" s="99"/>
    </row>
    <row r="10218" spans="5:18" s="65" customFormat="1">
      <c r="E10218" s="130"/>
      <c r="P10218" s="99"/>
      <c r="Q10218" s="99"/>
      <c r="R10218" s="99"/>
    </row>
    <row r="10219" spans="5:18" s="65" customFormat="1">
      <c r="E10219" s="130"/>
      <c r="P10219" s="99"/>
      <c r="Q10219" s="99"/>
      <c r="R10219" s="99"/>
    </row>
    <row r="10220" spans="5:18" s="65" customFormat="1">
      <c r="E10220" s="130"/>
      <c r="P10220" s="99"/>
      <c r="Q10220" s="99"/>
      <c r="R10220" s="99"/>
    </row>
    <row r="10221" spans="5:18" s="65" customFormat="1">
      <c r="E10221" s="130"/>
      <c r="P10221" s="99"/>
      <c r="Q10221" s="99"/>
      <c r="R10221" s="99"/>
    </row>
    <row r="10222" spans="5:18" s="65" customFormat="1">
      <c r="E10222" s="130"/>
      <c r="P10222" s="99"/>
      <c r="Q10222" s="99"/>
      <c r="R10222" s="99"/>
    </row>
    <row r="10223" spans="5:18" s="65" customFormat="1">
      <c r="E10223" s="130"/>
      <c r="P10223" s="99"/>
      <c r="Q10223" s="99"/>
      <c r="R10223" s="99"/>
    </row>
    <row r="10224" spans="5:18" s="65" customFormat="1">
      <c r="E10224" s="130"/>
      <c r="P10224" s="99"/>
      <c r="Q10224" s="99"/>
      <c r="R10224" s="99"/>
    </row>
    <row r="10225" spans="5:18" s="65" customFormat="1">
      <c r="E10225" s="130"/>
      <c r="P10225" s="99"/>
      <c r="Q10225" s="99"/>
      <c r="R10225" s="99"/>
    </row>
    <row r="10226" spans="5:18" s="65" customFormat="1">
      <c r="E10226" s="130"/>
      <c r="P10226" s="99"/>
      <c r="Q10226" s="99"/>
      <c r="R10226" s="99"/>
    </row>
    <row r="10227" spans="5:18" s="65" customFormat="1">
      <c r="E10227" s="130"/>
      <c r="P10227" s="99"/>
      <c r="Q10227" s="99"/>
      <c r="R10227" s="99"/>
    </row>
    <row r="10228" spans="5:18" s="65" customFormat="1">
      <c r="E10228" s="130"/>
      <c r="P10228" s="99"/>
      <c r="Q10228" s="99"/>
      <c r="R10228" s="99"/>
    </row>
    <row r="10229" spans="5:18" s="65" customFormat="1">
      <c r="E10229" s="130"/>
      <c r="P10229" s="99"/>
      <c r="Q10229" s="99"/>
      <c r="R10229" s="99"/>
    </row>
    <row r="10230" spans="5:18" s="65" customFormat="1">
      <c r="E10230" s="130"/>
      <c r="P10230" s="99"/>
      <c r="Q10230" s="99"/>
      <c r="R10230" s="99"/>
    </row>
    <row r="10231" spans="5:18" s="65" customFormat="1">
      <c r="E10231" s="130"/>
      <c r="P10231" s="99"/>
      <c r="Q10231" s="99"/>
      <c r="R10231" s="99"/>
    </row>
    <row r="10232" spans="5:18" s="65" customFormat="1">
      <c r="E10232" s="130"/>
      <c r="P10232" s="99"/>
      <c r="Q10232" s="99"/>
      <c r="R10232" s="99"/>
    </row>
    <row r="10233" spans="5:18" s="65" customFormat="1">
      <c r="E10233" s="130"/>
      <c r="P10233" s="99"/>
      <c r="Q10233" s="99"/>
      <c r="R10233" s="99"/>
    </row>
    <row r="10234" spans="5:18" s="65" customFormat="1">
      <c r="E10234" s="130"/>
      <c r="P10234" s="99"/>
      <c r="Q10234" s="99"/>
      <c r="R10234" s="99"/>
    </row>
    <row r="10235" spans="5:18" s="65" customFormat="1">
      <c r="E10235" s="130"/>
      <c r="P10235" s="99"/>
      <c r="Q10235" s="99"/>
      <c r="R10235" s="99"/>
    </row>
    <row r="10236" spans="5:18" s="65" customFormat="1">
      <c r="E10236" s="130"/>
      <c r="P10236" s="99"/>
      <c r="Q10236" s="99"/>
      <c r="R10236" s="99"/>
    </row>
    <row r="10237" spans="5:18" s="65" customFormat="1">
      <c r="E10237" s="130"/>
      <c r="P10237" s="99"/>
      <c r="Q10237" s="99"/>
      <c r="R10237" s="99"/>
    </row>
    <row r="10238" spans="5:18" s="65" customFormat="1">
      <c r="E10238" s="130"/>
      <c r="P10238" s="99"/>
      <c r="Q10238" s="99"/>
      <c r="R10238" s="99"/>
    </row>
    <row r="10239" spans="5:18" s="65" customFormat="1">
      <c r="E10239" s="130"/>
      <c r="P10239" s="99"/>
      <c r="Q10239" s="99"/>
      <c r="R10239" s="99"/>
    </row>
    <row r="10240" spans="5:18" s="65" customFormat="1">
      <c r="E10240" s="130"/>
      <c r="P10240" s="99"/>
      <c r="Q10240" s="99"/>
      <c r="R10240" s="99"/>
    </row>
    <row r="10241" spans="5:18" s="65" customFormat="1">
      <c r="E10241" s="130"/>
      <c r="P10241" s="99"/>
      <c r="Q10241" s="99"/>
      <c r="R10241" s="99"/>
    </row>
    <row r="10242" spans="5:18" s="65" customFormat="1">
      <c r="E10242" s="130"/>
      <c r="P10242" s="99"/>
      <c r="Q10242" s="99"/>
      <c r="R10242" s="99"/>
    </row>
    <row r="10243" spans="5:18" s="65" customFormat="1">
      <c r="E10243" s="130"/>
      <c r="P10243" s="99"/>
      <c r="Q10243" s="99"/>
      <c r="R10243" s="99"/>
    </row>
    <row r="10244" spans="5:18" s="65" customFormat="1">
      <c r="E10244" s="130"/>
      <c r="P10244" s="99"/>
      <c r="Q10244" s="99"/>
      <c r="R10244" s="99"/>
    </row>
    <row r="10245" spans="5:18" s="65" customFormat="1">
      <c r="E10245" s="130"/>
      <c r="P10245" s="99"/>
      <c r="Q10245" s="99"/>
      <c r="R10245" s="99"/>
    </row>
    <row r="10246" spans="5:18" s="65" customFormat="1">
      <c r="E10246" s="130"/>
      <c r="P10246" s="99"/>
      <c r="Q10246" s="99"/>
      <c r="R10246" s="99"/>
    </row>
    <row r="10247" spans="5:18" s="65" customFormat="1">
      <c r="E10247" s="130"/>
      <c r="P10247" s="99"/>
      <c r="Q10247" s="99"/>
      <c r="R10247" s="99"/>
    </row>
    <row r="10248" spans="5:18" s="65" customFormat="1">
      <c r="E10248" s="130"/>
      <c r="P10248" s="99"/>
      <c r="Q10248" s="99"/>
      <c r="R10248" s="99"/>
    </row>
    <row r="10249" spans="5:18" s="65" customFormat="1">
      <c r="E10249" s="130"/>
      <c r="P10249" s="99"/>
      <c r="Q10249" s="99"/>
      <c r="R10249" s="99"/>
    </row>
    <row r="10250" spans="5:18" s="65" customFormat="1">
      <c r="E10250" s="130"/>
      <c r="P10250" s="99"/>
      <c r="Q10250" s="99"/>
      <c r="R10250" s="99"/>
    </row>
    <row r="10251" spans="5:18" s="65" customFormat="1">
      <c r="E10251" s="130"/>
      <c r="P10251" s="99"/>
      <c r="Q10251" s="99"/>
      <c r="R10251" s="99"/>
    </row>
    <row r="10252" spans="5:18" s="65" customFormat="1">
      <c r="E10252" s="130"/>
      <c r="P10252" s="99"/>
      <c r="Q10252" s="99"/>
      <c r="R10252" s="99"/>
    </row>
    <row r="10253" spans="5:18" s="65" customFormat="1">
      <c r="E10253" s="130"/>
      <c r="P10253" s="99"/>
      <c r="Q10253" s="99"/>
      <c r="R10253" s="99"/>
    </row>
    <row r="10254" spans="5:18" s="65" customFormat="1">
      <c r="E10254" s="130"/>
      <c r="P10254" s="99"/>
      <c r="Q10254" s="99"/>
      <c r="R10254" s="99"/>
    </row>
    <row r="10255" spans="5:18" s="65" customFormat="1">
      <c r="E10255" s="130"/>
      <c r="P10255" s="99"/>
      <c r="Q10255" s="99"/>
      <c r="R10255" s="99"/>
    </row>
    <row r="10256" spans="5:18" s="65" customFormat="1">
      <c r="E10256" s="130"/>
      <c r="P10256" s="99"/>
      <c r="Q10256" s="99"/>
      <c r="R10256" s="99"/>
    </row>
    <row r="10257" spans="5:18" s="65" customFormat="1">
      <c r="E10257" s="130"/>
      <c r="P10257" s="99"/>
      <c r="Q10257" s="99"/>
      <c r="R10257" s="99"/>
    </row>
    <row r="10258" spans="5:18" s="65" customFormat="1">
      <c r="E10258" s="130"/>
      <c r="P10258" s="99"/>
      <c r="Q10258" s="99"/>
      <c r="R10258" s="99"/>
    </row>
    <row r="10259" spans="5:18" s="65" customFormat="1">
      <c r="E10259" s="130"/>
      <c r="P10259" s="99"/>
      <c r="Q10259" s="99"/>
      <c r="R10259" s="99"/>
    </row>
    <row r="10260" spans="5:18" s="65" customFormat="1">
      <c r="E10260" s="130"/>
      <c r="P10260" s="99"/>
      <c r="Q10260" s="99"/>
      <c r="R10260" s="99"/>
    </row>
    <row r="10261" spans="5:18" s="65" customFormat="1">
      <c r="E10261" s="130"/>
      <c r="P10261" s="99"/>
      <c r="Q10261" s="99"/>
      <c r="R10261" s="99"/>
    </row>
    <row r="10262" spans="5:18" s="65" customFormat="1">
      <c r="E10262" s="130"/>
      <c r="P10262" s="99"/>
      <c r="Q10262" s="99"/>
      <c r="R10262" s="99"/>
    </row>
    <row r="10263" spans="5:18" s="65" customFormat="1">
      <c r="E10263" s="130"/>
      <c r="P10263" s="99"/>
      <c r="Q10263" s="99"/>
      <c r="R10263" s="99"/>
    </row>
    <row r="10264" spans="5:18" s="65" customFormat="1">
      <c r="E10264" s="130"/>
      <c r="P10264" s="99"/>
      <c r="Q10264" s="99"/>
      <c r="R10264" s="99"/>
    </row>
    <row r="10265" spans="5:18" s="65" customFormat="1">
      <c r="E10265" s="130"/>
      <c r="P10265" s="99"/>
      <c r="Q10265" s="99"/>
      <c r="R10265" s="99"/>
    </row>
    <row r="10266" spans="5:18" s="65" customFormat="1">
      <c r="E10266" s="130"/>
      <c r="P10266" s="99"/>
      <c r="Q10266" s="99"/>
      <c r="R10266" s="99"/>
    </row>
    <row r="10267" spans="5:18" s="65" customFormat="1">
      <c r="E10267" s="130"/>
      <c r="P10267" s="99"/>
      <c r="Q10267" s="99"/>
      <c r="R10267" s="99"/>
    </row>
    <row r="10268" spans="5:18" s="65" customFormat="1">
      <c r="E10268" s="130"/>
      <c r="P10268" s="99"/>
      <c r="Q10268" s="99"/>
      <c r="R10268" s="99"/>
    </row>
    <row r="10269" spans="5:18" s="65" customFormat="1">
      <c r="E10269" s="130"/>
      <c r="P10269" s="99"/>
      <c r="Q10269" s="99"/>
      <c r="R10269" s="99"/>
    </row>
    <row r="10270" spans="5:18" s="65" customFormat="1">
      <c r="E10270" s="130"/>
      <c r="P10270" s="99"/>
      <c r="Q10270" s="99"/>
      <c r="R10270" s="99"/>
    </row>
    <row r="10271" spans="5:18" s="65" customFormat="1">
      <c r="E10271" s="130"/>
      <c r="P10271" s="99"/>
      <c r="Q10271" s="99"/>
      <c r="R10271" s="99"/>
    </row>
    <row r="10272" spans="5:18" s="65" customFormat="1">
      <c r="E10272" s="130"/>
      <c r="P10272" s="99"/>
      <c r="Q10272" s="99"/>
      <c r="R10272" s="99"/>
    </row>
    <row r="10273" spans="5:18" s="65" customFormat="1">
      <c r="E10273" s="130"/>
      <c r="P10273" s="99"/>
      <c r="Q10273" s="99"/>
      <c r="R10273" s="99"/>
    </row>
    <row r="10274" spans="5:18" s="65" customFormat="1">
      <c r="E10274" s="130"/>
      <c r="P10274" s="99"/>
      <c r="Q10274" s="99"/>
      <c r="R10274" s="99"/>
    </row>
    <row r="10275" spans="5:18" s="65" customFormat="1">
      <c r="E10275" s="130"/>
      <c r="P10275" s="99"/>
      <c r="Q10275" s="99"/>
      <c r="R10275" s="99"/>
    </row>
    <row r="10276" spans="5:18" s="65" customFormat="1">
      <c r="E10276" s="130"/>
      <c r="P10276" s="99"/>
      <c r="Q10276" s="99"/>
      <c r="R10276" s="99"/>
    </row>
    <row r="10277" spans="5:18" s="65" customFormat="1">
      <c r="E10277" s="130"/>
      <c r="P10277" s="99"/>
      <c r="Q10277" s="99"/>
      <c r="R10277" s="99"/>
    </row>
    <row r="10278" spans="5:18" s="65" customFormat="1">
      <c r="E10278" s="130"/>
      <c r="P10278" s="99"/>
      <c r="Q10278" s="99"/>
      <c r="R10278" s="99"/>
    </row>
    <row r="10279" spans="5:18" s="65" customFormat="1">
      <c r="E10279" s="130"/>
      <c r="P10279" s="99"/>
      <c r="Q10279" s="99"/>
      <c r="R10279" s="99"/>
    </row>
    <row r="10280" spans="5:18" s="65" customFormat="1">
      <c r="E10280" s="130"/>
      <c r="P10280" s="99"/>
      <c r="Q10280" s="99"/>
      <c r="R10280" s="99"/>
    </row>
    <row r="10281" spans="5:18" s="65" customFormat="1">
      <c r="E10281" s="130"/>
      <c r="P10281" s="99"/>
      <c r="Q10281" s="99"/>
      <c r="R10281" s="99"/>
    </row>
    <row r="10282" spans="5:18" s="65" customFormat="1">
      <c r="E10282" s="130"/>
      <c r="P10282" s="99"/>
      <c r="Q10282" s="99"/>
      <c r="R10282" s="99"/>
    </row>
    <row r="10283" spans="5:18" s="65" customFormat="1">
      <c r="E10283" s="130"/>
      <c r="P10283" s="99"/>
      <c r="Q10283" s="99"/>
      <c r="R10283" s="99"/>
    </row>
    <row r="10284" spans="5:18" s="65" customFormat="1">
      <c r="E10284" s="130"/>
      <c r="P10284" s="99"/>
      <c r="Q10284" s="99"/>
      <c r="R10284" s="99"/>
    </row>
    <row r="10285" spans="5:18" s="65" customFormat="1">
      <c r="E10285" s="130"/>
      <c r="P10285" s="99"/>
      <c r="Q10285" s="99"/>
      <c r="R10285" s="99"/>
    </row>
    <row r="10286" spans="5:18" s="65" customFormat="1">
      <c r="E10286" s="130"/>
      <c r="P10286" s="99"/>
      <c r="Q10286" s="99"/>
      <c r="R10286" s="99"/>
    </row>
    <row r="10287" spans="5:18" s="65" customFormat="1">
      <c r="E10287" s="130"/>
      <c r="P10287" s="99"/>
      <c r="Q10287" s="99"/>
      <c r="R10287" s="99"/>
    </row>
    <row r="10288" spans="5:18" s="65" customFormat="1">
      <c r="E10288" s="130"/>
      <c r="P10288" s="99"/>
      <c r="Q10288" s="99"/>
      <c r="R10288" s="99"/>
    </row>
    <row r="10289" spans="5:18" s="65" customFormat="1">
      <c r="E10289" s="130"/>
      <c r="P10289" s="99"/>
      <c r="Q10289" s="99"/>
      <c r="R10289" s="99"/>
    </row>
    <row r="10290" spans="5:18" s="65" customFormat="1">
      <c r="E10290" s="130"/>
      <c r="P10290" s="99"/>
      <c r="Q10290" s="99"/>
      <c r="R10290" s="99"/>
    </row>
    <row r="10291" spans="5:18" s="65" customFormat="1">
      <c r="E10291" s="130"/>
      <c r="P10291" s="99"/>
      <c r="Q10291" s="99"/>
      <c r="R10291" s="99"/>
    </row>
    <row r="10292" spans="5:18" s="65" customFormat="1">
      <c r="E10292" s="130"/>
      <c r="P10292" s="99"/>
      <c r="Q10292" s="99"/>
      <c r="R10292" s="99"/>
    </row>
    <row r="10293" spans="5:18" s="65" customFormat="1">
      <c r="E10293" s="130"/>
      <c r="P10293" s="99"/>
      <c r="Q10293" s="99"/>
      <c r="R10293" s="99"/>
    </row>
    <row r="10294" spans="5:18" s="65" customFormat="1">
      <c r="E10294" s="130"/>
      <c r="P10294" s="99"/>
      <c r="Q10294" s="99"/>
      <c r="R10294" s="99"/>
    </row>
    <row r="10295" spans="5:18" s="65" customFormat="1">
      <c r="E10295" s="130"/>
      <c r="P10295" s="99"/>
      <c r="Q10295" s="99"/>
      <c r="R10295" s="99"/>
    </row>
    <row r="10296" spans="5:18" s="65" customFormat="1">
      <c r="E10296" s="130"/>
      <c r="P10296" s="99"/>
      <c r="Q10296" s="99"/>
      <c r="R10296" s="99"/>
    </row>
    <row r="10297" spans="5:18" s="65" customFormat="1">
      <c r="E10297" s="130"/>
      <c r="P10297" s="99"/>
      <c r="Q10297" s="99"/>
      <c r="R10297" s="99"/>
    </row>
    <row r="10298" spans="5:18" s="65" customFormat="1">
      <c r="E10298" s="130"/>
      <c r="P10298" s="99"/>
      <c r="Q10298" s="99"/>
      <c r="R10298" s="99"/>
    </row>
    <row r="10299" spans="5:18" s="65" customFormat="1">
      <c r="E10299" s="130"/>
      <c r="P10299" s="99"/>
      <c r="Q10299" s="99"/>
      <c r="R10299" s="99"/>
    </row>
    <row r="10300" spans="5:18" s="65" customFormat="1">
      <c r="E10300" s="130"/>
      <c r="P10300" s="99"/>
      <c r="Q10300" s="99"/>
      <c r="R10300" s="99"/>
    </row>
    <row r="10301" spans="5:18" s="65" customFormat="1">
      <c r="E10301" s="130"/>
      <c r="P10301" s="99"/>
      <c r="Q10301" s="99"/>
      <c r="R10301" s="99"/>
    </row>
    <row r="10302" spans="5:18" s="65" customFormat="1">
      <c r="E10302" s="130"/>
      <c r="P10302" s="99"/>
      <c r="Q10302" s="99"/>
      <c r="R10302" s="99"/>
    </row>
    <row r="10303" spans="5:18" s="65" customFormat="1">
      <c r="E10303" s="130"/>
      <c r="P10303" s="99"/>
      <c r="Q10303" s="99"/>
      <c r="R10303" s="99"/>
    </row>
    <row r="10304" spans="5:18" s="65" customFormat="1">
      <c r="E10304" s="130"/>
      <c r="P10304" s="99"/>
      <c r="Q10304" s="99"/>
      <c r="R10304" s="99"/>
    </row>
    <row r="10305" spans="5:18" s="65" customFormat="1">
      <c r="E10305" s="130"/>
      <c r="P10305" s="99"/>
      <c r="Q10305" s="99"/>
      <c r="R10305" s="99"/>
    </row>
    <row r="10306" spans="5:18" s="65" customFormat="1">
      <c r="E10306" s="130"/>
      <c r="P10306" s="99"/>
      <c r="Q10306" s="99"/>
      <c r="R10306" s="99"/>
    </row>
    <row r="10307" spans="5:18" s="65" customFormat="1">
      <c r="E10307" s="130"/>
      <c r="P10307" s="99"/>
      <c r="Q10307" s="99"/>
      <c r="R10307" s="99"/>
    </row>
    <row r="10308" spans="5:18" s="65" customFormat="1">
      <c r="E10308" s="130"/>
      <c r="P10308" s="99"/>
      <c r="Q10308" s="99"/>
      <c r="R10308" s="99"/>
    </row>
    <row r="10309" spans="5:18" s="65" customFormat="1">
      <c r="E10309" s="130"/>
      <c r="P10309" s="99"/>
      <c r="Q10309" s="99"/>
      <c r="R10309" s="99"/>
    </row>
    <row r="10310" spans="5:18" s="65" customFormat="1">
      <c r="E10310" s="130"/>
      <c r="P10310" s="99"/>
      <c r="Q10310" s="99"/>
      <c r="R10310" s="99"/>
    </row>
    <row r="10311" spans="5:18" s="65" customFormat="1">
      <c r="E10311" s="130"/>
      <c r="P10311" s="99"/>
      <c r="Q10311" s="99"/>
      <c r="R10311" s="99"/>
    </row>
    <row r="10312" spans="5:18" s="65" customFormat="1">
      <c r="E10312" s="130"/>
      <c r="P10312" s="99"/>
      <c r="Q10312" s="99"/>
      <c r="R10312" s="99"/>
    </row>
    <row r="10313" spans="5:18" s="65" customFormat="1">
      <c r="E10313" s="130"/>
      <c r="P10313" s="99"/>
      <c r="Q10313" s="99"/>
      <c r="R10313" s="99"/>
    </row>
    <row r="10314" spans="5:18" s="65" customFormat="1">
      <c r="E10314" s="130"/>
      <c r="P10314" s="99"/>
      <c r="Q10314" s="99"/>
      <c r="R10314" s="99"/>
    </row>
    <row r="10315" spans="5:18" s="65" customFormat="1">
      <c r="E10315" s="130"/>
      <c r="P10315" s="99"/>
      <c r="Q10315" s="99"/>
      <c r="R10315" s="99"/>
    </row>
    <row r="10316" spans="5:18" s="65" customFormat="1">
      <c r="E10316" s="130"/>
      <c r="P10316" s="99"/>
      <c r="Q10316" s="99"/>
      <c r="R10316" s="99"/>
    </row>
    <row r="10317" spans="5:18" s="65" customFormat="1">
      <c r="E10317" s="130"/>
      <c r="P10317" s="99"/>
      <c r="Q10317" s="99"/>
      <c r="R10317" s="99"/>
    </row>
    <row r="10318" spans="5:18" s="65" customFormat="1">
      <c r="E10318" s="130"/>
      <c r="P10318" s="99"/>
      <c r="Q10318" s="99"/>
      <c r="R10318" s="99"/>
    </row>
    <row r="10319" spans="5:18" s="65" customFormat="1">
      <c r="E10319" s="130"/>
      <c r="P10319" s="99"/>
      <c r="Q10319" s="99"/>
      <c r="R10319" s="99"/>
    </row>
    <row r="10320" spans="5:18" s="65" customFormat="1">
      <c r="E10320" s="130"/>
      <c r="P10320" s="99"/>
      <c r="Q10320" s="99"/>
      <c r="R10320" s="99"/>
    </row>
    <row r="10321" spans="5:18" s="65" customFormat="1">
      <c r="E10321" s="130"/>
      <c r="P10321" s="99"/>
      <c r="Q10321" s="99"/>
      <c r="R10321" s="99"/>
    </row>
    <row r="10322" spans="5:18" s="65" customFormat="1">
      <c r="E10322" s="130"/>
      <c r="P10322" s="99"/>
      <c r="Q10322" s="99"/>
      <c r="R10322" s="99"/>
    </row>
    <row r="10323" spans="5:18" s="65" customFormat="1">
      <c r="E10323" s="130"/>
      <c r="P10323" s="99"/>
      <c r="Q10323" s="99"/>
      <c r="R10323" s="99"/>
    </row>
    <row r="10324" spans="5:18" s="65" customFormat="1">
      <c r="E10324" s="130"/>
      <c r="P10324" s="99"/>
      <c r="Q10324" s="99"/>
      <c r="R10324" s="99"/>
    </row>
    <row r="10325" spans="5:18" s="65" customFormat="1">
      <c r="E10325" s="130"/>
      <c r="P10325" s="99"/>
      <c r="Q10325" s="99"/>
      <c r="R10325" s="99"/>
    </row>
    <row r="10326" spans="5:18" s="65" customFormat="1">
      <c r="E10326" s="130"/>
      <c r="P10326" s="99"/>
      <c r="Q10326" s="99"/>
      <c r="R10326" s="99"/>
    </row>
    <row r="10327" spans="5:18" s="65" customFormat="1">
      <c r="E10327" s="130"/>
      <c r="P10327" s="99"/>
      <c r="Q10327" s="99"/>
      <c r="R10327" s="99"/>
    </row>
    <row r="10328" spans="5:18" s="65" customFormat="1">
      <c r="E10328" s="130"/>
      <c r="P10328" s="99"/>
      <c r="Q10328" s="99"/>
      <c r="R10328" s="99"/>
    </row>
    <row r="10329" spans="5:18" s="65" customFormat="1">
      <c r="E10329" s="130"/>
      <c r="P10329" s="99"/>
      <c r="Q10329" s="99"/>
      <c r="R10329" s="99"/>
    </row>
    <row r="10330" spans="5:18" s="65" customFormat="1">
      <c r="E10330" s="130"/>
      <c r="P10330" s="99"/>
      <c r="Q10330" s="99"/>
      <c r="R10330" s="99"/>
    </row>
    <row r="10331" spans="5:18" s="65" customFormat="1">
      <c r="E10331" s="130"/>
      <c r="P10331" s="99"/>
      <c r="Q10331" s="99"/>
      <c r="R10331" s="99"/>
    </row>
    <row r="10332" spans="5:18" s="65" customFormat="1">
      <c r="E10332" s="130"/>
      <c r="P10332" s="99"/>
      <c r="Q10332" s="99"/>
      <c r="R10332" s="99"/>
    </row>
    <row r="10333" spans="5:18" s="65" customFormat="1">
      <c r="E10333" s="130"/>
      <c r="P10333" s="99"/>
      <c r="Q10333" s="99"/>
      <c r="R10333" s="99"/>
    </row>
    <row r="10334" spans="5:18" s="65" customFormat="1">
      <c r="E10334" s="130"/>
      <c r="P10334" s="99"/>
      <c r="Q10334" s="99"/>
      <c r="R10334" s="99"/>
    </row>
    <row r="10335" spans="5:18" s="65" customFormat="1">
      <c r="E10335" s="130"/>
      <c r="P10335" s="99"/>
      <c r="Q10335" s="99"/>
      <c r="R10335" s="99"/>
    </row>
    <row r="10336" spans="5:18" s="65" customFormat="1">
      <c r="E10336" s="130"/>
      <c r="P10336" s="99"/>
      <c r="Q10336" s="99"/>
      <c r="R10336" s="99"/>
    </row>
    <row r="10337" spans="5:18" s="65" customFormat="1">
      <c r="E10337" s="130"/>
      <c r="P10337" s="99"/>
      <c r="Q10337" s="99"/>
      <c r="R10337" s="99"/>
    </row>
    <row r="10338" spans="5:18" s="65" customFormat="1">
      <c r="E10338" s="130"/>
      <c r="P10338" s="99"/>
      <c r="Q10338" s="99"/>
      <c r="R10338" s="99"/>
    </row>
    <row r="10339" spans="5:18" s="65" customFormat="1">
      <c r="E10339" s="130"/>
      <c r="P10339" s="99"/>
      <c r="Q10339" s="99"/>
      <c r="R10339" s="99"/>
    </row>
    <row r="10340" spans="5:18" s="65" customFormat="1">
      <c r="E10340" s="130"/>
      <c r="P10340" s="99"/>
      <c r="Q10340" s="99"/>
      <c r="R10340" s="99"/>
    </row>
    <row r="10341" spans="5:18" s="65" customFormat="1">
      <c r="E10341" s="130"/>
      <c r="P10341" s="99"/>
      <c r="Q10341" s="99"/>
      <c r="R10341" s="99"/>
    </row>
    <row r="10342" spans="5:18" s="65" customFormat="1">
      <c r="E10342" s="130"/>
      <c r="P10342" s="99"/>
      <c r="Q10342" s="99"/>
      <c r="R10342" s="99"/>
    </row>
    <row r="10343" spans="5:18" s="65" customFormat="1">
      <c r="E10343" s="130"/>
      <c r="P10343" s="99"/>
      <c r="Q10343" s="99"/>
      <c r="R10343" s="99"/>
    </row>
    <row r="10344" spans="5:18" s="65" customFormat="1">
      <c r="E10344" s="130"/>
      <c r="P10344" s="99"/>
      <c r="Q10344" s="99"/>
      <c r="R10344" s="99"/>
    </row>
    <row r="10345" spans="5:18" s="65" customFormat="1">
      <c r="E10345" s="130"/>
      <c r="P10345" s="99"/>
      <c r="Q10345" s="99"/>
      <c r="R10345" s="99"/>
    </row>
    <row r="10346" spans="5:18" s="65" customFormat="1">
      <c r="E10346" s="130"/>
      <c r="P10346" s="99"/>
      <c r="Q10346" s="99"/>
      <c r="R10346" s="99"/>
    </row>
    <row r="10347" spans="5:18" s="65" customFormat="1">
      <c r="E10347" s="130"/>
      <c r="P10347" s="99"/>
      <c r="Q10347" s="99"/>
      <c r="R10347" s="99"/>
    </row>
    <row r="10348" spans="5:18" s="65" customFormat="1">
      <c r="E10348" s="130"/>
      <c r="P10348" s="99"/>
      <c r="Q10348" s="99"/>
      <c r="R10348" s="99"/>
    </row>
    <row r="10349" spans="5:18" s="65" customFormat="1">
      <c r="E10349" s="130"/>
      <c r="P10349" s="99"/>
      <c r="Q10349" s="99"/>
      <c r="R10349" s="99"/>
    </row>
    <row r="10350" spans="5:18" s="65" customFormat="1">
      <c r="E10350" s="130"/>
      <c r="P10350" s="99"/>
      <c r="Q10350" s="99"/>
      <c r="R10350" s="99"/>
    </row>
    <row r="10351" spans="5:18" s="65" customFormat="1">
      <c r="E10351" s="130"/>
      <c r="P10351" s="99"/>
      <c r="Q10351" s="99"/>
      <c r="R10351" s="99"/>
    </row>
    <row r="10352" spans="5:18" s="65" customFormat="1">
      <c r="E10352" s="130"/>
      <c r="P10352" s="99"/>
      <c r="Q10352" s="99"/>
      <c r="R10352" s="99"/>
    </row>
    <row r="10353" spans="5:18" s="65" customFormat="1">
      <c r="E10353" s="130"/>
      <c r="P10353" s="99"/>
      <c r="Q10353" s="99"/>
      <c r="R10353" s="99"/>
    </row>
    <row r="10354" spans="5:18" s="65" customFormat="1">
      <c r="E10354" s="130"/>
      <c r="P10354" s="99"/>
      <c r="Q10354" s="99"/>
      <c r="R10354" s="99"/>
    </row>
    <row r="10355" spans="5:18" s="65" customFormat="1">
      <c r="E10355" s="130"/>
      <c r="P10355" s="99"/>
      <c r="Q10355" s="99"/>
      <c r="R10355" s="99"/>
    </row>
    <row r="10356" spans="5:18" s="65" customFormat="1">
      <c r="E10356" s="130"/>
      <c r="P10356" s="99"/>
      <c r="Q10356" s="99"/>
      <c r="R10356" s="99"/>
    </row>
    <row r="10357" spans="5:18" s="65" customFormat="1">
      <c r="E10357" s="130"/>
      <c r="P10357" s="99"/>
      <c r="Q10357" s="99"/>
      <c r="R10357" s="99"/>
    </row>
    <row r="10358" spans="5:18" s="65" customFormat="1">
      <c r="E10358" s="130"/>
      <c r="P10358" s="99"/>
      <c r="Q10358" s="99"/>
      <c r="R10358" s="99"/>
    </row>
    <row r="10359" spans="5:18" s="65" customFormat="1">
      <c r="E10359" s="130"/>
      <c r="P10359" s="99"/>
      <c r="Q10359" s="99"/>
      <c r="R10359" s="99"/>
    </row>
    <row r="10360" spans="5:18" s="65" customFormat="1">
      <c r="E10360" s="130"/>
      <c r="P10360" s="99"/>
      <c r="Q10360" s="99"/>
      <c r="R10360" s="99"/>
    </row>
    <row r="10361" spans="5:18" s="65" customFormat="1">
      <c r="E10361" s="130"/>
      <c r="P10361" s="99"/>
      <c r="Q10361" s="99"/>
      <c r="R10361" s="99"/>
    </row>
    <row r="10362" spans="5:18" s="65" customFormat="1">
      <c r="E10362" s="130"/>
      <c r="P10362" s="99"/>
      <c r="Q10362" s="99"/>
      <c r="R10362" s="99"/>
    </row>
    <row r="10363" spans="5:18" s="65" customFormat="1">
      <c r="E10363" s="130"/>
      <c r="P10363" s="99"/>
      <c r="Q10363" s="99"/>
      <c r="R10363" s="99"/>
    </row>
    <row r="10364" spans="5:18" s="65" customFormat="1">
      <c r="E10364" s="130"/>
      <c r="P10364" s="99"/>
      <c r="Q10364" s="99"/>
      <c r="R10364" s="99"/>
    </row>
    <row r="10365" spans="5:18" s="65" customFormat="1">
      <c r="E10365" s="130"/>
      <c r="P10365" s="99"/>
      <c r="Q10365" s="99"/>
      <c r="R10365" s="99"/>
    </row>
    <row r="10366" spans="5:18" s="65" customFormat="1">
      <c r="E10366" s="130"/>
      <c r="P10366" s="99"/>
      <c r="Q10366" s="99"/>
      <c r="R10366" s="99"/>
    </row>
    <row r="10367" spans="5:18" s="65" customFormat="1">
      <c r="E10367" s="130"/>
      <c r="P10367" s="99"/>
      <c r="Q10367" s="99"/>
      <c r="R10367" s="99"/>
    </row>
    <row r="10368" spans="5:18" s="65" customFormat="1">
      <c r="E10368" s="130"/>
      <c r="P10368" s="99"/>
      <c r="Q10368" s="99"/>
      <c r="R10368" s="99"/>
    </row>
    <row r="10369" spans="5:18" s="65" customFormat="1">
      <c r="E10369" s="130"/>
      <c r="P10369" s="99"/>
      <c r="Q10369" s="99"/>
      <c r="R10369" s="99"/>
    </row>
    <row r="10370" spans="5:18" s="65" customFormat="1">
      <c r="E10370" s="130"/>
      <c r="P10370" s="99"/>
      <c r="Q10370" s="99"/>
      <c r="R10370" s="99"/>
    </row>
    <row r="10371" spans="5:18" s="65" customFormat="1">
      <c r="E10371" s="130"/>
      <c r="P10371" s="99"/>
      <c r="Q10371" s="99"/>
      <c r="R10371" s="99"/>
    </row>
    <row r="10372" spans="5:18" s="65" customFormat="1">
      <c r="E10372" s="130"/>
      <c r="P10372" s="99"/>
      <c r="Q10372" s="99"/>
      <c r="R10372" s="99"/>
    </row>
    <row r="10373" spans="5:18" s="65" customFormat="1">
      <c r="E10373" s="130"/>
      <c r="P10373" s="99"/>
      <c r="Q10373" s="99"/>
      <c r="R10373" s="99"/>
    </row>
    <row r="10374" spans="5:18" s="65" customFormat="1">
      <c r="E10374" s="130"/>
      <c r="P10374" s="99"/>
      <c r="Q10374" s="99"/>
      <c r="R10374" s="99"/>
    </row>
    <row r="10375" spans="5:18" s="65" customFormat="1">
      <c r="E10375" s="130"/>
      <c r="P10375" s="99"/>
      <c r="Q10375" s="99"/>
      <c r="R10375" s="99"/>
    </row>
    <row r="10376" spans="5:18" s="65" customFormat="1">
      <c r="E10376" s="130"/>
      <c r="P10376" s="99"/>
      <c r="Q10376" s="99"/>
      <c r="R10376" s="99"/>
    </row>
    <row r="10377" spans="5:18" s="65" customFormat="1">
      <c r="E10377" s="130"/>
      <c r="P10377" s="99"/>
      <c r="Q10377" s="99"/>
      <c r="R10377" s="99"/>
    </row>
    <row r="10378" spans="5:18" s="65" customFormat="1">
      <c r="E10378" s="130"/>
      <c r="P10378" s="99"/>
      <c r="Q10378" s="99"/>
      <c r="R10378" s="99"/>
    </row>
    <row r="10379" spans="5:18" s="65" customFormat="1">
      <c r="E10379" s="130"/>
      <c r="P10379" s="99"/>
      <c r="Q10379" s="99"/>
      <c r="R10379" s="99"/>
    </row>
    <row r="10380" spans="5:18" s="65" customFormat="1">
      <c r="E10380" s="130"/>
      <c r="P10380" s="99"/>
      <c r="Q10380" s="99"/>
      <c r="R10380" s="99"/>
    </row>
    <row r="10381" spans="5:18" s="65" customFormat="1">
      <c r="E10381" s="130"/>
      <c r="P10381" s="99"/>
      <c r="Q10381" s="99"/>
      <c r="R10381" s="99"/>
    </row>
    <row r="10382" spans="5:18" s="65" customFormat="1">
      <c r="E10382" s="130"/>
      <c r="P10382" s="99"/>
      <c r="Q10382" s="99"/>
      <c r="R10382" s="99"/>
    </row>
    <row r="10383" spans="5:18" s="65" customFormat="1">
      <c r="E10383" s="130"/>
      <c r="P10383" s="99"/>
      <c r="Q10383" s="99"/>
      <c r="R10383" s="99"/>
    </row>
    <row r="10384" spans="5:18" s="65" customFormat="1">
      <c r="E10384" s="130"/>
      <c r="P10384" s="99"/>
      <c r="Q10384" s="99"/>
      <c r="R10384" s="99"/>
    </row>
    <row r="10385" spans="5:18" s="65" customFormat="1">
      <c r="E10385" s="130"/>
      <c r="P10385" s="99"/>
      <c r="Q10385" s="99"/>
      <c r="R10385" s="99"/>
    </row>
    <row r="10386" spans="5:18" s="65" customFormat="1">
      <c r="E10386" s="130"/>
      <c r="P10386" s="99"/>
      <c r="Q10386" s="99"/>
      <c r="R10386" s="99"/>
    </row>
    <row r="10387" spans="5:18" s="65" customFormat="1">
      <c r="E10387" s="130"/>
      <c r="P10387" s="99"/>
      <c r="Q10387" s="99"/>
      <c r="R10387" s="99"/>
    </row>
    <row r="10388" spans="5:18" s="65" customFormat="1">
      <c r="E10388" s="130"/>
      <c r="P10388" s="99"/>
      <c r="Q10388" s="99"/>
      <c r="R10388" s="99"/>
    </row>
    <row r="10389" spans="5:18" s="65" customFormat="1">
      <c r="E10389" s="130"/>
      <c r="P10389" s="99"/>
      <c r="Q10389" s="99"/>
      <c r="R10389" s="99"/>
    </row>
    <row r="10390" spans="5:18" s="65" customFormat="1">
      <c r="E10390" s="130"/>
      <c r="P10390" s="99"/>
      <c r="Q10390" s="99"/>
      <c r="R10390" s="99"/>
    </row>
    <row r="10391" spans="5:18" s="65" customFormat="1">
      <c r="E10391" s="130"/>
      <c r="P10391" s="99"/>
      <c r="Q10391" s="99"/>
      <c r="R10391" s="99"/>
    </row>
    <row r="10392" spans="5:18" s="65" customFormat="1">
      <c r="E10392" s="130"/>
      <c r="P10392" s="99"/>
      <c r="Q10392" s="99"/>
      <c r="R10392" s="99"/>
    </row>
    <row r="10393" spans="5:18" s="65" customFormat="1">
      <c r="E10393" s="130"/>
      <c r="P10393" s="99"/>
      <c r="Q10393" s="99"/>
      <c r="R10393" s="99"/>
    </row>
    <row r="10394" spans="5:18" s="65" customFormat="1">
      <c r="E10394" s="130"/>
      <c r="P10394" s="99"/>
      <c r="Q10394" s="99"/>
      <c r="R10394" s="99"/>
    </row>
    <row r="10395" spans="5:18" s="65" customFormat="1">
      <c r="E10395" s="130"/>
      <c r="P10395" s="99"/>
      <c r="Q10395" s="99"/>
      <c r="R10395" s="99"/>
    </row>
    <row r="10396" spans="5:18" s="65" customFormat="1">
      <c r="E10396" s="130"/>
      <c r="P10396" s="99"/>
      <c r="Q10396" s="99"/>
      <c r="R10396" s="99"/>
    </row>
    <row r="10397" spans="5:18" s="65" customFormat="1">
      <c r="E10397" s="130"/>
      <c r="P10397" s="99"/>
      <c r="Q10397" s="99"/>
      <c r="R10397" s="99"/>
    </row>
    <row r="10398" spans="5:18" s="65" customFormat="1">
      <c r="E10398" s="130"/>
      <c r="P10398" s="99"/>
      <c r="Q10398" s="99"/>
      <c r="R10398" s="99"/>
    </row>
    <row r="10399" spans="5:18" s="65" customFormat="1">
      <c r="E10399" s="130"/>
      <c r="P10399" s="99"/>
      <c r="Q10399" s="99"/>
      <c r="R10399" s="99"/>
    </row>
    <row r="10400" spans="5:18" s="65" customFormat="1">
      <c r="E10400" s="130"/>
      <c r="P10400" s="99"/>
      <c r="Q10400" s="99"/>
      <c r="R10400" s="99"/>
    </row>
    <row r="10401" spans="5:18" s="65" customFormat="1">
      <c r="E10401" s="130"/>
      <c r="P10401" s="99"/>
      <c r="Q10401" s="99"/>
      <c r="R10401" s="99"/>
    </row>
    <row r="10402" spans="5:18" s="65" customFormat="1">
      <c r="E10402" s="130"/>
      <c r="P10402" s="99"/>
      <c r="Q10402" s="99"/>
      <c r="R10402" s="99"/>
    </row>
    <row r="10403" spans="5:18" s="65" customFormat="1">
      <c r="E10403" s="130"/>
      <c r="P10403" s="99"/>
      <c r="Q10403" s="99"/>
      <c r="R10403" s="99"/>
    </row>
    <row r="10404" spans="5:18" s="65" customFormat="1">
      <c r="E10404" s="130"/>
      <c r="P10404" s="99"/>
      <c r="Q10404" s="99"/>
      <c r="R10404" s="99"/>
    </row>
    <row r="10405" spans="5:18" s="65" customFormat="1">
      <c r="E10405" s="130"/>
      <c r="P10405" s="99"/>
      <c r="Q10405" s="99"/>
      <c r="R10405" s="99"/>
    </row>
    <row r="10406" spans="5:18" s="65" customFormat="1">
      <c r="E10406" s="130"/>
      <c r="P10406" s="99"/>
      <c r="Q10406" s="99"/>
      <c r="R10406" s="99"/>
    </row>
    <row r="10407" spans="5:18" s="65" customFormat="1">
      <c r="E10407" s="130"/>
      <c r="P10407" s="99"/>
      <c r="Q10407" s="99"/>
      <c r="R10407" s="99"/>
    </row>
    <row r="10408" spans="5:18" s="65" customFormat="1">
      <c r="E10408" s="130"/>
      <c r="P10408" s="99"/>
      <c r="Q10408" s="99"/>
      <c r="R10408" s="99"/>
    </row>
    <row r="10409" spans="5:18" s="65" customFormat="1">
      <c r="E10409" s="130"/>
      <c r="P10409" s="99"/>
      <c r="Q10409" s="99"/>
      <c r="R10409" s="99"/>
    </row>
    <row r="10410" spans="5:18" s="65" customFormat="1">
      <c r="E10410" s="130"/>
      <c r="P10410" s="99"/>
      <c r="Q10410" s="99"/>
      <c r="R10410" s="99"/>
    </row>
    <row r="10411" spans="5:18" s="65" customFormat="1">
      <c r="E10411" s="130"/>
      <c r="P10411" s="99"/>
      <c r="Q10411" s="99"/>
      <c r="R10411" s="99"/>
    </row>
    <row r="10412" spans="5:18" s="65" customFormat="1">
      <c r="E10412" s="130"/>
      <c r="P10412" s="99"/>
      <c r="Q10412" s="99"/>
      <c r="R10412" s="99"/>
    </row>
    <row r="10413" spans="5:18" s="65" customFormat="1">
      <c r="E10413" s="130"/>
      <c r="P10413" s="99"/>
      <c r="Q10413" s="99"/>
      <c r="R10413" s="99"/>
    </row>
    <row r="10414" spans="5:18" s="65" customFormat="1">
      <c r="E10414" s="130"/>
      <c r="P10414" s="99"/>
      <c r="Q10414" s="99"/>
      <c r="R10414" s="99"/>
    </row>
    <row r="10415" spans="5:18" s="65" customFormat="1">
      <c r="E10415" s="130"/>
      <c r="P10415" s="99"/>
      <c r="Q10415" s="99"/>
      <c r="R10415" s="99"/>
    </row>
    <row r="10416" spans="5:18" s="65" customFormat="1">
      <c r="E10416" s="130"/>
      <c r="P10416" s="99"/>
      <c r="Q10416" s="99"/>
      <c r="R10416" s="99"/>
    </row>
    <row r="10417" spans="5:18" s="65" customFormat="1">
      <c r="E10417" s="130"/>
      <c r="P10417" s="99"/>
      <c r="Q10417" s="99"/>
      <c r="R10417" s="99"/>
    </row>
    <row r="10418" spans="5:18" s="65" customFormat="1">
      <c r="E10418" s="130"/>
      <c r="P10418" s="99"/>
      <c r="Q10418" s="99"/>
      <c r="R10418" s="99"/>
    </row>
    <row r="10419" spans="5:18" s="65" customFormat="1">
      <c r="E10419" s="130"/>
      <c r="P10419" s="99"/>
      <c r="Q10419" s="99"/>
      <c r="R10419" s="99"/>
    </row>
    <row r="10420" spans="5:18" s="65" customFormat="1">
      <c r="E10420" s="130"/>
      <c r="P10420" s="99"/>
      <c r="Q10420" s="99"/>
      <c r="R10420" s="99"/>
    </row>
    <row r="10421" spans="5:18" s="65" customFormat="1">
      <c r="E10421" s="130"/>
      <c r="P10421" s="99"/>
      <c r="Q10421" s="99"/>
      <c r="R10421" s="99"/>
    </row>
    <row r="10422" spans="5:18" s="65" customFormat="1">
      <c r="E10422" s="130"/>
      <c r="P10422" s="99"/>
      <c r="Q10422" s="99"/>
      <c r="R10422" s="99"/>
    </row>
    <row r="10423" spans="5:18" s="65" customFormat="1">
      <c r="E10423" s="130"/>
      <c r="P10423" s="99"/>
      <c r="Q10423" s="99"/>
      <c r="R10423" s="99"/>
    </row>
    <row r="10424" spans="5:18" s="65" customFormat="1">
      <c r="E10424" s="130"/>
      <c r="P10424" s="99"/>
      <c r="Q10424" s="99"/>
      <c r="R10424" s="99"/>
    </row>
    <row r="10425" spans="5:18" s="65" customFormat="1">
      <c r="E10425" s="130"/>
      <c r="P10425" s="99"/>
      <c r="Q10425" s="99"/>
      <c r="R10425" s="99"/>
    </row>
    <row r="10426" spans="5:18" s="65" customFormat="1">
      <c r="E10426" s="130"/>
      <c r="P10426" s="99"/>
      <c r="Q10426" s="99"/>
      <c r="R10426" s="99"/>
    </row>
    <row r="10427" spans="5:18" s="65" customFormat="1">
      <c r="E10427" s="130"/>
      <c r="P10427" s="99"/>
      <c r="Q10427" s="99"/>
      <c r="R10427" s="99"/>
    </row>
    <row r="10428" spans="5:18" s="65" customFormat="1">
      <c r="E10428" s="130"/>
      <c r="P10428" s="99"/>
      <c r="Q10428" s="99"/>
      <c r="R10428" s="99"/>
    </row>
    <row r="10429" spans="5:18" s="65" customFormat="1">
      <c r="E10429" s="130"/>
      <c r="P10429" s="99"/>
      <c r="Q10429" s="99"/>
      <c r="R10429" s="99"/>
    </row>
    <row r="10430" spans="5:18" s="65" customFormat="1">
      <c r="E10430" s="130"/>
      <c r="P10430" s="99"/>
      <c r="Q10430" s="99"/>
      <c r="R10430" s="99"/>
    </row>
    <row r="10431" spans="5:18" s="65" customFormat="1">
      <c r="E10431" s="130"/>
      <c r="P10431" s="99"/>
      <c r="Q10431" s="99"/>
      <c r="R10431" s="99"/>
    </row>
    <row r="10432" spans="5:18" s="65" customFormat="1">
      <c r="E10432" s="130"/>
      <c r="P10432" s="99"/>
      <c r="Q10432" s="99"/>
      <c r="R10432" s="99"/>
    </row>
    <row r="10433" spans="5:18" s="65" customFormat="1">
      <c r="E10433" s="130"/>
      <c r="P10433" s="99"/>
      <c r="Q10433" s="99"/>
      <c r="R10433" s="99"/>
    </row>
    <row r="10434" spans="5:18" s="65" customFormat="1">
      <c r="E10434" s="130"/>
      <c r="P10434" s="99"/>
      <c r="Q10434" s="99"/>
      <c r="R10434" s="99"/>
    </row>
    <row r="10435" spans="5:18" s="65" customFormat="1">
      <c r="E10435" s="130"/>
      <c r="P10435" s="99"/>
      <c r="Q10435" s="99"/>
      <c r="R10435" s="99"/>
    </row>
    <row r="10436" spans="5:18" s="65" customFormat="1">
      <c r="E10436" s="130"/>
      <c r="P10436" s="99"/>
      <c r="Q10436" s="99"/>
      <c r="R10436" s="99"/>
    </row>
    <row r="10437" spans="5:18" s="65" customFormat="1">
      <c r="E10437" s="130"/>
      <c r="P10437" s="99"/>
      <c r="Q10437" s="99"/>
      <c r="R10437" s="99"/>
    </row>
    <row r="10438" spans="5:18" s="65" customFormat="1">
      <c r="E10438" s="130"/>
      <c r="P10438" s="99"/>
      <c r="Q10438" s="99"/>
      <c r="R10438" s="99"/>
    </row>
    <row r="10439" spans="5:18" s="65" customFormat="1">
      <c r="E10439" s="130"/>
      <c r="P10439" s="99"/>
      <c r="Q10439" s="99"/>
      <c r="R10439" s="99"/>
    </row>
    <row r="10440" spans="5:18" s="65" customFormat="1">
      <c r="E10440" s="130"/>
      <c r="P10440" s="99"/>
      <c r="Q10440" s="99"/>
      <c r="R10440" s="99"/>
    </row>
    <row r="10441" spans="5:18" s="65" customFormat="1">
      <c r="E10441" s="130"/>
      <c r="P10441" s="99"/>
      <c r="Q10441" s="99"/>
      <c r="R10441" s="99"/>
    </row>
    <row r="10442" spans="5:18" s="65" customFormat="1">
      <c r="E10442" s="130"/>
      <c r="P10442" s="99"/>
      <c r="Q10442" s="99"/>
      <c r="R10442" s="99"/>
    </row>
    <row r="10443" spans="5:18" s="65" customFormat="1">
      <c r="E10443" s="130"/>
      <c r="P10443" s="99"/>
      <c r="Q10443" s="99"/>
      <c r="R10443" s="99"/>
    </row>
    <row r="10444" spans="5:18" s="65" customFormat="1">
      <c r="E10444" s="130"/>
      <c r="P10444" s="99"/>
      <c r="Q10444" s="99"/>
      <c r="R10444" s="99"/>
    </row>
    <row r="10445" spans="5:18" s="65" customFormat="1">
      <c r="E10445" s="130"/>
      <c r="P10445" s="99"/>
      <c r="Q10445" s="99"/>
      <c r="R10445" s="99"/>
    </row>
    <row r="10446" spans="5:18" s="65" customFormat="1">
      <c r="E10446" s="130"/>
      <c r="P10446" s="99"/>
      <c r="Q10446" s="99"/>
      <c r="R10446" s="99"/>
    </row>
    <row r="10447" spans="5:18" s="65" customFormat="1">
      <c r="E10447" s="130"/>
      <c r="P10447" s="99"/>
      <c r="Q10447" s="99"/>
      <c r="R10447" s="99"/>
    </row>
    <row r="10448" spans="5:18" s="65" customFormat="1">
      <c r="E10448" s="130"/>
      <c r="P10448" s="99"/>
      <c r="Q10448" s="99"/>
      <c r="R10448" s="99"/>
    </row>
    <row r="10449" spans="5:18" s="65" customFormat="1">
      <c r="E10449" s="130"/>
      <c r="P10449" s="99"/>
      <c r="Q10449" s="99"/>
      <c r="R10449" s="99"/>
    </row>
    <row r="10450" spans="5:18" s="65" customFormat="1">
      <c r="E10450" s="130"/>
      <c r="P10450" s="99"/>
      <c r="Q10450" s="99"/>
      <c r="R10450" s="99"/>
    </row>
    <row r="10451" spans="5:18" s="65" customFormat="1">
      <c r="E10451" s="130"/>
      <c r="P10451" s="99"/>
      <c r="Q10451" s="99"/>
      <c r="R10451" s="99"/>
    </row>
    <row r="10452" spans="5:18" s="65" customFormat="1">
      <c r="E10452" s="130"/>
      <c r="P10452" s="99"/>
      <c r="Q10452" s="99"/>
      <c r="R10452" s="99"/>
    </row>
    <row r="10453" spans="5:18" s="65" customFormat="1">
      <c r="E10453" s="130"/>
      <c r="P10453" s="99"/>
      <c r="Q10453" s="99"/>
      <c r="R10453" s="99"/>
    </row>
    <row r="10454" spans="5:18" s="65" customFormat="1">
      <c r="E10454" s="130"/>
      <c r="P10454" s="99"/>
      <c r="Q10454" s="99"/>
      <c r="R10454" s="99"/>
    </row>
    <row r="10455" spans="5:18" s="65" customFormat="1">
      <c r="E10455" s="130"/>
      <c r="P10455" s="99"/>
      <c r="Q10455" s="99"/>
      <c r="R10455" s="99"/>
    </row>
    <row r="10456" spans="5:18" s="65" customFormat="1">
      <c r="E10456" s="130"/>
      <c r="P10456" s="99"/>
      <c r="Q10456" s="99"/>
      <c r="R10456" s="99"/>
    </row>
    <row r="10457" spans="5:18" s="65" customFormat="1">
      <c r="E10457" s="130"/>
      <c r="P10457" s="99"/>
      <c r="Q10457" s="99"/>
      <c r="R10457" s="99"/>
    </row>
    <row r="10458" spans="5:18" s="65" customFormat="1">
      <c r="E10458" s="130"/>
      <c r="P10458" s="99"/>
      <c r="Q10458" s="99"/>
      <c r="R10458" s="99"/>
    </row>
    <row r="10459" spans="5:18" s="65" customFormat="1">
      <c r="E10459" s="130"/>
      <c r="P10459" s="99"/>
      <c r="Q10459" s="99"/>
      <c r="R10459" s="99"/>
    </row>
    <row r="10460" spans="5:18" s="65" customFormat="1">
      <c r="E10460" s="130"/>
      <c r="P10460" s="99"/>
      <c r="Q10460" s="99"/>
      <c r="R10460" s="99"/>
    </row>
    <row r="10461" spans="5:18" s="65" customFormat="1">
      <c r="E10461" s="130"/>
      <c r="P10461" s="99"/>
      <c r="Q10461" s="99"/>
      <c r="R10461" s="99"/>
    </row>
    <row r="10462" spans="5:18" s="65" customFormat="1">
      <c r="E10462" s="130"/>
      <c r="P10462" s="99"/>
      <c r="Q10462" s="99"/>
      <c r="R10462" s="99"/>
    </row>
    <row r="10463" spans="5:18" s="65" customFormat="1">
      <c r="E10463" s="130"/>
      <c r="P10463" s="99"/>
      <c r="Q10463" s="99"/>
      <c r="R10463" s="99"/>
    </row>
    <row r="10464" spans="5:18" s="65" customFormat="1">
      <c r="E10464" s="130"/>
      <c r="P10464" s="99"/>
      <c r="Q10464" s="99"/>
      <c r="R10464" s="99"/>
    </row>
    <row r="10465" spans="5:18" s="65" customFormat="1">
      <c r="E10465" s="130"/>
      <c r="P10465" s="99"/>
      <c r="Q10465" s="99"/>
      <c r="R10465" s="99"/>
    </row>
    <row r="10466" spans="5:18" s="65" customFormat="1">
      <c r="E10466" s="130"/>
      <c r="P10466" s="99"/>
      <c r="Q10466" s="99"/>
      <c r="R10466" s="99"/>
    </row>
    <row r="10467" spans="5:18" s="65" customFormat="1">
      <c r="E10467" s="130"/>
      <c r="P10467" s="99"/>
      <c r="Q10467" s="99"/>
      <c r="R10467" s="99"/>
    </row>
    <row r="10468" spans="5:18" s="65" customFormat="1">
      <c r="E10468" s="130"/>
      <c r="P10468" s="99"/>
      <c r="Q10468" s="99"/>
      <c r="R10468" s="99"/>
    </row>
    <row r="10469" spans="5:18" s="65" customFormat="1">
      <c r="E10469" s="130"/>
      <c r="P10469" s="99"/>
      <c r="Q10469" s="99"/>
      <c r="R10469" s="99"/>
    </row>
    <row r="10470" spans="5:18" s="65" customFormat="1">
      <c r="E10470" s="130"/>
      <c r="P10470" s="99"/>
      <c r="Q10470" s="99"/>
      <c r="R10470" s="99"/>
    </row>
    <row r="10471" spans="5:18" s="65" customFormat="1">
      <c r="E10471" s="130"/>
      <c r="P10471" s="99"/>
      <c r="Q10471" s="99"/>
      <c r="R10471" s="99"/>
    </row>
    <row r="10472" spans="5:18" s="65" customFormat="1">
      <c r="E10472" s="130"/>
      <c r="P10472" s="99"/>
      <c r="Q10472" s="99"/>
      <c r="R10472" s="99"/>
    </row>
    <row r="10473" spans="5:18" s="65" customFormat="1">
      <c r="E10473" s="130"/>
      <c r="P10473" s="99"/>
      <c r="Q10473" s="99"/>
      <c r="R10473" s="99"/>
    </row>
    <row r="10474" spans="5:18" s="65" customFormat="1">
      <c r="E10474" s="130"/>
      <c r="P10474" s="99"/>
      <c r="Q10474" s="99"/>
      <c r="R10474" s="99"/>
    </row>
    <row r="10475" spans="5:18" s="65" customFormat="1">
      <c r="E10475" s="130"/>
      <c r="P10475" s="99"/>
      <c r="Q10475" s="99"/>
      <c r="R10475" s="99"/>
    </row>
    <row r="10476" spans="5:18" s="65" customFormat="1">
      <c r="E10476" s="130"/>
      <c r="P10476" s="99"/>
      <c r="Q10476" s="99"/>
      <c r="R10476" s="99"/>
    </row>
    <row r="10477" spans="5:18" s="65" customFormat="1">
      <c r="E10477" s="130"/>
      <c r="P10477" s="99"/>
      <c r="Q10477" s="99"/>
      <c r="R10477" s="99"/>
    </row>
    <row r="10478" spans="5:18" s="65" customFormat="1">
      <c r="E10478" s="130"/>
      <c r="P10478" s="99"/>
      <c r="Q10478" s="99"/>
      <c r="R10478" s="99"/>
    </row>
    <row r="10479" spans="5:18" s="65" customFormat="1">
      <c r="E10479" s="130"/>
      <c r="P10479" s="99"/>
      <c r="Q10479" s="99"/>
      <c r="R10479" s="99"/>
    </row>
    <row r="10480" spans="5:18" s="65" customFormat="1">
      <c r="E10480" s="130"/>
      <c r="P10480" s="99"/>
      <c r="Q10480" s="99"/>
      <c r="R10480" s="99"/>
    </row>
    <row r="10481" spans="5:18" s="65" customFormat="1">
      <c r="E10481" s="130"/>
      <c r="P10481" s="99"/>
      <c r="Q10481" s="99"/>
      <c r="R10481" s="99"/>
    </row>
    <row r="10482" spans="5:18" s="65" customFormat="1">
      <c r="E10482" s="130"/>
      <c r="P10482" s="99"/>
      <c r="Q10482" s="99"/>
      <c r="R10482" s="99"/>
    </row>
    <row r="10483" spans="5:18" s="65" customFormat="1">
      <c r="E10483" s="130"/>
      <c r="P10483" s="99"/>
      <c r="Q10483" s="99"/>
      <c r="R10483" s="99"/>
    </row>
    <row r="10484" spans="5:18" s="65" customFormat="1">
      <c r="E10484" s="130"/>
      <c r="P10484" s="99"/>
      <c r="Q10484" s="99"/>
      <c r="R10484" s="99"/>
    </row>
    <row r="10485" spans="5:18" s="65" customFormat="1">
      <c r="E10485" s="130"/>
      <c r="P10485" s="99"/>
      <c r="Q10485" s="99"/>
      <c r="R10485" s="99"/>
    </row>
    <row r="10486" spans="5:18" s="65" customFormat="1">
      <c r="E10486" s="130"/>
      <c r="P10486" s="99"/>
      <c r="Q10486" s="99"/>
      <c r="R10486" s="99"/>
    </row>
    <row r="10487" spans="5:18" s="65" customFormat="1">
      <c r="E10487" s="130"/>
      <c r="P10487" s="99"/>
      <c r="Q10487" s="99"/>
      <c r="R10487" s="99"/>
    </row>
    <row r="10488" spans="5:18" s="65" customFormat="1">
      <c r="E10488" s="130"/>
      <c r="P10488" s="99"/>
      <c r="Q10488" s="99"/>
      <c r="R10488" s="99"/>
    </row>
    <row r="10489" spans="5:18" s="65" customFormat="1">
      <c r="E10489" s="130"/>
      <c r="P10489" s="99"/>
      <c r="Q10489" s="99"/>
      <c r="R10489" s="99"/>
    </row>
    <row r="10490" spans="5:18" s="65" customFormat="1">
      <c r="E10490" s="130"/>
      <c r="P10490" s="99"/>
      <c r="Q10490" s="99"/>
      <c r="R10490" s="99"/>
    </row>
    <row r="10491" spans="5:18" s="65" customFormat="1">
      <c r="E10491" s="130"/>
      <c r="P10491" s="99"/>
      <c r="Q10491" s="99"/>
      <c r="R10491" s="99"/>
    </row>
    <row r="10492" spans="5:18" s="65" customFormat="1">
      <c r="E10492" s="130"/>
      <c r="P10492" s="99"/>
      <c r="Q10492" s="99"/>
      <c r="R10492" s="99"/>
    </row>
    <row r="10493" spans="5:18" s="65" customFormat="1">
      <c r="E10493" s="130"/>
      <c r="P10493" s="99"/>
      <c r="Q10493" s="99"/>
      <c r="R10493" s="99"/>
    </row>
    <row r="10494" spans="5:18" s="65" customFormat="1">
      <c r="E10494" s="130"/>
      <c r="P10494" s="99"/>
      <c r="Q10494" s="99"/>
      <c r="R10494" s="99"/>
    </row>
    <row r="10495" spans="5:18" s="65" customFormat="1">
      <c r="E10495" s="130"/>
      <c r="P10495" s="99"/>
      <c r="Q10495" s="99"/>
      <c r="R10495" s="99"/>
    </row>
    <row r="10496" spans="5:18" s="65" customFormat="1">
      <c r="E10496" s="130"/>
      <c r="P10496" s="99"/>
      <c r="Q10496" s="99"/>
      <c r="R10496" s="99"/>
    </row>
    <row r="10497" spans="5:18" s="65" customFormat="1">
      <c r="E10497" s="130"/>
      <c r="P10497" s="99"/>
      <c r="Q10497" s="99"/>
      <c r="R10497" s="99"/>
    </row>
    <row r="10498" spans="5:18" s="65" customFormat="1">
      <c r="E10498" s="130"/>
      <c r="P10498" s="99"/>
      <c r="Q10498" s="99"/>
      <c r="R10498" s="99"/>
    </row>
    <row r="10499" spans="5:18" s="65" customFormat="1">
      <c r="E10499" s="130"/>
      <c r="P10499" s="99"/>
      <c r="Q10499" s="99"/>
      <c r="R10499" s="99"/>
    </row>
    <row r="10500" spans="5:18" s="65" customFormat="1">
      <c r="E10500" s="130"/>
      <c r="P10500" s="99"/>
      <c r="Q10500" s="99"/>
      <c r="R10500" s="99"/>
    </row>
    <row r="10501" spans="5:18" s="65" customFormat="1">
      <c r="E10501" s="130"/>
      <c r="P10501" s="99"/>
      <c r="Q10501" s="99"/>
      <c r="R10501" s="99"/>
    </row>
    <row r="10502" spans="5:18" s="65" customFormat="1">
      <c r="E10502" s="130"/>
      <c r="P10502" s="99"/>
      <c r="Q10502" s="99"/>
      <c r="R10502" s="99"/>
    </row>
    <row r="10503" spans="5:18" s="65" customFormat="1">
      <c r="E10503" s="130"/>
      <c r="P10503" s="99"/>
      <c r="Q10503" s="99"/>
      <c r="R10503" s="99"/>
    </row>
    <row r="10504" spans="5:18" s="65" customFormat="1">
      <c r="E10504" s="130"/>
      <c r="P10504" s="99"/>
      <c r="Q10504" s="99"/>
      <c r="R10504" s="99"/>
    </row>
    <row r="10505" spans="5:18" s="65" customFormat="1">
      <c r="E10505" s="130"/>
      <c r="P10505" s="99"/>
      <c r="Q10505" s="99"/>
      <c r="R10505" s="99"/>
    </row>
    <row r="10506" spans="5:18" s="65" customFormat="1">
      <c r="E10506" s="130"/>
      <c r="P10506" s="99"/>
      <c r="Q10506" s="99"/>
      <c r="R10506" s="99"/>
    </row>
    <row r="10507" spans="5:18" s="65" customFormat="1">
      <c r="E10507" s="130"/>
      <c r="P10507" s="99"/>
      <c r="Q10507" s="99"/>
      <c r="R10507" s="99"/>
    </row>
    <row r="10508" spans="5:18" s="65" customFormat="1">
      <c r="E10508" s="130"/>
      <c r="P10508" s="99"/>
      <c r="Q10508" s="99"/>
      <c r="R10508" s="99"/>
    </row>
    <row r="10509" spans="5:18" s="65" customFormat="1">
      <c r="E10509" s="130"/>
      <c r="P10509" s="99"/>
      <c r="Q10509" s="99"/>
      <c r="R10509" s="99"/>
    </row>
    <row r="10510" spans="5:18" s="65" customFormat="1">
      <c r="E10510" s="130"/>
      <c r="P10510" s="99"/>
      <c r="Q10510" s="99"/>
      <c r="R10510" s="99"/>
    </row>
    <row r="10511" spans="5:18" s="65" customFormat="1">
      <c r="E10511" s="130"/>
      <c r="P10511" s="99"/>
      <c r="Q10511" s="99"/>
      <c r="R10511" s="99"/>
    </row>
    <row r="10512" spans="5:18" s="65" customFormat="1">
      <c r="E10512" s="130"/>
      <c r="P10512" s="99"/>
      <c r="Q10512" s="99"/>
      <c r="R10512" s="99"/>
    </row>
    <row r="10513" spans="5:18" s="65" customFormat="1">
      <c r="E10513" s="130"/>
      <c r="P10513" s="99"/>
      <c r="Q10513" s="99"/>
      <c r="R10513" s="99"/>
    </row>
    <row r="10514" spans="5:18" s="65" customFormat="1">
      <c r="E10514" s="130"/>
      <c r="P10514" s="99"/>
      <c r="Q10514" s="99"/>
      <c r="R10514" s="99"/>
    </row>
    <row r="10515" spans="5:18" s="65" customFormat="1">
      <c r="E10515" s="130"/>
      <c r="P10515" s="99"/>
      <c r="Q10515" s="99"/>
      <c r="R10515" s="99"/>
    </row>
    <row r="10516" spans="5:18" s="65" customFormat="1">
      <c r="E10516" s="130"/>
      <c r="P10516" s="99"/>
      <c r="Q10516" s="99"/>
      <c r="R10516" s="99"/>
    </row>
    <row r="10517" spans="5:18" s="65" customFormat="1">
      <c r="E10517" s="130"/>
      <c r="P10517" s="99"/>
      <c r="Q10517" s="99"/>
      <c r="R10517" s="99"/>
    </row>
    <row r="10518" spans="5:18" s="65" customFormat="1">
      <c r="E10518" s="130"/>
      <c r="P10518" s="99"/>
      <c r="Q10518" s="99"/>
      <c r="R10518" s="99"/>
    </row>
    <row r="10519" spans="5:18" s="65" customFormat="1">
      <c r="E10519" s="130"/>
      <c r="P10519" s="99"/>
      <c r="Q10519" s="99"/>
      <c r="R10519" s="99"/>
    </row>
    <row r="10520" spans="5:18" s="65" customFormat="1">
      <c r="E10520" s="130"/>
      <c r="P10520" s="99"/>
      <c r="Q10520" s="99"/>
      <c r="R10520" s="99"/>
    </row>
    <row r="10521" spans="5:18" s="65" customFormat="1">
      <c r="E10521" s="130"/>
      <c r="P10521" s="99"/>
      <c r="Q10521" s="99"/>
      <c r="R10521" s="99"/>
    </row>
    <row r="10522" spans="5:18" s="65" customFormat="1">
      <c r="E10522" s="130"/>
      <c r="P10522" s="99"/>
      <c r="Q10522" s="99"/>
      <c r="R10522" s="99"/>
    </row>
    <row r="10523" spans="5:18" s="65" customFormat="1">
      <c r="E10523" s="130"/>
      <c r="P10523" s="99"/>
      <c r="Q10523" s="99"/>
      <c r="R10523" s="99"/>
    </row>
    <row r="10524" spans="5:18" s="65" customFormat="1">
      <c r="E10524" s="130"/>
      <c r="P10524" s="99"/>
      <c r="Q10524" s="99"/>
      <c r="R10524" s="99"/>
    </row>
    <row r="10525" spans="5:18" s="65" customFormat="1">
      <c r="E10525" s="130"/>
      <c r="P10525" s="99"/>
      <c r="Q10525" s="99"/>
      <c r="R10525" s="99"/>
    </row>
    <row r="10526" spans="5:18" s="65" customFormat="1">
      <c r="E10526" s="130"/>
      <c r="P10526" s="99"/>
      <c r="Q10526" s="99"/>
      <c r="R10526" s="99"/>
    </row>
    <row r="10527" spans="5:18" s="65" customFormat="1">
      <c r="E10527" s="130"/>
      <c r="P10527" s="99"/>
      <c r="Q10527" s="99"/>
      <c r="R10527" s="99"/>
    </row>
    <row r="10528" spans="5:18" s="65" customFormat="1">
      <c r="E10528" s="130"/>
      <c r="P10528" s="99"/>
      <c r="Q10528" s="99"/>
      <c r="R10528" s="99"/>
    </row>
    <row r="10529" spans="5:18" s="65" customFormat="1">
      <c r="E10529" s="130"/>
      <c r="P10529" s="99"/>
      <c r="Q10529" s="99"/>
      <c r="R10529" s="99"/>
    </row>
    <row r="10530" spans="5:18" s="65" customFormat="1">
      <c r="E10530" s="130"/>
      <c r="P10530" s="99"/>
      <c r="Q10530" s="99"/>
      <c r="R10530" s="99"/>
    </row>
    <row r="10531" spans="5:18" s="65" customFormat="1">
      <c r="E10531" s="130"/>
      <c r="P10531" s="99"/>
      <c r="Q10531" s="99"/>
      <c r="R10531" s="99"/>
    </row>
    <row r="10532" spans="5:18" s="65" customFormat="1">
      <c r="E10532" s="130"/>
      <c r="P10532" s="99"/>
      <c r="Q10532" s="99"/>
      <c r="R10532" s="99"/>
    </row>
    <row r="10533" spans="5:18" s="65" customFormat="1">
      <c r="E10533" s="130"/>
      <c r="P10533" s="99"/>
      <c r="Q10533" s="99"/>
      <c r="R10533" s="99"/>
    </row>
    <row r="10534" spans="5:18" s="65" customFormat="1">
      <c r="E10534" s="130"/>
      <c r="P10534" s="99"/>
      <c r="Q10534" s="99"/>
      <c r="R10534" s="99"/>
    </row>
    <row r="10535" spans="5:18" s="65" customFormat="1">
      <c r="E10535" s="130"/>
      <c r="P10535" s="99"/>
      <c r="Q10535" s="99"/>
      <c r="R10535" s="99"/>
    </row>
    <row r="10536" spans="5:18" s="65" customFormat="1">
      <c r="E10536" s="130"/>
      <c r="P10536" s="99"/>
      <c r="Q10536" s="99"/>
      <c r="R10536" s="99"/>
    </row>
    <row r="10537" spans="5:18" s="65" customFormat="1">
      <c r="E10537" s="130"/>
      <c r="P10537" s="99"/>
      <c r="Q10537" s="99"/>
      <c r="R10537" s="99"/>
    </row>
    <row r="10538" spans="5:18" s="65" customFormat="1">
      <c r="E10538" s="130"/>
      <c r="P10538" s="99"/>
      <c r="Q10538" s="99"/>
      <c r="R10538" s="99"/>
    </row>
    <row r="10539" spans="5:18" s="65" customFormat="1">
      <c r="E10539" s="130"/>
      <c r="P10539" s="99"/>
      <c r="Q10539" s="99"/>
      <c r="R10539" s="99"/>
    </row>
    <row r="10540" spans="5:18" s="65" customFormat="1">
      <c r="E10540" s="130"/>
      <c r="P10540" s="99"/>
      <c r="Q10540" s="99"/>
      <c r="R10540" s="99"/>
    </row>
    <row r="10541" spans="5:18" s="65" customFormat="1">
      <c r="E10541" s="130"/>
      <c r="P10541" s="99"/>
      <c r="Q10541" s="99"/>
      <c r="R10541" s="99"/>
    </row>
    <row r="10542" spans="5:18" s="65" customFormat="1">
      <c r="E10542" s="130"/>
      <c r="P10542" s="99"/>
      <c r="Q10542" s="99"/>
      <c r="R10542" s="99"/>
    </row>
    <row r="10543" spans="5:18" s="65" customFormat="1">
      <c r="E10543" s="130"/>
      <c r="P10543" s="99"/>
      <c r="Q10543" s="99"/>
      <c r="R10543" s="99"/>
    </row>
    <row r="10544" spans="5:18" s="65" customFormat="1">
      <c r="E10544" s="130"/>
      <c r="P10544" s="99"/>
      <c r="Q10544" s="99"/>
      <c r="R10544" s="99"/>
    </row>
    <row r="10545" spans="5:18" s="65" customFormat="1">
      <c r="E10545" s="130"/>
      <c r="P10545" s="99"/>
      <c r="Q10545" s="99"/>
      <c r="R10545" s="99"/>
    </row>
    <row r="10546" spans="5:18" s="65" customFormat="1">
      <c r="E10546" s="130"/>
      <c r="P10546" s="99"/>
      <c r="Q10546" s="99"/>
      <c r="R10546" s="99"/>
    </row>
    <row r="10547" spans="5:18" s="65" customFormat="1">
      <c r="E10547" s="130"/>
      <c r="P10547" s="99"/>
      <c r="Q10547" s="99"/>
      <c r="R10547" s="99"/>
    </row>
    <row r="10548" spans="5:18" s="65" customFormat="1">
      <c r="E10548" s="130"/>
      <c r="P10548" s="99"/>
      <c r="Q10548" s="99"/>
      <c r="R10548" s="99"/>
    </row>
    <row r="10549" spans="5:18" s="65" customFormat="1">
      <c r="E10549" s="130"/>
      <c r="P10549" s="99"/>
      <c r="Q10549" s="99"/>
      <c r="R10549" s="99"/>
    </row>
    <row r="10550" spans="5:18" s="65" customFormat="1">
      <c r="E10550" s="130"/>
      <c r="P10550" s="99"/>
      <c r="Q10550" s="99"/>
      <c r="R10550" s="99"/>
    </row>
    <row r="10551" spans="5:18" s="65" customFormat="1">
      <c r="E10551" s="130"/>
      <c r="P10551" s="99"/>
      <c r="Q10551" s="99"/>
      <c r="R10551" s="99"/>
    </row>
    <row r="10552" spans="5:18" s="65" customFormat="1">
      <c r="E10552" s="130"/>
      <c r="P10552" s="99"/>
      <c r="Q10552" s="99"/>
      <c r="R10552" s="99"/>
    </row>
    <row r="10553" spans="5:18" s="65" customFormat="1">
      <c r="E10553" s="130"/>
      <c r="P10553" s="99"/>
      <c r="Q10553" s="99"/>
      <c r="R10553" s="99"/>
    </row>
    <row r="10554" spans="5:18" s="65" customFormat="1">
      <c r="E10554" s="130"/>
      <c r="P10554" s="99"/>
      <c r="Q10554" s="99"/>
      <c r="R10554" s="99"/>
    </row>
    <row r="10555" spans="5:18" s="65" customFormat="1">
      <c r="E10555" s="130"/>
      <c r="P10555" s="99"/>
      <c r="Q10555" s="99"/>
      <c r="R10555" s="99"/>
    </row>
    <row r="10556" spans="5:18" s="65" customFormat="1">
      <c r="E10556" s="130"/>
      <c r="P10556" s="99"/>
      <c r="Q10556" s="99"/>
      <c r="R10556" s="99"/>
    </row>
    <row r="10557" spans="5:18" s="65" customFormat="1">
      <c r="E10557" s="130"/>
      <c r="P10557" s="99"/>
      <c r="Q10557" s="99"/>
      <c r="R10557" s="99"/>
    </row>
    <row r="10558" spans="5:18" s="65" customFormat="1">
      <c r="E10558" s="130"/>
      <c r="P10558" s="99"/>
      <c r="Q10558" s="99"/>
      <c r="R10558" s="99"/>
    </row>
    <row r="10559" spans="5:18" s="65" customFormat="1">
      <c r="E10559" s="130"/>
      <c r="P10559" s="99"/>
      <c r="Q10559" s="99"/>
      <c r="R10559" s="99"/>
    </row>
    <row r="10560" spans="5:18" s="65" customFormat="1">
      <c r="E10560" s="130"/>
      <c r="P10560" s="99"/>
      <c r="Q10560" s="99"/>
      <c r="R10560" s="99"/>
    </row>
    <row r="10561" spans="5:18" s="65" customFormat="1">
      <c r="E10561" s="130"/>
      <c r="P10561" s="99"/>
      <c r="Q10561" s="99"/>
      <c r="R10561" s="99"/>
    </row>
    <row r="10562" spans="5:18" s="65" customFormat="1">
      <c r="E10562" s="130"/>
      <c r="P10562" s="99"/>
      <c r="Q10562" s="99"/>
      <c r="R10562" s="99"/>
    </row>
    <row r="10563" spans="5:18" s="65" customFormat="1">
      <c r="E10563" s="130"/>
      <c r="P10563" s="99"/>
      <c r="Q10563" s="99"/>
      <c r="R10563" s="99"/>
    </row>
    <row r="10564" spans="5:18" s="65" customFormat="1">
      <c r="E10564" s="130"/>
      <c r="P10564" s="99"/>
      <c r="Q10564" s="99"/>
      <c r="R10564" s="99"/>
    </row>
    <row r="10565" spans="5:18" s="65" customFormat="1">
      <c r="E10565" s="130"/>
      <c r="P10565" s="99"/>
      <c r="Q10565" s="99"/>
      <c r="R10565" s="99"/>
    </row>
    <row r="10566" spans="5:18" s="65" customFormat="1">
      <c r="E10566" s="130"/>
      <c r="P10566" s="99"/>
      <c r="Q10566" s="99"/>
      <c r="R10566" s="99"/>
    </row>
    <row r="10567" spans="5:18" s="65" customFormat="1">
      <c r="E10567" s="130"/>
      <c r="P10567" s="99"/>
      <c r="Q10567" s="99"/>
      <c r="R10567" s="99"/>
    </row>
    <row r="10568" spans="5:18" s="65" customFormat="1">
      <c r="E10568" s="130"/>
      <c r="P10568" s="99"/>
      <c r="Q10568" s="99"/>
      <c r="R10568" s="99"/>
    </row>
    <row r="10569" spans="5:18" s="65" customFormat="1">
      <c r="E10569" s="130"/>
      <c r="P10569" s="99"/>
      <c r="Q10569" s="99"/>
      <c r="R10569" s="99"/>
    </row>
    <row r="10570" spans="5:18" s="65" customFormat="1">
      <c r="E10570" s="130"/>
      <c r="P10570" s="99"/>
      <c r="Q10570" s="99"/>
      <c r="R10570" s="99"/>
    </row>
    <row r="10571" spans="5:18" s="65" customFormat="1">
      <c r="E10571" s="130"/>
      <c r="P10571" s="99"/>
      <c r="Q10571" s="99"/>
      <c r="R10571" s="99"/>
    </row>
    <row r="10572" spans="5:18" s="65" customFormat="1">
      <c r="E10572" s="130"/>
      <c r="P10572" s="99"/>
      <c r="Q10572" s="99"/>
      <c r="R10572" s="99"/>
    </row>
    <row r="10573" spans="5:18" s="65" customFormat="1">
      <c r="E10573" s="130"/>
      <c r="P10573" s="99"/>
      <c r="Q10573" s="99"/>
      <c r="R10573" s="99"/>
    </row>
    <row r="10574" spans="5:18" s="65" customFormat="1">
      <c r="E10574" s="130"/>
      <c r="P10574" s="99"/>
      <c r="Q10574" s="99"/>
      <c r="R10574" s="99"/>
    </row>
    <row r="10575" spans="5:18" s="65" customFormat="1">
      <c r="E10575" s="130"/>
      <c r="P10575" s="99"/>
      <c r="Q10575" s="99"/>
      <c r="R10575" s="99"/>
    </row>
    <row r="10576" spans="5:18" s="65" customFormat="1">
      <c r="E10576" s="130"/>
      <c r="P10576" s="99"/>
      <c r="Q10576" s="99"/>
      <c r="R10576" s="99"/>
    </row>
    <row r="10577" spans="5:18" s="65" customFormat="1">
      <c r="E10577" s="130"/>
      <c r="P10577" s="99"/>
      <c r="Q10577" s="99"/>
      <c r="R10577" s="99"/>
    </row>
    <row r="10578" spans="5:18" s="65" customFormat="1">
      <c r="E10578" s="130"/>
      <c r="P10578" s="99"/>
      <c r="Q10578" s="99"/>
      <c r="R10578" s="99"/>
    </row>
    <row r="10579" spans="5:18" s="65" customFormat="1">
      <c r="E10579" s="130"/>
      <c r="P10579" s="99"/>
      <c r="Q10579" s="99"/>
      <c r="R10579" s="99"/>
    </row>
    <row r="10580" spans="5:18" s="65" customFormat="1">
      <c r="E10580" s="130"/>
      <c r="P10580" s="99"/>
      <c r="Q10580" s="99"/>
      <c r="R10580" s="99"/>
    </row>
    <row r="10581" spans="5:18" s="65" customFormat="1">
      <c r="E10581" s="130"/>
      <c r="P10581" s="99"/>
      <c r="Q10581" s="99"/>
      <c r="R10581" s="99"/>
    </row>
    <row r="10582" spans="5:18" s="65" customFormat="1">
      <c r="E10582" s="130"/>
      <c r="P10582" s="99"/>
      <c r="Q10582" s="99"/>
      <c r="R10582" s="99"/>
    </row>
    <row r="10583" spans="5:18" s="65" customFormat="1">
      <c r="E10583" s="130"/>
      <c r="P10583" s="99"/>
      <c r="Q10583" s="99"/>
      <c r="R10583" s="99"/>
    </row>
    <row r="10584" spans="5:18" s="65" customFormat="1">
      <c r="E10584" s="130"/>
      <c r="P10584" s="99"/>
      <c r="Q10584" s="99"/>
      <c r="R10584" s="99"/>
    </row>
    <row r="10585" spans="5:18" s="65" customFormat="1">
      <c r="E10585" s="130"/>
      <c r="P10585" s="99"/>
      <c r="Q10585" s="99"/>
      <c r="R10585" s="99"/>
    </row>
    <row r="10586" spans="5:18" s="65" customFormat="1">
      <c r="E10586" s="130"/>
      <c r="P10586" s="99"/>
      <c r="Q10586" s="99"/>
      <c r="R10586" s="99"/>
    </row>
    <row r="10587" spans="5:18" s="65" customFormat="1">
      <c r="E10587" s="130"/>
      <c r="P10587" s="99"/>
      <c r="Q10587" s="99"/>
      <c r="R10587" s="99"/>
    </row>
    <row r="10588" spans="5:18" s="65" customFormat="1">
      <c r="E10588" s="130"/>
      <c r="P10588" s="99"/>
      <c r="Q10588" s="99"/>
      <c r="R10588" s="99"/>
    </row>
    <row r="10589" spans="5:18" s="65" customFormat="1">
      <c r="E10589" s="130"/>
      <c r="P10589" s="99"/>
      <c r="Q10589" s="99"/>
      <c r="R10589" s="99"/>
    </row>
    <row r="10590" spans="5:18" s="65" customFormat="1">
      <c r="E10590" s="130"/>
      <c r="P10590" s="99"/>
      <c r="Q10590" s="99"/>
      <c r="R10590" s="99"/>
    </row>
    <row r="10591" spans="5:18" s="65" customFormat="1">
      <c r="E10591" s="130"/>
      <c r="P10591" s="99"/>
      <c r="Q10591" s="99"/>
      <c r="R10591" s="99"/>
    </row>
    <row r="10592" spans="5:18" s="65" customFormat="1">
      <c r="E10592" s="130"/>
      <c r="P10592" s="99"/>
      <c r="Q10592" s="99"/>
      <c r="R10592" s="99"/>
    </row>
    <row r="10593" spans="5:18" s="65" customFormat="1">
      <c r="E10593" s="130"/>
      <c r="P10593" s="99"/>
      <c r="Q10593" s="99"/>
      <c r="R10593" s="99"/>
    </row>
    <row r="10594" spans="5:18" s="65" customFormat="1">
      <c r="E10594" s="130"/>
      <c r="P10594" s="99"/>
      <c r="Q10594" s="99"/>
      <c r="R10594" s="99"/>
    </row>
    <row r="10595" spans="5:18" s="65" customFormat="1">
      <c r="E10595" s="130"/>
      <c r="P10595" s="99"/>
      <c r="Q10595" s="99"/>
      <c r="R10595" s="99"/>
    </row>
    <row r="10596" spans="5:18" s="65" customFormat="1">
      <c r="E10596" s="130"/>
      <c r="P10596" s="99"/>
      <c r="Q10596" s="99"/>
      <c r="R10596" s="99"/>
    </row>
    <row r="10597" spans="5:18" s="65" customFormat="1">
      <c r="E10597" s="130"/>
      <c r="P10597" s="99"/>
      <c r="Q10597" s="99"/>
      <c r="R10597" s="99"/>
    </row>
    <row r="10598" spans="5:18" s="65" customFormat="1">
      <c r="E10598" s="130"/>
      <c r="P10598" s="99"/>
      <c r="Q10598" s="99"/>
      <c r="R10598" s="99"/>
    </row>
    <row r="10599" spans="5:18" s="65" customFormat="1">
      <c r="E10599" s="130"/>
      <c r="P10599" s="99"/>
      <c r="Q10599" s="99"/>
      <c r="R10599" s="99"/>
    </row>
    <row r="10600" spans="5:18" s="65" customFormat="1">
      <c r="E10600" s="130"/>
      <c r="P10600" s="99"/>
      <c r="Q10600" s="99"/>
      <c r="R10600" s="99"/>
    </row>
    <row r="10601" spans="5:18" s="65" customFormat="1">
      <c r="E10601" s="130"/>
      <c r="P10601" s="99"/>
      <c r="Q10601" s="99"/>
      <c r="R10601" s="99"/>
    </row>
    <row r="10602" spans="5:18" s="65" customFormat="1">
      <c r="E10602" s="130"/>
      <c r="P10602" s="99"/>
      <c r="Q10602" s="99"/>
      <c r="R10602" s="99"/>
    </row>
    <row r="10603" spans="5:18" s="65" customFormat="1">
      <c r="E10603" s="130"/>
      <c r="P10603" s="99"/>
      <c r="Q10603" s="99"/>
      <c r="R10603" s="99"/>
    </row>
    <row r="10604" spans="5:18" s="65" customFormat="1">
      <c r="E10604" s="130"/>
      <c r="P10604" s="99"/>
      <c r="Q10604" s="99"/>
      <c r="R10604" s="99"/>
    </row>
    <row r="10605" spans="5:18" s="65" customFormat="1">
      <c r="E10605" s="130"/>
      <c r="P10605" s="99"/>
      <c r="Q10605" s="99"/>
      <c r="R10605" s="99"/>
    </row>
    <row r="10606" spans="5:18" s="65" customFormat="1">
      <c r="E10606" s="130"/>
      <c r="P10606" s="99"/>
      <c r="Q10606" s="99"/>
      <c r="R10606" s="99"/>
    </row>
    <row r="10607" spans="5:18" s="65" customFormat="1">
      <c r="E10607" s="130"/>
      <c r="P10607" s="99"/>
      <c r="Q10607" s="99"/>
      <c r="R10607" s="99"/>
    </row>
    <row r="10608" spans="5:18" s="65" customFormat="1">
      <c r="E10608" s="130"/>
      <c r="P10608" s="99"/>
      <c r="Q10608" s="99"/>
      <c r="R10608" s="99"/>
    </row>
    <row r="10609" spans="5:18" s="65" customFormat="1">
      <c r="E10609" s="130"/>
      <c r="P10609" s="99"/>
      <c r="Q10609" s="99"/>
      <c r="R10609" s="99"/>
    </row>
    <row r="10610" spans="5:18" s="65" customFormat="1">
      <c r="E10610" s="130"/>
      <c r="P10610" s="99"/>
      <c r="Q10610" s="99"/>
      <c r="R10610" s="99"/>
    </row>
    <row r="10611" spans="5:18" s="65" customFormat="1">
      <c r="E10611" s="130"/>
      <c r="P10611" s="99"/>
      <c r="Q10611" s="99"/>
      <c r="R10611" s="99"/>
    </row>
    <row r="10612" spans="5:18" s="65" customFormat="1">
      <c r="E10612" s="130"/>
      <c r="P10612" s="99"/>
      <c r="Q10612" s="99"/>
      <c r="R10612" s="99"/>
    </row>
    <row r="10613" spans="5:18" s="65" customFormat="1">
      <c r="E10613" s="130"/>
      <c r="P10613" s="99"/>
      <c r="Q10613" s="99"/>
      <c r="R10613" s="99"/>
    </row>
    <row r="10614" spans="5:18" s="65" customFormat="1">
      <c r="E10614" s="130"/>
      <c r="P10614" s="99"/>
      <c r="Q10614" s="99"/>
      <c r="R10614" s="99"/>
    </row>
    <row r="10615" spans="5:18" s="65" customFormat="1">
      <c r="E10615" s="130"/>
      <c r="P10615" s="99"/>
      <c r="Q10615" s="99"/>
      <c r="R10615" s="99"/>
    </row>
    <row r="10616" spans="5:18" s="65" customFormat="1">
      <c r="E10616" s="130"/>
      <c r="P10616" s="99"/>
      <c r="Q10616" s="99"/>
      <c r="R10616" s="99"/>
    </row>
    <row r="10617" spans="5:18" s="65" customFormat="1">
      <c r="E10617" s="130"/>
      <c r="P10617" s="99"/>
      <c r="Q10617" s="99"/>
      <c r="R10617" s="99"/>
    </row>
    <row r="10618" spans="5:18" s="65" customFormat="1">
      <c r="E10618" s="130"/>
      <c r="P10618" s="99"/>
      <c r="Q10618" s="99"/>
      <c r="R10618" s="99"/>
    </row>
    <row r="10619" spans="5:18" s="65" customFormat="1">
      <c r="E10619" s="130"/>
      <c r="P10619" s="99"/>
      <c r="Q10619" s="99"/>
      <c r="R10619" s="99"/>
    </row>
    <row r="10620" spans="5:18" s="65" customFormat="1">
      <c r="E10620" s="130"/>
      <c r="P10620" s="99"/>
      <c r="Q10620" s="99"/>
      <c r="R10620" s="99"/>
    </row>
    <row r="10621" spans="5:18" s="65" customFormat="1">
      <c r="E10621" s="130"/>
      <c r="P10621" s="99"/>
      <c r="Q10621" s="99"/>
      <c r="R10621" s="99"/>
    </row>
    <row r="10622" spans="5:18" s="65" customFormat="1">
      <c r="E10622" s="130"/>
      <c r="P10622" s="99"/>
      <c r="Q10622" s="99"/>
      <c r="R10622" s="99"/>
    </row>
    <row r="10623" spans="5:18" s="65" customFormat="1">
      <c r="E10623" s="130"/>
      <c r="P10623" s="99"/>
      <c r="Q10623" s="99"/>
      <c r="R10623" s="99"/>
    </row>
    <row r="10624" spans="5:18" s="65" customFormat="1">
      <c r="E10624" s="130"/>
      <c r="P10624" s="99"/>
      <c r="Q10624" s="99"/>
      <c r="R10624" s="99"/>
    </row>
    <row r="10625" spans="5:18" s="65" customFormat="1">
      <c r="E10625" s="130"/>
      <c r="P10625" s="99"/>
      <c r="Q10625" s="99"/>
      <c r="R10625" s="99"/>
    </row>
    <row r="10626" spans="5:18" s="65" customFormat="1">
      <c r="E10626" s="130"/>
      <c r="P10626" s="99"/>
      <c r="Q10626" s="99"/>
      <c r="R10626" s="99"/>
    </row>
    <row r="10627" spans="5:18" s="65" customFormat="1">
      <c r="E10627" s="130"/>
      <c r="P10627" s="99"/>
      <c r="Q10627" s="99"/>
      <c r="R10627" s="99"/>
    </row>
    <row r="10628" spans="5:18" s="65" customFormat="1">
      <c r="E10628" s="130"/>
      <c r="P10628" s="99"/>
      <c r="Q10628" s="99"/>
      <c r="R10628" s="99"/>
    </row>
    <row r="10629" spans="5:18" s="65" customFormat="1">
      <c r="E10629" s="130"/>
      <c r="P10629" s="99"/>
      <c r="Q10629" s="99"/>
      <c r="R10629" s="99"/>
    </row>
    <row r="10630" spans="5:18" s="65" customFormat="1">
      <c r="E10630" s="130"/>
      <c r="P10630" s="99"/>
      <c r="Q10630" s="99"/>
      <c r="R10630" s="99"/>
    </row>
    <row r="10631" spans="5:18" s="65" customFormat="1">
      <c r="E10631" s="130"/>
      <c r="P10631" s="99"/>
      <c r="Q10631" s="99"/>
      <c r="R10631" s="99"/>
    </row>
    <row r="10632" spans="5:18" s="65" customFormat="1">
      <c r="E10632" s="130"/>
      <c r="P10632" s="99"/>
      <c r="Q10632" s="99"/>
      <c r="R10632" s="99"/>
    </row>
    <row r="10633" spans="5:18" s="65" customFormat="1">
      <c r="E10633" s="130"/>
      <c r="P10633" s="99"/>
      <c r="Q10633" s="99"/>
      <c r="R10633" s="99"/>
    </row>
    <row r="10634" spans="5:18" s="65" customFormat="1">
      <c r="E10634" s="130"/>
      <c r="P10634" s="99"/>
      <c r="Q10634" s="99"/>
      <c r="R10634" s="99"/>
    </row>
    <row r="10635" spans="5:18" s="65" customFormat="1">
      <c r="E10635" s="130"/>
      <c r="P10635" s="99"/>
      <c r="Q10635" s="99"/>
      <c r="R10635" s="99"/>
    </row>
    <row r="10636" spans="5:18" s="65" customFormat="1">
      <c r="E10636" s="130"/>
      <c r="P10636" s="99"/>
      <c r="Q10636" s="99"/>
      <c r="R10636" s="99"/>
    </row>
    <row r="10637" spans="5:18" s="65" customFormat="1">
      <c r="E10637" s="130"/>
      <c r="P10637" s="99"/>
      <c r="Q10637" s="99"/>
      <c r="R10637" s="99"/>
    </row>
    <row r="10638" spans="5:18" s="65" customFormat="1">
      <c r="E10638" s="130"/>
      <c r="P10638" s="99"/>
      <c r="Q10638" s="99"/>
      <c r="R10638" s="99"/>
    </row>
    <row r="10639" spans="5:18" s="65" customFormat="1">
      <c r="E10639" s="130"/>
      <c r="P10639" s="99"/>
      <c r="Q10639" s="99"/>
      <c r="R10639" s="99"/>
    </row>
    <row r="10640" spans="5:18" s="65" customFormat="1">
      <c r="E10640" s="130"/>
      <c r="P10640" s="99"/>
      <c r="Q10640" s="99"/>
      <c r="R10640" s="99"/>
    </row>
    <row r="10641" spans="5:18" s="65" customFormat="1">
      <c r="E10641" s="130"/>
      <c r="P10641" s="99"/>
      <c r="Q10641" s="99"/>
      <c r="R10641" s="99"/>
    </row>
    <row r="10642" spans="5:18" s="65" customFormat="1">
      <c r="E10642" s="130"/>
      <c r="P10642" s="99"/>
      <c r="Q10642" s="99"/>
      <c r="R10642" s="99"/>
    </row>
    <row r="10643" spans="5:18" s="65" customFormat="1">
      <c r="E10643" s="130"/>
      <c r="P10643" s="99"/>
      <c r="Q10643" s="99"/>
      <c r="R10643" s="99"/>
    </row>
    <row r="10644" spans="5:18" s="65" customFormat="1">
      <c r="E10644" s="130"/>
      <c r="P10644" s="99"/>
      <c r="Q10644" s="99"/>
      <c r="R10644" s="99"/>
    </row>
    <row r="10645" spans="5:18" s="65" customFormat="1">
      <c r="E10645" s="130"/>
      <c r="P10645" s="99"/>
      <c r="Q10645" s="99"/>
      <c r="R10645" s="99"/>
    </row>
    <row r="10646" spans="5:18" s="65" customFormat="1">
      <c r="E10646" s="130"/>
      <c r="P10646" s="99"/>
      <c r="Q10646" s="99"/>
      <c r="R10646" s="99"/>
    </row>
    <row r="10647" spans="5:18" s="65" customFormat="1">
      <c r="E10647" s="130"/>
      <c r="P10647" s="99"/>
      <c r="Q10647" s="99"/>
      <c r="R10647" s="99"/>
    </row>
    <row r="10648" spans="5:18" s="65" customFormat="1">
      <c r="E10648" s="130"/>
      <c r="P10648" s="99"/>
      <c r="Q10648" s="99"/>
      <c r="R10648" s="99"/>
    </row>
    <row r="10649" spans="5:18" s="65" customFormat="1">
      <c r="E10649" s="130"/>
      <c r="P10649" s="99"/>
      <c r="Q10649" s="99"/>
      <c r="R10649" s="99"/>
    </row>
    <row r="10650" spans="5:18" s="65" customFormat="1">
      <c r="E10650" s="130"/>
      <c r="P10650" s="99"/>
      <c r="Q10650" s="99"/>
      <c r="R10650" s="99"/>
    </row>
    <row r="10651" spans="5:18" s="65" customFormat="1">
      <c r="E10651" s="130"/>
      <c r="P10651" s="99"/>
      <c r="Q10651" s="99"/>
      <c r="R10651" s="99"/>
    </row>
    <row r="10652" spans="5:18" s="65" customFormat="1">
      <c r="E10652" s="130"/>
      <c r="P10652" s="99"/>
      <c r="Q10652" s="99"/>
      <c r="R10652" s="99"/>
    </row>
    <row r="10653" spans="5:18" s="65" customFormat="1">
      <c r="E10653" s="130"/>
      <c r="P10653" s="99"/>
      <c r="Q10653" s="99"/>
      <c r="R10653" s="99"/>
    </row>
    <row r="10654" spans="5:18" s="65" customFormat="1">
      <c r="E10654" s="130"/>
      <c r="P10654" s="99"/>
      <c r="Q10654" s="99"/>
      <c r="R10654" s="99"/>
    </row>
    <row r="10655" spans="5:18" s="65" customFormat="1">
      <c r="E10655" s="130"/>
      <c r="P10655" s="99"/>
      <c r="Q10655" s="99"/>
      <c r="R10655" s="99"/>
    </row>
    <row r="10656" spans="5:18" s="65" customFormat="1">
      <c r="E10656" s="130"/>
      <c r="P10656" s="99"/>
      <c r="Q10656" s="99"/>
      <c r="R10656" s="99"/>
    </row>
    <row r="10657" spans="5:18" s="65" customFormat="1">
      <c r="E10657" s="130"/>
      <c r="P10657" s="99"/>
      <c r="Q10657" s="99"/>
      <c r="R10657" s="99"/>
    </row>
    <row r="10658" spans="5:18" s="65" customFormat="1">
      <c r="E10658" s="130"/>
      <c r="P10658" s="99"/>
      <c r="Q10658" s="99"/>
      <c r="R10658" s="99"/>
    </row>
    <row r="10659" spans="5:18" s="65" customFormat="1">
      <c r="E10659" s="130"/>
      <c r="P10659" s="99"/>
      <c r="Q10659" s="99"/>
      <c r="R10659" s="99"/>
    </row>
    <row r="10660" spans="5:18" s="65" customFormat="1">
      <c r="E10660" s="130"/>
      <c r="P10660" s="99"/>
      <c r="Q10660" s="99"/>
      <c r="R10660" s="99"/>
    </row>
    <row r="10661" spans="5:18" s="65" customFormat="1">
      <c r="E10661" s="130"/>
      <c r="P10661" s="99"/>
      <c r="Q10661" s="99"/>
      <c r="R10661" s="99"/>
    </row>
    <row r="10662" spans="5:18" s="65" customFormat="1">
      <c r="E10662" s="130"/>
      <c r="P10662" s="99"/>
      <c r="Q10662" s="99"/>
      <c r="R10662" s="99"/>
    </row>
    <row r="10663" spans="5:18" s="65" customFormat="1">
      <c r="E10663" s="130"/>
      <c r="P10663" s="99"/>
      <c r="Q10663" s="99"/>
      <c r="R10663" s="99"/>
    </row>
    <row r="10664" spans="5:18" s="65" customFormat="1">
      <c r="E10664" s="130"/>
      <c r="P10664" s="99"/>
      <c r="Q10664" s="99"/>
      <c r="R10664" s="99"/>
    </row>
    <row r="10665" spans="5:18" s="65" customFormat="1">
      <c r="E10665" s="130"/>
      <c r="P10665" s="99"/>
      <c r="Q10665" s="99"/>
      <c r="R10665" s="99"/>
    </row>
    <row r="10666" spans="5:18" s="65" customFormat="1">
      <c r="E10666" s="130"/>
      <c r="P10666" s="99"/>
      <c r="Q10666" s="99"/>
      <c r="R10666" s="99"/>
    </row>
    <row r="10667" spans="5:18" s="65" customFormat="1">
      <c r="E10667" s="130"/>
      <c r="P10667" s="99"/>
      <c r="Q10667" s="99"/>
      <c r="R10667" s="99"/>
    </row>
    <row r="10668" spans="5:18" s="65" customFormat="1">
      <c r="E10668" s="130"/>
      <c r="P10668" s="99"/>
      <c r="Q10668" s="99"/>
      <c r="R10668" s="99"/>
    </row>
    <row r="10669" spans="5:18" s="65" customFormat="1">
      <c r="E10669" s="130"/>
      <c r="P10669" s="99"/>
      <c r="Q10669" s="99"/>
      <c r="R10669" s="99"/>
    </row>
    <row r="10670" spans="5:18" s="65" customFormat="1">
      <c r="E10670" s="130"/>
      <c r="P10670" s="99"/>
      <c r="Q10670" s="99"/>
      <c r="R10670" s="99"/>
    </row>
    <row r="10671" spans="5:18" s="65" customFormat="1">
      <c r="E10671" s="130"/>
      <c r="P10671" s="99"/>
      <c r="Q10671" s="99"/>
      <c r="R10671" s="99"/>
    </row>
    <row r="10672" spans="5:18" s="65" customFormat="1">
      <c r="E10672" s="130"/>
      <c r="P10672" s="99"/>
      <c r="Q10672" s="99"/>
      <c r="R10672" s="99"/>
    </row>
    <row r="10673" spans="5:18" s="65" customFormat="1">
      <c r="E10673" s="130"/>
      <c r="P10673" s="99"/>
      <c r="Q10673" s="99"/>
      <c r="R10673" s="99"/>
    </row>
    <row r="10674" spans="5:18" s="65" customFormat="1">
      <c r="E10674" s="130"/>
      <c r="P10674" s="99"/>
      <c r="Q10674" s="99"/>
      <c r="R10674" s="99"/>
    </row>
    <row r="10675" spans="5:18" s="65" customFormat="1">
      <c r="E10675" s="130"/>
      <c r="P10675" s="99"/>
      <c r="Q10675" s="99"/>
      <c r="R10675" s="99"/>
    </row>
    <row r="10676" spans="5:18" s="65" customFormat="1">
      <c r="E10676" s="130"/>
      <c r="P10676" s="99"/>
      <c r="Q10676" s="99"/>
      <c r="R10676" s="99"/>
    </row>
    <row r="10677" spans="5:18" s="65" customFormat="1">
      <c r="E10677" s="130"/>
      <c r="P10677" s="99"/>
      <c r="Q10677" s="99"/>
      <c r="R10677" s="99"/>
    </row>
    <row r="10678" spans="5:18" s="65" customFormat="1">
      <c r="E10678" s="130"/>
      <c r="P10678" s="99"/>
      <c r="Q10678" s="99"/>
      <c r="R10678" s="99"/>
    </row>
    <row r="10679" spans="5:18" s="65" customFormat="1">
      <c r="E10679" s="130"/>
      <c r="P10679" s="99"/>
      <c r="Q10679" s="99"/>
      <c r="R10679" s="99"/>
    </row>
    <row r="10680" spans="5:18" s="65" customFormat="1">
      <c r="E10680" s="130"/>
      <c r="P10680" s="99"/>
      <c r="Q10680" s="99"/>
      <c r="R10680" s="99"/>
    </row>
    <row r="10681" spans="5:18" s="65" customFormat="1">
      <c r="E10681" s="130"/>
      <c r="P10681" s="99"/>
      <c r="Q10681" s="99"/>
      <c r="R10681" s="99"/>
    </row>
    <row r="10682" spans="5:18" s="65" customFormat="1">
      <c r="E10682" s="130"/>
      <c r="P10682" s="99"/>
      <c r="Q10682" s="99"/>
      <c r="R10682" s="99"/>
    </row>
    <row r="10683" spans="5:18" s="65" customFormat="1">
      <c r="E10683" s="130"/>
      <c r="P10683" s="99"/>
      <c r="Q10683" s="99"/>
      <c r="R10683" s="99"/>
    </row>
    <row r="10684" spans="5:18" s="65" customFormat="1">
      <c r="E10684" s="130"/>
      <c r="P10684" s="99"/>
      <c r="Q10684" s="99"/>
      <c r="R10684" s="99"/>
    </row>
    <row r="10685" spans="5:18" s="65" customFormat="1">
      <c r="E10685" s="130"/>
      <c r="P10685" s="99"/>
      <c r="Q10685" s="99"/>
      <c r="R10685" s="99"/>
    </row>
    <row r="10686" spans="5:18" s="65" customFormat="1">
      <c r="E10686" s="130"/>
      <c r="P10686" s="99"/>
      <c r="Q10686" s="99"/>
      <c r="R10686" s="99"/>
    </row>
    <row r="10687" spans="5:18" s="65" customFormat="1">
      <c r="E10687" s="130"/>
      <c r="P10687" s="99"/>
      <c r="Q10687" s="99"/>
      <c r="R10687" s="99"/>
    </row>
    <row r="10688" spans="5:18" s="65" customFormat="1">
      <c r="E10688" s="130"/>
      <c r="P10688" s="99"/>
      <c r="Q10688" s="99"/>
      <c r="R10688" s="99"/>
    </row>
    <row r="10689" spans="5:18" s="65" customFormat="1">
      <c r="E10689" s="130"/>
      <c r="P10689" s="99"/>
      <c r="Q10689" s="99"/>
      <c r="R10689" s="99"/>
    </row>
    <row r="10690" spans="5:18" s="65" customFormat="1">
      <c r="E10690" s="130"/>
      <c r="P10690" s="99"/>
      <c r="Q10690" s="99"/>
      <c r="R10690" s="99"/>
    </row>
    <row r="10691" spans="5:18" s="65" customFormat="1">
      <c r="E10691" s="130"/>
      <c r="P10691" s="99"/>
      <c r="Q10691" s="99"/>
      <c r="R10691" s="99"/>
    </row>
    <row r="10692" spans="5:18" s="65" customFormat="1">
      <c r="E10692" s="130"/>
      <c r="P10692" s="99"/>
      <c r="Q10692" s="99"/>
      <c r="R10692" s="99"/>
    </row>
    <row r="10693" spans="5:18" s="65" customFormat="1">
      <c r="E10693" s="130"/>
      <c r="P10693" s="99"/>
      <c r="Q10693" s="99"/>
      <c r="R10693" s="99"/>
    </row>
    <row r="10694" spans="5:18" s="65" customFormat="1">
      <c r="E10694" s="130"/>
      <c r="P10694" s="99"/>
      <c r="Q10694" s="99"/>
      <c r="R10694" s="99"/>
    </row>
    <row r="10695" spans="5:18" s="65" customFormat="1">
      <c r="E10695" s="130"/>
      <c r="P10695" s="99"/>
      <c r="Q10695" s="99"/>
      <c r="R10695" s="99"/>
    </row>
    <row r="10696" spans="5:18" s="65" customFormat="1">
      <c r="E10696" s="130"/>
      <c r="P10696" s="99"/>
      <c r="Q10696" s="99"/>
      <c r="R10696" s="99"/>
    </row>
    <row r="10697" spans="5:18" s="65" customFormat="1">
      <c r="E10697" s="130"/>
      <c r="P10697" s="99"/>
      <c r="Q10697" s="99"/>
      <c r="R10697" s="99"/>
    </row>
    <row r="10698" spans="5:18" s="65" customFormat="1">
      <c r="E10698" s="130"/>
      <c r="P10698" s="99"/>
      <c r="Q10698" s="99"/>
      <c r="R10698" s="99"/>
    </row>
    <row r="10699" spans="5:18" s="65" customFormat="1">
      <c r="E10699" s="130"/>
      <c r="P10699" s="99"/>
      <c r="Q10699" s="99"/>
      <c r="R10699" s="99"/>
    </row>
    <row r="10700" spans="5:18" s="65" customFormat="1">
      <c r="E10700" s="130"/>
      <c r="P10700" s="99"/>
      <c r="Q10700" s="99"/>
      <c r="R10700" s="99"/>
    </row>
    <row r="10701" spans="5:18" s="65" customFormat="1">
      <c r="E10701" s="130"/>
      <c r="P10701" s="99"/>
      <c r="Q10701" s="99"/>
      <c r="R10701" s="99"/>
    </row>
    <row r="10702" spans="5:18" s="65" customFormat="1">
      <c r="E10702" s="130"/>
      <c r="P10702" s="99"/>
      <c r="Q10702" s="99"/>
      <c r="R10702" s="99"/>
    </row>
    <row r="10703" spans="5:18" s="65" customFormat="1">
      <c r="E10703" s="130"/>
      <c r="P10703" s="99"/>
      <c r="Q10703" s="99"/>
      <c r="R10703" s="99"/>
    </row>
    <row r="10704" spans="5:18" s="65" customFormat="1">
      <c r="E10704" s="130"/>
      <c r="P10704" s="99"/>
      <c r="Q10704" s="99"/>
      <c r="R10704" s="99"/>
    </row>
    <row r="10705" spans="5:18" s="65" customFormat="1">
      <c r="E10705" s="130"/>
      <c r="P10705" s="99"/>
      <c r="Q10705" s="99"/>
      <c r="R10705" s="99"/>
    </row>
    <row r="10706" spans="5:18" s="65" customFormat="1">
      <c r="E10706" s="130"/>
      <c r="P10706" s="99"/>
      <c r="Q10706" s="99"/>
      <c r="R10706" s="99"/>
    </row>
    <row r="10707" spans="5:18" s="65" customFormat="1">
      <c r="E10707" s="130"/>
      <c r="P10707" s="99"/>
      <c r="Q10707" s="99"/>
      <c r="R10707" s="99"/>
    </row>
    <row r="10708" spans="5:18" s="65" customFormat="1">
      <c r="E10708" s="130"/>
      <c r="P10708" s="99"/>
      <c r="Q10708" s="99"/>
      <c r="R10708" s="99"/>
    </row>
    <row r="10709" spans="5:18" s="65" customFormat="1">
      <c r="E10709" s="130"/>
      <c r="P10709" s="99"/>
      <c r="Q10709" s="99"/>
      <c r="R10709" s="99"/>
    </row>
    <row r="10710" spans="5:18" s="65" customFormat="1">
      <c r="E10710" s="130"/>
      <c r="P10710" s="99"/>
      <c r="Q10710" s="99"/>
      <c r="R10710" s="99"/>
    </row>
    <row r="10711" spans="5:18" s="65" customFormat="1">
      <c r="E10711" s="130"/>
      <c r="P10711" s="99"/>
      <c r="Q10711" s="99"/>
      <c r="R10711" s="99"/>
    </row>
    <row r="10712" spans="5:18" s="65" customFormat="1">
      <c r="E10712" s="130"/>
      <c r="P10712" s="99"/>
      <c r="Q10712" s="99"/>
      <c r="R10712" s="99"/>
    </row>
    <row r="10713" spans="5:18" s="65" customFormat="1">
      <c r="E10713" s="130"/>
      <c r="P10713" s="99"/>
      <c r="Q10713" s="99"/>
      <c r="R10713" s="99"/>
    </row>
    <row r="10714" spans="5:18" s="65" customFormat="1">
      <c r="E10714" s="130"/>
      <c r="P10714" s="99"/>
      <c r="Q10714" s="99"/>
      <c r="R10714" s="99"/>
    </row>
    <row r="10715" spans="5:18" s="65" customFormat="1">
      <c r="E10715" s="130"/>
      <c r="P10715" s="99"/>
      <c r="Q10715" s="99"/>
      <c r="R10715" s="99"/>
    </row>
    <row r="10716" spans="5:18" s="65" customFormat="1">
      <c r="E10716" s="130"/>
      <c r="P10716" s="99"/>
      <c r="Q10716" s="99"/>
      <c r="R10716" s="99"/>
    </row>
    <row r="10717" spans="5:18" s="65" customFormat="1">
      <c r="E10717" s="130"/>
      <c r="P10717" s="99"/>
      <c r="Q10717" s="99"/>
      <c r="R10717" s="99"/>
    </row>
    <row r="10718" spans="5:18" s="65" customFormat="1">
      <c r="E10718" s="130"/>
      <c r="P10718" s="99"/>
      <c r="Q10718" s="99"/>
      <c r="R10718" s="99"/>
    </row>
    <row r="10719" spans="5:18" s="65" customFormat="1">
      <c r="E10719" s="130"/>
      <c r="P10719" s="99"/>
      <c r="Q10719" s="99"/>
      <c r="R10719" s="99"/>
    </row>
    <row r="10720" spans="5:18" s="65" customFormat="1">
      <c r="E10720" s="130"/>
      <c r="P10720" s="99"/>
      <c r="Q10720" s="99"/>
      <c r="R10720" s="99"/>
    </row>
    <row r="10721" spans="5:18" s="65" customFormat="1">
      <c r="E10721" s="130"/>
      <c r="P10721" s="99"/>
      <c r="Q10721" s="99"/>
      <c r="R10721" s="99"/>
    </row>
    <row r="10722" spans="5:18" s="65" customFormat="1">
      <c r="E10722" s="130"/>
      <c r="P10722" s="99"/>
      <c r="Q10722" s="99"/>
      <c r="R10722" s="99"/>
    </row>
    <row r="10723" spans="5:18" s="65" customFormat="1">
      <c r="E10723" s="130"/>
      <c r="P10723" s="99"/>
      <c r="Q10723" s="99"/>
      <c r="R10723" s="99"/>
    </row>
    <row r="10724" spans="5:18" s="65" customFormat="1">
      <c r="E10724" s="130"/>
      <c r="P10724" s="99"/>
      <c r="Q10724" s="99"/>
      <c r="R10724" s="99"/>
    </row>
    <row r="10725" spans="5:18" s="65" customFormat="1">
      <c r="E10725" s="130"/>
      <c r="P10725" s="99"/>
      <c r="Q10725" s="99"/>
      <c r="R10725" s="99"/>
    </row>
    <row r="10726" spans="5:18" s="65" customFormat="1">
      <c r="E10726" s="130"/>
      <c r="P10726" s="99"/>
      <c r="Q10726" s="99"/>
      <c r="R10726" s="99"/>
    </row>
    <row r="10727" spans="5:18" s="65" customFormat="1">
      <c r="E10727" s="130"/>
      <c r="P10727" s="99"/>
      <c r="Q10727" s="99"/>
      <c r="R10727" s="99"/>
    </row>
    <row r="10728" spans="5:18" s="65" customFormat="1">
      <c r="E10728" s="130"/>
      <c r="P10728" s="99"/>
      <c r="Q10728" s="99"/>
      <c r="R10728" s="99"/>
    </row>
    <row r="10729" spans="5:18" s="65" customFormat="1">
      <c r="E10729" s="130"/>
      <c r="P10729" s="99"/>
      <c r="Q10729" s="99"/>
      <c r="R10729" s="99"/>
    </row>
    <row r="10730" spans="5:18" s="65" customFormat="1">
      <c r="E10730" s="130"/>
      <c r="P10730" s="99"/>
      <c r="Q10730" s="99"/>
      <c r="R10730" s="99"/>
    </row>
    <row r="10731" spans="5:18" s="65" customFormat="1">
      <c r="E10731" s="130"/>
      <c r="P10731" s="99"/>
      <c r="Q10731" s="99"/>
      <c r="R10731" s="99"/>
    </row>
    <row r="10732" spans="5:18" s="65" customFormat="1">
      <c r="E10732" s="130"/>
      <c r="P10732" s="99"/>
      <c r="Q10732" s="99"/>
      <c r="R10732" s="99"/>
    </row>
    <row r="10733" spans="5:18" s="65" customFormat="1">
      <c r="E10733" s="130"/>
      <c r="P10733" s="99"/>
      <c r="Q10733" s="99"/>
      <c r="R10733" s="99"/>
    </row>
    <row r="10734" spans="5:18" s="65" customFormat="1">
      <c r="E10734" s="130"/>
      <c r="P10734" s="99"/>
      <c r="Q10734" s="99"/>
      <c r="R10734" s="99"/>
    </row>
    <row r="10735" spans="5:18" s="65" customFormat="1">
      <c r="E10735" s="130"/>
      <c r="P10735" s="99"/>
      <c r="Q10735" s="99"/>
      <c r="R10735" s="99"/>
    </row>
    <row r="10736" spans="5:18" s="65" customFormat="1">
      <c r="E10736" s="130"/>
      <c r="P10736" s="99"/>
      <c r="Q10736" s="99"/>
      <c r="R10736" s="99"/>
    </row>
    <row r="10737" spans="5:18" s="65" customFormat="1">
      <c r="E10737" s="130"/>
      <c r="P10737" s="99"/>
      <c r="Q10737" s="99"/>
      <c r="R10737" s="99"/>
    </row>
    <row r="10738" spans="5:18" s="65" customFormat="1">
      <c r="E10738" s="130"/>
      <c r="P10738" s="99"/>
      <c r="Q10738" s="99"/>
      <c r="R10738" s="99"/>
    </row>
    <row r="10739" spans="5:18" s="65" customFormat="1">
      <c r="E10739" s="130"/>
      <c r="P10739" s="99"/>
      <c r="Q10739" s="99"/>
      <c r="R10739" s="99"/>
    </row>
    <row r="10740" spans="5:18" s="65" customFormat="1">
      <c r="E10740" s="130"/>
      <c r="P10740" s="99"/>
      <c r="Q10740" s="99"/>
      <c r="R10740" s="99"/>
    </row>
    <row r="10741" spans="5:18" s="65" customFormat="1">
      <c r="E10741" s="130"/>
      <c r="P10741" s="99"/>
      <c r="Q10741" s="99"/>
      <c r="R10741" s="99"/>
    </row>
    <row r="10742" spans="5:18" s="65" customFormat="1">
      <c r="E10742" s="130"/>
      <c r="P10742" s="99"/>
      <c r="Q10742" s="99"/>
      <c r="R10742" s="99"/>
    </row>
    <row r="10743" spans="5:18" s="65" customFormat="1">
      <c r="E10743" s="130"/>
      <c r="P10743" s="99"/>
      <c r="Q10743" s="99"/>
      <c r="R10743" s="99"/>
    </row>
    <row r="10744" spans="5:18" s="65" customFormat="1">
      <c r="E10744" s="130"/>
      <c r="P10744" s="99"/>
      <c r="Q10744" s="99"/>
      <c r="R10744" s="99"/>
    </row>
    <row r="10745" spans="5:18" s="65" customFormat="1">
      <c r="E10745" s="130"/>
      <c r="P10745" s="99"/>
      <c r="Q10745" s="99"/>
      <c r="R10745" s="99"/>
    </row>
    <row r="10746" spans="5:18" s="65" customFormat="1">
      <c r="E10746" s="130"/>
      <c r="P10746" s="99"/>
      <c r="Q10746" s="99"/>
      <c r="R10746" s="99"/>
    </row>
    <row r="10747" spans="5:18" s="65" customFormat="1">
      <c r="E10747" s="130"/>
      <c r="P10747" s="99"/>
      <c r="Q10747" s="99"/>
      <c r="R10747" s="99"/>
    </row>
    <row r="10748" spans="5:18" s="65" customFormat="1">
      <c r="E10748" s="130"/>
      <c r="P10748" s="99"/>
      <c r="Q10748" s="99"/>
      <c r="R10748" s="99"/>
    </row>
    <row r="10749" spans="5:18" s="65" customFormat="1">
      <c r="E10749" s="130"/>
      <c r="P10749" s="99"/>
      <c r="Q10749" s="99"/>
      <c r="R10749" s="99"/>
    </row>
    <row r="10750" spans="5:18" s="65" customFormat="1">
      <c r="E10750" s="130"/>
      <c r="P10750" s="99"/>
      <c r="Q10750" s="99"/>
      <c r="R10750" s="99"/>
    </row>
    <row r="10751" spans="5:18" s="65" customFormat="1">
      <c r="E10751" s="130"/>
      <c r="P10751" s="99"/>
      <c r="Q10751" s="99"/>
      <c r="R10751" s="99"/>
    </row>
    <row r="10752" spans="5:18" s="65" customFormat="1">
      <c r="E10752" s="130"/>
      <c r="P10752" s="99"/>
      <c r="Q10752" s="99"/>
      <c r="R10752" s="99"/>
    </row>
    <row r="10753" spans="5:18" s="65" customFormat="1">
      <c r="E10753" s="130"/>
      <c r="P10753" s="99"/>
      <c r="Q10753" s="99"/>
      <c r="R10753" s="99"/>
    </row>
    <row r="10754" spans="5:18" s="65" customFormat="1">
      <c r="E10754" s="130"/>
      <c r="P10754" s="99"/>
      <c r="Q10754" s="99"/>
      <c r="R10754" s="99"/>
    </row>
    <row r="10755" spans="5:18" s="65" customFormat="1">
      <c r="E10755" s="130"/>
      <c r="P10755" s="99"/>
      <c r="Q10755" s="99"/>
      <c r="R10755" s="99"/>
    </row>
    <row r="10756" spans="5:18" s="65" customFormat="1">
      <c r="E10756" s="130"/>
      <c r="P10756" s="99"/>
      <c r="Q10756" s="99"/>
      <c r="R10756" s="99"/>
    </row>
    <row r="10757" spans="5:18" s="65" customFormat="1">
      <c r="E10757" s="130"/>
      <c r="P10757" s="99"/>
      <c r="Q10757" s="99"/>
      <c r="R10757" s="99"/>
    </row>
    <row r="10758" spans="5:18" s="65" customFormat="1">
      <c r="E10758" s="130"/>
      <c r="P10758" s="99"/>
      <c r="Q10758" s="99"/>
      <c r="R10758" s="99"/>
    </row>
    <row r="10759" spans="5:18" s="65" customFormat="1">
      <c r="E10759" s="130"/>
      <c r="P10759" s="99"/>
      <c r="Q10759" s="99"/>
      <c r="R10759" s="99"/>
    </row>
    <row r="10760" spans="5:18" s="65" customFormat="1">
      <c r="E10760" s="130"/>
      <c r="P10760" s="99"/>
      <c r="Q10760" s="99"/>
      <c r="R10760" s="99"/>
    </row>
    <row r="10761" spans="5:18" s="65" customFormat="1">
      <c r="E10761" s="130"/>
      <c r="P10761" s="99"/>
      <c r="Q10761" s="99"/>
      <c r="R10761" s="99"/>
    </row>
    <row r="10762" spans="5:18" s="65" customFormat="1">
      <c r="E10762" s="130"/>
      <c r="P10762" s="99"/>
      <c r="Q10762" s="99"/>
      <c r="R10762" s="99"/>
    </row>
    <row r="10763" spans="5:18" s="65" customFormat="1">
      <c r="E10763" s="130"/>
      <c r="P10763" s="99"/>
      <c r="Q10763" s="99"/>
      <c r="R10763" s="99"/>
    </row>
    <row r="10764" spans="5:18" s="65" customFormat="1">
      <c r="E10764" s="130"/>
      <c r="P10764" s="99"/>
      <c r="Q10764" s="99"/>
      <c r="R10764" s="99"/>
    </row>
    <row r="10765" spans="5:18" s="65" customFormat="1">
      <c r="E10765" s="130"/>
      <c r="P10765" s="99"/>
      <c r="Q10765" s="99"/>
      <c r="R10765" s="99"/>
    </row>
    <row r="10766" spans="5:18" s="65" customFormat="1">
      <c r="E10766" s="130"/>
      <c r="P10766" s="99"/>
      <c r="Q10766" s="99"/>
      <c r="R10766" s="99"/>
    </row>
    <row r="10767" spans="5:18" s="65" customFormat="1">
      <c r="E10767" s="130"/>
      <c r="P10767" s="99"/>
      <c r="Q10767" s="99"/>
      <c r="R10767" s="99"/>
    </row>
    <row r="10768" spans="5:18" s="65" customFormat="1">
      <c r="E10768" s="130"/>
      <c r="P10768" s="99"/>
      <c r="Q10768" s="99"/>
      <c r="R10768" s="99"/>
    </row>
    <row r="10769" spans="5:18" s="65" customFormat="1">
      <c r="E10769" s="130"/>
      <c r="P10769" s="99"/>
      <c r="Q10769" s="99"/>
      <c r="R10769" s="99"/>
    </row>
    <row r="10770" spans="5:18" s="65" customFormat="1">
      <c r="E10770" s="130"/>
      <c r="P10770" s="99"/>
      <c r="Q10770" s="99"/>
      <c r="R10770" s="99"/>
    </row>
    <row r="10771" spans="5:18" s="65" customFormat="1">
      <c r="E10771" s="130"/>
      <c r="P10771" s="99"/>
      <c r="Q10771" s="99"/>
      <c r="R10771" s="99"/>
    </row>
    <row r="10772" spans="5:18" s="65" customFormat="1">
      <c r="E10772" s="130"/>
      <c r="P10772" s="99"/>
      <c r="Q10772" s="99"/>
      <c r="R10772" s="99"/>
    </row>
    <row r="10773" spans="5:18" s="65" customFormat="1">
      <c r="E10773" s="130"/>
      <c r="P10773" s="99"/>
      <c r="Q10773" s="99"/>
      <c r="R10773" s="99"/>
    </row>
    <row r="10774" spans="5:18" s="65" customFormat="1">
      <c r="E10774" s="130"/>
      <c r="P10774" s="99"/>
      <c r="Q10774" s="99"/>
      <c r="R10774" s="99"/>
    </row>
    <row r="10775" spans="5:18" s="65" customFormat="1">
      <c r="E10775" s="130"/>
      <c r="P10775" s="99"/>
      <c r="Q10775" s="99"/>
      <c r="R10775" s="99"/>
    </row>
    <row r="10776" spans="5:18" s="65" customFormat="1">
      <c r="E10776" s="130"/>
      <c r="P10776" s="99"/>
      <c r="Q10776" s="99"/>
      <c r="R10776" s="99"/>
    </row>
    <row r="10777" spans="5:18" s="65" customFormat="1">
      <c r="E10777" s="130"/>
      <c r="P10777" s="99"/>
      <c r="Q10777" s="99"/>
      <c r="R10777" s="99"/>
    </row>
    <row r="10778" spans="5:18" s="65" customFormat="1">
      <c r="E10778" s="130"/>
      <c r="P10778" s="99"/>
      <c r="Q10778" s="99"/>
      <c r="R10778" s="99"/>
    </row>
    <row r="10779" spans="5:18" s="65" customFormat="1">
      <c r="E10779" s="130"/>
      <c r="P10779" s="99"/>
      <c r="Q10779" s="99"/>
      <c r="R10779" s="99"/>
    </row>
    <row r="10780" spans="5:18" s="65" customFormat="1">
      <c r="E10780" s="130"/>
      <c r="P10780" s="99"/>
      <c r="Q10780" s="99"/>
      <c r="R10780" s="99"/>
    </row>
    <row r="10781" spans="5:18" s="65" customFormat="1">
      <c r="E10781" s="130"/>
      <c r="P10781" s="99"/>
      <c r="Q10781" s="99"/>
      <c r="R10781" s="99"/>
    </row>
    <row r="10782" spans="5:18" s="65" customFormat="1">
      <c r="E10782" s="130"/>
      <c r="P10782" s="99"/>
      <c r="Q10782" s="99"/>
      <c r="R10782" s="99"/>
    </row>
    <row r="10783" spans="5:18" s="65" customFormat="1">
      <c r="E10783" s="130"/>
      <c r="P10783" s="99"/>
      <c r="Q10783" s="99"/>
      <c r="R10783" s="99"/>
    </row>
    <row r="10784" spans="5:18" s="65" customFormat="1">
      <c r="E10784" s="130"/>
      <c r="P10784" s="99"/>
      <c r="Q10784" s="99"/>
      <c r="R10784" s="99"/>
    </row>
    <row r="10785" spans="5:18" s="65" customFormat="1">
      <c r="E10785" s="130"/>
      <c r="P10785" s="99"/>
      <c r="Q10785" s="99"/>
      <c r="R10785" s="99"/>
    </row>
    <row r="10786" spans="5:18" s="65" customFormat="1">
      <c r="E10786" s="130"/>
      <c r="P10786" s="99"/>
      <c r="Q10786" s="99"/>
      <c r="R10786" s="99"/>
    </row>
    <row r="10787" spans="5:18" s="65" customFormat="1">
      <c r="E10787" s="130"/>
      <c r="P10787" s="99"/>
      <c r="Q10787" s="99"/>
      <c r="R10787" s="99"/>
    </row>
    <row r="10788" spans="5:18" s="65" customFormat="1">
      <c r="E10788" s="130"/>
      <c r="P10788" s="99"/>
      <c r="Q10788" s="99"/>
      <c r="R10788" s="99"/>
    </row>
    <row r="10789" spans="5:18" s="65" customFormat="1">
      <c r="E10789" s="130"/>
      <c r="P10789" s="99"/>
      <c r="Q10789" s="99"/>
      <c r="R10789" s="99"/>
    </row>
    <row r="10790" spans="5:18" s="65" customFormat="1">
      <c r="E10790" s="130"/>
      <c r="P10790" s="99"/>
      <c r="Q10790" s="99"/>
      <c r="R10790" s="99"/>
    </row>
    <row r="10791" spans="5:18" s="65" customFormat="1">
      <c r="E10791" s="130"/>
      <c r="P10791" s="99"/>
      <c r="Q10791" s="99"/>
      <c r="R10791" s="99"/>
    </row>
    <row r="10792" spans="5:18" s="65" customFormat="1">
      <c r="E10792" s="130"/>
      <c r="P10792" s="99"/>
      <c r="Q10792" s="99"/>
      <c r="R10792" s="99"/>
    </row>
    <row r="10793" spans="5:18" s="65" customFormat="1">
      <c r="E10793" s="130"/>
      <c r="P10793" s="99"/>
      <c r="Q10793" s="99"/>
      <c r="R10793" s="99"/>
    </row>
    <row r="10794" spans="5:18" s="65" customFormat="1">
      <c r="E10794" s="130"/>
      <c r="P10794" s="99"/>
      <c r="Q10794" s="99"/>
      <c r="R10794" s="99"/>
    </row>
    <row r="10795" spans="5:18" s="65" customFormat="1">
      <c r="E10795" s="130"/>
      <c r="P10795" s="99"/>
      <c r="Q10795" s="99"/>
      <c r="R10795" s="99"/>
    </row>
    <row r="10796" spans="5:18" s="65" customFormat="1">
      <c r="E10796" s="130"/>
      <c r="P10796" s="99"/>
      <c r="Q10796" s="99"/>
      <c r="R10796" s="99"/>
    </row>
    <row r="10797" spans="5:18" s="65" customFormat="1">
      <c r="E10797" s="130"/>
      <c r="P10797" s="99"/>
      <c r="Q10797" s="99"/>
      <c r="R10797" s="99"/>
    </row>
    <row r="10798" spans="5:18" s="65" customFormat="1">
      <c r="E10798" s="130"/>
      <c r="P10798" s="99"/>
      <c r="Q10798" s="99"/>
      <c r="R10798" s="99"/>
    </row>
    <row r="10799" spans="5:18" s="65" customFormat="1">
      <c r="E10799" s="130"/>
      <c r="P10799" s="99"/>
      <c r="Q10799" s="99"/>
      <c r="R10799" s="99"/>
    </row>
    <row r="10800" spans="5:18" s="65" customFormat="1">
      <c r="E10800" s="130"/>
      <c r="P10800" s="99"/>
      <c r="Q10800" s="99"/>
      <c r="R10800" s="99"/>
    </row>
    <row r="10801" spans="5:18" s="65" customFormat="1">
      <c r="E10801" s="130"/>
      <c r="P10801" s="99"/>
      <c r="Q10801" s="99"/>
      <c r="R10801" s="99"/>
    </row>
    <row r="10802" spans="5:18" s="65" customFormat="1">
      <c r="E10802" s="130"/>
      <c r="P10802" s="99"/>
      <c r="Q10802" s="99"/>
      <c r="R10802" s="99"/>
    </row>
    <row r="10803" spans="5:18" s="65" customFormat="1">
      <c r="E10803" s="130"/>
      <c r="P10803" s="99"/>
      <c r="Q10803" s="99"/>
      <c r="R10803" s="99"/>
    </row>
    <row r="10804" spans="5:18" s="65" customFormat="1">
      <c r="E10804" s="130"/>
      <c r="P10804" s="99"/>
      <c r="Q10804" s="99"/>
      <c r="R10804" s="99"/>
    </row>
    <row r="10805" spans="5:18" s="65" customFormat="1">
      <c r="E10805" s="130"/>
      <c r="P10805" s="99"/>
      <c r="Q10805" s="99"/>
      <c r="R10805" s="99"/>
    </row>
    <row r="10806" spans="5:18" s="65" customFormat="1">
      <c r="E10806" s="130"/>
      <c r="P10806" s="99"/>
      <c r="Q10806" s="99"/>
      <c r="R10806" s="99"/>
    </row>
    <row r="10807" spans="5:18" s="65" customFormat="1">
      <c r="E10807" s="130"/>
      <c r="P10807" s="99"/>
      <c r="Q10807" s="99"/>
      <c r="R10807" s="99"/>
    </row>
    <row r="10808" spans="5:18" s="65" customFormat="1">
      <c r="E10808" s="130"/>
      <c r="P10808" s="99"/>
      <c r="Q10808" s="99"/>
      <c r="R10808" s="99"/>
    </row>
    <row r="10809" spans="5:18" s="65" customFormat="1">
      <c r="E10809" s="130"/>
      <c r="P10809" s="99"/>
      <c r="Q10809" s="99"/>
      <c r="R10809" s="99"/>
    </row>
    <row r="10810" spans="5:18" s="65" customFormat="1">
      <c r="E10810" s="130"/>
      <c r="P10810" s="99"/>
      <c r="Q10810" s="99"/>
      <c r="R10810" s="99"/>
    </row>
    <row r="10811" spans="5:18" s="65" customFormat="1">
      <c r="E10811" s="130"/>
      <c r="P10811" s="99"/>
      <c r="Q10811" s="99"/>
      <c r="R10811" s="99"/>
    </row>
    <row r="10812" spans="5:18" s="65" customFormat="1">
      <c r="E10812" s="130"/>
      <c r="P10812" s="99"/>
      <c r="Q10812" s="99"/>
      <c r="R10812" s="99"/>
    </row>
    <row r="10813" spans="5:18" s="65" customFormat="1">
      <c r="E10813" s="130"/>
      <c r="P10813" s="99"/>
      <c r="Q10813" s="99"/>
      <c r="R10813" s="99"/>
    </row>
    <row r="10814" spans="5:18" s="65" customFormat="1">
      <c r="E10814" s="130"/>
      <c r="P10814" s="99"/>
      <c r="Q10814" s="99"/>
      <c r="R10814" s="99"/>
    </row>
    <row r="10815" spans="5:18" s="65" customFormat="1">
      <c r="E10815" s="130"/>
      <c r="P10815" s="99"/>
      <c r="Q10815" s="99"/>
      <c r="R10815" s="99"/>
    </row>
    <row r="10816" spans="5:18" s="65" customFormat="1">
      <c r="E10816" s="130"/>
      <c r="P10816" s="99"/>
      <c r="Q10816" s="99"/>
      <c r="R10816" s="99"/>
    </row>
    <row r="10817" spans="5:18" s="65" customFormat="1">
      <c r="E10817" s="130"/>
      <c r="P10817" s="99"/>
      <c r="Q10817" s="99"/>
      <c r="R10817" s="99"/>
    </row>
    <row r="10818" spans="5:18" s="65" customFormat="1">
      <c r="E10818" s="130"/>
      <c r="P10818" s="99"/>
      <c r="Q10818" s="99"/>
      <c r="R10818" s="99"/>
    </row>
    <row r="10819" spans="5:18" s="65" customFormat="1">
      <c r="E10819" s="130"/>
      <c r="P10819" s="99"/>
      <c r="Q10819" s="99"/>
      <c r="R10819" s="99"/>
    </row>
    <row r="10820" spans="5:18" s="65" customFormat="1">
      <c r="E10820" s="130"/>
      <c r="P10820" s="99"/>
      <c r="Q10820" s="99"/>
      <c r="R10820" s="99"/>
    </row>
    <row r="10821" spans="5:18" s="65" customFormat="1">
      <c r="E10821" s="130"/>
      <c r="P10821" s="99"/>
      <c r="Q10821" s="99"/>
      <c r="R10821" s="99"/>
    </row>
    <row r="10822" spans="5:18" s="65" customFormat="1">
      <c r="E10822" s="130"/>
      <c r="P10822" s="99"/>
      <c r="Q10822" s="99"/>
      <c r="R10822" s="99"/>
    </row>
    <row r="10823" spans="5:18" s="65" customFormat="1">
      <c r="E10823" s="130"/>
      <c r="P10823" s="99"/>
      <c r="Q10823" s="99"/>
      <c r="R10823" s="99"/>
    </row>
    <row r="10824" spans="5:18" s="65" customFormat="1">
      <c r="E10824" s="130"/>
      <c r="P10824" s="99"/>
      <c r="Q10824" s="99"/>
      <c r="R10824" s="99"/>
    </row>
    <row r="10825" spans="5:18" s="65" customFormat="1">
      <c r="E10825" s="130"/>
      <c r="P10825" s="99"/>
      <c r="Q10825" s="99"/>
      <c r="R10825" s="99"/>
    </row>
    <row r="10826" spans="5:18" s="65" customFormat="1">
      <c r="E10826" s="130"/>
      <c r="P10826" s="99"/>
      <c r="Q10826" s="99"/>
      <c r="R10826" s="99"/>
    </row>
    <row r="10827" spans="5:18" s="65" customFormat="1">
      <c r="E10827" s="130"/>
      <c r="P10827" s="99"/>
      <c r="Q10827" s="99"/>
      <c r="R10827" s="99"/>
    </row>
    <row r="10828" spans="5:18" s="65" customFormat="1">
      <c r="E10828" s="130"/>
      <c r="P10828" s="99"/>
      <c r="Q10828" s="99"/>
      <c r="R10828" s="99"/>
    </row>
    <row r="10829" spans="5:18" s="65" customFormat="1">
      <c r="E10829" s="130"/>
      <c r="P10829" s="99"/>
      <c r="Q10829" s="99"/>
      <c r="R10829" s="99"/>
    </row>
    <row r="10830" spans="5:18" s="65" customFormat="1">
      <c r="E10830" s="130"/>
      <c r="P10830" s="99"/>
      <c r="Q10830" s="99"/>
      <c r="R10830" s="99"/>
    </row>
    <row r="10831" spans="5:18" s="65" customFormat="1">
      <c r="E10831" s="130"/>
      <c r="P10831" s="99"/>
      <c r="Q10831" s="99"/>
      <c r="R10831" s="99"/>
    </row>
    <row r="10832" spans="5:18" s="65" customFormat="1">
      <c r="E10832" s="130"/>
      <c r="P10832" s="99"/>
      <c r="Q10832" s="99"/>
      <c r="R10832" s="99"/>
    </row>
    <row r="10833" spans="5:18" s="65" customFormat="1">
      <c r="E10833" s="130"/>
      <c r="P10833" s="99"/>
      <c r="Q10833" s="99"/>
      <c r="R10833" s="99"/>
    </row>
    <row r="10834" spans="5:18" s="65" customFormat="1">
      <c r="E10834" s="130"/>
      <c r="P10834" s="99"/>
      <c r="Q10834" s="99"/>
      <c r="R10834" s="99"/>
    </row>
    <row r="10835" spans="5:18" s="65" customFormat="1">
      <c r="E10835" s="130"/>
      <c r="P10835" s="99"/>
      <c r="Q10835" s="99"/>
      <c r="R10835" s="99"/>
    </row>
    <row r="10836" spans="5:18" s="65" customFormat="1">
      <c r="E10836" s="130"/>
      <c r="P10836" s="99"/>
      <c r="Q10836" s="99"/>
      <c r="R10836" s="99"/>
    </row>
    <row r="10837" spans="5:18" s="65" customFormat="1">
      <c r="E10837" s="130"/>
      <c r="P10837" s="99"/>
      <c r="Q10837" s="99"/>
      <c r="R10837" s="99"/>
    </row>
    <row r="10838" spans="5:18" s="65" customFormat="1">
      <c r="E10838" s="130"/>
      <c r="P10838" s="99"/>
      <c r="Q10838" s="99"/>
      <c r="R10838" s="99"/>
    </row>
    <row r="10839" spans="5:18" s="65" customFormat="1">
      <c r="E10839" s="130"/>
      <c r="P10839" s="99"/>
      <c r="Q10839" s="99"/>
      <c r="R10839" s="99"/>
    </row>
    <row r="10840" spans="5:18" s="65" customFormat="1">
      <c r="E10840" s="130"/>
      <c r="P10840" s="99"/>
      <c r="Q10840" s="99"/>
      <c r="R10840" s="99"/>
    </row>
    <row r="10841" spans="5:18" s="65" customFormat="1">
      <c r="E10841" s="130"/>
      <c r="P10841" s="99"/>
      <c r="Q10841" s="99"/>
      <c r="R10841" s="99"/>
    </row>
    <row r="10842" spans="5:18" s="65" customFormat="1">
      <c r="E10842" s="130"/>
      <c r="P10842" s="99"/>
      <c r="Q10842" s="99"/>
      <c r="R10842" s="99"/>
    </row>
    <row r="10843" spans="5:18" s="65" customFormat="1">
      <c r="E10843" s="130"/>
      <c r="P10843" s="99"/>
      <c r="Q10843" s="99"/>
      <c r="R10843" s="99"/>
    </row>
    <row r="10844" spans="5:18" s="65" customFormat="1">
      <c r="E10844" s="130"/>
      <c r="P10844" s="99"/>
      <c r="Q10844" s="99"/>
      <c r="R10844" s="99"/>
    </row>
    <row r="10845" spans="5:18" s="65" customFormat="1">
      <c r="E10845" s="130"/>
      <c r="P10845" s="99"/>
      <c r="Q10845" s="99"/>
      <c r="R10845" s="99"/>
    </row>
    <row r="10846" spans="5:18" s="65" customFormat="1">
      <c r="E10846" s="130"/>
      <c r="P10846" s="99"/>
      <c r="Q10846" s="99"/>
      <c r="R10846" s="99"/>
    </row>
    <row r="10847" spans="5:18" s="65" customFormat="1">
      <c r="E10847" s="130"/>
      <c r="P10847" s="99"/>
      <c r="Q10847" s="99"/>
      <c r="R10847" s="99"/>
    </row>
    <row r="10848" spans="5:18" s="65" customFormat="1">
      <c r="E10848" s="130"/>
      <c r="P10848" s="99"/>
      <c r="Q10848" s="99"/>
      <c r="R10848" s="99"/>
    </row>
    <row r="10849" spans="5:18" s="65" customFormat="1">
      <c r="E10849" s="130"/>
      <c r="P10849" s="99"/>
      <c r="Q10849" s="99"/>
      <c r="R10849" s="99"/>
    </row>
    <row r="10850" spans="5:18" s="65" customFormat="1">
      <c r="E10850" s="130"/>
      <c r="P10850" s="99"/>
      <c r="Q10850" s="99"/>
      <c r="R10850" s="99"/>
    </row>
    <row r="10851" spans="5:18" s="65" customFormat="1">
      <c r="E10851" s="130"/>
      <c r="P10851" s="99"/>
      <c r="Q10851" s="99"/>
      <c r="R10851" s="99"/>
    </row>
    <row r="10852" spans="5:18" s="65" customFormat="1">
      <c r="E10852" s="130"/>
      <c r="P10852" s="99"/>
      <c r="Q10852" s="99"/>
      <c r="R10852" s="99"/>
    </row>
    <row r="10853" spans="5:18" s="65" customFormat="1">
      <c r="E10853" s="130"/>
      <c r="P10853" s="99"/>
      <c r="Q10853" s="99"/>
      <c r="R10853" s="99"/>
    </row>
    <row r="10854" spans="5:18" s="65" customFormat="1">
      <c r="E10854" s="130"/>
      <c r="P10854" s="99"/>
      <c r="Q10854" s="99"/>
      <c r="R10854" s="99"/>
    </row>
    <row r="10855" spans="5:18" s="65" customFormat="1">
      <c r="E10855" s="130"/>
      <c r="P10855" s="99"/>
      <c r="Q10855" s="99"/>
      <c r="R10855" s="99"/>
    </row>
    <row r="10856" spans="5:18" s="65" customFormat="1">
      <c r="E10856" s="130"/>
      <c r="P10856" s="99"/>
      <c r="Q10856" s="99"/>
      <c r="R10856" s="99"/>
    </row>
    <row r="10857" spans="5:18" s="65" customFormat="1">
      <c r="E10857" s="130"/>
      <c r="P10857" s="99"/>
      <c r="Q10857" s="99"/>
      <c r="R10857" s="99"/>
    </row>
    <row r="10858" spans="5:18" s="65" customFormat="1">
      <c r="E10858" s="130"/>
      <c r="P10858" s="99"/>
      <c r="Q10858" s="99"/>
      <c r="R10858" s="99"/>
    </row>
    <row r="10859" spans="5:18" s="65" customFormat="1">
      <c r="E10859" s="130"/>
      <c r="P10859" s="99"/>
      <c r="Q10859" s="99"/>
      <c r="R10859" s="99"/>
    </row>
    <row r="10860" spans="5:18" s="65" customFormat="1">
      <c r="E10860" s="130"/>
      <c r="P10860" s="99"/>
      <c r="Q10860" s="99"/>
      <c r="R10860" s="99"/>
    </row>
    <row r="10861" spans="5:18" s="65" customFormat="1">
      <c r="E10861" s="130"/>
      <c r="P10861" s="99"/>
      <c r="Q10861" s="99"/>
      <c r="R10861" s="99"/>
    </row>
    <row r="10862" spans="5:18" s="65" customFormat="1">
      <c r="E10862" s="130"/>
      <c r="P10862" s="99"/>
      <c r="Q10862" s="99"/>
      <c r="R10862" s="99"/>
    </row>
    <row r="10863" spans="5:18" s="65" customFormat="1">
      <c r="E10863" s="130"/>
      <c r="P10863" s="99"/>
      <c r="Q10863" s="99"/>
      <c r="R10863" s="99"/>
    </row>
    <row r="10864" spans="5:18" s="65" customFormat="1">
      <c r="E10864" s="130"/>
      <c r="P10864" s="99"/>
      <c r="Q10864" s="99"/>
      <c r="R10864" s="99"/>
    </row>
    <row r="10865" spans="5:18" s="65" customFormat="1">
      <c r="E10865" s="130"/>
      <c r="P10865" s="99"/>
      <c r="Q10865" s="99"/>
      <c r="R10865" s="99"/>
    </row>
    <row r="10866" spans="5:18" s="65" customFormat="1">
      <c r="E10866" s="130"/>
      <c r="P10866" s="99"/>
      <c r="Q10866" s="99"/>
      <c r="R10866" s="99"/>
    </row>
    <row r="10867" spans="5:18" s="65" customFormat="1">
      <c r="E10867" s="130"/>
      <c r="P10867" s="99"/>
      <c r="Q10867" s="99"/>
      <c r="R10867" s="99"/>
    </row>
    <row r="10868" spans="5:18" s="65" customFormat="1">
      <c r="E10868" s="130"/>
      <c r="P10868" s="99"/>
      <c r="Q10868" s="99"/>
      <c r="R10868" s="99"/>
    </row>
    <row r="10869" spans="5:18" s="65" customFormat="1">
      <c r="E10869" s="130"/>
      <c r="P10869" s="99"/>
      <c r="Q10869" s="99"/>
      <c r="R10869" s="99"/>
    </row>
    <row r="10870" spans="5:18" s="65" customFormat="1">
      <c r="E10870" s="130"/>
      <c r="P10870" s="99"/>
      <c r="Q10870" s="99"/>
      <c r="R10870" s="99"/>
    </row>
    <row r="10871" spans="5:18" s="65" customFormat="1">
      <c r="E10871" s="130"/>
      <c r="P10871" s="99"/>
      <c r="Q10871" s="99"/>
      <c r="R10871" s="99"/>
    </row>
    <row r="10872" spans="5:18" s="65" customFormat="1">
      <c r="E10872" s="130"/>
      <c r="P10872" s="99"/>
      <c r="Q10872" s="99"/>
      <c r="R10872" s="99"/>
    </row>
    <row r="10873" spans="5:18" s="65" customFormat="1">
      <c r="E10873" s="130"/>
      <c r="P10873" s="99"/>
      <c r="Q10873" s="99"/>
      <c r="R10873" s="99"/>
    </row>
    <row r="10874" spans="5:18" s="65" customFormat="1">
      <c r="E10874" s="130"/>
      <c r="P10874" s="99"/>
      <c r="Q10874" s="99"/>
      <c r="R10874" s="99"/>
    </row>
    <row r="10875" spans="5:18" s="65" customFormat="1">
      <c r="E10875" s="130"/>
      <c r="P10875" s="99"/>
      <c r="Q10875" s="99"/>
      <c r="R10875" s="99"/>
    </row>
    <row r="10876" spans="5:18" s="65" customFormat="1">
      <c r="E10876" s="130"/>
      <c r="P10876" s="99"/>
      <c r="Q10876" s="99"/>
      <c r="R10876" s="99"/>
    </row>
    <row r="10877" spans="5:18" s="65" customFormat="1">
      <c r="E10877" s="130"/>
      <c r="P10877" s="99"/>
      <c r="Q10877" s="99"/>
      <c r="R10877" s="99"/>
    </row>
    <row r="10878" spans="5:18" s="65" customFormat="1">
      <c r="E10878" s="130"/>
      <c r="P10878" s="99"/>
      <c r="Q10878" s="99"/>
      <c r="R10878" s="99"/>
    </row>
    <row r="10879" spans="5:18" s="65" customFormat="1">
      <c r="E10879" s="130"/>
      <c r="P10879" s="99"/>
      <c r="Q10879" s="99"/>
      <c r="R10879" s="99"/>
    </row>
    <row r="10880" spans="5:18" s="65" customFormat="1">
      <c r="E10880" s="130"/>
      <c r="P10880" s="99"/>
      <c r="Q10880" s="99"/>
      <c r="R10880" s="99"/>
    </row>
    <row r="10881" spans="5:18" s="65" customFormat="1">
      <c r="E10881" s="130"/>
      <c r="P10881" s="99"/>
      <c r="Q10881" s="99"/>
      <c r="R10881" s="99"/>
    </row>
    <row r="10882" spans="5:18" s="65" customFormat="1">
      <c r="E10882" s="130"/>
      <c r="P10882" s="99"/>
      <c r="Q10882" s="99"/>
      <c r="R10882" s="99"/>
    </row>
    <row r="10883" spans="5:18" s="65" customFormat="1">
      <c r="E10883" s="130"/>
      <c r="P10883" s="99"/>
      <c r="Q10883" s="99"/>
      <c r="R10883" s="99"/>
    </row>
    <row r="10884" spans="5:18" s="65" customFormat="1">
      <c r="E10884" s="130"/>
      <c r="P10884" s="99"/>
      <c r="Q10884" s="99"/>
      <c r="R10884" s="99"/>
    </row>
    <row r="10885" spans="5:18" s="65" customFormat="1">
      <c r="E10885" s="130"/>
      <c r="P10885" s="99"/>
      <c r="Q10885" s="99"/>
      <c r="R10885" s="99"/>
    </row>
    <row r="10886" spans="5:18" s="65" customFormat="1">
      <c r="E10886" s="130"/>
      <c r="P10886" s="99"/>
      <c r="Q10886" s="99"/>
      <c r="R10886" s="99"/>
    </row>
    <row r="10887" spans="5:18" s="65" customFormat="1">
      <c r="E10887" s="130"/>
      <c r="P10887" s="99"/>
      <c r="Q10887" s="99"/>
      <c r="R10887" s="99"/>
    </row>
    <row r="10888" spans="5:18" s="65" customFormat="1">
      <c r="E10888" s="130"/>
      <c r="P10888" s="99"/>
      <c r="Q10888" s="99"/>
      <c r="R10888" s="99"/>
    </row>
    <row r="10889" spans="5:18" s="65" customFormat="1">
      <c r="E10889" s="130"/>
      <c r="P10889" s="99"/>
      <c r="Q10889" s="99"/>
      <c r="R10889" s="99"/>
    </row>
    <row r="10890" spans="5:18" s="65" customFormat="1">
      <c r="E10890" s="130"/>
      <c r="P10890" s="99"/>
      <c r="Q10890" s="99"/>
      <c r="R10890" s="99"/>
    </row>
    <row r="10891" spans="5:18" s="65" customFormat="1">
      <c r="E10891" s="130"/>
      <c r="P10891" s="99"/>
      <c r="Q10891" s="99"/>
      <c r="R10891" s="99"/>
    </row>
    <row r="10892" spans="5:18" s="65" customFormat="1">
      <c r="E10892" s="130"/>
      <c r="P10892" s="99"/>
      <c r="Q10892" s="99"/>
      <c r="R10892" s="99"/>
    </row>
    <row r="10893" spans="5:18" s="65" customFormat="1">
      <c r="E10893" s="130"/>
      <c r="P10893" s="99"/>
      <c r="Q10893" s="99"/>
      <c r="R10893" s="99"/>
    </row>
    <row r="10894" spans="5:18" s="65" customFormat="1">
      <c r="E10894" s="130"/>
      <c r="P10894" s="99"/>
      <c r="Q10894" s="99"/>
      <c r="R10894" s="99"/>
    </row>
    <row r="10895" spans="5:18" s="65" customFormat="1">
      <c r="E10895" s="130"/>
      <c r="P10895" s="99"/>
      <c r="Q10895" s="99"/>
      <c r="R10895" s="99"/>
    </row>
    <row r="10896" spans="5:18" s="65" customFormat="1">
      <c r="E10896" s="130"/>
      <c r="P10896" s="99"/>
      <c r="Q10896" s="99"/>
      <c r="R10896" s="99"/>
    </row>
    <row r="10897" spans="5:18" s="65" customFormat="1">
      <c r="E10897" s="130"/>
      <c r="P10897" s="99"/>
      <c r="Q10897" s="99"/>
      <c r="R10897" s="99"/>
    </row>
    <row r="10898" spans="5:18" s="65" customFormat="1">
      <c r="E10898" s="130"/>
      <c r="P10898" s="99"/>
      <c r="Q10898" s="99"/>
      <c r="R10898" s="99"/>
    </row>
    <row r="10899" spans="5:18" s="65" customFormat="1">
      <c r="E10899" s="130"/>
      <c r="P10899" s="99"/>
      <c r="Q10899" s="99"/>
      <c r="R10899" s="99"/>
    </row>
    <row r="10900" spans="5:18" s="65" customFormat="1">
      <c r="E10900" s="130"/>
      <c r="P10900" s="99"/>
      <c r="Q10900" s="99"/>
      <c r="R10900" s="99"/>
    </row>
    <row r="10901" spans="5:18" s="65" customFormat="1">
      <c r="E10901" s="130"/>
      <c r="P10901" s="99"/>
      <c r="Q10901" s="99"/>
      <c r="R10901" s="99"/>
    </row>
    <row r="10902" spans="5:18" s="65" customFormat="1">
      <c r="E10902" s="130"/>
      <c r="P10902" s="99"/>
      <c r="Q10902" s="99"/>
      <c r="R10902" s="99"/>
    </row>
    <row r="10903" spans="5:18" s="65" customFormat="1">
      <c r="E10903" s="130"/>
      <c r="P10903" s="99"/>
      <c r="Q10903" s="99"/>
      <c r="R10903" s="99"/>
    </row>
    <row r="10904" spans="5:18" s="65" customFormat="1">
      <c r="E10904" s="130"/>
      <c r="P10904" s="99"/>
      <c r="Q10904" s="99"/>
      <c r="R10904" s="99"/>
    </row>
    <row r="10905" spans="5:18" s="65" customFormat="1">
      <c r="E10905" s="130"/>
      <c r="P10905" s="99"/>
      <c r="Q10905" s="99"/>
      <c r="R10905" s="99"/>
    </row>
    <row r="10906" spans="5:18" s="65" customFormat="1">
      <c r="E10906" s="130"/>
      <c r="P10906" s="99"/>
      <c r="Q10906" s="99"/>
      <c r="R10906" s="99"/>
    </row>
    <row r="10907" spans="5:18" s="65" customFormat="1">
      <c r="E10907" s="130"/>
      <c r="P10907" s="99"/>
      <c r="Q10907" s="99"/>
      <c r="R10907" s="99"/>
    </row>
    <row r="10908" spans="5:18" s="65" customFormat="1">
      <c r="E10908" s="130"/>
      <c r="P10908" s="99"/>
      <c r="Q10908" s="99"/>
      <c r="R10908" s="99"/>
    </row>
    <row r="10909" spans="5:18" s="65" customFormat="1">
      <c r="E10909" s="130"/>
      <c r="P10909" s="99"/>
      <c r="Q10909" s="99"/>
      <c r="R10909" s="99"/>
    </row>
    <row r="10910" spans="5:18" s="65" customFormat="1">
      <c r="E10910" s="130"/>
      <c r="P10910" s="99"/>
      <c r="Q10910" s="99"/>
      <c r="R10910" s="99"/>
    </row>
    <row r="10911" spans="5:18" s="65" customFormat="1">
      <c r="E10911" s="130"/>
      <c r="P10911" s="99"/>
      <c r="Q10911" s="99"/>
      <c r="R10911" s="99"/>
    </row>
    <row r="10912" spans="5:18" s="65" customFormat="1">
      <c r="E10912" s="130"/>
      <c r="P10912" s="99"/>
      <c r="Q10912" s="99"/>
      <c r="R10912" s="99"/>
    </row>
    <row r="10913" spans="5:18" s="65" customFormat="1">
      <c r="E10913" s="130"/>
      <c r="P10913" s="99"/>
      <c r="Q10913" s="99"/>
      <c r="R10913" s="99"/>
    </row>
    <row r="10914" spans="5:18" s="65" customFormat="1">
      <c r="E10914" s="130"/>
      <c r="P10914" s="99"/>
      <c r="Q10914" s="99"/>
      <c r="R10914" s="99"/>
    </row>
    <row r="10915" spans="5:18" s="65" customFormat="1">
      <c r="E10915" s="130"/>
      <c r="P10915" s="99"/>
      <c r="Q10915" s="99"/>
      <c r="R10915" s="99"/>
    </row>
    <row r="10916" spans="5:18" s="65" customFormat="1">
      <c r="E10916" s="130"/>
      <c r="P10916" s="99"/>
      <c r="Q10916" s="99"/>
      <c r="R10916" s="99"/>
    </row>
    <row r="10917" spans="5:18" s="65" customFormat="1">
      <c r="E10917" s="130"/>
      <c r="P10917" s="99"/>
      <c r="Q10917" s="99"/>
      <c r="R10917" s="99"/>
    </row>
    <row r="10918" spans="5:18" s="65" customFormat="1">
      <c r="E10918" s="130"/>
      <c r="P10918" s="99"/>
      <c r="Q10918" s="99"/>
      <c r="R10918" s="99"/>
    </row>
    <row r="10919" spans="5:18" s="65" customFormat="1">
      <c r="E10919" s="130"/>
      <c r="P10919" s="99"/>
      <c r="Q10919" s="99"/>
      <c r="R10919" s="99"/>
    </row>
    <row r="10920" spans="5:18" s="65" customFormat="1">
      <c r="E10920" s="130"/>
      <c r="P10920" s="99"/>
      <c r="Q10920" s="99"/>
      <c r="R10920" s="99"/>
    </row>
    <row r="10921" spans="5:18" s="65" customFormat="1">
      <c r="E10921" s="130"/>
      <c r="P10921" s="99"/>
      <c r="Q10921" s="99"/>
      <c r="R10921" s="99"/>
    </row>
    <row r="10922" spans="5:18" s="65" customFormat="1">
      <c r="E10922" s="130"/>
      <c r="P10922" s="99"/>
      <c r="Q10922" s="99"/>
      <c r="R10922" s="99"/>
    </row>
    <row r="10923" spans="5:18" s="65" customFormat="1">
      <c r="E10923" s="130"/>
      <c r="P10923" s="99"/>
      <c r="Q10923" s="99"/>
      <c r="R10923" s="99"/>
    </row>
    <row r="10924" spans="5:18" s="65" customFormat="1">
      <c r="E10924" s="130"/>
      <c r="P10924" s="99"/>
      <c r="Q10924" s="99"/>
      <c r="R10924" s="99"/>
    </row>
    <row r="10925" spans="5:18" s="65" customFormat="1">
      <c r="E10925" s="130"/>
      <c r="P10925" s="99"/>
      <c r="Q10925" s="99"/>
      <c r="R10925" s="99"/>
    </row>
    <row r="10926" spans="5:18" s="65" customFormat="1">
      <c r="E10926" s="130"/>
      <c r="P10926" s="99"/>
      <c r="Q10926" s="99"/>
      <c r="R10926" s="99"/>
    </row>
    <row r="10927" spans="5:18" s="65" customFormat="1">
      <c r="E10927" s="130"/>
      <c r="P10927" s="99"/>
      <c r="Q10927" s="99"/>
      <c r="R10927" s="99"/>
    </row>
    <row r="10928" spans="5:18" s="65" customFormat="1">
      <c r="E10928" s="130"/>
      <c r="P10928" s="99"/>
      <c r="Q10928" s="99"/>
      <c r="R10928" s="99"/>
    </row>
    <row r="10929" spans="5:18" s="65" customFormat="1">
      <c r="E10929" s="130"/>
      <c r="P10929" s="99"/>
      <c r="Q10929" s="99"/>
      <c r="R10929" s="99"/>
    </row>
    <row r="10930" spans="5:18" s="65" customFormat="1">
      <c r="E10930" s="130"/>
      <c r="P10930" s="99"/>
      <c r="Q10930" s="99"/>
      <c r="R10930" s="99"/>
    </row>
    <row r="10931" spans="5:18" s="65" customFormat="1">
      <c r="E10931" s="130"/>
      <c r="P10931" s="99"/>
      <c r="Q10931" s="99"/>
      <c r="R10931" s="99"/>
    </row>
    <row r="10932" spans="5:18" s="65" customFormat="1">
      <c r="E10932" s="130"/>
      <c r="P10932" s="99"/>
      <c r="Q10932" s="99"/>
      <c r="R10932" s="99"/>
    </row>
    <row r="10933" spans="5:18" s="65" customFormat="1">
      <c r="E10933" s="130"/>
      <c r="P10933" s="99"/>
      <c r="Q10933" s="99"/>
      <c r="R10933" s="99"/>
    </row>
    <row r="10934" spans="5:18" s="65" customFormat="1">
      <c r="E10934" s="130"/>
      <c r="P10934" s="99"/>
      <c r="Q10934" s="99"/>
      <c r="R10934" s="99"/>
    </row>
    <row r="10935" spans="5:18" s="65" customFormat="1">
      <c r="E10935" s="130"/>
      <c r="P10935" s="99"/>
      <c r="Q10935" s="99"/>
      <c r="R10935" s="99"/>
    </row>
    <row r="10936" spans="5:18" s="65" customFormat="1">
      <c r="E10936" s="130"/>
      <c r="P10936" s="99"/>
      <c r="Q10936" s="99"/>
      <c r="R10936" s="99"/>
    </row>
    <row r="10937" spans="5:18" s="65" customFormat="1">
      <c r="E10937" s="130"/>
      <c r="P10937" s="99"/>
      <c r="Q10937" s="99"/>
      <c r="R10937" s="99"/>
    </row>
    <row r="10938" spans="5:18" s="65" customFormat="1">
      <c r="E10938" s="130"/>
      <c r="P10938" s="99"/>
      <c r="Q10938" s="99"/>
      <c r="R10938" s="99"/>
    </row>
    <row r="10939" spans="5:18" s="65" customFormat="1">
      <c r="E10939" s="130"/>
      <c r="P10939" s="99"/>
      <c r="Q10939" s="99"/>
      <c r="R10939" s="99"/>
    </row>
    <row r="10940" spans="5:18" s="65" customFormat="1">
      <c r="E10940" s="130"/>
      <c r="P10940" s="99"/>
      <c r="Q10940" s="99"/>
      <c r="R10940" s="99"/>
    </row>
    <row r="10941" spans="5:18" s="65" customFormat="1">
      <c r="E10941" s="130"/>
      <c r="P10941" s="99"/>
      <c r="Q10941" s="99"/>
      <c r="R10941" s="99"/>
    </row>
    <row r="10942" spans="5:18" s="65" customFormat="1">
      <c r="E10942" s="130"/>
      <c r="P10942" s="99"/>
      <c r="Q10942" s="99"/>
      <c r="R10942" s="99"/>
    </row>
    <row r="10943" spans="5:18" s="65" customFormat="1">
      <c r="E10943" s="130"/>
      <c r="P10943" s="99"/>
      <c r="Q10943" s="99"/>
      <c r="R10943" s="99"/>
    </row>
    <row r="10944" spans="5:18" s="65" customFormat="1">
      <c r="E10944" s="130"/>
      <c r="P10944" s="99"/>
      <c r="Q10944" s="99"/>
      <c r="R10944" s="99"/>
    </row>
    <row r="10945" spans="5:18" s="65" customFormat="1">
      <c r="E10945" s="130"/>
      <c r="P10945" s="99"/>
      <c r="Q10945" s="99"/>
      <c r="R10945" s="99"/>
    </row>
    <row r="10946" spans="5:18" s="65" customFormat="1">
      <c r="E10946" s="130"/>
      <c r="P10946" s="99"/>
      <c r="Q10946" s="99"/>
      <c r="R10946" s="99"/>
    </row>
    <row r="10947" spans="5:18" s="65" customFormat="1">
      <c r="E10947" s="130"/>
      <c r="P10947" s="99"/>
      <c r="Q10947" s="99"/>
      <c r="R10947" s="99"/>
    </row>
    <row r="10948" spans="5:18" s="65" customFormat="1">
      <c r="E10948" s="130"/>
      <c r="P10948" s="99"/>
      <c r="Q10948" s="99"/>
      <c r="R10948" s="99"/>
    </row>
    <row r="10949" spans="5:18" s="65" customFormat="1">
      <c r="E10949" s="130"/>
      <c r="P10949" s="99"/>
      <c r="Q10949" s="99"/>
      <c r="R10949" s="99"/>
    </row>
    <row r="10950" spans="5:18" s="65" customFormat="1">
      <c r="E10950" s="130"/>
      <c r="P10950" s="99"/>
      <c r="Q10950" s="99"/>
      <c r="R10950" s="99"/>
    </row>
    <row r="10951" spans="5:18" s="65" customFormat="1">
      <c r="E10951" s="130"/>
      <c r="P10951" s="99"/>
      <c r="Q10951" s="99"/>
      <c r="R10951" s="99"/>
    </row>
    <row r="10952" spans="5:18" s="65" customFormat="1">
      <c r="E10952" s="130"/>
      <c r="P10952" s="99"/>
      <c r="Q10952" s="99"/>
      <c r="R10952" s="99"/>
    </row>
    <row r="10953" spans="5:18" s="65" customFormat="1">
      <c r="E10953" s="130"/>
      <c r="P10953" s="99"/>
      <c r="Q10953" s="99"/>
      <c r="R10953" s="99"/>
    </row>
    <row r="10954" spans="5:18" s="65" customFormat="1">
      <c r="E10954" s="130"/>
      <c r="P10954" s="99"/>
      <c r="Q10954" s="99"/>
      <c r="R10954" s="99"/>
    </row>
    <row r="10955" spans="5:18" s="65" customFormat="1">
      <c r="E10955" s="130"/>
      <c r="P10955" s="99"/>
      <c r="Q10955" s="99"/>
      <c r="R10955" s="99"/>
    </row>
    <row r="10956" spans="5:18" s="65" customFormat="1">
      <c r="E10956" s="130"/>
      <c r="P10956" s="99"/>
      <c r="Q10956" s="99"/>
      <c r="R10956" s="99"/>
    </row>
    <row r="10957" spans="5:18" s="65" customFormat="1">
      <c r="E10957" s="130"/>
      <c r="P10957" s="99"/>
      <c r="Q10957" s="99"/>
      <c r="R10957" s="99"/>
    </row>
    <row r="10958" spans="5:18" s="65" customFormat="1">
      <c r="E10958" s="130"/>
      <c r="P10958" s="99"/>
      <c r="Q10958" s="99"/>
      <c r="R10958" s="99"/>
    </row>
    <row r="10959" spans="5:18" s="65" customFormat="1">
      <c r="E10959" s="130"/>
      <c r="P10959" s="99"/>
      <c r="Q10959" s="99"/>
      <c r="R10959" s="99"/>
    </row>
    <row r="10960" spans="5:18" s="65" customFormat="1">
      <c r="E10960" s="130"/>
      <c r="P10960" s="99"/>
      <c r="Q10960" s="99"/>
      <c r="R10960" s="99"/>
    </row>
    <row r="10961" spans="5:18" s="65" customFormat="1">
      <c r="E10961" s="130"/>
      <c r="P10961" s="99"/>
      <c r="Q10961" s="99"/>
      <c r="R10961" s="99"/>
    </row>
    <row r="10962" spans="5:18" s="65" customFormat="1">
      <c r="E10962" s="130"/>
      <c r="P10962" s="99"/>
      <c r="Q10962" s="99"/>
      <c r="R10962" s="99"/>
    </row>
    <row r="10963" spans="5:18" s="65" customFormat="1">
      <c r="E10963" s="130"/>
      <c r="P10963" s="99"/>
      <c r="Q10963" s="99"/>
      <c r="R10963" s="99"/>
    </row>
    <row r="10964" spans="5:18" s="65" customFormat="1">
      <c r="E10964" s="130"/>
      <c r="P10964" s="99"/>
      <c r="Q10964" s="99"/>
      <c r="R10964" s="99"/>
    </row>
    <row r="10965" spans="5:18" s="65" customFormat="1">
      <c r="E10965" s="130"/>
      <c r="P10965" s="99"/>
      <c r="Q10965" s="99"/>
      <c r="R10965" s="99"/>
    </row>
    <row r="10966" spans="5:18" s="65" customFormat="1">
      <c r="E10966" s="130"/>
      <c r="P10966" s="99"/>
      <c r="Q10966" s="99"/>
      <c r="R10966" s="99"/>
    </row>
    <row r="10967" spans="5:18" s="65" customFormat="1">
      <c r="E10967" s="130"/>
      <c r="P10967" s="99"/>
      <c r="Q10967" s="99"/>
      <c r="R10967" s="99"/>
    </row>
    <row r="10968" spans="5:18" s="65" customFormat="1">
      <c r="E10968" s="130"/>
      <c r="P10968" s="99"/>
      <c r="Q10968" s="99"/>
      <c r="R10968" s="99"/>
    </row>
    <row r="10969" spans="5:18" s="65" customFormat="1">
      <c r="E10969" s="130"/>
      <c r="P10969" s="99"/>
      <c r="Q10969" s="99"/>
      <c r="R10969" s="99"/>
    </row>
    <row r="10970" spans="5:18" s="65" customFormat="1">
      <c r="E10970" s="130"/>
      <c r="P10970" s="99"/>
      <c r="Q10970" s="99"/>
      <c r="R10970" s="99"/>
    </row>
    <row r="10971" spans="5:18" s="65" customFormat="1">
      <c r="E10971" s="130"/>
      <c r="P10971" s="99"/>
      <c r="Q10971" s="99"/>
      <c r="R10971" s="99"/>
    </row>
    <row r="10972" spans="5:18" s="65" customFormat="1">
      <c r="E10972" s="130"/>
      <c r="P10972" s="99"/>
      <c r="Q10972" s="99"/>
      <c r="R10972" s="99"/>
    </row>
    <row r="10973" spans="5:18" s="65" customFormat="1">
      <c r="E10973" s="130"/>
      <c r="P10973" s="99"/>
      <c r="Q10973" s="99"/>
      <c r="R10973" s="99"/>
    </row>
    <row r="10974" spans="5:18" s="65" customFormat="1">
      <c r="E10974" s="130"/>
      <c r="P10974" s="99"/>
      <c r="Q10974" s="99"/>
      <c r="R10974" s="99"/>
    </row>
    <row r="10975" spans="5:18" s="65" customFormat="1">
      <c r="E10975" s="130"/>
      <c r="P10975" s="99"/>
      <c r="Q10975" s="99"/>
      <c r="R10975" s="99"/>
    </row>
    <row r="10976" spans="5:18" s="65" customFormat="1">
      <c r="E10976" s="130"/>
      <c r="P10976" s="99"/>
      <c r="Q10976" s="99"/>
      <c r="R10976" s="99"/>
    </row>
    <row r="10977" spans="5:18" s="65" customFormat="1">
      <c r="E10977" s="130"/>
      <c r="P10977" s="99"/>
      <c r="Q10977" s="99"/>
      <c r="R10977" s="99"/>
    </row>
    <row r="10978" spans="5:18" s="65" customFormat="1">
      <c r="E10978" s="130"/>
      <c r="P10978" s="99"/>
      <c r="Q10978" s="99"/>
      <c r="R10978" s="99"/>
    </row>
    <row r="10979" spans="5:18" s="65" customFormat="1">
      <c r="E10979" s="130"/>
      <c r="P10979" s="99"/>
      <c r="Q10979" s="99"/>
      <c r="R10979" s="99"/>
    </row>
    <row r="10980" spans="5:18" s="65" customFormat="1">
      <c r="E10980" s="130"/>
      <c r="P10980" s="99"/>
      <c r="Q10980" s="99"/>
      <c r="R10980" s="99"/>
    </row>
    <row r="10981" spans="5:18" s="65" customFormat="1">
      <c r="E10981" s="130"/>
      <c r="P10981" s="99"/>
      <c r="Q10981" s="99"/>
      <c r="R10981" s="99"/>
    </row>
    <row r="10982" spans="5:18" s="65" customFormat="1">
      <c r="E10982" s="130"/>
      <c r="P10982" s="99"/>
      <c r="Q10982" s="99"/>
      <c r="R10982" s="99"/>
    </row>
    <row r="10983" spans="5:18" s="65" customFormat="1">
      <c r="E10983" s="130"/>
      <c r="P10983" s="99"/>
      <c r="Q10983" s="99"/>
      <c r="R10983" s="99"/>
    </row>
    <row r="10984" spans="5:18" s="65" customFormat="1">
      <c r="E10984" s="130"/>
      <c r="P10984" s="99"/>
      <c r="Q10984" s="99"/>
      <c r="R10984" s="99"/>
    </row>
    <row r="10985" spans="5:18" s="65" customFormat="1">
      <c r="E10985" s="130"/>
      <c r="P10985" s="99"/>
      <c r="Q10985" s="99"/>
      <c r="R10985" s="99"/>
    </row>
    <row r="10986" spans="5:18" s="65" customFormat="1">
      <c r="E10986" s="130"/>
      <c r="P10986" s="99"/>
      <c r="Q10986" s="99"/>
      <c r="R10986" s="99"/>
    </row>
    <row r="10987" spans="5:18" s="65" customFormat="1">
      <c r="E10987" s="130"/>
      <c r="P10987" s="99"/>
      <c r="Q10987" s="99"/>
      <c r="R10987" s="99"/>
    </row>
    <row r="10988" spans="5:18" s="65" customFormat="1">
      <c r="E10988" s="130"/>
      <c r="P10988" s="99"/>
      <c r="Q10988" s="99"/>
      <c r="R10988" s="99"/>
    </row>
    <row r="10989" spans="5:18" s="65" customFormat="1">
      <c r="E10989" s="130"/>
      <c r="P10989" s="99"/>
      <c r="Q10989" s="99"/>
      <c r="R10989" s="99"/>
    </row>
    <row r="10990" spans="5:18" s="65" customFormat="1">
      <c r="E10990" s="130"/>
      <c r="P10990" s="99"/>
      <c r="Q10990" s="99"/>
      <c r="R10990" s="99"/>
    </row>
    <row r="10991" spans="5:18" s="65" customFormat="1">
      <c r="E10991" s="130"/>
      <c r="P10991" s="99"/>
      <c r="Q10991" s="99"/>
      <c r="R10991" s="99"/>
    </row>
    <row r="10992" spans="5:18" s="65" customFormat="1">
      <c r="E10992" s="130"/>
      <c r="P10992" s="99"/>
      <c r="Q10992" s="99"/>
      <c r="R10992" s="99"/>
    </row>
    <row r="10993" spans="5:18" s="65" customFormat="1">
      <c r="E10993" s="130"/>
      <c r="P10993" s="99"/>
      <c r="Q10993" s="99"/>
      <c r="R10993" s="99"/>
    </row>
    <row r="10994" spans="5:18" s="65" customFormat="1">
      <c r="E10994" s="130"/>
      <c r="P10994" s="99"/>
      <c r="Q10994" s="99"/>
      <c r="R10994" s="99"/>
    </row>
    <row r="10995" spans="5:18" s="65" customFormat="1">
      <c r="E10995" s="130"/>
      <c r="P10995" s="99"/>
      <c r="Q10995" s="99"/>
      <c r="R10995" s="99"/>
    </row>
    <row r="10996" spans="5:18" s="65" customFormat="1">
      <c r="E10996" s="130"/>
      <c r="P10996" s="99"/>
      <c r="Q10996" s="99"/>
      <c r="R10996" s="99"/>
    </row>
    <row r="10997" spans="5:18" s="65" customFormat="1">
      <c r="E10997" s="130"/>
      <c r="P10997" s="99"/>
      <c r="Q10997" s="99"/>
      <c r="R10997" s="99"/>
    </row>
    <row r="10998" spans="5:18" s="65" customFormat="1">
      <c r="E10998" s="130"/>
      <c r="P10998" s="99"/>
      <c r="Q10998" s="99"/>
      <c r="R10998" s="99"/>
    </row>
    <row r="10999" spans="5:18" s="65" customFormat="1">
      <c r="E10999" s="130"/>
      <c r="P10999" s="99"/>
      <c r="Q10999" s="99"/>
      <c r="R10999" s="99"/>
    </row>
    <row r="11000" spans="5:18" s="65" customFormat="1">
      <c r="E11000" s="130"/>
      <c r="P11000" s="99"/>
      <c r="Q11000" s="99"/>
      <c r="R11000" s="99"/>
    </row>
    <row r="11001" spans="5:18" s="65" customFormat="1">
      <c r="E11001" s="130"/>
      <c r="P11001" s="99"/>
      <c r="Q11001" s="99"/>
      <c r="R11001" s="99"/>
    </row>
    <row r="11002" spans="5:18" s="65" customFormat="1">
      <c r="E11002" s="130"/>
      <c r="P11002" s="99"/>
      <c r="Q11002" s="99"/>
      <c r="R11002" s="99"/>
    </row>
    <row r="11003" spans="5:18" s="65" customFormat="1">
      <c r="E11003" s="130"/>
      <c r="P11003" s="99"/>
      <c r="Q11003" s="99"/>
      <c r="R11003" s="99"/>
    </row>
    <row r="11004" spans="5:18" s="65" customFormat="1">
      <c r="E11004" s="130"/>
      <c r="P11004" s="99"/>
      <c r="Q11004" s="99"/>
      <c r="R11004" s="99"/>
    </row>
    <row r="11005" spans="5:18" s="65" customFormat="1">
      <c r="E11005" s="130"/>
      <c r="P11005" s="99"/>
      <c r="Q11005" s="99"/>
      <c r="R11005" s="99"/>
    </row>
    <row r="11006" spans="5:18" s="65" customFormat="1">
      <c r="E11006" s="130"/>
      <c r="P11006" s="99"/>
      <c r="Q11006" s="99"/>
      <c r="R11006" s="99"/>
    </row>
    <row r="11007" spans="5:18" s="65" customFormat="1">
      <c r="E11007" s="130"/>
      <c r="P11007" s="99"/>
      <c r="Q11007" s="99"/>
      <c r="R11007" s="99"/>
    </row>
    <row r="11008" spans="5:18" s="65" customFormat="1">
      <c r="E11008" s="130"/>
      <c r="P11008" s="99"/>
      <c r="Q11008" s="99"/>
      <c r="R11008" s="99"/>
    </row>
    <row r="11009" spans="5:18" s="65" customFormat="1">
      <c r="E11009" s="130"/>
      <c r="P11009" s="99"/>
      <c r="Q11009" s="99"/>
      <c r="R11009" s="99"/>
    </row>
    <row r="11010" spans="5:18" s="65" customFormat="1">
      <c r="E11010" s="130"/>
      <c r="P11010" s="99"/>
      <c r="Q11010" s="99"/>
      <c r="R11010" s="99"/>
    </row>
    <row r="11011" spans="5:18" s="65" customFormat="1">
      <c r="E11011" s="130"/>
      <c r="P11011" s="99"/>
      <c r="Q11011" s="99"/>
      <c r="R11011" s="99"/>
    </row>
    <row r="11012" spans="5:18" s="65" customFormat="1">
      <c r="E11012" s="130"/>
      <c r="P11012" s="99"/>
      <c r="Q11012" s="99"/>
      <c r="R11012" s="99"/>
    </row>
    <row r="11013" spans="5:18" s="65" customFormat="1">
      <c r="E11013" s="130"/>
      <c r="P11013" s="99"/>
      <c r="Q11013" s="99"/>
      <c r="R11013" s="99"/>
    </row>
    <row r="11014" spans="5:18" s="65" customFormat="1">
      <c r="E11014" s="130"/>
      <c r="P11014" s="99"/>
      <c r="Q11014" s="99"/>
      <c r="R11014" s="99"/>
    </row>
    <row r="11015" spans="5:18" s="65" customFormat="1">
      <c r="E11015" s="130"/>
      <c r="P11015" s="99"/>
      <c r="Q11015" s="99"/>
      <c r="R11015" s="99"/>
    </row>
    <row r="11016" spans="5:18" s="65" customFormat="1">
      <c r="E11016" s="130"/>
      <c r="P11016" s="99"/>
      <c r="Q11016" s="99"/>
      <c r="R11016" s="99"/>
    </row>
    <row r="11017" spans="5:18" s="65" customFormat="1">
      <c r="E11017" s="130"/>
      <c r="P11017" s="99"/>
      <c r="Q11017" s="99"/>
      <c r="R11017" s="99"/>
    </row>
    <row r="11018" spans="5:18" s="65" customFormat="1">
      <c r="E11018" s="130"/>
      <c r="P11018" s="99"/>
      <c r="Q11018" s="99"/>
      <c r="R11018" s="99"/>
    </row>
    <row r="11019" spans="5:18" s="65" customFormat="1">
      <c r="E11019" s="130"/>
      <c r="P11019" s="99"/>
      <c r="Q11019" s="99"/>
      <c r="R11019" s="99"/>
    </row>
    <row r="11020" spans="5:18" s="65" customFormat="1">
      <c r="E11020" s="130"/>
      <c r="P11020" s="99"/>
      <c r="Q11020" s="99"/>
      <c r="R11020" s="99"/>
    </row>
    <row r="11021" spans="5:18" s="65" customFormat="1">
      <c r="E11021" s="130"/>
      <c r="P11021" s="99"/>
      <c r="Q11021" s="99"/>
      <c r="R11021" s="99"/>
    </row>
    <row r="11022" spans="5:18" s="65" customFormat="1">
      <c r="E11022" s="130"/>
      <c r="P11022" s="99"/>
      <c r="Q11022" s="99"/>
      <c r="R11022" s="99"/>
    </row>
    <row r="11023" spans="5:18" s="65" customFormat="1">
      <c r="E11023" s="130"/>
      <c r="P11023" s="99"/>
      <c r="Q11023" s="99"/>
      <c r="R11023" s="99"/>
    </row>
    <row r="11024" spans="5:18" s="65" customFormat="1">
      <c r="E11024" s="130"/>
      <c r="P11024" s="99"/>
      <c r="Q11024" s="99"/>
      <c r="R11024" s="99"/>
    </row>
    <row r="11025" spans="5:18" s="65" customFormat="1">
      <c r="E11025" s="130"/>
      <c r="P11025" s="99"/>
      <c r="Q11025" s="99"/>
      <c r="R11025" s="99"/>
    </row>
    <row r="11026" spans="5:18" s="65" customFormat="1">
      <c r="E11026" s="130"/>
      <c r="P11026" s="99"/>
      <c r="Q11026" s="99"/>
      <c r="R11026" s="99"/>
    </row>
    <row r="11027" spans="5:18" s="65" customFormat="1">
      <c r="E11027" s="130"/>
      <c r="P11027" s="99"/>
      <c r="Q11027" s="99"/>
      <c r="R11027" s="99"/>
    </row>
    <row r="11028" spans="5:18" s="65" customFormat="1">
      <c r="E11028" s="130"/>
      <c r="P11028" s="99"/>
      <c r="Q11028" s="99"/>
      <c r="R11028" s="99"/>
    </row>
    <row r="11029" spans="5:18" s="65" customFormat="1">
      <c r="E11029" s="130"/>
      <c r="P11029" s="99"/>
      <c r="Q11029" s="99"/>
      <c r="R11029" s="99"/>
    </row>
    <row r="11030" spans="5:18" s="65" customFormat="1">
      <c r="E11030" s="130"/>
      <c r="P11030" s="99"/>
      <c r="Q11030" s="99"/>
      <c r="R11030" s="99"/>
    </row>
    <row r="11031" spans="5:18" s="65" customFormat="1">
      <c r="E11031" s="130"/>
      <c r="P11031" s="99"/>
      <c r="Q11031" s="99"/>
      <c r="R11031" s="99"/>
    </row>
    <row r="11032" spans="5:18" s="65" customFormat="1">
      <c r="E11032" s="130"/>
      <c r="P11032" s="99"/>
      <c r="Q11032" s="99"/>
      <c r="R11032" s="99"/>
    </row>
    <row r="11033" spans="5:18" s="65" customFormat="1">
      <c r="E11033" s="130"/>
      <c r="P11033" s="99"/>
      <c r="Q11033" s="99"/>
      <c r="R11033" s="99"/>
    </row>
    <row r="11034" spans="5:18" s="65" customFormat="1">
      <c r="E11034" s="130"/>
      <c r="P11034" s="99"/>
      <c r="Q11034" s="99"/>
      <c r="R11034" s="99"/>
    </row>
    <row r="11035" spans="5:18" s="65" customFormat="1">
      <c r="E11035" s="130"/>
      <c r="P11035" s="99"/>
      <c r="Q11035" s="99"/>
      <c r="R11035" s="99"/>
    </row>
    <row r="11036" spans="5:18" s="65" customFormat="1">
      <c r="E11036" s="130"/>
      <c r="P11036" s="99"/>
      <c r="Q11036" s="99"/>
      <c r="R11036" s="99"/>
    </row>
    <row r="11037" spans="5:18" s="65" customFormat="1">
      <c r="E11037" s="130"/>
      <c r="P11037" s="99"/>
      <c r="Q11037" s="99"/>
      <c r="R11037" s="99"/>
    </row>
    <row r="11038" spans="5:18" s="65" customFormat="1">
      <c r="E11038" s="130"/>
      <c r="P11038" s="99"/>
      <c r="Q11038" s="99"/>
      <c r="R11038" s="99"/>
    </row>
    <row r="11039" spans="5:18" s="65" customFormat="1">
      <c r="E11039" s="130"/>
      <c r="P11039" s="99"/>
      <c r="Q11039" s="99"/>
      <c r="R11039" s="99"/>
    </row>
    <row r="11040" spans="5:18" s="65" customFormat="1">
      <c r="E11040" s="130"/>
      <c r="P11040" s="99"/>
      <c r="Q11040" s="99"/>
      <c r="R11040" s="99"/>
    </row>
    <row r="11041" spans="5:18" s="65" customFormat="1">
      <c r="E11041" s="130"/>
      <c r="P11041" s="99"/>
      <c r="Q11041" s="99"/>
      <c r="R11041" s="99"/>
    </row>
    <row r="11042" spans="5:18" s="65" customFormat="1">
      <c r="E11042" s="130"/>
      <c r="P11042" s="99"/>
      <c r="Q11042" s="99"/>
      <c r="R11042" s="99"/>
    </row>
    <row r="11043" spans="5:18" s="65" customFormat="1">
      <c r="E11043" s="130"/>
      <c r="P11043" s="99"/>
      <c r="Q11043" s="99"/>
      <c r="R11043" s="99"/>
    </row>
    <row r="11044" spans="5:18" s="65" customFormat="1">
      <c r="E11044" s="130"/>
      <c r="P11044" s="99"/>
      <c r="Q11044" s="99"/>
      <c r="R11044" s="99"/>
    </row>
    <row r="11045" spans="5:18" s="65" customFormat="1">
      <c r="E11045" s="130"/>
      <c r="P11045" s="99"/>
      <c r="Q11045" s="99"/>
      <c r="R11045" s="99"/>
    </row>
    <row r="11046" spans="5:18" s="65" customFormat="1">
      <c r="E11046" s="130"/>
      <c r="P11046" s="99"/>
      <c r="Q11046" s="99"/>
      <c r="R11046" s="99"/>
    </row>
    <row r="11047" spans="5:18" s="65" customFormat="1">
      <c r="E11047" s="130"/>
      <c r="P11047" s="99"/>
      <c r="Q11047" s="99"/>
      <c r="R11047" s="99"/>
    </row>
    <row r="11048" spans="5:18" s="65" customFormat="1">
      <c r="E11048" s="130"/>
      <c r="P11048" s="99"/>
      <c r="Q11048" s="99"/>
      <c r="R11048" s="99"/>
    </row>
    <row r="11049" spans="5:18" s="65" customFormat="1">
      <c r="E11049" s="130"/>
      <c r="P11049" s="99"/>
      <c r="Q11049" s="99"/>
      <c r="R11049" s="99"/>
    </row>
    <row r="11050" spans="5:18" s="65" customFormat="1">
      <c r="E11050" s="130"/>
      <c r="P11050" s="99"/>
      <c r="Q11050" s="99"/>
      <c r="R11050" s="99"/>
    </row>
    <row r="11051" spans="5:18" s="65" customFormat="1">
      <c r="E11051" s="130"/>
      <c r="P11051" s="99"/>
      <c r="Q11051" s="99"/>
      <c r="R11051" s="99"/>
    </row>
    <row r="11052" spans="5:18" s="65" customFormat="1">
      <c r="E11052" s="130"/>
      <c r="P11052" s="99"/>
      <c r="Q11052" s="99"/>
      <c r="R11052" s="99"/>
    </row>
    <row r="11053" spans="5:18" s="65" customFormat="1">
      <c r="E11053" s="130"/>
      <c r="P11053" s="99"/>
      <c r="Q11053" s="99"/>
      <c r="R11053" s="99"/>
    </row>
    <row r="11054" spans="5:18" s="65" customFormat="1">
      <c r="E11054" s="130"/>
      <c r="P11054" s="99"/>
      <c r="Q11054" s="99"/>
      <c r="R11054" s="99"/>
    </row>
    <row r="11055" spans="5:18" s="65" customFormat="1">
      <c r="E11055" s="130"/>
      <c r="P11055" s="99"/>
      <c r="Q11055" s="99"/>
      <c r="R11055" s="99"/>
    </row>
    <row r="11056" spans="5:18" s="65" customFormat="1">
      <c r="E11056" s="130"/>
      <c r="P11056" s="99"/>
      <c r="Q11056" s="99"/>
      <c r="R11056" s="99"/>
    </row>
    <row r="11057" spans="5:18" s="65" customFormat="1">
      <c r="E11057" s="130"/>
      <c r="P11057" s="99"/>
      <c r="Q11057" s="99"/>
      <c r="R11057" s="99"/>
    </row>
    <row r="11058" spans="5:18" s="65" customFormat="1">
      <c r="E11058" s="130"/>
      <c r="P11058" s="99"/>
      <c r="Q11058" s="99"/>
      <c r="R11058" s="99"/>
    </row>
    <row r="11059" spans="5:18" s="65" customFormat="1">
      <c r="E11059" s="130"/>
      <c r="P11059" s="99"/>
      <c r="Q11059" s="99"/>
      <c r="R11059" s="99"/>
    </row>
    <row r="11060" spans="5:18" s="65" customFormat="1">
      <c r="E11060" s="130"/>
      <c r="P11060" s="99"/>
      <c r="Q11060" s="99"/>
      <c r="R11060" s="99"/>
    </row>
    <row r="11061" spans="5:18" s="65" customFormat="1">
      <c r="E11061" s="130"/>
      <c r="P11061" s="99"/>
      <c r="Q11061" s="99"/>
      <c r="R11061" s="99"/>
    </row>
    <row r="11062" spans="5:18" s="65" customFormat="1">
      <c r="E11062" s="130"/>
      <c r="P11062" s="99"/>
      <c r="Q11062" s="99"/>
      <c r="R11062" s="99"/>
    </row>
    <row r="11063" spans="5:18" s="65" customFormat="1">
      <c r="E11063" s="130"/>
      <c r="P11063" s="99"/>
      <c r="Q11063" s="99"/>
      <c r="R11063" s="99"/>
    </row>
    <row r="11064" spans="5:18" s="65" customFormat="1">
      <c r="E11064" s="130"/>
      <c r="P11064" s="99"/>
      <c r="Q11064" s="99"/>
      <c r="R11064" s="99"/>
    </row>
    <row r="11065" spans="5:18" s="65" customFormat="1">
      <c r="E11065" s="130"/>
      <c r="P11065" s="99"/>
      <c r="Q11065" s="99"/>
      <c r="R11065" s="99"/>
    </row>
    <row r="11066" spans="5:18" s="65" customFormat="1">
      <c r="E11066" s="130"/>
      <c r="P11066" s="99"/>
      <c r="Q11066" s="99"/>
      <c r="R11066" s="99"/>
    </row>
    <row r="11067" spans="5:18" s="65" customFormat="1">
      <c r="E11067" s="130"/>
      <c r="P11067" s="99"/>
      <c r="Q11067" s="99"/>
      <c r="R11067" s="99"/>
    </row>
    <row r="11068" spans="5:18" s="65" customFormat="1">
      <c r="E11068" s="130"/>
      <c r="P11068" s="99"/>
      <c r="Q11068" s="99"/>
      <c r="R11068" s="99"/>
    </row>
    <row r="11069" spans="5:18" s="65" customFormat="1">
      <c r="E11069" s="130"/>
      <c r="P11069" s="99"/>
      <c r="Q11069" s="99"/>
      <c r="R11069" s="99"/>
    </row>
    <row r="11070" spans="5:18" s="65" customFormat="1">
      <c r="E11070" s="130"/>
      <c r="P11070" s="99"/>
      <c r="Q11070" s="99"/>
      <c r="R11070" s="99"/>
    </row>
    <row r="11071" spans="5:18" s="65" customFormat="1">
      <c r="E11071" s="130"/>
      <c r="P11071" s="99"/>
      <c r="Q11071" s="99"/>
      <c r="R11071" s="99"/>
    </row>
    <row r="11072" spans="5:18" s="65" customFormat="1">
      <c r="E11072" s="130"/>
      <c r="P11072" s="99"/>
      <c r="Q11072" s="99"/>
      <c r="R11072" s="99"/>
    </row>
    <row r="11073" spans="5:18" s="65" customFormat="1">
      <c r="E11073" s="130"/>
      <c r="P11073" s="99"/>
      <c r="Q11073" s="99"/>
      <c r="R11073" s="99"/>
    </row>
    <row r="11074" spans="5:18" s="65" customFormat="1">
      <c r="E11074" s="130"/>
      <c r="P11074" s="99"/>
      <c r="Q11074" s="99"/>
      <c r="R11074" s="99"/>
    </row>
    <row r="11075" spans="5:18" s="65" customFormat="1">
      <c r="E11075" s="130"/>
      <c r="P11075" s="99"/>
      <c r="Q11075" s="99"/>
      <c r="R11075" s="99"/>
    </row>
    <row r="11076" spans="5:18" s="65" customFormat="1">
      <c r="E11076" s="130"/>
      <c r="P11076" s="99"/>
      <c r="Q11076" s="99"/>
      <c r="R11076" s="99"/>
    </row>
    <row r="11077" spans="5:18" s="65" customFormat="1">
      <c r="E11077" s="130"/>
      <c r="P11077" s="99"/>
      <c r="Q11077" s="99"/>
      <c r="R11077" s="99"/>
    </row>
    <row r="11078" spans="5:18" s="65" customFormat="1">
      <c r="E11078" s="130"/>
      <c r="P11078" s="99"/>
      <c r="Q11078" s="99"/>
      <c r="R11078" s="99"/>
    </row>
    <row r="11079" spans="5:18" s="65" customFormat="1">
      <c r="E11079" s="130"/>
      <c r="P11079" s="99"/>
      <c r="Q11079" s="99"/>
      <c r="R11079" s="99"/>
    </row>
    <row r="11080" spans="5:18" s="65" customFormat="1">
      <c r="E11080" s="130"/>
      <c r="P11080" s="99"/>
      <c r="Q11080" s="99"/>
      <c r="R11080" s="99"/>
    </row>
    <row r="11081" spans="5:18" s="65" customFormat="1">
      <c r="E11081" s="130"/>
      <c r="P11081" s="99"/>
      <c r="Q11081" s="99"/>
      <c r="R11081" s="99"/>
    </row>
    <row r="11082" spans="5:18" s="65" customFormat="1">
      <c r="E11082" s="130"/>
      <c r="P11082" s="99"/>
      <c r="Q11082" s="99"/>
      <c r="R11082" s="99"/>
    </row>
    <row r="11083" spans="5:18" s="65" customFormat="1">
      <c r="E11083" s="130"/>
      <c r="P11083" s="99"/>
      <c r="Q11083" s="99"/>
      <c r="R11083" s="99"/>
    </row>
    <row r="11084" spans="5:18" s="65" customFormat="1">
      <c r="E11084" s="130"/>
      <c r="P11084" s="99"/>
      <c r="Q11084" s="99"/>
      <c r="R11084" s="99"/>
    </row>
    <row r="11085" spans="5:18" s="65" customFormat="1">
      <c r="E11085" s="130"/>
      <c r="P11085" s="99"/>
      <c r="Q11085" s="99"/>
      <c r="R11085" s="99"/>
    </row>
    <row r="11086" spans="5:18" s="65" customFormat="1">
      <c r="E11086" s="130"/>
      <c r="P11086" s="99"/>
      <c r="Q11086" s="99"/>
      <c r="R11086" s="99"/>
    </row>
    <row r="11087" spans="5:18" s="65" customFormat="1">
      <c r="E11087" s="130"/>
      <c r="P11087" s="99"/>
      <c r="Q11087" s="99"/>
      <c r="R11087" s="99"/>
    </row>
    <row r="11088" spans="5:18" s="65" customFormat="1">
      <c r="E11088" s="130"/>
      <c r="P11088" s="99"/>
      <c r="Q11088" s="99"/>
      <c r="R11088" s="99"/>
    </row>
    <row r="11089" spans="5:18" s="65" customFormat="1">
      <c r="E11089" s="130"/>
      <c r="P11089" s="99"/>
      <c r="Q11089" s="99"/>
      <c r="R11089" s="99"/>
    </row>
    <row r="11090" spans="5:18" s="65" customFormat="1">
      <c r="E11090" s="130"/>
      <c r="P11090" s="99"/>
      <c r="Q11090" s="99"/>
      <c r="R11090" s="99"/>
    </row>
    <row r="11091" spans="5:18" s="65" customFormat="1">
      <c r="E11091" s="130"/>
      <c r="P11091" s="99"/>
      <c r="Q11091" s="99"/>
      <c r="R11091" s="99"/>
    </row>
    <row r="11092" spans="5:18" s="65" customFormat="1">
      <c r="E11092" s="130"/>
      <c r="P11092" s="99"/>
      <c r="Q11092" s="99"/>
      <c r="R11092" s="99"/>
    </row>
    <row r="11093" spans="5:18" s="65" customFormat="1">
      <c r="E11093" s="130"/>
      <c r="P11093" s="99"/>
      <c r="Q11093" s="99"/>
      <c r="R11093" s="99"/>
    </row>
    <row r="11094" spans="5:18" s="65" customFormat="1">
      <c r="E11094" s="130"/>
      <c r="P11094" s="99"/>
      <c r="Q11094" s="99"/>
      <c r="R11094" s="99"/>
    </row>
    <row r="11095" spans="5:18" s="65" customFormat="1">
      <c r="E11095" s="130"/>
      <c r="P11095" s="99"/>
      <c r="Q11095" s="99"/>
      <c r="R11095" s="99"/>
    </row>
    <row r="11096" spans="5:18" s="65" customFormat="1">
      <c r="E11096" s="130"/>
      <c r="P11096" s="99"/>
      <c r="Q11096" s="99"/>
      <c r="R11096" s="99"/>
    </row>
    <row r="11097" spans="5:18" s="65" customFormat="1">
      <c r="E11097" s="130"/>
      <c r="P11097" s="99"/>
      <c r="Q11097" s="99"/>
      <c r="R11097" s="99"/>
    </row>
    <row r="11098" spans="5:18" s="65" customFormat="1">
      <c r="E11098" s="130"/>
      <c r="P11098" s="99"/>
      <c r="Q11098" s="99"/>
      <c r="R11098" s="99"/>
    </row>
    <row r="11099" spans="5:18" s="65" customFormat="1">
      <c r="E11099" s="130"/>
      <c r="P11099" s="99"/>
      <c r="Q11099" s="99"/>
      <c r="R11099" s="99"/>
    </row>
    <row r="11100" spans="5:18" s="65" customFormat="1">
      <c r="E11100" s="130"/>
      <c r="P11100" s="99"/>
      <c r="Q11100" s="99"/>
      <c r="R11100" s="99"/>
    </row>
    <row r="11101" spans="5:18" s="65" customFormat="1">
      <c r="E11101" s="130"/>
      <c r="P11101" s="99"/>
      <c r="Q11101" s="99"/>
      <c r="R11101" s="99"/>
    </row>
    <row r="11102" spans="5:18" s="65" customFormat="1">
      <c r="E11102" s="130"/>
      <c r="P11102" s="99"/>
      <c r="Q11102" s="99"/>
      <c r="R11102" s="99"/>
    </row>
    <row r="11103" spans="5:18" s="65" customFormat="1">
      <c r="E11103" s="130"/>
      <c r="P11103" s="99"/>
      <c r="Q11103" s="99"/>
      <c r="R11103" s="99"/>
    </row>
    <row r="11104" spans="5:18" s="65" customFormat="1">
      <c r="E11104" s="130"/>
      <c r="P11104" s="99"/>
      <c r="Q11104" s="99"/>
      <c r="R11104" s="99"/>
    </row>
    <row r="11105" spans="5:18" s="65" customFormat="1">
      <c r="E11105" s="130"/>
      <c r="P11105" s="99"/>
      <c r="Q11105" s="99"/>
      <c r="R11105" s="99"/>
    </row>
    <row r="11106" spans="5:18" s="65" customFormat="1">
      <c r="E11106" s="130"/>
      <c r="P11106" s="99"/>
      <c r="Q11106" s="99"/>
      <c r="R11106" s="99"/>
    </row>
    <row r="11107" spans="5:18" s="65" customFormat="1">
      <c r="E11107" s="130"/>
      <c r="P11107" s="99"/>
      <c r="Q11107" s="99"/>
      <c r="R11107" s="99"/>
    </row>
    <row r="11108" spans="5:18" s="65" customFormat="1">
      <c r="E11108" s="130"/>
      <c r="P11108" s="99"/>
      <c r="Q11108" s="99"/>
      <c r="R11108" s="99"/>
    </row>
    <row r="11109" spans="5:18" s="65" customFormat="1">
      <c r="E11109" s="130"/>
      <c r="P11109" s="99"/>
      <c r="Q11109" s="99"/>
      <c r="R11109" s="99"/>
    </row>
    <row r="11110" spans="5:18" s="65" customFormat="1">
      <c r="E11110" s="130"/>
      <c r="P11110" s="99"/>
      <c r="Q11110" s="99"/>
      <c r="R11110" s="99"/>
    </row>
    <row r="11111" spans="5:18" s="65" customFormat="1">
      <c r="E11111" s="130"/>
      <c r="P11111" s="99"/>
      <c r="Q11111" s="99"/>
      <c r="R11111" s="99"/>
    </row>
    <row r="11112" spans="5:18" s="65" customFormat="1">
      <c r="E11112" s="130"/>
      <c r="P11112" s="99"/>
      <c r="Q11112" s="99"/>
      <c r="R11112" s="99"/>
    </row>
    <row r="11113" spans="5:18" s="65" customFormat="1">
      <c r="E11113" s="130"/>
      <c r="P11113" s="99"/>
      <c r="Q11113" s="99"/>
      <c r="R11113" s="99"/>
    </row>
    <row r="11114" spans="5:18" s="65" customFormat="1">
      <c r="E11114" s="130"/>
      <c r="P11114" s="99"/>
      <c r="Q11114" s="99"/>
      <c r="R11114" s="99"/>
    </row>
    <row r="11115" spans="5:18" s="65" customFormat="1">
      <c r="E11115" s="130"/>
      <c r="P11115" s="99"/>
      <c r="Q11115" s="99"/>
      <c r="R11115" s="99"/>
    </row>
    <row r="11116" spans="5:18" s="65" customFormat="1">
      <c r="E11116" s="130"/>
      <c r="P11116" s="99"/>
      <c r="Q11116" s="99"/>
      <c r="R11116" s="99"/>
    </row>
    <row r="11117" spans="5:18" s="65" customFormat="1">
      <c r="E11117" s="130"/>
      <c r="P11117" s="99"/>
      <c r="Q11117" s="99"/>
      <c r="R11117" s="99"/>
    </row>
    <row r="11118" spans="5:18" s="65" customFormat="1">
      <c r="E11118" s="130"/>
      <c r="P11118" s="99"/>
      <c r="Q11118" s="99"/>
      <c r="R11118" s="99"/>
    </row>
    <row r="11119" spans="5:18" s="65" customFormat="1">
      <c r="E11119" s="130"/>
      <c r="P11119" s="99"/>
      <c r="Q11119" s="99"/>
      <c r="R11119" s="99"/>
    </row>
    <row r="11120" spans="5:18" s="65" customFormat="1">
      <c r="E11120" s="130"/>
      <c r="P11120" s="99"/>
      <c r="Q11120" s="99"/>
      <c r="R11120" s="99"/>
    </row>
    <row r="11121" spans="5:18" s="65" customFormat="1">
      <c r="E11121" s="130"/>
      <c r="P11121" s="99"/>
      <c r="Q11121" s="99"/>
      <c r="R11121" s="99"/>
    </row>
    <row r="11122" spans="5:18" s="65" customFormat="1">
      <c r="E11122" s="130"/>
      <c r="P11122" s="99"/>
      <c r="Q11122" s="99"/>
      <c r="R11122" s="99"/>
    </row>
    <row r="11123" spans="5:18" s="65" customFormat="1">
      <c r="E11123" s="130"/>
      <c r="P11123" s="99"/>
      <c r="Q11123" s="99"/>
      <c r="R11123" s="99"/>
    </row>
    <row r="11124" spans="5:18" s="65" customFormat="1">
      <c r="E11124" s="130"/>
      <c r="P11124" s="99"/>
      <c r="Q11124" s="99"/>
      <c r="R11124" s="99"/>
    </row>
    <row r="11125" spans="5:18" s="65" customFormat="1">
      <c r="E11125" s="130"/>
      <c r="P11125" s="99"/>
      <c r="Q11125" s="99"/>
      <c r="R11125" s="99"/>
    </row>
    <row r="11126" spans="5:18" s="65" customFormat="1">
      <c r="E11126" s="130"/>
      <c r="P11126" s="99"/>
      <c r="Q11126" s="99"/>
      <c r="R11126" s="99"/>
    </row>
    <row r="11127" spans="5:18" s="65" customFormat="1">
      <c r="E11127" s="130"/>
      <c r="P11127" s="99"/>
      <c r="Q11127" s="99"/>
      <c r="R11127" s="99"/>
    </row>
    <row r="11128" spans="5:18" s="65" customFormat="1">
      <c r="E11128" s="130"/>
      <c r="P11128" s="99"/>
      <c r="Q11128" s="99"/>
      <c r="R11128" s="99"/>
    </row>
    <row r="11129" spans="5:18" s="65" customFormat="1">
      <c r="E11129" s="130"/>
      <c r="P11129" s="99"/>
      <c r="Q11129" s="99"/>
      <c r="R11129" s="99"/>
    </row>
    <row r="11130" spans="5:18" s="65" customFormat="1">
      <c r="E11130" s="130"/>
      <c r="P11130" s="99"/>
      <c r="Q11130" s="99"/>
      <c r="R11130" s="99"/>
    </row>
    <row r="11131" spans="5:18" s="65" customFormat="1">
      <c r="E11131" s="130"/>
      <c r="P11131" s="99"/>
      <c r="Q11131" s="99"/>
      <c r="R11131" s="99"/>
    </row>
    <row r="11132" spans="5:18" s="65" customFormat="1">
      <c r="E11132" s="130"/>
      <c r="P11132" s="99"/>
      <c r="Q11132" s="99"/>
      <c r="R11132" s="99"/>
    </row>
    <row r="11133" spans="5:18" s="65" customFormat="1">
      <c r="E11133" s="130"/>
      <c r="P11133" s="99"/>
      <c r="Q11133" s="99"/>
      <c r="R11133" s="99"/>
    </row>
    <row r="11134" spans="5:18" s="65" customFormat="1">
      <c r="E11134" s="130"/>
      <c r="P11134" s="99"/>
      <c r="Q11134" s="99"/>
      <c r="R11134" s="99"/>
    </row>
    <row r="11135" spans="5:18" s="65" customFormat="1">
      <c r="E11135" s="130"/>
      <c r="P11135" s="99"/>
      <c r="Q11135" s="99"/>
      <c r="R11135" s="99"/>
    </row>
    <row r="11136" spans="5:18" s="65" customFormat="1">
      <c r="E11136" s="130"/>
      <c r="P11136" s="99"/>
      <c r="Q11136" s="99"/>
      <c r="R11136" s="99"/>
    </row>
    <row r="11137" spans="5:18" s="65" customFormat="1">
      <c r="E11137" s="130"/>
      <c r="P11137" s="99"/>
      <c r="Q11137" s="99"/>
      <c r="R11137" s="99"/>
    </row>
    <row r="11138" spans="5:18" s="65" customFormat="1">
      <c r="E11138" s="130"/>
      <c r="P11138" s="99"/>
      <c r="Q11138" s="99"/>
      <c r="R11138" s="99"/>
    </row>
    <row r="11139" spans="5:18" s="65" customFormat="1">
      <c r="E11139" s="130"/>
      <c r="P11139" s="99"/>
      <c r="Q11139" s="99"/>
      <c r="R11139" s="99"/>
    </row>
    <row r="11140" spans="5:18" s="65" customFormat="1">
      <c r="E11140" s="130"/>
      <c r="P11140" s="99"/>
      <c r="Q11140" s="99"/>
      <c r="R11140" s="99"/>
    </row>
    <row r="11141" spans="5:18" s="65" customFormat="1">
      <c r="E11141" s="130"/>
      <c r="P11141" s="99"/>
      <c r="Q11141" s="99"/>
      <c r="R11141" s="99"/>
    </row>
    <row r="11142" spans="5:18" s="65" customFormat="1">
      <c r="E11142" s="130"/>
      <c r="P11142" s="99"/>
      <c r="Q11142" s="99"/>
      <c r="R11142" s="99"/>
    </row>
    <row r="11143" spans="5:18" s="65" customFormat="1">
      <c r="E11143" s="130"/>
      <c r="P11143" s="99"/>
      <c r="Q11143" s="99"/>
      <c r="R11143" s="99"/>
    </row>
    <row r="11144" spans="5:18" s="65" customFormat="1">
      <c r="E11144" s="130"/>
      <c r="P11144" s="99"/>
      <c r="Q11144" s="99"/>
      <c r="R11144" s="99"/>
    </row>
    <row r="11145" spans="5:18" s="65" customFormat="1">
      <c r="E11145" s="130"/>
      <c r="P11145" s="99"/>
      <c r="Q11145" s="99"/>
      <c r="R11145" s="99"/>
    </row>
    <row r="11146" spans="5:18" s="65" customFormat="1">
      <c r="E11146" s="130"/>
      <c r="P11146" s="99"/>
      <c r="Q11146" s="99"/>
      <c r="R11146" s="99"/>
    </row>
    <row r="11147" spans="5:18" s="65" customFormat="1">
      <c r="E11147" s="130"/>
      <c r="P11147" s="99"/>
      <c r="Q11147" s="99"/>
      <c r="R11147" s="99"/>
    </row>
    <row r="11148" spans="5:18" s="65" customFormat="1">
      <c r="E11148" s="130"/>
      <c r="P11148" s="99"/>
      <c r="Q11148" s="99"/>
      <c r="R11148" s="99"/>
    </row>
    <row r="11149" spans="5:18" s="65" customFormat="1">
      <c r="E11149" s="130"/>
      <c r="P11149" s="99"/>
      <c r="Q11149" s="99"/>
      <c r="R11149" s="99"/>
    </row>
    <row r="11150" spans="5:18" s="65" customFormat="1">
      <c r="E11150" s="130"/>
      <c r="P11150" s="99"/>
      <c r="Q11150" s="99"/>
      <c r="R11150" s="99"/>
    </row>
    <row r="11151" spans="5:18" s="65" customFormat="1">
      <c r="E11151" s="130"/>
      <c r="P11151" s="99"/>
      <c r="Q11151" s="99"/>
      <c r="R11151" s="99"/>
    </row>
    <row r="11152" spans="5:18" s="65" customFormat="1">
      <c r="E11152" s="130"/>
      <c r="P11152" s="99"/>
      <c r="Q11152" s="99"/>
      <c r="R11152" s="99"/>
    </row>
    <row r="11153" spans="5:18" s="65" customFormat="1">
      <c r="E11153" s="130"/>
      <c r="P11153" s="99"/>
      <c r="Q11153" s="99"/>
      <c r="R11153" s="99"/>
    </row>
    <row r="11154" spans="5:18" s="65" customFormat="1">
      <c r="E11154" s="130"/>
      <c r="P11154" s="99"/>
      <c r="Q11154" s="99"/>
      <c r="R11154" s="99"/>
    </row>
    <row r="11155" spans="5:18" s="65" customFormat="1">
      <c r="E11155" s="130"/>
      <c r="P11155" s="99"/>
      <c r="Q11155" s="99"/>
      <c r="R11155" s="99"/>
    </row>
    <row r="11156" spans="5:18" s="65" customFormat="1">
      <c r="E11156" s="130"/>
      <c r="P11156" s="99"/>
      <c r="Q11156" s="99"/>
      <c r="R11156" s="99"/>
    </row>
    <row r="11157" spans="5:18" s="65" customFormat="1">
      <c r="E11157" s="130"/>
      <c r="P11157" s="99"/>
      <c r="Q11157" s="99"/>
      <c r="R11157" s="99"/>
    </row>
    <row r="11158" spans="5:18" s="65" customFormat="1">
      <c r="E11158" s="130"/>
      <c r="P11158" s="99"/>
      <c r="Q11158" s="99"/>
      <c r="R11158" s="99"/>
    </row>
    <row r="11159" spans="5:18" s="65" customFormat="1">
      <c r="E11159" s="130"/>
      <c r="P11159" s="99"/>
      <c r="Q11159" s="99"/>
      <c r="R11159" s="99"/>
    </row>
    <row r="11160" spans="5:18" s="65" customFormat="1">
      <c r="E11160" s="130"/>
      <c r="P11160" s="99"/>
      <c r="Q11160" s="99"/>
      <c r="R11160" s="99"/>
    </row>
    <row r="11161" spans="5:18" s="65" customFormat="1">
      <c r="E11161" s="130"/>
      <c r="P11161" s="99"/>
      <c r="Q11161" s="99"/>
      <c r="R11161" s="99"/>
    </row>
    <row r="11162" spans="5:18" s="65" customFormat="1">
      <c r="E11162" s="130"/>
      <c r="P11162" s="99"/>
      <c r="Q11162" s="99"/>
      <c r="R11162" s="99"/>
    </row>
    <row r="11163" spans="5:18" s="65" customFormat="1">
      <c r="E11163" s="130"/>
      <c r="P11163" s="99"/>
      <c r="Q11163" s="99"/>
      <c r="R11163" s="99"/>
    </row>
    <row r="11164" spans="5:18" s="65" customFormat="1">
      <c r="E11164" s="130"/>
      <c r="P11164" s="99"/>
      <c r="Q11164" s="99"/>
      <c r="R11164" s="99"/>
    </row>
    <row r="11165" spans="5:18" s="65" customFormat="1">
      <c r="E11165" s="130"/>
      <c r="P11165" s="99"/>
      <c r="Q11165" s="99"/>
      <c r="R11165" s="99"/>
    </row>
    <row r="11166" spans="5:18" s="65" customFormat="1">
      <c r="E11166" s="130"/>
      <c r="P11166" s="99"/>
      <c r="Q11166" s="99"/>
      <c r="R11166" s="99"/>
    </row>
    <row r="11167" spans="5:18" s="65" customFormat="1">
      <c r="E11167" s="130"/>
      <c r="P11167" s="99"/>
      <c r="Q11167" s="99"/>
      <c r="R11167" s="99"/>
    </row>
    <row r="11168" spans="5:18" s="65" customFormat="1">
      <c r="E11168" s="130"/>
      <c r="P11168" s="99"/>
      <c r="Q11168" s="99"/>
      <c r="R11168" s="99"/>
    </row>
    <row r="11169" spans="5:18" s="65" customFormat="1">
      <c r="E11169" s="130"/>
      <c r="P11169" s="99"/>
      <c r="Q11169" s="99"/>
      <c r="R11169" s="99"/>
    </row>
    <row r="11170" spans="5:18" s="65" customFormat="1">
      <c r="E11170" s="130"/>
      <c r="P11170" s="99"/>
      <c r="Q11170" s="99"/>
      <c r="R11170" s="99"/>
    </row>
    <row r="11171" spans="5:18" s="65" customFormat="1">
      <c r="E11171" s="130"/>
      <c r="P11171" s="99"/>
      <c r="Q11171" s="99"/>
      <c r="R11171" s="99"/>
    </row>
    <row r="11172" spans="5:18" s="65" customFormat="1">
      <c r="E11172" s="130"/>
      <c r="P11172" s="99"/>
      <c r="Q11172" s="99"/>
      <c r="R11172" s="99"/>
    </row>
    <row r="11173" spans="5:18" s="65" customFormat="1">
      <c r="E11173" s="130"/>
      <c r="P11173" s="99"/>
      <c r="Q11173" s="99"/>
      <c r="R11173" s="99"/>
    </row>
    <row r="11174" spans="5:18" s="65" customFormat="1">
      <c r="E11174" s="130"/>
      <c r="P11174" s="99"/>
      <c r="Q11174" s="99"/>
      <c r="R11174" s="99"/>
    </row>
    <row r="11175" spans="5:18" s="65" customFormat="1">
      <c r="E11175" s="130"/>
      <c r="P11175" s="99"/>
      <c r="Q11175" s="99"/>
      <c r="R11175" s="99"/>
    </row>
    <row r="11176" spans="5:18" s="65" customFormat="1">
      <c r="E11176" s="130"/>
      <c r="P11176" s="99"/>
      <c r="Q11176" s="99"/>
      <c r="R11176" s="99"/>
    </row>
    <row r="11177" spans="5:18" s="65" customFormat="1">
      <c r="E11177" s="130"/>
      <c r="P11177" s="99"/>
      <c r="Q11177" s="99"/>
      <c r="R11177" s="99"/>
    </row>
    <row r="11178" spans="5:18" s="65" customFormat="1">
      <c r="E11178" s="130"/>
      <c r="P11178" s="99"/>
      <c r="Q11178" s="99"/>
      <c r="R11178" s="99"/>
    </row>
    <row r="11179" spans="5:18" s="65" customFormat="1">
      <c r="E11179" s="130"/>
      <c r="P11179" s="99"/>
      <c r="Q11179" s="99"/>
      <c r="R11179" s="99"/>
    </row>
    <row r="11180" spans="5:18" s="65" customFormat="1">
      <c r="E11180" s="130"/>
      <c r="P11180" s="99"/>
      <c r="Q11180" s="99"/>
      <c r="R11180" s="99"/>
    </row>
    <row r="11181" spans="5:18" s="65" customFormat="1">
      <c r="E11181" s="130"/>
      <c r="P11181" s="99"/>
      <c r="Q11181" s="99"/>
      <c r="R11181" s="99"/>
    </row>
    <row r="11182" spans="5:18" s="65" customFormat="1">
      <c r="E11182" s="130"/>
      <c r="P11182" s="99"/>
      <c r="Q11182" s="99"/>
      <c r="R11182" s="99"/>
    </row>
    <row r="11183" spans="5:18" s="65" customFormat="1">
      <c r="E11183" s="130"/>
      <c r="P11183" s="99"/>
      <c r="Q11183" s="99"/>
      <c r="R11183" s="99"/>
    </row>
    <row r="11184" spans="5:18" s="65" customFormat="1">
      <c r="E11184" s="130"/>
      <c r="P11184" s="99"/>
      <c r="Q11184" s="99"/>
      <c r="R11184" s="99"/>
    </row>
    <row r="11185" spans="5:18" s="65" customFormat="1">
      <c r="E11185" s="130"/>
      <c r="P11185" s="99"/>
      <c r="Q11185" s="99"/>
      <c r="R11185" s="99"/>
    </row>
    <row r="11186" spans="5:18" s="65" customFormat="1">
      <c r="E11186" s="130"/>
      <c r="P11186" s="99"/>
      <c r="Q11186" s="99"/>
      <c r="R11186" s="99"/>
    </row>
    <row r="11187" spans="5:18" s="65" customFormat="1">
      <c r="E11187" s="130"/>
      <c r="P11187" s="99"/>
      <c r="Q11187" s="99"/>
      <c r="R11187" s="99"/>
    </row>
    <row r="11188" spans="5:18" s="65" customFormat="1">
      <c r="E11188" s="130"/>
      <c r="P11188" s="99"/>
      <c r="Q11188" s="99"/>
      <c r="R11188" s="99"/>
    </row>
    <row r="11189" spans="5:18" s="65" customFormat="1">
      <c r="E11189" s="130"/>
      <c r="P11189" s="99"/>
      <c r="Q11189" s="99"/>
      <c r="R11189" s="99"/>
    </row>
    <row r="11190" spans="5:18" s="65" customFormat="1">
      <c r="E11190" s="130"/>
      <c r="P11190" s="99"/>
      <c r="Q11190" s="99"/>
      <c r="R11190" s="99"/>
    </row>
    <row r="11191" spans="5:18" s="65" customFormat="1">
      <c r="E11191" s="130"/>
      <c r="P11191" s="99"/>
      <c r="Q11191" s="99"/>
      <c r="R11191" s="99"/>
    </row>
    <row r="11192" spans="5:18" s="65" customFormat="1">
      <c r="E11192" s="130"/>
      <c r="P11192" s="99"/>
      <c r="Q11192" s="99"/>
      <c r="R11192" s="99"/>
    </row>
    <row r="11193" spans="5:18" s="65" customFormat="1">
      <c r="E11193" s="130"/>
      <c r="P11193" s="99"/>
      <c r="Q11193" s="99"/>
      <c r="R11193" s="99"/>
    </row>
    <row r="11194" spans="5:18" s="65" customFormat="1">
      <c r="E11194" s="130"/>
      <c r="P11194" s="99"/>
      <c r="Q11194" s="99"/>
      <c r="R11194" s="99"/>
    </row>
    <row r="11195" spans="5:18" s="65" customFormat="1">
      <c r="E11195" s="130"/>
      <c r="P11195" s="99"/>
      <c r="Q11195" s="99"/>
      <c r="R11195" s="99"/>
    </row>
    <row r="11196" spans="5:18" s="65" customFormat="1">
      <c r="E11196" s="130"/>
      <c r="P11196" s="99"/>
      <c r="Q11196" s="99"/>
      <c r="R11196" s="99"/>
    </row>
    <row r="11197" spans="5:18" s="65" customFormat="1">
      <c r="E11197" s="130"/>
      <c r="P11197" s="99"/>
      <c r="Q11197" s="99"/>
      <c r="R11197" s="99"/>
    </row>
    <row r="11198" spans="5:18" s="65" customFormat="1">
      <c r="E11198" s="130"/>
      <c r="P11198" s="99"/>
      <c r="Q11198" s="99"/>
      <c r="R11198" s="99"/>
    </row>
    <row r="11199" spans="5:18" s="65" customFormat="1">
      <c r="E11199" s="130"/>
      <c r="P11199" s="99"/>
      <c r="Q11199" s="99"/>
      <c r="R11199" s="99"/>
    </row>
    <row r="11200" spans="5:18" s="65" customFormat="1">
      <c r="E11200" s="130"/>
      <c r="P11200" s="99"/>
      <c r="Q11200" s="99"/>
      <c r="R11200" s="99"/>
    </row>
    <row r="11201" spans="5:18" s="65" customFormat="1">
      <c r="E11201" s="130"/>
      <c r="P11201" s="99"/>
      <c r="Q11201" s="99"/>
      <c r="R11201" s="99"/>
    </row>
    <row r="11202" spans="5:18" s="65" customFormat="1">
      <c r="E11202" s="130"/>
      <c r="P11202" s="99"/>
      <c r="Q11202" s="99"/>
      <c r="R11202" s="99"/>
    </row>
    <row r="11203" spans="5:18" s="65" customFormat="1">
      <c r="E11203" s="130"/>
      <c r="P11203" s="99"/>
      <c r="Q11203" s="99"/>
      <c r="R11203" s="99"/>
    </row>
    <row r="11204" spans="5:18" s="65" customFormat="1">
      <c r="E11204" s="130"/>
      <c r="P11204" s="99"/>
      <c r="Q11204" s="99"/>
      <c r="R11204" s="99"/>
    </row>
    <row r="11205" spans="5:18" s="65" customFormat="1">
      <c r="E11205" s="130"/>
      <c r="P11205" s="99"/>
      <c r="Q11205" s="99"/>
      <c r="R11205" s="99"/>
    </row>
    <row r="11206" spans="5:18" s="65" customFormat="1">
      <c r="E11206" s="130"/>
      <c r="P11206" s="99"/>
      <c r="Q11206" s="99"/>
      <c r="R11206" s="99"/>
    </row>
    <row r="11207" spans="5:18" s="65" customFormat="1">
      <c r="E11207" s="130"/>
      <c r="P11207" s="99"/>
      <c r="Q11207" s="99"/>
      <c r="R11207" s="99"/>
    </row>
    <row r="11208" spans="5:18" s="65" customFormat="1">
      <c r="E11208" s="130"/>
      <c r="P11208" s="99"/>
      <c r="Q11208" s="99"/>
      <c r="R11208" s="99"/>
    </row>
    <row r="11209" spans="5:18" s="65" customFormat="1">
      <c r="E11209" s="130"/>
      <c r="P11209" s="99"/>
      <c r="Q11209" s="99"/>
      <c r="R11209" s="99"/>
    </row>
    <row r="11210" spans="5:18" s="65" customFormat="1">
      <c r="E11210" s="130"/>
      <c r="P11210" s="99"/>
      <c r="Q11210" s="99"/>
      <c r="R11210" s="99"/>
    </row>
    <row r="11211" spans="5:18" s="65" customFormat="1">
      <c r="E11211" s="130"/>
      <c r="P11211" s="99"/>
      <c r="Q11211" s="99"/>
      <c r="R11211" s="99"/>
    </row>
    <row r="11212" spans="5:18" s="65" customFormat="1">
      <c r="E11212" s="130"/>
      <c r="P11212" s="99"/>
      <c r="Q11212" s="99"/>
      <c r="R11212" s="99"/>
    </row>
    <row r="11213" spans="5:18" s="65" customFormat="1">
      <c r="E11213" s="130"/>
      <c r="P11213" s="99"/>
      <c r="Q11213" s="99"/>
      <c r="R11213" s="99"/>
    </row>
    <row r="11214" spans="5:18" s="65" customFormat="1">
      <c r="E11214" s="130"/>
      <c r="P11214" s="99"/>
      <c r="Q11214" s="99"/>
      <c r="R11214" s="99"/>
    </row>
    <row r="11215" spans="5:18" s="65" customFormat="1">
      <c r="E11215" s="130"/>
      <c r="P11215" s="99"/>
      <c r="Q11215" s="99"/>
      <c r="R11215" s="99"/>
    </row>
    <row r="11216" spans="5:18" s="65" customFormat="1">
      <c r="E11216" s="130"/>
      <c r="P11216" s="99"/>
      <c r="Q11216" s="99"/>
      <c r="R11216" s="99"/>
    </row>
    <row r="11217" spans="5:18" s="65" customFormat="1">
      <c r="E11217" s="130"/>
      <c r="P11217" s="99"/>
      <c r="Q11217" s="99"/>
      <c r="R11217" s="99"/>
    </row>
    <row r="11218" spans="5:18" s="65" customFormat="1">
      <c r="E11218" s="130"/>
      <c r="P11218" s="99"/>
      <c r="Q11218" s="99"/>
      <c r="R11218" s="99"/>
    </row>
    <row r="11219" spans="5:18" s="65" customFormat="1">
      <c r="E11219" s="130"/>
      <c r="P11219" s="99"/>
      <c r="Q11219" s="99"/>
      <c r="R11219" s="99"/>
    </row>
    <row r="11220" spans="5:18" s="65" customFormat="1">
      <c r="E11220" s="130"/>
      <c r="P11220" s="99"/>
      <c r="Q11220" s="99"/>
      <c r="R11220" s="99"/>
    </row>
    <row r="11221" spans="5:18" s="65" customFormat="1">
      <c r="E11221" s="130"/>
      <c r="P11221" s="99"/>
      <c r="Q11221" s="99"/>
      <c r="R11221" s="99"/>
    </row>
    <row r="11222" spans="5:18" s="65" customFormat="1">
      <c r="E11222" s="130"/>
      <c r="P11222" s="99"/>
      <c r="Q11222" s="99"/>
      <c r="R11222" s="99"/>
    </row>
    <row r="11223" spans="5:18" s="65" customFormat="1">
      <c r="E11223" s="130"/>
      <c r="P11223" s="99"/>
      <c r="Q11223" s="99"/>
      <c r="R11223" s="99"/>
    </row>
    <row r="11224" spans="5:18" s="65" customFormat="1">
      <c r="E11224" s="130"/>
      <c r="P11224" s="99"/>
      <c r="Q11224" s="99"/>
      <c r="R11224" s="99"/>
    </row>
    <row r="11225" spans="5:18" s="65" customFormat="1">
      <c r="E11225" s="130"/>
      <c r="P11225" s="99"/>
      <c r="Q11225" s="99"/>
      <c r="R11225" s="99"/>
    </row>
    <row r="11226" spans="5:18" s="65" customFormat="1">
      <c r="E11226" s="130"/>
      <c r="P11226" s="99"/>
      <c r="Q11226" s="99"/>
      <c r="R11226" s="99"/>
    </row>
    <row r="11227" spans="5:18" s="65" customFormat="1">
      <c r="E11227" s="130"/>
      <c r="P11227" s="99"/>
      <c r="Q11227" s="99"/>
      <c r="R11227" s="99"/>
    </row>
    <row r="11228" spans="5:18" s="65" customFormat="1">
      <c r="E11228" s="130"/>
      <c r="P11228" s="99"/>
      <c r="Q11228" s="99"/>
      <c r="R11228" s="99"/>
    </row>
    <row r="11229" spans="5:18" s="65" customFormat="1">
      <c r="E11229" s="130"/>
      <c r="P11229" s="99"/>
      <c r="Q11229" s="99"/>
      <c r="R11229" s="99"/>
    </row>
    <row r="11230" spans="5:18" s="65" customFormat="1">
      <c r="E11230" s="130"/>
      <c r="P11230" s="99"/>
      <c r="Q11230" s="99"/>
      <c r="R11230" s="99"/>
    </row>
    <row r="11231" spans="5:18" s="65" customFormat="1">
      <c r="E11231" s="130"/>
      <c r="P11231" s="99"/>
      <c r="Q11231" s="99"/>
      <c r="R11231" s="99"/>
    </row>
    <row r="11232" spans="5:18" s="65" customFormat="1">
      <c r="E11232" s="130"/>
      <c r="P11232" s="99"/>
      <c r="Q11232" s="99"/>
      <c r="R11232" s="99"/>
    </row>
    <row r="11233" spans="5:18" s="65" customFormat="1">
      <c r="E11233" s="130"/>
      <c r="P11233" s="99"/>
      <c r="Q11233" s="99"/>
      <c r="R11233" s="99"/>
    </row>
    <row r="11234" spans="5:18" s="65" customFormat="1">
      <c r="E11234" s="130"/>
      <c r="P11234" s="99"/>
      <c r="Q11234" s="99"/>
      <c r="R11234" s="99"/>
    </row>
    <row r="11235" spans="5:18" s="65" customFormat="1">
      <c r="E11235" s="130"/>
      <c r="P11235" s="99"/>
      <c r="Q11235" s="99"/>
      <c r="R11235" s="99"/>
    </row>
    <row r="11236" spans="5:18" s="65" customFormat="1">
      <c r="E11236" s="130"/>
      <c r="P11236" s="99"/>
      <c r="Q11236" s="99"/>
      <c r="R11236" s="99"/>
    </row>
    <row r="11237" spans="5:18" s="65" customFormat="1">
      <c r="E11237" s="130"/>
      <c r="P11237" s="99"/>
      <c r="Q11237" s="99"/>
      <c r="R11237" s="99"/>
    </row>
    <row r="11238" spans="5:18" s="65" customFormat="1">
      <c r="E11238" s="130"/>
      <c r="P11238" s="99"/>
      <c r="Q11238" s="99"/>
      <c r="R11238" s="99"/>
    </row>
    <row r="11239" spans="5:18" s="65" customFormat="1">
      <c r="E11239" s="130"/>
      <c r="P11239" s="99"/>
      <c r="Q11239" s="99"/>
      <c r="R11239" s="99"/>
    </row>
    <row r="11240" spans="5:18" s="65" customFormat="1">
      <c r="E11240" s="130"/>
      <c r="P11240" s="99"/>
      <c r="Q11240" s="99"/>
      <c r="R11240" s="99"/>
    </row>
    <row r="11241" spans="5:18" s="65" customFormat="1">
      <c r="E11241" s="130"/>
      <c r="P11241" s="99"/>
      <c r="Q11241" s="99"/>
      <c r="R11241" s="99"/>
    </row>
    <row r="11242" spans="5:18" s="65" customFormat="1">
      <c r="E11242" s="130"/>
      <c r="P11242" s="99"/>
      <c r="Q11242" s="99"/>
      <c r="R11242" s="99"/>
    </row>
    <row r="11243" spans="5:18" s="65" customFormat="1">
      <c r="E11243" s="130"/>
      <c r="P11243" s="99"/>
      <c r="Q11243" s="99"/>
      <c r="R11243" s="99"/>
    </row>
    <row r="11244" spans="5:18" s="65" customFormat="1">
      <c r="E11244" s="130"/>
      <c r="P11244" s="99"/>
      <c r="Q11244" s="99"/>
      <c r="R11244" s="99"/>
    </row>
    <row r="11245" spans="5:18" s="65" customFormat="1">
      <c r="E11245" s="130"/>
      <c r="P11245" s="99"/>
      <c r="Q11245" s="99"/>
      <c r="R11245" s="99"/>
    </row>
    <row r="11246" spans="5:18" s="65" customFormat="1">
      <c r="E11246" s="130"/>
      <c r="P11246" s="99"/>
      <c r="Q11246" s="99"/>
      <c r="R11246" s="99"/>
    </row>
    <row r="11247" spans="5:18" s="65" customFormat="1">
      <c r="E11247" s="130"/>
      <c r="P11247" s="99"/>
      <c r="Q11247" s="99"/>
      <c r="R11247" s="99"/>
    </row>
    <row r="11248" spans="5:18" s="65" customFormat="1">
      <c r="E11248" s="130"/>
      <c r="P11248" s="99"/>
      <c r="Q11248" s="99"/>
      <c r="R11248" s="99"/>
    </row>
    <row r="11249" spans="5:18" s="65" customFormat="1">
      <c r="E11249" s="130"/>
      <c r="P11249" s="99"/>
      <c r="Q11249" s="99"/>
      <c r="R11249" s="99"/>
    </row>
    <row r="11250" spans="5:18" s="65" customFormat="1">
      <c r="E11250" s="130"/>
      <c r="P11250" s="99"/>
      <c r="Q11250" s="99"/>
      <c r="R11250" s="99"/>
    </row>
    <row r="11251" spans="5:18" s="65" customFormat="1">
      <c r="E11251" s="130"/>
      <c r="P11251" s="99"/>
      <c r="Q11251" s="99"/>
      <c r="R11251" s="99"/>
    </row>
    <row r="11252" spans="5:18" s="65" customFormat="1">
      <c r="E11252" s="130"/>
      <c r="P11252" s="99"/>
      <c r="Q11252" s="99"/>
      <c r="R11252" s="99"/>
    </row>
    <row r="11253" spans="5:18" s="65" customFormat="1">
      <c r="E11253" s="130"/>
      <c r="P11253" s="99"/>
      <c r="Q11253" s="99"/>
      <c r="R11253" s="99"/>
    </row>
    <row r="11254" spans="5:18" s="65" customFormat="1">
      <c r="E11254" s="130"/>
      <c r="P11254" s="99"/>
      <c r="Q11254" s="99"/>
      <c r="R11254" s="99"/>
    </row>
    <row r="11255" spans="5:18" s="65" customFormat="1">
      <c r="E11255" s="130"/>
      <c r="P11255" s="99"/>
      <c r="Q11255" s="99"/>
      <c r="R11255" s="99"/>
    </row>
    <row r="11256" spans="5:18" s="65" customFormat="1">
      <c r="E11256" s="130"/>
      <c r="P11256" s="99"/>
      <c r="Q11256" s="99"/>
      <c r="R11256" s="99"/>
    </row>
    <row r="11257" spans="5:18" s="65" customFormat="1">
      <c r="E11257" s="130"/>
      <c r="P11257" s="99"/>
      <c r="Q11257" s="99"/>
      <c r="R11257" s="99"/>
    </row>
    <row r="11258" spans="5:18" s="65" customFormat="1">
      <c r="E11258" s="130"/>
      <c r="P11258" s="99"/>
      <c r="Q11258" s="99"/>
      <c r="R11258" s="99"/>
    </row>
    <row r="11259" spans="5:18" s="65" customFormat="1">
      <c r="E11259" s="130"/>
      <c r="P11259" s="99"/>
      <c r="Q11259" s="99"/>
      <c r="R11259" s="99"/>
    </row>
    <row r="11260" spans="5:18" s="65" customFormat="1">
      <c r="E11260" s="130"/>
      <c r="P11260" s="99"/>
      <c r="Q11260" s="99"/>
      <c r="R11260" s="99"/>
    </row>
    <row r="11261" spans="5:18" s="65" customFormat="1">
      <c r="E11261" s="130"/>
      <c r="P11261" s="99"/>
      <c r="Q11261" s="99"/>
      <c r="R11261" s="99"/>
    </row>
    <row r="11262" spans="5:18" s="65" customFormat="1">
      <c r="E11262" s="130"/>
      <c r="P11262" s="99"/>
      <c r="Q11262" s="99"/>
      <c r="R11262" s="99"/>
    </row>
    <row r="11263" spans="5:18" s="65" customFormat="1">
      <c r="E11263" s="130"/>
      <c r="P11263" s="99"/>
      <c r="Q11263" s="99"/>
      <c r="R11263" s="99"/>
    </row>
    <row r="11264" spans="5:18" s="65" customFormat="1">
      <c r="E11264" s="130"/>
      <c r="P11264" s="99"/>
      <c r="Q11264" s="99"/>
      <c r="R11264" s="99"/>
    </row>
    <row r="11265" spans="5:18" s="65" customFormat="1">
      <c r="E11265" s="130"/>
      <c r="P11265" s="99"/>
      <c r="Q11265" s="99"/>
      <c r="R11265" s="99"/>
    </row>
    <row r="11266" spans="5:18" s="65" customFormat="1">
      <c r="E11266" s="130"/>
      <c r="P11266" s="99"/>
      <c r="Q11266" s="99"/>
      <c r="R11266" s="99"/>
    </row>
    <row r="11267" spans="5:18" s="65" customFormat="1">
      <c r="E11267" s="130"/>
      <c r="P11267" s="99"/>
      <c r="Q11267" s="99"/>
      <c r="R11267" s="99"/>
    </row>
    <row r="11268" spans="5:18" s="65" customFormat="1">
      <c r="E11268" s="130"/>
      <c r="P11268" s="99"/>
      <c r="Q11268" s="99"/>
      <c r="R11268" s="99"/>
    </row>
    <row r="11269" spans="5:18" s="65" customFormat="1">
      <c r="E11269" s="130"/>
      <c r="P11269" s="99"/>
      <c r="Q11269" s="99"/>
      <c r="R11269" s="99"/>
    </row>
    <row r="11270" spans="5:18" s="65" customFormat="1">
      <c r="E11270" s="130"/>
      <c r="P11270" s="99"/>
      <c r="Q11270" s="99"/>
      <c r="R11270" s="99"/>
    </row>
    <row r="11271" spans="5:18" s="65" customFormat="1">
      <c r="E11271" s="130"/>
      <c r="P11271" s="99"/>
      <c r="Q11271" s="99"/>
      <c r="R11271" s="99"/>
    </row>
    <row r="11272" spans="5:18" s="65" customFormat="1">
      <c r="E11272" s="130"/>
      <c r="P11272" s="99"/>
      <c r="Q11272" s="99"/>
      <c r="R11272" s="99"/>
    </row>
    <row r="11273" spans="5:18" s="65" customFormat="1">
      <c r="E11273" s="130"/>
      <c r="P11273" s="99"/>
      <c r="Q11273" s="99"/>
      <c r="R11273" s="99"/>
    </row>
    <row r="11274" spans="5:18" s="65" customFormat="1">
      <c r="E11274" s="130"/>
      <c r="P11274" s="99"/>
      <c r="Q11274" s="99"/>
      <c r="R11274" s="99"/>
    </row>
    <row r="11275" spans="5:18" s="65" customFormat="1">
      <c r="E11275" s="130"/>
      <c r="P11275" s="99"/>
      <c r="Q11275" s="99"/>
      <c r="R11275" s="99"/>
    </row>
    <row r="11276" spans="5:18" s="65" customFormat="1">
      <c r="E11276" s="130"/>
      <c r="P11276" s="99"/>
      <c r="Q11276" s="99"/>
      <c r="R11276" s="99"/>
    </row>
    <row r="11277" spans="5:18" s="65" customFormat="1">
      <c r="E11277" s="130"/>
      <c r="P11277" s="99"/>
      <c r="Q11277" s="99"/>
      <c r="R11277" s="99"/>
    </row>
    <row r="11278" spans="5:18" s="65" customFormat="1">
      <c r="E11278" s="130"/>
      <c r="P11278" s="99"/>
      <c r="Q11278" s="99"/>
      <c r="R11278" s="99"/>
    </row>
    <row r="11279" spans="5:18" s="65" customFormat="1">
      <c r="E11279" s="130"/>
      <c r="P11279" s="99"/>
      <c r="Q11279" s="99"/>
      <c r="R11279" s="99"/>
    </row>
    <row r="11280" spans="5:18" s="65" customFormat="1">
      <c r="E11280" s="130"/>
      <c r="P11280" s="99"/>
      <c r="Q11280" s="99"/>
      <c r="R11280" s="99"/>
    </row>
    <row r="11281" spans="5:18" s="65" customFormat="1">
      <c r="E11281" s="130"/>
      <c r="P11281" s="99"/>
      <c r="Q11281" s="99"/>
      <c r="R11281" s="99"/>
    </row>
    <row r="11282" spans="5:18" s="65" customFormat="1">
      <c r="E11282" s="130"/>
      <c r="P11282" s="99"/>
      <c r="Q11282" s="99"/>
      <c r="R11282" s="99"/>
    </row>
    <row r="11283" spans="5:18" s="65" customFormat="1">
      <c r="E11283" s="130"/>
      <c r="P11283" s="99"/>
      <c r="Q11283" s="99"/>
      <c r="R11283" s="99"/>
    </row>
    <row r="11284" spans="5:18" s="65" customFormat="1">
      <c r="E11284" s="130"/>
      <c r="P11284" s="99"/>
      <c r="Q11284" s="99"/>
      <c r="R11284" s="99"/>
    </row>
    <row r="11285" spans="5:18" s="65" customFormat="1">
      <c r="E11285" s="130"/>
      <c r="P11285" s="99"/>
      <c r="Q11285" s="99"/>
      <c r="R11285" s="99"/>
    </row>
    <row r="11286" spans="5:18" s="65" customFormat="1">
      <c r="E11286" s="130"/>
      <c r="P11286" s="99"/>
      <c r="Q11286" s="99"/>
      <c r="R11286" s="99"/>
    </row>
    <row r="11287" spans="5:18" s="65" customFormat="1">
      <c r="E11287" s="130"/>
      <c r="P11287" s="99"/>
      <c r="Q11287" s="99"/>
      <c r="R11287" s="99"/>
    </row>
    <row r="11288" spans="5:18" s="65" customFormat="1">
      <c r="E11288" s="130"/>
      <c r="P11288" s="99"/>
      <c r="Q11288" s="99"/>
      <c r="R11288" s="99"/>
    </row>
    <row r="11289" spans="5:18" s="65" customFormat="1">
      <c r="E11289" s="130"/>
      <c r="P11289" s="99"/>
      <c r="Q11289" s="99"/>
      <c r="R11289" s="99"/>
    </row>
    <row r="11290" spans="5:18" s="65" customFormat="1">
      <c r="E11290" s="130"/>
      <c r="P11290" s="99"/>
      <c r="Q11290" s="99"/>
      <c r="R11290" s="99"/>
    </row>
    <row r="11291" spans="5:18" s="65" customFormat="1">
      <c r="E11291" s="130"/>
      <c r="P11291" s="99"/>
      <c r="Q11291" s="99"/>
      <c r="R11291" s="99"/>
    </row>
    <row r="11292" spans="5:18" s="65" customFormat="1">
      <c r="E11292" s="130"/>
      <c r="P11292" s="99"/>
      <c r="Q11292" s="99"/>
      <c r="R11292" s="99"/>
    </row>
    <row r="11293" spans="5:18" s="65" customFormat="1">
      <c r="E11293" s="130"/>
      <c r="P11293" s="99"/>
      <c r="Q11293" s="99"/>
      <c r="R11293" s="99"/>
    </row>
    <row r="11294" spans="5:18" s="65" customFormat="1">
      <c r="E11294" s="130"/>
      <c r="P11294" s="99"/>
      <c r="Q11294" s="99"/>
      <c r="R11294" s="99"/>
    </row>
    <row r="11295" spans="5:18" s="65" customFormat="1">
      <c r="E11295" s="130"/>
      <c r="P11295" s="99"/>
      <c r="Q11295" s="99"/>
      <c r="R11295" s="99"/>
    </row>
    <row r="11296" spans="5:18" s="65" customFormat="1">
      <c r="E11296" s="130"/>
      <c r="P11296" s="99"/>
      <c r="Q11296" s="99"/>
      <c r="R11296" s="99"/>
    </row>
    <row r="11297" spans="5:18" s="65" customFormat="1">
      <c r="E11297" s="130"/>
      <c r="P11297" s="99"/>
      <c r="Q11297" s="99"/>
      <c r="R11297" s="99"/>
    </row>
    <row r="11298" spans="5:18" s="65" customFormat="1">
      <c r="E11298" s="130"/>
      <c r="P11298" s="99"/>
      <c r="Q11298" s="99"/>
      <c r="R11298" s="99"/>
    </row>
    <row r="11299" spans="5:18" s="65" customFormat="1">
      <c r="E11299" s="130"/>
      <c r="P11299" s="99"/>
      <c r="Q11299" s="99"/>
      <c r="R11299" s="99"/>
    </row>
    <row r="11300" spans="5:18" s="65" customFormat="1">
      <c r="E11300" s="130"/>
      <c r="P11300" s="99"/>
      <c r="Q11300" s="99"/>
      <c r="R11300" s="99"/>
    </row>
    <row r="11301" spans="5:18" s="65" customFormat="1">
      <c r="E11301" s="130"/>
      <c r="P11301" s="99"/>
      <c r="Q11301" s="99"/>
      <c r="R11301" s="99"/>
    </row>
    <row r="11302" spans="5:18" s="65" customFormat="1">
      <c r="E11302" s="130"/>
      <c r="P11302" s="99"/>
      <c r="Q11302" s="99"/>
      <c r="R11302" s="99"/>
    </row>
    <row r="11303" spans="5:18" s="65" customFormat="1">
      <c r="E11303" s="130"/>
      <c r="P11303" s="99"/>
      <c r="Q11303" s="99"/>
      <c r="R11303" s="99"/>
    </row>
    <row r="11304" spans="5:18" s="65" customFormat="1">
      <c r="E11304" s="130"/>
      <c r="P11304" s="99"/>
      <c r="Q11304" s="99"/>
      <c r="R11304" s="99"/>
    </row>
    <row r="11305" spans="5:18" s="65" customFormat="1">
      <c r="E11305" s="130"/>
      <c r="P11305" s="99"/>
      <c r="Q11305" s="99"/>
      <c r="R11305" s="99"/>
    </row>
    <row r="11306" spans="5:18" s="65" customFormat="1">
      <c r="E11306" s="130"/>
      <c r="P11306" s="99"/>
      <c r="Q11306" s="99"/>
      <c r="R11306" s="99"/>
    </row>
    <row r="11307" spans="5:18" s="65" customFormat="1">
      <c r="E11307" s="130"/>
      <c r="P11307" s="99"/>
      <c r="Q11307" s="99"/>
      <c r="R11307" s="99"/>
    </row>
    <row r="11308" spans="5:18" s="65" customFormat="1">
      <c r="E11308" s="130"/>
      <c r="P11308" s="99"/>
      <c r="Q11308" s="99"/>
      <c r="R11308" s="99"/>
    </row>
    <row r="11309" spans="5:18" s="65" customFormat="1">
      <c r="E11309" s="130"/>
      <c r="P11309" s="99"/>
      <c r="Q11309" s="99"/>
      <c r="R11309" s="99"/>
    </row>
    <row r="11310" spans="5:18" s="65" customFormat="1">
      <c r="E11310" s="130"/>
      <c r="P11310" s="99"/>
      <c r="Q11310" s="99"/>
      <c r="R11310" s="99"/>
    </row>
    <row r="11311" spans="5:18" s="65" customFormat="1">
      <c r="E11311" s="130"/>
      <c r="P11311" s="99"/>
      <c r="Q11311" s="99"/>
      <c r="R11311" s="99"/>
    </row>
    <row r="11312" spans="5:18" s="65" customFormat="1">
      <c r="E11312" s="130"/>
      <c r="P11312" s="99"/>
      <c r="Q11312" s="99"/>
      <c r="R11312" s="99"/>
    </row>
    <row r="11313" spans="5:18" s="65" customFormat="1">
      <c r="E11313" s="130"/>
      <c r="P11313" s="99"/>
      <c r="Q11313" s="99"/>
      <c r="R11313" s="99"/>
    </row>
    <row r="11314" spans="5:18" s="65" customFormat="1">
      <c r="E11314" s="130"/>
      <c r="P11314" s="99"/>
      <c r="Q11314" s="99"/>
      <c r="R11314" s="99"/>
    </row>
    <row r="11315" spans="5:18" s="65" customFormat="1">
      <c r="E11315" s="130"/>
      <c r="P11315" s="99"/>
      <c r="Q11315" s="99"/>
      <c r="R11315" s="99"/>
    </row>
    <row r="11316" spans="5:18" s="65" customFormat="1">
      <c r="E11316" s="130"/>
      <c r="P11316" s="99"/>
      <c r="Q11316" s="99"/>
      <c r="R11316" s="99"/>
    </row>
    <row r="11317" spans="5:18" s="65" customFormat="1">
      <c r="E11317" s="130"/>
      <c r="P11317" s="99"/>
      <c r="Q11317" s="99"/>
      <c r="R11317" s="99"/>
    </row>
    <row r="11318" spans="5:18" s="65" customFormat="1">
      <c r="E11318" s="130"/>
      <c r="P11318" s="99"/>
      <c r="Q11318" s="99"/>
      <c r="R11318" s="99"/>
    </row>
    <row r="11319" spans="5:18" s="65" customFormat="1">
      <c r="E11319" s="130"/>
      <c r="P11319" s="99"/>
      <c r="Q11319" s="99"/>
      <c r="R11319" s="99"/>
    </row>
    <row r="11320" spans="5:18" s="65" customFormat="1">
      <c r="E11320" s="130"/>
      <c r="P11320" s="99"/>
      <c r="Q11320" s="99"/>
      <c r="R11320" s="99"/>
    </row>
    <row r="11321" spans="5:18" s="65" customFormat="1">
      <c r="E11321" s="130"/>
      <c r="P11321" s="99"/>
      <c r="Q11321" s="99"/>
      <c r="R11321" s="99"/>
    </row>
    <row r="11322" spans="5:18" s="65" customFormat="1">
      <c r="E11322" s="130"/>
      <c r="P11322" s="99"/>
      <c r="Q11322" s="99"/>
      <c r="R11322" s="99"/>
    </row>
    <row r="11323" spans="5:18" s="65" customFormat="1">
      <c r="E11323" s="130"/>
      <c r="P11323" s="99"/>
      <c r="Q11323" s="99"/>
      <c r="R11323" s="99"/>
    </row>
    <row r="11324" spans="5:18" s="65" customFormat="1">
      <c r="E11324" s="130"/>
      <c r="P11324" s="99"/>
      <c r="Q11324" s="99"/>
      <c r="R11324" s="99"/>
    </row>
    <row r="11325" spans="5:18" s="65" customFormat="1">
      <c r="E11325" s="130"/>
      <c r="P11325" s="99"/>
      <c r="Q11325" s="99"/>
      <c r="R11325" s="99"/>
    </row>
    <row r="11326" spans="5:18" s="65" customFormat="1">
      <c r="E11326" s="130"/>
      <c r="P11326" s="99"/>
      <c r="Q11326" s="99"/>
      <c r="R11326" s="99"/>
    </row>
    <row r="11327" spans="5:18" s="65" customFormat="1">
      <c r="E11327" s="130"/>
      <c r="P11327" s="99"/>
      <c r="Q11327" s="99"/>
      <c r="R11327" s="99"/>
    </row>
    <row r="11328" spans="5:18" s="65" customFormat="1">
      <c r="E11328" s="130"/>
      <c r="P11328" s="99"/>
      <c r="Q11328" s="99"/>
      <c r="R11328" s="99"/>
    </row>
    <row r="11329" spans="5:18" s="65" customFormat="1">
      <c r="E11329" s="130"/>
      <c r="P11329" s="99"/>
      <c r="Q11329" s="99"/>
      <c r="R11329" s="99"/>
    </row>
    <row r="11330" spans="5:18" s="65" customFormat="1">
      <c r="E11330" s="130"/>
      <c r="P11330" s="99"/>
      <c r="Q11330" s="99"/>
      <c r="R11330" s="99"/>
    </row>
    <row r="11331" spans="5:18" s="65" customFormat="1">
      <c r="E11331" s="130"/>
      <c r="P11331" s="99"/>
      <c r="Q11331" s="99"/>
      <c r="R11331" s="99"/>
    </row>
    <row r="11332" spans="5:18" s="65" customFormat="1">
      <c r="E11332" s="130"/>
      <c r="P11332" s="99"/>
      <c r="Q11332" s="99"/>
      <c r="R11332" s="99"/>
    </row>
    <row r="11333" spans="5:18" s="65" customFormat="1">
      <c r="E11333" s="130"/>
      <c r="P11333" s="99"/>
      <c r="Q11333" s="99"/>
      <c r="R11333" s="99"/>
    </row>
    <row r="11334" spans="5:18" s="65" customFormat="1">
      <c r="E11334" s="130"/>
      <c r="P11334" s="99"/>
      <c r="Q11334" s="99"/>
      <c r="R11334" s="99"/>
    </row>
    <row r="11335" spans="5:18" s="65" customFormat="1">
      <c r="E11335" s="130"/>
      <c r="P11335" s="99"/>
      <c r="Q11335" s="99"/>
      <c r="R11335" s="99"/>
    </row>
    <row r="11336" spans="5:18" s="65" customFormat="1">
      <c r="E11336" s="130"/>
      <c r="P11336" s="99"/>
      <c r="Q11336" s="99"/>
      <c r="R11336" s="99"/>
    </row>
    <row r="11337" spans="5:18" s="65" customFormat="1">
      <c r="E11337" s="130"/>
      <c r="P11337" s="99"/>
      <c r="Q11337" s="99"/>
      <c r="R11337" s="99"/>
    </row>
    <row r="11338" spans="5:18" s="65" customFormat="1">
      <c r="E11338" s="130"/>
      <c r="P11338" s="99"/>
      <c r="Q11338" s="99"/>
      <c r="R11338" s="99"/>
    </row>
    <row r="11339" spans="5:18" s="65" customFormat="1">
      <c r="E11339" s="130"/>
      <c r="P11339" s="99"/>
      <c r="Q11339" s="99"/>
      <c r="R11339" s="99"/>
    </row>
    <row r="11340" spans="5:18" s="65" customFormat="1">
      <c r="E11340" s="130"/>
      <c r="P11340" s="99"/>
      <c r="Q11340" s="99"/>
      <c r="R11340" s="99"/>
    </row>
    <row r="11341" spans="5:18" s="65" customFormat="1">
      <c r="E11341" s="130"/>
      <c r="P11341" s="99"/>
      <c r="Q11341" s="99"/>
      <c r="R11341" s="99"/>
    </row>
    <row r="11342" spans="5:18" s="65" customFormat="1">
      <c r="E11342" s="130"/>
      <c r="P11342" s="99"/>
      <c r="Q11342" s="99"/>
      <c r="R11342" s="99"/>
    </row>
    <row r="11343" spans="5:18" s="65" customFormat="1">
      <c r="E11343" s="130"/>
      <c r="P11343" s="99"/>
      <c r="Q11343" s="99"/>
      <c r="R11343" s="99"/>
    </row>
    <row r="11344" spans="5:18" s="65" customFormat="1">
      <c r="E11344" s="130"/>
      <c r="P11344" s="99"/>
      <c r="Q11344" s="99"/>
      <c r="R11344" s="99"/>
    </row>
    <row r="11345" spans="5:18" s="65" customFormat="1">
      <c r="E11345" s="130"/>
      <c r="P11345" s="99"/>
      <c r="Q11345" s="99"/>
      <c r="R11345" s="99"/>
    </row>
    <row r="11346" spans="5:18" s="65" customFormat="1">
      <c r="E11346" s="130"/>
      <c r="P11346" s="99"/>
      <c r="Q11346" s="99"/>
      <c r="R11346" s="99"/>
    </row>
    <row r="11347" spans="5:18" s="65" customFormat="1">
      <c r="E11347" s="130"/>
      <c r="P11347" s="99"/>
      <c r="Q11347" s="99"/>
      <c r="R11347" s="99"/>
    </row>
    <row r="11348" spans="5:18" s="65" customFormat="1">
      <c r="E11348" s="130"/>
      <c r="P11348" s="99"/>
      <c r="Q11348" s="99"/>
      <c r="R11348" s="99"/>
    </row>
    <row r="11349" spans="5:18" s="65" customFormat="1">
      <c r="E11349" s="130"/>
      <c r="P11349" s="99"/>
      <c r="Q11349" s="99"/>
      <c r="R11349" s="99"/>
    </row>
    <row r="11350" spans="5:18" s="65" customFormat="1">
      <c r="E11350" s="130"/>
      <c r="P11350" s="99"/>
      <c r="Q11350" s="99"/>
      <c r="R11350" s="99"/>
    </row>
    <row r="11351" spans="5:18" s="65" customFormat="1">
      <c r="E11351" s="130"/>
      <c r="P11351" s="99"/>
      <c r="Q11351" s="99"/>
      <c r="R11351" s="99"/>
    </row>
    <row r="11352" spans="5:18" s="65" customFormat="1">
      <c r="E11352" s="130"/>
      <c r="P11352" s="99"/>
      <c r="Q11352" s="99"/>
      <c r="R11352" s="99"/>
    </row>
    <row r="11353" spans="5:18" s="65" customFormat="1">
      <c r="E11353" s="130"/>
      <c r="P11353" s="99"/>
      <c r="Q11353" s="99"/>
      <c r="R11353" s="99"/>
    </row>
    <row r="11354" spans="5:18" s="65" customFormat="1">
      <c r="E11354" s="130"/>
      <c r="P11354" s="99"/>
      <c r="Q11354" s="99"/>
      <c r="R11354" s="99"/>
    </row>
    <row r="11355" spans="5:18" s="65" customFormat="1">
      <c r="E11355" s="130"/>
      <c r="P11355" s="99"/>
      <c r="Q11355" s="99"/>
      <c r="R11355" s="99"/>
    </row>
    <row r="11356" spans="5:18" s="65" customFormat="1">
      <c r="E11356" s="130"/>
      <c r="P11356" s="99"/>
      <c r="Q11356" s="99"/>
      <c r="R11356" s="99"/>
    </row>
    <row r="11357" spans="5:18" s="65" customFormat="1">
      <c r="E11357" s="130"/>
      <c r="P11357" s="99"/>
      <c r="Q11357" s="99"/>
      <c r="R11357" s="99"/>
    </row>
    <row r="11358" spans="5:18" s="65" customFormat="1">
      <c r="E11358" s="130"/>
      <c r="P11358" s="99"/>
      <c r="Q11358" s="99"/>
      <c r="R11358" s="99"/>
    </row>
    <row r="11359" spans="5:18" s="65" customFormat="1">
      <c r="E11359" s="130"/>
      <c r="P11359" s="99"/>
      <c r="Q11359" s="99"/>
      <c r="R11359" s="99"/>
    </row>
    <row r="11360" spans="5:18" s="65" customFormat="1">
      <c r="E11360" s="130"/>
      <c r="P11360" s="99"/>
      <c r="Q11360" s="99"/>
      <c r="R11360" s="99"/>
    </row>
    <row r="11361" spans="5:18" s="65" customFormat="1">
      <c r="E11361" s="130"/>
      <c r="P11361" s="99"/>
      <c r="Q11361" s="99"/>
      <c r="R11361" s="99"/>
    </row>
    <row r="11362" spans="5:18" s="65" customFormat="1">
      <c r="E11362" s="130"/>
      <c r="P11362" s="99"/>
      <c r="Q11362" s="99"/>
      <c r="R11362" s="99"/>
    </row>
    <row r="11363" spans="5:18" s="65" customFormat="1">
      <c r="E11363" s="130"/>
      <c r="P11363" s="99"/>
      <c r="Q11363" s="99"/>
      <c r="R11363" s="99"/>
    </row>
    <row r="11364" spans="5:18" s="65" customFormat="1">
      <c r="E11364" s="130"/>
      <c r="P11364" s="99"/>
      <c r="Q11364" s="99"/>
      <c r="R11364" s="99"/>
    </row>
    <row r="11365" spans="5:18" s="65" customFormat="1">
      <c r="E11365" s="130"/>
      <c r="P11365" s="99"/>
      <c r="Q11365" s="99"/>
      <c r="R11365" s="99"/>
    </row>
    <row r="11366" spans="5:18" s="65" customFormat="1">
      <c r="E11366" s="130"/>
      <c r="P11366" s="99"/>
      <c r="Q11366" s="99"/>
      <c r="R11366" s="99"/>
    </row>
    <row r="11367" spans="5:18" s="65" customFormat="1">
      <c r="E11367" s="130"/>
      <c r="P11367" s="99"/>
      <c r="Q11367" s="99"/>
      <c r="R11367" s="99"/>
    </row>
    <row r="11368" spans="5:18" s="65" customFormat="1">
      <c r="E11368" s="130"/>
      <c r="P11368" s="99"/>
      <c r="Q11368" s="99"/>
      <c r="R11368" s="99"/>
    </row>
    <row r="11369" spans="5:18" s="65" customFormat="1">
      <c r="E11369" s="130"/>
      <c r="P11369" s="99"/>
      <c r="Q11369" s="99"/>
      <c r="R11369" s="99"/>
    </row>
    <row r="11370" spans="5:18" s="65" customFormat="1">
      <c r="E11370" s="130"/>
      <c r="P11370" s="99"/>
      <c r="Q11370" s="99"/>
      <c r="R11370" s="99"/>
    </row>
    <row r="11371" spans="5:18" s="65" customFormat="1">
      <c r="E11371" s="130"/>
      <c r="P11371" s="99"/>
      <c r="Q11371" s="99"/>
      <c r="R11371" s="99"/>
    </row>
    <row r="11372" spans="5:18" s="65" customFormat="1">
      <c r="E11372" s="130"/>
      <c r="P11372" s="99"/>
      <c r="Q11372" s="99"/>
      <c r="R11372" s="99"/>
    </row>
    <row r="11373" spans="5:18" s="65" customFormat="1">
      <c r="E11373" s="130"/>
      <c r="P11373" s="99"/>
      <c r="Q11373" s="99"/>
      <c r="R11373" s="99"/>
    </row>
    <row r="11374" spans="5:18" s="65" customFormat="1">
      <c r="E11374" s="130"/>
      <c r="P11374" s="99"/>
      <c r="Q11374" s="99"/>
      <c r="R11374" s="99"/>
    </row>
    <row r="11375" spans="5:18" s="65" customFormat="1">
      <c r="E11375" s="130"/>
      <c r="P11375" s="99"/>
      <c r="Q11375" s="99"/>
      <c r="R11375" s="99"/>
    </row>
    <row r="11376" spans="5:18" s="65" customFormat="1">
      <c r="E11376" s="130"/>
      <c r="P11376" s="99"/>
      <c r="Q11376" s="99"/>
      <c r="R11376" s="99"/>
    </row>
    <row r="11377" spans="5:18" s="65" customFormat="1">
      <c r="E11377" s="130"/>
      <c r="P11377" s="99"/>
      <c r="Q11377" s="99"/>
      <c r="R11377" s="99"/>
    </row>
    <row r="11378" spans="5:18" s="65" customFormat="1">
      <c r="E11378" s="130"/>
      <c r="P11378" s="99"/>
      <c r="Q11378" s="99"/>
      <c r="R11378" s="99"/>
    </row>
    <row r="11379" spans="5:18" s="65" customFormat="1">
      <c r="E11379" s="130"/>
      <c r="P11379" s="99"/>
      <c r="Q11379" s="99"/>
      <c r="R11379" s="99"/>
    </row>
    <row r="11380" spans="5:18" s="65" customFormat="1">
      <c r="E11380" s="130"/>
      <c r="P11380" s="99"/>
      <c r="Q11380" s="99"/>
      <c r="R11380" s="99"/>
    </row>
    <row r="11381" spans="5:18" s="65" customFormat="1">
      <c r="E11381" s="130"/>
      <c r="P11381" s="99"/>
      <c r="Q11381" s="99"/>
      <c r="R11381" s="99"/>
    </row>
    <row r="11382" spans="5:18" s="65" customFormat="1">
      <c r="E11382" s="130"/>
      <c r="P11382" s="99"/>
      <c r="Q11382" s="99"/>
      <c r="R11382" s="99"/>
    </row>
    <row r="11383" spans="5:18" s="65" customFormat="1">
      <c r="E11383" s="130"/>
      <c r="P11383" s="99"/>
      <c r="Q11383" s="99"/>
      <c r="R11383" s="99"/>
    </row>
    <row r="11384" spans="5:18" s="65" customFormat="1">
      <c r="E11384" s="130"/>
      <c r="P11384" s="99"/>
      <c r="Q11384" s="99"/>
      <c r="R11384" s="99"/>
    </row>
    <row r="11385" spans="5:18" s="65" customFormat="1">
      <c r="E11385" s="130"/>
      <c r="P11385" s="99"/>
      <c r="Q11385" s="99"/>
      <c r="R11385" s="99"/>
    </row>
    <row r="11386" spans="5:18" s="65" customFormat="1">
      <c r="E11386" s="130"/>
      <c r="P11386" s="99"/>
      <c r="Q11386" s="99"/>
      <c r="R11386" s="99"/>
    </row>
    <row r="11387" spans="5:18" s="65" customFormat="1">
      <c r="E11387" s="130"/>
      <c r="P11387" s="99"/>
      <c r="Q11387" s="99"/>
      <c r="R11387" s="99"/>
    </row>
    <row r="11388" spans="5:18" s="65" customFormat="1">
      <c r="E11388" s="130"/>
      <c r="P11388" s="99"/>
      <c r="Q11388" s="99"/>
      <c r="R11388" s="99"/>
    </row>
    <row r="11389" spans="5:18" s="65" customFormat="1">
      <c r="E11389" s="130"/>
      <c r="P11389" s="99"/>
      <c r="Q11389" s="99"/>
      <c r="R11389" s="99"/>
    </row>
    <row r="11390" spans="5:18" s="65" customFormat="1">
      <c r="E11390" s="130"/>
      <c r="P11390" s="99"/>
      <c r="Q11390" s="99"/>
      <c r="R11390" s="99"/>
    </row>
    <row r="11391" spans="5:18" s="65" customFormat="1">
      <c r="E11391" s="130"/>
      <c r="P11391" s="99"/>
      <c r="Q11391" s="99"/>
      <c r="R11391" s="99"/>
    </row>
    <row r="11392" spans="5:18" s="65" customFormat="1">
      <c r="E11392" s="130"/>
      <c r="P11392" s="99"/>
      <c r="Q11392" s="99"/>
      <c r="R11392" s="99"/>
    </row>
    <row r="11393" spans="5:18" s="65" customFormat="1">
      <c r="E11393" s="130"/>
      <c r="P11393" s="99"/>
      <c r="Q11393" s="99"/>
      <c r="R11393" s="99"/>
    </row>
    <row r="11394" spans="5:18" s="65" customFormat="1">
      <c r="E11394" s="130"/>
      <c r="P11394" s="99"/>
      <c r="Q11394" s="99"/>
      <c r="R11394" s="99"/>
    </row>
    <row r="11395" spans="5:18" s="65" customFormat="1">
      <c r="E11395" s="130"/>
      <c r="P11395" s="99"/>
      <c r="Q11395" s="99"/>
      <c r="R11395" s="99"/>
    </row>
    <row r="11396" spans="5:18" s="65" customFormat="1">
      <c r="E11396" s="130"/>
      <c r="P11396" s="99"/>
      <c r="Q11396" s="99"/>
      <c r="R11396" s="99"/>
    </row>
    <row r="11397" spans="5:18" s="65" customFormat="1">
      <c r="E11397" s="130"/>
      <c r="P11397" s="99"/>
      <c r="Q11397" s="99"/>
      <c r="R11397" s="99"/>
    </row>
    <row r="11398" spans="5:18" s="65" customFormat="1">
      <c r="E11398" s="130"/>
      <c r="P11398" s="99"/>
      <c r="Q11398" s="99"/>
      <c r="R11398" s="99"/>
    </row>
    <row r="11399" spans="5:18" s="65" customFormat="1">
      <c r="E11399" s="130"/>
      <c r="P11399" s="99"/>
      <c r="Q11399" s="99"/>
      <c r="R11399" s="99"/>
    </row>
    <row r="11400" spans="5:18" s="65" customFormat="1">
      <c r="E11400" s="130"/>
      <c r="P11400" s="99"/>
      <c r="Q11400" s="99"/>
      <c r="R11400" s="99"/>
    </row>
    <row r="11401" spans="5:18" s="65" customFormat="1">
      <c r="E11401" s="130"/>
      <c r="P11401" s="99"/>
      <c r="Q11401" s="99"/>
      <c r="R11401" s="99"/>
    </row>
    <row r="11402" spans="5:18" s="65" customFormat="1">
      <c r="E11402" s="130"/>
      <c r="P11402" s="99"/>
      <c r="Q11402" s="99"/>
      <c r="R11402" s="99"/>
    </row>
    <row r="11403" spans="5:18" s="65" customFormat="1">
      <c r="E11403" s="130"/>
      <c r="P11403" s="99"/>
      <c r="Q11403" s="99"/>
      <c r="R11403" s="99"/>
    </row>
    <row r="11404" spans="5:18" s="65" customFormat="1">
      <c r="E11404" s="130"/>
      <c r="P11404" s="99"/>
      <c r="Q11404" s="99"/>
      <c r="R11404" s="99"/>
    </row>
    <row r="11405" spans="5:18" s="65" customFormat="1">
      <c r="E11405" s="130"/>
      <c r="P11405" s="99"/>
      <c r="Q11405" s="99"/>
      <c r="R11405" s="99"/>
    </row>
    <row r="11406" spans="5:18" s="65" customFormat="1">
      <c r="E11406" s="130"/>
      <c r="P11406" s="99"/>
      <c r="Q11406" s="99"/>
      <c r="R11406" s="99"/>
    </row>
    <row r="11407" spans="5:18" s="65" customFormat="1">
      <c r="E11407" s="130"/>
      <c r="P11407" s="99"/>
      <c r="Q11407" s="99"/>
      <c r="R11407" s="99"/>
    </row>
    <row r="11408" spans="5:18" s="65" customFormat="1">
      <c r="E11408" s="130"/>
      <c r="P11408" s="99"/>
      <c r="Q11408" s="99"/>
      <c r="R11408" s="99"/>
    </row>
    <row r="11409" spans="5:18" s="65" customFormat="1">
      <c r="E11409" s="130"/>
      <c r="P11409" s="99"/>
      <c r="Q11409" s="99"/>
      <c r="R11409" s="99"/>
    </row>
    <row r="11410" spans="5:18" s="65" customFormat="1">
      <c r="E11410" s="130"/>
      <c r="P11410" s="99"/>
      <c r="Q11410" s="99"/>
      <c r="R11410" s="99"/>
    </row>
    <row r="11411" spans="5:18" s="65" customFormat="1">
      <c r="E11411" s="130"/>
      <c r="P11411" s="99"/>
      <c r="Q11411" s="99"/>
      <c r="R11411" s="99"/>
    </row>
    <row r="11412" spans="5:18" s="65" customFormat="1">
      <c r="E11412" s="130"/>
      <c r="P11412" s="99"/>
      <c r="Q11412" s="99"/>
      <c r="R11412" s="99"/>
    </row>
    <row r="11413" spans="5:18" s="65" customFormat="1">
      <c r="E11413" s="130"/>
      <c r="P11413" s="99"/>
      <c r="Q11413" s="99"/>
      <c r="R11413" s="99"/>
    </row>
    <row r="11414" spans="5:18" s="65" customFormat="1">
      <c r="E11414" s="130"/>
      <c r="P11414" s="99"/>
      <c r="Q11414" s="99"/>
      <c r="R11414" s="99"/>
    </row>
    <row r="11415" spans="5:18" s="65" customFormat="1">
      <c r="E11415" s="130"/>
      <c r="P11415" s="99"/>
      <c r="Q11415" s="99"/>
      <c r="R11415" s="99"/>
    </row>
    <row r="11416" spans="5:18" s="65" customFormat="1">
      <c r="E11416" s="130"/>
      <c r="P11416" s="99"/>
      <c r="Q11416" s="99"/>
      <c r="R11416" s="99"/>
    </row>
    <row r="11417" spans="5:18" s="65" customFormat="1">
      <c r="E11417" s="130"/>
      <c r="P11417" s="99"/>
      <c r="Q11417" s="99"/>
      <c r="R11417" s="99"/>
    </row>
    <row r="11418" spans="5:18" s="65" customFormat="1">
      <c r="E11418" s="130"/>
      <c r="P11418" s="99"/>
      <c r="Q11418" s="99"/>
      <c r="R11418" s="99"/>
    </row>
    <row r="11419" spans="5:18" s="65" customFormat="1">
      <c r="E11419" s="130"/>
      <c r="P11419" s="99"/>
      <c r="Q11419" s="99"/>
      <c r="R11419" s="99"/>
    </row>
    <row r="11420" spans="5:18" s="65" customFormat="1">
      <c r="E11420" s="130"/>
      <c r="P11420" s="99"/>
      <c r="Q11420" s="99"/>
      <c r="R11420" s="99"/>
    </row>
    <row r="11421" spans="5:18" s="65" customFormat="1">
      <c r="E11421" s="130"/>
      <c r="P11421" s="99"/>
      <c r="Q11421" s="99"/>
      <c r="R11421" s="99"/>
    </row>
    <row r="11422" spans="5:18" s="65" customFormat="1">
      <c r="E11422" s="130"/>
      <c r="P11422" s="99"/>
      <c r="Q11422" s="99"/>
      <c r="R11422" s="99"/>
    </row>
    <row r="11423" spans="5:18" s="65" customFormat="1">
      <c r="E11423" s="130"/>
      <c r="P11423" s="99"/>
      <c r="Q11423" s="99"/>
      <c r="R11423" s="99"/>
    </row>
    <row r="11424" spans="5:18" s="65" customFormat="1">
      <c r="E11424" s="130"/>
      <c r="P11424" s="99"/>
      <c r="Q11424" s="99"/>
      <c r="R11424" s="99"/>
    </row>
    <row r="11425" spans="5:18" s="65" customFormat="1">
      <c r="E11425" s="130"/>
      <c r="P11425" s="99"/>
      <c r="Q11425" s="99"/>
      <c r="R11425" s="99"/>
    </row>
    <row r="11426" spans="5:18" s="65" customFormat="1">
      <c r="E11426" s="130"/>
      <c r="P11426" s="99"/>
      <c r="Q11426" s="99"/>
      <c r="R11426" s="99"/>
    </row>
    <row r="11427" spans="5:18" s="65" customFormat="1">
      <c r="E11427" s="130"/>
      <c r="P11427" s="99"/>
      <c r="Q11427" s="99"/>
      <c r="R11427" s="99"/>
    </row>
    <row r="11428" spans="5:18" s="65" customFormat="1">
      <c r="E11428" s="130"/>
      <c r="P11428" s="99"/>
      <c r="Q11428" s="99"/>
      <c r="R11428" s="99"/>
    </row>
    <row r="11429" spans="5:18" s="65" customFormat="1">
      <c r="E11429" s="130"/>
      <c r="P11429" s="99"/>
      <c r="Q11429" s="99"/>
      <c r="R11429" s="99"/>
    </row>
    <row r="11430" spans="5:18" s="65" customFormat="1">
      <c r="E11430" s="130"/>
      <c r="P11430" s="99"/>
      <c r="Q11430" s="99"/>
      <c r="R11430" s="99"/>
    </row>
    <row r="11431" spans="5:18" s="65" customFormat="1">
      <c r="E11431" s="130"/>
      <c r="P11431" s="99"/>
      <c r="Q11431" s="99"/>
      <c r="R11431" s="99"/>
    </row>
    <row r="11432" spans="5:18" s="65" customFormat="1">
      <c r="E11432" s="130"/>
      <c r="P11432" s="99"/>
      <c r="Q11432" s="99"/>
      <c r="R11432" s="99"/>
    </row>
    <row r="11433" spans="5:18" s="65" customFormat="1">
      <c r="E11433" s="130"/>
      <c r="P11433" s="99"/>
      <c r="Q11433" s="99"/>
      <c r="R11433" s="99"/>
    </row>
    <row r="11434" spans="5:18" s="65" customFormat="1">
      <c r="E11434" s="130"/>
      <c r="P11434" s="99"/>
      <c r="Q11434" s="99"/>
      <c r="R11434" s="99"/>
    </row>
    <row r="11435" spans="5:18" s="65" customFormat="1">
      <c r="E11435" s="130"/>
      <c r="P11435" s="99"/>
      <c r="Q11435" s="99"/>
      <c r="R11435" s="99"/>
    </row>
    <row r="11436" spans="5:18" s="65" customFormat="1">
      <c r="E11436" s="130"/>
      <c r="P11436" s="99"/>
      <c r="Q11436" s="99"/>
      <c r="R11436" s="99"/>
    </row>
    <row r="11437" spans="5:18" s="65" customFormat="1">
      <c r="E11437" s="130"/>
      <c r="P11437" s="99"/>
      <c r="Q11437" s="99"/>
      <c r="R11437" s="99"/>
    </row>
    <row r="11438" spans="5:18" s="65" customFormat="1">
      <c r="E11438" s="130"/>
      <c r="P11438" s="99"/>
      <c r="Q11438" s="99"/>
      <c r="R11438" s="99"/>
    </row>
    <row r="11439" spans="5:18" s="65" customFormat="1">
      <c r="E11439" s="130"/>
      <c r="P11439" s="99"/>
      <c r="Q11439" s="99"/>
      <c r="R11439" s="99"/>
    </row>
    <row r="11440" spans="5:18" s="65" customFormat="1">
      <c r="E11440" s="130"/>
      <c r="P11440" s="99"/>
      <c r="Q11440" s="99"/>
      <c r="R11440" s="99"/>
    </row>
    <row r="11441" spans="5:18" s="65" customFormat="1">
      <c r="E11441" s="130"/>
      <c r="P11441" s="99"/>
      <c r="Q11441" s="99"/>
      <c r="R11441" s="99"/>
    </row>
    <row r="11442" spans="5:18" s="65" customFormat="1">
      <c r="E11442" s="130"/>
      <c r="P11442" s="99"/>
      <c r="Q11442" s="99"/>
      <c r="R11442" s="99"/>
    </row>
    <row r="11443" spans="5:18" s="65" customFormat="1">
      <c r="E11443" s="130"/>
      <c r="P11443" s="99"/>
      <c r="Q11443" s="99"/>
      <c r="R11443" s="99"/>
    </row>
    <row r="11444" spans="5:18" s="65" customFormat="1">
      <c r="E11444" s="130"/>
      <c r="P11444" s="99"/>
      <c r="Q11444" s="99"/>
      <c r="R11444" s="99"/>
    </row>
    <row r="11445" spans="5:18" s="65" customFormat="1">
      <c r="E11445" s="130"/>
      <c r="P11445" s="99"/>
      <c r="Q11445" s="99"/>
      <c r="R11445" s="99"/>
    </row>
    <row r="11446" spans="5:18" s="65" customFormat="1">
      <c r="E11446" s="130"/>
      <c r="P11446" s="99"/>
      <c r="Q11446" s="99"/>
      <c r="R11446" s="99"/>
    </row>
    <row r="11447" spans="5:18" s="65" customFormat="1">
      <c r="E11447" s="130"/>
      <c r="P11447" s="99"/>
      <c r="Q11447" s="99"/>
      <c r="R11447" s="99"/>
    </row>
    <row r="11448" spans="5:18" s="65" customFormat="1">
      <c r="E11448" s="130"/>
      <c r="P11448" s="99"/>
      <c r="Q11448" s="99"/>
      <c r="R11448" s="99"/>
    </row>
    <row r="11449" spans="5:18" s="65" customFormat="1">
      <c r="E11449" s="130"/>
      <c r="P11449" s="99"/>
      <c r="Q11449" s="99"/>
      <c r="R11449" s="99"/>
    </row>
    <row r="11450" spans="5:18" s="65" customFormat="1">
      <c r="E11450" s="130"/>
      <c r="P11450" s="99"/>
      <c r="Q11450" s="99"/>
      <c r="R11450" s="99"/>
    </row>
    <row r="11451" spans="5:18" s="65" customFormat="1">
      <c r="E11451" s="130"/>
      <c r="P11451" s="99"/>
      <c r="Q11451" s="99"/>
      <c r="R11451" s="99"/>
    </row>
    <row r="11452" spans="5:18" s="65" customFormat="1">
      <c r="E11452" s="130"/>
      <c r="P11452" s="99"/>
      <c r="Q11452" s="99"/>
      <c r="R11452" s="99"/>
    </row>
    <row r="11453" spans="5:18" s="65" customFormat="1">
      <c r="E11453" s="130"/>
      <c r="P11453" s="99"/>
      <c r="Q11453" s="99"/>
      <c r="R11453" s="99"/>
    </row>
    <row r="11454" spans="5:18" s="65" customFormat="1">
      <c r="E11454" s="130"/>
      <c r="P11454" s="99"/>
      <c r="Q11454" s="99"/>
      <c r="R11454" s="99"/>
    </row>
    <row r="11455" spans="5:18" s="65" customFormat="1">
      <c r="E11455" s="130"/>
      <c r="P11455" s="99"/>
      <c r="Q11455" s="99"/>
      <c r="R11455" s="99"/>
    </row>
    <row r="11456" spans="5:18" s="65" customFormat="1">
      <c r="E11456" s="130"/>
      <c r="P11456" s="99"/>
      <c r="Q11456" s="99"/>
      <c r="R11456" s="99"/>
    </row>
    <row r="11457" spans="5:18" s="65" customFormat="1">
      <c r="E11457" s="130"/>
      <c r="P11457" s="99"/>
      <c r="Q11457" s="99"/>
      <c r="R11457" s="99"/>
    </row>
    <row r="11458" spans="5:18" s="65" customFormat="1">
      <c r="E11458" s="130"/>
      <c r="P11458" s="99"/>
      <c r="Q11458" s="99"/>
      <c r="R11458" s="99"/>
    </row>
    <row r="11459" spans="5:18" s="65" customFormat="1">
      <c r="E11459" s="130"/>
      <c r="P11459" s="99"/>
      <c r="Q11459" s="99"/>
      <c r="R11459" s="99"/>
    </row>
    <row r="11460" spans="5:18" s="65" customFormat="1">
      <c r="E11460" s="130"/>
      <c r="P11460" s="99"/>
      <c r="Q11460" s="99"/>
      <c r="R11460" s="99"/>
    </row>
    <row r="11461" spans="5:18" s="65" customFormat="1">
      <c r="E11461" s="130"/>
      <c r="P11461" s="99"/>
      <c r="Q11461" s="99"/>
      <c r="R11461" s="99"/>
    </row>
    <row r="11462" spans="5:18" s="65" customFormat="1">
      <c r="E11462" s="130"/>
      <c r="P11462" s="99"/>
      <c r="Q11462" s="99"/>
      <c r="R11462" s="99"/>
    </row>
    <row r="11463" spans="5:18" s="65" customFormat="1">
      <c r="E11463" s="130"/>
      <c r="P11463" s="99"/>
      <c r="Q11463" s="99"/>
      <c r="R11463" s="99"/>
    </row>
    <row r="11464" spans="5:18" s="65" customFormat="1">
      <c r="E11464" s="130"/>
      <c r="P11464" s="99"/>
      <c r="Q11464" s="99"/>
      <c r="R11464" s="99"/>
    </row>
    <row r="11465" spans="5:18" s="65" customFormat="1">
      <c r="E11465" s="130"/>
      <c r="P11465" s="99"/>
      <c r="Q11465" s="99"/>
      <c r="R11465" s="99"/>
    </row>
    <row r="11466" spans="5:18" s="65" customFormat="1">
      <c r="E11466" s="130"/>
      <c r="P11466" s="99"/>
      <c r="Q11466" s="99"/>
      <c r="R11466" s="99"/>
    </row>
    <row r="11467" spans="5:18" s="65" customFormat="1">
      <c r="E11467" s="130"/>
      <c r="P11467" s="99"/>
      <c r="Q11467" s="99"/>
      <c r="R11467" s="99"/>
    </row>
    <row r="11468" spans="5:18" s="65" customFormat="1">
      <c r="E11468" s="130"/>
      <c r="P11468" s="99"/>
      <c r="Q11468" s="99"/>
      <c r="R11468" s="99"/>
    </row>
    <row r="11469" spans="5:18" s="65" customFormat="1">
      <c r="E11469" s="130"/>
      <c r="P11469" s="99"/>
      <c r="Q11469" s="99"/>
      <c r="R11469" s="99"/>
    </row>
    <row r="11470" spans="5:18" s="65" customFormat="1">
      <c r="E11470" s="130"/>
      <c r="P11470" s="99"/>
      <c r="Q11470" s="99"/>
      <c r="R11470" s="99"/>
    </row>
    <row r="11471" spans="5:18" s="65" customFormat="1">
      <c r="E11471" s="130"/>
      <c r="P11471" s="99"/>
      <c r="Q11471" s="99"/>
      <c r="R11471" s="99"/>
    </row>
    <row r="11472" spans="5:18" s="65" customFormat="1">
      <c r="E11472" s="130"/>
      <c r="P11472" s="99"/>
      <c r="Q11472" s="99"/>
      <c r="R11472" s="99"/>
    </row>
    <row r="11473" spans="5:18" s="65" customFormat="1">
      <c r="E11473" s="130"/>
      <c r="P11473" s="99"/>
      <c r="Q11473" s="99"/>
      <c r="R11473" s="99"/>
    </row>
    <row r="11474" spans="5:18" s="65" customFormat="1">
      <c r="E11474" s="130"/>
      <c r="P11474" s="99"/>
      <c r="Q11474" s="99"/>
      <c r="R11474" s="99"/>
    </row>
    <row r="11475" spans="5:18" s="65" customFormat="1">
      <c r="E11475" s="130"/>
      <c r="P11475" s="99"/>
      <c r="Q11475" s="99"/>
      <c r="R11475" s="99"/>
    </row>
    <row r="11476" spans="5:18" s="65" customFormat="1">
      <c r="E11476" s="130"/>
      <c r="P11476" s="99"/>
      <c r="Q11476" s="99"/>
      <c r="R11476" s="99"/>
    </row>
    <row r="11477" spans="5:18" s="65" customFormat="1">
      <c r="E11477" s="130"/>
      <c r="P11477" s="99"/>
      <c r="Q11477" s="99"/>
      <c r="R11477" s="99"/>
    </row>
    <row r="11478" spans="5:18" s="65" customFormat="1">
      <c r="E11478" s="130"/>
      <c r="P11478" s="99"/>
      <c r="Q11478" s="99"/>
      <c r="R11478" s="99"/>
    </row>
    <row r="11479" spans="5:18" s="65" customFormat="1">
      <c r="E11479" s="130"/>
      <c r="P11479" s="99"/>
      <c r="Q11479" s="99"/>
      <c r="R11479" s="99"/>
    </row>
    <row r="11480" spans="5:18" s="65" customFormat="1">
      <c r="E11480" s="130"/>
      <c r="P11480" s="99"/>
      <c r="Q11480" s="99"/>
      <c r="R11480" s="99"/>
    </row>
    <row r="11481" spans="5:18" s="65" customFormat="1">
      <c r="E11481" s="130"/>
      <c r="P11481" s="99"/>
      <c r="Q11481" s="99"/>
      <c r="R11481" s="99"/>
    </row>
    <row r="11482" spans="5:18" s="65" customFormat="1">
      <c r="E11482" s="130"/>
      <c r="P11482" s="99"/>
      <c r="Q11482" s="99"/>
      <c r="R11482" s="99"/>
    </row>
    <row r="11483" spans="5:18" s="65" customFormat="1">
      <c r="E11483" s="130"/>
      <c r="P11483" s="99"/>
      <c r="Q11483" s="99"/>
      <c r="R11483" s="99"/>
    </row>
    <row r="11484" spans="5:18" s="65" customFormat="1">
      <c r="E11484" s="130"/>
      <c r="P11484" s="99"/>
      <c r="Q11484" s="99"/>
      <c r="R11484" s="99"/>
    </row>
    <row r="11485" spans="5:18" s="65" customFormat="1">
      <c r="E11485" s="130"/>
      <c r="P11485" s="99"/>
      <c r="Q11485" s="99"/>
      <c r="R11485" s="99"/>
    </row>
    <row r="11486" spans="5:18" s="65" customFormat="1">
      <c r="E11486" s="130"/>
      <c r="P11486" s="99"/>
      <c r="Q11486" s="99"/>
      <c r="R11486" s="99"/>
    </row>
    <row r="11487" spans="5:18" s="65" customFormat="1">
      <c r="E11487" s="130"/>
      <c r="P11487" s="99"/>
      <c r="Q11487" s="99"/>
      <c r="R11487" s="99"/>
    </row>
    <row r="11488" spans="5:18" s="65" customFormat="1">
      <c r="E11488" s="130"/>
      <c r="P11488" s="99"/>
      <c r="Q11488" s="99"/>
      <c r="R11488" s="99"/>
    </row>
    <row r="11489" spans="5:18" s="65" customFormat="1">
      <c r="E11489" s="130"/>
      <c r="P11489" s="99"/>
      <c r="Q11489" s="99"/>
      <c r="R11489" s="99"/>
    </row>
    <row r="11490" spans="5:18" s="65" customFormat="1">
      <c r="E11490" s="130"/>
      <c r="P11490" s="99"/>
      <c r="Q11490" s="99"/>
      <c r="R11490" s="99"/>
    </row>
    <row r="11491" spans="5:18" s="65" customFormat="1">
      <c r="E11491" s="130"/>
      <c r="P11491" s="99"/>
      <c r="Q11491" s="99"/>
      <c r="R11491" s="99"/>
    </row>
    <row r="11492" spans="5:18" s="65" customFormat="1">
      <c r="E11492" s="130"/>
      <c r="P11492" s="99"/>
      <c r="Q11492" s="99"/>
      <c r="R11492" s="99"/>
    </row>
    <row r="11493" spans="5:18" s="65" customFormat="1">
      <c r="E11493" s="130"/>
      <c r="P11493" s="99"/>
      <c r="Q11493" s="99"/>
      <c r="R11493" s="99"/>
    </row>
    <row r="11494" spans="5:18" s="65" customFormat="1">
      <c r="E11494" s="130"/>
      <c r="P11494" s="99"/>
      <c r="Q11494" s="99"/>
      <c r="R11494" s="99"/>
    </row>
    <row r="11495" spans="5:18" s="65" customFormat="1">
      <c r="E11495" s="130"/>
      <c r="P11495" s="99"/>
      <c r="Q11495" s="99"/>
      <c r="R11495" s="99"/>
    </row>
    <row r="11496" spans="5:18" s="65" customFormat="1">
      <c r="E11496" s="130"/>
      <c r="P11496" s="99"/>
      <c r="Q11496" s="99"/>
      <c r="R11496" s="99"/>
    </row>
    <row r="11497" spans="5:18" s="65" customFormat="1">
      <c r="E11497" s="130"/>
      <c r="P11497" s="99"/>
      <c r="Q11497" s="99"/>
      <c r="R11497" s="99"/>
    </row>
    <row r="11498" spans="5:18" s="65" customFormat="1">
      <c r="E11498" s="130"/>
      <c r="P11498" s="99"/>
      <c r="Q11498" s="99"/>
      <c r="R11498" s="99"/>
    </row>
    <row r="11499" spans="5:18" s="65" customFormat="1">
      <c r="E11499" s="130"/>
      <c r="P11499" s="99"/>
      <c r="Q11499" s="99"/>
      <c r="R11499" s="99"/>
    </row>
    <row r="11500" spans="5:18" s="65" customFormat="1">
      <c r="E11500" s="130"/>
      <c r="P11500" s="99"/>
      <c r="Q11500" s="99"/>
      <c r="R11500" s="99"/>
    </row>
    <row r="11501" spans="5:18" s="65" customFormat="1">
      <c r="E11501" s="130"/>
      <c r="P11501" s="99"/>
      <c r="Q11501" s="99"/>
      <c r="R11501" s="99"/>
    </row>
    <row r="11502" spans="5:18" s="65" customFormat="1">
      <c r="E11502" s="130"/>
      <c r="P11502" s="99"/>
      <c r="Q11502" s="99"/>
      <c r="R11502" s="99"/>
    </row>
    <row r="11503" spans="5:18" s="65" customFormat="1">
      <c r="E11503" s="130"/>
      <c r="P11503" s="99"/>
      <c r="Q11503" s="99"/>
      <c r="R11503" s="99"/>
    </row>
    <row r="11504" spans="5:18" s="65" customFormat="1">
      <c r="E11504" s="130"/>
      <c r="P11504" s="99"/>
      <c r="Q11504" s="99"/>
      <c r="R11504" s="99"/>
    </row>
    <row r="11505" spans="5:18" s="65" customFormat="1">
      <c r="E11505" s="130"/>
      <c r="P11505" s="99"/>
      <c r="Q11505" s="99"/>
      <c r="R11505" s="99"/>
    </row>
    <row r="11506" spans="5:18" s="65" customFormat="1">
      <c r="E11506" s="130"/>
      <c r="P11506" s="99"/>
      <c r="Q11506" s="99"/>
      <c r="R11506" s="99"/>
    </row>
    <row r="11507" spans="5:18" s="65" customFormat="1">
      <c r="E11507" s="130"/>
      <c r="P11507" s="99"/>
      <c r="Q11507" s="99"/>
      <c r="R11507" s="99"/>
    </row>
    <row r="11508" spans="5:18" s="65" customFormat="1">
      <c r="E11508" s="130"/>
      <c r="P11508" s="99"/>
      <c r="Q11508" s="99"/>
      <c r="R11508" s="99"/>
    </row>
    <row r="11509" spans="5:18" s="65" customFormat="1">
      <c r="E11509" s="130"/>
      <c r="P11509" s="99"/>
      <c r="Q11509" s="99"/>
      <c r="R11509" s="99"/>
    </row>
    <row r="11510" spans="5:18" s="65" customFormat="1">
      <c r="E11510" s="130"/>
      <c r="P11510" s="99"/>
      <c r="Q11510" s="99"/>
      <c r="R11510" s="99"/>
    </row>
    <row r="11511" spans="5:18" s="65" customFormat="1">
      <c r="E11511" s="130"/>
      <c r="P11511" s="99"/>
      <c r="Q11511" s="99"/>
      <c r="R11511" s="99"/>
    </row>
    <row r="11512" spans="5:18" s="65" customFormat="1">
      <c r="E11512" s="130"/>
      <c r="P11512" s="99"/>
      <c r="Q11512" s="99"/>
      <c r="R11512" s="99"/>
    </row>
    <row r="11513" spans="5:18" s="65" customFormat="1">
      <c r="E11513" s="130"/>
      <c r="P11513" s="99"/>
      <c r="Q11513" s="99"/>
      <c r="R11513" s="99"/>
    </row>
    <row r="11514" spans="5:18" s="65" customFormat="1">
      <c r="E11514" s="130"/>
      <c r="P11514" s="99"/>
      <c r="Q11514" s="99"/>
      <c r="R11514" s="99"/>
    </row>
    <row r="11515" spans="5:18" s="65" customFormat="1">
      <c r="E11515" s="130"/>
      <c r="P11515" s="99"/>
      <c r="Q11515" s="99"/>
      <c r="R11515" s="99"/>
    </row>
    <row r="11516" spans="5:18" s="65" customFormat="1">
      <c r="E11516" s="130"/>
      <c r="P11516" s="99"/>
      <c r="Q11516" s="99"/>
      <c r="R11516" s="99"/>
    </row>
    <row r="11517" spans="5:18" s="65" customFormat="1">
      <c r="E11517" s="130"/>
      <c r="P11517" s="99"/>
      <c r="Q11517" s="99"/>
      <c r="R11517" s="99"/>
    </row>
    <row r="11518" spans="5:18" s="65" customFormat="1">
      <c r="E11518" s="130"/>
      <c r="P11518" s="99"/>
      <c r="Q11518" s="99"/>
      <c r="R11518" s="99"/>
    </row>
    <row r="11519" spans="5:18" s="65" customFormat="1">
      <c r="E11519" s="130"/>
      <c r="P11519" s="99"/>
      <c r="Q11519" s="99"/>
      <c r="R11519" s="99"/>
    </row>
    <row r="11520" spans="5:18" s="65" customFormat="1">
      <c r="E11520" s="130"/>
      <c r="P11520" s="99"/>
      <c r="Q11520" s="99"/>
      <c r="R11520" s="99"/>
    </row>
    <row r="11521" spans="5:18" s="65" customFormat="1">
      <c r="E11521" s="130"/>
      <c r="P11521" s="99"/>
      <c r="Q11521" s="99"/>
      <c r="R11521" s="99"/>
    </row>
    <row r="11522" spans="5:18" s="65" customFormat="1">
      <c r="E11522" s="130"/>
      <c r="P11522" s="99"/>
      <c r="Q11522" s="99"/>
      <c r="R11522" s="99"/>
    </row>
    <row r="11523" spans="5:18" s="65" customFormat="1">
      <c r="E11523" s="130"/>
      <c r="P11523" s="99"/>
      <c r="Q11523" s="99"/>
      <c r="R11523" s="99"/>
    </row>
    <row r="11524" spans="5:18" s="65" customFormat="1">
      <c r="E11524" s="130"/>
      <c r="P11524" s="99"/>
      <c r="Q11524" s="99"/>
      <c r="R11524" s="99"/>
    </row>
    <row r="11525" spans="5:18" s="65" customFormat="1">
      <c r="E11525" s="130"/>
      <c r="P11525" s="99"/>
      <c r="Q11525" s="99"/>
      <c r="R11525" s="99"/>
    </row>
    <row r="11526" spans="5:18" s="65" customFormat="1">
      <c r="E11526" s="130"/>
      <c r="P11526" s="99"/>
      <c r="Q11526" s="99"/>
      <c r="R11526" s="99"/>
    </row>
    <row r="11527" spans="5:18" s="65" customFormat="1">
      <c r="E11527" s="130"/>
      <c r="P11527" s="99"/>
      <c r="Q11527" s="99"/>
      <c r="R11527" s="99"/>
    </row>
    <row r="11528" spans="5:18" s="65" customFormat="1">
      <c r="E11528" s="130"/>
      <c r="P11528" s="99"/>
      <c r="Q11528" s="99"/>
      <c r="R11528" s="99"/>
    </row>
    <row r="11529" spans="5:18" s="65" customFormat="1">
      <c r="E11529" s="130"/>
      <c r="P11529" s="99"/>
      <c r="Q11529" s="99"/>
      <c r="R11529" s="99"/>
    </row>
    <row r="11530" spans="5:18" s="65" customFormat="1">
      <c r="E11530" s="130"/>
      <c r="P11530" s="99"/>
      <c r="Q11530" s="99"/>
      <c r="R11530" s="99"/>
    </row>
    <row r="11531" spans="5:18" s="65" customFormat="1">
      <c r="E11531" s="130"/>
      <c r="P11531" s="99"/>
      <c r="Q11531" s="99"/>
      <c r="R11531" s="99"/>
    </row>
    <row r="11532" spans="5:18" s="65" customFormat="1">
      <c r="E11532" s="130"/>
      <c r="P11532" s="99"/>
      <c r="Q11532" s="99"/>
      <c r="R11532" s="99"/>
    </row>
    <row r="11533" spans="5:18" s="65" customFormat="1">
      <c r="E11533" s="130"/>
      <c r="P11533" s="99"/>
      <c r="Q11533" s="99"/>
      <c r="R11533" s="99"/>
    </row>
    <row r="11534" spans="5:18" s="65" customFormat="1">
      <c r="E11534" s="130"/>
      <c r="P11534" s="99"/>
      <c r="Q11534" s="99"/>
      <c r="R11534" s="99"/>
    </row>
    <row r="11535" spans="5:18" s="65" customFormat="1">
      <c r="E11535" s="130"/>
      <c r="P11535" s="99"/>
      <c r="Q11535" s="99"/>
      <c r="R11535" s="99"/>
    </row>
    <row r="11536" spans="5:18" s="65" customFormat="1">
      <c r="E11536" s="130"/>
      <c r="P11536" s="99"/>
      <c r="Q11536" s="99"/>
      <c r="R11536" s="99"/>
    </row>
    <row r="11537" spans="5:18" s="65" customFormat="1">
      <c r="E11537" s="130"/>
      <c r="P11537" s="99"/>
      <c r="Q11537" s="99"/>
      <c r="R11537" s="99"/>
    </row>
    <row r="11538" spans="5:18" s="65" customFormat="1">
      <c r="E11538" s="130"/>
      <c r="P11538" s="99"/>
      <c r="Q11538" s="99"/>
      <c r="R11538" s="99"/>
    </row>
    <row r="11539" spans="5:18" s="65" customFormat="1">
      <c r="E11539" s="130"/>
      <c r="P11539" s="99"/>
      <c r="Q11539" s="99"/>
      <c r="R11539" s="99"/>
    </row>
    <row r="11540" spans="5:18" s="65" customFormat="1">
      <c r="E11540" s="130"/>
      <c r="P11540" s="99"/>
      <c r="Q11540" s="99"/>
      <c r="R11540" s="99"/>
    </row>
    <row r="11541" spans="5:18" s="65" customFormat="1">
      <c r="E11541" s="130"/>
      <c r="P11541" s="99"/>
      <c r="Q11541" s="99"/>
      <c r="R11541" s="99"/>
    </row>
    <row r="11542" spans="5:18" s="65" customFormat="1">
      <c r="E11542" s="130"/>
      <c r="P11542" s="99"/>
      <c r="Q11542" s="99"/>
      <c r="R11542" s="99"/>
    </row>
    <row r="11543" spans="5:18" s="65" customFormat="1">
      <c r="E11543" s="130"/>
      <c r="P11543" s="99"/>
      <c r="Q11543" s="99"/>
      <c r="R11543" s="99"/>
    </row>
    <row r="11544" spans="5:18" s="65" customFormat="1">
      <c r="E11544" s="130"/>
      <c r="P11544" s="99"/>
      <c r="Q11544" s="99"/>
      <c r="R11544" s="99"/>
    </row>
    <row r="11545" spans="5:18" s="65" customFormat="1">
      <c r="E11545" s="130"/>
      <c r="P11545" s="99"/>
      <c r="Q11545" s="99"/>
      <c r="R11545" s="99"/>
    </row>
    <row r="11546" spans="5:18" s="65" customFormat="1">
      <c r="E11546" s="130"/>
      <c r="P11546" s="99"/>
      <c r="Q11546" s="99"/>
      <c r="R11546" s="99"/>
    </row>
    <row r="11547" spans="5:18" s="65" customFormat="1">
      <c r="E11547" s="130"/>
      <c r="P11547" s="99"/>
      <c r="Q11547" s="99"/>
      <c r="R11547" s="99"/>
    </row>
    <row r="11548" spans="5:18" s="65" customFormat="1">
      <c r="E11548" s="130"/>
      <c r="P11548" s="99"/>
      <c r="Q11548" s="99"/>
      <c r="R11548" s="99"/>
    </row>
    <row r="11549" spans="5:18" s="65" customFormat="1">
      <c r="E11549" s="130"/>
      <c r="P11549" s="99"/>
      <c r="Q11549" s="99"/>
      <c r="R11549" s="99"/>
    </row>
    <row r="11550" spans="5:18" s="65" customFormat="1">
      <c r="E11550" s="130"/>
      <c r="P11550" s="99"/>
      <c r="Q11550" s="99"/>
      <c r="R11550" s="99"/>
    </row>
    <row r="11551" spans="5:18" s="65" customFormat="1">
      <c r="E11551" s="130"/>
      <c r="P11551" s="99"/>
      <c r="Q11551" s="99"/>
      <c r="R11551" s="99"/>
    </row>
    <row r="11552" spans="5:18" s="65" customFormat="1">
      <c r="E11552" s="130"/>
      <c r="P11552" s="99"/>
      <c r="Q11552" s="99"/>
      <c r="R11552" s="99"/>
    </row>
    <row r="11553" spans="5:18" s="65" customFormat="1">
      <c r="E11553" s="130"/>
      <c r="P11553" s="99"/>
      <c r="Q11553" s="99"/>
      <c r="R11553" s="99"/>
    </row>
    <row r="11554" spans="5:18" s="65" customFormat="1">
      <c r="E11554" s="130"/>
      <c r="P11554" s="99"/>
      <c r="Q11554" s="99"/>
      <c r="R11554" s="99"/>
    </row>
    <row r="11555" spans="5:18" s="65" customFormat="1">
      <c r="E11555" s="130"/>
      <c r="P11555" s="99"/>
      <c r="Q11555" s="99"/>
      <c r="R11555" s="99"/>
    </row>
    <row r="11556" spans="5:18" s="65" customFormat="1">
      <c r="E11556" s="130"/>
      <c r="P11556" s="99"/>
      <c r="Q11556" s="99"/>
      <c r="R11556" s="99"/>
    </row>
    <row r="11557" spans="5:18" s="65" customFormat="1">
      <c r="E11557" s="130"/>
      <c r="P11557" s="99"/>
      <c r="Q11557" s="99"/>
      <c r="R11557" s="99"/>
    </row>
    <row r="11558" spans="5:18" s="65" customFormat="1">
      <c r="E11558" s="130"/>
      <c r="P11558" s="99"/>
      <c r="Q11558" s="99"/>
      <c r="R11558" s="99"/>
    </row>
    <row r="11559" spans="5:18" s="65" customFormat="1">
      <c r="E11559" s="130"/>
      <c r="P11559" s="99"/>
      <c r="Q11559" s="99"/>
      <c r="R11559" s="99"/>
    </row>
    <row r="11560" spans="5:18" s="65" customFormat="1">
      <c r="E11560" s="130"/>
      <c r="P11560" s="99"/>
      <c r="Q11560" s="99"/>
      <c r="R11560" s="99"/>
    </row>
    <row r="11561" spans="5:18" s="65" customFormat="1">
      <c r="E11561" s="130"/>
      <c r="P11561" s="99"/>
      <c r="Q11561" s="99"/>
      <c r="R11561" s="99"/>
    </row>
    <row r="11562" spans="5:18" s="65" customFormat="1">
      <c r="E11562" s="130"/>
      <c r="P11562" s="99"/>
      <c r="Q11562" s="99"/>
      <c r="R11562" s="99"/>
    </row>
    <row r="11563" spans="5:18" s="65" customFormat="1">
      <c r="E11563" s="130"/>
      <c r="P11563" s="99"/>
      <c r="Q11563" s="99"/>
      <c r="R11563" s="99"/>
    </row>
    <row r="11564" spans="5:18" s="65" customFormat="1">
      <c r="E11564" s="130"/>
      <c r="P11564" s="99"/>
      <c r="Q11564" s="99"/>
      <c r="R11564" s="99"/>
    </row>
    <row r="11565" spans="5:18" s="65" customFormat="1">
      <c r="E11565" s="130"/>
      <c r="P11565" s="99"/>
      <c r="Q11565" s="99"/>
      <c r="R11565" s="99"/>
    </row>
    <row r="11566" spans="5:18" s="65" customFormat="1">
      <c r="E11566" s="130"/>
      <c r="P11566" s="99"/>
      <c r="Q11566" s="99"/>
      <c r="R11566" s="99"/>
    </row>
    <row r="11567" spans="5:18" s="65" customFormat="1">
      <c r="E11567" s="130"/>
      <c r="P11567" s="99"/>
      <c r="Q11567" s="99"/>
      <c r="R11567" s="99"/>
    </row>
    <row r="11568" spans="5:18" s="65" customFormat="1">
      <c r="E11568" s="130"/>
      <c r="P11568" s="99"/>
      <c r="Q11568" s="99"/>
      <c r="R11568" s="99"/>
    </row>
    <row r="11569" spans="5:18" s="65" customFormat="1">
      <c r="E11569" s="130"/>
      <c r="P11569" s="99"/>
      <c r="Q11569" s="99"/>
      <c r="R11569" s="99"/>
    </row>
    <row r="11570" spans="5:18" s="65" customFormat="1">
      <c r="E11570" s="130"/>
      <c r="P11570" s="99"/>
      <c r="Q11570" s="99"/>
      <c r="R11570" s="99"/>
    </row>
    <row r="11571" spans="5:18" s="65" customFormat="1">
      <c r="E11571" s="130"/>
      <c r="P11571" s="99"/>
      <c r="Q11571" s="99"/>
      <c r="R11571" s="99"/>
    </row>
    <row r="11572" spans="5:18" s="65" customFormat="1">
      <c r="E11572" s="130"/>
      <c r="P11572" s="99"/>
      <c r="Q11572" s="99"/>
      <c r="R11572" s="99"/>
    </row>
    <row r="11573" spans="5:18" s="65" customFormat="1">
      <c r="E11573" s="130"/>
      <c r="P11573" s="99"/>
      <c r="Q11573" s="99"/>
      <c r="R11573" s="99"/>
    </row>
    <row r="11574" spans="5:18" s="65" customFormat="1">
      <c r="E11574" s="130"/>
      <c r="P11574" s="99"/>
      <c r="Q11574" s="99"/>
      <c r="R11574" s="99"/>
    </row>
    <row r="11575" spans="5:18" s="65" customFormat="1">
      <c r="E11575" s="130"/>
      <c r="P11575" s="99"/>
      <c r="Q11575" s="99"/>
      <c r="R11575" s="99"/>
    </row>
    <row r="11576" spans="5:18" s="65" customFormat="1">
      <c r="E11576" s="130"/>
      <c r="P11576" s="99"/>
      <c r="Q11576" s="99"/>
      <c r="R11576" s="99"/>
    </row>
    <row r="11577" spans="5:18" s="65" customFormat="1">
      <c r="E11577" s="130"/>
      <c r="P11577" s="99"/>
      <c r="Q11577" s="99"/>
      <c r="R11577" s="99"/>
    </row>
    <row r="11578" spans="5:18" s="65" customFormat="1">
      <c r="E11578" s="130"/>
      <c r="P11578" s="99"/>
      <c r="Q11578" s="99"/>
      <c r="R11578" s="99"/>
    </row>
    <row r="11579" spans="5:18" s="65" customFormat="1">
      <c r="E11579" s="130"/>
      <c r="P11579" s="99"/>
      <c r="Q11579" s="99"/>
      <c r="R11579" s="99"/>
    </row>
    <row r="11580" spans="5:18" s="65" customFormat="1">
      <c r="E11580" s="130"/>
      <c r="P11580" s="99"/>
      <c r="Q11580" s="99"/>
      <c r="R11580" s="99"/>
    </row>
    <row r="11581" spans="5:18" s="65" customFormat="1">
      <c r="E11581" s="130"/>
      <c r="P11581" s="99"/>
      <c r="Q11581" s="99"/>
      <c r="R11581" s="99"/>
    </row>
    <row r="11582" spans="5:18" s="65" customFormat="1">
      <c r="E11582" s="130"/>
      <c r="P11582" s="99"/>
      <c r="Q11582" s="99"/>
      <c r="R11582" s="99"/>
    </row>
    <row r="11583" spans="5:18" s="65" customFormat="1">
      <c r="E11583" s="130"/>
      <c r="P11583" s="99"/>
      <c r="Q11583" s="99"/>
      <c r="R11583" s="99"/>
    </row>
    <row r="11584" spans="5:18" s="65" customFormat="1">
      <c r="E11584" s="130"/>
      <c r="P11584" s="99"/>
      <c r="Q11584" s="99"/>
      <c r="R11584" s="99"/>
    </row>
    <row r="11585" spans="5:18" s="65" customFormat="1">
      <c r="E11585" s="130"/>
      <c r="P11585" s="99"/>
      <c r="Q11585" s="99"/>
      <c r="R11585" s="99"/>
    </row>
    <row r="11586" spans="5:18" s="65" customFormat="1">
      <c r="E11586" s="130"/>
      <c r="P11586" s="99"/>
      <c r="Q11586" s="99"/>
      <c r="R11586" s="99"/>
    </row>
    <row r="11587" spans="5:18" s="65" customFormat="1">
      <c r="E11587" s="130"/>
      <c r="P11587" s="99"/>
      <c r="Q11587" s="99"/>
      <c r="R11587" s="99"/>
    </row>
    <row r="11588" spans="5:18" s="65" customFormat="1">
      <c r="E11588" s="130"/>
      <c r="P11588" s="99"/>
      <c r="Q11588" s="99"/>
      <c r="R11588" s="99"/>
    </row>
    <row r="11589" spans="5:18" s="65" customFormat="1">
      <c r="E11589" s="130"/>
      <c r="P11589" s="99"/>
      <c r="Q11589" s="99"/>
      <c r="R11589" s="99"/>
    </row>
    <row r="11590" spans="5:18" s="65" customFormat="1">
      <c r="E11590" s="130"/>
      <c r="P11590" s="99"/>
      <c r="Q11590" s="99"/>
      <c r="R11590" s="99"/>
    </row>
    <row r="11591" spans="5:18" s="65" customFormat="1">
      <c r="E11591" s="130"/>
      <c r="P11591" s="99"/>
      <c r="Q11591" s="99"/>
      <c r="R11591" s="99"/>
    </row>
    <row r="11592" spans="5:18" s="65" customFormat="1">
      <c r="E11592" s="130"/>
      <c r="P11592" s="99"/>
      <c r="Q11592" s="99"/>
      <c r="R11592" s="99"/>
    </row>
    <row r="11593" spans="5:18" s="65" customFormat="1">
      <c r="E11593" s="130"/>
      <c r="P11593" s="99"/>
      <c r="Q11593" s="99"/>
      <c r="R11593" s="99"/>
    </row>
    <row r="11594" spans="5:18" s="65" customFormat="1">
      <c r="E11594" s="130"/>
      <c r="P11594" s="99"/>
      <c r="Q11594" s="99"/>
      <c r="R11594" s="99"/>
    </row>
    <row r="11595" spans="5:18" s="65" customFormat="1">
      <c r="E11595" s="130"/>
      <c r="P11595" s="99"/>
      <c r="Q11595" s="99"/>
      <c r="R11595" s="99"/>
    </row>
    <row r="11596" spans="5:18" s="65" customFormat="1">
      <c r="E11596" s="130"/>
      <c r="P11596" s="99"/>
      <c r="Q11596" s="99"/>
      <c r="R11596" s="99"/>
    </row>
    <row r="11597" spans="5:18" s="65" customFormat="1">
      <c r="E11597" s="130"/>
      <c r="P11597" s="99"/>
      <c r="Q11597" s="99"/>
      <c r="R11597" s="99"/>
    </row>
    <row r="11598" spans="5:18" s="65" customFormat="1">
      <c r="E11598" s="130"/>
      <c r="P11598" s="99"/>
      <c r="Q11598" s="99"/>
      <c r="R11598" s="99"/>
    </row>
    <row r="11599" spans="5:18" s="65" customFormat="1">
      <c r="E11599" s="130"/>
      <c r="P11599" s="99"/>
      <c r="Q11599" s="99"/>
      <c r="R11599" s="99"/>
    </row>
    <row r="11600" spans="5:18" s="65" customFormat="1">
      <c r="E11600" s="130"/>
      <c r="P11600" s="99"/>
      <c r="Q11600" s="99"/>
      <c r="R11600" s="99"/>
    </row>
    <row r="11601" spans="5:18" s="65" customFormat="1">
      <c r="E11601" s="130"/>
      <c r="P11601" s="99"/>
      <c r="Q11601" s="99"/>
      <c r="R11601" s="99"/>
    </row>
    <row r="11602" spans="5:18" s="65" customFormat="1">
      <c r="E11602" s="130"/>
      <c r="P11602" s="99"/>
      <c r="Q11602" s="99"/>
      <c r="R11602" s="99"/>
    </row>
    <row r="11603" spans="5:18" s="65" customFormat="1">
      <c r="E11603" s="130"/>
      <c r="P11603" s="99"/>
      <c r="Q11603" s="99"/>
      <c r="R11603" s="99"/>
    </row>
    <row r="11604" spans="5:18" s="65" customFormat="1">
      <c r="E11604" s="130"/>
      <c r="P11604" s="99"/>
      <c r="Q11604" s="99"/>
      <c r="R11604" s="99"/>
    </row>
    <row r="11605" spans="5:18" s="65" customFormat="1">
      <c r="E11605" s="130"/>
      <c r="P11605" s="99"/>
      <c r="Q11605" s="99"/>
      <c r="R11605" s="99"/>
    </row>
    <row r="11606" spans="5:18" s="65" customFormat="1">
      <c r="E11606" s="130"/>
      <c r="P11606" s="99"/>
      <c r="Q11606" s="99"/>
      <c r="R11606" s="99"/>
    </row>
    <row r="11607" spans="5:18" s="65" customFormat="1">
      <c r="E11607" s="130"/>
      <c r="P11607" s="99"/>
      <c r="Q11607" s="99"/>
      <c r="R11607" s="99"/>
    </row>
    <row r="11608" spans="5:18" s="65" customFormat="1">
      <c r="E11608" s="130"/>
      <c r="P11608" s="99"/>
      <c r="Q11608" s="99"/>
      <c r="R11608" s="99"/>
    </row>
    <row r="11609" spans="5:18" s="65" customFormat="1">
      <c r="E11609" s="130"/>
      <c r="P11609" s="99"/>
      <c r="Q11609" s="99"/>
      <c r="R11609" s="99"/>
    </row>
    <row r="11610" spans="5:18" s="65" customFormat="1">
      <c r="E11610" s="130"/>
      <c r="P11610" s="99"/>
      <c r="Q11610" s="99"/>
      <c r="R11610" s="99"/>
    </row>
    <row r="11611" spans="5:18" s="65" customFormat="1">
      <c r="E11611" s="130"/>
      <c r="P11611" s="99"/>
      <c r="Q11611" s="99"/>
      <c r="R11611" s="99"/>
    </row>
    <row r="11612" spans="5:18" s="65" customFormat="1">
      <c r="E11612" s="130"/>
      <c r="P11612" s="99"/>
      <c r="Q11612" s="99"/>
      <c r="R11612" s="99"/>
    </row>
    <row r="11613" spans="5:18" s="65" customFormat="1">
      <c r="E11613" s="130"/>
      <c r="P11613" s="99"/>
      <c r="Q11613" s="99"/>
      <c r="R11613" s="99"/>
    </row>
    <row r="11614" spans="5:18" s="65" customFormat="1">
      <c r="E11614" s="130"/>
      <c r="P11614" s="99"/>
      <c r="Q11614" s="99"/>
      <c r="R11614" s="99"/>
    </row>
    <row r="11615" spans="5:18" s="65" customFormat="1">
      <c r="E11615" s="130"/>
      <c r="P11615" s="99"/>
      <c r="Q11615" s="99"/>
      <c r="R11615" s="99"/>
    </row>
    <row r="11616" spans="5:18" s="65" customFormat="1">
      <c r="E11616" s="130"/>
      <c r="P11616" s="99"/>
      <c r="Q11616" s="99"/>
      <c r="R11616" s="99"/>
    </row>
    <row r="11617" spans="5:18" s="65" customFormat="1">
      <c r="E11617" s="130"/>
      <c r="P11617" s="99"/>
      <c r="Q11617" s="99"/>
      <c r="R11617" s="99"/>
    </row>
    <row r="11618" spans="5:18" s="65" customFormat="1">
      <c r="E11618" s="130"/>
      <c r="P11618" s="99"/>
      <c r="Q11618" s="99"/>
      <c r="R11618" s="99"/>
    </row>
    <row r="11619" spans="5:18" s="65" customFormat="1">
      <c r="E11619" s="130"/>
      <c r="P11619" s="99"/>
      <c r="Q11619" s="99"/>
      <c r="R11619" s="99"/>
    </row>
    <row r="11620" spans="5:18" s="65" customFormat="1">
      <c r="E11620" s="130"/>
      <c r="P11620" s="99"/>
      <c r="Q11620" s="99"/>
      <c r="R11620" s="99"/>
    </row>
    <row r="11621" spans="5:18" s="65" customFormat="1">
      <c r="E11621" s="130"/>
      <c r="P11621" s="99"/>
      <c r="Q11621" s="99"/>
      <c r="R11621" s="99"/>
    </row>
    <row r="11622" spans="5:18" s="65" customFormat="1">
      <c r="E11622" s="130"/>
      <c r="P11622" s="99"/>
      <c r="Q11622" s="99"/>
      <c r="R11622" s="99"/>
    </row>
    <row r="11623" spans="5:18" s="65" customFormat="1">
      <c r="E11623" s="130"/>
      <c r="P11623" s="99"/>
      <c r="Q11623" s="99"/>
      <c r="R11623" s="99"/>
    </row>
    <row r="11624" spans="5:18" s="65" customFormat="1">
      <c r="E11624" s="130"/>
      <c r="P11624" s="99"/>
      <c r="Q11624" s="99"/>
      <c r="R11624" s="99"/>
    </row>
    <row r="11625" spans="5:18" s="65" customFormat="1">
      <c r="E11625" s="130"/>
      <c r="P11625" s="99"/>
      <c r="Q11625" s="99"/>
      <c r="R11625" s="99"/>
    </row>
    <row r="11626" spans="5:18" s="65" customFormat="1">
      <c r="E11626" s="130"/>
      <c r="P11626" s="99"/>
      <c r="Q11626" s="99"/>
      <c r="R11626" s="99"/>
    </row>
    <row r="11627" spans="5:18" s="65" customFormat="1">
      <c r="E11627" s="130"/>
      <c r="P11627" s="99"/>
      <c r="Q11627" s="99"/>
      <c r="R11627" s="99"/>
    </row>
    <row r="11628" spans="5:18" s="65" customFormat="1">
      <c r="E11628" s="130"/>
      <c r="P11628" s="99"/>
      <c r="Q11628" s="99"/>
      <c r="R11628" s="99"/>
    </row>
    <row r="11629" spans="5:18" s="65" customFormat="1">
      <c r="E11629" s="130"/>
      <c r="P11629" s="99"/>
      <c r="Q11629" s="99"/>
      <c r="R11629" s="99"/>
    </row>
    <row r="11630" spans="5:18" s="65" customFormat="1">
      <c r="E11630" s="130"/>
      <c r="P11630" s="99"/>
      <c r="Q11630" s="99"/>
      <c r="R11630" s="99"/>
    </row>
    <row r="11631" spans="5:18" s="65" customFormat="1">
      <c r="E11631" s="130"/>
      <c r="P11631" s="99"/>
      <c r="Q11631" s="99"/>
      <c r="R11631" s="99"/>
    </row>
    <row r="11632" spans="5:18" s="65" customFormat="1">
      <c r="E11632" s="130"/>
      <c r="P11632" s="99"/>
      <c r="Q11632" s="99"/>
      <c r="R11632" s="99"/>
    </row>
    <row r="11633" spans="5:18" s="65" customFormat="1">
      <c r="E11633" s="130"/>
      <c r="P11633" s="99"/>
      <c r="Q11633" s="99"/>
      <c r="R11633" s="99"/>
    </row>
    <row r="11634" spans="5:18" s="65" customFormat="1">
      <c r="E11634" s="130"/>
      <c r="P11634" s="99"/>
      <c r="Q11634" s="99"/>
      <c r="R11634" s="99"/>
    </row>
    <row r="11635" spans="5:18" s="65" customFormat="1">
      <c r="E11635" s="130"/>
      <c r="P11635" s="99"/>
      <c r="Q11635" s="99"/>
      <c r="R11635" s="99"/>
    </row>
    <row r="11636" spans="5:18" s="65" customFormat="1">
      <c r="E11636" s="130"/>
      <c r="P11636" s="99"/>
      <c r="Q11636" s="99"/>
      <c r="R11636" s="99"/>
    </row>
    <row r="11637" spans="5:18" s="65" customFormat="1">
      <c r="E11637" s="130"/>
      <c r="P11637" s="99"/>
      <c r="Q11637" s="99"/>
      <c r="R11637" s="99"/>
    </row>
    <row r="11638" spans="5:18" s="65" customFormat="1">
      <c r="E11638" s="130"/>
      <c r="P11638" s="99"/>
      <c r="Q11638" s="99"/>
      <c r="R11638" s="99"/>
    </row>
    <row r="11639" spans="5:18" s="65" customFormat="1">
      <c r="E11639" s="130"/>
      <c r="P11639" s="99"/>
      <c r="Q11639" s="99"/>
      <c r="R11639" s="99"/>
    </row>
    <row r="11640" spans="5:18" s="65" customFormat="1">
      <c r="E11640" s="130"/>
      <c r="P11640" s="99"/>
      <c r="Q11640" s="99"/>
      <c r="R11640" s="99"/>
    </row>
    <row r="11641" spans="5:18" s="65" customFormat="1">
      <c r="E11641" s="130"/>
      <c r="P11641" s="99"/>
      <c r="Q11641" s="99"/>
      <c r="R11641" s="99"/>
    </row>
    <row r="11642" spans="5:18" s="65" customFormat="1">
      <c r="E11642" s="130"/>
      <c r="P11642" s="99"/>
      <c r="Q11642" s="99"/>
      <c r="R11642" s="99"/>
    </row>
    <row r="11643" spans="5:18" s="65" customFormat="1">
      <c r="E11643" s="130"/>
      <c r="P11643" s="99"/>
      <c r="Q11643" s="99"/>
      <c r="R11643" s="99"/>
    </row>
    <row r="11644" spans="5:18" s="65" customFormat="1">
      <c r="E11644" s="130"/>
      <c r="P11644" s="99"/>
      <c r="Q11644" s="99"/>
      <c r="R11644" s="99"/>
    </row>
    <row r="11645" spans="5:18" s="65" customFormat="1">
      <c r="E11645" s="130"/>
      <c r="P11645" s="99"/>
      <c r="Q11645" s="99"/>
      <c r="R11645" s="99"/>
    </row>
    <row r="11646" spans="5:18" s="65" customFormat="1">
      <c r="E11646" s="130"/>
      <c r="P11646" s="99"/>
      <c r="Q11646" s="99"/>
      <c r="R11646" s="99"/>
    </row>
    <row r="11647" spans="5:18" s="65" customFormat="1">
      <c r="E11647" s="130"/>
      <c r="P11647" s="99"/>
      <c r="Q11647" s="99"/>
      <c r="R11647" s="99"/>
    </row>
    <row r="11648" spans="5:18" s="65" customFormat="1">
      <c r="E11648" s="130"/>
      <c r="P11648" s="99"/>
      <c r="Q11648" s="99"/>
      <c r="R11648" s="99"/>
    </row>
    <row r="11649" spans="5:18" s="65" customFormat="1">
      <c r="E11649" s="130"/>
      <c r="P11649" s="99"/>
      <c r="Q11649" s="99"/>
      <c r="R11649" s="99"/>
    </row>
    <row r="11650" spans="5:18" s="65" customFormat="1">
      <c r="E11650" s="130"/>
      <c r="P11650" s="99"/>
      <c r="Q11650" s="99"/>
      <c r="R11650" s="99"/>
    </row>
    <row r="11651" spans="5:18" s="65" customFormat="1">
      <c r="E11651" s="130"/>
      <c r="P11651" s="99"/>
      <c r="Q11651" s="99"/>
      <c r="R11651" s="99"/>
    </row>
    <row r="11652" spans="5:18" s="65" customFormat="1">
      <c r="E11652" s="130"/>
      <c r="P11652" s="99"/>
      <c r="Q11652" s="99"/>
      <c r="R11652" s="99"/>
    </row>
    <row r="11653" spans="5:18" s="65" customFormat="1">
      <c r="E11653" s="130"/>
      <c r="P11653" s="99"/>
      <c r="Q11653" s="99"/>
      <c r="R11653" s="99"/>
    </row>
    <row r="11654" spans="5:18" s="65" customFormat="1">
      <c r="E11654" s="130"/>
      <c r="P11654" s="99"/>
      <c r="Q11654" s="99"/>
      <c r="R11654" s="99"/>
    </row>
    <row r="11655" spans="5:18" s="65" customFormat="1">
      <c r="E11655" s="130"/>
      <c r="P11655" s="99"/>
      <c r="Q11655" s="99"/>
      <c r="R11655" s="99"/>
    </row>
    <row r="11656" spans="5:18" s="65" customFormat="1">
      <c r="E11656" s="130"/>
      <c r="P11656" s="99"/>
      <c r="Q11656" s="99"/>
      <c r="R11656" s="99"/>
    </row>
    <row r="11657" spans="5:18" s="65" customFormat="1">
      <c r="E11657" s="130"/>
      <c r="P11657" s="99"/>
      <c r="Q11657" s="99"/>
      <c r="R11657" s="99"/>
    </row>
    <row r="11658" spans="5:18" s="65" customFormat="1">
      <c r="E11658" s="130"/>
      <c r="P11658" s="99"/>
      <c r="Q11658" s="99"/>
      <c r="R11658" s="99"/>
    </row>
    <row r="11659" spans="5:18" s="65" customFormat="1">
      <c r="E11659" s="130"/>
      <c r="P11659" s="99"/>
      <c r="Q11659" s="99"/>
      <c r="R11659" s="99"/>
    </row>
    <row r="11660" spans="5:18" s="65" customFormat="1">
      <c r="E11660" s="130"/>
      <c r="P11660" s="99"/>
      <c r="Q11660" s="99"/>
      <c r="R11660" s="99"/>
    </row>
    <row r="11661" spans="5:18" s="65" customFormat="1">
      <c r="E11661" s="130"/>
      <c r="P11661" s="99"/>
      <c r="Q11661" s="99"/>
      <c r="R11661" s="99"/>
    </row>
    <row r="11662" spans="5:18" s="65" customFormat="1">
      <c r="E11662" s="130"/>
      <c r="P11662" s="99"/>
      <c r="Q11662" s="99"/>
      <c r="R11662" s="99"/>
    </row>
    <row r="11663" spans="5:18" s="65" customFormat="1">
      <c r="E11663" s="130"/>
      <c r="P11663" s="99"/>
      <c r="Q11663" s="99"/>
      <c r="R11663" s="99"/>
    </row>
    <row r="11664" spans="5:18" s="65" customFormat="1">
      <c r="E11664" s="130"/>
      <c r="P11664" s="99"/>
      <c r="Q11664" s="99"/>
      <c r="R11664" s="99"/>
    </row>
    <row r="11665" spans="5:18" s="65" customFormat="1">
      <c r="E11665" s="130"/>
      <c r="P11665" s="99"/>
      <c r="Q11665" s="99"/>
      <c r="R11665" s="99"/>
    </row>
    <row r="11666" spans="5:18" s="65" customFormat="1">
      <c r="E11666" s="130"/>
      <c r="P11666" s="99"/>
      <c r="Q11666" s="99"/>
      <c r="R11666" s="99"/>
    </row>
    <row r="11667" spans="5:18" s="65" customFormat="1">
      <c r="E11667" s="130"/>
      <c r="P11667" s="99"/>
      <c r="Q11667" s="99"/>
      <c r="R11667" s="99"/>
    </row>
    <row r="11668" spans="5:18" s="65" customFormat="1">
      <c r="E11668" s="130"/>
      <c r="P11668" s="99"/>
      <c r="Q11668" s="99"/>
      <c r="R11668" s="99"/>
    </row>
    <row r="11669" spans="5:18" s="65" customFormat="1">
      <c r="E11669" s="130"/>
      <c r="P11669" s="99"/>
      <c r="Q11669" s="99"/>
      <c r="R11669" s="99"/>
    </row>
    <row r="11670" spans="5:18" s="65" customFormat="1">
      <c r="E11670" s="130"/>
      <c r="P11670" s="99"/>
      <c r="Q11670" s="99"/>
      <c r="R11670" s="99"/>
    </row>
    <row r="11671" spans="5:18" s="65" customFormat="1">
      <c r="E11671" s="130"/>
      <c r="P11671" s="99"/>
      <c r="Q11671" s="99"/>
      <c r="R11671" s="99"/>
    </row>
    <row r="11672" spans="5:18" s="65" customFormat="1">
      <c r="E11672" s="130"/>
      <c r="P11672" s="99"/>
      <c r="Q11672" s="99"/>
      <c r="R11672" s="99"/>
    </row>
    <row r="11673" spans="5:18" s="65" customFormat="1">
      <c r="E11673" s="130"/>
      <c r="P11673" s="99"/>
      <c r="Q11673" s="99"/>
      <c r="R11673" s="99"/>
    </row>
    <row r="11674" spans="5:18" s="65" customFormat="1">
      <c r="E11674" s="130"/>
      <c r="P11674" s="99"/>
      <c r="Q11674" s="99"/>
      <c r="R11674" s="99"/>
    </row>
    <row r="11675" spans="5:18" s="65" customFormat="1">
      <c r="E11675" s="130"/>
      <c r="P11675" s="99"/>
      <c r="Q11675" s="99"/>
      <c r="R11675" s="99"/>
    </row>
    <row r="11676" spans="5:18" s="65" customFormat="1">
      <c r="E11676" s="130"/>
      <c r="P11676" s="99"/>
      <c r="Q11676" s="99"/>
      <c r="R11676" s="99"/>
    </row>
    <row r="11677" spans="5:18" s="65" customFormat="1">
      <c r="E11677" s="130"/>
      <c r="P11677" s="99"/>
      <c r="Q11677" s="99"/>
      <c r="R11677" s="99"/>
    </row>
    <row r="11678" spans="5:18" s="65" customFormat="1">
      <c r="E11678" s="130"/>
      <c r="P11678" s="99"/>
      <c r="Q11678" s="99"/>
      <c r="R11678" s="99"/>
    </row>
    <row r="11679" spans="5:18" s="65" customFormat="1">
      <c r="E11679" s="130"/>
      <c r="P11679" s="99"/>
      <c r="Q11679" s="99"/>
      <c r="R11679" s="99"/>
    </row>
    <row r="11680" spans="5:18" s="65" customFormat="1">
      <c r="E11680" s="130"/>
      <c r="P11680" s="99"/>
      <c r="Q11680" s="99"/>
      <c r="R11680" s="99"/>
    </row>
    <row r="11681" spans="5:18" s="65" customFormat="1">
      <c r="E11681" s="130"/>
      <c r="P11681" s="99"/>
      <c r="Q11681" s="99"/>
      <c r="R11681" s="99"/>
    </row>
    <row r="11682" spans="5:18" s="65" customFormat="1">
      <c r="E11682" s="130"/>
      <c r="P11682" s="99"/>
      <c r="Q11682" s="99"/>
      <c r="R11682" s="99"/>
    </row>
    <row r="11683" spans="5:18" s="65" customFormat="1">
      <c r="E11683" s="130"/>
      <c r="P11683" s="99"/>
      <c r="Q11683" s="99"/>
      <c r="R11683" s="99"/>
    </row>
    <row r="11684" spans="5:18" s="65" customFormat="1">
      <c r="E11684" s="130"/>
      <c r="P11684" s="99"/>
      <c r="Q11684" s="99"/>
      <c r="R11684" s="99"/>
    </row>
    <row r="11685" spans="5:18" s="65" customFormat="1">
      <c r="E11685" s="130"/>
      <c r="P11685" s="99"/>
      <c r="Q11685" s="99"/>
      <c r="R11685" s="99"/>
    </row>
    <row r="11686" spans="5:18" s="65" customFormat="1">
      <c r="E11686" s="130"/>
      <c r="P11686" s="99"/>
      <c r="Q11686" s="99"/>
      <c r="R11686" s="99"/>
    </row>
    <row r="11687" spans="5:18" s="65" customFormat="1">
      <c r="E11687" s="130"/>
      <c r="P11687" s="99"/>
      <c r="Q11687" s="99"/>
      <c r="R11687" s="99"/>
    </row>
    <row r="11688" spans="5:18" s="65" customFormat="1">
      <c r="E11688" s="130"/>
      <c r="P11688" s="99"/>
      <c r="Q11688" s="99"/>
      <c r="R11688" s="99"/>
    </row>
    <row r="11689" spans="5:18" s="65" customFormat="1">
      <c r="E11689" s="130"/>
      <c r="P11689" s="99"/>
      <c r="Q11689" s="99"/>
      <c r="R11689" s="99"/>
    </row>
    <row r="11690" spans="5:18" s="65" customFormat="1">
      <c r="E11690" s="130"/>
      <c r="P11690" s="99"/>
      <c r="Q11690" s="99"/>
      <c r="R11690" s="99"/>
    </row>
    <row r="11691" spans="5:18" s="65" customFormat="1">
      <c r="E11691" s="130"/>
      <c r="P11691" s="99"/>
      <c r="Q11691" s="99"/>
      <c r="R11691" s="99"/>
    </row>
    <row r="11692" spans="5:18" s="65" customFormat="1">
      <c r="E11692" s="130"/>
      <c r="P11692" s="99"/>
      <c r="Q11692" s="99"/>
      <c r="R11692" s="99"/>
    </row>
    <row r="11693" spans="5:18" s="65" customFormat="1">
      <c r="E11693" s="130"/>
      <c r="P11693" s="99"/>
      <c r="Q11693" s="99"/>
      <c r="R11693" s="99"/>
    </row>
    <row r="11694" spans="5:18" s="65" customFormat="1">
      <c r="E11694" s="130"/>
      <c r="P11694" s="99"/>
      <c r="Q11694" s="99"/>
      <c r="R11694" s="99"/>
    </row>
    <row r="11695" spans="5:18" s="65" customFormat="1">
      <c r="E11695" s="130"/>
      <c r="P11695" s="99"/>
      <c r="Q11695" s="99"/>
      <c r="R11695" s="99"/>
    </row>
    <row r="11696" spans="5:18" s="65" customFormat="1">
      <c r="E11696" s="130"/>
      <c r="P11696" s="99"/>
      <c r="Q11696" s="99"/>
      <c r="R11696" s="99"/>
    </row>
    <row r="11697" spans="5:18" s="65" customFormat="1">
      <c r="E11697" s="130"/>
      <c r="P11697" s="99"/>
      <c r="Q11697" s="99"/>
      <c r="R11697" s="99"/>
    </row>
    <row r="11698" spans="5:18" s="65" customFormat="1">
      <c r="E11698" s="130"/>
      <c r="P11698" s="99"/>
      <c r="Q11698" s="99"/>
      <c r="R11698" s="99"/>
    </row>
    <row r="11699" spans="5:18" s="65" customFormat="1">
      <c r="E11699" s="130"/>
      <c r="P11699" s="99"/>
      <c r="Q11699" s="99"/>
      <c r="R11699" s="99"/>
    </row>
    <row r="11700" spans="5:18" s="65" customFormat="1">
      <c r="E11700" s="130"/>
      <c r="P11700" s="99"/>
      <c r="Q11700" s="99"/>
      <c r="R11700" s="99"/>
    </row>
    <row r="11701" spans="5:18" s="65" customFormat="1">
      <c r="E11701" s="130"/>
      <c r="P11701" s="99"/>
      <c r="Q11701" s="99"/>
      <c r="R11701" s="99"/>
    </row>
    <row r="11702" spans="5:18" s="65" customFormat="1">
      <c r="E11702" s="130"/>
      <c r="P11702" s="99"/>
      <c r="Q11702" s="99"/>
      <c r="R11702" s="99"/>
    </row>
    <row r="11703" spans="5:18" s="65" customFormat="1">
      <c r="E11703" s="130"/>
      <c r="P11703" s="99"/>
      <c r="Q11703" s="99"/>
      <c r="R11703" s="99"/>
    </row>
    <row r="11704" spans="5:18" s="65" customFormat="1">
      <c r="E11704" s="130"/>
      <c r="P11704" s="99"/>
      <c r="Q11704" s="99"/>
      <c r="R11704" s="99"/>
    </row>
    <row r="11705" spans="5:18" s="65" customFormat="1">
      <c r="E11705" s="130"/>
      <c r="P11705" s="99"/>
      <c r="Q11705" s="99"/>
      <c r="R11705" s="99"/>
    </row>
    <row r="11706" spans="5:18" s="65" customFormat="1">
      <c r="E11706" s="130"/>
      <c r="P11706" s="99"/>
      <c r="Q11706" s="99"/>
      <c r="R11706" s="99"/>
    </row>
    <row r="11707" spans="5:18" s="65" customFormat="1">
      <c r="E11707" s="130"/>
      <c r="P11707" s="99"/>
      <c r="Q11707" s="99"/>
      <c r="R11707" s="99"/>
    </row>
    <row r="11708" spans="5:18" s="65" customFormat="1">
      <c r="E11708" s="130"/>
      <c r="P11708" s="99"/>
      <c r="Q11708" s="99"/>
      <c r="R11708" s="99"/>
    </row>
    <row r="11709" spans="5:18" s="65" customFormat="1">
      <c r="E11709" s="130"/>
      <c r="P11709" s="99"/>
      <c r="Q11709" s="99"/>
      <c r="R11709" s="99"/>
    </row>
    <row r="11710" spans="5:18" s="65" customFormat="1">
      <c r="E11710" s="130"/>
      <c r="P11710" s="99"/>
      <c r="Q11710" s="99"/>
      <c r="R11710" s="99"/>
    </row>
    <row r="11711" spans="5:18" s="65" customFormat="1">
      <c r="E11711" s="130"/>
      <c r="P11711" s="99"/>
      <c r="Q11711" s="99"/>
      <c r="R11711" s="99"/>
    </row>
    <row r="11712" spans="5:18" s="65" customFormat="1">
      <c r="E11712" s="130"/>
      <c r="P11712" s="99"/>
      <c r="Q11712" s="99"/>
      <c r="R11712" s="99"/>
    </row>
    <row r="11713" spans="5:18" s="65" customFormat="1">
      <c r="E11713" s="130"/>
      <c r="P11713" s="99"/>
      <c r="Q11713" s="99"/>
      <c r="R11713" s="99"/>
    </row>
    <row r="11714" spans="5:18" s="65" customFormat="1">
      <c r="E11714" s="130"/>
      <c r="P11714" s="99"/>
      <c r="Q11714" s="99"/>
      <c r="R11714" s="99"/>
    </row>
    <row r="11715" spans="5:18" s="65" customFormat="1">
      <c r="E11715" s="130"/>
      <c r="P11715" s="99"/>
      <c r="Q11715" s="99"/>
      <c r="R11715" s="99"/>
    </row>
    <row r="11716" spans="5:18" s="65" customFormat="1">
      <c r="E11716" s="130"/>
      <c r="P11716" s="99"/>
      <c r="Q11716" s="99"/>
      <c r="R11716" s="99"/>
    </row>
    <row r="11717" spans="5:18" s="65" customFormat="1">
      <c r="E11717" s="130"/>
      <c r="P11717" s="99"/>
      <c r="Q11717" s="99"/>
      <c r="R11717" s="99"/>
    </row>
    <row r="11718" spans="5:18" s="65" customFormat="1">
      <c r="E11718" s="130"/>
      <c r="P11718" s="99"/>
      <c r="Q11718" s="99"/>
      <c r="R11718" s="99"/>
    </row>
    <row r="11719" spans="5:18" s="65" customFormat="1">
      <c r="E11719" s="130"/>
      <c r="P11719" s="99"/>
      <c r="Q11719" s="99"/>
      <c r="R11719" s="99"/>
    </row>
    <row r="11720" spans="5:18" s="65" customFormat="1">
      <c r="E11720" s="130"/>
      <c r="P11720" s="99"/>
      <c r="Q11720" s="99"/>
      <c r="R11720" s="99"/>
    </row>
    <row r="11721" spans="5:18" s="65" customFormat="1">
      <c r="E11721" s="130"/>
      <c r="P11721" s="99"/>
      <c r="Q11721" s="99"/>
      <c r="R11721" s="99"/>
    </row>
    <row r="11722" spans="5:18" s="65" customFormat="1">
      <c r="E11722" s="130"/>
      <c r="P11722" s="99"/>
      <c r="Q11722" s="99"/>
      <c r="R11722" s="99"/>
    </row>
    <row r="11723" spans="5:18" s="65" customFormat="1">
      <c r="E11723" s="130"/>
      <c r="P11723" s="99"/>
      <c r="Q11723" s="99"/>
      <c r="R11723" s="99"/>
    </row>
    <row r="11724" spans="5:18" s="65" customFormat="1">
      <c r="E11724" s="130"/>
      <c r="P11724" s="99"/>
      <c r="Q11724" s="99"/>
      <c r="R11724" s="99"/>
    </row>
    <row r="11725" spans="5:18" s="65" customFormat="1">
      <c r="E11725" s="130"/>
      <c r="P11725" s="99"/>
      <c r="Q11725" s="99"/>
      <c r="R11725" s="99"/>
    </row>
    <row r="11726" spans="5:18" s="65" customFormat="1">
      <c r="E11726" s="130"/>
      <c r="P11726" s="99"/>
      <c r="Q11726" s="99"/>
      <c r="R11726" s="99"/>
    </row>
    <row r="11727" spans="5:18" s="65" customFormat="1">
      <c r="E11727" s="130"/>
      <c r="P11727" s="99"/>
      <c r="Q11727" s="99"/>
      <c r="R11727" s="99"/>
    </row>
    <row r="11728" spans="5:18" s="65" customFormat="1">
      <c r="E11728" s="130"/>
      <c r="P11728" s="99"/>
      <c r="Q11728" s="99"/>
      <c r="R11728" s="99"/>
    </row>
    <row r="11729" spans="5:18" s="65" customFormat="1">
      <c r="E11729" s="130"/>
      <c r="P11729" s="99"/>
      <c r="Q11729" s="99"/>
      <c r="R11729" s="99"/>
    </row>
    <row r="11730" spans="5:18" s="65" customFormat="1">
      <c r="E11730" s="130"/>
      <c r="P11730" s="99"/>
      <c r="Q11730" s="99"/>
      <c r="R11730" s="99"/>
    </row>
    <row r="11731" spans="5:18" s="65" customFormat="1">
      <c r="E11731" s="130"/>
      <c r="P11731" s="99"/>
      <c r="Q11731" s="99"/>
      <c r="R11731" s="99"/>
    </row>
    <row r="11732" spans="5:18" s="65" customFormat="1">
      <c r="E11732" s="130"/>
      <c r="P11732" s="99"/>
      <c r="Q11732" s="99"/>
      <c r="R11732" s="99"/>
    </row>
    <row r="11733" spans="5:18" s="65" customFormat="1">
      <c r="E11733" s="130"/>
      <c r="P11733" s="99"/>
      <c r="Q11733" s="99"/>
      <c r="R11733" s="99"/>
    </row>
    <row r="11734" spans="5:18" s="65" customFormat="1">
      <c r="E11734" s="130"/>
      <c r="P11734" s="99"/>
      <c r="Q11734" s="99"/>
      <c r="R11734" s="99"/>
    </row>
    <row r="11735" spans="5:18" s="65" customFormat="1">
      <c r="E11735" s="130"/>
      <c r="P11735" s="99"/>
      <c r="Q11735" s="99"/>
      <c r="R11735" s="99"/>
    </row>
    <row r="11736" spans="5:18" s="65" customFormat="1">
      <c r="E11736" s="130"/>
      <c r="P11736" s="99"/>
      <c r="Q11736" s="99"/>
      <c r="R11736" s="99"/>
    </row>
    <row r="11737" spans="5:18" s="65" customFormat="1">
      <c r="E11737" s="130"/>
      <c r="P11737" s="99"/>
      <c r="Q11737" s="99"/>
      <c r="R11737" s="99"/>
    </row>
    <row r="11738" spans="5:18" s="65" customFormat="1">
      <c r="E11738" s="130"/>
      <c r="P11738" s="99"/>
      <c r="Q11738" s="99"/>
      <c r="R11738" s="99"/>
    </row>
    <row r="11739" spans="5:18" s="65" customFormat="1">
      <c r="E11739" s="130"/>
      <c r="P11739" s="99"/>
      <c r="Q11739" s="99"/>
      <c r="R11739" s="99"/>
    </row>
    <row r="11740" spans="5:18" s="65" customFormat="1">
      <c r="E11740" s="130"/>
      <c r="P11740" s="99"/>
      <c r="Q11740" s="99"/>
      <c r="R11740" s="99"/>
    </row>
    <row r="11741" spans="5:18" s="65" customFormat="1">
      <c r="E11741" s="130"/>
      <c r="P11741" s="99"/>
      <c r="Q11741" s="99"/>
      <c r="R11741" s="99"/>
    </row>
    <row r="11742" spans="5:18" s="65" customFormat="1">
      <c r="E11742" s="130"/>
      <c r="P11742" s="99"/>
      <c r="Q11742" s="99"/>
      <c r="R11742" s="99"/>
    </row>
    <row r="11743" spans="5:18" s="65" customFormat="1">
      <c r="E11743" s="130"/>
      <c r="P11743" s="99"/>
      <c r="Q11743" s="99"/>
      <c r="R11743" s="99"/>
    </row>
    <row r="11744" spans="5:18" s="65" customFormat="1">
      <c r="E11744" s="130"/>
      <c r="P11744" s="99"/>
      <c r="Q11744" s="99"/>
      <c r="R11744" s="99"/>
    </row>
    <row r="11745" spans="5:18" s="65" customFormat="1">
      <c r="E11745" s="130"/>
      <c r="P11745" s="99"/>
      <c r="Q11745" s="99"/>
      <c r="R11745" s="99"/>
    </row>
    <row r="11746" spans="5:18" s="65" customFormat="1">
      <c r="E11746" s="130"/>
      <c r="P11746" s="99"/>
      <c r="Q11746" s="99"/>
      <c r="R11746" s="99"/>
    </row>
    <row r="11747" spans="5:18" s="65" customFormat="1">
      <c r="E11747" s="130"/>
      <c r="P11747" s="99"/>
      <c r="Q11747" s="99"/>
      <c r="R11747" s="99"/>
    </row>
    <row r="11748" spans="5:18" s="65" customFormat="1">
      <c r="E11748" s="130"/>
      <c r="P11748" s="99"/>
      <c r="Q11748" s="99"/>
      <c r="R11748" s="99"/>
    </row>
    <row r="11749" spans="5:18" s="65" customFormat="1">
      <c r="E11749" s="130"/>
      <c r="P11749" s="99"/>
      <c r="Q11749" s="99"/>
      <c r="R11749" s="99"/>
    </row>
    <row r="11750" spans="5:18" s="65" customFormat="1">
      <c r="E11750" s="130"/>
      <c r="P11750" s="99"/>
      <c r="Q11750" s="99"/>
      <c r="R11750" s="99"/>
    </row>
    <row r="11751" spans="5:18" s="65" customFormat="1">
      <c r="E11751" s="130"/>
      <c r="P11751" s="99"/>
      <c r="Q11751" s="99"/>
      <c r="R11751" s="99"/>
    </row>
    <row r="11752" spans="5:18" s="65" customFormat="1">
      <c r="E11752" s="130"/>
      <c r="P11752" s="99"/>
      <c r="Q11752" s="99"/>
      <c r="R11752" s="99"/>
    </row>
    <row r="11753" spans="5:18" s="65" customFormat="1">
      <c r="E11753" s="130"/>
      <c r="P11753" s="99"/>
      <c r="Q11753" s="99"/>
      <c r="R11753" s="99"/>
    </row>
    <row r="11754" spans="5:18" s="65" customFormat="1">
      <c r="E11754" s="130"/>
      <c r="P11754" s="99"/>
      <c r="Q11754" s="99"/>
      <c r="R11754" s="99"/>
    </row>
    <row r="11755" spans="5:18" s="65" customFormat="1">
      <c r="E11755" s="130"/>
      <c r="P11755" s="99"/>
      <c r="Q11755" s="99"/>
      <c r="R11755" s="99"/>
    </row>
    <row r="11756" spans="5:18" s="65" customFormat="1">
      <c r="E11756" s="130"/>
      <c r="P11756" s="99"/>
      <c r="Q11756" s="99"/>
      <c r="R11756" s="99"/>
    </row>
    <row r="11757" spans="5:18" s="65" customFormat="1">
      <c r="E11757" s="130"/>
      <c r="P11757" s="99"/>
      <c r="Q11757" s="99"/>
      <c r="R11757" s="99"/>
    </row>
    <row r="11758" spans="5:18" s="65" customFormat="1">
      <c r="E11758" s="130"/>
      <c r="P11758" s="99"/>
      <c r="Q11758" s="99"/>
      <c r="R11758" s="99"/>
    </row>
    <row r="11759" spans="5:18" s="65" customFormat="1">
      <c r="E11759" s="130"/>
      <c r="P11759" s="99"/>
      <c r="Q11759" s="99"/>
      <c r="R11759" s="99"/>
    </row>
    <row r="11760" spans="5:18" s="65" customFormat="1">
      <c r="E11760" s="130"/>
      <c r="P11760" s="99"/>
      <c r="Q11760" s="99"/>
      <c r="R11760" s="99"/>
    </row>
    <row r="11761" spans="5:18" s="65" customFormat="1">
      <c r="E11761" s="130"/>
      <c r="P11761" s="99"/>
      <c r="Q11761" s="99"/>
      <c r="R11761" s="99"/>
    </row>
    <row r="11762" spans="5:18" s="65" customFormat="1">
      <c r="E11762" s="130"/>
      <c r="P11762" s="99"/>
      <c r="Q11762" s="99"/>
      <c r="R11762" s="99"/>
    </row>
    <row r="11763" spans="5:18" s="65" customFormat="1">
      <c r="E11763" s="130"/>
      <c r="P11763" s="99"/>
      <c r="Q11763" s="99"/>
      <c r="R11763" s="99"/>
    </row>
    <row r="11764" spans="5:18" s="65" customFormat="1">
      <c r="E11764" s="130"/>
      <c r="P11764" s="99"/>
      <c r="Q11764" s="99"/>
      <c r="R11764" s="99"/>
    </row>
    <row r="11765" spans="5:18" s="65" customFormat="1">
      <c r="E11765" s="130"/>
      <c r="P11765" s="99"/>
      <c r="Q11765" s="99"/>
      <c r="R11765" s="99"/>
    </row>
    <row r="11766" spans="5:18" s="65" customFormat="1">
      <c r="E11766" s="130"/>
      <c r="P11766" s="99"/>
      <c r="Q11766" s="99"/>
      <c r="R11766" s="99"/>
    </row>
    <row r="11767" spans="5:18" s="65" customFormat="1">
      <c r="E11767" s="130"/>
      <c r="P11767" s="99"/>
      <c r="Q11767" s="99"/>
      <c r="R11767" s="99"/>
    </row>
    <row r="11768" spans="5:18" s="65" customFormat="1">
      <c r="E11768" s="130"/>
      <c r="P11768" s="99"/>
      <c r="Q11768" s="99"/>
      <c r="R11768" s="99"/>
    </row>
    <row r="11769" spans="5:18" s="65" customFormat="1">
      <c r="E11769" s="130"/>
      <c r="P11769" s="99"/>
      <c r="Q11769" s="99"/>
      <c r="R11769" s="99"/>
    </row>
    <row r="11770" spans="5:18" s="65" customFormat="1">
      <c r="E11770" s="130"/>
      <c r="P11770" s="99"/>
      <c r="Q11770" s="99"/>
      <c r="R11770" s="99"/>
    </row>
    <row r="11771" spans="5:18" s="65" customFormat="1">
      <c r="E11771" s="130"/>
      <c r="P11771" s="99"/>
      <c r="Q11771" s="99"/>
      <c r="R11771" s="99"/>
    </row>
    <row r="11772" spans="5:18" s="65" customFormat="1">
      <c r="E11772" s="130"/>
      <c r="P11772" s="99"/>
      <c r="Q11772" s="99"/>
      <c r="R11772" s="99"/>
    </row>
    <row r="11773" spans="5:18" s="65" customFormat="1">
      <c r="E11773" s="130"/>
      <c r="P11773" s="99"/>
      <c r="Q11773" s="99"/>
      <c r="R11773" s="99"/>
    </row>
    <row r="11774" spans="5:18" s="65" customFormat="1">
      <c r="E11774" s="130"/>
      <c r="P11774" s="99"/>
      <c r="Q11774" s="99"/>
      <c r="R11774" s="99"/>
    </row>
    <row r="11775" spans="5:18" s="65" customFormat="1">
      <c r="E11775" s="130"/>
      <c r="P11775" s="99"/>
      <c r="Q11775" s="99"/>
      <c r="R11775" s="99"/>
    </row>
    <row r="11776" spans="5:18" s="65" customFormat="1">
      <c r="E11776" s="130"/>
      <c r="P11776" s="99"/>
      <c r="Q11776" s="99"/>
      <c r="R11776" s="99"/>
    </row>
    <row r="11777" spans="5:18" s="65" customFormat="1">
      <c r="E11777" s="130"/>
      <c r="P11777" s="99"/>
      <c r="Q11777" s="99"/>
      <c r="R11777" s="99"/>
    </row>
    <row r="11778" spans="5:18" s="65" customFormat="1">
      <c r="E11778" s="130"/>
      <c r="P11778" s="99"/>
      <c r="Q11778" s="99"/>
      <c r="R11778" s="99"/>
    </row>
    <row r="11779" spans="5:18" s="65" customFormat="1">
      <c r="E11779" s="130"/>
      <c r="P11779" s="99"/>
      <c r="Q11779" s="99"/>
      <c r="R11779" s="99"/>
    </row>
    <row r="11780" spans="5:18" s="65" customFormat="1">
      <c r="E11780" s="130"/>
      <c r="P11780" s="99"/>
      <c r="Q11780" s="99"/>
      <c r="R11780" s="99"/>
    </row>
    <row r="11781" spans="5:18" s="65" customFormat="1">
      <c r="E11781" s="130"/>
      <c r="P11781" s="99"/>
      <c r="Q11781" s="99"/>
      <c r="R11781" s="99"/>
    </row>
    <row r="11782" spans="5:18" s="65" customFormat="1">
      <c r="E11782" s="130"/>
      <c r="P11782" s="99"/>
      <c r="Q11782" s="99"/>
      <c r="R11782" s="99"/>
    </row>
    <row r="11783" spans="5:18" s="65" customFormat="1">
      <c r="E11783" s="130"/>
      <c r="P11783" s="99"/>
      <c r="Q11783" s="99"/>
      <c r="R11783" s="99"/>
    </row>
    <row r="11784" spans="5:18" s="65" customFormat="1">
      <c r="E11784" s="130"/>
      <c r="P11784" s="99"/>
      <c r="Q11784" s="99"/>
      <c r="R11784" s="99"/>
    </row>
    <row r="11785" spans="5:18" s="65" customFormat="1">
      <c r="E11785" s="130"/>
      <c r="P11785" s="99"/>
      <c r="Q11785" s="99"/>
      <c r="R11785" s="99"/>
    </row>
    <row r="11786" spans="5:18" s="65" customFormat="1">
      <c r="E11786" s="130"/>
      <c r="P11786" s="99"/>
      <c r="Q11786" s="99"/>
      <c r="R11786" s="99"/>
    </row>
    <row r="11787" spans="5:18" s="65" customFormat="1">
      <c r="E11787" s="130"/>
      <c r="P11787" s="99"/>
      <c r="Q11787" s="99"/>
      <c r="R11787" s="99"/>
    </row>
    <row r="11788" spans="5:18" s="65" customFormat="1">
      <c r="E11788" s="130"/>
      <c r="P11788" s="99"/>
      <c r="Q11788" s="99"/>
      <c r="R11788" s="99"/>
    </row>
    <row r="11789" spans="5:18" s="65" customFormat="1">
      <c r="E11789" s="130"/>
      <c r="P11789" s="99"/>
      <c r="Q11789" s="99"/>
      <c r="R11789" s="99"/>
    </row>
    <row r="11790" spans="5:18" s="65" customFormat="1">
      <c r="E11790" s="130"/>
      <c r="P11790" s="99"/>
      <c r="Q11790" s="99"/>
      <c r="R11790" s="99"/>
    </row>
    <row r="11791" spans="5:18" s="65" customFormat="1">
      <c r="E11791" s="130"/>
      <c r="P11791" s="99"/>
      <c r="Q11791" s="99"/>
      <c r="R11791" s="99"/>
    </row>
    <row r="11792" spans="5:18" s="65" customFormat="1">
      <c r="E11792" s="130"/>
      <c r="P11792" s="99"/>
      <c r="Q11792" s="99"/>
      <c r="R11792" s="99"/>
    </row>
    <row r="11793" spans="5:18" s="65" customFormat="1">
      <c r="E11793" s="130"/>
      <c r="P11793" s="99"/>
      <c r="Q11793" s="99"/>
      <c r="R11793" s="99"/>
    </row>
    <row r="11794" spans="5:18" s="65" customFormat="1">
      <c r="E11794" s="130"/>
      <c r="P11794" s="99"/>
      <c r="Q11794" s="99"/>
      <c r="R11794" s="99"/>
    </row>
    <row r="11795" spans="5:18" s="65" customFormat="1">
      <c r="E11795" s="130"/>
      <c r="P11795" s="99"/>
      <c r="Q11795" s="99"/>
      <c r="R11795" s="99"/>
    </row>
    <row r="11796" spans="5:18" s="65" customFormat="1">
      <c r="E11796" s="130"/>
      <c r="P11796" s="99"/>
      <c r="Q11796" s="99"/>
      <c r="R11796" s="99"/>
    </row>
    <row r="11797" spans="5:18" s="65" customFormat="1">
      <c r="E11797" s="130"/>
      <c r="P11797" s="99"/>
      <c r="Q11797" s="99"/>
      <c r="R11797" s="99"/>
    </row>
    <row r="11798" spans="5:18" s="65" customFormat="1">
      <c r="E11798" s="130"/>
      <c r="P11798" s="99"/>
      <c r="Q11798" s="99"/>
      <c r="R11798" s="99"/>
    </row>
    <row r="11799" spans="5:18" s="65" customFormat="1">
      <c r="E11799" s="130"/>
      <c r="P11799" s="99"/>
      <c r="Q11799" s="99"/>
      <c r="R11799" s="99"/>
    </row>
    <row r="11800" spans="5:18" s="65" customFormat="1">
      <c r="E11800" s="130"/>
      <c r="P11800" s="99"/>
      <c r="Q11800" s="99"/>
      <c r="R11800" s="99"/>
    </row>
    <row r="11801" spans="5:18" s="65" customFormat="1">
      <c r="E11801" s="130"/>
      <c r="P11801" s="99"/>
      <c r="Q11801" s="99"/>
      <c r="R11801" s="99"/>
    </row>
    <row r="11802" spans="5:18" s="65" customFormat="1">
      <c r="E11802" s="130"/>
      <c r="P11802" s="99"/>
      <c r="Q11802" s="99"/>
      <c r="R11802" s="99"/>
    </row>
    <row r="11803" spans="5:18" s="65" customFormat="1">
      <c r="E11803" s="130"/>
      <c r="P11803" s="99"/>
      <c r="Q11803" s="99"/>
      <c r="R11803" s="99"/>
    </row>
    <row r="11804" spans="5:18" s="65" customFormat="1">
      <c r="E11804" s="130"/>
      <c r="P11804" s="99"/>
      <c r="Q11804" s="99"/>
      <c r="R11804" s="99"/>
    </row>
    <row r="11805" spans="5:18" s="65" customFormat="1">
      <c r="E11805" s="130"/>
      <c r="P11805" s="99"/>
      <c r="Q11805" s="99"/>
      <c r="R11805" s="99"/>
    </row>
    <row r="11806" spans="5:18" s="65" customFormat="1">
      <c r="E11806" s="130"/>
      <c r="P11806" s="99"/>
      <c r="Q11806" s="99"/>
      <c r="R11806" s="99"/>
    </row>
    <row r="11807" spans="5:18" s="65" customFormat="1">
      <c r="E11807" s="130"/>
      <c r="P11807" s="99"/>
      <c r="Q11807" s="99"/>
      <c r="R11807" s="99"/>
    </row>
    <row r="11808" spans="5:18" s="65" customFormat="1">
      <c r="E11808" s="130"/>
      <c r="P11808" s="99"/>
      <c r="Q11808" s="99"/>
      <c r="R11808" s="99"/>
    </row>
    <row r="11809" spans="5:18" s="65" customFormat="1">
      <c r="E11809" s="130"/>
      <c r="P11809" s="99"/>
      <c r="Q11809" s="99"/>
      <c r="R11809" s="99"/>
    </row>
    <row r="11810" spans="5:18" s="65" customFormat="1">
      <c r="E11810" s="130"/>
      <c r="P11810" s="99"/>
      <c r="Q11810" s="99"/>
      <c r="R11810" s="99"/>
    </row>
    <row r="11811" spans="5:18" s="65" customFormat="1">
      <c r="E11811" s="130"/>
      <c r="P11811" s="99"/>
      <c r="Q11811" s="99"/>
      <c r="R11811" s="99"/>
    </row>
    <row r="11812" spans="5:18" s="65" customFormat="1">
      <c r="E11812" s="130"/>
      <c r="P11812" s="99"/>
      <c r="Q11812" s="99"/>
      <c r="R11812" s="99"/>
    </row>
    <row r="11813" spans="5:18" s="65" customFormat="1">
      <c r="E11813" s="130"/>
      <c r="P11813" s="99"/>
      <c r="Q11813" s="99"/>
      <c r="R11813" s="99"/>
    </row>
    <row r="11814" spans="5:18" s="65" customFormat="1">
      <c r="E11814" s="130"/>
      <c r="P11814" s="99"/>
      <c r="Q11814" s="99"/>
      <c r="R11814" s="99"/>
    </row>
    <row r="11815" spans="5:18" s="65" customFormat="1">
      <c r="E11815" s="130"/>
      <c r="P11815" s="99"/>
      <c r="Q11815" s="99"/>
      <c r="R11815" s="99"/>
    </row>
    <row r="11816" spans="5:18" s="65" customFormat="1">
      <c r="E11816" s="130"/>
      <c r="P11816" s="99"/>
      <c r="Q11816" s="99"/>
      <c r="R11816" s="99"/>
    </row>
    <row r="11817" spans="5:18" s="65" customFormat="1">
      <c r="E11817" s="130"/>
      <c r="P11817" s="99"/>
      <c r="Q11817" s="99"/>
      <c r="R11817" s="99"/>
    </row>
    <row r="11818" spans="5:18" s="65" customFormat="1">
      <c r="E11818" s="130"/>
      <c r="P11818" s="99"/>
      <c r="Q11818" s="99"/>
      <c r="R11818" s="99"/>
    </row>
    <row r="11819" spans="5:18" s="65" customFormat="1">
      <c r="E11819" s="130"/>
      <c r="P11819" s="99"/>
      <c r="Q11819" s="99"/>
      <c r="R11819" s="99"/>
    </row>
    <row r="11820" spans="5:18" s="65" customFormat="1">
      <c r="E11820" s="130"/>
      <c r="P11820" s="99"/>
      <c r="Q11820" s="99"/>
      <c r="R11820" s="99"/>
    </row>
    <row r="11821" spans="5:18" s="65" customFormat="1">
      <c r="E11821" s="130"/>
      <c r="P11821" s="99"/>
      <c r="Q11821" s="99"/>
      <c r="R11821" s="99"/>
    </row>
    <row r="11822" spans="5:18" s="65" customFormat="1">
      <c r="E11822" s="130"/>
      <c r="P11822" s="99"/>
      <c r="Q11822" s="99"/>
      <c r="R11822" s="99"/>
    </row>
    <row r="11823" spans="5:18" s="65" customFormat="1">
      <c r="E11823" s="130"/>
      <c r="P11823" s="99"/>
      <c r="Q11823" s="99"/>
      <c r="R11823" s="99"/>
    </row>
    <row r="11824" spans="5:18" s="65" customFormat="1">
      <c r="E11824" s="130"/>
      <c r="P11824" s="99"/>
      <c r="Q11824" s="99"/>
      <c r="R11824" s="99"/>
    </row>
    <row r="11825" spans="5:18" s="65" customFormat="1">
      <c r="E11825" s="130"/>
      <c r="P11825" s="99"/>
      <c r="Q11825" s="99"/>
      <c r="R11825" s="99"/>
    </row>
    <row r="11826" spans="5:18" s="65" customFormat="1">
      <c r="E11826" s="130"/>
      <c r="P11826" s="99"/>
      <c r="Q11826" s="99"/>
      <c r="R11826" s="99"/>
    </row>
    <row r="11827" spans="5:18" s="65" customFormat="1">
      <c r="E11827" s="130"/>
      <c r="P11827" s="99"/>
      <c r="Q11827" s="99"/>
      <c r="R11827" s="99"/>
    </row>
    <row r="11828" spans="5:18" s="65" customFormat="1">
      <c r="E11828" s="130"/>
      <c r="P11828" s="99"/>
      <c r="Q11828" s="99"/>
      <c r="R11828" s="99"/>
    </row>
    <row r="11829" spans="5:18" s="65" customFormat="1">
      <c r="E11829" s="130"/>
      <c r="P11829" s="99"/>
      <c r="Q11829" s="99"/>
      <c r="R11829" s="99"/>
    </row>
    <row r="11830" spans="5:18" s="65" customFormat="1">
      <c r="E11830" s="130"/>
      <c r="P11830" s="99"/>
      <c r="Q11830" s="99"/>
      <c r="R11830" s="99"/>
    </row>
    <row r="11831" spans="5:18" s="65" customFormat="1">
      <c r="E11831" s="130"/>
      <c r="P11831" s="99"/>
      <c r="Q11831" s="99"/>
      <c r="R11831" s="99"/>
    </row>
    <row r="11832" spans="5:18" s="65" customFormat="1">
      <c r="E11832" s="130"/>
      <c r="P11832" s="99"/>
      <c r="Q11832" s="99"/>
      <c r="R11832" s="99"/>
    </row>
    <row r="11833" spans="5:18" s="65" customFormat="1">
      <c r="E11833" s="130"/>
      <c r="P11833" s="99"/>
      <c r="Q11833" s="99"/>
      <c r="R11833" s="99"/>
    </row>
    <row r="11834" spans="5:18" s="65" customFormat="1">
      <c r="E11834" s="130"/>
      <c r="P11834" s="99"/>
      <c r="Q11834" s="99"/>
      <c r="R11834" s="99"/>
    </row>
    <row r="11835" spans="5:18" s="65" customFormat="1">
      <c r="E11835" s="130"/>
      <c r="P11835" s="99"/>
      <c r="Q11835" s="99"/>
      <c r="R11835" s="99"/>
    </row>
    <row r="11836" spans="5:18" s="65" customFormat="1">
      <c r="E11836" s="130"/>
      <c r="P11836" s="99"/>
      <c r="Q11836" s="99"/>
      <c r="R11836" s="99"/>
    </row>
    <row r="11837" spans="5:18" s="65" customFormat="1">
      <c r="E11837" s="130"/>
      <c r="P11837" s="99"/>
      <c r="Q11837" s="99"/>
      <c r="R11837" s="99"/>
    </row>
    <row r="11838" spans="5:18" s="65" customFormat="1">
      <c r="E11838" s="130"/>
      <c r="P11838" s="99"/>
      <c r="Q11838" s="99"/>
      <c r="R11838" s="99"/>
    </row>
    <row r="11839" spans="5:18" s="65" customFormat="1">
      <c r="E11839" s="130"/>
      <c r="P11839" s="99"/>
      <c r="Q11839" s="99"/>
      <c r="R11839" s="99"/>
    </row>
    <row r="11840" spans="5:18" s="65" customFormat="1">
      <c r="E11840" s="130"/>
      <c r="P11840" s="99"/>
      <c r="Q11840" s="99"/>
      <c r="R11840" s="99"/>
    </row>
    <row r="11841" spans="5:18" s="65" customFormat="1">
      <c r="E11841" s="130"/>
      <c r="P11841" s="99"/>
      <c r="Q11841" s="99"/>
      <c r="R11841" s="99"/>
    </row>
    <row r="11842" spans="5:18" s="65" customFormat="1">
      <c r="E11842" s="130"/>
      <c r="P11842" s="99"/>
      <c r="Q11842" s="99"/>
      <c r="R11842" s="99"/>
    </row>
    <row r="11843" spans="5:18" s="65" customFormat="1">
      <c r="E11843" s="130"/>
      <c r="P11843" s="99"/>
      <c r="Q11843" s="99"/>
      <c r="R11843" s="99"/>
    </row>
    <row r="11844" spans="5:18" s="65" customFormat="1">
      <c r="E11844" s="130"/>
      <c r="P11844" s="99"/>
      <c r="Q11844" s="99"/>
      <c r="R11844" s="99"/>
    </row>
    <row r="11845" spans="5:18" s="65" customFormat="1">
      <c r="E11845" s="130"/>
      <c r="P11845" s="99"/>
      <c r="Q11845" s="99"/>
      <c r="R11845" s="99"/>
    </row>
    <row r="11846" spans="5:18" s="65" customFormat="1">
      <c r="E11846" s="130"/>
      <c r="P11846" s="99"/>
      <c r="Q11846" s="99"/>
      <c r="R11846" s="99"/>
    </row>
    <row r="11847" spans="5:18" s="65" customFormat="1">
      <c r="E11847" s="130"/>
      <c r="P11847" s="99"/>
      <c r="Q11847" s="99"/>
      <c r="R11847" s="99"/>
    </row>
    <row r="11848" spans="5:18" s="65" customFormat="1">
      <c r="E11848" s="130"/>
      <c r="P11848" s="99"/>
      <c r="Q11848" s="99"/>
      <c r="R11848" s="99"/>
    </row>
    <row r="11849" spans="5:18" s="65" customFormat="1">
      <c r="E11849" s="130"/>
      <c r="P11849" s="99"/>
      <c r="Q11849" s="99"/>
      <c r="R11849" s="99"/>
    </row>
    <row r="11850" spans="5:18" s="65" customFormat="1">
      <c r="E11850" s="130"/>
      <c r="P11850" s="99"/>
      <c r="Q11850" s="99"/>
      <c r="R11850" s="99"/>
    </row>
    <row r="11851" spans="5:18" s="65" customFormat="1">
      <c r="E11851" s="130"/>
      <c r="P11851" s="99"/>
      <c r="Q11851" s="99"/>
      <c r="R11851" s="99"/>
    </row>
    <row r="11852" spans="5:18" s="65" customFormat="1">
      <c r="E11852" s="130"/>
      <c r="P11852" s="99"/>
      <c r="Q11852" s="99"/>
      <c r="R11852" s="99"/>
    </row>
    <row r="11853" spans="5:18" s="65" customFormat="1">
      <c r="E11853" s="130"/>
      <c r="P11853" s="99"/>
      <c r="Q11853" s="99"/>
      <c r="R11853" s="99"/>
    </row>
    <row r="11854" spans="5:18" s="65" customFormat="1">
      <c r="E11854" s="130"/>
      <c r="P11854" s="99"/>
      <c r="Q11854" s="99"/>
      <c r="R11854" s="99"/>
    </row>
    <row r="11855" spans="5:18" s="65" customFormat="1">
      <c r="E11855" s="130"/>
      <c r="P11855" s="99"/>
      <c r="Q11855" s="99"/>
      <c r="R11855" s="99"/>
    </row>
    <row r="11856" spans="5:18" s="65" customFormat="1">
      <c r="E11856" s="130"/>
      <c r="P11856" s="99"/>
      <c r="Q11856" s="99"/>
      <c r="R11856" s="99"/>
    </row>
    <row r="11857" spans="5:18" s="65" customFormat="1">
      <c r="E11857" s="130"/>
      <c r="P11857" s="99"/>
      <c r="Q11857" s="99"/>
      <c r="R11857" s="99"/>
    </row>
    <row r="11858" spans="5:18" s="65" customFormat="1">
      <c r="E11858" s="130"/>
      <c r="P11858" s="99"/>
      <c r="Q11858" s="99"/>
      <c r="R11858" s="99"/>
    </row>
    <row r="11859" spans="5:18" s="65" customFormat="1">
      <c r="E11859" s="130"/>
      <c r="P11859" s="99"/>
      <c r="Q11859" s="99"/>
      <c r="R11859" s="99"/>
    </row>
    <row r="11860" spans="5:18" s="65" customFormat="1">
      <c r="E11860" s="130"/>
      <c r="P11860" s="99"/>
      <c r="Q11860" s="99"/>
      <c r="R11860" s="99"/>
    </row>
    <row r="11861" spans="5:18" s="65" customFormat="1">
      <c r="E11861" s="130"/>
      <c r="P11861" s="99"/>
      <c r="Q11861" s="99"/>
      <c r="R11861" s="99"/>
    </row>
    <row r="11862" spans="5:18" s="65" customFormat="1">
      <c r="E11862" s="130"/>
      <c r="P11862" s="99"/>
      <c r="Q11862" s="99"/>
      <c r="R11862" s="99"/>
    </row>
    <row r="11863" spans="5:18" s="65" customFormat="1">
      <c r="E11863" s="130"/>
      <c r="P11863" s="99"/>
      <c r="Q11863" s="99"/>
      <c r="R11863" s="99"/>
    </row>
    <row r="11864" spans="5:18" s="65" customFormat="1">
      <c r="E11864" s="130"/>
      <c r="P11864" s="99"/>
      <c r="Q11864" s="99"/>
      <c r="R11864" s="99"/>
    </row>
    <row r="11865" spans="5:18" s="65" customFormat="1">
      <c r="E11865" s="130"/>
      <c r="P11865" s="99"/>
      <c r="Q11865" s="99"/>
      <c r="R11865" s="99"/>
    </row>
    <row r="11866" spans="5:18" s="65" customFormat="1">
      <c r="E11866" s="130"/>
      <c r="P11866" s="99"/>
      <c r="Q11866" s="99"/>
      <c r="R11866" s="99"/>
    </row>
    <row r="11867" spans="5:18" s="65" customFormat="1">
      <c r="E11867" s="130"/>
      <c r="P11867" s="99"/>
      <c r="Q11867" s="99"/>
      <c r="R11867" s="99"/>
    </row>
    <row r="11868" spans="5:18" s="65" customFormat="1">
      <c r="E11868" s="130"/>
      <c r="P11868" s="99"/>
      <c r="Q11868" s="99"/>
      <c r="R11868" s="99"/>
    </row>
    <row r="11869" spans="5:18" s="65" customFormat="1">
      <c r="E11869" s="130"/>
      <c r="P11869" s="99"/>
      <c r="Q11869" s="99"/>
      <c r="R11869" s="99"/>
    </row>
    <row r="11870" spans="5:18" s="65" customFormat="1">
      <c r="E11870" s="130"/>
      <c r="P11870" s="99"/>
      <c r="Q11870" s="99"/>
      <c r="R11870" s="99"/>
    </row>
    <row r="11871" spans="5:18" s="65" customFormat="1">
      <c r="E11871" s="130"/>
      <c r="P11871" s="99"/>
      <c r="Q11871" s="99"/>
      <c r="R11871" s="99"/>
    </row>
    <row r="11872" spans="5:18" s="65" customFormat="1">
      <c r="E11872" s="130"/>
      <c r="P11872" s="99"/>
      <c r="Q11872" s="99"/>
      <c r="R11872" s="99"/>
    </row>
    <row r="11873" spans="5:18" s="65" customFormat="1">
      <c r="E11873" s="130"/>
      <c r="P11873" s="99"/>
      <c r="Q11873" s="99"/>
      <c r="R11873" s="99"/>
    </row>
    <row r="11874" spans="5:18" s="65" customFormat="1">
      <c r="E11874" s="130"/>
      <c r="P11874" s="99"/>
      <c r="Q11874" s="99"/>
      <c r="R11874" s="99"/>
    </row>
    <row r="11875" spans="5:18" s="65" customFormat="1">
      <c r="E11875" s="130"/>
      <c r="P11875" s="99"/>
      <c r="Q11875" s="99"/>
      <c r="R11875" s="99"/>
    </row>
    <row r="11876" spans="5:18" s="65" customFormat="1">
      <c r="E11876" s="130"/>
      <c r="P11876" s="99"/>
      <c r="Q11876" s="99"/>
      <c r="R11876" s="99"/>
    </row>
    <row r="11877" spans="5:18" s="65" customFormat="1">
      <c r="E11877" s="130"/>
      <c r="P11877" s="99"/>
      <c r="Q11877" s="99"/>
      <c r="R11877" s="99"/>
    </row>
    <row r="11878" spans="5:18" s="65" customFormat="1">
      <c r="E11878" s="130"/>
      <c r="P11878" s="99"/>
      <c r="Q11878" s="99"/>
      <c r="R11878" s="99"/>
    </row>
    <row r="11879" spans="5:18" s="65" customFormat="1">
      <c r="E11879" s="130"/>
      <c r="P11879" s="99"/>
      <c r="Q11879" s="99"/>
      <c r="R11879" s="99"/>
    </row>
    <row r="11880" spans="5:18" s="65" customFormat="1">
      <c r="E11880" s="130"/>
      <c r="P11880" s="99"/>
      <c r="Q11880" s="99"/>
      <c r="R11880" s="99"/>
    </row>
    <row r="11881" spans="5:18" s="65" customFormat="1">
      <c r="E11881" s="130"/>
      <c r="P11881" s="99"/>
      <c r="Q11881" s="99"/>
      <c r="R11881" s="99"/>
    </row>
    <row r="11882" spans="5:18" s="65" customFormat="1">
      <c r="E11882" s="130"/>
      <c r="P11882" s="99"/>
      <c r="Q11882" s="99"/>
      <c r="R11882" s="99"/>
    </row>
    <row r="11883" spans="5:18" s="65" customFormat="1">
      <c r="E11883" s="130"/>
      <c r="P11883" s="99"/>
      <c r="Q11883" s="99"/>
      <c r="R11883" s="99"/>
    </row>
    <row r="11884" spans="5:18" s="65" customFormat="1">
      <c r="E11884" s="130"/>
      <c r="P11884" s="99"/>
      <c r="Q11884" s="99"/>
      <c r="R11884" s="99"/>
    </row>
    <row r="11885" spans="5:18" s="65" customFormat="1">
      <c r="E11885" s="130"/>
      <c r="P11885" s="99"/>
      <c r="Q11885" s="99"/>
      <c r="R11885" s="99"/>
    </row>
    <row r="11886" spans="5:18" s="65" customFormat="1">
      <c r="E11886" s="130"/>
      <c r="P11886" s="99"/>
      <c r="Q11886" s="99"/>
      <c r="R11886" s="99"/>
    </row>
    <row r="11887" spans="5:18" s="65" customFormat="1">
      <c r="E11887" s="130"/>
      <c r="P11887" s="99"/>
      <c r="Q11887" s="99"/>
      <c r="R11887" s="99"/>
    </row>
    <row r="11888" spans="5:18" s="65" customFormat="1">
      <c r="E11888" s="130"/>
      <c r="P11888" s="99"/>
      <c r="Q11888" s="99"/>
      <c r="R11888" s="99"/>
    </row>
    <row r="11889" spans="5:18" s="65" customFormat="1">
      <c r="E11889" s="130"/>
      <c r="P11889" s="99"/>
      <c r="Q11889" s="99"/>
      <c r="R11889" s="99"/>
    </row>
    <row r="11890" spans="5:18" s="65" customFormat="1">
      <c r="E11890" s="130"/>
      <c r="P11890" s="99"/>
      <c r="Q11890" s="99"/>
      <c r="R11890" s="99"/>
    </row>
    <row r="11891" spans="5:18" s="65" customFormat="1">
      <c r="E11891" s="130"/>
      <c r="P11891" s="99"/>
      <c r="Q11891" s="99"/>
      <c r="R11891" s="99"/>
    </row>
    <row r="11892" spans="5:18" s="65" customFormat="1">
      <c r="E11892" s="130"/>
      <c r="P11892" s="99"/>
      <c r="Q11892" s="99"/>
      <c r="R11892" s="99"/>
    </row>
    <row r="11893" spans="5:18" s="65" customFormat="1">
      <c r="E11893" s="130"/>
      <c r="P11893" s="99"/>
      <c r="Q11893" s="99"/>
      <c r="R11893" s="99"/>
    </row>
    <row r="11894" spans="5:18" s="65" customFormat="1">
      <c r="E11894" s="130"/>
      <c r="P11894" s="99"/>
      <c r="Q11894" s="99"/>
      <c r="R11894" s="99"/>
    </row>
    <row r="11895" spans="5:18" s="65" customFormat="1">
      <c r="E11895" s="130"/>
      <c r="P11895" s="99"/>
      <c r="Q11895" s="99"/>
      <c r="R11895" s="99"/>
    </row>
    <row r="11896" spans="5:18" s="65" customFormat="1">
      <c r="E11896" s="130"/>
      <c r="P11896" s="99"/>
      <c r="Q11896" s="99"/>
      <c r="R11896" s="99"/>
    </row>
    <row r="11897" spans="5:18" s="65" customFormat="1">
      <c r="E11897" s="130"/>
      <c r="P11897" s="99"/>
      <c r="Q11897" s="99"/>
      <c r="R11897" s="99"/>
    </row>
    <row r="11898" spans="5:18" s="65" customFormat="1">
      <c r="E11898" s="130"/>
      <c r="P11898" s="99"/>
      <c r="Q11898" s="99"/>
      <c r="R11898" s="99"/>
    </row>
    <row r="11899" spans="5:18" s="65" customFormat="1">
      <c r="E11899" s="130"/>
      <c r="P11899" s="99"/>
      <c r="Q11899" s="99"/>
      <c r="R11899" s="99"/>
    </row>
    <row r="11900" spans="5:18" s="65" customFormat="1">
      <c r="E11900" s="130"/>
      <c r="P11900" s="99"/>
      <c r="Q11900" s="99"/>
      <c r="R11900" s="99"/>
    </row>
    <row r="11901" spans="5:18" s="65" customFormat="1">
      <c r="E11901" s="130"/>
      <c r="P11901" s="99"/>
      <c r="Q11901" s="99"/>
      <c r="R11901" s="99"/>
    </row>
    <row r="11902" spans="5:18" s="65" customFormat="1">
      <c r="E11902" s="130"/>
      <c r="P11902" s="99"/>
      <c r="Q11902" s="99"/>
      <c r="R11902" s="99"/>
    </row>
    <row r="11903" spans="5:18" s="65" customFormat="1">
      <c r="E11903" s="130"/>
      <c r="P11903" s="99"/>
      <c r="Q11903" s="99"/>
      <c r="R11903" s="99"/>
    </row>
    <row r="11904" spans="5:18" s="65" customFormat="1">
      <c r="E11904" s="130"/>
      <c r="P11904" s="99"/>
      <c r="Q11904" s="99"/>
      <c r="R11904" s="99"/>
    </row>
    <row r="11905" spans="5:18" s="65" customFormat="1">
      <c r="E11905" s="130"/>
      <c r="P11905" s="99"/>
      <c r="Q11905" s="99"/>
      <c r="R11905" s="99"/>
    </row>
    <row r="11906" spans="5:18" s="65" customFormat="1">
      <c r="E11906" s="130"/>
      <c r="P11906" s="99"/>
      <c r="Q11906" s="99"/>
      <c r="R11906" s="99"/>
    </row>
    <row r="11907" spans="5:18" s="65" customFormat="1">
      <c r="E11907" s="130"/>
      <c r="P11907" s="99"/>
      <c r="Q11907" s="99"/>
      <c r="R11907" s="99"/>
    </row>
    <row r="11908" spans="5:18" s="65" customFormat="1">
      <c r="E11908" s="130"/>
      <c r="P11908" s="99"/>
      <c r="Q11908" s="99"/>
      <c r="R11908" s="99"/>
    </row>
    <row r="11909" spans="5:18" s="65" customFormat="1">
      <c r="E11909" s="130"/>
      <c r="P11909" s="99"/>
      <c r="Q11909" s="99"/>
      <c r="R11909" s="99"/>
    </row>
    <row r="11910" spans="5:18" s="65" customFormat="1">
      <c r="E11910" s="130"/>
      <c r="P11910" s="99"/>
      <c r="Q11910" s="99"/>
      <c r="R11910" s="99"/>
    </row>
    <row r="11911" spans="5:18" s="65" customFormat="1">
      <c r="E11911" s="130"/>
      <c r="P11911" s="99"/>
      <c r="Q11911" s="99"/>
      <c r="R11911" s="99"/>
    </row>
    <row r="11912" spans="5:18" s="65" customFormat="1">
      <c r="E11912" s="130"/>
      <c r="P11912" s="99"/>
      <c r="Q11912" s="99"/>
      <c r="R11912" s="99"/>
    </row>
    <row r="11913" spans="5:18" s="65" customFormat="1">
      <c r="E11913" s="130"/>
      <c r="P11913" s="99"/>
      <c r="Q11913" s="99"/>
      <c r="R11913" s="99"/>
    </row>
    <row r="11914" spans="5:18" s="65" customFormat="1">
      <c r="E11914" s="130"/>
      <c r="P11914" s="99"/>
      <c r="Q11914" s="99"/>
      <c r="R11914" s="99"/>
    </row>
    <row r="11915" spans="5:18" s="65" customFormat="1">
      <c r="E11915" s="130"/>
      <c r="P11915" s="99"/>
      <c r="Q11915" s="99"/>
      <c r="R11915" s="99"/>
    </row>
    <row r="11916" spans="5:18" s="65" customFormat="1">
      <c r="E11916" s="130"/>
      <c r="P11916" s="99"/>
      <c r="Q11916" s="99"/>
      <c r="R11916" s="99"/>
    </row>
    <row r="11917" spans="5:18" s="65" customFormat="1">
      <c r="E11917" s="130"/>
      <c r="P11917" s="99"/>
      <c r="Q11917" s="99"/>
      <c r="R11917" s="99"/>
    </row>
    <row r="11918" spans="5:18" s="65" customFormat="1">
      <c r="E11918" s="130"/>
      <c r="P11918" s="99"/>
      <c r="Q11918" s="99"/>
      <c r="R11918" s="99"/>
    </row>
    <row r="11919" spans="5:18" s="65" customFormat="1">
      <c r="E11919" s="130"/>
      <c r="P11919" s="99"/>
      <c r="Q11919" s="99"/>
      <c r="R11919" s="99"/>
    </row>
    <row r="11920" spans="5:18" s="65" customFormat="1">
      <c r="E11920" s="130"/>
      <c r="P11920" s="99"/>
      <c r="Q11920" s="99"/>
      <c r="R11920" s="99"/>
    </row>
    <row r="11921" spans="5:18" s="65" customFormat="1">
      <c r="E11921" s="130"/>
      <c r="P11921" s="99"/>
      <c r="Q11921" s="99"/>
      <c r="R11921" s="99"/>
    </row>
    <row r="11922" spans="5:18" s="65" customFormat="1">
      <c r="E11922" s="130"/>
      <c r="P11922" s="99"/>
      <c r="Q11922" s="99"/>
      <c r="R11922" s="99"/>
    </row>
    <row r="11923" spans="5:18" s="65" customFormat="1">
      <c r="E11923" s="130"/>
      <c r="P11923" s="99"/>
      <c r="Q11923" s="99"/>
      <c r="R11923" s="99"/>
    </row>
    <row r="11924" spans="5:18" s="65" customFormat="1">
      <c r="E11924" s="130"/>
      <c r="P11924" s="99"/>
      <c r="Q11924" s="99"/>
      <c r="R11924" s="99"/>
    </row>
    <row r="11925" spans="5:18" s="65" customFormat="1">
      <c r="E11925" s="130"/>
      <c r="P11925" s="99"/>
      <c r="Q11925" s="99"/>
      <c r="R11925" s="99"/>
    </row>
    <row r="11926" spans="5:18" s="65" customFormat="1">
      <c r="E11926" s="130"/>
      <c r="P11926" s="99"/>
      <c r="Q11926" s="99"/>
      <c r="R11926" s="99"/>
    </row>
    <row r="11927" spans="5:18" s="65" customFormat="1">
      <c r="E11927" s="130"/>
      <c r="P11927" s="99"/>
      <c r="Q11927" s="99"/>
      <c r="R11927" s="99"/>
    </row>
    <row r="11928" spans="5:18" s="65" customFormat="1">
      <c r="E11928" s="130"/>
      <c r="P11928" s="99"/>
      <c r="Q11928" s="99"/>
      <c r="R11928" s="99"/>
    </row>
    <row r="11929" spans="5:18" s="65" customFormat="1">
      <c r="E11929" s="130"/>
      <c r="P11929" s="99"/>
      <c r="Q11929" s="99"/>
      <c r="R11929" s="99"/>
    </row>
    <row r="11930" spans="5:18" s="65" customFormat="1">
      <c r="E11930" s="130"/>
      <c r="P11930" s="99"/>
      <c r="Q11930" s="99"/>
      <c r="R11930" s="99"/>
    </row>
    <row r="11931" spans="5:18" s="65" customFormat="1">
      <c r="E11931" s="130"/>
      <c r="P11931" s="99"/>
      <c r="Q11931" s="99"/>
      <c r="R11931" s="99"/>
    </row>
    <row r="11932" spans="5:18" s="65" customFormat="1">
      <c r="E11932" s="130"/>
      <c r="P11932" s="99"/>
      <c r="Q11932" s="99"/>
      <c r="R11932" s="99"/>
    </row>
    <row r="11933" spans="5:18" s="65" customFormat="1">
      <c r="E11933" s="130"/>
      <c r="P11933" s="99"/>
      <c r="Q11933" s="99"/>
      <c r="R11933" s="99"/>
    </row>
    <row r="11934" spans="5:18" s="65" customFormat="1">
      <c r="E11934" s="130"/>
      <c r="P11934" s="99"/>
      <c r="Q11934" s="99"/>
      <c r="R11934" s="99"/>
    </row>
    <row r="11935" spans="5:18" s="65" customFormat="1">
      <c r="E11935" s="130"/>
      <c r="P11935" s="99"/>
      <c r="Q11935" s="99"/>
      <c r="R11935" s="99"/>
    </row>
    <row r="11936" spans="5:18" s="65" customFormat="1">
      <c r="E11936" s="130"/>
      <c r="P11936" s="99"/>
      <c r="Q11936" s="99"/>
      <c r="R11936" s="99"/>
    </row>
    <row r="11937" spans="5:18" s="65" customFormat="1">
      <c r="E11937" s="130"/>
      <c r="P11937" s="99"/>
      <c r="Q11937" s="99"/>
      <c r="R11937" s="99"/>
    </row>
    <row r="11938" spans="5:18" s="65" customFormat="1">
      <c r="E11938" s="130"/>
      <c r="P11938" s="99"/>
      <c r="Q11938" s="99"/>
      <c r="R11938" s="99"/>
    </row>
    <row r="11939" spans="5:18" s="65" customFormat="1">
      <c r="E11939" s="130"/>
      <c r="P11939" s="99"/>
      <c r="Q11939" s="99"/>
      <c r="R11939" s="99"/>
    </row>
    <row r="11940" spans="5:18" s="65" customFormat="1">
      <c r="E11940" s="130"/>
      <c r="P11940" s="99"/>
      <c r="Q11940" s="99"/>
      <c r="R11940" s="99"/>
    </row>
    <row r="11941" spans="5:18" s="65" customFormat="1">
      <c r="E11941" s="130"/>
      <c r="P11941" s="99"/>
      <c r="Q11941" s="99"/>
      <c r="R11941" s="99"/>
    </row>
    <row r="11942" spans="5:18" s="65" customFormat="1">
      <c r="E11942" s="130"/>
      <c r="P11942" s="99"/>
      <c r="Q11942" s="99"/>
      <c r="R11942" s="99"/>
    </row>
    <row r="11943" spans="5:18" s="65" customFormat="1">
      <c r="E11943" s="130"/>
      <c r="P11943" s="99"/>
      <c r="Q11943" s="99"/>
      <c r="R11943" s="99"/>
    </row>
    <row r="11944" spans="5:18" s="65" customFormat="1">
      <c r="E11944" s="130"/>
      <c r="P11944" s="99"/>
      <c r="Q11944" s="99"/>
      <c r="R11944" s="99"/>
    </row>
    <row r="11945" spans="5:18" s="65" customFormat="1">
      <c r="E11945" s="130"/>
      <c r="P11945" s="99"/>
      <c r="Q11945" s="99"/>
      <c r="R11945" s="99"/>
    </row>
    <row r="11946" spans="5:18" s="65" customFormat="1">
      <c r="E11946" s="130"/>
      <c r="P11946" s="99"/>
      <c r="Q11946" s="99"/>
      <c r="R11946" s="99"/>
    </row>
    <row r="11947" spans="5:18" s="65" customFormat="1">
      <c r="E11947" s="130"/>
      <c r="P11947" s="99"/>
      <c r="Q11947" s="99"/>
      <c r="R11947" s="99"/>
    </row>
    <row r="11948" spans="5:18" s="65" customFormat="1">
      <c r="E11948" s="130"/>
      <c r="P11948" s="99"/>
      <c r="Q11948" s="99"/>
      <c r="R11948" s="99"/>
    </row>
    <row r="11949" spans="5:18" s="65" customFormat="1">
      <c r="E11949" s="130"/>
      <c r="P11949" s="99"/>
      <c r="Q11949" s="99"/>
      <c r="R11949" s="99"/>
    </row>
    <row r="11950" spans="5:18" s="65" customFormat="1">
      <c r="E11950" s="130"/>
      <c r="P11950" s="99"/>
      <c r="Q11950" s="99"/>
      <c r="R11950" s="99"/>
    </row>
    <row r="11951" spans="5:18" s="65" customFormat="1">
      <c r="E11951" s="130"/>
      <c r="P11951" s="99"/>
      <c r="Q11951" s="99"/>
      <c r="R11951" s="99"/>
    </row>
    <row r="11952" spans="5:18" s="65" customFormat="1">
      <c r="E11952" s="130"/>
      <c r="P11952" s="99"/>
      <c r="Q11952" s="99"/>
      <c r="R11952" s="99"/>
    </row>
    <row r="11953" spans="5:18" s="65" customFormat="1">
      <c r="E11953" s="130"/>
      <c r="P11953" s="99"/>
      <c r="Q11953" s="99"/>
      <c r="R11953" s="99"/>
    </row>
    <row r="11954" spans="5:18" s="65" customFormat="1">
      <c r="E11954" s="130"/>
      <c r="P11954" s="99"/>
      <c r="Q11954" s="99"/>
      <c r="R11954" s="99"/>
    </row>
    <row r="11955" spans="5:18" s="65" customFormat="1">
      <c r="E11955" s="130"/>
      <c r="P11955" s="99"/>
      <c r="Q11955" s="99"/>
      <c r="R11955" s="99"/>
    </row>
    <row r="11956" spans="5:18" s="65" customFormat="1">
      <c r="E11956" s="130"/>
      <c r="P11956" s="99"/>
      <c r="Q11956" s="99"/>
      <c r="R11956" s="99"/>
    </row>
    <row r="11957" spans="5:18" s="65" customFormat="1">
      <c r="E11957" s="130"/>
      <c r="P11957" s="99"/>
      <c r="Q11957" s="99"/>
      <c r="R11957" s="99"/>
    </row>
    <row r="11958" spans="5:18" s="65" customFormat="1">
      <c r="E11958" s="130"/>
      <c r="P11958" s="99"/>
      <c r="Q11958" s="99"/>
      <c r="R11958" s="99"/>
    </row>
    <row r="11959" spans="5:18" s="65" customFormat="1">
      <c r="E11959" s="130"/>
      <c r="P11959" s="99"/>
      <c r="Q11959" s="99"/>
      <c r="R11959" s="99"/>
    </row>
    <row r="11960" spans="5:18" s="65" customFormat="1">
      <c r="E11960" s="130"/>
      <c r="P11960" s="99"/>
      <c r="Q11960" s="99"/>
      <c r="R11960" s="99"/>
    </row>
    <row r="11961" spans="5:18" s="65" customFormat="1">
      <c r="E11961" s="130"/>
      <c r="P11961" s="99"/>
      <c r="Q11961" s="99"/>
      <c r="R11961" s="99"/>
    </row>
    <row r="11962" spans="5:18" s="65" customFormat="1">
      <c r="E11962" s="130"/>
      <c r="P11962" s="99"/>
      <c r="Q11962" s="99"/>
      <c r="R11962" s="99"/>
    </row>
    <row r="11963" spans="5:18" s="65" customFormat="1">
      <c r="E11963" s="130"/>
      <c r="P11963" s="99"/>
      <c r="Q11963" s="99"/>
      <c r="R11963" s="99"/>
    </row>
    <row r="11964" spans="5:18" s="65" customFormat="1">
      <c r="E11964" s="130"/>
      <c r="P11964" s="99"/>
      <c r="Q11964" s="99"/>
      <c r="R11964" s="99"/>
    </row>
    <row r="11965" spans="5:18" s="65" customFormat="1">
      <c r="E11965" s="130"/>
      <c r="P11965" s="99"/>
      <c r="Q11965" s="99"/>
      <c r="R11965" s="99"/>
    </row>
    <row r="11966" spans="5:18" s="65" customFormat="1">
      <c r="E11966" s="130"/>
      <c r="P11966" s="99"/>
      <c r="Q11966" s="99"/>
      <c r="R11966" s="99"/>
    </row>
    <row r="11967" spans="5:18" s="65" customFormat="1">
      <c r="E11967" s="130"/>
      <c r="P11967" s="99"/>
      <c r="Q11967" s="99"/>
      <c r="R11967" s="99"/>
    </row>
    <row r="11968" spans="5:18" s="65" customFormat="1">
      <c r="E11968" s="130"/>
      <c r="P11968" s="99"/>
      <c r="Q11968" s="99"/>
      <c r="R11968" s="99"/>
    </row>
    <row r="11969" spans="5:18" s="65" customFormat="1">
      <c r="E11969" s="130"/>
      <c r="P11969" s="99"/>
      <c r="Q11969" s="99"/>
      <c r="R11969" s="99"/>
    </row>
    <row r="11970" spans="5:18" s="65" customFormat="1">
      <c r="E11970" s="130"/>
      <c r="P11970" s="99"/>
      <c r="Q11970" s="99"/>
      <c r="R11970" s="99"/>
    </row>
    <row r="11971" spans="5:18" s="65" customFormat="1">
      <c r="E11971" s="130"/>
      <c r="P11971" s="99"/>
      <c r="Q11971" s="99"/>
      <c r="R11971" s="99"/>
    </row>
    <row r="11972" spans="5:18" s="65" customFormat="1">
      <c r="E11972" s="130"/>
      <c r="P11972" s="99"/>
      <c r="Q11972" s="99"/>
      <c r="R11972" s="99"/>
    </row>
    <row r="11973" spans="5:18" s="65" customFormat="1">
      <c r="E11973" s="130"/>
      <c r="P11973" s="99"/>
      <c r="Q11973" s="99"/>
      <c r="R11973" s="99"/>
    </row>
    <row r="11974" spans="5:18" s="65" customFormat="1">
      <c r="E11974" s="130"/>
      <c r="P11974" s="99"/>
      <c r="Q11974" s="99"/>
      <c r="R11974" s="99"/>
    </row>
    <row r="11975" spans="5:18" s="65" customFormat="1">
      <c r="E11975" s="130"/>
      <c r="P11975" s="99"/>
      <c r="Q11975" s="99"/>
      <c r="R11975" s="99"/>
    </row>
    <row r="11976" spans="5:18" s="65" customFormat="1">
      <c r="E11976" s="130"/>
      <c r="P11976" s="99"/>
      <c r="Q11976" s="99"/>
      <c r="R11976" s="99"/>
    </row>
    <row r="11977" spans="5:18" s="65" customFormat="1">
      <c r="E11977" s="130"/>
      <c r="P11977" s="99"/>
      <c r="Q11977" s="99"/>
      <c r="R11977" s="99"/>
    </row>
    <row r="11978" spans="5:18" s="65" customFormat="1">
      <c r="E11978" s="130"/>
      <c r="P11978" s="99"/>
      <c r="Q11978" s="99"/>
      <c r="R11978" s="99"/>
    </row>
    <row r="11979" spans="5:18" s="65" customFormat="1">
      <c r="E11979" s="130"/>
      <c r="P11979" s="99"/>
      <c r="Q11979" s="99"/>
      <c r="R11979" s="99"/>
    </row>
    <row r="11980" spans="5:18" s="65" customFormat="1">
      <c r="E11980" s="130"/>
      <c r="P11980" s="99"/>
      <c r="Q11980" s="99"/>
      <c r="R11980" s="99"/>
    </row>
    <row r="11981" spans="5:18" s="65" customFormat="1">
      <c r="E11981" s="130"/>
      <c r="P11981" s="99"/>
      <c r="Q11981" s="99"/>
      <c r="R11981" s="99"/>
    </row>
    <row r="11982" spans="5:18" s="65" customFormat="1">
      <c r="E11982" s="130"/>
      <c r="P11982" s="99"/>
      <c r="Q11982" s="99"/>
      <c r="R11982" s="99"/>
    </row>
    <row r="11983" spans="5:18" s="65" customFormat="1">
      <c r="E11983" s="130"/>
      <c r="P11983" s="99"/>
      <c r="Q11983" s="99"/>
      <c r="R11983" s="99"/>
    </row>
    <row r="11984" spans="5:18" s="65" customFormat="1">
      <c r="E11984" s="130"/>
      <c r="P11984" s="99"/>
      <c r="Q11984" s="99"/>
      <c r="R11984" s="99"/>
    </row>
    <row r="11985" spans="5:18" s="65" customFormat="1">
      <c r="E11985" s="130"/>
      <c r="P11985" s="99"/>
      <c r="Q11985" s="99"/>
      <c r="R11985" s="99"/>
    </row>
    <row r="11986" spans="5:18" s="65" customFormat="1">
      <c r="E11986" s="130"/>
      <c r="P11986" s="99"/>
      <c r="Q11986" s="99"/>
      <c r="R11986" s="99"/>
    </row>
    <row r="11987" spans="5:18" s="65" customFormat="1">
      <c r="E11987" s="130"/>
      <c r="P11987" s="99"/>
      <c r="Q11987" s="99"/>
      <c r="R11987" s="99"/>
    </row>
    <row r="11988" spans="5:18" s="65" customFormat="1">
      <c r="E11988" s="130"/>
      <c r="P11988" s="99"/>
      <c r="Q11988" s="99"/>
      <c r="R11988" s="99"/>
    </row>
    <row r="11989" spans="5:18" s="65" customFormat="1">
      <c r="E11989" s="130"/>
      <c r="P11989" s="99"/>
      <c r="Q11989" s="99"/>
      <c r="R11989" s="99"/>
    </row>
    <row r="11990" spans="5:18" s="65" customFormat="1">
      <c r="E11990" s="130"/>
      <c r="P11990" s="99"/>
      <c r="Q11990" s="99"/>
      <c r="R11990" s="99"/>
    </row>
    <row r="11991" spans="5:18" s="65" customFormat="1">
      <c r="E11991" s="130"/>
      <c r="P11991" s="99"/>
      <c r="Q11991" s="99"/>
      <c r="R11991" s="99"/>
    </row>
    <row r="11992" spans="5:18" s="65" customFormat="1">
      <c r="E11992" s="130"/>
      <c r="P11992" s="99"/>
      <c r="Q11992" s="99"/>
      <c r="R11992" s="99"/>
    </row>
    <row r="11993" spans="5:18" s="65" customFormat="1">
      <c r="E11993" s="130"/>
      <c r="P11993" s="99"/>
      <c r="Q11993" s="99"/>
      <c r="R11993" s="99"/>
    </row>
    <row r="11994" spans="5:18" s="65" customFormat="1">
      <c r="E11994" s="130"/>
      <c r="P11994" s="99"/>
      <c r="Q11994" s="99"/>
      <c r="R11994" s="99"/>
    </row>
    <row r="11995" spans="5:18" s="65" customFormat="1">
      <c r="E11995" s="130"/>
      <c r="P11995" s="99"/>
      <c r="Q11995" s="99"/>
      <c r="R11995" s="99"/>
    </row>
    <row r="11996" spans="5:18" s="65" customFormat="1">
      <c r="E11996" s="130"/>
      <c r="P11996" s="99"/>
      <c r="Q11996" s="99"/>
      <c r="R11996" s="99"/>
    </row>
    <row r="11997" spans="5:18" s="65" customFormat="1">
      <c r="E11997" s="130"/>
      <c r="P11997" s="99"/>
      <c r="Q11997" s="99"/>
      <c r="R11997" s="99"/>
    </row>
    <row r="11998" spans="5:18" s="65" customFormat="1">
      <c r="E11998" s="130"/>
      <c r="P11998" s="99"/>
      <c r="Q11998" s="99"/>
      <c r="R11998" s="99"/>
    </row>
    <row r="11999" spans="5:18" s="65" customFormat="1">
      <c r="E11999" s="130"/>
      <c r="P11999" s="99"/>
      <c r="Q11999" s="99"/>
      <c r="R11999" s="99"/>
    </row>
    <row r="12000" spans="5:18" s="65" customFormat="1">
      <c r="E12000" s="130"/>
      <c r="P12000" s="99"/>
      <c r="Q12000" s="99"/>
      <c r="R12000" s="99"/>
    </row>
    <row r="12001" spans="5:18" s="65" customFormat="1">
      <c r="E12001" s="130"/>
      <c r="P12001" s="99"/>
      <c r="Q12001" s="99"/>
      <c r="R12001" s="99"/>
    </row>
    <row r="12002" spans="5:18" s="65" customFormat="1">
      <c r="E12002" s="130"/>
      <c r="P12002" s="99"/>
      <c r="Q12002" s="99"/>
      <c r="R12002" s="99"/>
    </row>
    <row r="12003" spans="5:18" s="65" customFormat="1">
      <c r="E12003" s="130"/>
      <c r="P12003" s="99"/>
      <c r="Q12003" s="99"/>
      <c r="R12003" s="99"/>
    </row>
    <row r="12004" spans="5:18" s="65" customFormat="1">
      <c r="E12004" s="130"/>
      <c r="P12004" s="99"/>
      <c r="Q12004" s="99"/>
      <c r="R12004" s="99"/>
    </row>
    <row r="12005" spans="5:18" s="65" customFormat="1">
      <c r="E12005" s="130"/>
      <c r="P12005" s="99"/>
      <c r="Q12005" s="99"/>
      <c r="R12005" s="99"/>
    </row>
    <row r="12006" spans="5:18" s="65" customFormat="1">
      <c r="E12006" s="130"/>
      <c r="P12006" s="99"/>
      <c r="Q12006" s="99"/>
      <c r="R12006" s="99"/>
    </row>
    <row r="12007" spans="5:18" s="65" customFormat="1">
      <c r="E12007" s="130"/>
      <c r="P12007" s="99"/>
      <c r="Q12007" s="99"/>
      <c r="R12007" s="99"/>
    </row>
    <row r="12008" spans="5:18" s="65" customFormat="1">
      <c r="E12008" s="130"/>
      <c r="P12008" s="99"/>
      <c r="Q12008" s="99"/>
      <c r="R12008" s="99"/>
    </row>
    <row r="12009" spans="5:18" s="65" customFormat="1">
      <c r="E12009" s="130"/>
      <c r="P12009" s="99"/>
      <c r="Q12009" s="99"/>
      <c r="R12009" s="99"/>
    </row>
    <row r="12010" spans="5:18" s="65" customFormat="1">
      <c r="E12010" s="130"/>
      <c r="P12010" s="99"/>
      <c r="Q12010" s="99"/>
      <c r="R12010" s="99"/>
    </row>
    <row r="12011" spans="5:18" s="65" customFormat="1">
      <c r="E12011" s="130"/>
      <c r="P12011" s="99"/>
      <c r="Q12011" s="99"/>
      <c r="R12011" s="99"/>
    </row>
    <row r="12012" spans="5:18" s="65" customFormat="1">
      <c r="E12012" s="130"/>
      <c r="P12012" s="99"/>
      <c r="Q12012" s="99"/>
      <c r="R12012" s="99"/>
    </row>
    <row r="12013" spans="5:18" s="65" customFormat="1">
      <c r="E12013" s="130"/>
      <c r="P12013" s="99"/>
      <c r="Q12013" s="99"/>
      <c r="R12013" s="99"/>
    </row>
    <row r="12014" spans="5:18" s="65" customFormat="1">
      <c r="E12014" s="130"/>
      <c r="P12014" s="99"/>
      <c r="Q12014" s="99"/>
      <c r="R12014" s="99"/>
    </row>
    <row r="12015" spans="5:18" s="65" customFormat="1">
      <c r="E12015" s="130"/>
      <c r="P12015" s="99"/>
      <c r="Q12015" s="99"/>
      <c r="R12015" s="99"/>
    </row>
    <row r="12016" spans="5:18" s="65" customFormat="1">
      <c r="E12016" s="130"/>
      <c r="P12016" s="99"/>
      <c r="Q12016" s="99"/>
      <c r="R12016" s="99"/>
    </row>
    <row r="12017" spans="5:18" s="65" customFormat="1">
      <c r="E12017" s="130"/>
      <c r="P12017" s="99"/>
      <c r="Q12017" s="99"/>
      <c r="R12017" s="99"/>
    </row>
    <row r="12018" spans="5:18" s="65" customFormat="1">
      <c r="E12018" s="130"/>
      <c r="P12018" s="99"/>
      <c r="Q12018" s="99"/>
      <c r="R12018" s="99"/>
    </row>
    <row r="12019" spans="5:18" s="65" customFormat="1">
      <c r="E12019" s="130"/>
      <c r="P12019" s="99"/>
      <c r="Q12019" s="99"/>
      <c r="R12019" s="99"/>
    </row>
    <row r="12020" spans="5:18" s="65" customFormat="1">
      <c r="E12020" s="130"/>
      <c r="P12020" s="99"/>
      <c r="Q12020" s="99"/>
      <c r="R12020" s="99"/>
    </row>
    <row r="12021" spans="5:18" s="65" customFormat="1">
      <c r="E12021" s="130"/>
      <c r="P12021" s="99"/>
      <c r="Q12021" s="99"/>
      <c r="R12021" s="99"/>
    </row>
    <row r="12022" spans="5:18" s="65" customFormat="1">
      <c r="E12022" s="130"/>
      <c r="P12022" s="99"/>
      <c r="Q12022" s="99"/>
      <c r="R12022" s="99"/>
    </row>
    <row r="12023" spans="5:18" s="65" customFormat="1">
      <c r="E12023" s="130"/>
      <c r="P12023" s="99"/>
      <c r="Q12023" s="99"/>
      <c r="R12023" s="99"/>
    </row>
    <row r="12024" spans="5:18" s="65" customFormat="1">
      <c r="E12024" s="130"/>
      <c r="P12024" s="99"/>
      <c r="Q12024" s="99"/>
      <c r="R12024" s="99"/>
    </row>
    <row r="12025" spans="5:18" s="65" customFormat="1">
      <c r="E12025" s="130"/>
      <c r="P12025" s="99"/>
      <c r="Q12025" s="99"/>
      <c r="R12025" s="99"/>
    </row>
    <row r="12026" spans="5:18" s="65" customFormat="1">
      <c r="E12026" s="130"/>
      <c r="P12026" s="99"/>
      <c r="Q12026" s="99"/>
      <c r="R12026" s="99"/>
    </row>
    <row r="12027" spans="5:18" s="65" customFormat="1">
      <c r="E12027" s="130"/>
      <c r="P12027" s="99"/>
      <c r="Q12027" s="99"/>
      <c r="R12027" s="99"/>
    </row>
    <row r="12028" spans="5:18" s="65" customFormat="1">
      <c r="E12028" s="130"/>
      <c r="P12028" s="99"/>
      <c r="Q12028" s="99"/>
      <c r="R12028" s="99"/>
    </row>
    <row r="12029" spans="5:18" s="65" customFormat="1">
      <c r="E12029" s="130"/>
      <c r="P12029" s="99"/>
      <c r="Q12029" s="99"/>
      <c r="R12029" s="99"/>
    </row>
    <row r="12030" spans="5:18" s="65" customFormat="1">
      <c r="E12030" s="130"/>
      <c r="P12030" s="99"/>
      <c r="Q12030" s="99"/>
      <c r="R12030" s="99"/>
    </row>
    <row r="12031" spans="5:18" s="65" customFormat="1">
      <c r="E12031" s="130"/>
      <c r="P12031" s="99"/>
      <c r="Q12031" s="99"/>
      <c r="R12031" s="99"/>
    </row>
    <row r="12032" spans="5:18" s="65" customFormat="1">
      <c r="E12032" s="130"/>
      <c r="P12032" s="99"/>
      <c r="Q12032" s="99"/>
      <c r="R12032" s="99"/>
    </row>
    <row r="12033" spans="5:18" s="65" customFormat="1">
      <c r="E12033" s="130"/>
      <c r="P12033" s="99"/>
      <c r="Q12033" s="99"/>
      <c r="R12033" s="99"/>
    </row>
    <row r="12034" spans="5:18" s="65" customFormat="1">
      <c r="E12034" s="130"/>
      <c r="P12034" s="99"/>
      <c r="Q12034" s="99"/>
      <c r="R12034" s="99"/>
    </row>
    <row r="12035" spans="5:18" s="65" customFormat="1">
      <c r="E12035" s="130"/>
      <c r="P12035" s="99"/>
      <c r="Q12035" s="99"/>
      <c r="R12035" s="99"/>
    </row>
    <row r="12036" spans="5:18" s="65" customFormat="1">
      <c r="E12036" s="130"/>
      <c r="P12036" s="99"/>
      <c r="Q12036" s="99"/>
      <c r="R12036" s="99"/>
    </row>
    <row r="12037" spans="5:18" s="65" customFormat="1">
      <c r="E12037" s="130"/>
      <c r="P12037" s="99"/>
      <c r="Q12037" s="99"/>
      <c r="R12037" s="99"/>
    </row>
    <row r="12038" spans="5:18" s="65" customFormat="1">
      <c r="E12038" s="130"/>
      <c r="P12038" s="99"/>
      <c r="Q12038" s="99"/>
      <c r="R12038" s="99"/>
    </row>
    <row r="12039" spans="5:18" s="65" customFormat="1">
      <c r="E12039" s="130"/>
      <c r="P12039" s="99"/>
      <c r="Q12039" s="99"/>
      <c r="R12039" s="99"/>
    </row>
    <row r="12040" spans="5:18" s="65" customFormat="1">
      <c r="E12040" s="130"/>
      <c r="P12040" s="99"/>
      <c r="Q12040" s="99"/>
      <c r="R12040" s="99"/>
    </row>
    <row r="12041" spans="5:18" s="65" customFormat="1">
      <c r="E12041" s="130"/>
      <c r="P12041" s="99"/>
      <c r="Q12041" s="99"/>
      <c r="R12041" s="99"/>
    </row>
    <row r="12042" spans="5:18" s="65" customFormat="1">
      <c r="E12042" s="130"/>
      <c r="P12042" s="99"/>
      <c r="Q12042" s="99"/>
      <c r="R12042" s="99"/>
    </row>
    <row r="12043" spans="5:18" s="65" customFormat="1">
      <c r="E12043" s="130"/>
      <c r="P12043" s="99"/>
      <c r="Q12043" s="99"/>
      <c r="R12043" s="99"/>
    </row>
    <row r="12044" spans="5:18" s="65" customFormat="1">
      <c r="E12044" s="130"/>
      <c r="P12044" s="99"/>
      <c r="Q12044" s="99"/>
      <c r="R12044" s="99"/>
    </row>
    <row r="12045" spans="5:18" s="65" customFormat="1">
      <c r="E12045" s="130"/>
      <c r="P12045" s="99"/>
      <c r="Q12045" s="99"/>
      <c r="R12045" s="99"/>
    </row>
    <row r="12046" spans="5:18" s="65" customFormat="1">
      <c r="E12046" s="130"/>
      <c r="P12046" s="99"/>
      <c r="Q12046" s="99"/>
      <c r="R12046" s="99"/>
    </row>
    <row r="12047" spans="5:18" s="65" customFormat="1">
      <c r="E12047" s="130"/>
      <c r="P12047" s="99"/>
      <c r="Q12047" s="99"/>
      <c r="R12047" s="99"/>
    </row>
    <row r="12048" spans="5:18" s="65" customFormat="1">
      <c r="E12048" s="130"/>
      <c r="P12048" s="99"/>
      <c r="Q12048" s="99"/>
      <c r="R12048" s="99"/>
    </row>
    <row r="12049" spans="5:18" s="65" customFormat="1">
      <c r="E12049" s="130"/>
      <c r="P12049" s="99"/>
      <c r="Q12049" s="99"/>
      <c r="R12049" s="99"/>
    </row>
    <row r="12050" spans="5:18" s="65" customFormat="1">
      <c r="E12050" s="130"/>
      <c r="P12050" s="99"/>
      <c r="Q12050" s="99"/>
      <c r="R12050" s="99"/>
    </row>
    <row r="12051" spans="5:18" s="65" customFormat="1">
      <c r="E12051" s="130"/>
      <c r="P12051" s="99"/>
      <c r="Q12051" s="99"/>
      <c r="R12051" s="99"/>
    </row>
    <row r="12052" spans="5:18" s="65" customFormat="1">
      <c r="E12052" s="130"/>
      <c r="P12052" s="99"/>
      <c r="Q12052" s="99"/>
      <c r="R12052" s="99"/>
    </row>
    <row r="12053" spans="5:18" s="65" customFormat="1">
      <c r="E12053" s="130"/>
      <c r="P12053" s="99"/>
      <c r="Q12053" s="99"/>
      <c r="R12053" s="99"/>
    </row>
    <row r="12054" spans="5:18" s="65" customFormat="1">
      <c r="E12054" s="130"/>
      <c r="P12054" s="99"/>
      <c r="Q12054" s="99"/>
      <c r="R12054" s="99"/>
    </row>
    <row r="12055" spans="5:18" s="65" customFormat="1">
      <c r="E12055" s="130"/>
      <c r="P12055" s="99"/>
      <c r="Q12055" s="99"/>
      <c r="R12055" s="99"/>
    </row>
    <row r="12056" spans="5:18" s="65" customFormat="1">
      <c r="E12056" s="130"/>
      <c r="P12056" s="99"/>
      <c r="Q12056" s="99"/>
      <c r="R12056" s="99"/>
    </row>
    <row r="12057" spans="5:18" s="65" customFormat="1">
      <c r="E12057" s="130"/>
      <c r="P12057" s="99"/>
      <c r="Q12057" s="99"/>
      <c r="R12057" s="99"/>
    </row>
    <row r="12058" spans="5:18" s="65" customFormat="1">
      <c r="E12058" s="130"/>
      <c r="P12058" s="99"/>
      <c r="Q12058" s="99"/>
      <c r="R12058" s="99"/>
    </row>
    <row r="12059" spans="5:18" s="65" customFormat="1">
      <c r="E12059" s="130"/>
      <c r="P12059" s="99"/>
      <c r="Q12059" s="99"/>
      <c r="R12059" s="99"/>
    </row>
    <row r="12060" spans="5:18" s="65" customFormat="1">
      <c r="E12060" s="130"/>
      <c r="P12060" s="99"/>
      <c r="Q12060" s="99"/>
      <c r="R12060" s="99"/>
    </row>
    <row r="12061" spans="5:18" s="65" customFormat="1">
      <c r="E12061" s="130"/>
      <c r="P12061" s="99"/>
      <c r="Q12061" s="99"/>
      <c r="R12061" s="99"/>
    </row>
    <row r="12062" spans="5:18" s="65" customFormat="1">
      <c r="E12062" s="130"/>
      <c r="P12062" s="99"/>
      <c r="Q12062" s="99"/>
      <c r="R12062" s="99"/>
    </row>
    <row r="12063" spans="5:18" s="65" customFormat="1">
      <c r="E12063" s="130"/>
      <c r="P12063" s="99"/>
      <c r="Q12063" s="99"/>
      <c r="R12063" s="99"/>
    </row>
    <row r="12064" spans="5:18" s="65" customFormat="1">
      <c r="E12064" s="130"/>
      <c r="P12064" s="99"/>
      <c r="Q12064" s="99"/>
      <c r="R12064" s="99"/>
    </row>
    <row r="12065" spans="5:18" s="65" customFormat="1">
      <c r="E12065" s="130"/>
      <c r="P12065" s="99"/>
      <c r="Q12065" s="99"/>
      <c r="R12065" s="99"/>
    </row>
    <row r="12066" spans="5:18" s="65" customFormat="1">
      <c r="E12066" s="130"/>
      <c r="P12066" s="99"/>
      <c r="Q12066" s="99"/>
      <c r="R12066" s="99"/>
    </row>
    <row r="12067" spans="5:18" s="65" customFormat="1">
      <c r="E12067" s="130"/>
      <c r="P12067" s="99"/>
      <c r="Q12067" s="99"/>
      <c r="R12067" s="99"/>
    </row>
    <row r="12068" spans="5:18" s="65" customFormat="1">
      <c r="E12068" s="130"/>
      <c r="P12068" s="99"/>
      <c r="Q12068" s="99"/>
      <c r="R12068" s="99"/>
    </row>
    <row r="12069" spans="5:18" s="65" customFormat="1">
      <c r="E12069" s="130"/>
      <c r="P12069" s="99"/>
      <c r="Q12069" s="99"/>
      <c r="R12069" s="99"/>
    </row>
    <row r="12070" spans="5:18" s="65" customFormat="1">
      <c r="E12070" s="130"/>
      <c r="P12070" s="99"/>
      <c r="Q12070" s="99"/>
      <c r="R12070" s="99"/>
    </row>
    <row r="12071" spans="5:18" s="65" customFormat="1">
      <c r="E12071" s="130"/>
      <c r="P12071" s="99"/>
      <c r="Q12071" s="99"/>
      <c r="R12071" s="99"/>
    </row>
    <row r="12072" spans="5:18" s="65" customFormat="1">
      <c r="E12072" s="130"/>
      <c r="P12072" s="99"/>
      <c r="Q12072" s="99"/>
      <c r="R12072" s="99"/>
    </row>
    <row r="12073" spans="5:18" s="65" customFormat="1">
      <c r="E12073" s="130"/>
      <c r="P12073" s="99"/>
      <c r="Q12073" s="99"/>
      <c r="R12073" s="99"/>
    </row>
    <row r="12074" spans="5:18" s="65" customFormat="1">
      <c r="E12074" s="130"/>
      <c r="P12074" s="99"/>
      <c r="Q12074" s="99"/>
      <c r="R12074" s="99"/>
    </row>
    <row r="12075" spans="5:18" s="65" customFormat="1">
      <c r="E12075" s="130"/>
      <c r="P12075" s="99"/>
      <c r="Q12075" s="99"/>
      <c r="R12075" s="99"/>
    </row>
    <row r="12076" spans="5:18" s="65" customFormat="1">
      <c r="E12076" s="130"/>
      <c r="P12076" s="99"/>
      <c r="Q12076" s="99"/>
      <c r="R12076" s="99"/>
    </row>
    <row r="12077" spans="5:18" s="65" customFormat="1">
      <c r="E12077" s="130"/>
      <c r="P12077" s="99"/>
      <c r="Q12077" s="99"/>
      <c r="R12077" s="99"/>
    </row>
    <row r="12078" spans="5:18" s="65" customFormat="1">
      <c r="E12078" s="130"/>
      <c r="P12078" s="99"/>
      <c r="Q12078" s="99"/>
      <c r="R12078" s="99"/>
    </row>
    <row r="12079" spans="5:18" s="65" customFormat="1">
      <c r="E12079" s="130"/>
      <c r="P12079" s="99"/>
      <c r="Q12079" s="99"/>
      <c r="R12079" s="99"/>
    </row>
    <row r="12080" spans="5:18" s="65" customFormat="1">
      <c r="E12080" s="130"/>
      <c r="P12080" s="99"/>
      <c r="Q12080" s="99"/>
      <c r="R12080" s="99"/>
    </row>
    <row r="12081" spans="5:18" s="65" customFormat="1">
      <c r="E12081" s="130"/>
      <c r="P12081" s="99"/>
      <c r="Q12081" s="99"/>
      <c r="R12081" s="99"/>
    </row>
    <row r="12082" spans="5:18" s="65" customFormat="1">
      <c r="E12082" s="130"/>
      <c r="P12082" s="99"/>
      <c r="Q12082" s="99"/>
      <c r="R12082" s="99"/>
    </row>
    <row r="12083" spans="5:18" s="65" customFormat="1">
      <c r="E12083" s="130"/>
      <c r="P12083" s="99"/>
      <c r="Q12083" s="99"/>
      <c r="R12083" s="99"/>
    </row>
    <row r="12084" spans="5:18" s="65" customFormat="1">
      <c r="E12084" s="130"/>
      <c r="P12084" s="99"/>
      <c r="Q12084" s="99"/>
      <c r="R12084" s="99"/>
    </row>
    <row r="12085" spans="5:18" s="65" customFormat="1">
      <c r="E12085" s="130"/>
      <c r="P12085" s="99"/>
      <c r="Q12085" s="99"/>
      <c r="R12085" s="99"/>
    </row>
    <row r="12086" spans="5:18" s="65" customFormat="1">
      <c r="E12086" s="130"/>
      <c r="P12086" s="99"/>
      <c r="Q12086" s="99"/>
      <c r="R12086" s="99"/>
    </row>
    <row r="12087" spans="5:18" s="65" customFormat="1">
      <c r="E12087" s="130"/>
      <c r="P12087" s="99"/>
      <c r="Q12087" s="99"/>
      <c r="R12087" s="99"/>
    </row>
    <row r="12088" spans="5:18" s="65" customFormat="1">
      <c r="E12088" s="130"/>
      <c r="P12088" s="99"/>
      <c r="Q12088" s="99"/>
      <c r="R12088" s="99"/>
    </row>
    <row r="12089" spans="5:18" s="65" customFormat="1">
      <c r="E12089" s="130"/>
      <c r="P12089" s="99"/>
      <c r="Q12089" s="99"/>
      <c r="R12089" s="99"/>
    </row>
    <row r="12090" spans="5:18" s="65" customFormat="1">
      <c r="E12090" s="130"/>
      <c r="P12090" s="99"/>
      <c r="Q12090" s="99"/>
      <c r="R12090" s="99"/>
    </row>
    <row r="12091" spans="5:18" s="65" customFormat="1">
      <c r="E12091" s="130"/>
      <c r="P12091" s="99"/>
      <c r="Q12091" s="99"/>
      <c r="R12091" s="99"/>
    </row>
    <row r="12092" spans="5:18" s="65" customFormat="1">
      <c r="E12092" s="130"/>
      <c r="P12092" s="99"/>
      <c r="Q12092" s="99"/>
      <c r="R12092" s="99"/>
    </row>
    <row r="12093" spans="5:18" s="65" customFormat="1">
      <c r="E12093" s="130"/>
      <c r="P12093" s="99"/>
      <c r="Q12093" s="99"/>
      <c r="R12093" s="99"/>
    </row>
    <row r="12094" spans="5:18" s="65" customFormat="1">
      <c r="E12094" s="130"/>
      <c r="P12094" s="99"/>
      <c r="Q12094" s="99"/>
      <c r="R12094" s="99"/>
    </row>
    <row r="12095" spans="5:18" s="65" customFormat="1">
      <c r="E12095" s="130"/>
      <c r="P12095" s="99"/>
      <c r="Q12095" s="99"/>
      <c r="R12095" s="99"/>
    </row>
    <row r="12096" spans="5:18" s="65" customFormat="1">
      <c r="E12096" s="130"/>
      <c r="P12096" s="99"/>
      <c r="Q12096" s="99"/>
      <c r="R12096" s="99"/>
    </row>
    <row r="12097" spans="5:18" s="65" customFormat="1">
      <c r="E12097" s="130"/>
      <c r="P12097" s="99"/>
      <c r="Q12097" s="99"/>
      <c r="R12097" s="99"/>
    </row>
    <row r="12098" spans="5:18" s="65" customFormat="1">
      <c r="E12098" s="130"/>
      <c r="P12098" s="99"/>
      <c r="Q12098" s="99"/>
      <c r="R12098" s="99"/>
    </row>
    <row r="12099" spans="5:18" s="65" customFormat="1">
      <c r="E12099" s="130"/>
      <c r="P12099" s="99"/>
      <c r="Q12099" s="99"/>
      <c r="R12099" s="99"/>
    </row>
    <row r="12100" spans="5:18" s="65" customFormat="1">
      <c r="E12100" s="130"/>
      <c r="P12100" s="99"/>
      <c r="Q12100" s="99"/>
      <c r="R12100" s="99"/>
    </row>
    <row r="12101" spans="5:18" s="65" customFormat="1">
      <c r="E12101" s="130"/>
      <c r="P12101" s="99"/>
      <c r="Q12101" s="99"/>
      <c r="R12101" s="99"/>
    </row>
    <row r="12102" spans="5:18" s="65" customFormat="1">
      <c r="E12102" s="130"/>
      <c r="P12102" s="99"/>
      <c r="Q12102" s="99"/>
      <c r="R12102" s="99"/>
    </row>
    <row r="12103" spans="5:18" s="65" customFormat="1">
      <c r="E12103" s="130"/>
      <c r="P12103" s="99"/>
      <c r="Q12103" s="99"/>
      <c r="R12103" s="99"/>
    </row>
    <row r="12104" spans="5:18" s="65" customFormat="1">
      <c r="E12104" s="130"/>
      <c r="P12104" s="99"/>
      <c r="Q12104" s="99"/>
      <c r="R12104" s="99"/>
    </row>
    <row r="12105" spans="5:18" s="65" customFormat="1">
      <c r="E12105" s="130"/>
      <c r="P12105" s="99"/>
      <c r="Q12105" s="99"/>
      <c r="R12105" s="99"/>
    </row>
    <row r="12106" spans="5:18" s="65" customFormat="1">
      <c r="E12106" s="130"/>
      <c r="P12106" s="99"/>
      <c r="Q12106" s="99"/>
      <c r="R12106" s="99"/>
    </row>
    <row r="12107" spans="5:18" s="65" customFormat="1">
      <c r="E12107" s="130"/>
      <c r="P12107" s="99"/>
      <c r="Q12107" s="99"/>
      <c r="R12107" s="99"/>
    </row>
    <row r="12108" spans="5:18" s="65" customFormat="1">
      <c r="E12108" s="130"/>
      <c r="P12108" s="99"/>
      <c r="Q12108" s="99"/>
      <c r="R12108" s="99"/>
    </row>
    <row r="12109" spans="5:18" s="65" customFormat="1">
      <c r="E12109" s="130"/>
      <c r="P12109" s="99"/>
      <c r="Q12109" s="99"/>
      <c r="R12109" s="99"/>
    </row>
    <row r="12110" spans="5:18" s="65" customFormat="1">
      <c r="E12110" s="130"/>
      <c r="P12110" s="99"/>
      <c r="Q12110" s="99"/>
      <c r="R12110" s="99"/>
    </row>
    <row r="12111" spans="5:18" s="65" customFormat="1">
      <c r="E12111" s="130"/>
      <c r="P12111" s="99"/>
      <c r="Q12111" s="99"/>
      <c r="R12111" s="99"/>
    </row>
    <row r="12112" spans="5:18" s="65" customFormat="1">
      <c r="E12112" s="130"/>
      <c r="P12112" s="99"/>
      <c r="Q12112" s="99"/>
      <c r="R12112" s="99"/>
    </row>
    <row r="12113" spans="5:18" s="65" customFormat="1">
      <c r="E12113" s="130"/>
      <c r="P12113" s="99"/>
      <c r="Q12113" s="99"/>
      <c r="R12113" s="99"/>
    </row>
    <row r="12114" spans="5:18" s="65" customFormat="1">
      <c r="E12114" s="130"/>
      <c r="P12114" s="99"/>
      <c r="Q12114" s="99"/>
      <c r="R12114" s="99"/>
    </row>
    <row r="12115" spans="5:18" s="65" customFormat="1">
      <c r="E12115" s="130"/>
      <c r="P12115" s="99"/>
      <c r="Q12115" s="99"/>
      <c r="R12115" s="99"/>
    </row>
    <row r="12116" spans="5:18" s="65" customFormat="1">
      <c r="E12116" s="130"/>
      <c r="P12116" s="99"/>
      <c r="Q12116" s="99"/>
      <c r="R12116" s="99"/>
    </row>
    <row r="12117" spans="5:18" s="65" customFormat="1">
      <c r="E12117" s="130"/>
      <c r="P12117" s="99"/>
      <c r="Q12117" s="99"/>
      <c r="R12117" s="99"/>
    </row>
    <row r="12118" spans="5:18" s="65" customFormat="1">
      <c r="E12118" s="130"/>
      <c r="P12118" s="99"/>
      <c r="Q12118" s="99"/>
      <c r="R12118" s="99"/>
    </row>
    <row r="12119" spans="5:18" s="65" customFormat="1">
      <c r="E12119" s="130"/>
      <c r="P12119" s="99"/>
      <c r="Q12119" s="99"/>
      <c r="R12119" s="99"/>
    </row>
    <row r="12120" spans="5:18" s="65" customFormat="1">
      <c r="E12120" s="130"/>
      <c r="P12120" s="99"/>
      <c r="Q12120" s="99"/>
      <c r="R12120" s="99"/>
    </row>
    <row r="12121" spans="5:18" s="65" customFormat="1">
      <c r="E12121" s="130"/>
      <c r="P12121" s="99"/>
      <c r="Q12121" s="99"/>
      <c r="R12121" s="99"/>
    </row>
    <row r="12122" spans="5:18" s="65" customFormat="1">
      <c r="E12122" s="130"/>
      <c r="P12122" s="99"/>
      <c r="Q12122" s="99"/>
      <c r="R12122" s="99"/>
    </row>
    <row r="12123" spans="5:18" s="65" customFormat="1">
      <c r="E12123" s="130"/>
      <c r="P12123" s="99"/>
      <c r="Q12123" s="99"/>
      <c r="R12123" s="99"/>
    </row>
    <row r="12124" spans="5:18" s="65" customFormat="1">
      <c r="E12124" s="130"/>
      <c r="P12124" s="99"/>
      <c r="Q12124" s="99"/>
      <c r="R12124" s="99"/>
    </row>
    <row r="12125" spans="5:18" s="65" customFormat="1">
      <c r="E12125" s="130"/>
      <c r="P12125" s="99"/>
      <c r="Q12125" s="99"/>
      <c r="R12125" s="99"/>
    </row>
    <row r="12126" spans="5:18" s="65" customFormat="1">
      <c r="E12126" s="130"/>
      <c r="P12126" s="99"/>
      <c r="Q12126" s="99"/>
      <c r="R12126" s="99"/>
    </row>
    <row r="12127" spans="5:18" s="65" customFormat="1">
      <c r="E12127" s="130"/>
      <c r="P12127" s="99"/>
      <c r="Q12127" s="99"/>
      <c r="R12127" s="99"/>
    </row>
    <row r="12128" spans="5:18" s="65" customFormat="1">
      <c r="E12128" s="130"/>
      <c r="P12128" s="99"/>
      <c r="Q12128" s="99"/>
      <c r="R12128" s="99"/>
    </row>
    <row r="12129" spans="5:18" s="65" customFormat="1">
      <c r="E12129" s="130"/>
      <c r="P12129" s="99"/>
      <c r="Q12129" s="99"/>
      <c r="R12129" s="99"/>
    </row>
    <row r="12130" spans="5:18" s="65" customFormat="1">
      <c r="E12130" s="130"/>
      <c r="P12130" s="99"/>
      <c r="Q12130" s="99"/>
      <c r="R12130" s="99"/>
    </row>
    <row r="12131" spans="5:18" s="65" customFormat="1">
      <c r="E12131" s="130"/>
      <c r="P12131" s="99"/>
      <c r="Q12131" s="99"/>
      <c r="R12131" s="99"/>
    </row>
    <row r="12132" spans="5:18" s="65" customFormat="1">
      <c r="E12132" s="130"/>
      <c r="P12132" s="99"/>
      <c r="Q12132" s="99"/>
      <c r="R12132" s="99"/>
    </row>
    <row r="12133" spans="5:18" s="65" customFormat="1">
      <c r="E12133" s="130"/>
      <c r="P12133" s="99"/>
      <c r="Q12133" s="99"/>
      <c r="R12133" s="99"/>
    </row>
    <row r="12134" spans="5:18" s="65" customFormat="1">
      <c r="E12134" s="130"/>
      <c r="P12134" s="99"/>
      <c r="Q12134" s="99"/>
      <c r="R12134" s="99"/>
    </row>
    <row r="12135" spans="5:18" s="65" customFormat="1">
      <c r="E12135" s="130"/>
      <c r="P12135" s="99"/>
      <c r="Q12135" s="99"/>
      <c r="R12135" s="99"/>
    </row>
    <row r="12136" spans="5:18" s="65" customFormat="1">
      <c r="E12136" s="130"/>
      <c r="P12136" s="99"/>
      <c r="Q12136" s="99"/>
      <c r="R12136" s="99"/>
    </row>
    <row r="12137" spans="5:18" s="65" customFormat="1">
      <c r="E12137" s="130"/>
      <c r="P12137" s="99"/>
      <c r="Q12137" s="99"/>
      <c r="R12137" s="99"/>
    </row>
    <row r="12138" spans="5:18" s="65" customFormat="1">
      <c r="E12138" s="130"/>
      <c r="P12138" s="99"/>
      <c r="Q12138" s="99"/>
      <c r="R12138" s="99"/>
    </row>
    <row r="12139" spans="5:18" s="65" customFormat="1">
      <c r="E12139" s="130"/>
      <c r="P12139" s="99"/>
      <c r="Q12139" s="99"/>
      <c r="R12139" s="99"/>
    </row>
    <row r="12140" spans="5:18" s="65" customFormat="1">
      <c r="E12140" s="130"/>
      <c r="P12140" s="99"/>
      <c r="Q12140" s="99"/>
      <c r="R12140" s="99"/>
    </row>
    <row r="12141" spans="5:18" s="65" customFormat="1">
      <c r="E12141" s="130"/>
      <c r="P12141" s="99"/>
      <c r="Q12141" s="99"/>
      <c r="R12141" s="99"/>
    </row>
    <row r="12142" spans="5:18" s="65" customFormat="1">
      <c r="E12142" s="130"/>
      <c r="P12142" s="99"/>
      <c r="Q12142" s="99"/>
      <c r="R12142" s="99"/>
    </row>
    <row r="12143" spans="5:18" s="65" customFormat="1">
      <c r="E12143" s="130"/>
      <c r="P12143" s="99"/>
      <c r="Q12143" s="99"/>
      <c r="R12143" s="99"/>
    </row>
    <row r="12144" spans="5:18" s="65" customFormat="1">
      <c r="E12144" s="130"/>
      <c r="P12144" s="99"/>
      <c r="Q12144" s="99"/>
      <c r="R12144" s="99"/>
    </row>
    <row r="12145" spans="5:18" s="65" customFormat="1">
      <c r="E12145" s="130"/>
      <c r="P12145" s="99"/>
      <c r="Q12145" s="99"/>
      <c r="R12145" s="99"/>
    </row>
    <row r="12146" spans="5:18" s="65" customFormat="1">
      <c r="E12146" s="130"/>
      <c r="P12146" s="99"/>
      <c r="Q12146" s="99"/>
      <c r="R12146" s="99"/>
    </row>
    <row r="12147" spans="5:18" s="65" customFormat="1">
      <c r="E12147" s="130"/>
      <c r="P12147" s="99"/>
      <c r="Q12147" s="99"/>
      <c r="R12147" s="99"/>
    </row>
    <row r="12148" spans="5:18" s="65" customFormat="1">
      <c r="E12148" s="130"/>
      <c r="P12148" s="99"/>
      <c r="Q12148" s="99"/>
      <c r="R12148" s="99"/>
    </row>
    <row r="12149" spans="5:18" s="65" customFormat="1">
      <c r="E12149" s="130"/>
      <c r="P12149" s="99"/>
      <c r="Q12149" s="99"/>
      <c r="R12149" s="99"/>
    </row>
    <row r="12150" spans="5:18" s="65" customFormat="1">
      <c r="E12150" s="130"/>
      <c r="P12150" s="99"/>
      <c r="Q12150" s="99"/>
      <c r="R12150" s="99"/>
    </row>
    <row r="12151" spans="5:18" s="65" customFormat="1">
      <c r="E12151" s="130"/>
      <c r="P12151" s="99"/>
      <c r="Q12151" s="99"/>
      <c r="R12151" s="99"/>
    </row>
    <row r="12152" spans="5:18" s="65" customFormat="1">
      <c r="E12152" s="130"/>
      <c r="P12152" s="99"/>
      <c r="Q12152" s="99"/>
      <c r="R12152" s="99"/>
    </row>
    <row r="12153" spans="5:18" s="65" customFormat="1">
      <c r="E12153" s="130"/>
      <c r="P12153" s="99"/>
      <c r="Q12153" s="99"/>
      <c r="R12153" s="99"/>
    </row>
    <row r="12154" spans="5:18" s="65" customFormat="1">
      <c r="E12154" s="130"/>
      <c r="P12154" s="99"/>
      <c r="Q12154" s="99"/>
      <c r="R12154" s="99"/>
    </row>
    <row r="12155" spans="5:18" s="65" customFormat="1">
      <c r="E12155" s="130"/>
      <c r="P12155" s="99"/>
      <c r="Q12155" s="99"/>
      <c r="R12155" s="99"/>
    </row>
    <row r="12156" spans="5:18" s="65" customFormat="1">
      <c r="E12156" s="130"/>
      <c r="P12156" s="99"/>
      <c r="Q12156" s="99"/>
      <c r="R12156" s="99"/>
    </row>
    <row r="12157" spans="5:18" s="65" customFormat="1">
      <c r="E12157" s="130"/>
      <c r="P12157" s="99"/>
      <c r="Q12157" s="99"/>
      <c r="R12157" s="99"/>
    </row>
    <row r="12158" spans="5:18" s="65" customFormat="1">
      <c r="E12158" s="130"/>
      <c r="P12158" s="99"/>
      <c r="Q12158" s="99"/>
      <c r="R12158" s="99"/>
    </row>
    <row r="12159" spans="5:18" s="65" customFormat="1">
      <c r="E12159" s="130"/>
      <c r="P12159" s="99"/>
      <c r="Q12159" s="99"/>
      <c r="R12159" s="99"/>
    </row>
    <row r="12160" spans="5:18" s="65" customFormat="1">
      <c r="E12160" s="130"/>
      <c r="P12160" s="99"/>
      <c r="Q12160" s="99"/>
      <c r="R12160" s="99"/>
    </row>
    <row r="12161" spans="5:18" s="65" customFormat="1">
      <c r="E12161" s="130"/>
      <c r="P12161" s="99"/>
      <c r="Q12161" s="99"/>
      <c r="R12161" s="99"/>
    </row>
    <row r="12162" spans="5:18" s="65" customFormat="1">
      <c r="E12162" s="130"/>
      <c r="P12162" s="99"/>
      <c r="Q12162" s="99"/>
      <c r="R12162" s="99"/>
    </row>
    <row r="12163" spans="5:18" s="65" customFormat="1">
      <c r="E12163" s="130"/>
      <c r="P12163" s="99"/>
      <c r="Q12163" s="99"/>
      <c r="R12163" s="99"/>
    </row>
    <row r="12164" spans="5:18" s="65" customFormat="1">
      <c r="E12164" s="130"/>
      <c r="P12164" s="99"/>
      <c r="Q12164" s="99"/>
      <c r="R12164" s="99"/>
    </row>
    <row r="12165" spans="5:18" s="65" customFormat="1">
      <c r="E12165" s="130"/>
      <c r="P12165" s="99"/>
      <c r="Q12165" s="99"/>
      <c r="R12165" s="99"/>
    </row>
    <row r="12166" spans="5:18" s="65" customFormat="1">
      <c r="E12166" s="130"/>
      <c r="P12166" s="99"/>
      <c r="Q12166" s="99"/>
      <c r="R12166" s="99"/>
    </row>
    <row r="12167" spans="5:18" s="65" customFormat="1">
      <c r="E12167" s="130"/>
      <c r="P12167" s="99"/>
      <c r="Q12167" s="99"/>
      <c r="R12167" s="99"/>
    </row>
    <row r="12168" spans="5:18" s="65" customFormat="1">
      <c r="E12168" s="130"/>
      <c r="P12168" s="99"/>
      <c r="Q12168" s="99"/>
      <c r="R12168" s="99"/>
    </row>
    <row r="12169" spans="5:18" s="65" customFormat="1">
      <c r="E12169" s="130"/>
      <c r="P12169" s="99"/>
      <c r="Q12169" s="99"/>
      <c r="R12169" s="99"/>
    </row>
    <row r="12170" spans="5:18" s="65" customFormat="1">
      <c r="E12170" s="130"/>
      <c r="P12170" s="99"/>
      <c r="Q12170" s="99"/>
      <c r="R12170" s="99"/>
    </row>
    <row r="12171" spans="5:18" s="65" customFormat="1">
      <c r="E12171" s="130"/>
      <c r="P12171" s="99"/>
      <c r="Q12171" s="99"/>
      <c r="R12171" s="99"/>
    </row>
    <row r="12172" spans="5:18" s="65" customFormat="1">
      <c r="E12172" s="130"/>
      <c r="P12172" s="99"/>
      <c r="Q12172" s="99"/>
      <c r="R12172" s="99"/>
    </row>
    <row r="12173" spans="5:18" s="65" customFormat="1">
      <c r="E12173" s="130"/>
      <c r="P12173" s="99"/>
      <c r="Q12173" s="99"/>
      <c r="R12173" s="99"/>
    </row>
    <row r="12174" spans="5:18" s="65" customFormat="1">
      <c r="E12174" s="130"/>
      <c r="P12174" s="99"/>
      <c r="Q12174" s="99"/>
      <c r="R12174" s="99"/>
    </row>
    <row r="12175" spans="5:18" s="65" customFormat="1">
      <c r="E12175" s="130"/>
      <c r="P12175" s="99"/>
      <c r="Q12175" s="99"/>
      <c r="R12175" s="99"/>
    </row>
    <row r="12176" spans="5:18" s="65" customFormat="1">
      <c r="E12176" s="130"/>
      <c r="P12176" s="99"/>
      <c r="Q12176" s="99"/>
      <c r="R12176" s="99"/>
    </row>
    <row r="12177" spans="5:18" s="65" customFormat="1">
      <c r="E12177" s="130"/>
      <c r="P12177" s="99"/>
      <c r="Q12177" s="99"/>
      <c r="R12177" s="99"/>
    </row>
    <row r="12178" spans="5:18" s="65" customFormat="1">
      <c r="E12178" s="130"/>
      <c r="P12178" s="99"/>
      <c r="Q12178" s="99"/>
      <c r="R12178" s="99"/>
    </row>
    <row r="12179" spans="5:18" s="65" customFormat="1">
      <c r="E12179" s="130"/>
      <c r="P12179" s="99"/>
      <c r="Q12179" s="99"/>
      <c r="R12179" s="99"/>
    </row>
    <row r="12180" spans="5:18" s="65" customFormat="1">
      <c r="E12180" s="130"/>
      <c r="P12180" s="99"/>
      <c r="Q12180" s="99"/>
      <c r="R12180" s="99"/>
    </row>
    <row r="12181" spans="5:18" s="65" customFormat="1">
      <c r="E12181" s="130"/>
      <c r="P12181" s="99"/>
      <c r="Q12181" s="99"/>
      <c r="R12181" s="99"/>
    </row>
    <row r="12182" spans="5:18" s="65" customFormat="1">
      <c r="E12182" s="130"/>
      <c r="P12182" s="99"/>
      <c r="Q12182" s="99"/>
      <c r="R12182" s="99"/>
    </row>
    <row r="12183" spans="5:18" s="65" customFormat="1">
      <c r="E12183" s="130"/>
      <c r="P12183" s="99"/>
      <c r="Q12183" s="99"/>
      <c r="R12183" s="99"/>
    </row>
    <row r="12184" spans="5:18" s="65" customFormat="1">
      <c r="E12184" s="130"/>
      <c r="P12184" s="99"/>
      <c r="Q12184" s="99"/>
      <c r="R12184" s="99"/>
    </row>
    <row r="12185" spans="5:18" s="65" customFormat="1">
      <c r="E12185" s="130"/>
      <c r="P12185" s="99"/>
      <c r="Q12185" s="99"/>
      <c r="R12185" s="99"/>
    </row>
    <row r="12186" spans="5:18" s="65" customFormat="1">
      <c r="E12186" s="130"/>
      <c r="P12186" s="99"/>
      <c r="Q12186" s="99"/>
      <c r="R12186" s="99"/>
    </row>
    <row r="12187" spans="5:18" s="65" customFormat="1">
      <c r="E12187" s="130"/>
      <c r="P12187" s="99"/>
      <c r="Q12187" s="99"/>
      <c r="R12187" s="99"/>
    </row>
    <row r="12188" spans="5:18" s="65" customFormat="1">
      <c r="E12188" s="130"/>
      <c r="P12188" s="99"/>
      <c r="Q12188" s="99"/>
      <c r="R12188" s="99"/>
    </row>
    <row r="12189" spans="5:18" s="65" customFormat="1">
      <c r="E12189" s="130"/>
      <c r="P12189" s="99"/>
      <c r="Q12189" s="99"/>
      <c r="R12189" s="99"/>
    </row>
    <row r="12190" spans="5:18" s="65" customFormat="1">
      <c r="E12190" s="130"/>
      <c r="P12190" s="99"/>
      <c r="Q12190" s="99"/>
      <c r="R12190" s="99"/>
    </row>
    <row r="12191" spans="5:18" s="65" customFormat="1">
      <c r="E12191" s="130"/>
      <c r="P12191" s="99"/>
      <c r="Q12191" s="99"/>
      <c r="R12191" s="99"/>
    </row>
    <row r="12192" spans="5:18" s="65" customFormat="1">
      <c r="E12192" s="130"/>
      <c r="P12192" s="99"/>
      <c r="Q12192" s="99"/>
      <c r="R12192" s="99"/>
    </row>
    <row r="12193" spans="5:18" s="65" customFormat="1">
      <c r="E12193" s="130"/>
      <c r="P12193" s="99"/>
      <c r="Q12193" s="99"/>
      <c r="R12193" s="99"/>
    </row>
    <row r="12194" spans="5:18" s="65" customFormat="1">
      <c r="E12194" s="130"/>
      <c r="P12194" s="99"/>
      <c r="Q12194" s="99"/>
      <c r="R12194" s="99"/>
    </row>
    <row r="12195" spans="5:18" s="65" customFormat="1">
      <c r="E12195" s="130"/>
      <c r="P12195" s="99"/>
      <c r="Q12195" s="99"/>
      <c r="R12195" s="99"/>
    </row>
    <row r="12196" spans="5:18" s="65" customFormat="1">
      <c r="E12196" s="130"/>
      <c r="P12196" s="99"/>
      <c r="Q12196" s="99"/>
      <c r="R12196" s="99"/>
    </row>
    <row r="12197" spans="5:18" s="65" customFormat="1">
      <c r="E12197" s="130"/>
      <c r="P12197" s="99"/>
      <c r="Q12197" s="99"/>
      <c r="R12197" s="99"/>
    </row>
    <row r="12198" spans="5:18" s="65" customFormat="1">
      <c r="E12198" s="130"/>
      <c r="P12198" s="99"/>
      <c r="Q12198" s="99"/>
      <c r="R12198" s="99"/>
    </row>
    <row r="12199" spans="5:18" s="65" customFormat="1">
      <c r="E12199" s="130"/>
      <c r="P12199" s="99"/>
      <c r="Q12199" s="99"/>
      <c r="R12199" s="99"/>
    </row>
    <row r="12200" spans="5:18" s="65" customFormat="1">
      <c r="E12200" s="130"/>
      <c r="P12200" s="99"/>
      <c r="Q12200" s="99"/>
      <c r="R12200" s="99"/>
    </row>
    <row r="12201" spans="5:18" s="65" customFormat="1">
      <c r="E12201" s="130"/>
      <c r="P12201" s="99"/>
      <c r="Q12201" s="99"/>
      <c r="R12201" s="99"/>
    </row>
    <row r="12202" spans="5:18" s="65" customFormat="1">
      <c r="E12202" s="130"/>
      <c r="P12202" s="99"/>
      <c r="Q12202" s="99"/>
      <c r="R12202" s="99"/>
    </row>
    <row r="12203" spans="5:18" s="65" customFormat="1">
      <c r="E12203" s="130"/>
      <c r="P12203" s="99"/>
      <c r="Q12203" s="99"/>
      <c r="R12203" s="99"/>
    </row>
    <row r="12204" spans="5:18" s="65" customFormat="1">
      <c r="E12204" s="130"/>
      <c r="P12204" s="99"/>
      <c r="Q12204" s="99"/>
      <c r="R12204" s="99"/>
    </row>
    <row r="12205" spans="5:18" s="65" customFormat="1">
      <c r="E12205" s="130"/>
      <c r="P12205" s="99"/>
      <c r="Q12205" s="99"/>
      <c r="R12205" s="99"/>
    </row>
    <row r="12206" spans="5:18" s="65" customFormat="1">
      <c r="E12206" s="130"/>
      <c r="P12206" s="99"/>
      <c r="Q12206" s="99"/>
      <c r="R12206" s="99"/>
    </row>
    <row r="12207" spans="5:18" s="65" customFormat="1">
      <c r="E12207" s="130"/>
      <c r="P12207" s="99"/>
      <c r="Q12207" s="99"/>
      <c r="R12207" s="99"/>
    </row>
    <row r="12208" spans="5:18" s="65" customFormat="1">
      <c r="E12208" s="130"/>
      <c r="P12208" s="99"/>
      <c r="Q12208" s="99"/>
      <c r="R12208" s="99"/>
    </row>
    <row r="12209" spans="5:18" s="65" customFormat="1">
      <c r="E12209" s="130"/>
      <c r="P12209" s="99"/>
      <c r="Q12209" s="99"/>
      <c r="R12209" s="99"/>
    </row>
    <row r="12210" spans="5:18" s="65" customFormat="1">
      <c r="E12210" s="130"/>
      <c r="P12210" s="99"/>
      <c r="Q12210" s="99"/>
      <c r="R12210" s="99"/>
    </row>
    <row r="12211" spans="5:18" s="65" customFormat="1">
      <c r="E12211" s="130"/>
      <c r="P12211" s="99"/>
      <c r="Q12211" s="99"/>
      <c r="R12211" s="99"/>
    </row>
    <row r="12212" spans="5:18" s="65" customFormat="1">
      <c r="E12212" s="130"/>
      <c r="P12212" s="99"/>
      <c r="Q12212" s="99"/>
      <c r="R12212" s="99"/>
    </row>
    <row r="12213" spans="5:18" s="65" customFormat="1">
      <c r="E12213" s="130"/>
      <c r="P12213" s="99"/>
      <c r="Q12213" s="99"/>
      <c r="R12213" s="99"/>
    </row>
    <row r="12214" spans="5:18" s="65" customFormat="1">
      <c r="E12214" s="130"/>
      <c r="P12214" s="99"/>
      <c r="Q12214" s="99"/>
      <c r="R12214" s="99"/>
    </row>
    <row r="12215" spans="5:18" s="65" customFormat="1">
      <c r="E12215" s="130"/>
      <c r="P12215" s="99"/>
      <c r="Q12215" s="99"/>
      <c r="R12215" s="99"/>
    </row>
    <row r="12216" spans="5:18" s="65" customFormat="1">
      <c r="E12216" s="130"/>
      <c r="P12216" s="99"/>
      <c r="Q12216" s="99"/>
      <c r="R12216" s="99"/>
    </row>
    <row r="12217" spans="5:18" s="65" customFormat="1">
      <c r="E12217" s="130"/>
      <c r="P12217" s="99"/>
      <c r="Q12217" s="99"/>
      <c r="R12217" s="99"/>
    </row>
    <row r="12218" spans="5:18" s="65" customFormat="1">
      <c r="E12218" s="130"/>
      <c r="P12218" s="99"/>
      <c r="Q12218" s="99"/>
      <c r="R12218" s="99"/>
    </row>
    <row r="12219" spans="5:18" s="65" customFormat="1">
      <c r="E12219" s="130"/>
      <c r="P12219" s="99"/>
      <c r="Q12219" s="99"/>
      <c r="R12219" s="99"/>
    </row>
    <row r="12220" spans="5:18" s="65" customFormat="1">
      <c r="E12220" s="130"/>
      <c r="P12220" s="99"/>
      <c r="Q12220" s="99"/>
      <c r="R12220" s="99"/>
    </row>
    <row r="12221" spans="5:18" s="65" customFormat="1">
      <c r="E12221" s="130"/>
      <c r="P12221" s="99"/>
      <c r="Q12221" s="99"/>
      <c r="R12221" s="99"/>
    </row>
    <row r="12222" spans="5:18" s="65" customFormat="1">
      <c r="E12222" s="130"/>
      <c r="P12222" s="99"/>
      <c r="Q12222" s="99"/>
      <c r="R12222" s="99"/>
    </row>
    <row r="12223" spans="5:18" s="65" customFormat="1">
      <c r="E12223" s="130"/>
      <c r="P12223" s="99"/>
      <c r="Q12223" s="99"/>
      <c r="R12223" s="99"/>
    </row>
    <row r="12224" spans="5:18" s="65" customFormat="1">
      <c r="E12224" s="130"/>
      <c r="P12224" s="99"/>
      <c r="Q12224" s="99"/>
      <c r="R12224" s="99"/>
    </row>
    <row r="12225" spans="5:18" s="65" customFormat="1">
      <c r="E12225" s="130"/>
      <c r="P12225" s="99"/>
      <c r="Q12225" s="99"/>
      <c r="R12225" s="99"/>
    </row>
    <row r="12226" spans="5:18" s="65" customFormat="1">
      <c r="E12226" s="130"/>
      <c r="P12226" s="99"/>
      <c r="Q12226" s="99"/>
      <c r="R12226" s="99"/>
    </row>
    <row r="12227" spans="5:18" s="65" customFormat="1">
      <c r="E12227" s="130"/>
      <c r="P12227" s="99"/>
      <c r="Q12227" s="99"/>
      <c r="R12227" s="99"/>
    </row>
    <row r="12228" spans="5:18" s="65" customFormat="1">
      <c r="E12228" s="130"/>
      <c r="P12228" s="99"/>
      <c r="Q12228" s="99"/>
      <c r="R12228" s="99"/>
    </row>
    <row r="12229" spans="5:18" s="65" customFormat="1">
      <c r="E12229" s="130"/>
      <c r="P12229" s="99"/>
      <c r="Q12229" s="99"/>
      <c r="R12229" s="99"/>
    </row>
    <row r="12230" spans="5:18" s="65" customFormat="1">
      <c r="E12230" s="130"/>
      <c r="P12230" s="99"/>
      <c r="Q12230" s="99"/>
      <c r="R12230" s="99"/>
    </row>
    <row r="12231" spans="5:18" s="65" customFormat="1">
      <c r="E12231" s="130"/>
      <c r="P12231" s="99"/>
      <c r="Q12231" s="99"/>
      <c r="R12231" s="99"/>
    </row>
    <row r="12232" spans="5:18" s="65" customFormat="1">
      <c r="E12232" s="130"/>
      <c r="P12232" s="99"/>
      <c r="Q12232" s="99"/>
      <c r="R12232" s="99"/>
    </row>
    <row r="12233" spans="5:18" s="65" customFormat="1">
      <c r="E12233" s="130"/>
      <c r="P12233" s="99"/>
      <c r="Q12233" s="99"/>
      <c r="R12233" s="99"/>
    </row>
    <row r="12234" spans="5:18" s="65" customFormat="1">
      <c r="E12234" s="130"/>
      <c r="P12234" s="99"/>
      <c r="Q12234" s="99"/>
      <c r="R12234" s="99"/>
    </row>
    <row r="12235" spans="5:18" s="65" customFormat="1">
      <c r="E12235" s="130"/>
      <c r="P12235" s="99"/>
      <c r="Q12235" s="99"/>
      <c r="R12235" s="99"/>
    </row>
    <row r="12236" spans="5:18" s="65" customFormat="1">
      <c r="E12236" s="130"/>
      <c r="P12236" s="99"/>
      <c r="Q12236" s="99"/>
      <c r="R12236" s="99"/>
    </row>
    <row r="12237" spans="5:18" s="65" customFormat="1">
      <c r="E12237" s="130"/>
      <c r="P12237" s="99"/>
      <c r="Q12237" s="99"/>
      <c r="R12237" s="99"/>
    </row>
    <row r="12238" spans="5:18" s="65" customFormat="1">
      <c r="E12238" s="130"/>
      <c r="P12238" s="99"/>
      <c r="Q12238" s="99"/>
      <c r="R12238" s="99"/>
    </row>
    <row r="12239" spans="5:18" s="65" customFormat="1">
      <c r="E12239" s="130"/>
      <c r="P12239" s="99"/>
      <c r="Q12239" s="99"/>
      <c r="R12239" s="99"/>
    </row>
    <row r="12240" spans="5:18" s="65" customFormat="1">
      <c r="E12240" s="130"/>
      <c r="P12240" s="99"/>
      <c r="Q12240" s="99"/>
      <c r="R12240" s="99"/>
    </row>
    <row r="12241" spans="5:18" s="65" customFormat="1">
      <c r="E12241" s="130"/>
      <c r="P12241" s="99"/>
      <c r="Q12241" s="99"/>
      <c r="R12241" s="99"/>
    </row>
    <row r="12242" spans="5:18" s="65" customFormat="1">
      <c r="E12242" s="130"/>
      <c r="P12242" s="99"/>
      <c r="Q12242" s="99"/>
      <c r="R12242" s="99"/>
    </row>
    <row r="12243" spans="5:18" s="65" customFormat="1">
      <c r="E12243" s="130"/>
      <c r="P12243" s="99"/>
      <c r="Q12243" s="99"/>
      <c r="R12243" s="99"/>
    </row>
    <row r="12244" spans="5:18" s="65" customFormat="1">
      <c r="E12244" s="130"/>
      <c r="P12244" s="99"/>
      <c r="Q12244" s="99"/>
      <c r="R12244" s="99"/>
    </row>
    <row r="12245" spans="5:18" s="65" customFormat="1">
      <c r="E12245" s="130"/>
      <c r="P12245" s="99"/>
      <c r="Q12245" s="99"/>
      <c r="R12245" s="99"/>
    </row>
    <row r="12246" spans="5:18" s="65" customFormat="1">
      <c r="E12246" s="130"/>
      <c r="P12246" s="99"/>
      <c r="Q12246" s="99"/>
      <c r="R12246" s="99"/>
    </row>
    <row r="12247" spans="5:18" s="65" customFormat="1">
      <c r="E12247" s="130"/>
      <c r="P12247" s="99"/>
      <c r="Q12247" s="99"/>
      <c r="R12247" s="99"/>
    </row>
    <row r="12248" spans="5:18" s="65" customFormat="1">
      <c r="E12248" s="130"/>
      <c r="P12248" s="99"/>
      <c r="Q12248" s="99"/>
      <c r="R12248" s="99"/>
    </row>
    <row r="12249" spans="5:18" s="65" customFormat="1">
      <c r="E12249" s="130"/>
      <c r="P12249" s="99"/>
      <c r="Q12249" s="99"/>
      <c r="R12249" s="99"/>
    </row>
    <row r="12250" spans="5:18" s="65" customFormat="1">
      <c r="E12250" s="130"/>
      <c r="P12250" s="99"/>
      <c r="Q12250" s="99"/>
      <c r="R12250" s="99"/>
    </row>
    <row r="12251" spans="5:18" s="65" customFormat="1">
      <c r="E12251" s="130"/>
      <c r="P12251" s="99"/>
      <c r="Q12251" s="99"/>
      <c r="R12251" s="99"/>
    </row>
    <row r="12252" spans="5:18" s="65" customFormat="1">
      <c r="E12252" s="130"/>
      <c r="P12252" s="99"/>
      <c r="Q12252" s="99"/>
      <c r="R12252" s="99"/>
    </row>
    <row r="12253" spans="5:18" s="65" customFormat="1">
      <c r="E12253" s="130"/>
      <c r="P12253" s="99"/>
      <c r="Q12253" s="99"/>
      <c r="R12253" s="99"/>
    </row>
    <row r="12254" spans="5:18" s="65" customFormat="1">
      <c r="E12254" s="130"/>
      <c r="P12254" s="99"/>
      <c r="Q12254" s="99"/>
      <c r="R12254" s="99"/>
    </row>
    <row r="12255" spans="5:18" s="65" customFormat="1">
      <c r="E12255" s="130"/>
      <c r="P12255" s="99"/>
      <c r="Q12255" s="99"/>
      <c r="R12255" s="99"/>
    </row>
    <row r="12256" spans="5:18" s="65" customFormat="1">
      <c r="E12256" s="130"/>
      <c r="P12256" s="99"/>
      <c r="Q12256" s="99"/>
      <c r="R12256" s="99"/>
    </row>
    <row r="12257" spans="5:18" s="65" customFormat="1">
      <c r="E12257" s="130"/>
      <c r="P12257" s="99"/>
      <c r="Q12257" s="99"/>
      <c r="R12257" s="99"/>
    </row>
    <row r="12258" spans="5:18" s="65" customFormat="1">
      <c r="E12258" s="130"/>
      <c r="P12258" s="99"/>
      <c r="Q12258" s="99"/>
      <c r="R12258" s="99"/>
    </row>
    <row r="12259" spans="5:18" s="65" customFormat="1">
      <c r="E12259" s="130"/>
      <c r="P12259" s="99"/>
      <c r="Q12259" s="99"/>
      <c r="R12259" s="99"/>
    </row>
    <row r="12260" spans="5:18" s="65" customFormat="1">
      <c r="E12260" s="130"/>
      <c r="P12260" s="99"/>
      <c r="Q12260" s="99"/>
      <c r="R12260" s="99"/>
    </row>
    <row r="12261" spans="5:18" s="65" customFormat="1">
      <c r="E12261" s="130"/>
      <c r="P12261" s="99"/>
      <c r="Q12261" s="99"/>
      <c r="R12261" s="99"/>
    </row>
    <row r="12262" spans="5:18" s="65" customFormat="1">
      <c r="E12262" s="130"/>
      <c r="P12262" s="99"/>
      <c r="Q12262" s="99"/>
      <c r="R12262" s="99"/>
    </row>
    <row r="12263" spans="5:18" s="65" customFormat="1">
      <c r="E12263" s="130"/>
      <c r="P12263" s="99"/>
      <c r="Q12263" s="99"/>
      <c r="R12263" s="99"/>
    </row>
    <row r="12264" spans="5:18" s="65" customFormat="1">
      <c r="E12264" s="130"/>
      <c r="P12264" s="99"/>
      <c r="Q12264" s="99"/>
      <c r="R12264" s="99"/>
    </row>
    <row r="12265" spans="5:18" s="65" customFormat="1">
      <c r="E12265" s="130"/>
      <c r="P12265" s="99"/>
      <c r="Q12265" s="99"/>
      <c r="R12265" s="99"/>
    </row>
    <row r="12266" spans="5:18" s="65" customFormat="1">
      <c r="E12266" s="130"/>
      <c r="P12266" s="99"/>
      <c r="Q12266" s="99"/>
      <c r="R12266" s="99"/>
    </row>
    <row r="12267" spans="5:18" s="65" customFormat="1">
      <c r="E12267" s="130"/>
      <c r="P12267" s="99"/>
      <c r="Q12267" s="99"/>
      <c r="R12267" s="99"/>
    </row>
    <row r="12268" spans="5:18" s="65" customFormat="1">
      <c r="E12268" s="130"/>
      <c r="P12268" s="99"/>
      <c r="Q12268" s="99"/>
      <c r="R12268" s="99"/>
    </row>
    <row r="12269" spans="5:18" s="65" customFormat="1">
      <c r="E12269" s="130"/>
      <c r="P12269" s="99"/>
      <c r="Q12269" s="99"/>
      <c r="R12269" s="99"/>
    </row>
    <row r="12270" spans="5:18" s="65" customFormat="1">
      <c r="E12270" s="130"/>
      <c r="P12270" s="99"/>
      <c r="Q12270" s="99"/>
      <c r="R12270" s="99"/>
    </row>
    <row r="12271" spans="5:18" s="65" customFormat="1">
      <c r="E12271" s="130"/>
      <c r="P12271" s="99"/>
      <c r="Q12271" s="99"/>
      <c r="R12271" s="99"/>
    </row>
    <row r="12272" spans="5:18" s="65" customFormat="1">
      <c r="E12272" s="130"/>
      <c r="P12272" s="99"/>
      <c r="Q12272" s="99"/>
      <c r="R12272" s="99"/>
    </row>
    <row r="12273" spans="5:18" s="65" customFormat="1">
      <c r="E12273" s="130"/>
      <c r="P12273" s="99"/>
      <c r="Q12273" s="99"/>
      <c r="R12273" s="99"/>
    </row>
    <row r="12274" spans="5:18" s="65" customFormat="1">
      <c r="E12274" s="130"/>
      <c r="P12274" s="99"/>
      <c r="Q12274" s="99"/>
      <c r="R12274" s="99"/>
    </row>
    <row r="12275" spans="5:18" s="65" customFormat="1">
      <c r="E12275" s="130"/>
      <c r="P12275" s="99"/>
      <c r="Q12275" s="99"/>
      <c r="R12275" s="99"/>
    </row>
    <row r="12276" spans="5:18" s="65" customFormat="1">
      <c r="E12276" s="130"/>
      <c r="P12276" s="99"/>
      <c r="Q12276" s="99"/>
      <c r="R12276" s="99"/>
    </row>
    <row r="12277" spans="5:18" s="65" customFormat="1">
      <c r="E12277" s="130"/>
      <c r="P12277" s="99"/>
      <c r="Q12277" s="99"/>
      <c r="R12277" s="99"/>
    </row>
    <row r="12278" spans="5:18" s="65" customFormat="1">
      <c r="E12278" s="130"/>
      <c r="P12278" s="99"/>
      <c r="Q12278" s="99"/>
      <c r="R12278" s="99"/>
    </row>
    <row r="12279" spans="5:18" s="65" customFormat="1">
      <c r="E12279" s="130"/>
      <c r="P12279" s="99"/>
      <c r="Q12279" s="99"/>
      <c r="R12279" s="99"/>
    </row>
    <row r="12280" spans="5:18" s="65" customFormat="1">
      <c r="E12280" s="130"/>
      <c r="P12280" s="99"/>
      <c r="Q12280" s="99"/>
      <c r="R12280" s="99"/>
    </row>
    <row r="12281" spans="5:18" s="65" customFormat="1">
      <c r="E12281" s="130"/>
      <c r="P12281" s="99"/>
      <c r="Q12281" s="99"/>
      <c r="R12281" s="99"/>
    </row>
    <row r="12282" spans="5:18" s="65" customFormat="1">
      <c r="E12282" s="130"/>
      <c r="P12282" s="99"/>
      <c r="Q12282" s="99"/>
      <c r="R12282" s="99"/>
    </row>
    <row r="12283" spans="5:18" s="65" customFormat="1">
      <c r="E12283" s="130"/>
      <c r="P12283" s="99"/>
      <c r="Q12283" s="99"/>
      <c r="R12283" s="99"/>
    </row>
    <row r="12284" spans="5:18" s="65" customFormat="1">
      <c r="E12284" s="130"/>
      <c r="P12284" s="99"/>
      <c r="Q12284" s="99"/>
      <c r="R12284" s="99"/>
    </row>
    <row r="12285" spans="5:18" s="65" customFormat="1">
      <c r="E12285" s="130"/>
      <c r="P12285" s="99"/>
      <c r="Q12285" s="99"/>
      <c r="R12285" s="99"/>
    </row>
    <row r="12286" spans="5:18" s="65" customFormat="1">
      <c r="E12286" s="130"/>
      <c r="P12286" s="99"/>
      <c r="Q12286" s="99"/>
      <c r="R12286" s="99"/>
    </row>
    <row r="12287" spans="5:18" s="65" customFormat="1">
      <c r="E12287" s="130"/>
      <c r="P12287" s="99"/>
      <c r="Q12287" s="99"/>
      <c r="R12287" s="99"/>
    </row>
    <row r="12288" spans="5:18" s="65" customFormat="1">
      <c r="E12288" s="130"/>
      <c r="P12288" s="99"/>
      <c r="Q12288" s="99"/>
      <c r="R12288" s="99"/>
    </row>
    <row r="12289" spans="5:18" s="65" customFormat="1">
      <c r="E12289" s="130"/>
      <c r="P12289" s="99"/>
      <c r="Q12289" s="99"/>
      <c r="R12289" s="99"/>
    </row>
    <row r="12290" spans="5:18" s="65" customFormat="1">
      <c r="E12290" s="130"/>
      <c r="P12290" s="99"/>
      <c r="Q12290" s="99"/>
      <c r="R12290" s="99"/>
    </row>
    <row r="12291" spans="5:18" s="65" customFormat="1">
      <c r="E12291" s="130"/>
      <c r="P12291" s="99"/>
      <c r="Q12291" s="99"/>
      <c r="R12291" s="99"/>
    </row>
    <row r="12292" spans="5:18" s="65" customFormat="1">
      <c r="E12292" s="130"/>
      <c r="P12292" s="99"/>
      <c r="Q12292" s="99"/>
      <c r="R12292" s="99"/>
    </row>
    <row r="12293" spans="5:18" s="65" customFormat="1">
      <c r="E12293" s="130"/>
      <c r="P12293" s="99"/>
      <c r="Q12293" s="99"/>
      <c r="R12293" s="99"/>
    </row>
    <row r="12294" spans="5:18" s="65" customFormat="1">
      <c r="E12294" s="130"/>
      <c r="P12294" s="99"/>
      <c r="Q12294" s="99"/>
      <c r="R12294" s="99"/>
    </row>
    <row r="12295" spans="5:18" s="65" customFormat="1">
      <c r="E12295" s="130"/>
      <c r="P12295" s="99"/>
      <c r="Q12295" s="99"/>
      <c r="R12295" s="99"/>
    </row>
    <row r="12296" spans="5:18" s="65" customFormat="1">
      <c r="E12296" s="130"/>
      <c r="P12296" s="99"/>
      <c r="Q12296" s="99"/>
      <c r="R12296" s="99"/>
    </row>
    <row r="12297" spans="5:18" s="65" customFormat="1">
      <c r="E12297" s="130"/>
      <c r="P12297" s="99"/>
      <c r="Q12297" s="99"/>
      <c r="R12297" s="99"/>
    </row>
    <row r="12298" spans="5:18" s="65" customFormat="1">
      <c r="E12298" s="130"/>
      <c r="P12298" s="99"/>
      <c r="Q12298" s="99"/>
      <c r="R12298" s="99"/>
    </row>
    <row r="12299" spans="5:18" s="65" customFormat="1">
      <c r="E12299" s="130"/>
      <c r="P12299" s="99"/>
      <c r="Q12299" s="99"/>
      <c r="R12299" s="99"/>
    </row>
    <row r="12300" spans="5:18" s="65" customFormat="1">
      <c r="E12300" s="130"/>
      <c r="P12300" s="99"/>
      <c r="Q12300" s="99"/>
      <c r="R12300" s="99"/>
    </row>
    <row r="12301" spans="5:18" s="65" customFormat="1">
      <c r="E12301" s="130"/>
      <c r="P12301" s="99"/>
      <c r="Q12301" s="99"/>
      <c r="R12301" s="99"/>
    </row>
    <row r="12302" spans="5:18" s="65" customFormat="1">
      <c r="E12302" s="130"/>
      <c r="P12302" s="99"/>
      <c r="Q12302" s="99"/>
      <c r="R12302" s="99"/>
    </row>
    <row r="12303" spans="5:18" s="65" customFormat="1">
      <c r="E12303" s="130"/>
      <c r="P12303" s="99"/>
      <c r="Q12303" s="99"/>
      <c r="R12303" s="99"/>
    </row>
    <row r="12304" spans="5:18" s="65" customFormat="1">
      <c r="E12304" s="130"/>
      <c r="P12304" s="99"/>
      <c r="Q12304" s="99"/>
      <c r="R12304" s="99"/>
    </row>
    <row r="12305" spans="5:18" s="65" customFormat="1">
      <c r="E12305" s="130"/>
      <c r="P12305" s="99"/>
      <c r="Q12305" s="99"/>
      <c r="R12305" s="99"/>
    </row>
    <row r="12306" spans="5:18" s="65" customFormat="1">
      <c r="E12306" s="130"/>
      <c r="P12306" s="99"/>
      <c r="Q12306" s="99"/>
      <c r="R12306" s="99"/>
    </row>
    <row r="12307" spans="5:18" s="65" customFormat="1">
      <c r="E12307" s="130"/>
      <c r="P12307" s="99"/>
      <c r="Q12307" s="99"/>
      <c r="R12307" s="99"/>
    </row>
    <row r="12308" spans="5:18" s="65" customFormat="1">
      <c r="E12308" s="130"/>
      <c r="P12308" s="99"/>
      <c r="Q12308" s="99"/>
      <c r="R12308" s="99"/>
    </row>
    <row r="12309" spans="5:18" s="65" customFormat="1">
      <c r="E12309" s="130"/>
      <c r="P12309" s="99"/>
      <c r="Q12309" s="99"/>
      <c r="R12309" s="99"/>
    </row>
    <row r="12310" spans="5:18" s="65" customFormat="1">
      <c r="E12310" s="130"/>
      <c r="P12310" s="99"/>
      <c r="Q12310" s="99"/>
      <c r="R12310" s="99"/>
    </row>
    <row r="12311" spans="5:18" s="65" customFormat="1">
      <c r="E12311" s="130"/>
      <c r="P12311" s="99"/>
      <c r="Q12311" s="99"/>
      <c r="R12311" s="99"/>
    </row>
    <row r="12312" spans="5:18" s="65" customFormat="1">
      <c r="E12312" s="130"/>
      <c r="P12312" s="99"/>
      <c r="Q12312" s="99"/>
      <c r="R12312" s="99"/>
    </row>
    <row r="12313" spans="5:18" s="65" customFormat="1">
      <c r="E12313" s="130"/>
      <c r="P12313" s="99"/>
      <c r="Q12313" s="99"/>
      <c r="R12313" s="99"/>
    </row>
    <row r="12314" spans="5:18" s="65" customFormat="1">
      <c r="E12314" s="130"/>
      <c r="P12314" s="99"/>
      <c r="Q12314" s="99"/>
      <c r="R12314" s="99"/>
    </row>
    <row r="12315" spans="5:18" s="65" customFormat="1">
      <c r="E12315" s="130"/>
      <c r="P12315" s="99"/>
      <c r="Q12315" s="99"/>
      <c r="R12315" s="99"/>
    </row>
    <row r="12316" spans="5:18" s="65" customFormat="1">
      <c r="E12316" s="130"/>
      <c r="P12316" s="99"/>
      <c r="Q12316" s="99"/>
      <c r="R12316" s="99"/>
    </row>
    <row r="12317" spans="5:18" s="65" customFormat="1">
      <c r="E12317" s="130"/>
      <c r="P12317" s="99"/>
      <c r="Q12317" s="99"/>
      <c r="R12317" s="99"/>
    </row>
    <row r="12318" spans="5:18" s="65" customFormat="1">
      <c r="E12318" s="130"/>
      <c r="P12318" s="99"/>
      <c r="Q12318" s="99"/>
      <c r="R12318" s="99"/>
    </row>
    <row r="12319" spans="5:18" s="65" customFormat="1">
      <c r="E12319" s="130"/>
      <c r="P12319" s="99"/>
      <c r="Q12319" s="99"/>
      <c r="R12319" s="99"/>
    </row>
    <row r="12320" spans="5:18" s="65" customFormat="1">
      <c r="E12320" s="130"/>
      <c r="P12320" s="99"/>
      <c r="Q12320" s="99"/>
      <c r="R12320" s="99"/>
    </row>
    <row r="12321" spans="5:18" s="65" customFormat="1">
      <c r="E12321" s="130"/>
      <c r="P12321" s="99"/>
      <c r="Q12321" s="99"/>
      <c r="R12321" s="99"/>
    </row>
    <row r="12322" spans="5:18" s="65" customFormat="1">
      <c r="E12322" s="130"/>
      <c r="P12322" s="99"/>
      <c r="Q12322" s="99"/>
      <c r="R12322" s="99"/>
    </row>
    <row r="12323" spans="5:18" s="65" customFormat="1">
      <c r="E12323" s="130"/>
      <c r="P12323" s="99"/>
      <c r="Q12323" s="99"/>
      <c r="R12323" s="99"/>
    </row>
    <row r="12324" spans="5:18" s="65" customFormat="1">
      <c r="E12324" s="130"/>
      <c r="P12324" s="99"/>
      <c r="Q12324" s="99"/>
      <c r="R12324" s="99"/>
    </row>
    <row r="12325" spans="5:18" s="65" customFormat="1">
      <c r="E12325" s="130"/>
      <c r="P12325" s="99"/>
      <c r="Q12325" s="99"/>
      <c r="R12325" s="99"/>
    </row>
    <row r="12326" spans="5:18" s="65" customFormat="1">
      <c r="E12326" s="130"/>
      <c r="P12326" s="99"/>
      <c r="Q12326" s="99"/>
      <c r="R12326" s="99"/>
    </row>
    <row r="12327" spans="5:18" s="65" customFormat="1">
      <c r="E12327" s="130"/>
      <c r="P12327" s="99"/>
      <c r="Q12327" s="99"/>
      <c r="R12327" s="99"/>
    </row>
    <row r="12328" spans="5:18" s="65" customFormat="1">
      <c r="E12328" s="130"/>
      <c r="P12328" s="99"/>
      <c r="Q12328" s="99"/>
      <c r="R12328" s="99"/>
    </row>
    <row r="12329" spans="5:18" s="65" customFormat="1">
      <c r="E12329" s="130"/>
      <c r="P12329" s="99"/>
      <c r="Q12329" s="99"/>
      <c r="R12329" s="99"/>
    </row>
    <row r="12330" spans="5:18" s="65" customFormat="1">
      <c r="E12330" s="130"/>
      <c r="P12330" s="99"/>
      <c r="Q12330" s="99"/>
      <c r="R12330" s="99"/>
    </row>
    <row r="12331" spans="5:18" s="65" customFormat="1">
      <c r="E12331" s="130"/>
      <c r="P12331" s="99"/>
      <c r="Q12331" s="99"/>
      <c r="R12331" s="99"/>
    </row>
    <row r="12332" spans="5:18" s="65" customFormat="1">
      <c r="E12332" s="130"/>
      <c r="P12332" s="99"/>
      <c r="Q12332" s="99"/>
      <c r="R12332" s="99"/>
    </row>
    <row r="12333" spans="5:18" s="65" customFormat="1">
      <c r="E12333" s="130"/>
      <c r="P12333" s="99"/>
      <c r="Q12333" s="99"/>
      <c r="R12333" s="99"/>
    </row>
    <row r="12334" spans="5:18" s="65" customFormat="1">
      <c r="E12334" s="130"/>
      <c r="P12334" s="99"/>
      <c r="Q12334" s="99"/>
      <c r="R12334" s="99"/>
    </row>
    <row r="12335" spans="5:18" s="65" customFormat="1">
      <c r="E12335" s="130"/>
      <c r="P12335" s="99"/>
      <c r="Q12335" s="99"/>
      <c r="R12335" s="99"/>
    </row>
    <row r="12336" spans="5:18" s="65" customFormat="1">
      <c r="E12336" s="130"/>
      <c r="P12336" s="99"/>
      <c r="Q12336" s="99"/>
      <c r="R12336" s="99"/>
    </row>
    <row r="12337" spans="5:18" s="65" customFormat="1">
      <c r="E12337" s="130"/>
      <c r="P12337" s="99"/>
      <c r="Q12337" s="99"/>
      <c r="R12337" s="99"/>
    </row>
    <row r="12338" spans="5:18" s="65" customFormat="1">
      <c r="E12338" s="130"/>
      <c r="P12338" s="99"/>
      <c r="Q12338" s="99"/>
      <c r="R12338" s="99"/>
    </row>
    <row r="12339" spans="5:18" s="65" customFormat="1">
      <c r="E12339" s="130"/>
      <c r="P12339" s="99"/>
      <c r="Q12339" s="99"/>
      <c r="R12339" s="99"/>
    </row>
    <row r="12340" spans="5:18" s="65" customFormat="1">
      <c r="E12340" s="130"/>
      <c r="P12340" s="99"/>
      <c r="Q12340" s="99"/>
      <c r="R12340" s="99"/>
    </row>
    <row r="12341" spans="5:18" s="65" customFormat="1">
      <c r="E12341" s="130"/>
      <c r="P12341" s="99"/>
      <c r="Q12341" s="99"/>
      <c r="R12341" s="99"/>
    </row>
    <row r="12342" spans="5:18" s="65" customFormat="1">
      <c r="E12342" s="130"/>
      <c r="P12342" s="99"/>
      <c r="Q12342" s="99"/>
      <c r="R12342" s="99"/>
    </row>
    <row r="12343" spans="5:18" s="65" customFormat="1">
      <c r="E12343" s="130"/>
      <c r="P12343" s="99"/>
      <c r="Q12343" s="99"/>
      <c r="R12343" s="99"/>
    </row>
    <row r="12344" spans="5:18" s="65" customFormat="1">
      <c r="E12344" s="130"/>
      <c r="P12344" s="99"/>
      <c r="Q12344" s="99"/>
      <c r="R12344" s="99"/>
    </row>
    <row r="12345" spans="5:18" s="65" customFormat="1">
      <c r="E12345" s="130"/>
      <c r="P12345" s="99"/>
      <c r="Q12345" s="99"/>
      <c r="R12345" s="99"/>
    </row>
    <row r="12346" spans="5:18" s="65" customFormat="1">
      <c r="E12346" s="130"/>
      <c r="P12346" s="99"/>
      <c r="Q12346" s="99"/>
      <c r="R12346" s="99"/>
    </row>
    <row r="12347" spans="5:18" s="65" customFormat="1">
      <c r="E12347" s="130"/>
      <c r="P12347" s="99"/>
      <c r="Q12347" s="99"/>
      <c r="R12347" s="99"/>
    </row>
    <row r="12348" spans="5:18" s="65" customFormat="1">
      <c r="E12348" s="130"/>
      <c r="P12348" s="99"/>
      <c r="Q12348" s="99"/>
      <c r="R12348" s="99"/>
    </row>
    <row r="12349" spans="5:18" s="65" customFormat="1">
      <c r="E12349" s="130"/>
      <c r="P12349" s="99"/>
      <c r="Q12349" s="99"/>
      <c r="R12349" s="99"/>
    </row>
    <row r="12350" spans="5:18" s="65" customFormat="1">
      <c r="E12350" s="130"/>
      <c r="P12350" s="99"/>
      <c r="Q12350" s="99"/>
      <c r="R12350" s="99"/>
    </row>
    <row r="12351" spans="5:18" s="65" customFormat="1">
      <c r="E12351" s="130"/>
      <c r="P12351" s="99"/>
      <c r="Q12351" s="99"/>
      <c r="R12351" s="99"/>
    </row>
    <row r="12352" spans="5:18" s="65" customFormat="1">
      <c r="E12352" s="130"/>
      <c r="P12352" s="99"/>
      <c r="Q12352" s="99"/>
      <c r="R12352" s="99"/>
    </row>
    <row r="12353" spans="5:18" s="65" customFormat="1">
      <c r="E12353" s="130"/>
      <c r="P12353" s="99"/>
      <c r="Q12353" s="99"/>
      <c r="R12353" s="99"/>
    </row>
    <row r="12354" spans="5:18" s="65" customFormat="1">
      <c r="E12354" s="130"/>
      <c r="P12354" s="99"/>
      <c r="Q12354" s="99"/>
      <c r="R12354" s="99"/>
    </row>
    <row r="12355" spans="5:18" s="65" customFormat="1">
      <c r="E12355" s="130"/>
      <c r="P12355" s="99"/>
      <c r="Q12355" s="99"/>
      <c r="R12355" s="99"/>
    </row>
    <row r="12356" spans="5:18" s="65" customFormat="1">
      <c r="E12356" s="130"/>
      <c r="P12356" s="99"/>
      <c r="Q12356" s="99"/>
      <c r="R12356" s="99"/>
    </row>
    <row r="12357" spans="5:18" s="65" customFormat="1">
      <c r="E12357" s="130"/>
      <c r="P12357" s="99"/>
      <c r="Q12357" s="99"/>
      <c r="R12357" s="99"/>
    </row>
    <row r="12358" spans="5:18" s="65" customFormat="1">
      <c r="E12358" s="130"/>
      <c r="P12358" s="99"/>
      <c r="Q12358" s="99"/>
      <c r="R12358" s="99"/>
    </row>
    <row r="12359" spans="5:18" s="65" customFormat="1">
      <c r="E12359" s="130"/>
      <c r="P12359" s="99"/>
      <c r="Q12359" s="99"/>
      <c r="R12359" s="99"/>
    </row>
    <row r="12360" spans="5:18" s="65" customFormat="1">
      <c r="E12360" s="130"/>
      <c r="P12360" s="99"/>
      <c r="Q12360" s="99"/>
      <c r="R12360" s="99"/>
    </row>
    <row r="12361" spans="5:18" s="65" customFormat="1">
      <c r="E12361" s="130"/>
      <c r="P12361" s="99"/>
      <c r="Q12361" s="99"/>
      <c r="R12361" s="99"/>
    </row>
    <row r="12362" spans="5:18" s="65" customFormat="1">
      <c r="E12362" s="130"/>
      <c r="P12362" s="99"/>
      <c r="Q12362" s="99"/>
      <c r="R12362" s="99"/>
    </row>
    <row r="12363" spans="5:18" s="65" customFormat="1">
      <c r="E12363" s="130"/>
      <c r="P12363" s="99"/>
      <c r="Q12363" s="99"/>
      <c r="R12363" s="99"/>
    </row>
    <row r="12364" spans="5:18" s="65" customFormat="1">
      <c r="E12364" s="130"/>
      <c r="P12364" s="99"/>
      <c r="Q12364" s="99"/>
      <c r="R12364" s="99"/>
    </row>
    <row r="12365" spans="5:18" s="65" customFormat="1">
      <c r="E12365" s="130"/>
      <c r="P12365" s="99"/>
      <c r="Q12365" s="99"/>
      <c r="R12365" s="99"/>
    </row>
    <row r="12366" spans="5:18" s="65" customFormat="1">
      <c r="E12366" s="130"/>
      <c r="P12366" s="99"/>
      <c r="Q12366" s="99"/>
      <c r="R12366" s="99"/>
    </row>
    <row r="12367" spans="5:18" s="65" customFormat="1">
      <c r="E12367" s="130"/>
      <c r="P12367" s="99"/>
      <c r="Q12367" s="99"/>
      <c r="R12367" s="99"/>
    </row>
    <row r="12368" spans="5:18" s="65" customFormat="1">
      <c r="E12368" s="130"/>
      <c r="P12368" s="99"/>
      <c r="Q12368" s="99"/>
      <c r="R12368" s="99"/>
    </row>
    <row r="12369" spans="5:18" s="65" customFormat="1">
      <c r="E12369" s="130"/>
      <c r="P12369" s="99"/>
      <c r="Q12369" s="99"/>
      <c r="R12369" s="99"/>
    </row>
    <row r="12370" spans="5:18" s="65" customFormat="1">
      <c r="E12370" s="130"/>
      <c r="P12370" s="99"/>
      <c r="Q12370" s="99"/>
      <c r="R12370" s="99"/>
    </row>
    <row r="12371" spans="5:18" s="65" customFormat="1">
      <c r="E12371" s="130"/>
      <c r="P12371" s="99"/>
      <c r="Q12371" s="99"/>
      <c r="R12371" s="99"/>
    </row>
    <row r="12372" spans="5:18" s="65" customFormat="1">
      <c r="E12372" s="130"/>
      <c r="P12372" s="99"/>
      <c r="Q12372" s="99"/>
      <c r="R12372" s="99"/>
    </row>
    <row r="12373" spans="5:18" s="65" customFormat="1">
      <c r="E12373" s="130"/>
      <c r="P12373" s="99"/>
      <c r="Q12373" s="99"/>
      <c r="R12373" s="99"/>
    </row>
    <row r="12374" spans="5:18" s="65" customFormat="1">
      <c r="E12374" s="130"/>
      <c r="P12374" s="99"/>
      <c r="Q12374" s="99"/>
      <c r="R12374" s="99"/>
    </row>
    <row r="12375" spans="5:18" s="65" customFormat="1">
      <c r="E12375" s="130"/>
      <c r="P12375" s="99"/>
      <c r="Q12375" s="99"/>
      <c r="R12375" s="99"/>
    </row>
    <row r="12376" spans="5:18" s="65" customFormat="1">
      <c r="E12376" s="130"/>
      <c r="P12376" s="99"/>
      <c r="Q12376" s="99"/>
      <c r="R12376" s="99"/>
    </row>
    <row r="12377" spans="5:18" s="65" customFormat="1">
      <c r="E12377" s="130"/>
      <c r="P12377" s="99"/>
      <c r="Q12377" s="99"/>
      <c r="R12377" s="99"/>
    </row>
    <row r="12378" spans="5:18" s="65" customFormat="1">
      <c r="E12378" s="130"/>
      <c r="P12378" s="99"/>
      <c r="Q12378" s="99"/>
      <c r="R12378" s="99"/>
    </row>
    <row r="12379" spans="5:18" s="65" customFormat="1">
      <c r="E12379" s="130"/>
      <c r="P12379" s="99"/>
      <c r="Q12379" s="99"/>
      <c r="R12379" s="99"/>
    </row>
    <row r="12380" spans="5:18" s="65" customFormat="1">
      <c r="E12380" s="130"/>
      <c r="P12380" s="99"/>
      <c r="Q12380" s="99"/>
      <c r="R12380" s="99"/>
    </row>
    <row r="12381" spans="5:18" s="65" customFormat="1">
      <c r="E12381" s="130"/>
      <c r="P12381" s="99"/>
      <c r="Q12381" s="99"/>
      <c r="R12381" s="99"/>
    </row>
    <row r="12382" spans="5:18" s="65" customFormat="1">
      <c r="E12382" s="130"/>
      <c r="P12382" s="99"/>
      <c r="Q12382" s="99"/>
      <c r="R12382" s="99"/>
    </row>
    <row r="12383" spans="5:18" s="65" customFormat="1">
      <c r="E12383" s="130"/>
      <c r="P12383" s="99"/>
      <c r="Q12383" s="99"/>
      <c r="R12383" s="99"/>
    </row>
    <row r="12384" spans="5:18" s="65" customFormat="1">
      <c r="E12384" s="130"/>
      <c r="P12384" s="99"/>
      <c r="Q12384" s="99"/>
      <c r="R12384" s="99"/>
    </row>
    <row r="12385" spans="5:18" s="65" customFormat="1">
      <c r="E12385" s="130"/>
      <c r="P12385" s="99"/>
      <c r="Q12385" s="99"/>
      <c r="R12385" s="99"/>
    </row>
    <row r="12386" spans="5:18" s="65" customFormat="1">
      <c r="E12386" s="130"/>
      <c r="P12386" s="99"/>
      <c r="Q12386" s="99"/>
      <c r="R12386" s="99"/>
    </row>
    <row r="12387" spans="5:18" s="65" customFormat="1">
      <c r="E12387" s="130"/>
      <c r="P12387" s="99"/>
      <c r="Q12387" s="99"/>
      <c r="R12387" s="99"/>
    </row>
    <row r="12388" spans="5:18" s="65" customFormat="1">
      <c r="E12388" s="130"/>
      <c r="P12388" s="99"/>
      <c r="Q12388" s="99"/>
      <c r="R12388" s="99"/>
    </row>
    <row r="12389" spans="5:18" s="65" customFormat="1">
      <c r="E12389" s="130"/>
      <c r="P12389" s="99"/>
      <c r="Q12389" s="99"/>
      <c r="R12389" s="99"/>
    </row>
    <row r="12390" spans="5:18" s="65" customFormat="1">
      <c r="E12390" s="130"/>
      <c r="P12390" s="99"/>
      <c r="Q12390" s="99"/>
      <c r="R12390" s="99"/>
    </row>
    <row r="12391" spans="5:18" s="65" customFormat="1">
      <c r="E12391" s="130"/>
      <c r="P12391" s="99"/>
      <c r="Q12391" s="99"/>
      <c r="R12391" s="99"/>
    </row>
    <row r="12392" spans="5:18" s="65" customFormat="1">
      <c r="E12392" s="130"/>
      <c r="P12392" s="99"/>
      <c r="Q12392" s="99"/>
      <c r="R12392" s="99"/>
    </row>
    <row r="12393" spans="5:18" s="65" customFormat="1">
      <c r="E12393" s="130"/>
      <c r="P12393" s="99"/>
      <c r="Q12393" s="99"/>
      <c r="R12393" s="99"/>
    </row>
    <row r="12394" spans="5:18" s="65" customFormat="1">
      <c r="E12394" s="130"/>
      <c r="P12394" s="99"/>
      <c r="Q12394" s="99"/>
      <c r="R12394" s="99"/>
    </row>
    <row r="12395" spans="5:18" s="65" customFormat="1">
      <c r="E12395" s="130"/>
      <c r="P12395" s="99"/>
      <c r="Q12395" s="99"/>
      <c r="R12395" s="99"/>
    </row>
    <row r="12396" spans="5:18" s="65" customFormat="1">
      <c r="E12396" s="130"/>
      <c r="P12396" s="99"/>
      <c r="Q12396" s="99"/>
      <c r="R12396" s="99"/>
    </row>
    <row r="12397" spans="5:18" s="65" customFormat="1">
      <c r="E12397" s="130"/>
      <c r="P12397" s="99"/>
      <c r="Q12397" s="99"/>
      <c r="R12397" s="99"/>
    </row>
    <row r="12398" spans="5:18" s="65" customFormat="1">
      <c r="E12398" s="130"/>
      <c r="P12398" s="99"/>
      <c r="Q12398" s="99"/>
      <c r="R12398" s="99"/>
    </row>
    <row r="12399" spans="5:18" s="65" customFormat="1">
      <c r="E12399" s="130"/>
      <c r="P12399" s="99"/>
      <c r="Q12399" s="99"/>
      <c r="R12399" s="99"/>
    </row>
    <row r="12400" spans="5:18" s="65" customFormat="1">
      <c r="E12400" s="130"/>
      <c r="P12400" s="99"/>
      <c r="Q12400" s="99"/>
      <c r="R12400" s="99"/>
    </row>
    <row r="12401" spans="5:18" s="65" customFormat="1">
      <c r="E12401" s="130"/>
      <c r="P12401" s="99"/>
      <c r="Q12401" s="99"/>
      <c r="R12401" s="99"/>
    </row>
    <row r="12402" spans="5:18" s="65" customFormat="1">
      <c r="E12402" s="130"/>
      <c r="P12402" s="99"/>
      <c r="Q12402" s="99"/>
      <c r="R12402" s="99"/>
    </row>
    <row r="12403" spans="5:18" s="65" customFormat="1">
      <c r="E12403" s="130"/>
      <c r="P12403" s="99"/>
      <c r="Q12403" s="99"/>
      <c r="R12403" s="99"/>
    </row>
    <row r="12404" spans="5:18" s="65" customFormat="1">
      <c r="E12404" s="130"/>
      <c r="P12404" s="99"/>
      <c r="Q12404" s="99"/>
      <c r="R12404" s="99"/>
    </row>
    <row r="12405" spans="5:18" s="65" customFormat="1">
      <c r="E12405" s="130"/>
      <c r="P12405" s="99"/>
      <c r="Q12405" s="99"/>
      <c r="R12405" s="99"/>
    </row>
    <row r="12406" spans="5:18" s="65" customFormat="1">
      <c r="E12406" s="130"/>
      <c r="P12406" s="99"/>
      <c r="Q12406" s="99"/>
      <c r="R12406" s="99"/>
    </row>
    <row r="12407" spans="5:18" s="65" customFormat="1">
      <c r="E12407" s="130"/>
      <c r="P12407" s="99"/>
      <c r="Q12407" s="99"/>
      <c r="R12407" s="99"/>
    </row>
    <row r="12408" spans="5:18" s="65" customFormat="1">
      <c r="E12408" s="130"/>
      <c r="P12408" s="99"/>
      <c r="Q12408" s="99"/>
      <c r="R12408" s="99"/>
    </row>
    <row r="12409" spans="5:18" s="65" customFormat="1">
      <c r="E12409" s="130"/>
      <c r="P12409" s="99"/>
      <c r="Q12409" s="99"/>
      <c r="R12409" s="99"/>
    </row>
    <row r="12410" spans="5:18" s="65" customFormat="1">
      <c r="E12410" s="130"/>
      <c r="P12410" s="99"/>
      <c r="Q12410" s="99"/>
      <c r="R12410" s="99"/>
    </row>
    <row r="12411" spans="5:18" s="65" customFormat="1">
      <c r="E12411" s="130"/>
      <c r="P12411" s="99"/>
      <c r="Q12411" s="99"/>
      <c r="R12411" s="99"/>
    </row>
    <row r="12412" spans="5:18" s="65" customFormat="1">
      <c r="E12412" s="130"/>
      <c r="P12412" s="99"/>
      <c r="Q12412" s="99"/>
      <c r="R12412" s="99"/>
    </row>
    <row r="12413" spans="5:18" s="65" customFormat="1">
      <c r="E12413" s="130"/>
      <c r="P12413" s="99"/>
      <c r="Q12413" s="99"/>
      <c r="R12413" s="99"/>
    </row>
    <row r="12414" spans="5:18" s="65" customFormat="1">
      <c r="E12414" s="130"/>
      <c r="P12414" s="99"/>
      <c r="Q12414" s="99"/>
      <c r="R12414" s="99"/>
    </row>
    <row r="12415" spans="5:18" s="65" customFormat="1">
      <c r="E12415" s="130"/>
      <c r="P12415" s="99"/>
      <c r="Q12415" s="99"/>
      <c r="R12415" s="99"/>
    </row>
    <row r="12416" spans="5:18" s="65" customFormat="1">
      <c r="E12416" s="130"/>
      <c r="P12416" s="99"/>
      <c r="Q12416" s="99"/>
      <c r="R12416" s="99"/>
    </row>
    <row r="12417" spans="5:18" s="65" customFormat="1">
      <c r="E12417" s="130"/>
      <c r="P12417" s="99"/>
      <c r="Q12417" s="99"/>
      <c r="R12417" s="99"/>
    </row>
    <row r="12418" spans="5:18" s="65" customFormat="1">
      <c r="E12418" s="130"/>
      <c r="P12418" s="99"/>
      <c r="Q12418" s="99"/>
      <c r="R12418" s="99"/>
    </row>
    <row r="12419" spans="5:18" s="65" customFormat="1">
      <c r="E12419" s="130"/>
      <c r="P12419" s="99"/>
      <c r="Q12419" s="99"/>
      <c r="R12419" s="99"/>
    </row>
    <row r="12420" spans="5:18" s="65" customFormat="1">
      <c r="E12420" s="130"/>
      <c r="P12420" s="99"/>
      <c r="Q12420" s="99"/>
      <c r="R12420" s="99"/>
    </row>
    <row r="12421" spans="5:18" s="65" customFormat="1">
      <c r="E12421" s="130"/>
      <c r="P12421" s="99"/>
      <c r="Q12421" s="99"/>
      <c r="R12421" s="99"/>
    </row>
    <row r="12422" spans="5:18" s="65" customFormat="1">
      <c r="E12422" s="130"/>
      <c r="P12422" s="99"/>
      <c r="Q12422" s="99"/>
      <c r="R12422" s="99"/>
    </row>
    <row r="12423" spans="5:18" s="65" customFormat="1">
      <c r="E12423" s="130"/>
      <c r="P12423" s="99"/>
      <c r="Q12423" s="99"/>
      <c r="R12423" s="99"/>
    </row>
    <row r="12424" spans="5:18" s="65" customFormat="1">
      <c r="E12424" s="130"/>
      <c r="P12424" s="99"/>
      <c r="Q12424" s="99"/>
      <c r="R12424" s="99"/>
    </row>
    <row r="12425" spans="5:18" s="65" customFormat="1">
      <c r="E12425" s="130"/>
      <c r="P12425" s="99"/>
      <c r="Q12425" s="99"/>
      <c r="R12425" s="99"/>
    </row>
    <row r="12426" spans="5:18" s="65" customFormat="1">
      <c r="E12426" s="130"/>
      <c r="P12426" s="99"/>
      <c r="Q12426" s="99"/>
      <c r="R12426" s="99"/>
    </row>
    <row r="12427" spans="5:18" s="65" customFormat="1">
      <c r="E12427" s="130"/>
      <c r="P12427" s="99"/>
      <c r="Q12427" s="99"/>
      <c r="R12427" s="99"/>
    </row>
    <row r="12428" spans="5:18" s="65" customFormat="1">
      <c r="E12428" s="130"/>
      <c r="P12428" s="99"/>
      <c r="Q12428" s="99"/>
      <c r="R12428" s="99"/>
    </row>
    <row r="12429" spans="5:18" s="65" customFormat="1">
      <c r="E12429" s="130"/>
      <c r="P12429" s="99"/>
      <c r="Q12429" s="99"/>
      <c r="R12429" s="99"/>
    </row>
    <row r="12430" spans="5:18" s="65" customFormat="1">
      <c r="E12430" s="130"/>
      <c r="P12430" s="99"/>
      <c r="Q12430" s="99"/>
      <c r="R12430" s="99"/>
    </row>
    <row r="12431" spans="5:18" s="65" customFormat="1">
      <c r="E12431" s="130"/>
      <c r="P12431" s="99"/>
      <c r="Q12431" s="99"/>
      <c r="R12431" s="99"/>
    </row>
    <row r="12432" spans="5:18" s="65" customFormat="1">
      <c r="E12432" s="130"/>
      <c r="P12432" s="99"/>
      <c r="Q12432" s="99"/>
      <c r="R12432" s="99"/>
    </row>
    <row r="12433" spans="5:18" s="65" customFormat="1">
      <c r="E12433" s="130"/>
      <c r="P12433" s="99"/>
      <c r="Q12433" s="99"/>
      <c r="R12433" s="99"/>
    </row>
    <row r="12434" spans="5:18" s="65" customFormat="1">
      <c r="E12434" s="130"/>
      <c r="P12434" s="99"/>
      <c r="Q12434" s="99"/>
      <c r="R12434" s="99"/>
    </row>
    <row r="12435" spans="5:18" s="65" customFormat="1">
      <c r="E12435" s="130"/>
      <c r="P12435" s="99"/>
      <c r="Q12435" s="99"/>
      <c r="R12435" s="99"/>
    </row>
    <row r="12436" spans="5:18" s="65" customFormat="1">
      <c r="E12436" s="130"/>
      <c r="P12436" s="99"/>
      <c r="Q12436" s="99"/>
      <c r="R12436" s="99"/>
    </row>
    <row r="12437" spans="5:18" s="65" customFormat="1">
      <c r="E12437" s="130"/>
      <c r="P12437" s="99"/>
      <c r="Q12437" s="99"/>
      <c r="R12437" s="99"/>
    </row>
    <row r="12438" spans="5:18" s="65" customFormat="1">
      <c r="E12438" s="130"/>
      <c r="P12438" s="99"/>
      <c r="Q12438" s="99"/>
      <c r="R12438" s="99"/>
    </row>
    <row r="12439" spans="5:18" s="65" customFormat="1">
      <c r="E12439" s="130"/>
      <c r="P12439" s="99"/>
      <c r="Q12439" s="99"/>
      <c r="R12439" s="99"/>
    </row>
    <row r="12440" spans="5:18" s="65" customFormat="1">
      <c r="E12440" s="130"/>
      <c r="P12440" s="99"/>
      <c r="Q12440" s="99"/>
      <c r="R12440" s="99"/>
    </row>
    <row r="12441" spans="5:18" s="65" customFormat="1">
      <c r="E12441" s="130"/>
      <c r="P12441" s="99"/>
      <c r="Q12441" s="99"/>
      <c r="R12441" s="99"/>
    </row>
    <row r="12442" spans="5:18" s="65" customFormat="1">
      <c r="E12442" s="130"/>
      <c r="P12442" s="99"/>
      <c r="Q12442" s="99"/>
      <c r="R12442" s="99"/>
    </row>
    <row r="12443" spans="5:18" s="65" customFormat="1">
      <c r="E12443" s="130"/>
      <c r="P12443" s="99"/>
      <c r="Q12443" s="99"/>
      <c r="R12443" s="99"/>
    </row>
    <row r="12444" spans="5:18" s="65" customFormat="1">
      <c r="E12444" s="130"/>
      <c r="P12444" s="99"/>
      <c r="Q12444" s="99"/>
      <c r="R12444" s="99"/>
    </row>
    <row r="12445" spans="5:18" s="65" customFormat="1">
      <c r="E12445" s="130"/>
      <c r="P12445" s="99"/>
      <c r="Q12445" s="99"/>
      <c r="R12445" s="99"/>
    </row>
    <row r="12446" spans="5:18" s="65" customFormat="1">
      <c r="E12446" s="130"/>
      <c r="P12446" s="99"/>
      <c r="Q12446" s="99"/>
      <c r="R12446" s="99"/>
    </row>
    <row r="12447" spans="5:18" s="65" customFormat="1">
      <c r="E12447" s="130"/>
      <c r="P12447" s="99"/>
      <c r="Q12447" s="99"/>
      <c r="R12447" s="99"/>
    </row>
    <row r="12448" spans="5:18" s="65" customFormat="1">
      <c r="E12448" s="130"/>
      <c r="P12448" s="99"/>
      <c r="Q12448" s="99"/>
      <c r="R12448" s="99"/>
    </row>
    <row r="12449" spans="5:18" s="65" customFormat="1">
      <c r="E12449" s="130"/>
      <c r="P12449" s="99"/>
      <c r="Q12449" s="99"/>
      <c r="R12449" s="99"/>
    </row>
    <row r="12450" spans="5:18" s="65" customFormat="1">
      <c r="E12450" s="130"/>
      <c r="P12450" s="99"/>
      <c r="Q12450" s="99"/>
      <c r="R12450" s="99"/>
    </row>
    <row r="12451" spans="5:18" s="65" customFormat="1">
      <c r="E12451" s="130"/>
      <c r="P12451" s="99"/>
      <c r="Q12451" s="99"/>
      <c r="R12451" s="99"/>
    </row>
    <row r="12452" spans="5:18" s="65" customFormat="1">
      <c r="E12452" s="130"/>
      <c r="P12452" s="99"/>
      <c r="Q12452" s="99"/>
      <c r="R12452" s="99"/>
    </row>
    <row r="12453" spans="5:18" s="65" customFormat="1">
      <c r="E12453" s="130"/>
      <c r="P12453" s="99"/>
      <c r="Q12453" s="99"/>
      <c r="R12453" s="99"/>
    </row>
    <row r="12454" spans="5:18" s="65" customFormat="1">
      <c r="E12454" s="130"/>
      <c r="P12454" s="99"/>
      <c r="Q12454" s="99"/>
      <c r="R12454" s="99"/>
    </row>
    <row r="12455" spans="5:18" s="65" customFormat="1">
      <c r="E12455" s="130"/>
      <c r="P12455" s="99"/>
      <c r="Q12455" s="99"/>
      <c r="R12455" s="99"/>
    </row>
    <row r="12456" spans="5:18" s="65" customFormat="1">
      <c r="E12456" s="130"/>
      <c r="P12456" s="99"/>
      <c r="Q12456" s="99"/>
      <c r="R12456" s="99"/>
    </row>
    <row r="12457" spans="5:18" s="65" customFormat="1">
      <c r="E12457" s="130"/>
      <c r="P12457" s="99"/>
      <c r="Q12457" s="99"/>
      <c r="R12457" s="99"/>
    </row>
    <row r="12458" spans="5:18" s="65" customFormat="1">
      <c r="E12458" s="130"/>
      <c r="P12458" s="99"/>
      <c r="Q12458" s="99"/>
      <c r="R12458" s="99"/>
    </row>
    <row r="12459" spans="5:18" s="65" customFormat="1">
      <c r="E12459" s="130"/>
      <c r="P12459" s="99"/>
      <c r="Q12459" s="99"/>
      <c r="R12459" s="99"/>
    </row>
    <row r="12460" spans="5:18" s="65" customFormat="1">
      <c r="E12460" s="130"/>
      <c r="P12460" s="99"/>
      <c r="Q12460" s="99"/>
      <c r="R12460" s="99"/>
    </row>
    <row r="12461" spans="5:18" s="65" customFormat="1">
      <c r="E12461" s="130"/>
      <c r="P12461" s="99"/>
      <c r="Q12461" s="99"/>
      <c r="R12461" s="99"/>
    </row>
    <row r="12462" spans="5:18" s="65" customFormat="1">
      <c r="E12462" s="130"/>
      <c r="P12462" s="99"/>
      <c r="Q12462" s="99"/>
      <c r="R12462" s="99"/>
    </row>
    <row r="12463" spans="5:18" s="65" customFormat="1">
      <c r="E12463" s="130"/>
      <c r="P12463" s="99"/>
      <c r="Q12463" s="99"/>
      <c r="R12463" s="99"/>
    </row>
    <row r="12464" spans="5:18" s="65" customFormat="1">
      <c r="E12464" s="130"/>
      <c r="P12464" s="99"/>
      <c r="Q12464" s="99"/>
      <c r="R12464" s="99"/>
    </row>
    <row r="12465" spans="5:18" s="65" customFormat="1">
      <c r="E12465" s="130"/>
      <c r="P12465" s="99"/>
      <c r="Q12465" s="99"/>
      <c r="R12465" s="99"/>
    </row>
    <row r="12466" spans="5:18" s="65" customFormat="1">
      <c r="E12466" s="130"/>
      <c r="P12466" s="99"/>
      <c r="Q12466" s="99"/>
      <c r="R12466" s="99"/>
    </row>
    <row r="12467" spans="5:18" s="65" customFormat="1">
      <c r="E12467" s="130"/>
      <c r="P12467" s="99"/>
      <c r="Q12467" s="99"/>
      <c r="R12467" s="99"/>
    </row>
    <row r="12468" spans="5:18" s="65" customFormat="1">
      <c r="E12468" s="130"/>
      <c r="P12468" s="99"/>
      <c r="Q12468" s="99"/>
      <c r="R12468" s="99"/>
    </row>
    <row r="12469" spans="5:18" s="65" customFormat="1">
      <c r="E12469" s="130"/>
      <c r="P12469" s="99"/>
      <c r="Q12469" s="99"/>
      <c r="R12469" s="99"/>
    </row>
    <row r="12470" spans="5:18" s="65" customFormat="1">
      <c r="E12470" s="130"/>
      <c r="P12470" s="99"/>
      <c r="Q12470" s="99"/>
      <c r="R12470" s="99"/>
    </row>
    <row r="12471" spans="5:18" s="65" customFormat="1">
      <c r="E12471" s="130"/>
      <c r="P12471" s="99"/>
      <c r="Q12471" s="99"/>
      <c r="R12471" s="99"/>
    </row>
    <row r="12472" spans="5:18" s="65" customFormat="1">
      <c r="E12472" s="130"/>
      <c r="P12472" s="99"/>
      <c r="Q12472" s="99"/>
      <c r="R12472" s="99"/>
    </row>
    <row r="12473" spans="5:18" s="65" customFormat="1">
      <c r="E12473" s="130"/>
      <c r="P12473" s="99"/>
      <c r="Q12473" s="99"/>
      <c r="R12473" s="99"/>
    </row>
    <row r="12474" spans="5:18" s="65" customFormat="1">
      <c r="E12474" s="130"/>
      <c r="P12474" s="99"/>
      <c r="Q12474" s="99"/>
      <c r="R12474" s="99"/>
    </row>
    <row r="12475" spans="5:18" s="65" customFormat="1">
      <c r="E12475" s="130"/>
      <c r="P12475" s="99"/>
      <c r="Q12475" s="99"/>
      <c r="R12475" s="99"/>
    </row>
    <row r="12476" spans="5:18" s="65" customFormat="1">
      <c r="E12476" s="130"/>
      <c r="P12476" s="99"/>
      <c r="Q12476" s="99"/>
      <c r="R12476" s="99"/>
    </row>
    <row r="12477" spans="5:18" s="65" customFormat="1">
      <c r="E12477" s="130"/>
      <c r="P12477" s="99"/>
      <c r="Q12477" s="99"/>
      <c r="R12477" s="99"/>
    </row>
    <row r="12478" spans="5:18" s="65" customFormat="1">
      <c r="E12478" s="130"/>
      <c r="P12478" s="99"/>
      <c r="Q12478" s="99"/>
      <c r="R12478" s="99"/>
    </row>
    <row r="12479" spans="5:18" s="65" customFormat="1">
      <c r="E12479" s="130"/>
      <c r="P12479" s="99"/>
      <c r="Q12479" s="99"/>
      <c r="R12479" s="99"/>
    </row>
    <row r="12480" spans="5:18" s="65" customFormat="1">
      <c r="E12480" s="130"/>
      <c r="P12480" s="99"/>
      <c r="Q12480" s="99"/>
      <c r="R12480" s="99"/>
    </row>
    <row r="12481" spans="5:18" s="65" customFormat="1">
      <c r="E12481" s="130"/>
      <c r="P12481" s="99"/>
      <c r="Q12481" s="99"/>
      <c r="R12481" s="99"/>
    </row>
    <row r="12482" spans="5:18" s="65" customFormat="1">
      <c r="E12482" s="130"/>
      <c r="P12482" s="99"/>
      <c r="Q12482" s="99"/>
      <c r="R12482" s="99"/>
    </row>
    <row r="12483" spans="5:18" s="65" customFormat="1">
      <c r="E12483" s="130"/>
      <c r="P12483" s="99"/>
      <c r="Q12483" s="99"/>
      <c r="R12483" s="99"/>
    </row>
    <row r="12484" spans="5:18" s="65" customFormat="1">
      <c r="E12484" s="130"/>
      <c r="P12484" s="99"/>
      <c r="Q12484" s="99"/>
      <c r="R12484" s="99"/>
    </row>
    <row r="12485" spans="5:18" s="65" customFormat="1">
      <c r="E12485" s="130"/>
      <c r="P12485" s="99"/>
      <c r="Q12485" s="99"/>
      <c r="R12485" s="99"/>
    </row>
    <row r="12486" spans="5:18" s="65" customFormat="1">
      <c r="E12486" s="130"/>
      <c r="P12486" s="99"/>
      <c r="Q12486" s="99"/>
      <c r="R12486" s="99"/>
    </row>
    <row r="12487" spans="5:18" s="65" customFormat="1">
      <c r="E12487" s="130"/>
      <c r="P12487" s="99"/>
      <c r="Q12487" s="99"/>
      <c r="R12487" s="99"/>
    </row>
    <row r="12488" spans="5:18" s="65" customFormat="1">
      <c r="E12488" s="130"/>
      <c r="P12488" s="99"/>
      <c r="Q12488" s="99"/>
      <c r="R12488" s="99"/>
    </row>
    <row r="12489" spans="5:18" s="65" customFormat="1">
      <c r="E12489" s="130"/>
      <c r="P12489" s="99"/>
      <c r="Q12489" s="99"/>
      <c r="R12489" s="99"/>
    </row>
    <row r="12490" spans="5:18" s="65" customFormat="1">
      <c r="E12490" s="130"/>
      <c r="P12490" s="99"/>
      <c r="Q12490" s="99"/>
      <c r="R12490" s="99"/>
    </row>
    <row r="12491" spans="5:18" s="65" customFormat="1">
      <c r="E12491" s="130"/>
      <c r="P12491" s="99"/>
      <c r="Q12491" s="99"/>
      <c r="R12491" s="99"/>
    </row>
    <row r="12492" spans="5:18" s="65" customFormat="1">
      <c r="E12492" s="130"/>
      <c r="P12492" s="99"/>
      <c r="Q12492" s="99"/>
      <c r="R12492" s="99"/>
    </row>
    <row r="12493" spans="5:18" s="65" customFormat="1">
      <c r="E12493" s="130"/>
      <c r="P12493" s="99"/>
      <c r="Q12493" s="99"/>
      <c r="R12493" s="99"/>
    </row>
    <row r="12494" spans="5:18" s="65" customFormat="1">
      <c r="E12494" s="130"/>
      <c r="P12494" s="99"/>
      <c r="Q12494" s="99"/>
      <c r="R12494" s="99"/>
    </row>
    <row r="12495" spans="5:18" s="65" customFormat="1">
      <c r="E12495" s="130"/>
      <c r="P12495" s="99"/>
      <c r="Q12495" s="99"/>
      <c r="R12495" s="99"/>
    </row>
    <row r="12496" spans="5:18" s="65" customFormat="1">
      <c r="E12496" s="130"/>
      <c r="P12496" s="99"/>
      <c r="Q12496" s="99"/>
      <c r="R12496" s="99"/>
    </row>
    <row r="12497" spans="5:18" s="65" customFormat="1">
      <c r="E12497" s="130"/>
      <c r="P12497" s="99"/>
      <c r="Q12497" s="99"/>
      <c r="R12497" s="99"/>
    </row>
    <row r="12498" spans="5:18" s="65" customFormat="1">
      <c r="E12498" s="130"/>
      <c r="P12498" s="99"/>
      <c r="Q12498" s="99"/>
      <c r="R12498" s="99"/>
    </row>
    <row r="12499" spans="5:18" s="65" customFormat="1">
      <c r="E12499" s="130"/>
      <c r="P12499" s="99"/>
      <c r="Q12499" s="99"/>
      <c r="R12499" s="99"/>
    </row>
    <row r="12500" spans="5:18" s="65" customFormat="1">
      <c r="E12500" s="130"/>
      <c r="P12500" s="99"/>
      <c r="Q12500" s="99"/>
      <c r="R12500" s="99"/>
    </row>
    <row r="12501" spans="5:18" s="65" customFormat="1">
      <c r="E12501" s="130"/>
      <c r="P12501" s="99"/>
      <c r="Q12501" s="99"/>
      <c r="R12501" s="99"/>
    </row>
    <row r="12502" spans="5:18" s="65" customFormat="1">
      <c r="E12502" s="130"/>
      <c r="P12502" s="99"/>
      <c r="Q12502" s="99"/>
      <c r="R12502" s="99"/>
    </row>
    <row r="12503" spans="5:18" s="65" customFormat="1">
      <c r="E12503" s="130"/>
      <c r="P12503" s="99"/>
      <c r="Q12503" s="99"/>
      <c r="R12503" s="99"/>
    </row>
    <row r="12504" spans="5:18" s="65" customFormat="1">
      <c r="E12504" s="130"/>
      <c r="P12504" s="99"/>
      <c r="Q12504" s="99"/>
      <c r="R12504" s="99"/>
    </row>
    <row r="12505" spans="5:18" s="65" customFormat="1">
      <c r="E12505" s="130"/>
      <c r="P12505" s="99"/>
      <c r="Q12505" s="99"/>
      <c r="R12505" s="99"/>
    </row>
    <row r="12506" spans="5:18" s="65" customFormat="1">
      <c r="E12506" s="130"/>
      <c r="P12506" s="99"/>
      <c r="Q12506" s="99"/>
      <c r="R12506" s="99"/>
    </row>
    <row r="12507" spans="5:18" s="65" customFormat="1">
      <c r="E12507" s="130"/>
      <c r="P12507" s="99"/>
      <c r="Q12507" s="99"/>
      <c r="R12507" s="99"/>
    </row>
    <row r="12508" spans="5:18" s="65" customFormat="1">
      <c r="E12508" s="130"/>
      <c r="P12508" s="99"/>
      <c r="Q12508" s="99"/>
      <c r="R12508" s="99"/>
    </row>
    <row r="12509" spans="5:18" s="65" customFormat="1">
      <c r="E12509" s="130"/>
      <c r="P12509" s="99"/>
      <c r="Q12509" s="99"/>
      <c r="R12509" s="99"/>
    </row>
    <row r="12510" spans="5:18" s="65" customFormat="1">
      <c r="E12510" s="130"/>
      <c r="P12510" s="99"/>
      <c r="Q12510" s="99"/>
      <c r="R12510" s="99"/>
    </row>
    <row r="12511" spans="5:18" s="65" customFormat="1">
      <c r="E12511" s="130"/>
      <c r="P12511" s="99"/>
      <c r="Q12511" s="99"/>
      <c r="R12511" s="99"/>
    </row>
    <row r="12512" spans="5:18" s="65" customFormat="1">
      <c r="E12512" s="130"/>
      <c r="P12512" s="99"/>
      <c r="Q12512" s="99"/>
      <c r="R12512" s="99"/>
    </row>
    <row r="12513" spans="5:18" s="65" customFormat="1">
      <c r="E12513" s="130"/>
      <c r="P12513" s="99"/>
      <c r="Q12513" s="99"/>
      <c r="R12513" s="99"/>
    </row>
    <row r="12514" spans="5:18" s="65" customFormat="1">
      <c r="E12514" s="130"/>
      <c r="P12514" s="99"/>
      <c r="Q12514" s="99"/>
      <c r="R12514" s="99"/>
    </row>
    <row r="12515" spans="5:18" s="65" customFormat="1">
      <c r="E12515" s="130"/>
      <c r="P12515" s="99"/>
      <c r="Q12515" s="99"/>
      <c r="R12515" s="99"/>
    </row>
    <row r="12516" spans="5:18" s="65" customFormat="1">
      <c r="E12516" s="130"/>
      <c r="P12516" s="99"/>
      <c r="Q12516" s="99"/>
      <c r="R12516" s="99"/>
    </row>
    <row r="12517" spans="5:18" s="65" customFormat="1">
      <c r="E12517" s="130"/>
      <c r="P12517" s="99"/>
      <c r="Q12517" s="99"/>
      <c r="R12517" s="99"/>
    </row>
    <row r="12518" spans="5:18" s="65" customFormat="1">
      <c r="E12518" s="130"/>
      <c r="P12518" s="99"/>
      <c r="Q12518" s="99"/>
      <c r="R12518" s="99"/>
    </row>
    <row r="12519" spans="5:18" s="65" customFormat="1">
      <c r="E12519" s="130"/>
      <c r="P12519" s="99"/>
      <c r="Q12519" s="99"/>
      <c r="R12519" s="99"/>
    </row>
    <row r="12520" spans="5:18" s="65" customFormat="1">
      <c r="E12520" s="130"/>
      <c r="P12520" s="99"/>
      <c r="Q12520" s="99"/>
      <c r="R12520" s="99"/>
    </row>
    <row r="12521" spans="5:18" s="65" customFormat="1">
      <c r="E12521" s="130"/>
      <c r="P12521" s="99"/>
      <c r="Q12521" s="99"/>
      <c r="R12521" s="99"/>
    </row>
    <row r="12522" spans="5:18" s="65" customFormat="1">
      <c r="E12522" s="130"/>
      <c r="P12522" s="99"/>
      <c r="Q12522" s="99"/>
      <c r="R12522" s="99"/>
    </row>
    <row r="12523" spans="5:18" s="65" customFormat="1">
      <c r="E12523" s="130"/>
      <c r="P12523" s="99"/>
      <c r="Q12523" s="99"/>
      <c r="R12523" s="99"/>
    </row>
    <row r="12524" spans="5:18" s="65" customFormat="1">
      <c r="E12524" s="130"/>
      <c r="P12524" s="99"/>
      <c r="Q12524" s="99"/>
      <c r="R12524" s="99"/>
    </row>
    <row r="12525" spans="5:18" s="65" customFormat="1">
      <c r="E12525" s="130"/>
      <c r="P12525" s="99"/>
      <c r="Q12525" s="99"/>
      <c r="R12525" s="99"/>
    </row>
    <row r="12526" spans="5:18" s="65" customFormat="1">
      <c r="E12526" s="130"/>
      <c r="P12526" s="99"/>
      <c r="Q12526" s="99"/>
      <c r="R12526" s="99"/>
    </row>
    <row r="12527" spans="5:18" s="65" customFormat="1">
      <c r="E12527" s="130"/>
      <c r="P12527" s="99"/>
      <c r="Q12527" s="99"/>
      <c r="R12527" s="99"/>
    </row>
    <row r="12528" spans="5:18" s="65" customFormat="1">
      <c r="E12528" s="130"/>
      <c r="P12528" s="99"/>
      <c r="Q12528" s="99"/>
      <c r="R12528" s="99"/>
    </row>
    <row r="12529" spans="5:18" s="65" customFormat="1">
      <c r="E12529" s="130"/>
      <c r="P12529" s="99"/>
      <c r="Q12529" s="99"/>
      <c r="R12529" s="99"/>
    </row>
    <row r="12530" spans="5:18" s="65" customFormat="1">
      <c r="E12530" s="130"/>
      <c r="P12530" s="99"/>
      <c r="Q12530" s="99"/>
      <c r="R12530" s="99"/>
    </row>
    <row r="12531" spans="5:18" s="65" customFormat="1">
      <c r="E12531" s="130"/>
      <c r="P12531" s="99"/>
      <c r="Q12531" s="99"/>
      <c r="R12531" s="99"/>
    </row>
    <row r="12532" spans="5:18" s="65" customFormat="1">
      <c r="E12532" s="130"/>
      <c r="P12532" s="99"/>
      <c r="Q12532" s="99"/>
      <c r="R12532" s="99"/>
    </row>
    <row r="12533" spans="5:18" s="65" customFormat="1">
      <c r="E12533" s="130"/>
      <c r="P12533" s="99"/>
      <c r="Q12533" s="99"/>
      <c r="R12533" s="99"/>
    </row>
    <row r="12534" spans="5:18" s="65" customFormat="1">
      <c r="E12534" s="130"/>
      <c r="P12534" s="99"/>
      <c r="Q12534" s="99"/>
      <c r="R12534" s="99"/>
    </row>
    <row r="12535" spans="5:18" s="65" customFormat="1">
      <c r="E12535" s="130"/>
      <c r="P12535" s="99"/>
      <c r="Q12535" s="99"/>
      <c r="R12535" s="99"/>
    </row>
    <row r="12536" spans="5:18" s="65" customFormat="1">
      <c r="E12536" s="130"/>
      <c r="P12536" s="99"/>
      <c r="Q12536" s="99"/>
      <c r="R12536" s="99"/>
    </row>
    <row r="12537" spans="5:18" s="65" customFormat="1">
      <c r="E12537" s="130"/>
      <c r="P12537" s="99"/>
      <c r="Q12537" s="99"/>
      <c r="R12537" s="99"/>
    </row>
    <row r="12538" spans="5:18" s="65" customFormat="1">
      <c r="E12538" s="130"/>
      <c r="P12538" s="99"/>
      <c r="Q12538" s="99"/>
      <c r="R12538" s="99"/>
    </row>
    <row r="12539" spans="5:18" s="65" customFormat="1">
      <c r="E12539" s="130"/>
      <c r="P12539" s="99"/>
      <c r="Q12539" s="99"/>
      <c r="R12539" s="99"/>
    </row>
    <row r="12540" spans="5:18" s="65" customFormat="1">
      <c r="E12540" s="130"/>
      <c r="P12540" s="99"/>
      <c r="Q12540" s="99"/>
      <c r="R12540" s="99"/>
    </row>
    <row r="12541" spans="5:18" s="65" customFormat="1">
      <c r="E12541" s="130"/>
      <c r="P12541" s="99"/>
      <c r="Q12541" s="99"/>
      <c r="R12541" s="99"/>
    </row>
    <row r="12542" spans="5:18" s="65" customFormat="1">
      <c r="E12542" s="130"/>
      <c r="P12542" s="99"/>
      <c r="Q12542" s="99"/>
      <c r="R12542" s="99"/>
    </row>
    <row r="12543" spans="5:18" s="65" customFormat="1">
      <c r="E12543" s="130"/>
      <c r="P12543" s="99"/>
      <c r="Q12543" s="99"/>
      <c r="R12543" s="99"/>
    </row>
    <row r="12544" spans="5:18" s="65" customFormat="1">
      <c r="E12544" s="130"/>
      <c r="P12544" s="99"/>
      <c r="Q12544" s="99"/>
      <c r="R12544" s="99"/>
    </row>
    <row r="12545" spans="5:18" s="65" customFormat="1">
      <c r="E12545" s="130"/>
      <c r="P12545" s="99"/>
      <c r="Q12545" s="99"/>
      <c r="R12545" s="99"/>
    </row>
    <row r="12546" spans="5:18" s="65" customFormat="1">
      <c r="E12546" s="130"/>
      <c r="P12546" s="99"/>
      <c r="Q12546" s="99"/>
      <c r="R12546" s="99"/>
    </row>
    <row r="12547" spans="5:18" s="65" customFormat="1">
      <c r="E12547" s="130"/>
      <c r="P12547" s="99"/>
      <c r="Q12547" s="99"/>
      <c r="R12547" s="99"/>
    </row>
    <row r="12548" spans="5:18" s="65" customFormat="1">
      <c r="E12548" s="130"/>
      <c r="P12548" s="99"/>
      <c r="Q12548" s="99"/>
      <c r="R12548" s="99"/>
    </row>
    <row r="12549" spans="5:18" s="65" customFormat="1">
      <c r="E12549" s="130"/>
      <c r="P12549" s="99"/>
      <c r="Q12549" s="99"/>
      <c r="R12549" s="99"/>
    </row>
    <row r="12550" spans="5:18" s="65" customFormat="1">
      <c r="E12550" s="130"/>
      <c r="P12550" s="99"/>
      <c r="Q12550" s="99"/>
      <c r="R12550" s="99"/>
    </row>
    <row r="12551" spans="5:18" s="65" customFormat="1">
      <c r="E12551" s="130"/>
      <c r="P12551" s="99"/>
      <c r="Q12551" s="99"/>
      <c r="R12551" s="99"/>
    </row>
    <row r="12552" spans="5:18" s="65" customFormat="1">
      <c r="E12552" s="130"/>
      <c r="P12552" s="99"/>
      <c r="Q12552" s="99"/>
      <c r="R12552" s="99"/>
    </row>
    <row r="12553" spans="5:18" s="65" customFormat="1">
      <c r="E12553" s="130"/>
      <c r="P12553" s="99"/>
      <c r="Q12553" s="99"/>
      <c r="R12553" s="99"/>
    </row>
    <row r="12554" spans="5:18" s="65" customFormat="1">
      <c r="E12554" s="130"/>
      <c r="P12554" s="99"/>
      <c r="Q12554" s="99"/>
      <c r="R12554" s="99"/>
    </row>
    <row r="12555" spans="5:18" s="65" customFormat="1">
      <c r="E12555" s="130"/>
      <c r="P12555" s="99"/>
      <c r="Q12555" s="99"/>
      <c r="R12555" s="99"/>
    </row>
    <row r="12556" spans="5:18" s="65" customFormat="1">
      <c r="E12556" s="130"/>
      <c r="P12556" s="99"/>
      <c r="Q12556" s="99"/>
      <c r="R12556" s="99"/>
    </row>
    <row r="12557" spans="5:18" s="65" customFormat="1">
      <c r="E12557" s="130"/>
      <c r="P12557" s="99"/>
      <c r="Q12557" s="99"/>
      <c r="R12557" s="99"/>
    </row>
    <row r="12558" spans="5:18" s="65" customFormat="1">
      <c r="E12558" s="130"/>
      <c r="P12558" s="99"/>
      <c r="Q12558" s="99"/>
      <c r="R12558" s="99"/>
    </row>
    <row r="12559" spans="5:18" s="65" customFormat="1">
      <c r="E12559" s="130"/>
      <c r="P12559" s="99"/>
      <c r="Q12559" s="99"/>
      <c r="R12559" s="99"/>
    </row>
    <row r="12560" spans="5:18" s="65" customFormat="1">
      <c r="E12560" s="130"/>
      <c r="P12560" s="99"/>
      <c r="Q12560" s="99"/>
      <c r="R12560" s="99"/>
    </row>
    <row r="12561" spans="5:18" s="65" customFormat="1">
      <c r="E12561" s="130"/>
      <c r="P12561" s="99"/>
      <c r="Q12561" s="99"/>
      <c r="R12561" s="99"/>
    </row>
    <row r="12562" spans="5:18" s="65" customFormat="1">
      <c r="E12562" s="130"/>
      <c r="P12562" s="99"/>
      <c r="Q12562" s="99"/>
      <c r="R12562" s="99"/>
    </row>
    <row r="12563" spans="5:18" s="65" customFormat="1">
      <c r="E12563" s="130"/>
      <c r="P12563" s="99"/>
      <c r="Q12563" s="99"/>
      <c r="R12563" s="99"/>
    </row>
    <row r="12564" spans="5:18" s="65" customFormat="1">
      <c r="E12564" s="130"/>
      <c r="P12564" s="99"/>
      <c r="Q12564" s="99"/>
      <c r="R12564" s="99"/>
    </row>
    <row r="12565" spans="5:18" s="65" customFormat="1">
      <c r="E12565" s="130"/>
      <c r="P12565" s="99"/>
      <c r="Q12565" s="99"/>
      <c r="R12565" s="99"/>
    </row>
    <row r="12566" spans="5:18" s="65" customFormat="1">
      <c r="E12566" s="130"/>
      <c r="P12566" s="99"/>
      <c r="Q12566" s="99"/>
      <c r="R12566" s="99"/>
    </row>
    <row r="12567" spans="5:18" s="65" customFormat="1">
      <c r="E12567" s="130"/>
      <c r="P12567" s="99"/>
      <c r="Q12567" s="99"/>
      <c r="R12567" s="99"/>
    </row>
    <row r="12568" spans="5:18" s="65" customFormat="1">
      <c r="E12568" s="130"/>
      <c r="P12568" s="99"/>
      <c r="Q12568" s="99"/>
      <c r="R12568" s="99"/>
    </row>
    <row r="12569" spans="5:18" s="65" customFormat="1">
      <c r="E12569" s="130"/>
      <c r="P12569" s="99"/>
      <c r="Q12569" s="99"/>
      <c r="R12569" s="99"/>
    </row>
    <row r="12570" spans="5:18" s="65" customFormat="1">
      <c r="E12570" s="130"/>
      <c r="P12570" s="99"/>
      <c r="Q12570" s="99"/>
      <c r="R12570" s="99"/>
    </row>
    <row r="12571" spans="5:18" s="65" customFormat="1">
      <c r="E12571" s="130"/>
      <c r="P12571" s="99"/>
      <c r="Q12571" s="99"/>
      <c r="R12571" s="99"/>
    </row>
    <row r="12572" spans="5:18" s="65" customFormat="1">
      <c r="E12572" s="130"/>
      <c r="P12572" s="99"/>
      <c r="Q12572" s="99"/>
      <c r="R12572" s="99"/>
    </row>
    <row r="12573" spans="5:18" s="65" customFormat="1">
      <c r="E12573" s="130"/>
      <c r="P12573" s="99"/>
      <c r="Q12573" s="99"/>
      <c r="R12573" s="99"/>
    </row>
    <row r="12574" spans="5:18" s="65" customFormat="1">
      <c r="E12574" s="130"/>
      <c r="P12574" s="99"/>
      <c r="Q12574" s="99"/>
      <c r="R12574" s="99"/>
    </row>
    <row r="12575" spans="5:18" s="65" customFormat="1">
      <c r="E12575" s="130"/>
      <c r="P12575" s="99"/>
      <c r="Q12575" s="99"/>
      <c r="R12575" s="99"/>
    </row>
    <row r="12576" spans="5:18" s="65" customFormat="1">
      <c r="E12576" s="130"/>
      <c r="P12576" s="99"/>
      <c r="Q12576" s="99"/>
      <c r="R12576" s="99"/>
    </row>
    <row r="12577" spans="5:18" s="65" customFormat="1">
      <c r="E12577" s="130"/>
      <c r="P12577" s="99"/>
      <c r="Q12577" s="99"/>
      <c r="R12577" s="99"/>
    </row>
    <row r="12578" spans="5:18" s="65" customFormat="1">
      <c r="E12578" s="130"/>
      <c r="P12578" s="99"/>
      <c r="Q12578" s="99"/>
      <c r="R12578" s="99"/>
    </row>
    <row r="12579" spans="5:18" s="65" customFormat="1">
      <c r="E12579" s="130"/>
      <c r="P12579" s="99"/>
      <c r="Q12579" s="99"/>
      <c r="R12579" s="99"/>
    </row>
    <row r="12580" spans="5:18" s="65" customFormat="1">
      <c r="E12580" s="130"/>
      <c r="P12580" s="99"/>
      <c r="Q12580" s="99"/>
      <c r="R12580" s="99"/>
    </row>
    <row r="12581" spans="5:18" s="65" customFormat="1">
      <c r="E12581" s="130"/>
      <c r="P12581" s="99"/>
      <c r="Q12581" s="99"/>
      <c r="R12581" s="99"/>
    </row>
    <row r="12582" spans="5:18" s="65" customFormat="1">
      <c r="E12582" s="130"/>
      <c r="P12582" s="99"/>
      <c r="Q12582" s="99"/>
      <c r="R12582" s="99"/>
    </row>
    <row r="12583" spans="5:18" s="65" customFormat="1">
      <c r="E12583" s="130"/>
      <c r="P12583" s="99"/>
      <c r="Q12583" s="99"/>
      <c r="R12583" s="99"/>
    </row>
    <row r="12584" spans="5:18" s="65" customFormat="1">
      <c r="E12584" s="130"/>
      <c r="P12584" s="99"/>
      <c r="Q12584" s="99"/>
      <c r="R12584" s="99"/>
    </row>
    <row r="12585" spans="5:18" s="65" customFormat="1">
      <c r="E12585" s="130"/>
      <c r="P12585" s="99"/>
      <c r="Q12585" s="99"/>
      <c r="R12585" s="99"/>
    </row>
    <row r="12586" spans="5:18" s="65" customFormat="1">
      <c r="E12586" s="130"/>
      <c r="P12586" s="99"/>
      <c r="Q12586" s="99"/>
      <c r="R12586" s="99"/>
    </row>
    <row r="12587" spans="5:18" s="65" customFormat="1">
      <c r="E12587" s="130"/>
      <c r="P12587" s="99"/>
      <c r="Q12587" s="99"/>
      <c r="R12587" s="99"/>
    </row>
    <row r="12588" spans="5:18" s="65" customFormat="1">
      <c r="E12588" s="130"/>
      <c r="P12588" s="99"/>
      <c r="Q12588" s="99"/>
      <c r="R12588" s="99"/>
    </row>
    <row r="12589" spans="5:18" s="65" customFormat="1">
      <c r="E12589" s="130"/>
      <c r="P12589" s="99"/>
      <c r="Q12589" s="99"/>
      <c r="R12589" s="99"/>
    </row>
    <row r="12590" spans="5:18" s="65" customFormat="1">
      <c r="E12590" s="130"/>
      <c r="P12590" s="99"/>
      <c r="Q12590" s="99"/>
      <c r="R12590" s="99"/>
    </row>
    <row r="12591" spans="5:18" s="65" customFormat="1">
      <c r="E12591" s="130"/>
      <c r="P12591" s="99"/>
      <c r="Q12591" s="99"/>
      <c r="R12591" s="99"/>
    </row>
    <row r="12592" spans="5:18" s="65" customFormat="1">
      <c r="E12592" s="130"/>
      <c r="P12592" s="99"/>
      <c r="Q12592" s="99"/>
      <c r="R12592" s="99"/>
    </row>
    <row r="12593" spans="5:18" s="65" customFormat="1">
      <c r="E12593" s="130"/>
      <c r="P12593" s="99"/>
      <c r="Q12593" s="99"/>
      <c r="R12593" s="99"/>
    </row>
    <row r="12594" spans="5:18" s="65" customFormat="1">
      <c r="E12594" s="130"/>
      <c r="P12594" s="99"/>
      <c r="Q12594" s="99"/>
      <c r="R12594" s="99"/>
    </row>
    <row r="12595" spans="5:18" s="65" customFormat="1">
      <c r="E12595" s="130"/>
      <c r="P12595" s="99"/>
      <c r="Q12595" s="99"/>
      <c r="R12595" s="99"/>
    </row>
    <row r="12596" spans="5:18" s="65" customFormat="1">
      <c r="E12596" s="130"/>
      <c r="P12596" s="99"/>
      <c r="Q12596" s="99"/>
      <c r="R12596" s="99"/>
    </row>
    <row r="12597" spans="5:18" s="65" customFormat="1">
      <c r="E12597" s="130"/>
      <c r="P12597" s="99"/>
      <c r="Q12597" s="99"/>
      <c r="R12597" s="99"/>
    </row>
    <row r="12598" spans="5:18" s="65" customFormat="1">
      <c r="E12598" s="130"/>
      <c r="P12598" s="99"/>
      <c r="Q12598" s="99"/>
      <c r="R12598" s="99"/>
    </row>
    <row r="12599" spans="5:18" s="65" customFormat="1">
      <c r="E12599" s="130"/>
      <c r="P12599" s="99"/>
      <c r="Q12599" s="99"/>
      <c r="R12599" s="99"/>
    </row>
    <row r="12600" spans="5:18" s="65" customFormat="1">
      <c r="E12600" s="130"/>
      <c r="P12600" s="99"/>
      <c r="Q12600" s="99"/>
      <c r="R12600" s="99"/>
    </row>
    <row r="12601" spans="5:18" s="65" customFormat="1">
      <c r="E12601" s="130"/>
      <c r="P12601" s="99"/>
      <c r="Q12601" s="99"/>
      <c r="R12601" s="99"/>
    </row>
    <row r="12602" spans="5:18" s="65" customFormat="1">
      <c r="E12602" s="130"/>
      <c r="P12602" s="99"/>
      <c r="Q12602" s="99"/>
      <c r="R12602" s="99"/>
    </row>
    <row r="12603" spans="5:18" s="65" customFormat="1">
      <c r="E12603" s="130"/>
      <c r="P12603" s="99"/>
      <c r="Q12603" s="99"/>
      <c r="R12603" s="99"/>
    </row>
    <row r="12604" spans="5:18" s="65" customFormat="1">
      <c r="E12604" s="130"/>
      <c r="P12604" s="99"/>
      <c r="Q12604" s="99"/>
      <c r="R12604" s="99"/>
    </row>
    <row r="12605" spans="5:18" s="65" customFormat="1">
      <c r="E12605" s="130"/>
      <c r="P12605" s="99"/>
      <c r="Q12605" s="99"/>
      <c r="R12605" s="99"/>
    </row>
    <row r="12606" spans="5:18" s="65" customFormat="1">
      <c r="E12606" s="130"/>
      <c r="P12606" s="99"/>
      <c r="Q12606" s="99"/>
      <c r="R12606" s="99"/>
    </row>
    <row r="12607" spans="5:18" s="65" customFormat="1">
      <c r="E12607" s="130"/>
      <c r="P12607" s="99"/>
      <c r="Q12607" s="99"/>
      <c r="R12607" s="99"/>
    </row>
    <row r="12608" spans="5:18" s="65" customFormat="1">
      <c r="E12608" s="130"/>
      <c r="P12608" s="99"/>
      <c r="Q12608" s="99"/>
      <c r="R12608" s="99"/>
    </row>
    <row r="12609" spans="5:18" s="65" customFormat="1">
      <c r="E12609" s="130"/>
      <c r="P12609" s="99"/>
      <c r="Q12609" s="99"/>
      <c r="R12609" s="99"/>
    </row>
    <row r="12610" spans="5:18" s="65" customFormat="1">
      <c r="E12610" s="130"/>
      <c r="P12610" s="99"/>
      <c r="Q12610" s="99"/>
      <c r="R12610" s="99"/>
    </row>
    <row r="12611" spans="5:18" s="65" customFormat="1">
      <c r="E12611" s="130"/>
      <c r="P12611" s="99"/>
      <c r="Q12611" s="99"/>
      <c r="R12611" s="99"/>
    </row>
    <row r="12612" spans="5:18" s="65" customFormat="1">
      <c r="E12612" s="130"/>
      <c r="P12612" s="99"/>
      <c r="Q12612" s="99"/>
      <c r="R12612" s="99"/>
    </row>
    <row r="12613" spans="5:18" s="65" customFormat="1">
      <c r="E12613" s="130"/>
      <c r="P12613" s="99"/>
      <c r="Q12613" s="99"/>
      <c r="R12613" s="99"/>
    </row>
    <row r="12614" spans="5:18" s="65" customFormat="1">
      <c r="E12614" s="130"/>
      <c r="P12614" s="99"/>
      <c r="Q12614" s="99"/>
      <c r="R12614" s="99"/>
    </row>
    <row r="12615" spans="5:18" s="65" customFormat="1">
      <c r="E12615" s="130"/>
      <c r="P12615" s="99"/>
      <c r="Q12615" s="99"/>
      <c r="R12615" s="99"/>
    </row>
    <row r="12616" spans="5:18" s="65" customFormat="1">
      <c r="E12616" s="130"/>
      <c r="P12616" s="99"/>
      <c r="Q12616" s="99"/>
      <c r="R12616" s="99"/>
    </row>
    <row r="12617" spans="5:18" s="65" customFormat="1">
      <c r="E12617" s="130"/>
      <c r="P12617" s="99"/>
      <c r="Q12617" s="99"/>
      <c r="R12617" s="99"/>
    </row>
    <row r="12618" spans="5:18" s="65" customFormat="1">
      <c r="E12618" s="130"/>
      <c r="P12618" s="99"/>
      <c r="Q12618" s="99"/>
      <c r="R12618" s="99"/>
    </row>
    <row r="12619" spans="5:18" s="65" customFormat="1">
      <c r="E12619" s="130"/>
      <c r="P12619" s="99"/>
      <c r="Q12619" s="99"/>
      <c r="R12619" s="99"/>
    </row>
    <row r="12620" spans="5:18" s="65" customFormat="1">
      <c r="E12620" s="130"/>
      <c r="P12620" s="99"/>
      <c r="Q12620" s="99"/>
      <c r="R12620" s="99"/>
    </row>
    <row r="12621" spans="5:18" s="65" customFormat="1">
      <c r="E12621" s="130"/>
      <c r="P12621" s="99"/>
      <c r="Q12621" s="99"/>
      <c r="R12621" s="99"/>
    </row>
    <row r="12622" spans="5:18" s="65" customFormat="1">
      <c r="E12622" s="130"/>
      <c r="P12622" s="99"/>
      <c r="Q12622" s="99"/>
      <c r="R12622" s="99"/>
    </row>
    <row r="12623" spans="5:18" s="65" customFormat="1">
      <c r="E12623" s="130"/>
      <c r="P12623" s="99"/>
      <c r="Q12623" s="99"/>
      <c r="R12623" s="99"/>
    </row>
    <row r="12624" spans="5:18" s="65" customFormat="1">
      <c r="E12624" s="130"/>
      <c r="P12624" s="99"/>
      <c r="Q12624" s="99"/>
      <c r="R12624" s="99"/>
    </row>
    <row r="12625" spans="5:18" s="65" customFormat="1">
      <c r="E12625" s="130"/>
      <c r="P12625" s="99"/>
      <c r="Q12625" s="99"/>
      <c r="R12625" s="99"/>
    </row>
    <row r="12626" spans="5:18" s="65" customFormat="1">
      <c r="E12626" s="130"/>
      <c r="P12626" s="99"/>
      <c r="Q12626" s="99"/>
      <c r="R12626" s="99"/>
    </row>
    <row r="12627" spans="5:18" s="65" customFormat="1">
      <c r="E12627" s="130"/>
      <c r="P12627" s="99"/>
      <c r="Q12627" s="99"/>
      <c r="R12627" s="99"/>
    </row>
    <row r="12628" spans="5:18" s="65" customFormat="1">
      <c r="E12628" s="130"/>
      <c r="P12628" s="99"/>
      <c r="Q12628" s="99"/>
      <c r="R12628" s="99"/>
    </row>
    <row r="12629" spans="5:18" s="65" customFormat="1">
      <c r="E12629" s="130"/>
      <c r="P12629" s="99"/>
      <c r="Q12629" s="99"/>
      <c r="R12629" s="99"/>
    </row>
    <row r="12630" spans="5:18" s="65" customFormat="1">
      <c r="E12630" s="130"/>
      <c r="P12630" s="99"/>
      <c r="Q12630" s="99"/>
      <c r="R12630" s="99"/>
    </row>
    <row r="12631" spans="5:18" s="65" customFormat="1">
      <c r="E12631" s="130"/>
      <c r="P12631" s="99"/>
      <c r="Q12631" s="99"/>
      <c r="R12631" s="99"/>
    </row>
    <row r="12632" spans="5:18" s="65" customFormat="1">
      <c r="E12632" s="130"/>
      <c r="P12632" s="99"/>
      <c r="Q12632" s="99"/>
      <c r="R12632" s="99"/>
    </row>
    <row r="12633" spans="5:18" s="65" customFormat="1">
      <c r="E12633" s="130"/>
      <c r="P12633" s="99"/>
      <c r="Q12633" s="99"/>
      <c r="R12633" s="99"/>
    </row>
    <row r="12634" spans="5:18" s="65" customFormat="1">
      <c r="E12634" s="130"/>
      <c r="P12634" s="99"/>
      <c r="Q12634" s="99"/>
      <c r="R12634" s="99"/>
    </row>
    <row r="12635" spans="5:18" s="65" customFormat="1">
      <c r="E12635" s="130"/>
      <c r="P12635" s="99"/>
      <c r="Q12635" s="99"/>
      <c r="R12635" s="99"/>
    </row>
    <row r="12636" spans="5:18" s="65" customFormat="1">
      <c r="E12636" s="130"/>
      <c r="P12636" s="99"/>
      <c r="Q12636" s="99"/>
      <c r="R12636" s="99"/>
    </row>
    <row r="12637" spans="5:18" s="65" customFormat="1">
      <c r="E12637" s="130"/>
      <c r="P12637" s="99"/>
      <c r="Q12637" s="99"/>
      <c r="R12637" s="99"/>
    </row>
    <row r="12638" spans="5:18" s="65" customFormat="1">
      <c r="E12638" s="130"/>
      <c r="P12638" s="99"/>
      <c r="Q12638" s="99"/>
      <c r="R12638" s="99"/>
    </row>
    <row r="12639" spans="5:18" s="65" customFormat="1">
      <c r="E12639" s="130"/>
      <c r="P12639" s="99"/>
      <c r="Q12639" s="99"/>
      <c r="R12639" s="99"/>
    </row>
    <row r="12640" spans="5:18" s="65" customFormat="1">
      <c r="E12640" s="130"/>
      <c r="P12640" s="99"/>
      <c r="Q12640" s="99"/>
      <c r="R12640" s="99"/>
    </row>
    <row r="12641" spans="5:18" s="65" customFormat="1">
      <c r="E12641" s="130"/>
      <c r="P12641" s="99"/>
      <c r="Q12641" s="99"/>
      <c r="R12641" s="99"/>
    </row>
    <row r="12642" spans="5:18" s="65" customFormat="1">
      <c r="E12642" s="130"/>
      <c r="P12642" s="99"/>
      <c r="Q12642" s="99"/>
      <c r="R12642" s="99"/>
    </row>
    <row r="12643" spans="5:18" s="65" customFormat="1">
      <c r="E12643" s="130"/>
      <c r="P12643" s="99"/>
      <c r="Q12643" s="99"/>
      <c r="R12643" s="99"/>
    </row>
    <row r="12644" spans="5:18" s="65" customFormat="1">
      <c r="E12644" s="130"/>
      <c r="P12644" s="99"/>
      <c r="Q12644" s="99"/>
      <c r="R12644" s="99"/>
    </row>
    <row r="12645" spans="5:18" s="65" customFormat="1">
      <c r="E12645" s="130"/>
      <c r="P12645" s="99"/>
      <c r="Q12645" s="99"/>
      <c r="R12645" s="99"/>
    </row>
    <row r="12646" spans="5:18" s="65" customFormat="1">
      <c r="E12646" s="130"/>
      <c r="P12646" s="99"/>
      <c r="Q12646" s="99"/>
      <c r="R12646" s="99"/>
    </row>
    <row r="12647" spans="5:18" s="65" customFormat="1">
      <c r="E12647" s="130"/>
      <c r="P12647" s="99"/>
      <c r="Q12647" s="99"/>
      <c r="R12647" s="99"/>
    </row>
    <row r="12648" spans="5:18" s="65" customFormat="1">
      <c r="E12648" s="130"/>
      <c r="P12648" s="99"/>
      <c r="Q12648" s="99"/>
      <c r="R12648" s="99"/>
    </row>
    <row r="12649" spans="5:18" s="65" customFormat="1">
      <c r="E12649" s="130"/>
      <c r="P12649" s="99"/>
      <c r="Q12649" s="99"/>
      <c r="R12649" s="99"/>
    </row>
    <row r="12650" spans="5:18" s="65" customFormat="1">
      <c r="E12650" s="130"/>
      <c r="P12650" s="99"/>
      <c r="Q12650" s="99"/>
      <c r="R12650" s="99"/>
    </row>
    <row r="12651" spans="5:18" s="65" customFormat="1">
      <c r="E12651" s="130"/>
      <c r="P12651" s="99"/>
      <c r="Q12651" s="99"/>
      <c r="R12651" s="99"/>
    </row>
    <row r="12652" spans="5:18" s="65" customFormat="1">
      <c r="E12652" s="130"/>
      <c r="P12652" s="99"/>
      <c r="Q12652" s="99"/>
      <c r="R12652" s="99"/>
    </row>
    <row r="12653" spans="5:18" s="65" customFormat="1">
      <c r="E12653" s="130"/>
      <c r="P12653" s="99"/>
      <c r="Q12653" s="99"/>
      <c r="R12653" s="99"/>
    </row>
    <row r="12654" spans="5:18" s="65" customFormat="1">
      <c r="E12654" s="130"/>
      <c r="P12654" s="99"/>
      <c r="Q12654" s="99"/>
      <c r="R12654" s="99"/>
    </row>
    <row r="12655" spans="5:18" s="65" customFormat="1">
      <c r="E12655" s="130"/>
      <c r="P12655" s="99"/>
      <c r="Q12655" s="99"/>
      <c r="R12655" s="99"/>
    </row>
    <row r="12656" spans="5:18" s="65" customFormat="1">
      <c r="E12656" s="130"/>
      <c r="P12656" s="99"/>
      <c r="Q12656" s="99"/>
      <c r="R12656" s="99"/>
    </row>
    <row r="12657" spans="5:18" s="65" customFormat="1">
      <c r="E12657" s="130"/>
      <c r="P12657" s="99"/>
      <c r="Q12657" s="99"/>
      <c r="R12657" s="99"/>
    </row>
    <row r="12658" spans="5:18" s="65" customFormat="1">
      <c r="E12658" s="130"/>
      <c r="P12658" s="99"/>
      <c r="Q12658" s="99"/>
      <c r="R12658" s="99"/>
    </row>
    <row r="12659" spans="5:18" s="65" customFormat="1">
      <c r="E12659" s="130"/>
      <c r="P12659" s="99"/>
      <c r="Q12659" s="99"/>
      <c r="R12659" s="99"/>
    </row>
    <row r="12660" spans="5:18" s="65" customFormat="1">
      <c r="E12660" s="130"/>
      <c r="P12660" s="99"/>
      <c r="Q12660" s="99"/>
      <c r="R12660" s="99"/>
    </row>
    <row r="12661" spans="5:18" s="65" customFormat="1">
      <c r="E12661" s="130"/>
      <c r="P12661" s="99"/>
      <c r="Q12661" s="99"/>
      <c r="R12661" s="99"/>
    </row>
    <row r="12662" spans="5:18" s="65" customFormat="1">
      <c r="E12662" s="130"/>
      <c r="P12662" s="99"/>
      <c r="Q12662" s="99"/>
      <c r="R12662" s="99"/>
    </row>
    <row r="12663" spans="5:18" s="65" customFormat="1">
      <c r="E12663" s="130"/>
      <c r="P12663" s="99"/>
      <c r="Q12663" s="99"/>
      <c r="R12663" s="99"/>
    </row>
    <row r="12664" spans="5:18" s="65" customFormat="1">
      <c r="E12664" s="130"/>
      <c r="P12664" s="99"/>
      <c r="Q12664" s="99"/>
      <c r="R12664" s="99"/>
    </row>
    <row r="12665" spans="5:18" s="65" customFormat="1">
      <c r="E12665" s="130"/>
      <c r="P12665" s="99"/>
      <c r="Q12665" s="99"/>
      <c r="R12665" s="99"/>
    </row>
    <row r="12666" spans="5:18" s="65" customFormat="1">
      <c r="E12666" s="130"/>
      <c r="P12666" s="99"/>
      <c r="Q12666" s="99"/>
      <c r="R12666" s="99"/>
    </row>
    <row r="12667" spans="5:18" s="65" customFormat="1">
      <c r="E12667" s="130"/>
      <c r="P12667" s="99"/>
      <c r="Q12667" s="99"/>
      <c r="R12667" s="99"/>
    </row>
    <row r="12668" spans="5:18" s="65" customFormat="1">
      <c r="E12668" s="130"/>
      <c r="P12668" s="99"/>
      <c r="Q12668" s="99"/>
      <c r="R12668" s="99"/>
    </row>
    <row r="12669" spans="5:18" s="65" customFormat="1">
      <c r="E12669" s="130"/>
      <c r="P12669" s="99"/>
      <c r="Q12669" s="99"/>
      <c r="R12669" s="99"/>
    </row>
    <row r="12670" spans="5:18" s="65" customFormat="1">
      <c r="E12670" s="130"/>
      <c r="P12670" s="99"/>
      <c r="Q12670" s="99"/>
      <c r="R12670" s="99"/>
    </row>
    <row r="12671" spans="5:18" s="65" customFormat="1">
      <c r="E12671" s="130"/>
      <c r="P12671" s="99"/>
      <c r="Q12671" s="99"/>
      <c r="R12671" s="99"/>
    </row>
    <row r="12672" spans="5:18" s="65" customFormat="1">
      <c r="E12672" s="130"/>
      <c r="P12672" s="99"/>
      <c r="Q12672" s="99"/>
      <c r="R12672" s="99"/>
    </row>
    <row r="12673" spans="5:18" s="65" customFormat="1">
      <c r="E12673" s="130"/>
      <c r="P12673" s="99"/>
      <c r="Q12673" s="99"/>
      <c r="R12673" s="99"/>
    </row>
    <row r="12674" spans="5:18" s="65" customFormat="1">
      <c r="E12674" s="130"/>
      <c r="P12674" s="99"/>
      <c r="Q12674" s="99"/>
      <c r="R12674" s="99"/>
    </row>
    <row r="12675" spans="5:18" s="65" customFormat="1">
      <c r="E12675" s="130"/>
      <c r="P12675" s="99"/>
      <c r="Q12675" s="99"/>
      <c r="R12675" s="99"/>
    </row>
    <row r="12676" spans="5:18" s="65" customFormat="1">
      <c r="E12676" s="130"/>
      <c r="P12676" s="99"/>
      <c r="Q12676" s="99"/>
      <c r="R12676" s="99"/>
    </row>
    <row r="12677" spans="5:18" s="65" customFormat="1">
      <c r="E12677" s="130"/>
      <c r="P12677" s="99"/>
      <c r="Q12677" s="99"/>
      <c r="R12677" s="99"/>
    </row>
    <row r="12678" spans="5:18" s="65" customFormat="1">
      <c r="E12678" s="130"/>
      <c r="P12678" s="99"/>
      <c r="Q12678" s="99"/>
      <c r="R12678" s="99"/>
    </row>
    <row r="12679" spans="5:18" s="65" customFormat="1">
      <c r="E12679" s="130"/>
      <c r="P12679" s="99"/>
      <c r="Q12679" s="99"/>
      <c r="R12679" s="99"/>
    </row>
    <row r="12680" spans="5:18" s="65" customFormat="1">
      <c r="E12680" s="130"/>
      <c r="P12680" s="99"/>
      <c r="Q12680" s="99"/>
      <c r="R12680" s="99"/>
    </row>
    <row r="12681" spans="5:18" s="65" customFormat="1">
      <c r="E12681" s="130"/>
      <c r="P12681" s="99"/>
      <c r="Q12681" s="99"/>
      <c r="R12681" s="99"/>
    </row>
    <row r="12682" spans="5:18" s="65" customFormat="1">
      <c r="E12682" s="130"/>
      <c r="P12682" s="99"/>
      <c r="Q12682" s="99"/>
      <c r="R12682" s="99"/>
    </row>
    <row r="12683" spans="5:18" s="65" customFormat="1">
      <c r="E12683" s="130"/>
      <c r="P12683" s="99"/>
      <c r="Q12683" s="99"/>
      <c r="R12683" s="99"/>
    </row>
    <row r="12684" spans="5:18" s="65" customFormat="1">
      <c r="E12684" s="130"/>
      <c r="P12684" s="99"/>
      <c r="Q12684" s="99"/>
      <c r="R12684" s="99"/>
    </row>
    <row r="12685" spans="5:18" s="65" customFormat="1">
      <c r="E12685" s="130"/>
      <c r="P12685" s="99"/>
      <c r="Q12685" s="99"/>
      <c r="R12685" s="99"/>
    </row>
    <row r="12686" spans="5:18" s="65" customFormat="1">
      <c r="E12686" s="130"/>
      <c r="P12686" s="99"/>
      <c r="Q12686" s="99"/>
      <c r="R12686" s="99"/>
    </row>
    <row r="12687" spans="5:18" s="65" customFormat="1">
      <c r="E12687" s="130"/>
      <c r="P12687" s="99"/>
      <c r="Q12687" s="99"/>
      <c r="R12687" s="99"/>
    </row>
    <row r="12688" spans="5:18" s="65" customFormat="1">
      <c r="E12688" s="130"/>
      <c r="P12688" s="99"/>
      <c r="Q12688" s="99"/>
      <c r="R12688" s="99"/>
    </row>
    <row r="12689" spans="5:18" s="65" customFormat="1">
      <c r="E12689" s="130"/>
      <c r="P12689" s="99"/>
      <c r="Q12689" s="99"/>
      <c r="R12689" s="99"/>
    </row>
    <row r="12690" spans="5:18" s="65" customFormat="1">
      <c r="E12690" s="130"/>
      <c r="P12690" s="99"/>
      <c r="Q12690" s="99"/>
      <c r="R12690" s="99"/>
    </row>
    <row r="12691" spans="5:18" s="65" customFormat="1">
      <c r="E12691" s="130"/>
      <c r="P12691" s="99"/>
      <c r="Q12691" s="99"/>
      <c r="R12691" s="99"/>
    </row>
    <row r="12692" spans="5:18" s="65" customFormat="1">
      <c r="E12692" s="130"/>
      <c r="P12692" s="99"/>
      <c r="Q12692" s="99"/>
      <c r="R12692" s="99"/>
    </row>
    <row r="12693" spans="5:18" s="65" customFormat="1">
      <c r="E12693" s="130"/>
      <c r="P12693" s="99"/>
      <c r="Q12693" s="99"/>
      <c r="R12693" s="99"/>
    </row>
    <row r="12694" spans="5:18" s="65" customFormat="1">
      <c r="E12694" s="130"/>
      <c r="P12694" s="99"/>
      <c r="Q12694" s="99"/>
      <c r="R12694" s="99"/>
    </row>
    <row r="12695" spans="5:18" s="65" customFormat="1">
      <c r="E12695" s="130"/>
      <c r="P12695" s="99"/>
      <c r="Q12695" s="99"/>
      <c r="R12695" s="99"/>
    </row>
    <row r="12696" spans="5:18" s="65" customFormat="1">
      <c r="E12696" s="130"/>
      <c r="P12696" s="99"/>
      <c r="Q12696" s="99"/>
      <c r="R12696" s="99"/>
    </row>
    <row r="12697" spans="5:18" s="65" customFormat="1">
      <c r="E12697" s="130"/>
      <c r="P12697" s="99"/>
      <c r="Q12697" s="99"/>
      <c r="R12697" s="99"/>
    </row>
    <row r="12698" spans="5:18" s="65" customFormat="1">
      <c r="E12698" s="130"/>
      <c r="P12698" s="99"/>
      <c r="Q12698" s="99"/>
      <c r="R12698" s="99"/>
    </row>
    <row r="12699" spans="5:18" s="65" customFormat="1">
      <c r="E12699" s="130"/>
      <c r="P12699" s="99"/>
      <c r="Q12699" s="99"/>
      <c r="R12699" s="99"/>
    </row>
    <row r="12700" spans="5:18" s="65" customFormat="1">
      <c r="E12700" s="130"/>
      <c r="P12700" s="99"/>
      <c r="Q12700" s="99"/>
      <c r="R12700" s="99"/>
    </row>
    <row r="12701" spans="5:18" s="65" customFormat="1">
      <c r="E12701" s="130"/>
      <c r="P12701" s="99"/>
      <c r="Q12701" s="99"/>
      <c r="R12701" s="99"/>
    </row>
    <row r="12702" spans="5:18" s="65" customFormat="1">
      <c r="E12702" s="130"/>
      <c r="P12702" s="99"/>
      <c r="Q12702" s="99"/>
      <c r="R12702" s="99"/>
    </row>
    <row r="12703" spans="5:18" s="65" customFormat="1">
      <c r="E12703" s="130"/>
      <c r="P12703" s="99"/>
      <c r="Q12703" s="99"/>
      <c r="R12703" s="99"/>
    </row>
    <row r="12704" spans="5:18" s="65" customFormat="1">
      <c r="E12704" s="130"/>
      <c r="P12704" s="99"/>
      <c r="Q12704" s="99"/>
      <c r="R12704" s="99"/>
    </row>
    <row r="12705" spans="5:18" s="65" customFormat="1">
      <c r="E12705" s="130"/>
      <c r="P12705" s="99"/>
      <c r="Q12705" s="99"/>
      <c r="R12705" s="99"/>
    </row>
    <row r="12706" spans="5:18" s="65" customFormat="1">
      <c r="E12706" s="130"/>
      <c r="P12706" s="99"/>
      <c r="Q12706" s="99"/>
      <c r="R12706" s="99"/>
    </row>
    <row r="12707" spans="5:18" s="65" customFormat="1">
      <c r="E12707" s="130"/>
      <c r="P12707" s="99"/>
      <c r="Q12707" s="99"/>
      <c r="R12707" s="99"/>
    </row>
    <row r="12708" spans="5:18" s="65" customFormat="1">
      <c r="E12708" s="130"/>
      <c r="P12708" s="99"/>
      <c r="Q12708" s="99"/>
      <c r="R12708" s="99"/>
    </row>
    <row r="12709" spans="5:18" s="65" customFormat="1">
      <c r="E12709" s="130"/>
      <c r="P12709" s="99"/>
      <c r="Q12709" s="99"/>
      <c r="R12709" s="99"/>
    </row>
    <row r="12710" spans="5:18" s="65" customFormat="1">
      <c r="E12710" s="130"/>
      <c r="P12710" s="99"/>
      <c r="Q12710" s="99"/>
      <c r="R12710" s="99"/>
    </row>
    <row r="12711" spans="5:18" s="65" customFormat="1">
      <c r="E12711" s="130"/>
      <c r="P12711" s="99"/>
      <c r="Q12711" s="99"/>
      <c r="R12711" s="99"/>
    </row>
    <row r="12712" spans="5:18" s="65" customFormat="1">
      <c r="E12712" s="130"/>
      <c r="P12712" s="99"/>
      <c r="Q12712" s="99"/>
      <c r="R12712" s="99"/>
    </row>
    <row r="12713" spans="5:18" s="65" customFormat="1">
      <c r="E12713" s="130"/>
      <c r="P12713" s="99"/>
      <c r="Q12713" s="99"/>
      <c r="R12713" s="99"/>
    </row>
    <row r="12714" spans="5:18" s="65" customFormat="1">
      <c r="E12714" s="130"/>
      <c r="P12714" s="99"/>
      <c r="Q12714" s="99"/>
      <c r="R12714" s="99"/>
    </row>
    <row r="12715" spans="5:18" s="65" customFormat="1">
      <c r="E12715" s="130"/>
      <c r="P12715" s="99"/>
      <c r="Q12715" s="99"/>
      <c r="R12715" s="99"/>
    </row>
    <row r="12716" spans="5:18" s="65" customFormat="1">
      <c r="E12716" s="130"/>
      <c r="P12716" s="99"/>
      <c r="Q12716" s="99"/>
      <c r="R12716" s="99"/>
    </row>
    <row r="12717" spans="5:18" s="65" customFormat="1">
      <c r="E12717" s="130"/>
      <c r="P12717" s="99"/>
      <c r="Q12717" s="99"/>
      <c r="R12717" s="99"/>
    </row>
    <row r="12718" spans="5:18" s="65" customFormat="1">
      <c r="E12718" s="130"/>
      <c r="P12718" s="99"/>
      <c r="Q12718" s="99"/>
      <c r="R12718" s="99"/>
    </row>
    <row r="12719" spans="5:18" s="65" customFormat="1">
      <c r="E12719" s="130"/>
      <c r="P12719" s="99"/>
      <c r="Q12719" s="99"/>
      <c r="R12719" s="99"/>
    </row>
    <row r="12720" spans="5:18" s="65" customFormat="1">
      <c r="E12720" s="130"/>
      <c r="P12720" s="99"/>
      <c r="Q12720" s="99"/>
      <c r="R12720" s="99"/>
    </row>
    <row r="12721" spans="5:18" s="65" customFormat="1">
      <c r="E12721" s="130"/>
      <c r="P12721" s="99"/>
      <c r="Q12721" s="99"/>
      <c r="R12721" s="99"/>
    </row>
    <row r="12722" spans="5:18" s="65" customFormat="1">
      <c r="E12722" s="130"/>
      <c r="P12722" s="99"/>
      <c r="Q12722" s="99"/>
      <c r="R12722" s="99"/>
    </row>
    <row r="12723" spans="5:18" s="65" customFormat="1">
      <c r="E12723" s="130"/>
      <c r="P12723" s="99"/>
      <c r="Q12723" s="99"/>
      <c r="R12723" s="99"/>
    </row>
    <row r="12724" spans="5:18" s="65" customFormat="1">
      <c r="E12724" s="130"/>
      <c r="P12724" s="99"/>
      <c r="Q12724" s="99"/>
      <c r="R12724" s="99"/>
    </row>
    <row r="12725" spans="5:18" s="65" customFormat="1">
      <c r="E12725" s="130"/>
      <c r="P12725" s="99"/>
      <c r="Q12725" s="99"/>
      <c r="R12725" s="99"/>
    </row>
    <row r="12726" spans="5:18" s="65" customFormat="1">
      <c r="E12726" s="130"/>
      <c r="P12726" s="99"/>
      <c r="Q12726" s="99"/>
      <c r="R12726" s="99"/>
    </row>
    <row r="12727" spans="5:18" s="65" customFormat="1">
      <c r="E12727" s="130"/>
      <c r="P12727" s="99"/>
      <c r="Q12727" s="99"/>
      <c r="R12727" s="99"/>
    </row>
    <row r="12728" spans="5:18" s="65" customFormat="1">
      <c r="E12728" s="130"/>
      <c r="P12728" s="99"/>
      <c r="Q12728" s="99"/>
      <c r="R12728" s="99"/>
    </row>
    <row r="12729" spans="5:18" s="65" customFormat="1">
      <c r="E12729" s="130"/>
      <c r="P12729" s="99"/>
      <c r="Q12729" s="99"/>
      <c r="R12729" s="99"/>
    </row>
    <row r="12730" spans="5:18" s="65" customFormat="1">
      <c r="E12730" s="130"/>
      <c r="P12730" s="99"/>
      <c r="Q12730" s="99"/>
      <c r="R12730" s="99"/>
    </row>
    <row r="12731" spans="5:18" s="65" customFormat="1">
      <c r="E12731" s="130"/>
      <c r="P12731" s="99"/>
      <c r="Q12731" s="99"/>
      <c r="R12731" s="99"/>
    </row>
    <row r="12732" spans="5:18" s="65" customFormat="1">
      <c r="E12732" s="130"/>
      <c r="P12732" s="99"/>
      <c r="Q12732" s="99"/>
      <c r="R12732" s="99"/>
    </row>
    <row r="12733" spans="5:18" s="65" customFormat="1">
      <c r="E12733" s="130"/>
      <c r="P12733" s="99"/>
      <c r="Q12733" s="99"/>
      <c r="R12733" s="99"/>
    </row>
    <row r="12734" spans="5:18" s="65" customFormat="1">
      <c r="E12734" s="130"/>
      <c r="P12734" s="99"/>
      <c r="Q12734" s="99"/>
      <c r="R12734" s="99"/>
    </row>
    <row r="12735" spans="5:18" s="65" customFormat="1">
      <c r="E12735" s="130"/>
      <c r="P12735" s="99"/>
      <c r="Q12735" s="99"/>
      <c r="R12735" s="99"/>
    </row>
    <row r="12736" spans="5:18" s="65" customFormat="1">
      <c r="E12736" s="130"/>
      <c r="P12736" s="99"/>
      <c r="Q12736" s="99"/>
      <c r="R12736" s="99"/>
    </row>
    <row r="12737" spans="5:18" s="65" customFormat="1">
      <c r="E12737" s="130"/>
      <c r="P12737" s="99"/>
      <c r="Q12737" s="99"/>
      <c r="R12737" s="99"/>
    </row>
    <row r="12738" spans="5:18" s="65" customFormat="1">
      <c r="E12738" s="130"/>
      <c r="P12738" s="99"/>
      <c r="Q12738" s="99"/>
      <c r="R12738" s="99"/>
    </row>
    <row r="12739" spans="5:18" s="65" customFormat="1">
      <c r="E12739" s="130"/>
      <c r="P12739" s="99"/>
      <c r="Q12739" s="99"/>
      <c r="R12739" s="99"/>
    </row>
    <row r="12740" spans="5:18" s="65" customFormat="1">
      <c r="E12740" s="130"/>
      <c r="P12740" s="99"/>
      <c r="Q12740" s="99"/>
      <c r="R12740" s="99"/>
    </row>
    <row r="12741" spans="5:18" s="65" customFormat="1">
      <c r="E12741" s="130"/>
      <c r="P12741" s="99"/>
      <c r="Q12741" s="99"/>
      <c r="R12741" s="99"/>
    </row>
    <row r="12742" spans="5:18" s="65" customFormat="1">
      <c r="E12742" s="130"/>
      <c r="P12742" s="99"/>
      <c r="Q12742" s="99"/>
      <c r="R12742" s="99"/>
    </row>
    <row r="12743" spans="5:18" s="65" customFormat="1">
      <c r="E12743" s="130"/>
      <c r="P12743" s="99"/>
      <c r="Q12743" s="99"/>
      <c r="R12743" s="99"/>
    </row>
    <row r="12744" spans="5:18" s="65" customFormat="1">
      <c r="E12744" s="130"/>
      <c r="P12744" s="99"/>
      <c r="Q12744" s="99"/>
      <c r="R12744" s="99"/>
    </row>
    <row r="12745" spans="5:18" s="65" customFormat="1">
      <c r="E12745" s="130"/>
      <c r="P12745" s="99"/>
      <c r="Q12745" s="99"/>
      <c r="R12745" s="99"/>
    </row>
    <row r="12746" spans="5:18" s="65" customFormat="1">
      <c r="E12746" s="130"/>
      <c r="P12746" s="99"/>
      <c r="Q12746" s="99"/>
      <c r="R12746" s="99"/>
    </row>
    <row r="12747" spans="5:18" s="65" customFormat="1">
      <c r="E12747" s="130"/>
      <c r="P12747" s="99"/>
      <c r="Q12747" s="99"/>
      <c r="R12747" s="99"/>
    </row>
    <row r="12748" spans="5:18" s="65" customFormat="1">
      <c r="E12748" s="130"/>
      <c r="P12748" s="99"/>
      <c r="Q12748" s="99"/>
      <c r="R12748" s="99"/>
    </row>
    <row r="12749" spans="5:18" s="65" customFormat="1">
      <c r="E12749" s="130"/>
      <c r="P12749" s="99"/>
      <c r="Q12749" s="99"/>
      <c r="R12749" s="99"/>
    </row>
    <row r="12750" spans="5:18" s="65" customFormat="1">
      <c r="E12750" s="130"/>
      <c r="P12750" s="99"/>
      <c r="Q12750" s="99"/>
      <c r="R12750" s="99"/>
    </row>
    <row r="12751" spans="5:18" s="65" customFormat="1">
      <c r="E12751" s="130"/>
      <c r="P12751" s="99"/>
      <c r="Q12751" s="99"/>
      <c r="R12751" s="99"/>
    </row>
    <row r="12752" spans="5:18" s="65" customFormat="1">
      <c r="E12752" s="130"/>
      <c r="P12752" s="99"/>
      <c r="Q12752" s="99"/>
      <c r="R12752" s="99"/>
    </row>
    <row r="12753" spans="5:18" s="65" customFormat="1">
      <c r="E12753" s="130"/>
      <c r="P12753" s="99"/>
      <c r="Q12753" s="99"/>
      <c r="R12753" s="99"/>
    </row>
    <row r="12754" spans="5:18" s="65" customFormat="1">
      <c r="E12754" s="130"/>
      <c r="P12754" s="99"/>
      <c r="Q12754" s="99"/>
      <c r="R12754" s="99"/>
    </row>
    <row r="12755" spans="5:18" s="65" customFormat="1">
      <c r="E12755" s="130"/>
      <c r="P12755" s="99"/>
      <c r="Q12755" s="99"/>
      <c r="R12755" s="99"/>
    </row>
    <row r="12756" spans="5:18" s="65" customFormat="1">
      <c r="E12756" s="130"/>
      <c r="P12756" s="99"/>
      <c r="Q12756" s="99"/>
      <c r="R12756" s="99"/>
    </row>
    <row r="12757" spans="5:18" s="65" customFormat="1">
      <c r="E12757" s="130"/>
      <c r="P12757" s="99"/>
      <c r="Q12757" s="99"/>
      <c r="R12757" s="99"/>
    </row>
    <row r="12758" spans="5:18" s="65" customFormat="1">
      <c r="E12758" s="130"/>
      <c r="P12758" s="99"/>
      <c r="Q12758" s="99"/>
      <c r="R12758" s="99"/>
    </row>
    <row r="12759" spans="5:18" s="65" customFormat="1">
      <c r="E12759" s="130"/>
      <c r="P12759" s="99"/>
      <c r="Q12759" s="99"/>
      <c r="R12759" s="99"/>
    </row>
    <row r="12760" spans="5:18" s="65" customFormat="1">
      <c r="E12760" s="130"/>
      <c r="P12760" s="99"/>
      <c r="Q12760" s="99"/>
      <c r="R12760" s="99"/>
    </row>
    <row r="12761" spans="5:18" s="65" customFormat="1">
      <c r="E12761" s="130"/>
      <c r="P12761" s="99"/>
      <c r="Q12761" s="99"/>
      <c r="R12761" s="99"/>
    </row>
    <row r="12762" spans="5:18" s="65" customFormat="1">
      <c r="E12762" s="130"/>
      <c r="P12762" s="99"/>
      <c r="Q12762" s="99"/>
      <c r="R12762" s="99"/>
    </row>
    <row r="12763" spans="5:18" s="65" customFormat="1">
      <c r="E12763" s="130"/>
      <c r="P12763" s="99"/>
      <c r="Q12763" s="99"/>
      <c r="R12763" s="99"/>
    </row>
    <row r="12764" spans="5:18" s="65" customFormat="1">
      <c r="E12764" s="130"/>
      <c r="P12764" s="99"/>
      <c r="Q12764" s="99"/>
      <c r="R12764" s="99"/>
    </row>
    <row r="12765" spans="5:18" s="65" customFormat="1">
      <c r="E12765" s="130"/>
      <c r="P12765" s="99"/>
      <c r="Q12765" s="99"/>
      <c r="R12765" s="99"/>
    </row>
    <row r="12766" spans="5:18" s="65" customFormat="1">
      <c r="E12766" s="130"/>
      <c r="P12766" s="99"/>
      <c r="Q12766" s="99"/>
      <c r="R12766" s="99"/>
    </row>
    <row r="12767" spans="5:18" s="65" customFormat="1">
      <c r="E12767" s="130"/>
      <c r="P12767" s="99"/>
      <c r="Q12767" s="99"/>
      <c r="R12767" s="99"/>
    </row>
    <row r="12768" spans="5:18" s="65" customFormat="1">
      <c r="E12768" s="130"/>
      <c r="P12768" s="99"/>
      <c r="Q12768" s="99"/>
      <c r="R12768" s="99"/>
    </row>
    <row r="12769" spans="5:18" s="65" customFormat="1">
      <c r="E12769" s="130"/>
      <c r="P12769" s="99"/>
      <c r="Q12769" s="99"/>
      <c r="R12769" s="99"/>
    </row>
    <row r="12770" spans="5:18" s="65" customFormat="1">
      <c r="E12770" s="130"/>
      <c r="P12770" s="99"/>
      <c r="Q12770" s="99"/>
      <c r="R12770" s="99"/>
    </row>
    <row r="12771" spans="5:18" s="65" customFormat="1">
      <c r="E12771" s="130"/>
      <c r="P12771" s="99"/>
      <c r="Q12771" s="99"/>
      <c r="R12771" s="99"/>
    </row>
    <row r="12772" spans="5:18" s="65" customFormat="1">
      <c r="E12772" s="130"/>
      <c r="P12772" s="99"/>
      <c r="Q12772" s="99"/>
      <c r="R12772" s="99"/>
    </row>
    <row r="12773" spans="5:18" s="65" customFormat="1">
      <c r="E12773" s="130"/>
      <c r="P12773" s="99"/>
      <c r="Q12773" s="99"/>
      <c r="R12773" s="99"/>
    </row>
    <row r="12774" spans="5:18" s="65" customFormat="1">
      <c r="E12774" s="130"/>
      <c r="P12774" s="99"/>
      <c r="Q12774" s="99"/>
      <c r="R12774" s="99"/>
    </row>
    <row r="12775" spans="5:18" s="65" customFormat="1">
      <c r="E12775" s="130"/>
      <c r="P12775" s="99"/>
      <c r="Q12775" s="99"/>
      <c r="R12775" s="99"/>
    </row>
    <row r="12776" spans="5:18" s="65" customFormat="1">
      <c r="E12776" s="130"/>
      <c r="P12776" s="99"/>
      <c r="Q12776" s="99"/>
      <c r="R12776" s="99"/>
    </row>
    <row r="12777" spans="5:18" s="65" customFormat="1">
      <c r="E12777" s="130"/>
      <c r="P12777" s="99"/>
      <c r="Q12777" s="99"/>
      <c r="R12777" s="99"/>
    </row>
    <row r="12778" spans="5:18" s="65" customFormat="1">
      <c r="E12778" s="130"/>
      <c r="P12778" s="99"/>
      <c r="Q12778" s="99"/>
      <c r="R12778" s="99"/>
    </row>
    <row r="12779" spans="5:18" s="65" customFormat="1">
      <c r="E12779" s="130"/>
      <c r="P12779" s="99"/>
      <c r="Q12779" s="99"/>
      <c r="R12779" s="99"/>
    </row>
    <row r="12780" spans="5:18" s="65" customFormat="1">
      <c r="E12780" s="130"/>
      <c r="P12780" s="99"/>
      <c r="Q12780" s="99"/>
      <c r="R12780" s="99"/>
    </row>
    <row r="12781" spans="5:18" s="65" customFormat="1">
      <c r="E12781" s="130"/>
      <c r="P12781" s="99"/>
      <c r="Q12781" s="99"/>
      <c r="R12781" s="99"/>
    </row>
    <row r="12782" spans="5:18" s="65" customFormat="1">
      <c r="E12782" s="130"/>
      <c r="P12782" s="99"/>
      <c r="Q12782" s="99"/>
      <c r="R12782" s="99"/>
    </row>
    <row r="12783" spans="5:18" s="65" customFormat="1">
      <c r="E12783" s="130"/>
      <c r="P12783" s="99"/>
      <c r="Q12783" s="99"/>
      <c r="R12783" s="99"/>
    </row>
    <row r="12784" spans="5:18" s="65" customFormat="1">
      <c r="E12784" s="130"/>
      <c r="P12784" s="99"/>
      <c r="Q12784" s="99"/>
      <c r="R12784" s="99"/>
    </row>
    <row r="12785" spans="5:18" s="65" customFormat="1">
      <c r="E12785" s="130"/>
      <c r="P12785" s="99"/>
      <c r="Q12785" s="99"/>
      <c r="R12785" s="99"/>
    </row>
    <row r="12786" spans="5:18" s="65" customFormat="1">
      <c r="E12786" s="130"/>
      <c r="P12786" s="99"/>
      <c r="Q12786" s="99"/>
      <c r="R12786" s="99"/>
    </row>
    <row r="12787" spans="5:18" s="65" customFormat="1">
      <c r="E12787" s="130"/>
      <c r="P12787" s="99"/>
      <c r="Q12787" s="99"/>
      <c r="R12787" s="99"/>
    </row>
    <row r="12788" spans="5:18" s="65" customFormat="1">
      <c r="E12788" s="130"/>
      <c r="P12788" s="99"/>
      <c r="Q12788" s="99"/>
      <c r="R12788" s="99"/>
    </row>
    <row r="12789" spans="5:18" s="65" customFormat="1">
      <c r="E12789" s="130"/>
      <c r="P12789" s="99"/>
      <c r="Q12789" s="99"/>
      <c r="R12789" s="99"/>
    </row>
    <row r="12790" spans="5:18" s="65" customFormat="1">
      <c r="E12790" s="130"/>
      <c r="P12790" s="99"/>
      <c r="Q12790" s="99"/>
      <c r="R12790" s="99"/>
    </row>
    <row r="12791" spans="5:18" s="65" customFormat="1">
      <c r="E12791" s="130"/>
      <c r="P12791" s="99"/>
      <c r="Q12791" s="99"/>
      <c r="R12791" s="99"/>
    </row>
    <row r="12792" spans="5:18" s="65" customFormat="1">
      <c r="E12792" s="130"/>
      <c r="P12792" s="99"/>
      <c r="Q12792" s="99"/>
      <c r="R12792" s="99"/>
    </row>
    <row r="12793" spans="5:18" s="65" customFormat="1">
      <c r="E12793" s="130"/>
      <c r="P12793" s="99"/>
      <c r="Q12793" s="99"/>
      <c r="R12793" s="99"/>
    </row>
    <row r="12794" spans="5:18" s="65" customFormat="1">
      <c r="E12794" s="130"/>
      <c r="P12794" s="99"/>
      <c r="Q12794" s="99"/>
      <c r="R12794" s="99"/>
    </row>
    <row r="12795" spans="5:18" s="65" customFormat="1">
      <c r="E12795" s="130"/>
      <c r="P12795" s="99"/>
      <c r="Q12795" s="99"/>
      <c r="R12795" s="99"/>
    </row>
    <row r="12796" spans="5:18" s="65" customFormat="1">
      <c r="E12796" s="130"/>
      <c r="P12796" s="99"/>
      <c r="Q12796" s="99"/>
      <c r="R12796" s="99"/>
    </row>
    <row r="12797" spans="5:18" s="65" customFormat="1">
      <c r="E12797" s="130"/>
      <c r="P12797" s="99"/>
      <c r="Q12797" s="99"/>
      <c r="R12797" s="99"/>
    </row>
    <row r="12798" spans="5:18" s="65" customFormat="1">
      <c r="E12798" s="130"/>
      <c r="P12798" s="99"/>
      <c r="Q12798" s="99"/>
      <c r="R12798" s="99"/>
    </row>
    <row r="12799" spans="5:18" s="65" customFormat="1">
      <c r="E12799" s="130"/>
      <c r="P12799" s="99"/>
      <c r="Q12799" s="99"/>
      <c r="R12799" s="99"/>
    </row>
    <row r="12800" spans="5:18" s="65" customFormat="1">
      <c r="E12800" s="130"/>
      <c r="P12800" s="99"/>
      <c r="Q12800" s="99"/>
      <c r="R12800" s="99"/>
    </row>
    <row r="12801" spans="5:18" s="65" customFormat="1">
      <c r="E12801" s="130"/>
      <c r="P12801" s="99"/>
      <c r="Q12801" s="99"/>
      <c r="R12801" s="99"/>
    </row>
    <row r="12802" spans="5:18" s="65" customFormat="1">
      <c r="E12802" s="130"/>
      <c r="P12802" s="99"/>
      <c r="Q12802" s="99"/>
      <c r="R12802" s="99"/>
    </row>
    <row r="12803" spans="5:18" s="65" customFormat="1">
      <c r="E12803" s="130"/>
      <c r="P12803" s="99"/>
      <c r="Q12803" s="99"/>
      <c r="R12803" s="99"/>
    </row>
    <row r="12804" spans="5:18" s="65" customFormat="1">
      <c r="E12804" s="130"/>
      <c r="P12804" s="99"/>
      <c r="Q12804" s="99"/>
      <c r="R12804" s="99"/>
    </row>
    <row r="12805" spans="5:18" s="65" customFormat="1">
      <c r="E12805" s="130"/>
      <c r="P12805" s="99"/>
      <c r="Q12805" s="99"/>
      <c r="R12805" s="99"/>
    </row>
    <row r="12806" spans="5:18" s="65" customFormat="1">
      <c r="E12806" s="130"/>
      <c r="P12806" s="99"/>
      <c r="Q12806" s="99"/>
      <c r="R12806" s="99"/>
    </row>
    <row r="12807" spans="5:18" s="65" customFormat="1">
      <c r="E12807" s="130"/>
      <c r="P12807" s="99"/>
      <c r="Q12807" s="99"/>
      <c r="R12807" s="99"/>
    </row>
    <row r="12808" spans="5:18" s="65" customFormat="1">
      <c r="E12808" s="130"/>
      <c r="P12808" s="99"/>
      <c r="Q12808" s="99"/>
      <c r="R12808" s="99"/>
    </row>
    <row r="12809" spans="5:18" s="65" customFormat="1">
      <c r="E12809" s="130"/>
      <c r="P12809" s="99"/>
      <c r="Q12809" s="99"/>
      <c r="R12809" s="99"/>
    </row>
    <row r="12810" spans="5:18" s="65" customFormat="1">
      <c r="E12810" s="130"/>
      <c r="P12810" s="99"/>
      <c r="Q12810" s="99"/>
      <c r="R12810" s="99"/>
    </row>
    <row r="12811" spans="5:18" s="65" customFormat="1">
      <c r="E12811" s="130"/>
      <c r="P12811" s="99"/>
      <c r="Q12811" s="99"/>
      <c r="R12811" s="99"/>
    </row>
    <row r="12812" spans="5:18" s="65" customFormat="1">
      <c r="E12812" s="130"/>
      <c r="P12812" s="99"/>
      <c r="Q12812" s="99"/>
      <c r="R12812" s="99"/>
    </row>
    <row r="12813" spans="5:18" s="65" customFormat="1">
      <c r="E12813" s="130"/>
      <c r="P12813" s="99"/>
      <c r="Q12813" s="99"/>
      <c r="R12813" s="99"/>
    </row>
    <row r="12814" spans="5:18" s="65" customFormat="1">
      <c r="E12814" s="130"/>
      <c r="P12814" s="99"/>
      <c r="Q12814" s="99"/>
      <c r="R12814" s="99"/>
    </row>
    <row r="12815" spans="5:18" s="65" customFormat="1">
      <c r="E12815" s="130"/>
      <c r="P12815" s="99"/>
      <c r="Q12815" s="99"/>
      <c r="R12815" s="99"/>
    </row>
    <row r="12816" spans="5:18" s="65" customFormat="1">
      <c r="E12816" s="130"/>
      <c r="P12816" s="99"/>
      <c r="Q12816" s="99"/>
      <c r="R12816" s="99"/>
    </row>
    <row r="12817" spans="5:18" s="65" customFormat="1">
      <c r="E12817" s="130"/>
      <c r="P12817" s="99"/>
      <c r="Q12817" s="99"/>
      <c r="R12817" s="99"/>
    </row>
    <row r="12818" spans="5:18" s="65" customFormat="1">
      <c r="E12818" s="130"/>
      <c r="P12818" s="99"/>
      <c r="Q12818" s="99"/>
      <c r="R12818" s="99"/>
    </row>
    <row r="12819" spans="5:18" s="65" customFormat="1">
      <c r="E12819" s="130"/>
      <c r="P12819" s="99"/>
      <c r="Q12819" s="99"/>
      <c r="R12819" s="99"/>
    </row>
    <row r="12820" spans="5:18" s="65" customFormat="1">
      <c r="E12820" s="130"/>
      <c r="P12820" s="99"/>
      <c r="Q12820" s="99"/>
      <c r="R12820" s="99"/>
    </row>
    <row r="12821" spans="5:18" s="65" customFormat="1">
      <c r="E12821" s="130"/>
      <c r="P12821" s="99"/>
      <c r="Q12821" s="99"/>
      <c r="R12821" s="99"/>
    </row>
    <row r="12822" spans="5:18" s="65" customFormat="1">
      <c r="E12822" s="130"/>
      <c r="P12822" s="99"/>
      <c r="Q12822" s="99"/>
      <c r="R12822" s="99"/>
    </row>
    <row r="12823" spans="5:18" s="65" customFormat="1">
      <c r="E12823" s="130"/>
      <c r="P12823" s="99"/>
      <c r="Q12823" s="99"/>
      <c r="R12823" s="99"/>
    </row>
    <row r="12824" spans="5:18" s="65" customFormat="1">
      <c r="E12824" s="130"/>
      <c r="P12824" s="99"/>
      <c r="Q12824" s="99"/>
      <c r="R12824" s="99"/>
    </row>
    <row r="12825" spans="5:18" s="65" customFormat="1">
      <c r="E12825" s="130"/>
      <c r="P12825" s="99"/>
      <c r="Q12825" s="99"/>
      <c r="R12825" s="99"/>
    </row>
    <row r="12826" spans="5:18" s="65" customFormat="1">
      <c r="E12826" s="130"/>
      <c r="P12826" s="99"/>
      <c r="Q12826" s="99"/>
      <c r="R12826" s="99"/>
    </row>
    <row r="12827" spans="5:18" s="65" customFormat="1">
      <c r="E12827" s="130"/>
      <c r="P12827" s="99"/>
      <c r="Q12827" s="99"/>
      <c r="R12827" s="99"/>
    </row>
    <row r="12828" spans="5:18" s="65" customFormat="1">
      <c r="E12828" s="130"/>
      <c r="P12828" s="99"/>
      <c r="Q12828" s="99"/>
      <c r="R12828" s="99"/>
    </row>
    <row r="12829" spans="5:18" s="65" customFormat="1">
      <c r="E12829" s="130"/>
      <c r="P12829" s="99"/>
      <c r="Q12829" s="99"/>
      <c r="R12829" s="99"/>
    </row>
    <row r="12830" spans="5:18" s="65" customFormat="1">
      <c r="E12830" s="130"/>
      <c r="P12830" s="99"/>
      <c r="Q12830" s="99"/>
      <c r="R12830" s="99"/>
    </row>
    <row r="12831" spans="5:18" s="65" customFormat="1">
      <c r="E12831" s="130"/>
      <c r="P12831" s="99"/>
      <c r="Q12831" s="99"/>
      <c r="R12831" s="99"/>
    </row>
    <row r="12832" spans="5:18" s="65" customFormat="1">
      <c r="E12832" s="130"/>
      <c r="P12832" s="99"/>
      <c r="Q12832" s="99"/>
      <c r="R12832" s="99"/>
    </row>
    <row r="12833" spans="5:18" s="65" customFormat="1">
      <c r="E12833" s="130"/>
      <c r="P12833" s="99"/>
      <c r="Q12833" s="99"/>
      <c r="R12833" s="99"/>
    </row>
    <row r="12834" spans="5:18" s="65" customFormat="1">
      <c r="E12834" s="130"/>
      <c r="P12834" s="99"/>
      <c r="Q12834" s="99"/>
      <c r="R12834" s="99"/>
    </row>
    <row r="12835" spans="5:18" s="65" customFormat="1">
      <c r="E12835" s="130"/>
      <c r="P12835" s="99"/>
      <c r="Q12835" s="99"/>
      <c r="R12835" s="99"/>
    </row>
    <row r="12836" spans="5:18" s="65" customFormat="1">
      <c r="E12836" s="130"/>
      <c r="P12836" s="99"/>
      <c r="Q12836" s="99"/>
      <c r="R12836" s="99"/>
    </row>
    <row r="12837" spans="5:18" s="65" customFormat="1">
      <c r="E12837" s="130"/>
      <c r="P12837" s="99"/>
      <c r="Q12837" s="99"/>
      <c r="R12837" s="99"/>
    </row>
    <row r="12838" spans="5:18" s="65" customFormat="1">
      <c r="E12838" s="130"/>
      <c r="P12838" s="99"/>
      <c r="Q12838" s="99"/>
      <c r="R12838" s="99"/>
    </row>
    <row r="12839" spans="5:18" s="65" customFormat="1">
      <c r="E12839" s="130"/>
      <c r="P12839" s="99"/>
      <c r="Q12839" s="99"/>
      <c r="R12839" s="99"/>
    </row>
    <row r="12840" spans="5:18" s="65" customFormat="1">
      <c r="E12840" s="130"/>
      <c r="P12840" s="99"/>
      <c r="Q12840" s="99"/>
      <c r="R12840" s="99"/>
    </row>
    <row r="12841" spans="5:18" s="65" customFormat="1">
      <c r="E12841" s="130"/>
      <c r="P12841" s="99"/>
      <c r="Q12841" s="99"/>
      <c r="R12841" s="99"/>
    </row>
    <row r="12842" spans="5:18" s="65" customFormat="1">
      <c r="E12842" s="130"/>
      <c r="P12842" s="99"/>
      <c r="Q12842" s="99"/>
      <c r="R12842" s="99"/>
    </row>
    <row r="12843" spans="5:18" s="65" customFormat="1">
      <c r="E12843" s="130"/>
      <c r="P12843" s="99"/>
      <c r="Q12843" s="99"/>
      <c r="R12843" s="99"/>
    </row>
    <row r="12844" spans="5:18" s="65" customFormat="1">
      <c r="E12844" s="130"/>
      <c r="P12844" s="99"/>
      <c r="Q12844" s="99"/>
      <c r="R12844" s="99"/>
    </row>
    <row r="12845" spans="5:18" s="65" customFormat="1">
      <c r="E12845" s="130"/>
      <c r="P12845" s="99"/>
      <c r="Q12845" s="99"/>
      <c r="R12845" s="99"/>
    </row>
    <row r="12846" spans="5:18" s="65" customFormat="1">
      <c r="E12846" s="130"/>
      <c r="P12846" s="99"/>
      <c r="Q12846" s="99"/>
      <c r="R12846" s="99"/>
    </row>
    <row r="12847" spans="5:18" s="65" customFormat="1">
      <c r="E12847" s="130"/>
      <c r="P12847" s="99"/>
      <c r="Q12847" s="99"/>
      <c r="R12847" s="99"/>
    </row>
    <row r="12848" spans="5:18" s="65" customFormat="1">
      <c r="E12848" s="130"/>
      <c r="P12848" s="99"/>
      <c r="Q12848" s="99"/>
      <c r="R12848" s="99"/>
    </row>
    <row r="12849" spans="5:18" s="65" customFormat="1">
      <c r="E12849" s="130"/>
      <c r="P12849" s="99"/>
      <c r="Q12849" s="99"/>
      <c r="R12849" s="99"/>
    </row>
    <row r="12850" spans="5:18" s="65" customFormat="1">
      <c r="E12850" s="130"/>
      <c r="P12850" s="99"/>
      <c r="Q12850" s="99"/>
      <c r="R12850" s="99"/>
    </row>
    <row r="12851" spans="5:18" s="65" customFormat="1">
      <c r="E12851" s="130"/>
      <c r="P12851" s="99"/>
      <c r="Q12851" s="99"/>
      <c r="R12851" s="99"/>
    </row>
    <row r="12852" spans="5:18" s="65" customFormat="1">
      <c r="E12852" s="130"/>
      <c r="P12852" s="99"/>
      <c r="Q12852" s="99"/>
      <c r="R12852" s="99"/>
    </row>
    <row r="12853" spans="5:18" s="65" customFormat="1">
      <c r="E12853" s="130"/>
      <c r="P12853" s="99"/>
      <c r="Q12853" s="99"/>
      <c r="R12853" s="99"/>
    </row>
    <row r="12854" spans="5:18" s="65" customFormat="1">
      <c r="E12854" s="130"/>
      <c r="P12854" s="99"/>
      <c r="Q12854" s="99"/>
      <c r="R12854" s="99"/>
    </row>
    <row r="12855" spans="5:18" s="65" customFormat="1">
      <c r="E12855" s="130"/>
      <c r="P12855" s="99"/>
      <c r="Q12855" s="99"/>
      <c r="R12855" s="99"/>
    </row>
    <row r="12856" spans="5:18" s="65" customFormat="1">
      <c r="E12856" s="130"/>
      <c r="P12856" s="99"/>
      <c r="Q12856" s="99"/>
      <c r="R12856" s="99"/>
    </row>
    <row r="12857" spans="5:18" s="65" customFormat="1">
      <c r="E12857" s="130"/>
      <c r="P12857" s="99"/>
      <c r="Q12857" s="99"/>
      <c r="R12857" s="99"/>
    </row>
    <row r="12858" spans="5:18" s="65" customFormat="1">
      <c r="E12858" s="130"/>
      <c r="P12858" s="99"/>
      <c r="Q12858" s="99"/>
      <c r="R12858" s="99"/>
    </row>
    <row r="12859" spans="5:18" s="65" customFormat="1">
      <c r="E12859" s="130"/>
      <c r="P12859" s="99"/>
      <c r="Q12859" s="99"/>
      <c r="R12859" s="99"/>
    </row>
    <row r="12860" spans="5:18" s="65" customFormat="1">
      <c r="E12860" s="130"/>
      <c r="P12860" s="99"/>
      <c r="Q12860" s="99"/>
      <c r="R12860" s="99"/>
    </row>
    <row r="12861" spans="5:18" s="65" customFormat="1">
      <c r="E12861" s="130"/>
      <c r="P12861" s="99"/>
      <c r="Q12861" s="99"/>
      <c r="R12861" s="99"/>
    </row>
    <row r="12862" spans="5:18" s="65" customFormat="1">
      <c r="E12862" s="130"/>
      <c r="P12862" s="99"/>
      <c r="Q12862" s="99"/>
      <c r="R12862" s="99"/>
    </row>
    <row r="12863" spans="5:18" s="65" customFormat="1">
      <c r="E12863" s="130"/>
      <c r="P12863" s="99"/>
      <c r="Q12863" s="99"/>
      <c r="R12863" s="99"/>
    </row>
    <row r="12864" spans="5:18" s="65" customFormat="1">
      <c r="E12864" s="130"/>
      <c r="P12864" s="99"/>
      <c r="Q12864" s="99"/>
      <c r="R12864" s="99"/>
    </row>
    <row r="12865" spans="5:18" s="65" customFormat="1">
      <c r="E12865" s="130"/>
      <c r="P12865" s="99"/>
      <c r="Q12865" s="99"/>
      <c r="R12865" s="99"/>
    </row>
    <row r="12866" spans="5:18" s="65" customFormat="1">
      <c r="E12866" s="130"/>
      <c r="P12866" s="99"/>
      <c r="Q12866" s="99"/>
      <c r="R12866" s="99"/>
    </row>
    <row r="12867" spans="5:18" s="65" customFormat="1">
      <c r="E12867" s="130"/>
      <c r="P12867" s="99"/>
      <c r="Q12867" s="99"/>
      <c r="R12867" s="99"/>
    </row>
    <row r="12868" spans="5:18" s="65" customFormat="1">
      <c r="E12868" s="130"/>
      <c r="P12868" s="99"/>
      <c r="Q12868" s="99"/>
      <c r="R12868" s="99"/>
    </row>
    <row r="12869" spans="5:18" s="65" customFormat="1">
      <c r="E12869" s="130"/>
      <c r="P12869" s="99"/>
      <c r="Q12869" s="99"/>
      <c r="R12869" s="99"/>
    </row>
    <row r="12870" spans="5:18" s="65" customFormat="1">
      <c r="E12870" s="130"/>
      <c r="P12870" s="99"/>
      <c r="Q12870" s="99"/>
      <c r="R12870" s="99"/>
    </row>
    <row r="12871" spans="5:18" s="65" customFormat="1">
      <c r="E12871" s="130"/>
      <c r="P12871" s="99"/>
      <c r="Q12871" s="99"/>
      <c r="R12871" s="99"/>
    </row>
    <row r="12872" spans="5:18" s="65" customFormat="1">
      <c r="E12872" s="130"/>
      <c r="P12872" s="99"/>
      <c r="Q12872" s="99"/>
      <c r="R12872" s="99"/>
    </row>
    <row r="12873" spans="5:18" s="65" customFormat="1">
      <c r="E12873" s="130"/>
      <c r="P12873" s="99"/>
      <c r="Q12873" s="99"/>
      <c r="R12873" s="99"/>
    </row>
    <row r="12874" spans="5:18" s="65" customFormat="1">
      <c r="E12874" s="130"/>
      <c r="P12874" s="99"/>
      <c r="Q12874" s="99"/>
      <c r="R12874" s="99"/>
    </row>
    <row r="12875" spans="5:18" s="65" customFormat="1">
      <c r="E12875" s="130"/>
      <c r="P12875" s="99"/>
      <c r="Q12875" s="99"/>
      <c r="R12875" s="99"/>
    </row>
    <row r="12876" spans="5:18" s="65" customFormat="1">
      <c r="E12876" s="130"/>
      <c r="P12876" s="99"/>
      <c r="Q12876" s="99"/>
      <c r="R12876" s="99"/>
    </row>
    <row r="12877" spans="5:18" s="65" customFormat="1">
      <c r="E12877" s="130"/>
      <c r="P12877" s="99"/>
      <c r="Q12877" s="99"/>
      <c r="R12877" s="99"/>
    </row>
    <row r="12878" spans="5:18" s="65" customFormat="1">
      <c r="E12878" s="130"/>
      <c r="P12878" s="99"/>
      <c r="Q12878" s="99"/>
      <c r="R12878" s="99"/>
    </row>
    <row r="12879" spans="5:18" s="65" customFormat="1">
      <c r="E12879" s="130"/>
      <c r="P12879" s="99"/>
      <c r="Q12879" s="99"/>
      <c r="R12879" s="99"/>
    </row>
    <row r="12880" spans="5:18" s="65" customFormat="1">
      <c r="E12880" s="130"/>
      <c r="P12880" s="99"/>
      <c r="Q12880" s="99"/>
      <c r="R12880" s="99"/>
    </row>
    <row r="12881" spans="5:18" s="65" customFormat="1">
      <c r="E12881" s="130"/>
      <c r="P12881" s="99"/>
      <c r="Q12881" s="99"/>
      <c r="R12881" s="99"/>
    </row>
    <row r="12882" spans="5:18" s="65" customFormat="1">
      <c r="E12882" s="130"/>
      <c r="P12882" s="99"/>
      <c r="Q12882" s="99"/>
      <c r="R12882" s="99"/>
    </row>
    <row r="12883" spans="5:18" s="65" customFormat="1">
      <c r="E12883" s="130"/>
      <c r="P12883" s="99"/>
      <c r="Q12883" s="99"/>
      <c r="R12883" s="99"/>
    </row>
    <row r="12884" spans="5:18" s="65" customFormat="1">
      <c r="E12884" s="130"/>
      <c r="P12884" s="99"/>
      <c r="Q12884" s="99"/>
      <c r="R12884" s="99"/>
    </row>
    <row r="12885" spans="5:18" s="65" customFormat="1">
      <c r="E12885" s="130"/>
      <c r="P12885" s="99"/>
      <c r="Q12885" s="99"/>
      <c r="R12885" s="99"/>
    </row>
    <row r="12886" spans="5:18" s="65" customFormat="1">
      <c r="E12886" s="130"/>
      <c r="P12886" s="99"/>
      <c r="Q12886" s="99"/>
      <c r="R12886" s="99"/>
    </row>
    <row r="12887" spans="5:18" s="65" customFormat="1">
      <c r="E12887" s="130"/>
      <c r="P12887" s="99"/>
      <c r="Q12887" s="99"/>
      <c r="R12887" s="99"/>
    </row>
    <row r="12888" spans="5:18" s="65" customFormat="1">
      <c r="E12888" s="130"/>
      <c r="P12888" s="99"/>
      <c r="Q12888" s="99"/>
      <c r="R12888" s="99"/>
    </row>
    <row r="12889" spans="5:18" s="65" customFormat="1">
      <c r="E12889" s="130"/>
      <c r="P12889" s="99"/>
      <c r="Q12889" s="99"/>
      <c r="R12889" s="99"/>
    </row>
    <row r="12890" spans="5:18" s="65" customFormat="1">
      <c r="E12890" s="130"/>
      <c r="P12890" s="99"/>
      <c r="Q12890" s="99"/>
      <c r="R12890" s="99"/>
    </row>
    <row r="12891" spans="5:18" s="65" customFormat="1">
      <c r="E12891" s="130"/>
      <c r="P12891" s="99"/>
      <c r="Q12891" s="99"/>
      <c r="R12891" s="99"/>
    </row>
    <row r="12892" spans="5:18" s="65" customFormat="1">
      <c r="E12892" s="130"/>
      <c r="P12892" s="99"/>
      <c r="Q12892" s="99"/>
      <c r="R12892" s="99"/>
    </row>
    <row r="12893" spans="5:18" s="65" customFormat="1">
      <c r="E12893" s="130"/>
      <c r="P12893" s="99"/>
      <c r="Q12893" s="99"/>
      <c r="R12893" s="99"/>
    </row>
    <row r="12894" spans="5:18" s="65" customFormat="1">
      <c r="E12894" s="130"/>
      <c r="P12894" s="99"/>
      <c r="Q12894" s="99"/>
      <c r="R12894" s="99"/>
    </row>
    <row r="12895" spans="5:18" s="65" customFormat="1">
      <c r="E12895" s="130"/>
      <c r="P12895" s="99"/>
      <c r="Q12895" s="99"/>
      <c r="R12895" s="99"/>
    </row>
    <row r="12896" spans="5:18" s="65" customFormat="1">
      <c r="E12896" s="130"/>
      <c r="P12896" s="99"/>
      <c r="Q12896" s="99"/>
      <c r="R12896" s="99"/>
    </row>
    <row r="12897" spans="5:18" s="65" customFormat="1">
      <c r="E12897" s="130"/>
      <c r="P12897" s="99"/>
      <c r="Q12897" s="99"/>
      <c r="R12897" s="99"/>
    </row>
    <row r="12898" spans="5:18" s="65" customFormat="1">
      <c r="E12898" s="130"/>
      <c r="P12898" s="99"/>
      <c r="Q12898" s="99"/>
      <c r="R12898" s="99"/>
    </row>
    <row r="12899" spans="5:18" s="65" customFormat="1">
      <c r="E12899" s="130"/>
      <c r="P12899" s="99"/>
      <c r="Q12899" s="99"/>
      <c r="R12899" s="99"/>
    </row>
    <row r="12900" spans="5:18" s="65" customFormat="1">
      <c r="E12900" s="130"/>
      <c r="P12900" s="99"/>
      <c r="Q12900" s="99"/>
      <c r="R12900" s="99"/>
    </row>
    <row r="12901" spans="5:18" s="65" customFormat="1">
      <c r="E12901" s="130"/>
      <c r="P12901" s="99"/>
      <c r="Q12901" s="99"/>
      <c r="R12901" s="99"/>
    </row>
    <row r="12902" spans="5:18" s="65" customFormat="1">
      <c r="E12902" s="130"/>
      <c r="P12902" s="99"/>
      <c r="Q12902" s="99"/>
      <c r="R12902" s="99"/>
    </row>
    <row r="12903" spans="5:18" s="65" customFormat="1">
      <c r="E12903" s="130"/>
      <c r="P12903" s="99"/>
      <c r="Q12903" s="99"/>
      <c r="R12903" s="99"/>
    </row>
    <row r="12904" spans="5:18" s="65" customFormat="1">
      <c r="E12904" s="130"/>
      <c r="P12904" s="99"/>
      <c r="Q12904" s="99"/>
      <c r="R12904" s="99"/>
    </row>
    <row r="12905" spans="5:18" s="65" customFormat="1">
      <c r="E12905" s="130"/>
      <c r="P12905" s="99"/>
      <c r="Q12905" s="99"/>
      <c r="R12905" s="99"/>
    </row>
    <row r="12906" spans="5:18" s="65" customFormat="1">
      <c r="E12906" s="130"/>
      <c r="P12906" s="99"/>
      <c r="Q12906" s="99"/>
      <c r="R12906" s="99"/>
    </row>
    <row r="12907" spans="5:18" s="65" customFormat="1">
      <c r="E12907" s="130"/>
      <c r="P12907" s="99"/>
      <c r="Q12907" s="99"/>
      <c r="R12907" s="99"/>
    </row>
    <row r="12908" spans="5:18" s="65" customFormat="1">
      <c r="E12908" s="130"/>
      <c r="P12908" s="99"/>
      <c r="Q12908" s="99"/>
      <c r="R12908" s="99"/>
    </row>
    <row r="12909" spans="5:18" s="65" customFormat="1">
      <c r="E12909" s="130"/>
      <c r="P12909" s="99"/>
      <c r="Q12909" s="99"/>
      <c r="R12909" s="99"/>
    </row>
    <row r="12910" spans="5:18" s="65" customFormat="1">
      <c r="E12910" s="130"/>
      <c r="P12910" s="99"/>
      <c r="Q12910" s="99"/>
      <c r="R12910" s="99"/>
    </row>
    <row r="12911" spans="5:18" s="65" customFormat="1">
      <c r="E12911" s="130"/>
      <c r="P12911" s="99"/>
      <c r="Q12911" s="99"/>
      <c r="R12911" s="99"/>
    </row>
    <row r="12912" spans="5:18" s="65" customFormat="1">
      <c r="E12912" s="130"/>
      <c r="P12912" s="99"/>
      <c r="Q12912" s="99"/>
      <c r="R12912" s="99"/>
    </row>
    <row r="12913" spans="5:18" s="65" customFormat="1">
      <c r="E12913" s="130"/>
      <c r="P12913" s="99"/>
      <c r="Q12913" s="99"/>
      <c r="R12913" s="99"/>
    </row>
    <row r="12914" spans="5:18" s="65" customFormat="1">
      <c r="E12914" s="130"/>
      <c r="P12914" s="99"/>
      <c r="Q12914" s="99"/>
      <c r="R12914" s="99"/>
    </row>
    <row r="12915" spans="5:18" s="65" customFormat="1">
      <c r="E12915" s="130"/>
      <c r="P12915" s="99"/>
      <c r="Q12915" s="99"/>
      <c r="R12915" s="99"/>
    </row>
    <row r="12916" spans="5:18" s="65" customFormat="1">
      <c r="E12916" s="130"/>
      <c r="P12916" s="99"/>
      <c r="Q12916" s="99"/>
      <c r="R12916" s="99"/>
    </row>
    <row r="12917" spans="5:18" s="65" customFormat="1">
      <c r="E12917" s="130"/>
      <c r="P12917" s="99"/>
      <c r="Q12917" s="99"/>
      <c r="R12917" s="99"/>
    </row>
    <row r="12918" spans="5:18" s="65" customFormat="1">
      <c r="E12918" s="130"/>
      <c r="P12918" s="99"/>
      <c r="Q12918" s="99"/>
      <c r="R12918" s="99"/>
    </row>
    <row r="12919" spans="5:18" s="65" customFormat="1">
      <c r="E12919" s="130"/>
      <c r="P12919" s="99"/>
      <c r="Q12919" s="99"/>
      <c r="R12919" s="99"/>
    </row>
    <row r="12920" spans="5:18" s="65" customFormat="1">
      <c r="E12920" s="130"/>
      <c r="P12920" s="99"/>
      <c r="Q12920" s="99"/>
      <c r="R12920" s="99"/>
    </row>
    <row r="12921" spans="5:18" s="65" customFormat="1">
      <c r="E12921" s="130"/>
      <c r="P12921" s="99"/>
      <c r="Q12921" s="99"/>
      <c r="R12921" s="99"/>
    </row>
    <row r="12922" spans="5:18" s="65" customFormat="1">
      <c r="E12922" s="130"/>
      <c r="P12922" s="99"/>
      <c r="Q12922" s="99"/>
      <c r="R12922" s="99"/>
    </row>
    <row r="12923" spans="5:18" s="65" customFormat="1">
      <c r="E12923" s="130"/>
      <c r="P12923" s="99"/>
      <c r="Q12923" s="99"/>
      <c r="R12923" s="99"/>
    </row>
    <row r="12924" spans="5:18" s="65" customFormat="1">
      <c r="E12924" s="130"/>
      <c r="P12924" s="99"/>
      <c r="Q12924" s="99"/>
      <c r="R12924" s="99"/>
    </row>
    <row r="12925" spans="5:18" s="65" customFormat="1">
      <c r="E12925" s="130"/>
      <c r="P12925" s="99"/>
      <c r="Q12925" s="99"/>
      <c r="R12925" s="99"/>
    </row>
    <row r="12926" spans="5:18" s="65" customFormat="1">
      <c r="E12926" s="130"/>
      <c r="P12926" s="99"/>
      <c r="Q12926" s="99"/>
      <c r="R12926" s="99"/>
    </row>
    <row r="12927" spans="5:18" s="65" customFormat="1">
      <c r="E12927" s="130"/>
      <c r="P12927" s="99"/>
      <c r="Q12927" s="99"/>
      <c r="R12927" s="99"/>
    </row>
    <row r="12928" spans="5:18" s="65" customFormat="1">
      <c r="E12928" s="130"/>
      <c r="P12928" s="99"/>
      <c r="Q12928" s="99"/>
      <c r="R12928" s="99"/>
    </row>
    <row r="12929" spans="5:18" s="65" customFormat="1">
      <c r="E12929" s="130"/>
      <c r="P12929" s="99"/>
      <c r="Q12929" s="99"/>
      <c r="R12929" s="99"/>
    </row>
    <row r="12930" spans="5:18" s="65" customFormat="1">
      <c r="E12930" s="130"/>
      <c r="P12930" s="99"/>
      <c r="Q12930" s="99"/>
      <c r="R12930" s="99"/>
    </row>
    <row r="12931" spans="5:18" s="65" customFormat="1">
      <c r="E12931" s="130"/>
      <c r="P12931" s="99"/>
      <c r="Q12931" s="99"/>
      <c r="R12931" s="99"/>
    </row>
    <row r="12932" spans="5:18" s="65" customFormat="1">
      <c r="E12932" s="130"/>
      <c r="P12932" s="99"/>
      <c r="Q12932" s="99"/>
      <c r="R12932" s="99"/>
    </row>
    <row r="12933" spans="5:18" s="65" customFormat="1">
      <c r="E12933" s="130"/>
      <c r="P12933" s="99"/>
      <c r="Q12933" s="99"/>
      <c r="R12933" s="99"/>
    </row>
    <row r="12934" spans="5:18" s="65" customFormat="1">
      <c r="E12934" s="130"/>
      <c r="P12934" s="99"/>
      <c r="Q12934" s="99"/>
      <c r="R12934" s="99"/>
    </row>
    <row r="12935" spans="5:18" s="65" customFormat="1">
      <c r="E12935" s="130"/>
      <c r="P12935" s="99"/>
      <c r="Q12935" s="99"/>
      <c r="R12935" s="99"/>
    </row>
    <row r="12936" spans="5:18" s="65" customFormat="1">
      <c r="E12936" s="130"/>
      <c r="P12936" s="99"/>
      <c r="Q12936" s="99"/>
      <c r="R12936" s="99"/>
    </row>
    <row r="12937" spans="5:18" s="65" customFormat="1">
      <c r="E12937" s="130"/>
      <c r="P12937" s="99"/>
      <c r="Q12937" s="99"/>
      <c r="R12937" s="99"/>
    </row>
    <row r="12938" spans="5:18" s="65" customFormat="1">
      <c r="E12938" s="130"/>
      <c r="P12938" s="99"/>
      <c r="Q12938" s="99"/>
      <c r="R12938" s="99"/>
    </row>
    <row r="12939" spans="5:18" s="65" customFormat="1">
      <c r="E12939" s="130"/>
      <c r="P12939" s="99"/>
      <c r="Q12939" s="99"/>
      <c r="R12939" s="99"/>
    </row>
    <row r="12940" spans="5:18" s="65" customFormat="1">
      <c r="E12940" s="130"/>
      <c r="P12940" s="99"/>
      <c r="Q12940" s="99"/>
      <c r="R12940" s="99"/>
    </row>
    <row r="12941" spans="5:18" s="65" customFormat="1">
      <c r="E12941" s="130"/>
      <c r="P12941" s="99"/>
      <c r="Q12941" s="99"/>
      <c r="R12941" s="99"/>
    </row>
    <row r="12942" spans="5:18" s="65" customFormat="1">
      <c r="E12942" s="130"/>
      <c r="P12942" s="99"/>
      <c r="Q12942" s="99"/>
      <c r="R12942" s="99"/>
    </row>
    <row r="12943" spans="5:18" s="65" customFormat="1">
      <c r="E12943" s="130"/>
      <c r="P12943" s="99"/>
      <c r="Q12943" s="99"/>
      <c r="R12943" s="99"/>
    </row>
    <row r="12944" spans="5:18" s="65" customFormat="1">
      <c r="E12944" s="130"/>
      <c r="P12944" s="99"/>
      <c r="Q12944" s="99"/>
      <c r="R12944" s="99"/>
    </row>
    <row r="12945" spans="5:18" s="65" customFormat="1">
      <c r="E12945" s="130"/>
      <c r="P12945" s="99"/>
      <c r="Q12945" s="99"/>
      <c r="R12945" s="99"/>
    </row>
    <row r="12946" spans="5:18" s="65" customFormat="1">
      <c r="E12946" s="130"/>
      <c r="P12946" s="99"/>
      <c r="Q12946" s="99"/>
      <c r="R12946" s="99"/>
    </row>
    <row r="12947" spans="5:18" s="65" customFormat="1">
      <c r="E12947" s="130"/>
      <c r="P12947" s="99"/>
      <c r="Q12947" s="99"/>
      <c r="R12947" s="99"/>
    </row>
    <row r="12948" spans="5:18" s="65" customFormat="1">
      <c r="E12948" s="130"/>
      <c r="P12948" s="99"/>
      <c r="Q12948" s="99"/>
      <c r="R12948" s="99"/>
    </row>
    <row r="12949" spans="5:18" s="65" customFormat="1">
      <c r="E12949" s="130"/>
      <c r="P12949" s="99"/>
      <c r="Q12949" s="99"/>
      <c r="R12949" s="99"/>
    </row>
    <row r="12950" spans="5:18" s="65" customFormat="1">
      <c r="E12950" s="130"/>
      <c r="P12950" s="99"/>
      <c r="Q12950" s="99"/>
      <c r="R12950" s="99"/>
    </row>
    <row r="12951" spans="5:18" s="65" customFormat="1">
      <c r="E12951" s="130"/>
      <c r="P12951" s="99"/>
      <c r="Q12951" s="99"/>
      <c r="R12951" s="99"/>
    </row>
    <row r="12952" spans="5:18" s="65" customFormat="1">
      <c r="E12952" s="130"/>
      <c r="P12952" s="99"/>
      <c r="Q12952" s="99"/>
      <c r="R12952" s="99"/>
    </row>
    <row r="12953" spans="5:18" s="65" customFormat="1">
      <c r="E12953" s="130"/>
      <c r="P12953" s="99"/>
      <c r="Q12953" s="99"/>
      <c r="R12953" s="99"/>
    </row>
    <row r="12954" spans="5:18" s="65" customFormat="1">
      <c r="E12954" s="130"/>
      <c r="P12954" s="99"/>
      <c r="Q12954" s="99"/>
      <c r="R12954" s="99"/>
    </row>
    <row r="12955" spans="5:18" s="65" customFormat="1">
      <c r="E12955" s="130"/>
      <c r="P12955" s="99"/>
      <c r="Q12955" s="99"/>
      <c r="R12955" s="99"/>
    </row>
    <row r="12956" spans="5:18" s="65" customFormat="1">
      <c r="E12956" s="130"/>
      <c r="P12956" s="99"/>
      <c r="Q12956" s="99"/>
      <c r="R12956" s="99"/>
    </row>
    <row r="12957" spans="5:18" s="65" customFormat="1">
      <c r="E12957" s="130"/>
      <c r="P12957" s="99"/>
      <c r="Q12957" s="99"/>
      <c r="R12957" s="99"/>
    </row>
    <row r="12958" spans="5:18" s="65" customFormat="1">
      <c r="E12958" s="130"/>
      <c r="P12958" s="99"/>
      <c r="Q12958" s="99"/>
      <c r="R12958" s="99"/>
    </row>
    <row r="12959" spans="5:18" s="65" customFormat="1">
      <c r="E12959" s="130"/>
      <c r="P12959" s="99"/>
      <c r="Q12959" s="99"/>
      <c r="R12959" s="99"/>
    </row>
    <row r="12960" spans="5:18" s="65" customFormat="1">
      <c r="E12960" s="130"/>
      <c r="P12960" s="99"/>
      <c r="Q12960" s="99"/>
      <c r="R12960" s="99"/>
    </row>
    <row r="12961" spans="5:18" s="65" customFormat="1">
      <c r="E12961" s="130"/>
      <c r="P12961" s="99"/>
      <c r="Q12961" s="99"/>
      <c r="R12961" s="99"/>
    </row>
    <row r="12962" spans="5:18" s="65" customFormat="1">
      <c r="E12962" s="130"/>
      <c r="P12962" s="99"/>
      <c r="Q12962" s="99"/>
      <c r="R12962" s="99"/>
    </row>
    <row r="12963" spans="5:18" s="65" customFormat="1">
      <c r="E12963" s="130"/>
      <c r="P12963" s="99"/>
      <c r="Q12963" s="99"/>
      <c r="R12963" s="99"/>
    </row>
    <row r="12964" spans="5:18" s="65" customFormat="1">
      <c r="E12964" s="130"/>
      <c r="P12964" s="99"/>
      <c r="Q12964" s="99"/>
      <c r="R12964" s="99"/>
    </row>
    <row r="12965" spans="5:18" s="65" customFormat="1">
      <c r="E12965" s="130"/>
      <c r="P12965" s="99"/>
      <c r="Q12965" s="99"/>
      <c r="R12965" s="99"/>
    </row>
    <row r="12966" spans="5:18" s="65" customFormat="1">
      <c r="E12966" s="130"/>
      <c r="P12966" s="99"/>
      <c r="Q12966" s="99"/>
      <c r="R12966" s="99"/>
    </row>
    <row r="12967" spans="5:18" s="65" customFormat="1">
      <c r="E12967" s="130"/>
      <c r="P12967" s="99"/>
      <c r="Q12967" s="99"/>
      <c r="R12967" s="99"/>
    </row>
    <row r="12968" spans="5:18" s="65" customFormat="1">
      <c r="E12968" s="130"/>
      <c r="P12968" s="99"/>
      <c r="Q12968" s="99"/>
      <c r="R12968" s="99"/>
    </row>
    <row r="12969" spans="5:18" s="65" customFormat="1">
      <c r="E12969" s="130"/>
      <c r="P12969" s="99"/>
      <c r="Q12969" s="99"/>
      <c r="R12969" s="99"/>
    </row>
    <row r="12970" spans="5:18" s="65" customFormat="1">
      <c r="E12970" s="130"/>
      <c r="P12970" s="99"/>
      <c r="Q12970" s="99"/>
      <c r="R12970" s="99"/>
    </row>
    <row r="12971" spans="5:18" s="65" customFormat="1">
      <c r="E12971" s="130"/>
      <c r="P12971" s="99"/>
      <c r="Q12971" s="99"/>
      <c r="R12971" s="99"/>
    </row>
    <row r="12972" spans="5:18" s="65" customFormat="1">
      <c r="E12972" s="130"/>
      <c r="P12972" s="99"/>
      <c r="Q12972" s="99"/>
      <c r="R12972" s="99"/>
    </row>
    <row r="12973" spans="5:18" s="65" customFormat="1">
      <c r="E12973" s="130"/>
      <c r="P12973" s="99"/>
      <c r="Q12973" s="99"/>
      <c r="R12973" s="99"/>
    </row>
    <row r="12974" spans="5:18" s="65" customFormat="1">
      <c r="E12974" s="130"/>
      <c r="P12974" s="99"/>
      <c r="Q12974" s="99"/>
      <c r="R12974" s="99"/>
    </row>
    <row r="12975" spans="5:18" s="65" customFormat="1">
      <c r="E12975" s="130"/>
      <c r="P12975" s="99"/>
      <c r="Q12975" s="99"/>
      <c r="R12975" s="99"/>
    </row>
    <row r="12976" spans="5:18" s="65" customFormat="1">
      <c r="E12976" s="130"/>
      <c r="P12976" s="99"/>
      <c r="Q12976" s="99"/>
      <c r="R12976" s="99"/>
    </row>
    <row r="12977" spans="5:18" s="65" customFormat="1">
      <c r="E12977" s="130"/>
      <c r="P12977" s="99"/>
      <c r="Q12977" s="99"/>
      <c r="R12977" s="99"/>
    </row>
    <row r="12978" spans="5:18" s="65" customFormat="1">
      <c r="E12978" s="130"/>
      <c r="P12978" s="99"/>
      <c r="Q12978" s="99"/>
      <c r="R12978" s="99"/>
    </row>
    <row r="12979" spans="5:18" s="65" customFormat="1">
      <c r="E12979" s="130"/>
      <c r="P12979" s="99"/>
      <c r="Q12979" s="99"/>
      <c r="R12979" s="99"/>
    </row>
    <row r="12980" spans="5:18" s="65" customFormat="1">
      <c r="E12980" s="130"/>
      <c r="P12980" s="99"/>
      <c r="Q12980" s="99"/>
      <c r="R12980" s="99"/>
    </row>
    <row r="12981" spans="5:18" s="65" customFormat="1">
      <c r="E12981" s="130"/>
      <c r="P12981" s="99"/>
      <c r="Q12981" s="99"/>
      <c r="R12981" s="99"/>
    </row>
    <row r="12982" spans="5:18" s="65" customFormat="1">
      <c r="E12982" s="130"/>
      <c r="P12982" s="99"/>
      <c r="Q12982" s="99"/>
      <c r="R12982" s="99"/>
    </row>
    <row r="12983" spans="5:18" s="65" customFormat="1">
      <c r="E12983" s="130"/>
      <c r="P12983" s="99"/>
      <c r="Q12983" s="99"/>
      <c r="R12983" s="99"/>
    </row>
    <row r="12984" spans="5:18" s="65" customFormat="1">
      <c r="E12984" s="130"/>
      <c r="P12984" s="99"/>
      <c r="Q12984" s="99"/>
      <c r="R12984" s="99"/>
    </row>
    <row r="12985" spans="5:18" s="65" customFormat="1">
      <c r="E12985" s="130"/>
      <c r="P12985" s="99"/>
      <c r="Q12985" s="99"/>
      <c r="R12985" s="99"/>
    </row>
    <row r="12986" spans="5:18" s="65" customFormat="1">
      <c r="E12986" s="130"/>
      <c r="P12986" s="99"/>
      <c r="Q12986" s="99"/>
      <c r="R12986" s="99"/>
    </row>
    <row r="12987" spans="5:18" s="65" customFormat="1">
      <c r="E12987" s="130"/>
      <c r="P12987" s="99"/>
      <c r="Q12987" s="99"/>
      <c r="R12987" s="99"/>
    </row>
    <row r="12988" spans="5:18" s="65" customFormat="1">
      <c r="E12988" s="130"/>
      <c r="P12988" s="99"/>
      <c r="Q12988" s="99"/>
      <c r="R12988" s="99"/>
    </row>
    <row r="12989" spans="5:18" s="65" customFormat="1">
      <c r="E12989" s="130"/>
      <c r="P12989" s="99"/>
      <c r="Q12989" s="99"/>
      <c r="R12989" s="99"/>
    </row>
    <row r="12990" spans="5:18" s="65" customFormat="1">
      <c r="E12990" s="130"/>
      <c r="P12990" s="99"/>
      <c r="Q12990" s="99"/>
      <c r="R12990" s="99"/>
    </row>
    <row r="12991" spans="5:18" s="65" customFormat="1">
      <c r="E12991" s="130"/>
      <c r="P12991" s="99"/>
      <c r="Q12991" s="99"/>
      <c r="R12991" s="99"/>
    </row>
    <row r="12992" spans="5:18" s="65" customFormat="1">
      <c r="E12992" s="130"/>
      <c r="P12992" s="99"/>
      <c r="Q12992" s="99"/>
      <c r="R12992" s="99"/>
    </row>
    <row r="12993" spans="5:18" s="65" customFormat="1">
      <c r="E12993" s="130"/>
      <c r="P12993" s="99"/>
      <c r="Q12993" s="99"/>
      <c r="R12993" s="99"/>
    </row>
    <row r="12994" spans="5:18" s="65" customFormat="1">
      <c r="E12994" s="130"/>
      <c r="P12994" s="99"/>
      <c r="Q12994" s="99"/>
      <c r="R12994" s="99"/>
    </row>
    <row r="12995" spans="5:18" s="65" customFormat="1">
      <c r="E12995" s="130"/>
      <c r="P12995" s="99"/>
      <c r="Q12995" s="99"/>
      <c r="R12995" s="99"/>
    </row>
    <row r="12996" spans="5:18" s="65" customFormat="1">
      <c r="E12996" s="130"/>
      <c r="P12996" s="99"/>
      <c r="Q12996" s="99"/>
      <c r="R12996" s="99"/>
    </row>
    <row r="12997" spans="5:18" s="65" customFormat="1">
      <c r="E12997" s="130"/>
      <c r="P12997" s="99"/>
      <c r="Q12997" s="99"/>
      <c r="R12997" s="99"/>
    </row>
    <row r="12998" spans="5:18" s="65" customFormat="1">
      <c r="E12998" s="130"/>
      <c r="P12998" s="99"/>
      <c r="Q12998" s="99"/>
      <c r="R12998" s="99"/>
    </row>
    <row r="12999" spans="5:18" s="65" customFormat="1">
      <c r="E12999" s="130"/>
      <c r="P12999" s="99"/>
      <c r="Q12999" s="99"/>
      <c r="R12999" s="99"/>
    </row>
    <row r="13000" spans="5:18" s="65" customFormat="1">
      <c r="E13000" s="130"/>
      <c r="P13000" s="99"/>
      <c r="Q13000" s="99"/>
      <c r="R13000" s="99"/>
    </row>
    <row r="13001" spans="5:18" s="65" customFormat="1">
      <c r="E13001" s="130"/>
      <c r="P13001" s="99"/>
      <c r="Q13001" s="99"/>
      <c r="R13001" s="99"/>
    </row>
    <row r="13002" spans="5:18" s="65" customFormat="1">
      <c r="E13002" s="130"/>
      <c r="P13002" s="99"/>
      <c r="Q13002" s="99"/>
      <c r="R13002" s="99"/>
    </row>
    <row r="13003" spans="5:18" s="65" customFormat="1">
      <c r="E13003" s="130"/>
      <c r="P13003" s="99"/>
      <c r="Q13003" s="99"/>
      <c r="R13003" s="99"/>
    </row>
    <row r="13004" spans="5:18" s="65" customFormat="1">
      <c r="E13004" s="130"/>
      <c r="P13004" s="99"/>
      <c r="Q13004" s="99"/>
      <c r="R13004" s="99"/>
    </row>
    <row r="13005" spans="5:18" s="65" customFormat="1">
      <c r="E13005" s="130"/>
      <c r="P13005" s="99"/>
      <c r="Q13005" s="99"/>
      <c r="R13005" s="99"/>
    </row>
    <row r="13006" spans="5:18" s="65" customFormat="1">
      <c r="E13006" s="130"/>
      <c r="P13006" s="99"/>
      <c r="Q13006" s="99"/>
      <c r="R13006" s="99"/>
    </row>
    <row r="13007" spans="5:18" s="65" customFormat="1">
      <c r="E13007" s="130"/>
      <c r="P13007" s="99"/>
      <c r="Q13007" s="99"/>
      <c r="R13007" s="99"/>
    </row>
    <row r="13008" spans="5:18" s="65" customFormat="1">
      <c r="E13008" s="130"/>
      <c r="P13008" s="99"/>
      <c r="Q13008" s="99"/>
      <c r="R13008" s="99"/>
    </row>
    <row r="13009" spans="5:18" s="65" customFormat="1">
      <c r="E13009" s="130"/>
      <c r="P13009" s="99"/>
      <c r="Q13009" s="99"/>
      <c r="R13009" s="99"/>
    </row>
    <row r="13010" spans="5:18" s="65" customFormat="1">
      <c r="E13010" s="130"/>
      <c r="P13010" s="99"/>
      <c r="Q13010" s="99"/>
      <c r="R13010" s="99"/>
    </row>
    <row r="13011" spans="5:18" s="65" customFormat="1">
      <c r="E13011" s="130"/>
      <c r="P13011" s="99"/>
      <c r="Q13011" s="99"/>
      <c r="R13011" s="99"/>
    </row>
    <row r="13012" spans="5:18" s="65" customFormat="1">
      <c r="E13012" s="130"/>
      <c r="P13012" s="99"/>
      <c r="Q13012" s="99"/>
      <c r="R13012" s="99"/>
    </row>
    <row r="13013" spans="5:18" s="65" customFormat="1">
      <c r="E13013" s="130"/>
      <c r="P13013" s="99"/>
      <c r="Q13013" s="99"/>
      <c r="R13013" s="99"/>
    </row>
    <row r="13014" spans="5:18" s="65" customFormat="1">
      <c r="E13014" s="130"/>
      <c r="P13014" s="99"/>
      <c r="Q13014" s="99"/>
      <c r="R13014" s="99"/>
    </row>
    <row r="13015" spans="5:18" s="65" customFormat="1">
      <c r="E13015" s="130"/>
      <c r="P13015" s="99"/>
      <c r="Q13015" s="99"/>
      <c r="R13015" s="99"/>
    </row>
    <row r="13016" spans="5:18" s="65" customFormat="1">
      <c r="E13016" s="130"/>
      <c r="P13016" s="99"/>
      <c r="Q13016" s="99"/>
      <c r="R13016" s="99"/>
    </row>
    <row r="13017" spans="5:18" s="65" customFormat="1">
      <c r="E13017" s="130"/>
      <c r="P13017" s="99"/>
      <c r="Q13017" s="99"/>
      <c r="R13017" s="99"/>
    </row>
    <row r="13018" spans="5:18" s="65" customFormat="1">
      <c r="E13018" s="130"/>
      <c r="P13018" s="99"/>
      <c r="Q13018" s="99"/>
      <c r="R13018" s="99"/>
    </row>
    <row r="13019" spans="5:18" s="65" customFormat="1">
      <c r="E13019" s="130"/>
      <c r="P13019" s="99"/>
      <c r="Q13019" s="99"/>
      <c r="R13019" s="99"/>
    </row>
    <row r="13020" spans="5:18" s="65" customFormat="1">
      <c r="E13020" s="130"/>
      <c r="P13020" s="99"/>
      <c r="Q13020" s="99"/>
      <c r="R13020" s="99"/>
    </row>
    <row r="13021" spans="5:18" s="65" customFormat="1">
      <c r="E13021" s="130"/>
      <c r="P13021" s="99"/>
      <c r="Q13021" s="99"/>
      <c r="R13021" s="99"/>
    </row>
    <row r="13022" spans="5:18" s="65" customFormat="1">
      <c r="E13022" s="130"/>
      <c r="P13022" s="99"/>
      <c r="Q13022" s="99"/>
      <c r="R13022" s="99"/>
    </row>
    <row r="13023" spans="5:18" s="65" customFormat="1">
      <c r="E13023" s="130"/>
      <c r="P13023" s="99"/>
      <c r="Q13023" s="99"/>
      <c r="R13023" s="99"/>
    </row>
    <row r="13024" spans="5:18" s="65" customFormat="1">
      <c r="E13024" s="130"/>
      <c r="P13024" s="99"/>
      <c r="Q13024" s="99"/>
      <c r="R13024" s="99"/>
    </row>
    <row r="13025" spans="5:18" s="65" customFormat="1">
      <c r="E13025" s="130"/>
      <c r="P13025" s="99"/>
      <c r="Q13025" s="99"/>
      <c r="R13025" s="99"/>
    </row>
    <row r="13026" spans="5:18" s="65" customFormat="1">
      <c r="E13026" s="130"/>
      <c r="P13026" s="99"/>
      <c r="Q13026" s="99"/>
      <c r="R13026" s="99"/>
    </row>
    <row r="13027" spans="5:18" s="65" customFormat="1">
      <c r="E13027" s="130"/>
      <c r="P13027" s="99"/>
      <c r="Q13027" s="99"/>
      <c r="R13027" s="99"/>
    </row>
    <row r="13028" spans="5:18" s="65" customFormat="1">
      <c r="E13028" s="130"/>
      <c r="P13028" s="99"/>
      <c r="Q13028" s="99"/>
      <c r="R13028" s="99"/>
    </row>
    <row r="13029" spans="5:18" s="65" customFormat="1">
      <c r="E13029" s="130"/>
      <c r="P13029" s="99"/>
      <c r="Q13029" s="99"/>
      <c r="R13029" s="99"/>
    </row>
    <row r="13030" spans="5:18" s="65" customFormat="1">
      <c r="E13030" s="130"/>
      <c r="P13030" s="99"/>
      <c r="Q13030" s="99"/>
      <c r="R13030" s="99"/>
    </row>
    <row r="13031" spans="5:18" s="65" customFormat="1">
      <c r="E13031" s="130"/>
      <c r="P13031" s="99"/>
      <c r="Q13031" s="99"/>
      <c r="R13031" s="99"/>
    </row>
    <row r="13032" spans="5:18" s="65" customFormat="1">
      <c r="E13032" s="130"/>
      <c r="P13032" s="99"/>
      <c r="Q13032" s="99"/>
      <c r="R13032" s="99"/>
    </row>
    <row r="13033" spans="5:18" s="65" customFormat="1">
      <c r="E13033" s="130"/>
      <c r="P13033" s="99"/>
      <c r="Q13033" s="99"/>
      <c r="R13033" s="99"/>
    </row>
    <row r="13034" spans="5:18" s="65" customFormat="1">
      <c r="E13034" s="130"/>
      <c r="P13034" s="99"/>
      <c r="Q13034" s="99"/>
      <c r="R13034" s="99"/>
    </row>
    <row r="13035" spans="5:18" s="65" customFormat="1">
      <c r="E13035" s="130"/>
      <c r="P13035" s="99"/>
      <c r="Q13035" s="99"/>
      <c r="R13035" s="99"/>
    </row>
    <row r="13036" spans="5:18" s="65" customFormat="1">
      <c r="E13036" s="130"/>
      <c r="P13036" s="99"/>
      <c r="Q13036" s="99"/>
      <c r="R13036" s="99"/>
    </row>
    <row r="13037" spans="5:18" s="65" customFormat="1">
      <c r="E13037" s="130"/>
      <c r="P13037" s="99"/>
      <c r="Q13037" s="99"/>
      <c r="R13037" s="99"/>
    </row>
    <row r="13038" spans="5:18" s="65" customFormat="1">
      <c r="E13038" s="130"/>
      <c r="P13038" s="99"/>
      <c r="Q13038" s="99"/>
      <c r="R13038" s="99"/>
    </row>
    <row r="13039" spans="5:18" s="65" customFormat="1">
      <c r="E13039" s="130"/>
      <c r="P13039" s="99"/>
      <c r="Q13039" s="99"/>
      <c r="R13039" s="99"/>
    </row>
    <row r="13040" spans="5:18" s="65" customFormat="1">
      <c r="E13040" s="130"/>
      <c r="P13040" s="99"/>
      <c r="Q13040" s="99"/>
      <c r="R13040" s="99"/>
    </row>
    <row r="13041" spans="5:18" s="65" customFormat="1">
      <c r="E13041" s="130"/>
      <c r="P13041" s="99"/>
      <c r="Q13041" s="99"/>
      <c r="R13041" s="99"/>
    </row>
    <row r="13042" spans="5:18" s="65" customFormat="1">
      <c r="E13042" s="130"/>
      <c r="P13042" s="99"/>
      <c r="Q13042" s="99"/>
      <c r="R13042" s="99"/>
    </row>
    <row r="13043" spans="5:18" s="65" customFormat="1">
      <c r="E13043" s="130"/>
      <c r="P13043" s="99"/>
      <c r="Q13043" s="99"/>
      <c r="R13043" s="99"/>
    </row>
    <row r="13044" spans="5:18" s="65" customFormat="1">
      <c r="E13044" s="130"/>
      <c r="P13044" s="99"/>
      <c r="Q13044" s="99"/>
      <c r="R13044" s="99"/>
    </row>
    <row r="13045" spans="5:18" s="65" customFormat="1">
      <c r="E13045" s="130"/>
      <c r="P13045" s="99"/>
      <c r="Q13045" s="99"/>
      <c r="R13045" s="99"/>
    </row>
    <row r="13046" spans="5:18" s="65" customFormat="1">
      <c r="E13046" s="130"/>
      <c r="P13046" s="99"/>
      <c r="Q13046" s="99"/>
      <c r="R13046" s="99"/>
    </row>
    <row r="13047" spans="5:18" s="65" customFormat="1">
      <c r="E13047" s="130"/>
      <c r="P13047" s="99"/>
      <c r="Q13047" s="99"/>
      <c r="R13047" s="99"/>
    </row>
    <row r="13048" spans="5:18" s="65" customFormat="1">
      <c r="E13048" s="130"/>
      <c r="P13048" s="99"/>
      <c r="Q13048" s="99"/>
      <c r="R13048" s="99"/>
    </row>
    <row r="13049" spans="5:18" s="65" customFormat="1">
      <c r="E13049" s="130"/>
      <c r="P13049" s="99"/>
      <c r="Q13049" s="99"/>
      <c r="R13049" s="99"/>
    </row>
    <row r="13050" spans="5:18" s="65" customFormat="1">
      <c r="E13050" s="130"/>
      <c r="P13050" s="99"/>
      <c r="Q13050" s="99"/>
      <c r="R13050" s="99"/>
    </row>
    <row r="13051" spans="5:18" s="65" customFormat="1">
      <c r="E13051" s="130"/>
      <c r="P13051" s="99"/>
      <c r="Q13051" s="99"/>
      <c r="R13051" s="99"/>
    </row>
    <row r="13052" spans="5:18" s="65" customFormat="1">
      <c r="E13052" s="130"/>
      <c r="P13052" s="99"/>
      <c r="Q13052" s="99"/>
      <c r="R13052" s="99"/>
    </row>
    <row r="13053" spans="5:18" s="65" customFormat="1">
      <c r="E13053" s="130"/>
      <c r="P13053" s="99"/>
      <c r="Q13053" s="99"/>
      <c r="R13053" s="99"/>
    </row>
    <row r="13054" spans="5:18" s="65" customFormat="1">
      <c r="E13054" s="130"/>
      <c r="P13054" s="99"/>
      <c r="Q13054" s="99"/>
      <c r="R13054" s="99"/>
    </row>
    <row r="13055" spans="5:18" s="65" customFormat="1">
      <c r="E13055" s="130"/>
      <c r="P13055" s="99"/>
      <c r="Q13055" s="99"/>
      <c r="R13055" s="99"/>
    </row>
    <row r="13056" spans="5:18" s="65" customFormat="1">
      <c r="E13056" s="130"/>
      <c r="P13056" s="99"/>
      <c r="Q13056" s="99"/>
      <c r="R13056" s="99"/>
    </row>
    <row r="13057" spans="5:18" s="65" customFormat="1">
      <c r="E13057" s="130"/>
      <c r="P13057" s="99"/>
      <c r="Q13057" s="99"/>
      <c r="R13057" s="99"/>
    </row>
    <row r="13058" spans="5:18" s="65" customFormat="1">
      <c r="E13058" s="130"/>
      <c r="P13058" s="99"/>
      <c r="Q13058" s="99"/>
      <c r="R13058" s="99"/>
    </row>
    <row r="13059" spans="5:18" s="65" customFormat="1">
      <c r="E13059" s="130"/>
      <c r="P13059" s="99"/>
      <c r="Q13059" s="99"/>
      <c r="R13059" s="99"/>
    </row>
    <row r="13060" spans="5:18" s="65" customFormat="1">
      <c r="E13060" s="130"/>
      <c r="P13060" s="99"/>
      <c r="Q13060" s="99"/>
      <c r="R13060" s="99"/>
    </row>
    <row r="13061" spans="5:18" s="65" customFormat="1">
      <c r="E13061" s="130"/>
      <c r="P13061" s="99"/>
      <c r="Q13061" s="99"/>
      <c r="R13061" s="99"/>
    </row>
    <row r="13062" spans="5:18" s="65" customFormat="1">
      <c r="E13062" s="130"/>
      <c r="P13062" s="99"/>
      <c r="Q13062" s="99"/>
      <c r="R13062" s="99"/>
    </row>
    <row r="13063" spans="5:18" s="65" customFormat="1">
      <c r="E13063" s="130"/>
      <c r="P13063" s="99"/>
      <c r="Q13063" s="99"/>
      <c r="R13063" s="99"/>
    </row>
    <row r="13064" spans="5:18" s="65" customFormat="1">
      <c r="E13064" s="130"/>
      <c r="P13064" s="99"/>
      <c r="Q13064" s="99"/>
      <c r="R13064" s="99"/>
    </row>
    <row r="13065" spans="5:18" s="65" customFormat="1">
      <c r="E13065" s="130"/>
      <c r="P13065" s="99"/>
      <c r="Q13065" s="99"/>
      <c r="R13065" s="99"/>
    </row>
    <row r="13066" spans="5:18" s="65" customFormat="1">
      <c r="E13066" s="130"/>
      <c r="P13066" s="99"/>
      <c r="Q13066" s="99"/>
      <c r="R13066" s="99"/>
    </row>
    <row r="13067" spans="5:18" s="65" customFormat="1">
      <c r="E13067" s="130"/>
      <c r="P13067" s="99"/>
      <c r="Q13067" s="99"/>
      <c r="R13067" s="99"/>
    </row>
    <row r="13068" spans="5:18" s="65" customFormat="1">
      <c r="E13068" s="130"/>
      <c r="P13068" s="99"/>
      <c r="Q13068" s="99"/>
      <c r="R13068" s="99"/>
    </row>
    <row r="13069" spans="5:18" s="65" customFormat="1">
      <c r="E13069" s="130"/>
      <c r="P13069" s="99"/>
      <c r="Q13069" s="99"/>
      <c r="R13069" s="99"/>
    </row>
    <row r="13070" spans="5:18" s="65" customFormat="1">
      <c r="E13070" s="130"/>
      <c r="P13070" s="99"/>
      <c r="Q13070" s="99"/>
      <c r="R13070" s="99"/>
    </row>
    <row r="13071" spans="5:18" s="65" customFormat="1">
      <c r="E13071" s="130"/>
      <c r="P13071" s="99"/>
      <c r="Q13071" s="99"/>
      <c r="R13071" s="99"/>
    </row>
    <row r="13072" spans="5:18" s="65" customFormat="1">
      <c r="E13072" s="130"/>
      <c r="P13072" s="99"/>
      <c r="Q13072" s="99"/>
      <c r="R13072" s="99"/>
    </row>
    <row r="13073" spans="5:18" s="65" customFormat="1">
      <c r="E13073" s="130"/>
      <c r="P13073" s="99"/>
      <c r="Q13073" s="99"/>
      <c r="R13073" s="99"/>
    </row>
    <row r="13074" spans="5:18" s="65" customFormat="1">
      <c r="E13074" s="130"/>
      <c r="P13074" s="99"/>
      <c r="Q13074" s="99"/>
      <c r="R13074" s="99"/>
    </row>
    <row r="13075" spans="5:18" s="65" customFormat="1">
      <c r="E13075" s="130"/>
      <c r="P13075" s="99"/>
      <c r="Q13075" s="99"/>
      <c r="R13075" s="99"/>
    </row>
    <row r="13076" spans="5:18" s="65" customFormat="1">
      <c r="E13076" s="130"/>
      <c r="P13076" s="99"/>
      <c r="Q13076" s="99"/>
      <c r="R13076" s="99"/>
    </row>
    <row r="13077" spans="5:18" s="65" customFormat="1">
      <c r="E13077" s="130"/>
      <c r="P13077" s="99"/>
      <c r="Q13077" s="99"/>
      <c r="R13077" s="99"/>
    </row>
    <row r="13078" spans="5:18" s="65" customFormat="1">
      <c r="E13078" s="130"/>
      <c r="P13078" s="99"/>
      <c r="Q13078" s="99"/>
      <c r="R13078" s="99"/>
    </row>
    <row r="13079" spans="5:18" s="65" customFormat="1">
      <c r="E13079" s="130"/>
      <c r="P13079" s="99"/>
      <c r="Q13079" s="99"/>
      <c r="R13079" s="99"/>
    </row>
    <row r="13080" spans="5:18" s="65" customFormat="1">
      <c r="E13080" s="130"/>
      <c r="P13080" s="99"/>
      <c r="Q13080" s="99"/>
      <c r="R13080" s="99"/>
    </row>
    <row r="13081" spans="5:18" s="65" customFormat="1">
      <c r="E13081" s="130"/>
      <c r="P13081" s="99"/>
      <c r="Q13081" s="99"/>
      <c r="R13081" s="99"/>
    </row>
    <row r="13082" spans="5:18" s="65" customFormat="1">
      <c r="E13082" s="130"/>
      <c r="P13082" s="99"/>
      <c r="Q13082" s="99"/>
      <c r="R13082" s="99"/>
    </row>
    <row r="13083" spans="5:18" s="65" customFormat="1">
      <c r="E13083" s="130"/>
      <c r="P13083" s="99"/>
      <c r="Q13083" s="99"/>
      <c r="R13083" s="99"/>
    </row>
    <row r="13084" spans="5:18" s="65" customFormat="1">
      <c r="E13084" s="130"/>
      <c r="P13084" s="99"/>
      <c r="Q13084" s="99"/>
      <c r="R13084" s="99"/>
    </row>
    <row r="13085" spans="5:18" s="65" customFormat="1">
      <c r="E13085" s="130"/>
      <c r="P13085" s="99"/>
      <c r="Q13085" s="99"/>
      <c r="R13085" s="99"/>
    </row>
    <row r="13086" spans="5:18" s="65" customFormat="1">
      <c r="E13086" s="130"/>
      <c r="P13086" s="99"/>
      <c r="Q13086" s="99"/>
      <c r="R13086" s="99"/>
    </row>
    <row r="13087" spans="5:18" s="65" customFormat="1">
      <c r="E13087" s="130"/>
      <c r="P13087" s="99"/>
      <c r="Q13087" s="99"/>
      <c r="R13087" s="99"/>
    </row>
    <row r="13088" spans="5:18" s="65" customFormat="1">
      <c r="E13088" s="130"/>
      <c r="P13088" s="99"/>
      <c r="Q13088" s="99"/>
      <c r="R13088" s="99"/>
    </row>
    <row r="13089" spans="5:18" s="65" customFormat="1">
      <c r="E13089" s="130"/>
      <c r="P13089" s="99"/>
      <c r="Q13089" s="99"/>
      <c r="R13089" s="99"/>
    </row>
    <row r="13090" spans="5:18" s="65" customFormat="1">
      <c r="E13090" s="130"/>
      <c r="P13090" s="99"/>
      <c r="Q13090" s="99"/>
      <c r="R13090" s="99"/>
    </row>
    <row r="13091" spans="5:18" s="65" customFormat="1">
      <c r="E13091" s="130"/>
      <c r="P13091" s="99"/>
      <c r="Q13091" s="99"/>
      <c r="R13091" s="99"/>
    </row>
    <row r="13092" spans="5:18" s="65" customFormat="1">
      <c r="E13092" s="130"/>
      <c r="P13092" s="99"/>
      <c r="Q13092" s="99"/>
      <c r="R13092" s="99"/>
    </row>
    <row r="13093" spans="5:18" s="65" customFormat="1">
      <c r="E13093" s="130"/>
      <c r="P13093" s="99"/>
      <c r="Q13093" s="99"/>
      <c r="R13093" s="99"/>
    </row>
    <row r="13094" spans="5:18" s="65" customFormat="1">
      <c r="E13094" s="130"/>
      <c r="P13094" s="99"/>
      <c r="Q13094" s="99"/>
      <c r="R13094" s="99"/>
    </row>
    <row r="13095" spans="5:18" s="65" customFormat="1">
      <c r="E13095" s="130"/>
      <c r="P13095" s="99"/>
      <c r="Q13095" s="99"/>
      <c r="R13095" s="99"/>
    </row>
    <row r="13096" spans="5:18" s="65" customFormat="1">
      <c r="E13096" s="130"/>
      <c r="P13096" s="99"/>
      <c r="Q13096" s="99"/>
      <c r="R13096" s="99"/>
    </row>
    <row r="13097" spans="5:18" s="65" customFormat="1">
      <c r="E13097" s="130"/>
      <c r="P13097" s="99"/>
      <c r="Q13097" s="99"/>
      <c r="R13097" s="99"/>
    </row>
    <row r="13098" spans="5:18" s="65" customFormat="1">
      <c r="E13098" s="130"/>
      <c r="P13098" s="99"/>
      <c r="Q13098" s="99"/>
      <c r="R13098" s="99"/>
    </row>
    <row r="13099" spans="5:18" s="65" customFormat="1">
      <c r="E13099" s="130"/>
      <c r="P13099" s="99"/>
      <c r="Q13099" s="99"/>
      <c r="R13099" s="99"/>
    </row>
    <row r="13100" spans="5:18" s="65" customFormat="1">
      <c r="E13100" s="130"/>
      <c r="P13100" s="99"/>
      <c r="Q13100" s="99"/>
      <c r="R13100" s="99"/>
    </row>
    <row r="13101" spans="5:18" s="65" customFormat="1">
      <c r="E13101" s="130"/>
      <c r="P13101" s="99"/>
      <c r="Q13101" s="99"/>
      <c r="R13101" s="99"/>
    </row>
    <row r="13102" spans="5:18" s="65" customFormat="1">
      <c r="E13102" s="130"/>
      <c r="P13102" s="99"/>
      <c r="Q13102" s="99"/>
      <c r="R13102" s="99"/>
    </row>
    <row r="13103" spans="5:18" s="65" customFormat="1">
      <c r="E13103" s="130"/>
      <c r="P13103" s="99"/>
      <c r="Q13103" s="99"/>
      <c r="R13103" s="99"/>
    </row>
    <row r="13104" spans="5:18" s="65" customFormat="1">
      <c r="E13104" s="130"/>
      <c r="P13104" s="99"/>
      <c r="Q13104" s="99"/>
      <c r="R13104" s="99"/>
    </row>
    <row r="13105" spans="5:18" s="65" customFormat="1">
      <c r="E13105" s="130"/>
      <c r="P13105" s="99"/>
      <c r="Q13105" s="99"/>
      <c r="R13105" s="99"/>
    </row>
    <row r="13106" spans="5:18" s="65" customFormat="1">
      <c r="E13106" s="130"/>
      <c r="P13106" s="99"/>
      <c r="Q13106" s="99"/>
      <c r="R13106" s="99"/>
    </row>
    <row r="13107" spans="5:18" s="65" customFormat="1">
      <c r="E13107" s="130"/>
      <c r="P13107" s="99"/>
      <c r="Q13107" s="99"/>
      <c r="R13107" s="99"/>
    </row>
    <row r="13108" spans="5:18" s="65" customFormat="1">
      <c r="E13108" s="130"/>
      <c r="P13108" s="99"/>
      <c r="Q13108" s="99"/>
      <c r="R13108" s="99"/>
    </row>
    <row r="13109" spans="5:18" s="65" customFormat="1">
      <c r="E13109" s="130"/>
      <c r="P13109" s="99"/>
      <c r="Q13109" s="99"/>
      <c r="R13109" s="99"/>
    </row>
    <row r="13110" spans="5:18" s="65" customFormat="1">
      <c r="E13110" s="130"/>
      <c r="P13110" s="99"/>
      <c r="Q13110" s="99"/>
      <c r="R13110" s="99"/>
    </row>
    <row r="13111" spans="5:18" s="65" customFormat="1">
      <c r="E13111" s="130"/>
      <c r="P13111" s="99"/>
      <c r="Q13111" s="99"/>
      <c r="R13111" s="99"/>
    </row>
    <row r="13112" spans="5:18" s="65" customFormat="1">
      <c r="E13112" s="130"/>
      <c r="P13112" s="99"/>
      <c r="Q13112" s="99"/>
      <c r="R13112" s="99"/>
    </row>
    <row r="13113" spans="5:18" s="65" customFormat="1">
      <c r="E13113" s="130"/>
      <c r="P13113" s="99"/>
      <c r="Q13113" s="99"/>
      <c r="R13113" s="99"/>
    </row>
    <row r="13114" spans="5:18" s="65" customFormat="1">
      <c r="E13114" s="130"/>
      <c r="P13114" s="99"/>
      <c r="Q13114" s="99"/>
      <c r="R13114" s="99"/>
    </row>
    <row r="13115" spans="5:18" s="65" customFormat="1">
      <c r="E13115" s="130"/>
      <c r="P13115" s="99"/>
      <c r="Q13115" s="99"/>
      <c r="R13115" s="99"/>
    </row>
    <row r="13116" spans="5:18" s="65" customFormat="1">
      <c r="E13116" s="130"/>
      <c r="P13116" s="99"/>
      <c r="Q13116" s="99"/>
      <c r="R13116" s="99"/>
    </row>
    <row r="13117" spans="5:18" s="65" customFormat="1">
      <c r="E13117" s="130"/>
      <c r="P13117" s="99"/>
      <c r="Q13117" s="99"/>
      <c r="R13117" s="99"/>
    </row>
    <row r="13118" spans="5:18" s="65" customFormat="1">
      <c r="E13118" s="130"/>
      <c r="P13118" s="99"/>
      <c r="Q13118" s="99"/>
      <c r="R13118" s="99"/>
    </row>
    <row r="13119" spans="5:18" s="65" customFormat="1">
      <c r="E13119" s="130"/>
      <c r="P13119" s="99"/>
      <c r="Q13119" s="99"/>
      <c r="R13119" s="99"/>
    </row>
    <row r="13120" spans="5:18" s="65" customFormat="1">
      <c r="E13120" s="130"/>
      <c r="P13120" s="99"/>
      <c r="Q13120" s="99"/>
      <c r="R13120" s="99"/>
    </row>
    <row r="13121" spans="5:18" s="65" customFormat="1">
      <c r="E13121" s="130"/>
      <c r="P13121" s="99"/>
      <c r="Q13121" s="99"/>
      <c r="R13121" s="99"/>
    </row>
    <row r="13122" spans="5:18" s="65" customFormat="1">
      <c r="E13122" s="130"/>
      <c r="P13122" s="99"/>
      <c r="Q13122" s="99"/>
      <c r="R13122" s="99"/>
    </row>
    <row r="13123" spans="5:18" s="65" customFormat="1">
      <c r="E13123" s="130"/>
      <c r="P13123" s="99"/>
      <c r="Q13123" s="99"/>
      <c r="R13123" s="99"/>
    </row>
    <row r="13124" spans="5:18" s="65" customFormat="1">
      <c r="E13124" s="130"/>
      <c r="P13124" s="99"/>
      <c r="Q13124" s="99"/>
      <c r="R13124" s="99"/>
    </row>
    <row r="13125" spans="5:18" s="65" customFormat="1">
      <c r="E13125" s="130"/>
      <c r="P13125" s="99"/>
      <c r="Q13125" s="99"/>
      <c r="R13125" s="99"/>
    </row>
    <row r="13126" spans="5:18" s="65" customFormat="1">
      <c r="E13126" s="130"/>
      <c r="P13126" s="99"/>
      <c r="Q13126" s="99"/>
      <c r="R13126" s="99"/>
    </row>
    <row r="13127" spans="5:18" s="65" customFormat="1">
      <c r="E13127" s="130"/>
      <c r="P13127" s="99"/>
      <c r="Q13127" s="99"/>
      <c r="R13127" s="99"/>
    </row>
    <row r="13128" spans="5:18" s="65" customFormat="1">
      <c r="E13128" s="130"/>
      <c r="P13128" s="99"/>
      <c r="Q13128" s="99"/>
      <c r="R13128" s="99"/>
    </row>
    <row r="13129" spans="5:18" s="65" customFormat="1">
      <c r="E13129" s="130"/>
      <c r="P13129" s="99"/>
      <c r="Q13129" s="99"/>
      <c r="R13129" s="99"/>
    </row>
    <row r="13130" spans="5:18" s="65" customFormat="1">
      <c r="E13130" s="130"/>
      <c r="P13130" s="99"/>
      <c r="Q13130" s="99"/>
      <c r="R13130" s="99"/>
    </row>
    <row r="13131" spans="5:18" s="65" customFormat="1">
      <c r="E13131" s="130"/>
      <c r="P13131" s="99"/>
      <c r="Q13131" s="99"/>
      <c r="R13131" s="99"/>
    </row>
    <row r="13132" spans="5:18" s="65" customFormat="1">
      <c r="E13132" s="130"/>
      <c r="P13132" s="99"/>
      <c r="Q13132" s="99"/>
      <c r="R13132" s="99"/>
    </row>
    <row r="13133" spans="5:18" s="65" customFormat="1">
      <c r="E13133" s="130"/>
      <c r="P13133" s="99"/>
      <c r="Q13133" s="99"/>
      <c r="R13133" s="99"/>
    </row>
    <row r="13134" spans="5:18" s="65" customFormat="1">
      <c r="E13134" s="130"/>
      <c r="P13134" s="99"/>
      <c r="Q13134" s="99"/>
      <c r="R13134" s="99"/>
    </row>
    <row r="13135" spans="5:18" s="65" customFormat="1">
      <c r="E13135" s="130"/>
      <c r="P13135" s="99"/>
      <c r="Q13135" s="99"/>
      <c r="R13135" s="99"/>
    </row>
    <row r="13136" spans="5:18" s="65" customFormat="1">
      <c r="E13136" s="130"/>
      <c r="P13136" s="99"/>
      <c r="Q13136" s="99"/>
      <c r="R13136" s="99"/>
    </row>
    <row r="13137" spans="5:18" s="65" customFormat="1">
      <c r="E13137" s="130"/>
      <c r="P13137" s="99"/>
      <c r="Q13137" s="99"/>
      <c r="R13137" s="99"/>
    </row>
    <row r="13138" spans="5:18" s="65" customFormat="1">
      <c r="E13138" s="130"/>
      <c r="P13138" s="99"/>
      <c r="Q13138" s="99"/>
      <c r="R13138" s="99"/>
    </row>
    <row r="13139" spans="5:18" s="65" customFormat="1">
      <c r="E13139" s="130"/>
      <c r="P13139" s="99"/>
      <c r="Q13139" s="99"/>
      <c r="R13139" s="99"/>
    </row>
    <row r="13140" spans="5:18" s="65" customFormat="1">
      <c r="E13140" s="130"/>
      <c r="P13140" s="99"/>
      <c r="Q13140" s="99"/>
      <c r="R13140" s="99"/>
    </row>
    <row r="13141" spans="5:18" s="65" customFormat="1">
      <c r="E13141" s="130"/>
      <c r="P13141" s="99"/>
      <c r="Q13141" s="99"/>
      <c r="R13141" s="99"/>
    </row>
    <row r="13142" spans="5:18" s="65" customFormat="1">
      <c r="E13142" s="130"/>
      <c r="P13142" s="99"/>
      <c r="Q13142" s="99"/>
      <c r="R13142" s="99"/>
    </row>
    <row r="13143" spans="5:18" s="65" customFormat="1">
      <c r="E13143" s="130"/>
      <c r="P13143" s="99"/>
      <c r="Q13143" s="99"/>
      <c r="R13143" s="99"/>
    </row>
    <row r="13144" spans="5:18" s="65" customFormat="1">
      <c r="E13144" s="130"/>
      <c r="P13144" s="99"/>
      <c r="Q13144" s="99"/>
      <c r="R13144" s="99"/>
    </row>
    <row r="13145" spans="5:18" s="65" customFormat="1">
      <c r="E13145" s="130"/>
      <c r="P13145" s="99"/>
      <c r="Q13145" s="99"/>
      <c r="R13145" s="99"/>
    </row>
    <row r="13146" spans="5:18" s="65" customFormat="1">
      <c r="E13146" s="130"/>
      <c r="P13146" s="99"/>
      <c r="Q13146" s="99"/>
      <c r="R13146" s="99"/>
    </row>
    <row r="13147" spans="5:18" s="65" customFormat="1">
      <c r="E13147" s="130"/>
      <c r="P13147" s="99"/>
      <c r="Q13147" s="99"/>
      <c r="R13147" s="99"/>
    </row>
    <row r="13148" spans="5:18" s="65" customFormat="1">
      <c r="E13148" s="130"/>
      <c r="P13148" s="99"/>
      <c r="Q13148" s="99"/>
      <c r="R13148" s="99"/>
    </row>
    <row r="13149" spans="5:18" s="65" customFormat="1">
      <c r="E13149" s="130"/>
      <c r="P13149" s="99"/>
      <c r="Q13149" s="99"/>
      <c r="R13149" s="99"/>
    </row>
    <row r="13150" spans="5:18" s="65" customFormat="1">
      <c r="E13150" s="130"/>
      <c r="P13150" s="99"/>
      <c r="Q13150" s="99"/>
      <c r="R13150" s="99"/>
    </row>
    <row r="13151" spans="5:18" s="65" customFormat="1">
      <c r="E13151" s="130"/>
      <c r="P13151" s="99"/>
      <c r="Q13151" s="99"/>
      <c r="R13151" s="99"/>
    </row>
    <row r="13152" spans="5:18" s="65" customFormat="1">
      <c r="E13152" s="130"/>
      <c r="P13152" s="99"/>
      <c r="Q13152" s="99"/>
      <c r="R13152" s="99"/>
    </row>
    <row r="13153" spans="5:18" s="65" customFormat="1">
      <c r="E13153" s="130"/>
      <c r="P13153" s="99"/>
      <c r="Q13153" s="99"/>
      <c r="R13153" s="99"/>
    </row>
    <row r="13154" spans="5:18" s="65" customFormat="1">
      <c r="E13154" s="130"/>
      <c r="P13154" s="99"/>
      <c r="Q13154" s="99"/>
      <c r="R13154" s="99"/>
    </row>
    <row r="13155" spans="5:18" s="65" customFormat="1">
      <c r="E13155" s="130"/>
      <c r="P13155" s="99"/>
      <c r="Q13155" s="99"/>
      <c r="R13155" s="99"/>
    </row>
    <row r="13156" spans="5:18" s="65" customFormat="1">
      <c r="E13156" s="130"/>
      <c r="P13156" s="99"/>
      <c r="Q13156" s="99"/>
      <c r="R13156" s="99"/>
    </row>
    <row r="13157" spans="5:18" s="65" customFormat="1">
      <c r="E13157" s="130"/>
      <c r="P13157" s="99"/>
      <c r="Q13157" s="99"/>
      <c r="R13157" s="99"/>
    </row>
    <row r="13158" spans="5:18" s="65" customFormat="1">
      <c r="E13158" s="130"/>
      <c r="P13158" s="99"/>
      <c r="Q13158" s="99"/>
      <c r="R13158" s="99"/>
    </row>
    <row r="13159" spans="5:18" s="65" customFormat="1">
      <c r="E13159" s="130"/>
      <c r="P13159" s="99"/>
      <c r="Q13159" s="99"/>
      <c r="R13159" s="99"/>
    </row>
    <row r="13160" spans="5:18" s="65" customFormat="1">
      <c r="E13160" s="130"/>
      <c r="P13160" s="99"/>
      <c r="Q13160" s="99"/>
      <c r="R13160" s="99"/>
    </row>
    <row r="13161" spans="5:18" s="65" customFormat="1">
      <c r="E13161" s="130"/>
      <c r="P13161" s="99"/>
      <c r="Q13161" s="99"/>
      <c r="R13161" s="99"/>
    </row>
    <row r="13162" spans="5:18" s="65" customFormat="1">
      <c r="E13162" s="130"/>
      <c r="P13162" s="99"/>
      <c r="Q13162" s="99"/>
      <c r="R13162" s="99"/>
    </row>
    <row r="13163" spans="5:18" s="65" customFormat="1">
      <c r="E13163" s="130"/>
      <c r="P13163" s="99"/>
      <c r="Q13163" s="99"/>
      <c r="R13163" s="99"/>
    </row>
    <row r="13164" spans="5:18" s="65" customFormat="1">
      <c r="E13164" s="130"/>
      <c r="P13164" s="99"/>
      <c r="Q13164" s="99"/>
      <c r="R13164" s="99"/>
    </row>
    <row r="13165" spans="5:18" s="65" customFormat="1">
      <c r="E13165" s="130"/>
      <c r="P13165" s="99"/>
      <c r="Q13165" s="99"/>
      <c r="R13165" s="99"/>
    </row>
    <row r="13166" spans="5:18" s="65" customFormat="1">
      <c r="E13166" s="130"/>
      <c r="P13166" s="99"/>
      <c r="Q13166" s="99"/>
      <c r="R13166" s="99"/>
    </row>
    <row r="13167" spans="5:18" s="65" customFormat="1">
      <c r="E13167" s="130"/>
      <c r="P13167" s="99"/>
      <c r="Q13167" s="99"/>
      <c r="R13167" s="99"/>
    </row>
    <row r="13168" spans="5:18" s="65" customFormat="1">
      <c r="E13168" s="130"/>
      <c r="P13168" s="99"/>
      <c r="Q13168" s="99"/>
      <c r="R13168" s="99"/>
    </row>
    <row r="13169" spans="5:18" s="65" customFormat="1">
      <c r="E13169" s="130"/>
      <c r="P13169" s="99"/>
      <c r="Q13169" s="99"/>
      <c r="R13169" s="99"/>
    </row>
    <row r="13170" spans="5:18" s="65" customFormat="1">
      <c r="E13170" s="130"/>
      <c r="P13170" s="99"/>
      <c r="Q13170" s="99"/>
      <c r="R13170" s="99"/>
    </row>
    <row r="13171" spans="5:18" s="65" customFormat="1">
      <c r="E13171" s="130"/>
      <c r="P13171" s="99"/>
      <c r="Q13171" s="99"/>
      <c r="R13171" s="99"/>
    </row>
    <row r="13172" spans="5:18" s="65" customFormat="1">
      <c r="E13172" s="130"/>
      <c r="P13172" s="99"/>
      <c r="Q13172" s="99"/>
      <c r="R13172" s="99"/>
    </row>
    <row r="13173" spans="5:18" s="65" customFormat="1">
      <c r="E13173" s="130"/>
      <c r="P13173" s="99"/>
      <c r="Q13173" s="99"/>
      <c r="R13173" s="99"/>
    </row>
    <row r="13174" spans="5:18" s="65" customFormat="1">
      <c r="E13174" s="130"/>
      <c r="P13174" s="99"/>
      <c r="Q13174" s="99"/>
      <c r="R13174" s="99"/>
    </row>
    <row r="13175" spans="5:18" s="65" customFormat="1">
      <c r="E13175" s="130"/>
      <c r="P13175" s="99"/>
      <c r="Q13175" s="99"/>
      <c r="R13175" s="99"/>
    </row>
    <row r="13176" spans="5:18" s="65" customFormat="1">
      <c r="E13176" s="130"/>
      <c r="P13176" s="99"/>
      <c r="Q13176" s="99"/>
      <c r="R13176" s="99"/>
    </row>
    <row r="13177" spans="5:18" s="65" customFormat="1">
      <c r="E13177" s="130"/>
      <c r="P13177" s="99"/>
      <c r="Q13177" s="99"/>
      <c r="R13177" s="99"/>
    </row>
    <row r="13178" spans="5:18" s="65" customFormat="1">
      <c r="E13178" s="130"/>
      <c r="P13178" s="99"/>
      <c r="Q13178" s="99"/>
      <c r="R13178" s="99"/>
    </row>
    <row r="13179" spans="5:18" s="65" customFormat="1">
      <c r="E13179" s="130"/>
      <c r="P13179" s="99"/>
      <c r="Q13179" s="99"/>
      <c r="R13179" s="99"/>
    </row>
    <row r="13180" spans="5:18" s="65" customFormat="1">
      <c r="E13180" s="130"/>
      <c r="P13180" s="99"/>
      <c r="Q13180" s="99"/>
      <c r="R13180" s="99"/>
    </row>
    <row r="13181" spans="5:18" s="65" customFormat="1">
      <c r="E13181" s="130"/>
      <c r="P13181" s="99"/>
      <c r="Q13181" s="99"/>
      <c r="R13181" s="99"/>
    </row>
    <row r="13182" spans="5:18" s="65" customFormat="1">
      <c r="E13182" s="130"/>
      <c r="P13182" s="99"/>
      <c r="Q13182" s="99"/>
      <c r="R13182" s="99"/>
    </row>
    <row r="13183" spans="5:18" s="65" customFormat="1">
      <c r="E13183" s="130"/>
      <c r="P13183" s="99"/>
      <c r="Q13183" s="99"/>
      <c r="R13183" s="99"/>
    </row>
    <row r="13184" spans="5:18" s="65" customFormat="1">
      <c r="E13184" s="130"/>
      <c r="P13184" s="99"/>
      <c r="Q13184" s="99"/>
      <c r="R13184" s="99"/>
    </row>
    <row r="13185" spans="5:18" s="65" customFormat="1">
      <c r="E13185" s="130"/>
      <c r="P13185" s="99"/>
      <c r="Q13185" s="99"/>
      <c r="R13185" s="99"/>
    </row>
    <row r="13186" spans="5:18" s="65" customFormat="1">
      <c r="E13186" s="130"/>
      <c r="P13186" s="99"/>
      <c r="Q13186" s="99"/>
      <c r="R13186" s="99"/>
    </row>
    <row r="13187" spans="5:18" s="65" customFormat="1">
      <c r="E13187" s="130"/>
      <c r="P13187" s="99"/>
      <c r="Q13187" s="99"/>
      <c r="R13187" s="99"/>
    </row>
    <row r="13188" spans="5:18" s="65" customFormat="1">
      <c r="E13188" s="130"/>
      <c r="P13188" s="99"/>
      <c r="Q13188" s="99"/>
      <c r="R13188" s="99"/>
    </row>
    <row r="13189" spans="5:18" s="65" customFormat="1">
      <c r="E13189" s="130"/>
      <c r="P13189" s="99"/>
      <c r="Q13189" s="99"/>
      <c r="R13189" s="99"/>
    </row>
    <row r="13190" spans="5:18" s="65" customFormat="1">
      <c r="E13190" s="130"/>
      <c r="P13190" s="99"/>
      <c r="Q13190" s="99"/>
      <c r="R13190" s="99"/>
    </row>
    <row r="13191" spans="5:18" s="65" customFormat="1">
      <c r="E13191" s="130"/>
      <c r="P13191" s="99"/>
      <c r="Q13191" s="99"/>
      <c r="R13191" s="99"/>
    </row>
    <row r="13192" spans="5:18" s="65" customFormat="1">
      <c r="E13192" s="130"/>
      <c r="P13192" s="99"/>
      <c r="Q13192" s="99"/>
      <c r="R13192" s="99"/>
    </row>
    <row r="13193" spans="5:18" s="65" customFormat="1">
      <c r="E13193" s="130"/>
      <c r="P13193" s="99"/>
      <c r="Q13193" s="99"/>
      <c r="R13193" s="99"/>
    </row>
    <row r="13194" spans="5:18" s="65" customFormat="1">
      <c r="E13194" s="130"/>
      <c r="P13194" s="99"/>
      <c r="Q13194" s="99"/>
      <c r="R13194" s="99"/>
    </row>
    <row r="13195" spans="5:18" s="65" customFormat="1">
      <c r="E13195" s="130"/>
      <c r="P13195" s="99"/>
      <c r="Q13195" s="99"/>
      <c r="R13195" s="99"/>
    </row>
    <row r="13196" spans="5:18" s="65" customFormat="1">
      <c r="E13196" s="130"/>
      <c r="P13196" s="99"/>
      <c r="Q13196" s="99"/>
      <c r="R13196" s="99"/>
    </row>
    <row r="13197" spans="5:18" s="65" customFormat="1">
      <c r="E13197" s="130"/>
      <c r="P13197" s="99"/>
      <c r="Q13197" s="99"/>
      <c r="R13197" s="99"/>
    </row>
    <row r="13198" spans="5:18" s="65" customFormat="1">
      <c r="E13198" s="130"/>
      <c r="P13198" s="99"/>
      <c r="Q13198" s="99"/>
      <c r="R13198" s="99"/>
    </row>
    <row r="13199" spans="5:18" s="65" customFormat="1">
      <c r="E13199" s="130"/>
      <c r="P13199" s="99"/>
      <c r="Q13199" s="99"/>
      <c r="R13199" s="99"/>
    </row>
    <row r="13200" spans="5:18" s="65" customFormat="1">
      <c r="E13200" s="130"/>
      <c r="P13200" s="99"/>
      <c r="Q13200" s="99"/>
      <c r="R13200" s="99"/>
    </row>
    <row r="13201" spans="5:18" s="65" customFormat="1">
      <c r="E13201" s="130"/>
      <c r="P13201" s="99"/>
      <c r="Q13201" s="99"/>
      <c r="R13201" s="99"/>
    </row>
    <row r="13202" spans="5:18" s="65" customFormat="1">
      <c r="E13202" s="130"/>
      <c r="P13202" s="99"/>
      <c r="Q13202" s="99"/>
      <c r="R13202" s="99"/>
    </row>
    <row r="13203" spans="5:18" s="65" customFormat="1">
      <c r="E13203" s="130"/>
      <c r="P13203" s="99"/>
      <c r="Q13203" s="99"/>
      <c r="R13203" s="99"/>
    </row>
    <row r="13204" spans="5:18" s="65" customFormat="1">
      <c r="E13204" s="130"/>
      <c r="P13204" s="99"/>
      <c r="Q13204" s="99"/>
      <c r="R13204" s="99"/>
    </row>
    <row r="13205" spans="5:18" s="65" customFormat="1">
      <c r="E13205" s="130"/>
      <c r="P13205" s="99"/>
      <c r="Q13205" s="99"/>
      <c r="R13205" s="99"/>
    </row>
    <row r="13206" spans="5:18" s="65" customFormat="1">
      <c r="E13206" s="130"/>
      <c r="P13206" s="99"/>
      <c r="Q13206" s="99"/>
      <c r="R13206" s="99"/>
    </row>
    <row r="13207" spans="5:18" s="65" customFormat="1">
      <c r="E13207" s="130"/>
      <c r="P13207" s="99"/>
      <c r="Q13207" s="99"/>
      <c r="R13207" s="99"/>
    </row>
    <row r="13208" spans="5:18" s="65" customFormat="1">
      <c r="E13208" s="130"/>
      <c r="P13208" s="99"/>
      <c r="Q13208" s="99"/>
      <c r="R13208" s="99"/>
    </row>
    <row r="13209" spans="5:18" s="65" customFormat="1">
      <c r="E13209" s="130"/>
      <c r="P13209" s="99"/>
      <c r="Q13209" s="99"/>
      <c r="R13209" s="99"/>
    </row>
    <row r="13210" spans="5:18" s="65" customFormat="1">
      <c r="E13210" s="130"/>
      <c r="P13210" s="99"/>
      <c r="Q13210" s="99"/>
      <c r="R13210" s="99"/>
    </row>
    <row r="13211" spans="5:18" s="65" customFormat="1">
      <c r="E13211" s="130"/>
      <c r="P13211" s="99"/>
      <c r="Q13211" s="99"/>
      <c r="R13211" s="99"/>
    </row>
    <row r="13212" spans="5:18" s="65" customFormat="1">
      <c r="E13212" s="130"/>
      <c r="P13212" s="99"/>
      <c r="Q13212" s="99"/>
      <c r="R13212" s="99"/>
    </row>
    <row r="13213" spans="5:18" s="65" customFormat="1">
      <c r="E13213" s="130"/>
      <c r="P13213" s="99"/>
      <c r="Q13213" s="99"/>
      <c r="R13213" s="99"/>
    </row>
    <row r="13214" spans="5:18" s="65" customFormat="1">
      <c r="E13214" s="130"/>
      <c r="P13214" s="99"/>
      <c r="Q13214" s="99"/>
      <c r="R13214" s="99"/>
    </row>
    <row r="13215" spans="5:18" s="65" customFormat="1">
      <c r="E13215" s="130"/>
      <c r="P13215" s="99"/>
      <c r="Q13215" s="99"/>
      <c r="R13215" s="99"/>
    </row>
    <row r="13216" spans="5:18" s="65" customFormat="1">
      <c r="E13216" s="130"/>
      <c r="P13216" s="99"/>
      <c r="Q13216" s="99"/>
      <c r="R13216" s="99"/>
    </row>
    <row r="13217" spans="5:18" s="65" customFormat="1">
      <c r="E13217" s="130"/>
      <c r="P13217" s="99"/>
      <c r="Q13217" s="99"/>
      <c r="R13217" s="99"/>
    </row>
    <row r="13218" spans="5:18" s="65" customFormat="1">
      <c r="E13218" s="130"/>
      <c r="P13218" s="99"/>
      <c r="Q13218" s="99"/>
      <c r="R13218" s="99"/>
    </row>
    <row r="13219" spans="5:18" s="65" customFormat="1">
      <c r="E13219" s="130"/>
      <c r="P13219" s="99"/>
      <c r="Q13219" s="99"/>
      <c r="R13219" s="99"/>
    </row>
    <row r="13220" spans="5:18" s="65" customFormat="1">
      <c r="E13220" s="130"/>
      <c r="P13220" s="99"/>
      <c r="Q13220" s="99"/>
      <c r="R13220" s="99"/>
    </row>
    <row r="13221" spans="5:18" s="65" customFormat="1">
      <c r="E13221" s="130"/>
      <c r="P13221" s="99"/>
      <c r="Q13221" s="99"/>
      <c r="R13221" s="99"/>
    </row>
    <row r="13222" spans="5:18" s="65" customFormat="1">
      <c r="E13222" s="130"/>
      <c r="P13222" s="99"/>
      <c r="Q13222" s="99"/>
      <c r="R13222" s="99"/>
    </row>
    <row r="13223" spans="5:18" s="65" customFormat="1">
      <c r="E13223" s="130"/>
      <c r="P13223" s="99"/>
      <c r="Q13223" s="99"/>
      <c r="R13223" s="99"/>
    </row>
    <row r="13224" spans="5:18" s="65" customFormat="1">
      <c r="E13224" s="130"/>
      <c r="P13224" s="99"/>
      <c r="Q13224" s="99"/>
      <c r="R13224" s="99"/>
    </row>
    <row r="13225" spans="5:18" s="65" customFormat="1">
      <c r="E13225" s="130"/>
      <c r="P13225" s="99"/>
      <c r="Q13225" s="99"/>
      <c r="R13225" s="99"/>
    </row>
    <row r="13226" spans="5:18" s="65" customFormat="1">
      <c r="E13226" s="130"/>
      <c r="P13226" s="99"/>
      <c r="Q13226" s="99"/>
      <c r="R13226" s="99"/>
    </row>
    <row r="13227" spans="5:18" s="65" customFormat="1">
      <c r="E13227" s="130"/>
      <c r="P13227" s="99"/>
      <c r="Q13227" s="99"/>
      <c r="R13227" s="99"/>
    </row>
    <row r="13228" spans="5:18" s="65" customFormat="1">
      <c r="E13228" s="130"/>
      <c r="P13228" s="99"/>
      <c r="Q13228" s="99"/>
      <c r="R13228" s="99"/>
    </row>
    <row r="13229" spans="5:18" s="65" customFormat="1">
      <c r="E13229" s="130"/>
      <c r="P13229" s="99"/>
      <c r="Q13229" s="99"/>
      <c r="R13229" s="99"/>
    </row>
    <row r="13230" spans="5:18" s="65" customFormat="1">
      <c r="E13230" s="130"/>
      <c r="P13230" s="99"/>
      <c r="Q13230" s="99"/>
      <c r="R13230" s="99"/>
    </row>
    <row r="13231" spans="5:18" s="65" customFormat="1">
      <c r="E13231" s="130"/>
      <c r="P13231" s="99"/>
      <c r="Q13231" s="99"/>
      <c r="R13231" s="99"/>
    </row>
    <row r="13232" spans="5:18" s="65" customFormat="1">
      <c r="E13232" s="130"/>
      <c r="P13232" s="99"/>
      <c r="Q13232" s="99"/>
      <c r="R13232" s="99"/>
    </row>
    <row r="13233" spans="5:18" s="65" customFormat="1">
      <c r="E13233" s="130"/>
      <c r="P13233" s="99"/>
      <c r="Q13233" s="99"/>
      <c r="R13233" s="99"/>
    </row>
    <row r="13234" spans="5:18" s="65" customFormat="1">
      <c r="E13234" s="130"/>
      <c r="P13234" s="99"/>
      <c r="Q13234" s="99"/>
      <c r="R13234" s="99"/>
    </row>
    <row r="13235" spans="5:18" s="65" customFormat="1">
      <c r="E13235" s="130"/>
      <c r="P13235" s="99"/>
      <c r="Q13235" s="99"/>
      <c r="R13235" s="99"/>
    </row>
    <row r="13236" spans="5:18" s="65" customFormat="1">
      <c r="E13236" s="130"/>
      <c r="P13236" s="99"/>
      <c r="Q13236" s="99"/>
      <c r="R13236" s="99"/>
    </row>
    <row r="13237" spans="5:18" s="65" customFormat="1">
      <c r="E13237" s="130"/>
      <c r="P13237" s="99"/>
      <c r="Q13237" s="99"/>
      <c r="R13237" s="99"/>
    </row>
    <row r="13238" spans="5:18" s="65" customFormat="1">
      <c r="E13238" s="130"/>
      <c r="P13238" s="99"/>
      <c r="Q13238" s="99"/>
      <c r="R13238" s="99"/>
    </row>
    <row r="13239" spans="5:18" s="65" customFormat="1">
      <c r="E13239" s="130"/>
      <c r="P13239" s="99"/>
      <c r="Q13239" s="99"/>
      <c r="R13239" s="99"/>
    </row>
    <row r="13240" spans="5:18" s="65" customFormat="1">
      <c r="E13240" s="130"/>
      <c r="P13240" s="99"/>
      <c r="Q13240" s="99"/>
      <c r="R13240" s="99"/>
    </row>
    <row r="13241" spans="5:18" s="65" customFormat="1">
      <c r="E13241" s="130"/>
      <c r="P13241" s="99"/>
      <c r="Q13241" s="99"/>
      <c r="R13241" s="99"/>
    </row>
    <row r="13242" spans="5:18" s="65" customFormat="1">
      <c r="E13242" s="130"/>
      <c r="P13242" s="99"/>
      <c r="Q13242" s="99"/>
      <c r="R13242" s="99"/>
    </row>
    <row r="13243" spans="5:18" s="65" customFormat="1">
      <c r="E13243" s="130"/>
      <c r="P13243" s="99"/>
      <c r="Q13243" s="99"/>
      <c r="R13243" s="99"/>
    </row>
    <row r="13244" spans="5:18" s="65" customFormat="1">
      <c r="E13244" s="130"/>
      <c r="P13244" s="99"/>
      <c r="Q13244" s="99"/>
      <c r="R13244" s="99"/>
    </row>
    <row r="13245" spans="5:18" s="65" customFormat="1">
      <c r="E13245" s="130"/>
      <c r="P13245" s="99"/>
      <c r="Q13245" s="99"/>
      <c r="R13245" s="99"/>
    </row>
    <row r="13246" spans="5:18" s="65" customFormat="1">
      <c r="E13246" s="130"/>
      <c r="P13246" s="99"/>
      <c r="Q13246" s="99"/>
      <c r="R13246" s="99"/>
    </row>
    <row r="13247" spans="5:18" s="65" customFormat="1">
      <c r="E13247" s="130"/>
      <c r="P13247" s="99"/>
      <c r="Q13247" s="99"/>
      <c r="R13247" s="99"/>
    </row>
    <row r="13248" spans="5:18" s="65" customFormat="1">
      <c r="E13248" s="130"/>
      <c r="P13248" s="99"/>
      <c r="Q13248" s="99"/>
      <c r="R13248" s="99"/>
    </row>
    <row r="13249" spans="5:18" s="65" customFormat="1">
      <c r="E13249" s="130"/>
      <c r="P13249" s="99"/>
      <c r="Q13249" s="99"/>
      <c r="R13249" s="99"/>
    </row>
    <row r="13250" spans="5:18" s="65" customFormat="1">
      <c r="E13250" s="130"/>
      <c r="P13250" s="99"/>
      <c r="Q13250" s="99"/>
      <c r="R13250" s="99"/>
    </row>
    <row r="13251" spans="5:18" s="65" customFormat="1">
      <c r="E13251" s="130"/>
      <c r="P13251" s="99"/>
      <c r="Q13251" s="99"/>
      <c r="R13251" s="99"/>
    </row>
    <row r="13252" spans="5:18" s="65" customFormat="1">
      <c r="E13252" s="130"/>
      <c r="P13252" s="99"/>
      <c r="Q13252" s="99"/>
      <c r="R13252" s="99"/>
    </row>
    <row r="13253" spans="5:18" s="65" customFormat="1">
      <c r="E13253" s="130"/>
      <c r="P13253" s="99"/>
      <c r="Q13253" s="99"/>
      <c r="R13253" s="99"/>
    </row>
    <row r="13254" spans="5:18" s="65" customFormat="1">
      <c r="E13254" s="130"/>
      <c r="P13254" s="99"/>
      <c r="Q13254" s="99"/>
      <c r="R13254" s="99"/>
    </row>
    <row r="13255" spans="5:18" s="65" customFormat="1">
      <c r="E13255" s="130"/>
      <c r="P13255" s="99"/>
      <c r="Q13255" s="99"/>
      <c r="R13255" s="99"/>
    </row>
    <row r="13256" spans="5:18" s="65" customFormat="1">
      <c r="E13256" s="130"/>
      <c r="P13256" s="99"/>
      <c r="Q13256" s="99"/>
      <c r="R13256" s="99"/>
    </row>
    <row r="13257" spans="5:18" s="65" customFormat="1">
      <c r="E13257" s="130"/>
      <c r="P13257" s="99"/>
      <c r="Q13257" s="99"/>
      <c r="R13257" s="99"/>
    </row>
    <row r="13258" spans="5:18" s="65" customFormat="1">
      <c r="E13258" s="130"/>
      <c r="P13258" s="99"/>
      <c r="Q13258" s="99"/>
      <c r="R13258" s="99"/>
    </row>
    <row r="13259" spans="5:18" s="65" customFormat="1">
      <c r="E13259" s="130"/>
      <c r="P13259" s="99"/>
      <c r="Q13259" s="99"/>
      <c r="R13259" s="99"/>
    </row>
    <row r="13260" spans="5:18" s="65" customFormat="1">
      <c r="E13260" s="130"/>
      <c r="P13260" s="99"/>
      <c r="Q13260" s="99"/>
      <c r="R13260" s="99"/>
    </row>
    <row r="13261" spans="5:18" s="65" customFormat="1">
      <c r="E13261" s="130"/>
      <c r="P13261" s="99"/>
      <c r="Q13261" s="99"/>
      <c r="R13261" s="99"/>
    </row>
    <row r="13262" spans="5:18" s="65" customFormat="1">
      <c r="E13262" s="130"/>
      <c r="P13262" s="99"/>
      <c r="Q13262" s="99"/>
      <c r="R13262" s="99"/>
    </row>
    <row r="13263" spans="5:18" s="65" customFormat="1">
      <c r="E13263" s="130"/>
      <c r="P13263" s="99"/>
      <c r="Q13263" s="99"/>
      <c r="R13263" s="99"/>
    </row>
    <row r="13264" spans="5:18" s="65" customFormat="1">
      <c r="E13264" s="130"/>
      <c r="P13264" s="99"/>
      <c r="Q13264" s="99"/>
      <c r="R13264" s="99"/>
    </row>
    <row r="13265" spans="5:18" s="65" customFormat="1">
      <c r="E13265" s="130"/>
      <c r="P13265" s="99"/>
      <c r="Q13265" s="99"/>
      <c r="R13265" s="99"/>
    </row>
    <row r="13266" spans="5:18" s="65" customFormat="1">
      <c r="E13266" s="130"/>
      <c r="P13266" s="99"/>
      <c r="Q13266" s="99"/>
      <c r="R13266" s="99"/>
    </row>
    <row r="13267" spans="5:18" s="65" customFormat="1">
      <c r="E13267" s="130"/>
      <c r="P13267" s="99"/>
      <c r="Q13267" s="99"/>
      <c r="R13267" s="99"/>
    </row>
    <row r="13268" spans="5:18" s="65" customFormat="1">
      <c r="E13268" s="130"/>
      <c r="P13268" s="99"/>
      <c r="Q13268" s="99"/>
      <c r="R13268" s="99"/>
    </row>
    <row r="13269" spans="5:18" s="65" customFormat="1">
      <c r="E13269" s="130"/>
      <c r="P13269" s="99"/>
      <c r="Q13269" s="99"/>
      <c r="R13269" s="99"/>
    </row>
    <row r="13270" spans="5:18" s="65" customFormat="1">
      <c r="E13270" s="130"/>
      <c r="P13270" s="99"/>
      <c r="Q13270" s="99"/>
      <c r="R13270" s="99"/>
    </row>
    <row r="13271" spans="5:18" s="65" customFormat="1">
      <c r="E13271" s="130"/>
      <c r="P13271" s="99"/>
      <c r="Q13271" s="99"/>
      <c r="R13271" s="99"/>
    </row>
    <row r="13272" spans="5:18" s="65" customFormat="1">
      <c r="E13272" s="130"/>
      <c r="P13272" s="99"/>
      <c r="Q13272" s="99"/>
      <c r="R13272" s="99"/>
    </row>
    <row r="13273" spans="5:18" s="65" customFormat="1">
      <c r="E13273" s="130"/>
      <c r="P13273" s="99"/>
      <c r="Q13273" s="99"/>
      <c r="R13273" s="99"/>
    </row>
    <row r="13274" spans="5:18" s="65" customFormat="1">
      <c r="E13274" s="130"/>
      <c r="P13274" s="99"/>
      <c r="Q13274" s="99"/>
      <c r="R13274" s="99"/>
    </row>
    <row r="13275" spans="5:18" s="65" customFormat="1">
      <c r="E13275" s="130"/>
      <c r="P13275" s="99"/>
      <c r="Q13275" s="99"/>
      <c r="R13275" s="99"/>
    </row>
    <row r="13276" spans="5:18" s="65" customFormat="1">
      <c r="E13276" s="130"/>
      <c r="P13276" s="99"/>
      <c r="Q13276" s="99"/>
      <c r="R13276" s="99"/>
    </row>
    <row r="13277" spans="5:18" s="65" customFormat="1">
      <c r="E13277" s="130"/>
      <c r="P13277" s="99"/>
      <c r="Q13277" s="99"/>
      <c r="R13277" s="99"/>
    </row>
    <row r="13278" spans="5:18" s="65" customFormat="1">
      <c r="E13278" s="130"/>
      <c r="P13278" s="99"/>
      <c r="Q13278" s="99"/>
      <c r="R13278" s="99"/>
    </row>
    <row r="13279" spans="5:18" s="65" customFormat="1">
      <c r="E13279" s="130"/>
      <c r="P13279" s="99"/>
      <c r="Q13279" s="99"/>
      <c r="R13279" s="99"/>
    </row>
    <row r="13280" spans="5:18" s="65" customFormat="1">
      <c r="E13280" s="130"/>
      <c r="P13280" s="99"/>
      <c r="Q13280" s="99"/>
      <c r="R13280" s="99"/>
    </row>
    <row r="13281" spans="5:18" s="65" customFormat="1">
      <c r="E13281" s="130"/>
      <c r="P13281" s="99"/>
      <c r="Q13281" s="99"/>
      <c r="R13281" s="99"/>
    </row>
    <row r="13282" spans="5:18" s="65" customFormat="1">
      <c r="E13282" s="130"/>
      <c r="P13282" s="99"/>
      <c r="Q13282" s="99"/>
      <c r="R13282" s="99"/>
    </row>
    <row r="13283" spans="5:18" s="65" customFormat="1">
      <c r="E13283" s="130"/>
      <c r="P13283" s="99"/>
      <c r="Q13283" s="99"/>
      <c r="R13283" s="99"/>
    </row>
    <row r="13284" spans="5:18" s="65" customFormat="1">
      <c r="E13284" s="130"/>
      <c r="P13284" s="99"/>
      <c r="Q13284" s="99"/>
      <c r="R13284" s="99"/>
    </row>
    <row r="13285" spans="5:18" s="65" customFormat="1">
      <c r="E13285" s="130"/>
      <c r="P13285" s="99"/>
      <c r="Q13285" s="99"/>
      <c r="R13285" s="99"/>
    </row>
    <row r="13286" spans="5:18" s="65" customFormat="1">
      <c r="E13286" s="130"/>
      <c r="P13286" s="99"/>
      <c r="Q13286" s="99"/>
      <c r="R13286" s="99"/>
    </row>
    <row r="13287" spans="5:18" s="65" customFormat="1">
      <c r="E13287" s="130"/>
      <c r="P13287" s="99"/>
      <c r="Q13287" s="99"/>
      <c r="R13287" s="99"/>
    </row>
    <row r="13288" spans="5:18" s="65" customFormat="1">
      <c r="E13288" s="130"/>
      <c r="P13288" s="99"/>
      <c r="Q13288" s="99"/>
      <c r="R13288" s="99"/>
    </row>
    <row r="13289" spans="5:18" s="65" customFormat="1">
      <c r="E13289" s="130"/>
      <c r="P13289" s="99"/>
      <c r="Q13289" s="99"/>
      <c r="R13289" s="99"/>
    </row>
    <row r="13290" spans="5:18" s="65" customFormat="1">
      <c r="E13290" s="130"/>
      <c r="P13290" s="99"/>
      <c r="Q13290" s="99"/>
      <c r="R13290" s="99"/>
    </row>
    <row r="13291" spans="5:18" s="65" customFormat="1">
      <c r="E13291" s="130"/>
      <c r="P13291" s="99"/>
      <c r="Q13291" s="99"/>
      <c r="R13291" s="99"/>
    </row>
    <row r="13292" spans="5:18" s="65" customFormat="1">
      <c r="E13292" s="130"/>
      <c r="P13292" s="99"/>
      <c r="Q13292" s="99"/>
      <c r="R13292" s="99"/>
    </row>
    <row r="13293" spans="5:18" s="65" customFormat="1">
      <c r="E13293" s="130"/>
      <c r="P13293" s="99"/>
      <c r="Q13293" s="99"/>
      <c r="R13293" s="99"/>
    </row>
    <row r="13294" spans="5:18" s="65" customFormat="1">
      <c r="E13294" s="130"/>
      <c r="P13294" s="99"/>
      <c r="Q13294" s="99"/>
      <c r="R13294" s="99"/>
    </row>
    <row r="13295" spans="5:18" s="65" customFormat="1">
      <c r="E13295" s="130"/>
      <c r="P13295" s="99"/>
      <c r="Q13295" s="99"/>
      <c r="R13295" s="99"/>
    </row>
    <row r="13296" spans="5:18" s="65" customFormat="1">
      <c r="E13296" s="130"/>
      <c r="P13296" s="99"/>
      <c r="Q13296" s="99"/>
      <c r="R13296" s="99"/>
    </row>
    <row r="13297" spans="5:18" s="65" customFormat="1">
      <c r="E13297" s="130"/>
      <c r="P13297" s="99"/>
      <c r="Q13297" s="99"/>
      <c r="R13297" s="99"/>
    </row>
    <row r="13298" spans="5:18" s="65" customFormat="1">
      <c r="E13298" s="130"/>
      <c r="P13298" s="99"/>
      <c r="Q13298" s="99"/>
      <c r="R13298" s="99"/>
    </row>
    <row r="13299" spans="5:18" s="65" customFormat="1">
      <c r="E13299" s="130"/>
      <c r="P13299" s="99"/>
      <c r="Q13299" s="99"/>
      <c r="R13299" s="99"/>
    </row>
    <row r="13300" spans="5:18" s="65" customFormat="1">
      <c r="E13300" s="130"/>
      <c r="P13300" s="99"/>
      <c r="Q13300" s="99"/>
      <c r="R13300" s="99"/>
    </row>
    <row r="13301" spans="5:18" s="65" customFormat="1">
      <c r="E13301" s="130"/>
      <c r="P13301" s="99"/>
      <c r="Q13301" s="99"/>
      <c r="R13301" s="99"/>
    </row>
    <row r="13302" spans="5:18" s="65" customFormat="1">
      <c r="E13302" s="130"/>
      <c r="P13302" s="99"/>
      <c r="Q13302" s="99"/>
      <c r="R13302" s="99"/>
    </row>
    <row r="13303" spans="5:18" s="65" customFormat="1">
      <c r="E13303" s="130"/>
      <c r="P13303" s="99"/>
      <c r="Q13303" s="99"/>
      <c r="R13303" s="99"/>
    </row>
    <row r="13304" spans="5:18" s="65" customFormat="1">
      <c r="E13304" s="130"/>
      <c r="P13304" s="99"/>
      <c r="Q13304" s="99"/>
      <c r="R13304" s="99"/>
    </row>
    <row r="13305" spans="5:18" s="65" customFormat="1">
      <c r="E13305" s="130"/>
      <c r="P13305" s="99"/>
      <c r="Q13305" s="99"/>
      <c r="R13305" s="99"/>
    </row>
    <row r="13306" spans="5:18" s="65" customFormat="1">
      <c r="E13306" s="130"/>
      <c r="P13306" s="99"/>
      <c r="Q13306" s="99"/>
      <c r="R13306" s="99"/>
    </row>
    <row r="13307" spans="5:18" s="65" customFormat="1">
      <c r="E13307" s="130"/>
      <c r="P13307" s="99"/>
      <c r="Q13307" s="99"/>
      <c r="R13307" s="99"/>
    </row>
    <row r="13308" spans="5:18" s="65" customFormat="1">
      <c r="E13308" s="130"/>
      <c r="P13308" s="99"/>
      <c r="Q13308" s="99"/>
      <c r="R13308" s="99"/>
    </row>
    <row r="13309" spans="5:18" s="65" customFormat="1">
      <c r="E13309" s="130"/>
      <c r="P13309" s="99"/>
      <c r="Q13309" s="99"/>
      <c r="R13309" s="99"/>
    </row>
    <row r="13310" spans="5:18" s="65" customFormat="1">
      <c r="E13310" s="130"/>
      <c r="P13310" s="99"/>
      <c r="Q13310" s="99"/>
      <c r="R13310" s="99"/>
    </row>
    <row r="13311" spans="5:18" s="65" customFormat="1">
      <c r="E13311" s="130"/>
      <c r="P13311" s="99"/>
      <c r="Q13311" s="99"/>
      <c r="R13311" s="99"/>
    </row>
    <row r="13312" spans="5:18" s="65" customFormat="1">
      <c r="E13312" s="130"/>
      <c r="P13312" s="99"/>
      <c r="Q13312" s="99"/>
      <c r="R13312" s="99"/>
    </row>
    <row r="13313" spans="5:18" s="65" customFormat="1">
      <c r="E13313" s="130"/>
      <c r="P13313" s="99"/>
      <c r="Q13313" s="99"/>
      <c r="R13313" s="99"/>
    </row>
    <row r="13314" spans="5:18" s="65" customFormat="1">
      <c r="E13314" s="130"/>
      <c r="P13314" s="99"/>
      <c r="Q13314" s="99"/>
      <c r="R13314" s="99"/>
    </row>
    <row r="13315" spans="5:18" s="65" customFormat="1">
      <c r="E13315" s="130"/>
      <c r="P13315" s="99"/>
      <c r="Q13315" s="99"/>
      <c r="R13315" s="99"/>
    </row>
    <row r="13316" spans="5:18" s="65" customFormat="1">
      <c r="E13316" s="130"/>
      <c r="P13316" s="99"/>
      <c r="Q13316" s="99"/>
      <c r="R13316" s="99"/>
    </row>
    <row r="13317" spans="5:18" s="65" customFormat="1">
      <c r="E13317" s="130"/>
      <c r="P13317" s="99"/>
      <c r="Q13317" s="99"/>
      <c r="R13317" s="99"/>
    </row>
    <row r="13318" spans="5:18" s="65" customFormat="1">
      <c r="E13318" s="130"/>
      <c r="P13318" s="99"/>
      <c r="Q13318" s="99"/>
      <c r="R13318" s="99"/>
    </row>
    <row r="13319" spans="5:18" s="65" customFormat="1">
      <c r="E13319" s="130"/>
      <c r="P13319" s="99"/>
      <c r="Q13319" s="99"/>
      <c r="R13319" s="99"/>
    </row>
    <row r="13320" spans="5:18" s="65" customFormat="1">
      <c r="E13320" s="130"/>
      <c r="P13320" s="99"/>
      <c r="Q13320" s="99"/>
      <c r="R13320" s="99"/>
    </row>
    <row r="13321" spans="5:18" s="65" customFormat="1">
      <c r="E13321" s="130"/>
      <c r="P13321" s="99"/>
      <c r="Q13321" s="99"/>
      <c r="R13321" s="99"/>
    </row>
    <row r="13322" spans="5:18" s="65" customFormat="1">
      <c r="E13322" s="130"/>
      <c r="P13322" s="99"/>
      <c r="Q13322" s="99"/>
      <c r="R13322" s="99"/>
    </row>
    <row r="13323" spans="5:18" s="65" customFormat="1">
      <c r="E13323" s="130"/>
      <c r="P13323" s="99"/>
      <c r="Q13323" s="99"/>
      <c r="R13323" s="99"/>
    </row>
    <row r="13324" spans="5:18" s="65" customFormat="1">
      <c r="E13324" s="130"/>
      <c r="P13324" s="99"/>
      <c r="Q13324" s="99"/>
      <c r="R13324" s="99"/>
    </row>
    <row r="13325" spans="5:18" s="65" customFormat="1">
      <c r="E13325" s="130"/>
      <c r="P13325" s="99"/>
      <c r="Q13325" s="99"/>
      <c r="R13325" s="99"/>
    </row>
    <row r="13326" spans="5:18" s="65" customFormat="1">
      <c r="E13326" s="130"/>
      <c r="P13326" s="99"/>
      <c r="Q13326" s="99"/>
      <c r="R13326" s="99"/>
    </row>
    <row r="13327" spans="5:18" s="65" customFormat="1">
      <c r="E13327" s="130"/>
      <c r="P13327" s="99"/>
      <c r="Q13327" s="99"/>
      <c r="R13327" s="99"/>
    </row>
    <row r="13328" spans="5:18" s="65" customFormat="1">
      <c r="E13328" s="130"/>
      <c r="P13328" s="99"/>
      <c r="Q13328" s="99"/>
      <c r="R13328" s="99"/>
    </row>
    <row r="13329" spans="5:18" s="65" customFormat="1">
      <c r="E13329" s="130"/>
      <c r="P13329" s="99"/>
      <c r="Q13329" s="99"/>
      <c r="R13329" s="99"/>
    </row>
    <row r="13330" spans="5:18" s="65" customFormat="1">
      <c r="E13330" s="130"/>
      <c r="P13330" s="99"/>
      <c r="Q13330" s="99"/>
      <c r="R13330" s="99"/>
    </row>
    <row r="13331" spans="5:18" s="65" customFormat="1">
      <c r="E13331" s="130"/>
      <c r="P13331" s="99"/>
      <c r="Q13331" s="99"/>
      <c r="R13331" s="99"/>
    </row>
    <row r="13332" spans="5:18" s="65" customFormat="1">
      <c r="E13332" s="130"/>
      <c r="P13332" s="99"/>
      <c r="Q13332" s="99"/>
      <c r="R13332" s="99"/>
    </row>
    <row r="13333" spans="5:18" s="65" customFormat="1">
      <c r="E13333" s="130"/>
      <c r="P13333" s="99"/>
      <c r="Q13333" s="99"/>
      <c r="R13333" s="99"/>
    </row>
    <row r="13334" spans="5:18" s="65" customFormat="1">
      <c r="E13334" s="130"/>
      <c r="P13334" s="99"/>
      <c r="Q13334" s="99"/>
      <c r="R13334" s="99"/>
    </row>
    <row r="13335" spans="5:18" s="65" customFormat="1">
      <c r="E13335" s="130"/>
      <c r="P13335" s="99"/>
      <c r="Q13335" s="99"/>
      <c r="R13335" s="99"/>
    </row>
    <row r="13336" spans="5:18" s="65" customFormat="1">
      <c r="E13336" s="130"/>
      <c r="P13336" s="99"/>
      <c r="Q13336" s="99"/>
      <c r="R13336" s="99"/>
    </row>
    <row r="13337" spans="5:18" s="65" customFormat="1">
      <c r="E13337" s="130"/>
      <c r="P13337" s="99"/>
      <c r="Q13337" s="99"/>
      <c r="R13337" s="99"/>
    </row>
    <row r="13338" spans="5:18" s="65" customFormat="1">
      <c r="E13338" s="130"/>
      <c r="P13338" s="99"/>
      <c r="Q13338" s="99"/>
      <c r="R13338" s="99"/>
    </row>
    <row r="13339" spans="5:18" s="65" customFormat="1">
      <c r="E13339" s="130"/>
      <c r="P13339" s="99"/>
      <c r="Q13339" s="99"/>
      <c r="R13339" s="99"/>
    </row>
    <row r="13340" spans="5:18" s="65" customFormat="1">
      <c r="E13340" s="130"/>
      <c r="P13340" s="99"/>
      <c r="Q13340" s="99"/>
      <c r="R13340" s="99"/>
    </row>
    <row r="13341" spans="5:18" s="65" customFormat="1">
      <c r="E13341" s="130"/>
      <c r="P13341" s="99"/>
      <c r="Q13341" s="99"/>
      <c r="R13341" s="99"/>
    </row>
    <row r="13342" spans="5:18" s="65" customFormat="1">
      <c r="E13342" s="130"/>
      <c r="P13342" s="99"/>
      <c r="Q13342" s="99"/>
      <c r="R13342" s="99"/>
    </row>
    <row r="13343" spans="5:18" s="65" customFormat="1">
      <c r="E13343" s="130"/>
      <c r="P13343" s="99"/>
      <c r="Q13343" s="99"/>
      <c r="R13343" s="99"/>
    </row>
    <row r="13344" spans="5:18" s="65" customFormat="1">
      <c r="E13344" s="130"/>
      <c r="P13344" s="99"/>
      <c r="Q13344" s="99"/>
      <c r="R13344" s="99"/>
    </row>
    <row r="13345" spans="5:18" s="65" customFormat="1">
      <c r="E13345" s="130"/>
      <c r="P13345" s="99"/>
      <c r="Q13345" s="99"/>
      <c r="R13345" s="99"/>
    </row>
    <row r="13346" spans="5:18" s="65" customFormat="1">
      <c r="E13346" s="130"/>
      <c r="P13346" s="99"/>
      <c r="Q13346" s="99"/>
      <c r="R13346" s="99"/>
    </row>
    <row r="13347" spans="5:18" s="65" customFormat="1">
      <c r="E13347" s="130"/>
      <c r="P13347" s="99"/>
      <c r="Q13347" s="99"/>
      <c r="R13347" s="99"/>
    </row>
    <row r="13348" spans="5:18" s="65" customFormat="1">
      <c r="E13348" s="130"/>
      <c r="P13348" s="99"/>
      <c r="Q13348" s="99"/>
      <c r="R13348" s="99"/>
    </row>
    <row r="13349" spans="5:18" s="65" customFormat="1">
      <c r="E13349" s="130"/>
      <c r="P13349" s="99"/>
      <c r="Q13349" s="99"/>
      <c r="R13349" s="99"/>
    </row>
    <row r="13350" spans="5:18" s="65" customFormat="1">
      <c r="E13350" s="130"/>
      <c r="P13350" s="99"/>
      <c r="Q13350" s="99"/>
      <c r="R13350" s="99"/>
    </row>
    <row r="13351" spans="5:18" s="65" customFormat="1">
      <c r="E13351" s="130"/>
      <c r="P13351" s="99"/>
      <c r="Q13351" s="99"/>
      <c r="R13351" s="99"/>
    </row>
    <row r="13352" spans="5:18" s="65" customFormat="1">
      <c r="E13352" s="130"/>
      <c r="P13352" s="99"/>
      <c r="Q13352" s="99"/>
      <c r="R13352" s="99"/>
    </row>
    <row r="13353" spans="5:18" s="65" customFormat="1">
      <c r="E13353" s="130"/>
      <c r="P13353" s="99"/>
      <c r="Q13353" s="99"/>
      <c r="R13353" s="99"/>
    </row>
    <row r="13354" spans="5:18" s="65" customFormat="1">
      <c r="E13354" s="130"/>
      <c r="P13354" s="99"/>
      <c r="Q13354" s="99"/>
      <c r="R13354" s="99"/>
    </row>
    <row r="13355" spans="5:18" s="65" customFormat="1">
      <c r="E13355" s="130"/>
      <c r="P13355" s="99"/>
      <c r="Q13355" s="99"/>
      <c r="R13355" s="99"/>
    </row>
    <row r="13356" spans="5:18" s="65" customFormat="1">
      <c r="E13356" s="130"/>
      <c r="P13356" s="99"/>
      <c r="Q13356" s="99"/>
      <c r="R13356" s="99"/>
    </row>
    <row r="13357" spans="5:18" s="65" customFormat="1">
      <c r="E13357" s="130"/>
      <c r="P13357" s="99"/>
      <c r="Q13357" s="99"/>
      <c r="R13357" s="99"/>
    </row>
    <row r="13358" spans="5:18" s="65" customFormat="1">
      <c r="E13358" s="130"/>
      <c r="P13358" s="99"/>
      <c r="Q13358" s="99"/>
      <c r="R13358" s="99"/>
    </row>
    <row r="13359" spans="5:18" s="65" customFormat="1">
      <c r="E13359" s="130"/>
      <c r="P13359" s="99"/>
      <c r="Q13359" s="99"/>
      <c r="R13359" s="99"/>
    </row>
    <row r="13360" spans="5:18" s="65" customFormat="1">
      <c r="E13360" s="130"/>
      <c r="P13360" s="99"/>
      <c r="Q13360" s="99"/>
      <c r="R13360" s="99"/>
    </row>
    <row r="13361" spans="5:18" s="65" customFormat="1">
      <c r="E13361" s="130"/>
      <c r="P13361" s="99"/>
      <c r="Q13361" s="99"/>
      <c r="R13361" s="99"/>
    </row>
    <row r="13362" spans="5:18" s="65" customFormat="1">
      <c r="E13362" s="130"/>
      <c r="P13362" s="99"/>
      <c r="Q13362" s="99"/>
      <c r="R13362" s="99"/>
    </row>
    <row r="13363" spans="5:18" s="65" customFormat="1">
      <c r="E13363" s="130"/>
      <c r="P13363" s="99"/>
      <c r="Q13363" s="99"/>
      <c r="R13363" s="99"/>
    </row>
    <row r="13364" spans="5:18" s="65" customFormat="1">
      <c r="E13364" s="130"/>
      <c r="P13364" s="99"/>
      <c r="Q13364" s="99"/>
      <c r="R13364" s="99"/>
    </row>
    <row r="13365" spans="5:18" s="65" customFormat="1">
      <c r="E13365" s="130"/>
      <c r="P13365" s="99"/>
      <c r="Q13365" s="99"/>
      <c r="R13365" s="99"/>
    </row>
    <row r="13366" spans="5:18" s="65" customFormat="1">
      <c r="E13366" s="130"/>
      <c r="P13366" s="99"/>
      <c r="Q13366" s="99"/>
      <c r="R13366" s="99"/>
    </row>
    <row r="13367" spans="5:18" s="65" customFormat="1">
      <c r="E13367" s="130"/>
      <c r="P13367" s="99"/>
      <c r="Q13367" s="99"/>
      <c r="R13367" s="99"/>
    </row>
    <row r="13368" spans="5:18" s="65" customFormat="1">
      <c r="E13368" s="130"/>
      <c r="P13368" s="99"/>
      <c r="Q13368" s="99"/>
      <c r="R13368" s="99"/>
    </row>
    <row r="13369" spans="5:18" s="65" customFormat="1">
      <c r="E13369" s="130"/>
      <c r="P13369" s="99"/>
      <c r="Q13369" s="99"/>
      <c r="R13369" s="99"/>
    </row>
    <row r="13370" spans="5:18" s="65" customFormat="1">
      <c r="E13370" s="130"/>
      <c r="P13370" s="99"/>
      <c r="Q13370" s="99"/>
      <c r="R13370" s="99"/>
    </row>
    <row r="13371" spans="5:18" s="65" customFormat="1">
      <c r="E13371" s="130"/>
      <c r="P13371" s="99"/>
      <c r="Q13371" s="99"/>
      <c r="R13371" s="99"/>
    </row>
    <row r="13372" spans="5:18" s="65" customFormat="1">
      <c r="E13372" s="130"/>
      <c r="P13372" s="99"/>
      <c r="Q13372" s="99"/>
      <c r="R13372" s="99"/>
    </row>
    <row r="13373" spans="5:18" s="65" customFormat="1">
      <c r="E13373" s="130"/>
      <c r="P13373" s="99"/>
      <c r="Q13373" s="99"/>
      <c r="R13373" s="99"/>
    </row>
    <row r="13374" spans="5:18" s="65" customFormat="1">
      <c r="E13374" s="130"/>
      <c r="P13374" s="99"/>
      <c r="Q13374" s="99"/>
      <c r="R13374" s="99"/>
    </row>
    <row r="13375" spans="5:18" s="65" customFormat="1">
      <c r="E13375" s="130"/>
      <c r="P13375" s="99"/>
      <c r="Q13375" s="99"/>
      <c r="R13375" s="99"/>
    </row>
    <row r="13376" spans="5:18" s="65" customFormat="1">
      <c r="E13376" s="130"/>
      <c r="P13376" s="99"/>
      <c r="Q13376" s="99"/>
      <c r="R13376" s="99"/>
    </row>
    <row r="13377" spans="5:18" s="65" customFormat="1">
      <c r="E13377" s="130"/>
      <c r="P13377" s="99"/>
      <c r="Q13377" s="99"/>
      <c r="R13377" s="99"/>
    </row>
    <row r="13378" spans="5:18" s="65" customFormat="1">
      <c r="E13378" s="130"/>
      <c r="P13378" s="99"/>
      <c r="Q13378" s="99"/>
      <c r="R13378" s="99"/>
    </row>
    <row r="13379" spans="5:18" s="65" customFormat="1">
      <c r="E13379" s="130"/>
      <c r="P13379" s="99"/>
      <c r="Q13379" s="99"/>
      <c r="R13379" s="99"/>
    </row>
    <row r="13380" spans="5:18" s="65" customFormat="1">
      <c r="E13380" s="130"/>
      <c r="P13380" s="99"/>
      <c r="Q13380" s="99"/>
      <c r="R13380" s="99"/>
    </row>
    <row r="13381" spans="5:18" s="65" customFormat="1">
      <c r="E13381" s="130"/>
      <c r="P13381" s="99"/>
      <c r="Q13381" s="99"/>
      <c r="R13381" s="99"/>
    </row>
    <row r="13382" spans="5:18" s="65" customFormat="1">
      <c r="E13382" s="130"/>
      <c r="P13382" s="99"/>
      <c r="Q13382" s="99"/>
      <c r="R13382" s="99"/>
    </row>
    <row r="13383" spans="5:18" s="65" customFormat="1">
      <c r="E13383" s="130"/>
      <c r="P13383" s="99"/>
      <c r="Q13383" s="99"/>
      <c r="R13383" s="99"/>
    </row>
    <row r="13384" spans="5:18" s="65" customFormat="1">
      <c r="E13384" s="130"/>
      <c r="P13384" s="99"/>
      <c r="Q13384" s="99"/>
      <c r="R13384" s="99"/>
    </row>
    <row r="13385" spans="5:18" s="65" customFormat="1">
      <c r="E13385" s="130"/>
      <c r="P13385" s="99"/>
      <c r="Q13385" s="99"/>
      <c r="R13385" s="99"/>
    </row>
    <row r="13386" spans="5:18" s="65" customFormat="1">
      <c r="E13386" s="130"/>
      <c r="P13386" s="99"/>
      <c r="Q13386" s="99"/>
      <c r="R13386" s="99"/>
    </row>
    <row r="13387" spans="5:18" s="65" customFormat="1">
      <c r="E13387" s="130"/>
      <c r="P13387" s="99"/>
      <c r="Q13387" s="99"/>
      <c r="R13387" s="99"/>
    </row>
    <row r="13388" spans="5:18" s="65" customFormat="1">
      <c r="E13388" s="130"/>
      <c r="P13388" s="99"/>
      <c r="Q13388" s="99"/>
      <c r="R13388" s="99"/>
    </row>
    <row r="13389" spans="5:18" s="65" customFormat="1">
      <c r="E13389" s="130"/>
      <c r="P13389" s="99"/>
      <c r="Q13389" s="99"/>
      <c r="R13389" s="99"/>
    </row>
    <row r="13390" spans="5:18" s="65" customFormat="1">
      <c r="E13390" s="130"/>
      <c r="P13390" s="99"/>
      <c r="Q13390" s="99"/>
      <c r="R13390" s="99"/>
    </row>
    <row r="13391" spans="5:18" s="65" customFormat="1">
      <c r="E13391" s="130"/>
      <c r="P13391" s="99"/>
      <c r="Q13391" s="99"/>
      <c r="R13391" s="99"/>
    </row>
    <row r="13392" spans="5:18" s="65" customFormat="1">
      <c r="E13392" s="130"/>
      <c r="P13392" s="99"/>
      <c r="Q13392" s="99"/>
      <c r="R13392" s="99"/>
    </row>
    <row r="13393" spans="5:18" s="65" customFormat="1">
      <c r="E13393" s="130"/>
      <c r="P13393" s="99"/>
      <c r="Q13393" s="99"/>
      <c r="R13393" s="99"/>
    </row>
    <row r="13394" spans="5:18" s="65" customFormat="1">
      <c r="E13394" s="130"/>
      <c r="P13394" s="99"/>
      <c r="Q13394" s="99"/>
      <c r="R13394" s="99"/>
    </row>
    <row r="13395" spans="5:18" s="65" customFormat="1">
      <c r="E13395" s="130"/>
      <c r="P13395" s="99"/>
      <c r="Q13395" s="99"/>
      <c r="R13395" s="99"/>
    </row>
    <row r="13396" spans="5:18" s="65" customFormat="1">
      <c r="E13396" s="130"/>
      <c r="P13396" s="99"/>
      <c r="Q13396" s="99"/>
      <c r="R13396" s="99"/>
    </row>
    <row r="13397" spans="5:18" s="65" customFormat="1">
      <c r="E13397" s="130"/>
      <c r="P13397" s="99"/>
      <c r="Q13397" s="99"/>
      <c r="R13397" s="99"/>
    </row>
    <row r="13398" spans="5:18" s="65" customFormat="1">
      <c r="E13398" s="130"/>
      <c r="P13398" s="99"/>
      <c r="Q13398" s="99"/>
      <c r="R13398" s="99"/>
    </row>
    <row r="13399" spans="5:18" s="65" customFormat="1">
      <c r="E13399" s="130"/>
      <c r="P13399" s="99"/>
      <c r="Q13399" s="99"/>
      <c r="R13399" s="99"/>
    </row>
    <row r="13400" spans="5:18" s="65" customFormat="1">
      <c r="E13400" s="130"/>
      <c r="P13400" s="99"/>
      <c r="Q13400" s="99"/>
      <c r="R13400" s="99"/>
    </row>
    <row r="13401" spans="5:18" s="65" customFormat="1">
      <c r="E13401" s="130"/>
      <c r="P13401" s="99"/>
      <c r="Q13401" s="99"/>
      <c r="R13401" s="99"/>
    </row>
    <row r="13402" spans="5:18" s="65" customFormat="1">
      <c r="E13402" s="130"/>
      <c r="P13402" s="99"/>
      <c r="Q13402" s="99"/>
      <c r="R13402" s="99"/>
    </row>
    <row r="13403" spans="5:18" s="65" customFormat="1">
      <c r="E13403" s="130"/>
      <c r="P13403" s="99"/>
      <c r="Q13403" s="99"/>
      <c r="R13403" s="99"/>
    </row>
    <row r="13404" spans="5:18" s="65" customFormat="1">
      <c r="E13404" s="130"/>
      <c r="P13404" s="99"/>
      <c r="Q13404" s="99"/>
      <c r="R13404" s="99"/>
    </row>
    <row r="13405" spans="5:18" s="65" customFormat="1">
      <c r="E13405" s="130"/>
      <c r="P13405" s="99"/>
      <c r="Q13405" s="99"/>
      <c r="R13405" s="99"/>
    </row>
    <row r="13406" spans="5:18" s="65" customFormat="1">
      <c r="E13406" s="130"/>
      <c r="P13406" s="99"/>
      <c r="Q13406" s="99"/>
      <c r="R13406" s="99"/>
    </row>
    <row r="13407" spans="5:18" s="65" customFormat="1">
      <c r="E13407" s="130"/>
      <c r="P13407" s="99"/>
      <c r="Q13407" s="99"/>
      <c r="R13407" s="99"/>
    </row>
    <row r="13408" spans="5:18" s="65" customFormat="1">
      <c r="E13408" s="130"/>
      <c r="P13408" s="99"/>
      <c r="Q13408" s="99"/>
      <c r="R13408" s="99"/>
    </row>
    <row r="13409" spans="5:18" s="65" customFormat="1">
      <c r="E13409" s="130"/>
      <c r="P13409" s="99"/>
      <c r="Q13409" s="99"/>
      <c r="R13409" s="99"/>
    </row>
    <row r="13410" spans="5:18" s="65" customFormat="1">
      <c r="E13410" s="130"/>
      <c r="P13410" s="99"/>
      <c r="Q13410" s="99"/>
      <c r="R13410" s="99"/>
    </row>
    <row r="13411" spans="5:18" s="65" customFormat="1">
      <c r="E13411" s="130"/>
      <c r="P13411" s="99"/>
      <c r="Q13411" s="99"/>
      <c r="R13411" s="99"/>
    </row>
    <row r="13412" spans="5:18" s="65" customFormat="1">
      <c r="E13412" s="130"/>
      <c r="P13412" s="99"/>
      <c r="Q13412" s="99"/>
      <c r="R13412" s="99"/>
    </row>
    <row r="13413" spans="5:18" s="65" customFormat="1">
      <c r="E13413" s="130"/>
      <c r="P13413" s="99"/>
      <c r="Q13413" s="99"/>
      <c r="R13413" s="99"/>
    </row>
    <row r="13414" spans="5:18" s="65" customFormat="1">
      <c r="E13414" s="130"/>
      <c r="P13414" s="99"/>
      <c r="Q13414" s="99"/>
      <c r="R13414" s="99"/>
    </row>
    <row r="13415" spans="5:18" s="65" customFormat="1">
      <c r="E13415" s="130"/>
      <c r="P13415" s="99"/>
      <c r="Q13415" s="99"/>
      <c r="R13415" s="99"/>
    </row>
    <row r="13416" spans="5:18" s="65" customFormat="1">
      <c r="E13416" s="130"/>
      <c r="P13416" s="99"/>
      <c r="Q13416" s="99"/>
      <c r="R13416" s="99"/>
    </row>
    <row r="13417" spans="5:18" s="65" customFormat="1">
      <c r="E13417" s="130"/>
      <c r="P13417" s="99"/>
      <c r="Q13417" s="99"/>
      <c r="R13417" s="99"/>
    </row>
    <row r="13418" spans="5:18" s="65" customFormat="1">
      <c r="E13418" s="130"/>
      <c r="P13418" s="99"/>
      <c r="Q13418" s="99"/>
      <c r="R13418" s="99"/>
    </row>
    <row r="13419" spans="5:18" s="65" customFormat="1">
      <c r="E13419" s="130"/>
      <c r="P13419" s="99"/>
      <c r="Q13419" s="99"/>
      <c r="R13419" s="99"/>
    </row>
    <row r="13420" spans="5:18" s="65" customFormat="1">
      <c r="E13420" s="130"/>
      <c r="P13420" s="99"/>
      <c r="Q13420" s="99"/>
      <c r="R13420" s="99"/>
    </row>
    <row r="13421" spans="5:18" s="65" customFormat="1">
      <c r="E13421" s="130"/>
      <c r="P13421" s="99"/>
      <c r="Q13421" s="99"/>
      <c r="R13421" s="99"/>
    </row>
    <row r="13422" spans="5:18" s="65" customFormat="1">
      <c r="E13422" s="130"/>
      <c r="P13422" s="99"/>
      <c r="Q13422" s="99"/>
      <c r="R13422" s="99"/>
    </row>
    <row r="13423" spans="5:18" s="65" customFormat="1">
      <c r="E13423" s="130"/>
      <c r="P13423" s="99"/>
      <c r="Q13423" s="99"/>
      <c r="R13423" s="99"/>
    </row>
    <row r="13424" spans="5:18" s="65" customFormat="1">
      <c r="E13424" s="130"/>
      <c r="P13424" s="99"/>
      <c r="Q13424" s="99"/>
      <c r="R13424" s="99"/>
    </row>
    <row r="13425" spans="5:18" s="65" customFormat="1">
      <c r="E13425" s="130"/>
      <c r="P13425" s="99"/>
      <c r="Q13425" s="99"/>
      <c r="R13425" s="99"/>
    </row>
    <row r="13426" spans="5:18" s="65" customFormat="1">
      <c r="E13426" s="130"/>
      <c r="P13426" s="99"/>
      <c r="Q13426" s="99"/>
      <c r="R13426" s="99"/>
    </row>
    <row r="13427" spans="5:18" s="65" customFormat="1">
      <c r="E13427" s="130"/>
      <c r="P13427" s="99"/>
      <c r="Q13427" s="99"/>
      <c r="R13427" s="99"/>
    </row>
    <row r="13428" spans="5:18" s="65" customFormat="1">
      <c r="E13428" s="130"/>
      <c r="P13428" s="99"/>
      <c r="Q13428" s="99"/>
      <c r="R13428" s="99"/>
    </row>
    <row r="13429" spans="5:18" s="65" customFormat="1">
      <c r="E13429" s="130"/>
      <c r="P13429" s="99"/>
      <c r="Q13429" s="99"/>
      <c r="R13429" s="99"/>
    </row>
    <row r="13430" spans="5:18" s="65" customFormat="1">
      <c r="E13430" s="130"/>
      <c r="P13430" s="99"/>
      <c r="Q13430" s="99"/>
      <c r="R13430" s="99"/>
    </row>
    <row r="13431" spans="5:18" s="65" customFormat="1">
      <c r="E13431" s="130"/>
      <c r="P13431" s="99"/>
      <c r="Q13431" s="99"/>
      <c r="R13431" s="99"/>
    </row>
    <row r="13432" spans="5:18" s="65" customFormat="1">
      <c r="E13432" s="130"/>
      <c r="P13432" s="99"/>
      <c r="Q13432" s="99"/>
      <c r="R13432" s="99"/>
    </row>
    <row r="13433" spans="5:18" s="65" customFormat="1">
      <c r="E13433" s="130"/>
      <c r="P13433" s="99"/>
      <c r="Q13433" s="99"/>
      <c r="R13433" s="99"/>
    </row>
    <row r="13434" spans="5:18" s="65" customFormat="1">
      <c r="E13434" s="130"/>
      <c r="P13434" s="99"/>
      <c r="Q13434" s="99"/>
      <c r="R13434" s="99"/>
    </row>
    <row r="13435" spans="5:18" s="65" customFormat="1">
      <c r="E13435" s="130"/>
      <c r="P13435" s="99"/>
      <c r="Q13435" s="99"/>
      <c r="R13435" s="99"/>
    </row>
    <row r="13436" spans="5:18" s="65" customFormat="1">
      <c r="E13436" s="130"/>
      <c r="P13436" s="99"/>
      <c r="Q13436" s="99"/>
      <c r="R13436" s="99"/>
    </row>
    <row r="13437" spans="5:18" s="65" customFormat="1">
      <c r="E13437" s="130"/>
      <c r="P13437" s="99"/>
      <c r="Q13437" s="99"/>
      <c r="R13437" s="99"/>
    </row>
    <row r="13438" spans="5:18" s="65" customFormat="1">
      <c r="E13438" s="130"/>
      <c r="P13438" s="99"/>
      <c r="Q13438" s="99"/>
      <c r="R13438" s="99"/>
    </row>
    <row r="13439" spans="5:18" s="65" customFormat="1">
      <c r="E13439" s="130"/>
      <c r="P13439" s="99"/>
      <c r="Q13439" s="99"/>
      <c r="R13439" s="99"/>
    </row>
    <row r="13440" spans="5:18" s="65" customFormat="1">
      <c r="E13440" s="130"/>
      <c r="P13440" s="99"/>
      <c r="Q13440" s="99"/>
      <c r="R13440" s="99"/>
    </row>
    <row r="13441" spans="5:18" s="65" customFormat="1">
      <c r="E13441" s="130"/>
      <c r="P13441" s="99"/>
      <c r="Q13441" s="99"/>
      <c r="R13441" s="99"/>
    </row>
    <row r="13442" spans="5:18" s="65" customFormat="1">
      <c r="E13442" s="130"/>
      <c r="P13442" s="99"/>
      <c r="Q13442" s="99"/>
      <c r="R13442" s="99"/>
    </row>
    <row r="13443" spans="5:18" s="65" customFormat="1">
      <c r="E13443" s="130"/>
      <c r="P13443" s="99"/>
      <c r="Q13443" s="99"/>
      <c r="R13443" s="99"/>
    </row>
    <row r="13444" spans="5:18" s="65" customFormat="1">
      <c r="E13444" s="130"/>
      <c r="P13444" s="99"/>
      <c r="Q13444" s="99"/>
      <c r="R13444" s="99"/>
    </row>
    <row r="13445" spans="5:18" s="65" customFormat="1">
      <c r="E13445" s="130"/>
      <c r="P13445" s="99"/>
      <c r="Q13445" s="99"/>
      <c r="R13445" s="99"/>
    </row>
    <row r="13446" spans="5:18" s="65" customFormat="1">
      <c r="E13446" s="130"/>
      <c r="P13446" s="99"/>
      <c r="Q13446" s="99"/>
      <c r="R13446" s="99"/>
    </row>
    <row r="13447" spans="5:18" s="65" customFormat="1">
      <c r="E13447" s="130"/>
      <c r="P13447" s="99"/>
      <c r="Q13447" s="99"/>
      <c r="R13447" s="99"/>
    </row>
    <row r="13448" spans="5:18" s="65" customFormat="1">
      <c r="E13448" s="130"/>
      <c r="P13448" s="99"/>
      <c r="Q13448" s="99"/>
      <c r="R13448" s="99"/>
    </row>
    <row r="13449" spans="5:18" s="65" customFormat="1">
      <c r="E13449" s="130"/>
      <c r="P13449" s="99"/>
      <c r="Q13449" s="99"/>
      <c r="R13449" s="99"/>
    </row>
    <row r="13450" spans="5:18" s="65" customFormat="1">
      <c r="E13450" s="130"/>
      <c r="P13450" s="99"/>
      <c r="Q13450" s="99"/>
      <c r="R13450" s="99"/>
    </row>
    <row r="13451" spans="5:18" s="65" customFormat="1">
      <c r="E13451" s="130"/>
      <c r="P13451" s="99"/>
      <c r="Q13451" s="99"/>
      <c r="R13451" s="99"/>
    </row>
    <row r="13452" spans="5:18" s="65" customFormat="1">
      <c r="E13452" s="130"/>
      <c r="P13452" s="99"/>
      <c r="Q13452" s="99"/>
      <c r="R13452" s="99"/>
    </row>
    <row r="13453" spans="5:18" s="65" customFormat="1">
      <c r="E13453" s="130"/>
      <c r="P13453" s="99"/>
      <c r="Q13453" s="99"/>
      <c r="R13453" s="99"/>
    </row>
    <row r="13454" spans="5:18" s="65" customFormat="1">
      <c r="E13454" s="130"/>
      <c r="P13454" s="99"/>
      <c r="Q13454" s="99"/>
      <c r="R13454" s="99"/>
    </row>
    <row r="13455" spans="5:18" s="65" customFormat="1">
      <c r="E13455" s="130"/>
      <c r="P13455" s="99"/>
      <c r="Q13455" s="99"/>
      <c r="R13455" s="99"/>
    </row>
    <row r="13456" spans="5:18" s="65" customFormat="1">
      <c r="E13456" s="130"/>
      <c r="P13456" s="99"/>
      <c r="Q13456" s="99"/>
      <c r="R13456" s="99"/>
    </row>
    <row r="13457" spans="5:18" s="65" customFormat="1">
      <c r="E13457" s="130"/>
      <c r="P13457" s="99"/>
      <c r="Q13457" s="99"/>
      <c r="R13457" s="99"/>
    </row>
    <row r="13458" spans="5:18" s="65" customFormat="1">
      <c r="E13458" s="130"/>
      <c r="P13458" s="99"/>
      <c r="Q13458" s="99"/>
      <c r="R13458" s="99"/>
    </row>
    <row r="13459" spans="5:18" s="65" customFormat="1">
      <c r="E13459" s="130"/>
      <c r="P13459" s="99"/>
      <c r="Q13459" s="99"/>
      <c r="R13459" s="99"/>
    </row>
    <row r="13460" spans="5:18" s="65" customFormat="1">
      <c r="E13460" s="130"/>
      <c r="P13460" s="99"/>
      <c r="Q13460" s="99"/>
      <c r="R13460" s="99"/>
    </row>
    <row r="13461" spans="5:18" s="65" customFormat="1">
      <c r="E13461" s="130"/>
      <c r="P13461" s="99"/>
      <c r="Q13461" s="99"/>
      <c r="R13461" s="99"/>
    </row>
    <row r="13462" spans="5:18" s="65" customFormat="1">
      <c r="E13462" s="130"/>
      <c r="P13462" s="99"/>
      <c r="Q13462" s="99"/>
      <c r="R13462" s="99"/>
    </row>
    <row r="13463" spans="5:18" s="65" customFormat="1">
      <c r="E13463" s="130"/>
      <c r="P13463" s="99"/>
      <c r="Q13463" s="99"/>
      <c r="R13463" s="99"/>
    </row>
    <row r="13464" spans="5:18" s="65" customFormat="1">
      <c r="E13464" s="130"/>
      <c r="P13464" s="99"/>
      <c r="Q13464" s="99"/>
      <c r="R13464" s="99"/>
    </row>
    <row r="13465" spans="5:18" s="65" customFormat="1">
      <c r="E13465" s="130"/>
      <c r="P13465" s="99"/>
      <c r="Q13465" s="99"/>
      <c r="R13465" s="99"/>
    </row>
    <row r="13466" spans="5:18" s="65" customFormat="1">
      <c r="E13466" s="130"/>
      <c r="P13466" s="99"/>
      <c r="Q13466" s="99"/>
      <c r="R13466" s="99"/>
    </row>
    <row r="13467" spans="5:18" s="65" customFormat="1">
      <c r="E13467" s="130"/>
      <c r="P13467" s="99"/>
      <c r="Q13467" s="99"/>
      <c r="R13467" s="99"/>
    </row>
    <row r="13468" spans="5:18" s="65" customFormat="1">
      <c r="E13468" s="130"/>
      <c r="P13468" s="99"/>
      <c r="Q13468" s="99"/>
      <c r="R13468" s="99"/>
    </row>
    <row r="13469" spans="5:18" s="65" customFormat="1">
      <c r="E13469" s="130"/>
      <c r="P13469" s="99"/>
      <c r="Q13469" s="99"/>
      <c r="R13469" s="99"/>
    </row>
    <row r="13470" spans="5:18" s="65" customFormat="1">
      <c r="E13470" s="130"/>
      <c r="P13470" s="99"/>
      <c r="Q13470" s="99"/>
      <c r="R13470" s="99"/>
    </row>
    <row r="13471" spans="5:18" s="65" customFormat="1">
      <c r="E13471" s="130"/>
      <c r="P13471" s="99"/>
      <c r="Q13471" s="99"/>
      <c r="R13471" s="99"/>
    </row>
    <row r="13472" spans="5:18" s="65" customFormat="1">
      <c r="E13472" s="130"/>
      <c r="P13472" s="99"/>
      <c r="Q13472" s="99"/>
      <c r="R13472" s="99"/>
    </row>
    <row r="13473" spans="5:18" s="65" customFormat="1">
      <c r="E13473" s="130"/>
      <c r="P13473" s="99"/>
      <c r="Q13473" s="99"/>
      <c r="R13473" s="99"/>
    </row>
    <row r="13474" spans="5:18" s="65" customFormat="1">
      <c r="E13474" s="130"/>
      <c r="P13474" s="99"/>
      <c r="Q13474" s="99"/>
      <c r="R13474" s="99"/>
    </row>
    <row r="13475" spans="5:18" s="65" customFormat="1">
      <c r="E13475" s="130"/>
      <c r="P13475" s="99"/>
      <c r="Q13475" s="99"/>
      <c r="R13475" s="99"/>
    </row>
    <row r="13476" spans="5:18" s="65" customFormat="1">
      <c r="E13476" s="130"/>
      <c r="P13476" s="99"/>
      <c r="Q13476" s="99"/>
      <c r="R13476" s="99"/>
    </row>
    <row r="13477" spans="5:18" s="65" customFormat="1">
      <c r="E13477" s="130"/>
      <c r="P13477" s="99"/>
      <c r="Q13477" s="99"/>
      <c r="R13477" s="99"/>
    </row>
    <row r="13478" spans="5:18" s="65" customFormat="1">
      <c r="E13478" s="130"/>
      <c r="P13478" s="99"/>
      <c r="Q13478" s="99"/>
      <c r="R13478" s="99"/>
    </row>
    <row r="13479" spans="5:18" s="65" customFormat="1">
      <c r="E13479" s="130"/>
      <c r="P13479" s="99"/>
      <c r="Q13479" s="99"/>
      <c r="R13479" s="99"/>
    </row>
    <row r="13480" spans="5:18" s="65" customFormat="1">
      <c r="E13480" s="130"/>
      <c r="P13480" s="99"/>
      <c r="Q13480" s="99"/>
      <c r="R13480" s="99"/>
    </row>
    <row r="13481" spans="5:18" s="65" customFormat="1">
      <c r="E13481" s="130"/>
      <c r="P13481" s="99"/>
      <c r="Q13481" s="99"/>
      <c r="R13481" s="99"/>
    </row>
    <row r="13482" spans="5:18" s="65" customFormat="1">
      <c r="E13482" s="130"/>
      <c r="P13482" s="99"/>
      <c r="Q13482" s="99"/>
      <c r="R13482" s="99"/>
    </row>
    <row r="13483" spans="5:18" s="65" customFormat="1">
      <c r="E13483" s="130"/>
      <c r="P13483" s="99"/>
      <c r="Q13483" s="99"/>
      <c r="R13483" s="99"/>
    </row>
    <row r="13484" spans="5:18" s="65" customFormat="1">
      <c r="E13484" s="130"/>
      <c r="P13484" s="99"/>
      <c r="Q13484" s="99"/>
      <c r="R13484" s="99"/>
    </row>
    <row r="13485" spans="5:18" s="65" customFormat="1">
      <c r="E13485" s="130"/>
      <c r="P13485" s="99"/>
      <c r="Q13485" s="99"/>
      <c r="R13485" s="99"/>
    </row>
    <row r="13486" spans="5:18" s="65" customFormat="1">
      <c r="E13486" s="130"/>
      <c r="P13486" s="99"/>
      <c r="Q13486" s="99"/>
      <c r="R13486" s="99"/>
    </row>
    <row r="13487" spans="5:18" s="65" customFormat="1">
      <c r="E13487" s="130"/>
      <c r="P13487" s="99"/>
      <c r="Q13487" s="99"/>
      <c r="R13487" s="99"/>
    </row>
    <row r="13488" spans="5:18" s="65" customFormat="1">
      <c r="E13488" s="130"/>
      <c r="P13488" s="99"/>
      <c r="Q13488" s="99"/>
      <c r="R13488" s="99"/>
    </row>
    <row r="13489" spans="5:18" s="65" customFormat="1">
      <c r="E13489" s="130"/>
      <c r="P13489" s="99"/>
      <c r="Q13489" s="99"/>
      <c r="R13489" s="99"/>
    </row>
    <row r="13490" spans="5:18" s="65" customFormat="1">
      <c r="E13490" s="130"/>
      <c r="P13490" s="99"/>
      <c r="Q13490" s="99"/>
      <c r="R13490" s="99"/>
    </row>
    <row r="13491" spans="5:18" s="65" customFormat="1">
      <c r="E13491" s="130"/>
      <c r="P13491" s="99"/>
      <c r="Q13491" s="99"/>
      <c r="R13491" s="99"/>
    </row>
    <row r="13492" spans="5:18" s="65" customFormat="1">
      <c r="E13492" s="130"/>
      <c r="P13492" s="99"/>
      <c r="Q13492" s="99"/>
      <c r="R13492" s="99"/>
    </row>
    <row r="13493" spans="5:18" s="65" customFormat="1">
      <c r="E13493" s="130"/>
      <c r="P13493" s="99"/>
      <c r="Q13493" s="99"/>
      <c r="R13493" s="99"/>
    </row>
    <row r="13494" spans="5:18" s="65" customFormat="1">
      <c r="E13494" s="130"/>
      <c r="P13494" s="99"/>
      <c r="Q13494" s="99"/>
      <c r="R13494" s="99"/>
    </row>
    <row r="13495" spans="5:18" s="65" customFormat="1">
      <c r="E13495" s="130"/>
      <c r="P13495" s="99"/>
      <c r="Q13495" s="99"/>
      <c r="R13495" s="99"/>
    </row>
    <row r="13496" spans="5:18" s="65" customFormat="1">
      <c r="E13496" s="130"/>
      <c r="P13496" s="99"/>
      <c r="Q13496" s="99"/>
      <c r="R13496" s="99"/>
    </row>
    <row r="13497" spans="5:18" s="65" customFormat="1">
      <c r="E13497" s="130"/>
      <c r="P13497" s="99"/>
      <c r="Q13497" s="99"/>
      <c r="R13497" s="99"/>
    </row>
    <row r="13498" spans="5:18" s="65" customFormat="1">
      <c r="E13498" s="130"/>
      <c r="P13498" s="99"/>
      <c r="Q13498" s="99"/>
      <c r="R13498" s="99"/>
    </row>
    <row r="13499" spans="5:18" s="65" customFormat="1">
      <c r="E13499" s="130"/>
      <c r="P13499" s="99"/>
      <c r="Q13499" s="99"/>
      <c r="R13499" s="99"/>
    </row>
    <row r="13500" spans="5:18" s="65" customFormat="1">
      <c r="E13500" s="130"/>
      <c r="P13500" s="99"/>
      <c r="Q13500" s="99"/>
      <c r="R13500" s="99"/>
    </row>
    <row r="13501" spans="5:18" s="65" customFormat="1">
      <c r="E13501" s="130"/>
      <c r="P13501" s="99"/>
      <c r="Q13501" s="99"/>
      <c r="R13501" s="99"/>
    </row>
    <row r="13502" spans="5:18" s="65" customFormat="1">
      <c r="E13502" s="130"/>
      <c r="P13502" s="99"/>
      <c r="Q13502" s="99"/>
      <c r="R13502" s="99"/>
    </row>
    <row r="13503" spans="5:18" s="65" customFormat="1">
      <c r="E13503" s="130"/>
      <c r="P13503" s="99"/>
      <c r="Q13503" s="99"/>
      <c r="R13503" s="99"/>
    </row>
    <row r="13504" spans="5:18" s="65" customFormat="1">
      <c r="E13504" s="130"/>
      <c r="P13504" s="99"/>
      <c r="Q13504" s="99"/>
      <c r="R13504" s="99"/>
    </row>
    <row r="13505" spans="5:18" s="65" customFormat="1">
      <c r="E13505" s="130"/>
      <c r="P13505" s="99"/>
      <c r="Q13505" s="99"/>
      <c r="R13505" s="99"/>
    </row>
    <row r="13506" spans="5:18" s="65" customFormat="1">
      <c r="E13506" s="130"/>
      <c r="P13506" s="99"/>
      <c r="Q13506" s="99"/>
      <c r="R13506" s="99"/>
    </row>
    <row r="13507" spans="5:18" s="65" customFormat="1">
      <c r="E13507" s="130"/>
      <c r="P13507" s="99"/>
      <c r="Q13507" s="99"/>
      <c r="R13507" s="99"/>
    </row>
    <row r="13508" spans="5:18" s="65" customFormat="1">
      <c r="E13508" s="130"/>
      <c r="P13508" s="99"/>
      <c r="Q13508" s="99"/>
      <c r="R13508" s="99"/>
    </row>
    <row r="13509" spans="5:18" s="65" customFormat="1">
      <c r="E13509" s="130"/>
      <c r="P13509" s="99"/>
      <c r="Q13509" s="99"/>
      <c r="R13509" s="99"/>
    </row>
    <row r="13510" spans="5:18" s="65" customFormat="1">
      <c r="E13510" s="130"/>
      <c r="P13510" s="99"/>
      <c r="Q13510" s="99"/>
      <c r="R13510" s="99"/>
    </row>
    <row r="13511" spans="5:18" s="65" customFormat="1">
      <c r="E13511" s="130"/>
      <c r="P13511" s="99"/>
      <c r="Q13511" s="99"/>
      <c r="R13511" s="99"/>
    </row>
    <row r="13512" spans="5:18" s="65" customFormat="1">
      <c r="E13512" s="130"/>
      <c r="P13512" s="99"/>
      <c r="Q13512" s="99"/>
      <c r="R13512" s="99"/>
    </row>
    <row r="13513" spans="5:18" s="65" customFormat="1">
      <c r="E13513" s="130"/>
      <c r="P13513" s="99"/>
      <c r="Q13513" s="99"/>
      <c r="R13513" s="99"/>
    </row>
    <row r="13514" spans="5:18" s="65" customFormat="1">
      <c r="E13514" s="130"/>
      <c r="P13514" s="99"/>
      <c r="Q13514" s="99"/>
      <c r="R13514" s="99"/>
    </row>
    <row r="13515" spans="5:18" s="65" customFormat="1">
      <c r="E13515" s="130"/>
      <c r="P13515" s="99"/>
      <c r="Q13515" s="99"/>
      <c r="R13515" s="99"/>
    </row>
    <row r="13516" spans="5:18" s="65" customFormat="1">
      <c r="E13516" s="130"/>
      <c r="P13516" s="99"/>
      <c r="Q13516" s="99"/>
      <c r="R13516" s="99"/>
    </row>
    <row r="13517" spans="5:18" s="65" customFormat="1">
      <c r="E13517" s="130"/>
      <c r="P13517" s="99"/>
      <c r="Q13517" s="99"/>
      <c r="R13517" s="99"/>
    </row>
    <row r="13518" spans="5:18" s="65" customFormat="1">
      <c r="E13518" s="130"/>
      <c r="P13518" s="99"/>
      <c r="Q13518" s="99"/>
      <c r="R13518" s="99"/>
    </row>
    <row r="13519" spans="5:18" s="65" customFormat="1">
      <c r="E13519" s="130"/>
      <c r="P13519" s="99"/>
      <c r="Q13519" s="99"/>
      <c r="R13519" s="99"/>
    </row>
    <row r="13520" spans="5:18" s="65" customFormat="1">
      <c r="E13520" s="130"/>
      <c r="P13520" s="99"/>
      <c r="Q13520" s="99"/>
      <c r="R13520" s="99"/>
    </row>
    <row r="13521" spans="5:18" s="65" customFormat="1">
      <c r="E13521" s="130"/>
      <c r="P13521" s="99"/>
      <c r="Q13521" s="99"/>
      <c r="R13521" s="99"/>
    </row>
    <row r="13522" spans="5:18" s="65" customFormat="1">
      <c r="E13522" s="130"/>
      <c r="P13522" s="99"/>
      <c r="Q13522" s="99"/>
      <c r="R13522" s="99"/>
    </row>
    <row r="13523" spans="5:18" s="65" customFormat="1">
      <c r="E13523" s="130"/>
      <c r="P13523" s="99"/>
      <c r="Q13523" s="99"/>
      <c r="R13523" s="99"/>
    </row>
    <row r="13524" spans="5:18" s="65" customFormat="1">
      <c r="E13524" s="130"/>
      <c r="P13524" s="99"/>
      <c r="Q13524" s="99"/>
      <c r="R13524" s="99"/>
    </row>
    <row r="13525" spans="5:18" s="65" customFormat="1">
      <c r="E13525" s="130"/>
      <c r="P13525" s="99"/>
      <c r="Q13525" s="99"/>
      <c r="R13525" s="99"/>
    </row>
    <row r="13526" spans="5:18" s="65" customFormat="1">
      <c r="E13526" s="130"/>
      <c r="P13526" s="99"/>
      <c r="Q13526" s="99"/>
      <c r="R13526" s="99"/>
    </row>
    <row r="13527" spans="5:18" s="65" customFormat="1">
      <c r="E13527" s="130"/>
      <c r="P13527" s="99"/>
      <c r="Q13527" s="99"/>
      <c r="R13527" s="99"/>
    </row>
    <row r="13528" spans="5:18" s="65" customFormat="1">
      <c r="E13528" s="130"/>
      <c r="P13528" s="99"/>
      <c r="Q13528" s="99"/>
      <c r="R13528" s="99"/>
    </row>
    <row r="13529" spans="5:18" s="65" customFormat="1">
      <c r="E13529" s="130"/>
      <c r="P13529" s="99"/>
      <c r="Q13529" s="99"/>
      <c r="R13529" s="99"/>
    </row>
    <row r="13530" spans="5:18" s="65" customFormat="1">
      <c r="E13530" s="130"/>
      <c r="P13530" s="99"/>
      <c r="Q13530" s="99"/>
      <c r="R13530" s="99"/>
    </row>
    <row r="13531" spans="5:18" s="65" customFormat="1">
      <c r="E13531" s="130"/>
      <c r="P13531" s="99"/>
      <c r="Q13531" s="99"/>
      <c r="R13531" s="99"/>
    </row>
    <row r="13532" spans="5:18" s="65" customFormat="1">
      <c r="E13532" s="130"/>
      <c r="P13532" s="99"/>
      <c r="Q13532" s="99"/>
      <c r="R13532" s="99"/>
    </row>
    <row r="13533" spans="5:18" s="65" customFormat="1">
      <c r="E13533" s="130"/>
      <c r="P13533" s="99"/>
      <c r="Q13533" s="99"/>
      <c r="R13533" s="99"/>
    </row>
    <row r="13534" spans="5:18" s="65" customFormat="1">
      <c r="E13534" s="130"/>
      <c r="P13534" s="99"/>
      <c r="Q13534" s="99"/>
      <c r="R13534" s="99"/>
    </row>
    <row r="13535" spans="5:18" s="65" customFormat="1">
      <c r="E13535" s="130"/>
      <c r="P13535" s="99"/>
      <c r="Q13535" s="99"/>
      <c r="R13535" s="99"/>
    </row>
    <row r="13536" spans="5:18" s="65" customFormat="1">
      <c r="E13536" s="130"/>
      <c r="P13536" s="99"/>
      <c r="Q13536" s="99"/>
      <c r="R13536" s="99"/>
    </row>
    <row r="13537" spans="5:18" s="65" customFormat="1">
      <c r="E13537" s="130"/>
      <c r="P13537" s="99"/>
      <c r="Q13537" s="99"/>
      <c r="R13537" s="99"/>
    </row>
    <row r="13538" spans="5:18" s="65" customFormat="1">
      <c r="E13538" s="130"/>
      <c r="P13538" s="99"/>
      <c r="Q13538" s="99"/>
      <c r="R13538" s="99"/>
    </row>
    <row r="13539" spans="5:18" s="65" customFormat="1">
      <c r="E13539" s="130"/>
      <c r="P13539" s="99"/>
      <c r="Q13539" s="99"/>
      <c r="R13539" s="99"/>
    </row>
    <row r="13540" spans="5:18" s="65" customFormat="1">
      <c r="E13540" s="130"/>
      <c r="P13540" s="99"/>
      <c r="Q13540" s="99"/>
      <c r="R13540" s="99"/>
    </row>
    <row r="13541" spans="5:18" s="65" customFormat="1">
      <c r="E13541" s="130"/>
      <c r="P13541" s="99"/>
      <c r="Q13541" s="99"/>
      <c r="R13541" s="99"/>
    </row>
    <row r="13542" spans="5:18" s="65" customFormat="1">
      <c r="E13542" s="130"/>
      <c r="P13542" s="99"/>
      <c r="Q13542" s="99"/>
      <c r="R13542" s="99"/>
    </row>
    <row r="13543" spans="5:18" s="65" customFormat="1">
      <c r="E13543" s="130"/>
      <c r="P13543" s="99"/>
      <c r="Q13543" s="99"/>
      <c r="R13543" s="99"/>
    </row>
    <row r="13544" spans="5:18" s="65" customFormat="1">
      <c r="E13544" s="130"/>
      <c r="P13544" s="99"/>
      <c r="Q13544" s="99"/>
      <c r="R13544" s="99"/>
    </row>
    <row r="13545" spans="5:18" s="65" customFormat="1">
      <c r="E13545" s="130"/>
      <c r="P13545" s="99"/>
      <c r="Q13545" s="99"/>
      <c r="R13545" s="99"/>
    </row>
    <row r="13546" spans="5:18" s="65" customFormat="1">
      <c r="E13546" s="130"/>
      <c r="P13546" s="99"/>
      <c r="Q13546" s="99"/>
      <c r="R13546" s="99"/>
    </row>
    <row r="13547" spans="5:18" s="65" customFormat="1">
      <c r="E13547" s="130"/>
      <c r="P13547" s="99"/>
      <c r="Q13547" s="99"/>
      <c r="R13547" s="99"/>
    </row>
    <row r="13548" spans="5:18" s="65" customFormat="1">
      <c r="E13548" s="130"/>
      <c r="P13548" s="99"/>
      <c r="Q13548" s="99"/>
      <c r="R13548" s="99"/>
    </row>
    <row r="13549" spans="5:18" s="65" customFormat="1">
      <c r="E13549" s="130"/>
      <c r="P13549" s="99"/>
      <c r="Q13549" s="99"/>
      <c r="R13549" s="99"/>
    </row>
    <row r="13550" spans="5:18" s="65" customFormat="1">
      <c r="E13550" s="130"/>
      <c r="P13550" s="99"/>
      <c r="Q13550" s="99"/>
      <c r="R13550" s="99"/>
    </row>
    <row r="13551" spans="5:18" s="65" customFormat="1">
      <c r="E13551" s="130"/>
      <c r="P13551" s="99"/>
      <c r="Q13551" s="99"/>
      <c r="R13551" s="99"/>
    </row>
    <row r="13552" spans="5:18" s="65" customFormat="1">
      <c r="E13552" s="130"/>
      <c r="P13552" s="99"/>
      <c r="Q13552" s="99"/>
      <c r="R13552" s="99"/>
    </row>
    <row r="13553" spans="5:18" s="65" customFormat="1">
      <c r="E13553" s="130"/>
      <c r="P13553" s="99"/>
      <c r="Q13553" s="99"/>
      <c r="R13553" s="99"/>
    </row>
    <row r="13554" spans="5:18" s="65" customFormat="1">
      <c r="E13554" s="130"/>
      <c r="P13554" s="99"/>
      <c r="Q13554" s="99"/>
      <c r="R13554" s="99"/>
    </row>
    <row r="13555" spans="5:18" s="65" customFormat="1">
      <c r="E13555" s="130"/>
      <c r="P13555" s="99"/>
      <c r="Q13555" s="99"/>
      <c r="R13555" s="99"/>
    </row>
    <row r="13556" spans="5:18" s="65" customFormat="1">
      <c r="E13556" s="130"/>
      <c r="P13556" s="99"/>
      <c r="Q13556" s="99"/>
      <c r="R13556" s="99"/>
    </row>
    <row r="13557" spans="5:18" s="65" customFormat="1">
      <c r="E13557" s="130"/>
      <c r="P13557" s="99"/>
      <c r="Q13557" s="99"/>
      <c r="R13557" s="99"/>
    </row>
    <row r="13558" spans="5:18" s="65" customFormat="1">
      <c r="E13558" s="130"/>
      <c r="P13558" s="99"/>
      <c r="Q13558" s="99"/>
      <c r="R13558" s="99"/>
    </row>
    <row r="13559" spans="5:18" s="65" customFormat="1">
      <c r="E13559" s="130"/>
      <c r="P13559" s="99"/>
      <c r="Q13559" s="99"/>
      <c r="R13559" s="99"/>
    </row>
    <row r="13560" spans="5:18" s="65" customFormat="1">
      <c r="E13560" s="130"/>
      <c r="P13560" s="99"/>
      <c r="Q13560" s="99"/>
      <c r="R13560" s="99"/>
    </row>
    <row r="13561" spans="5:18" s="65" customFormat="1">
      <c r="E13561" s="130"/>
      <c r="P13561" s="99"/>
      <c r="Q13561" s="99"/>
      <c r="R13561" s="99"/>
    </row>
    <row r="13562" spans="5:18" s="65" customFormat="1">
      <c r="E13562" s="130"/>
      <c r="P13562" s="99"/>
      <c r="Q13562" s="99"/>
      <c r="R13562" s="99"/>
    </row>
    <row r="13563" spans="5:18" s="65" customFormat="1">
      <c r="E13563" s="130"/>
      <c r="P13563" s="99"/>
      <c r="Q13563" s="99"/>
      <c r="R13563" s="99"/>
    </row>
    <row r="13564" spans="5:18" s="65" customFormat="1">
      <c r="E13564" s="130"/>
      <c r="P13564" s="99"/>
      <c r="Q13564" s="99"/>
      <c r="R13564" s="99"/>
    </row>
    <row r="13565" spans="5:18" s="65" customFormat="1">
      <c r="E13565" s="130"/>
      <c r="P13565" s="99"/>
      <c r="Q13565" s="99"/>
      <c r="R13565" s="99"/>
    </row>
    <row r="13566" spans="5:18" s="65" customFormat="1">
      <c r="E13566" s="130"/>
      <c r="P13566" s="99"/>
      <c r="Q13566" s="99"/>
      <c r="R13566" s="99"/>
    </row>
    <row r="13567" spans="5:18" s="65" customFormat="1">
      <c r="E13567" s="130"/>
      <c r="P13567" s="99"/>
      <c r="Q13567" s="99"/>
      <c r="R13567" s="99"/>
    </row>
    <row r="13568" spans="5:18" s="65" customFormat="1">
      <c r="E13568" s="130"/>
      <c r="P13568" s="99"/>
      <c r="Q13568" s="99"/>
      <c r="R13568" s="99"/>
    </row>
    <row r="13569" spans="5:18" s="65" customFormat="1">
      <c r="E13569" s="130"/>
      <c r="P13569" s="99"/>
      <c r="Q13569" s="99"/>
      <c r="R13569" s="99"/>
    </row>
    <row r="13570" spans="5:18" s="65" customFormat="1">
      <c r="E13570" s="130"/>
      <c r="P13570" s="99"/>
      <c r="Q13570" s="99"/>
      <c r="R13570" s="99"/>
    </row>
    <row r="13571" spans="5:18" s="65" customFormat="1">
      <c r="E13571" s="130"/>
      <c r="P13571" s="99"/>
      <c r="Q13571" s="99"/>
      <c r="R13571" s="99"/>
    </row>
    <row r="13572" spans="5:18" s="65" customFormat="1">
      <c r="E13572" s="130"/>
      <c r="P13572" s="99"/>
      <c r="Q13572" s="99"/>
      <c r="R13572" s="99"/>
    </row>
    <row r="13573" spans="5:18" s="65" customFormat="1">
      <c r="E13573" s="130"/>
      <c r="P13573" s="99"/>
      <c r="Q13573" s="99"/>
      <c r="R13573" s="99"/>
    </row>
    <row r="13574" spans="5:18" s="65" customFormat="1">
      <c r="E13574" s="130"/>
      <c r="P13574" s="99"/>
      <c r="Q13574" s="99"/>
      <c r="R13574" s="99"/>
    </row>
    <row r="13575" spans="5:18" s="65" customFormat="1">
      <c r="E13575" s="130"/>
      <c r="P13575" s="99"/>
      <c r="Q13575" s="99"/>
      <c r="R13575" s="99"/>
    </row>
    <row r="13576" spans="5:18" s="65" customFormat="1">
      <c r="E13576" s="130"/>
      <c r="P13576" s="99"/>
      <c r="Q13576" s="99"/>
      <c r="R13576" s="99"/>
    </row>
    <row r="13577" spans="5:18" s="65" customFormat="1">
      <c r="E13577" s="130"/>
      <c r="P13577" s="99"/>
      <c r="Q13577" s="99"/>
      <c r="R13577" s="99"/>
    </row>
    <row r="13578" spans="5:18" s="65" customFormat="1">
      <c r="E13578" s="130"/>
      <c r="P13578" s="99"/>
      <c r="Q13578" s="99"/>
      <c r="R13578" s="99"/>
    </row>
    <row r="13579" spans="5:18" s="65" customFormat="1">
      <c r="E13579" s="130"/>
      <c r="P13579" s="99"/>
      <c r="Q13579" s="99"/>
      <c r="R13579" s="99"/>
    </row>
    <row r="13580" spans="5:18" s="65" customFormat="1">
      <c r="E13580" s="130"/>
      <c r="P13580" s="99"/>
      <c r="Q13580" s="99"/>
      <c r="R13580" s="99"/>
    </row>
    <row r="13581" spans="5:18" s="65" customFormat="1">
      <c r="E13581" s="130"/>
      <c r="P13581" s="99"/>
      <c r="Q13581" s="99"/>
      <c r="R13581" s="99"/>
    </row>
    <row r="13582" spans="5:18" s="65" customFormat="1">
      <c r="E13582" s="130"/>
      <c r="P13582" s="99"/>
      <c r="Q13582" s="99"/>
      <c r="R13582" s="99"/>
    </row>
    <row r="13583" spans="5:18" s="65" customFormat="1">
      <c r="E13583" s="130"/>
      <c r="P13583" s="99"/>
      <c r="Q13583" s="99"/>
      <c r="R13583" s="99"/>
    </row>
    <row r="13584" spans="5:18" s="65" customFormat="1">
      <c r="E13584" s="130"/>
      <c r="P13584" s="99"/>
      <c r="Q13584" s="99"/>
      <c r="R13584" s="99"/>
    </row>
    <row r="13585" spans="5:18" s="65" customFormat="1">
      <c r="E13585" s="130"/>
      <c r="P13585" s="99"/>
      <c r="Q13585" s="99"/>
      <c r="R13585" s="99"/>
    </row>
    <row r="13586" spans="5:18" s="65" customFormat="1">
      <c r="E13586" s="130"/>
      <c r="P13586" s="99"/>
      <c r="Q13586" s="99"/>
      <c r="R13586" s="99"/>
    </row>
    <row r="13587" spans="5:18" s="65" customFormat="1">
      <c r="E13587" s="130"/>
      <c r="P13587" s="99"/>
      <c r="Q13587" s="99"/>
      <c r="R13587" s="99"/>
    </row>
    <row r="13588" spans="5:18" s="65" customFormat="1">
      <c r="E13588" s="130"/>
      <c r="P13588" s="99"/>
      <c r="Q13588" s="99"/>
      <c r="R13588" s="99"/>
    </row>
    <row r="13589" spans="5:18" s="65" customFormat="1">
      <c r="E13589" s="130"/>
      <c r="P13589" s="99"/>
      <c r="Q13589" s="99"/>
      <c r="R13589" s="99"/>
    </row>
    <row r="13590" spans="5:18" s="65" customFormat="1">
      <c r="E13590" s="130"/>
      <c r="P13590" s="99"/>
      <c r="Q13590" s="99"/>
      <c r="R13590" s="99"/>
    </row>
    <row r="13591" spans="5:18" s="65" customFormat="1">
      <c r="E13591" s="130"/>
      <c r="P13591" s="99"/>
      <c r="Q13591" s="99"/>
      <c r="R13591" s="99"/>
    </row>
    <row r="13592" spans="5:18" s="65" customFormat="1">
      <c r="E13592" s="130"/>
      <c r="P13592" s="99"/>
      <c r="Q13592" s="99"/>
      <c r="R13592" s="99"/>
    </row>
    <row r="13593" spans="5:18" s="65" customFormat="1">
      <c r="E13593" s="130"/>
      <c r="P13593" s="99"/>
      <c r="Q13593" s="99"/>
      <c r="R13593" s="99"/>
    </row>
    <row r="13594" spans="5:18" s="65" customFormat="1">
      <c r="E13594" s="130"/>
      <c r="P13594" s="99"/>
      <c r="Q13594" s="99"/>
      <c r="R13594" s="99"/>
    </row>
    <row r="13595" spans="5:18" s="65" customFormat="1">
      <c r="E13595" s="130"/>
      <c r="P13595" s="99"/>
      <c r="Q13595" s="99"/>
      <c r="R13595" s="99"/>
    </row>
    <row r="13596" spans="5:18" s="65" customFormat="1">
      <c r="E13596" s="130"/>
      <c r="P13596" s="99"/>
      <c r="Q13596" s="99"/>
      <c r="R13596" s="99"/>
    </row>
    <row r="13597" spans="5:18" s="65" customFormat="1">
      <c r="E13597" s="130"/>
      <c r="P13597" s="99"/>
      <c r="Q13597" s="99"/>
      <c r="R13597" s="99"/>
    </row>
    <row r="13598" spans="5:18" s="65" customFormat="1">
      <c r="E13598" s="130"/>
      <c r="P13598" s="99"/>
      <c r="Q13598" s="99"/>
      <c r="R13598" s="99"/>
    </row>
    <row r="13599" spans="5:18" s="65" customFormat="1">
      <c r="E13599" s="130"/>
      <c r="P13599" s="99"/>
      <c r="Q13599" s="99"/>
      <c r="R13599" s="99"/>
    </row>
    <row r="13600" spans="5:18" s="65" customFormat="1">
      <c r="E13600" s="130"/>
      <c r="P13600" s="99"/>
      <c r="Q13600" s="99"/>
      <c r="R13600" s="99"/>
    </row>
    <row r="13601" spans="5:18" s="65" customFormat="1">
      <c r="E13601" s="130"/>
      <c r="P13601" s="99"/>
      <c r="Q13601" s="99"/>
      <c r="R13601" s="99"/>
    </row>
    <row r="13602" spans="5:18" s="65" customFormat="1">
      <c r="E13602" s="130"/>
      <c r="P13602" s="99"/>
      <c r="Q13602" s="99"/>
      <c r="R13602" s="99"/>
    </row>
    <row r="13603" spans="5:18" s="65" customFormat="1">
      <c r="E13603" s="130"/>
      <c r="P13603" s="99"/>
      <c r="Q13603" s="99"/>
      <c r="R13603" s="99"/>
    </row>
    <row r="13604" spans="5:18" s="65" customFormat="1">
      <c r="E13604" s="130"/>
      <c r="P13604" s="99"/>
      <c r="Q13604" s="99"/>
      <c r="R13604" s="99"/>
    </row>
    <row r="13605" spans="5:18" s="65" customFormat="1">
      <c r="E13605" s="130"/>
      <c r="P13605" s="99"/>
      <c r="Q13605" s="99"/>
      <c r="R13605" s="99"/>
    </row>
    <row r="13606" spans="5:18" s="65" customFormat="1">
      <c r="E13606" s="130"/>
      <c r="P13606" s="99"/>
      <c r="Q13606" s="99"/>
      <c r="R13606" s="99"/>
    </row>
    <row r="13607" spans="5:18" s="65" customFormat="1">
      <c r="E13607" s="130"/>
      <c r="P13607" s="99"/>
      <c r="Q13607" s="99"/>
      <c r="R13607" s="99"/>
    </row>
    <row r="13608" spans="5:18" s="65" customFormat="1">
      <c r="E13608" s="130"/>
      <c r="P13608" s="99"/>
      <c r="Q13608" s="99"/>
      <c r="R13608" s="99"/>
    </row>
    <row r="13609" spans="5:18" s="65" customFormat="1">
      <c r="E13609" s="130"/>
      <c r="P13609" s="99"/>
      <c r="Q13609" s="99"/>
      <c r="R13609" s="99"/>
    </row>
    <row r="13610" spans="5:18" s="65" customFormat="1">
      <c r="E13610" s="130"/>
      <c r="P13610" s="99"/>
      <c r="Q13610" s="99"/>
      <c r="R13610" s="99"/>
    </row>
    <row r="13611" spans="5:18" s="65" customFormat="1">
      <c r="E13611" s="130"/>
      <c r="P13611" s="99"/>
      <c r="Q13611" s="99"/>
      <c r="R13611" s="99"/>
    </row>
    <row r="13612" spans="5:18" s="65" customFormat="1">
      <c r="E13612" s="130"/>
      <c r="P13612" s="99"/>
      <c r="Q13612" s="99"/>
      <c r="R13612" s="99"/>
    </row>
    <row r="13613" spans="5:18" s="65" customFormat="1">
      <c r="E13613" s="130"/>
      <c r="P13613" s="99"/>
      <c r="Q13613" s="99"/>
      <c r="R13613" s="99"/>
    </row>
    <row r="13614" spans="5:18" s="65" customFormat="1">
      <c r="E13614" s="130"/>
      <c r="P13614" s="99"/>
      <c r="Q13614" s="99"/>
      <c r="R13614" s="99"/>
    </row>
    <row r="13615" spans="5:18" s="65" customFormat="1">
      <c r="E13615" s="130"/>
      <c r="P13615" s="99"/>
      <c r="Q13615" s="99"/>
      <c r="R13615" s="99"/>
    </row>
    <row r="13616" spans="5:18" s="65" customFormat="1">
      <c r="E13616" s="130"/>
      <c r="P13616" s="99"/>
      <c r="Q13616" s="99"/>
      <c r="R13616" s="99"/>
    </row>
    <row r="13617" spans="5:18" s="65" customFormat="1">
      <c r="E13617" s="130"/>
      <c r="P13617" s="99"/>
      <c r="Q13617" s="99"/>
      <c r="R13617" s="99"/>
    </row>
    <row r="13618" spans="5:18" s="65" customFormat="1">
      <c r="E13618" s="130"/>
      <c r="P13618" s="99"/>
      <c r="Q13618" s="99"/>
      <c r="R13618" s="99"/>
    </row>
    <row r="13619" spans="5:18" s="65" customFormat="1">
      <c r="E13619" s="130"/>
      <c r="P13619" s="99"/>
      <c r="Q13619" s="99"/>
      <c r="R13619" s="99"/>
    </row>
    <row r="13620" spans="5:18" s="65" customFormat="1">
      <c r="E13620" s="130"/>
      <c r="P13620" s="99"/>
      <c r="Q13620" s="99"/>
      <c r="R13620" s="99"/>
    </row>
    <row r="13621" spans="5:18" s="65" customFormat="1">
      <c r="E13621" s="130"/>
      <c r="P13621" s="99"/>
      <c r="Q13621" s="99"/>
      <c r="R13621" s="99"/>
    </row>
    <row r="13622" spans="5:18" s="65" customFormat="1">
      <c r="E13622" s="130"/>
      <c r="P13622" s="99"/>
      <c r="Q13622" s="99"/>
      <c r="R13622" s="99"/>
    </row>
    <row r="13623" spans="5:18" s="65" customFormat="1">
      <c r="E13623" s="130"/>
      <c r="P13623" s="99"/>
      <c r="Q13623" s="99"/>
      <c r="R13623" s="99"/>
    </row>
    <row r="13624" spans="5:18" s="65" customFormat="1">
      <c r="E13624" s="130"/>
      <c r="P13624" s="99"/>
      <c r="Q13624" s="99"/>
      <c r="R13624" s="99"/>
    </row>
    <row r="13625" spans="5:18" s="65" customFormat="1">
      <c r="E13625" s="130"/>
      <c r="P13625" s="99"/>
      <c r="Q13625" s="99"/>
      <c r="R13625" s="99"/>
    </row>
    <row r="13626" spans="5:18" s="65" customFormat="1">
      <c r="E13626" s="130"/>
      <c r="P13626" s="99"/>
      <c r="Q13626" s="99"/>
      <c r="R13626" s="99"/>
    </row>
    <row r="13627" spans="5:18" s="65" customFormat="1">
      <c r="E13627" s="130"/>
      <c r="P13627" s="99"/>
      <c r="Q13627" s="99"/>
      <c r="R13627" s="99"/>
    </row>
    <row r="13628" spans="5:18" s="65" customFormat="1">
      <c r="E13628" s="130"/>
      <c r="P13628" s="99"/>
      <c r="Q13628" s="99"/>
      <c r="R13628" s="99"/>
    </row>
    <row r="13629" spans="5:18" s="65" customFormat="1">
      <c r="E13629" s="130"/>
      <c r="P13629" s="99"/>
      <c r="Q13629" s="99"/>
      <c r="R13629" s="99"/>
    </row>
    <row r="13630" spans="5:18" s="65" customFormat="1">
      <c r="E13630" s="130"/>
      <c r="P13630" s="99"/>
      <c r="Q13630" s="99"/>
      <c r="R13630" s="99"/>
    </row>
    <row r="13631" spans="5:18" s="65" customFormat="1">
      <c r="E13631" s="130"/>
      <c r="P13631" s="99"/>
      <c r="Q13631" s="99"/>
      <c r="R13631" s="99"/>
    </row>
    <row r="13632" spans="5:18" s="65" customFormat="1">
      <c r="E13632" s="130"/>
      <c r="P13632" s="99"/>
      <c r="Q13632" s="99"/>
      <c r="R13632" s="99"/>
    </row>
    <row r="13633" spans="5:18" s="65" customFormat="1">
      <c r="E13633" s="130"/>
      <c r="P13633" s="99"/>
      <c r="Q13633" s="99"/>
      <c r="R13633" s="99"/>
    </row>
    <row r="13634" spans="5:18" s="65" customFormat="1">
      <c r="E13634" s="130"/>
      <c r="P13634" s="99"/>
      <c r="Q13634" s="99"/>
      <c r="R13634" s="99"/>
    </row>
    <row r="13635" spans="5:18" s="65" customFormat="1">
      <c r="E13635" s="130"/>
      <c r="P13635" s="99"/>
      <c r="Q13635" s="99"/>
      <c r="R13635" s="99"/>
    </row>
    <row r="13636" spans="5:18" s="65" customFormat="1">
      <c r="E13636" s="130"/>
      <c r="P13636" s="99"/>
      <c r="Q13636" s="99"/>
      <c r="R13636" s="99"/>
    </row>
    <row r="13637" spans="5:18" s="65" customFormat="1">
      <c r="E13637" s="130"/>
      <c r="P13637" s="99"/>
      <c r="Q13637" s="99"/>
      <c r="R13637" s="99"/>
    </row>
    <row r="13638" spans="5:18" s="65" customFormat="1">
      <c r="E13638" s="130"/>
      <c r="P13638" s="99"/>
      <c r="Q13638" s="99"/>
      <c r="R13638" s="99"/>
    </row>
    <row r="13639" spans="5:18" s="65" customFormat="1">
      <c r="E13639" s="130"/>
      <c r="P13639" s="99"/>
      <c r="Q13639" s="99"/>
      <c r="R13639" s="99"/>
    </row>
    <row r="13640" spans="5:18" s="65" customFormat="1">
      <c r="E13640" s="130"/>
      <c r="P13640" s="99"/>
      <c r="Q13640" s="99"/>
      <c r="R13640" s="99"/>
    </row>
    <row r="13641" spans="5:18" s="65" customFormat="1">
      <c r="E13641" s="130"/>
      <c r="P13641" s="99"/>
      <c r="Q13641" s="99"/>
      <c r="R13641" s="99"/>
    </row>
    <row r="13642" spans="5:18" s="65" customFormat="1">
      <c r="E13642" s="130"/>
      <c r="P13642" s="99"/>
      <c r="Q13642" s="99"/>
      <c r="R13642" s="99"/>
    </row>
    <row r="13643" spans="5:18" s="65" customFormat="1">
      <c r="E13643" s="130"/>
      <c r="P13643" s="99"/>
      <c r="Q13643" s="99"/>
      <c r="R13643" s="99"/>
    </row>
    <row r="13644" spans="5:18" s="65" customFormat="1">
      <c r="E13644" s="130"/>
      <c r="P13644" s="99"/>
      <c r="Q13644" s="99"/>
      <c r="R13644" s="99"/>
    </row>
    <row r="13645" spans="5:18" s="65" customFormat="1">
      <c r="E13645" s="130"/>
      <c r="P13645" s="99"/>
      <c r="Q13645" s="99"/>
      <c r="R13645" s="99"/>
    </row>
    <row r="13646" spans="5:18" s="65" customFormat="1">
      <c r="E13646" s="130"/>
      <c r="P13646" s="99"/>
      <c r="Q13646" s="99"/>
      <c r="R13646" s="99"/>
    </row>
    <row r="13647" spans="5:18" s="65" customFormat="1">
      <c r="E13647" s="130"/>
      <c r="P13647" s="99"/>
      <c r="Q13647" s="99"/>
      <c r="R13647" s="99"/>
    </row>
    <row r="13648" spans="5:18" s="65" customFormat="1">
      <c r="E13648" s="130"/>
      <c r="P13648" s="99"/>
      <c r="Q13648" s="99"/>
      <c r="R13648" s="99"/>
    </row>
    <row r="13649" spans="5:18" s="65" customFormat="1">
      <c r="E13649" s="130"/>
      <c r="P13649" s="99"/>
      <c r="Q13649" s="99"/>
      <c r="R13649" s="99"/>
    </row>
    <row r="13650" spans="5:18" s="65" customFormat="1">
      <c r="E13650" s="130"/>
      <c r="P13650" s="99"/>
      <c r="Q13650" s="99"/>
      <c r="R13650" s="99"/>
    </row>
    <row r="13651" spans="5:18" s="65" customFormat="1">
      <c r="E13651" s="130"/>
      <c r="P13651" s="99"/>
      <c r="Q13651" s="99"/>
      <c r="R13651" s="99"/>
    </row>
    <row r="13652" spans="5:18" s="65" customFormat="1">
      <c r="E13652" s="130"/>
      <c r="P13652" s="99"/>
      <c r="Q13652" s="99"/>
      <c r="R13652" s="99"/>
    </row>
    <row r="13653" spans="5:18" s="65" customFormat="1">
      <c r="E13653" s="130"/>
      <c r="P13653" s="99"/>
      <c r="Q13653" s="99"/>
      <c r="R13653" s="99"/>
    </row>
    <row r="13654" spans="5:18" s="65" customFormat="1">
      <c r="E13654" s="130"/>
      <c r="P13654" s="99"/>
      <c r="Q13654" s="99"/>
      <c r="R13654" s="99"/>
    </row>
    <row r="13655" spans="5:18" s="65" customFormat="1">
      <c r="E13655" s="130"/>
      <c r="P13655" s="99"/>
      <c r="Q13655" s="99"/>
      <c r="R13655" s="99"/>
    </row>
    <row r="13656" spans="5:18" s="65" customFormat="1">
      <c r="E13656" s="130"/>
      <c r="P13656" s="99"/>
      <c r="Q13656" s="99"/>
      <c r="R13656" s="99"/>
    </row>
    <row r="13657" spans="5:18" s="65" customFormat="1">
      <c r="E13657" s="130"/>
      <c r="P13657" s="99"/>
      <c r="Q13657" s="99"/>
      <c r="R13657" s="99"/>
    </row>
    <row r="13658" spans="5:18" s="65" customFormat="1">
      <c r="E13658" s="130"/>
      <c r="P13658" s="99"/>
      <c r="Q13658" s="99"/>
      <c r="R13658" s="99"/>
    </row>
    <row r="13659" spans="5:18" s="65" customFormat="1">
      <c r="E13659" s="130"/>
      <c r="P13659" s="99"/>
      <c r="Q13659" s="99"/>
      <c r="R13659" s="99"/>
    </row>
    <row r="13660" spans="5:18" s="65" customFormat="1">
      <c r="E13660" s="130"/>
      <c r="P13660" s="99"/>
      <c r="Q13660" s="99"/>
      <c r="R13660" s="99"/>
    </row>
    <row r="13661" spans="5:18" s="65" customFormat="1">
      <c r="E13661" s="130"/>
      <c r="P13661" s="99"/>
      <c r="Q13661" s="99"/>
      <c r="R13661" s="99"/>
    </row>
    <row r="13662" spans="5:18" s="65" customFormat="1">
      <c r="E13662" s="130"/>
      <c r="P13662" s="99"/>
      <c r="Q13662" s="99"/>
      <c r="R13662" s="99"/>
    </row>
    <row r="13663" spans="5:18" s="65" customFormat="1">
      <c r="E13663" s="130"/>
      <c r="P13663" s="99"/>
      <c r="Q13663" s="99"/>
      <c r="R13663" s="99"/>
    </row>
    <row r="13664" spans="5:18" s="65" customFormat="1">
      <c r="E13664" s="130"/>
      <c r="P13664" s="99"/>
      <c r="Q13664" s="99"/>
      <c r="R13664" s="99"/>
    </row>
    <row r="13665" spans="5:18" s="65" customFormat="1">
      <c r="E13665" s="130"/>
      <c r="P13665" s="99"/>
      <c r="Q13665" s="99"/>
      <c r="R13665" s="99"/>
    </row>
    <row r="13666" spans="5:18" s="65" customFormat="1">
      <c r="E13666" s="130"/>
      <c r="P13666" s="99"/>
      <c r="Q13666" s="99"/>
      <c r="R13666" s="99"/>
    </row>
    <row r="13667" spans="5:18" s="65" customFormat="1">
      <c r="E13667" s="130"/>
      <c r="P13667" s="99"/>
      <c r="Q13667" s="99"/>
      <c r="R13667" s="99"/>
    </row>
    <row r="13668" spans="5:18" s="65" customFormat="1">
      <c r="E13668" s="130"/>
      <c r="P13668" s="99"/>
      <c r="Q13668" s="99"/>
      <c r="R13668" s="99"/>
    </row>
    <row r="13669" spans="5:18" s="65" customFormat="1">
      <c r="E13669" s="130"/>
      <c r="P13669" s="99"/>
      <c r="Q13669" s="99"/>
      <c r="R13669" s="99"/>
    </row>
    <row r="13670" spans="5:18" s="65" customFormat="1">
      <c r="E13670" s="130"/>
      <c r="P13670" s="99"/>
      <c r="Q13670" s="99"/>
      <c r="R13670" s="99"/>
    </row>
    <row r="13671" spans="5:18" s="65" customFormat="1">
      <c r="E13671" s="130"/>
      <c r="P13671" s="99"/>
      <c r="Q13671" s="99"/>
      <c r="R13671" s="99"/>
    </row>
    <row r="13672" spans="5:18" s="65" customFormat="1">
      <c r="E13672" s="130"/>
      <c r="P13672" s="99"/>
      <c r="Q13672" s="99"/>
      <c r="R13672" s="99"/>
    </row>
    <row r="13673" spans="5:18" s="65" customFormat="1">
      <c r="E13673" s="130"/>
      <c r="P13673" s="99"/>
      <c r="Q13673" s="99"/>
      <c r="R13673" s="99"/>
    </row>
    <row r="13674" spans="5:18" s="65" customFormat="1">
      <c r="E13674" s="130"/>
      <c r="P13674" s="99"/>
      <c r="Q13674" s="99"/>
      <c r="R13674" s="99"/>
    </row>
    <row r="13675" spans="5:18" s="65" customFormat="1">
      <c r="E13675" s="130"/>
      <c r="P13675" s="99"/>
      <c r="Q13675" s="99"/>
      <c r="R13675" s="99"/>
    </row>
    <row r="13676" spans="5:18" s="65" customFormat="1">
      <c r="E13676" s="130"/>
      <c r="P13676" s="99"/>
      <c r="Q13676" s="99"/>
      <c r="R13676" s="99"/>
    </row>
    <row r="13677" spans="5:18" s="65" customFormat="1">
      <c r="E13677" s="130"/>
      <c r="P13677" s="99"/>
      <c r="Q13677" s="99"/>
      <c r="R13677" s="99"/>
    </row>
    <row r="13678" spans="5:18" s="65" customFormat="1">
      <c r="E13678" s="130"/>
      <c r="P13678" s="99"/>
      <c r="Q13678" s="99"/>
      <c r="R13678" s="99"/>
    </row>
    <row r="13679" spans="5:18" s="65" customFormat="1">
      <c r="E13679" s="130"/>
      <c r="P13679" s="99"/>
      <c r="Q13679" s="99"/>
      <c r="R13679" s="99"/>
    </row>
    <row r="13680" spans="5:18" s="65" customFormat="1">
      <c r="E13680" s="130"/>
      <c r="P13680" s="99"/>
      <c r="Q13680" s="99"/>
      <c r="R13680" s="99"/>
    </row>
    <row r="13681" spans="5:18" s="65" customFormat="1">
      <c r="E13681" s="130"/>
      <c r="P13681" s="99"/>
      <c r="Q13681" s="99"/>
      <c r="R13681" s="99"/>
    </row>
    <row r="13682" spans="5:18" s="65" customFormat="1">
      <c r="E13682" s="130"/>
      <c r="P13682" s="99"/>
      <c r="Q13682" s="99"/>
      <c r="R13682" s="99"/>
    </row>
    <row r="13683" spans="5:18" s="65" customFormat="1">
      <c r="E13683" s="130"/>
      <c r="P13683" s="99"/>
      <c r="Q13683" s="99"/>
      <c r="R13683" s="99"/>
    </row>
    <row r="13684" spans="5:18" s="65" customFormat="1">
      <c r="E13684" s="130"/>
      <c r="P13684" s="99"/>
      <c r="Q13684" s="99"/>
      <c r="R13684" s="99"/>
    </row>
    <row r="13685" spans="5:18" s="65" customFormat="1">
      <c r="E13685" s="130"/>
      <c r="P13685" s="99"/>
      <c r="Q13685" s="99"/>
      <c r="R13685" s="99"/>
    </row>
    <row r="13686" spans="5:18" s="65" customFormat="1">
      <c r="E13686" s="130"/>
      <c r="P13686" s="99"/>
      <c r="Q13686" s="99"/>
      <c r="R13686" s="99"/>
    </row>
    <row r="13687" spans="5:18" s="65" customFormat="1">
      <c r="E13687" s="130"/>
      <c r="P13687" s="99"/>
      <c r="Q13687" s="99"/>
      <c r="R13687" s="99"/>
    </row>
    <row r="13688" spans="5:18" s="65" customFormat="1">
      <c r="E13688" s="130"/>
      <c r="P13688" s="99"/>
      <c r="Q13688" s="99"/>
      <c r="R13688" s="99"/>
    </row>
    <row r="13689" spans="5:18" s="65" customFormat="1">
      <c r="E13689" s="130"/>
      <c r="P13689" s="99"/>
      <c r="Q13689" s="99"/>
      <c r="R13689" s="99"/>
    </row>
    <row r="13690" spans="5:18" s="65" customFormat="1">
      <c r="E13690" s="130"/>
      <c r="P13690" s="99"/>
      <c r="Q13690" s="99"/>
      <c r="R13690" s="99"/>
    </row>
    <row r="13691" spans="5:18" s="65" customFormat="1">
      <c r="E13691" s="130"/>
      <c r="P13691" s="99"/>
      <c r="Q13691" s="99"/>
      <c r="R13691" s="99"/>
    </row>
    <row r="13692" spans="5:18" s="65" customFormat="1">
      <c r="E13692" s="130"/>
      <c r="P13692" s="99"/>
      <c r="Q13692" s="99"/>
      <c r="R13692" s="99"/>
    </row>
    <row r="13693" spans="5:18" s="65" customFormat="1">
      <c r="E13693" s="130"/>
      <c r="P13693" s="99"/>
      <c r="Q13693" s="99"/>
      <c r="R13693" s="99"/>
    </row>
    <row r="13694" spans="5:18" s="65" customFormat="1">
      <c r="E13694" s="130"/>
      <c r="P13694" s="99"/>
      <c r="Q13694" s="99"/>
      <c r="R13694" s="99"/>
    </row>
    <row r="13695" spans="5:18" s="65" customFormat="1">
      <c r="E13695" s="130"/>
      <c r="P13695" s="99"/>
      <c r="Q13695" s="99"/>
      <c r="R13695" s="99"/>
    </row>
    <row r="13696" spans="5:18" s="65" customFormat="1">
      <c r="E13696" s="130"/>
      <c r="P13696" s="99"/>
      <c r="Q13696" s="99"/>
      <c r="R13696" s="99"/>
    </row>
    <row r="13697" spans="5:18" s="65" customFormat="1">
      <c r="E13697" s="130"/>
      <c r="P13697" s="99"/>
      <c r="Q13697" s="99"/>
      <c r="R13697" s="99"/>
    </row>
    <row r="13698" spans="5:18" s="65" customFormat="1">
      <c r="E13698" s="130"/>
      <c r="P13698" s="99"/>
      <c r="Q13698" s="99"/>
      <c r="R13698" s="99"/>
    </row>
    <row r="13699" spans="5:18" s="65" customFormat="1">
      <c r="E13699" s="130"/>
      <c r="P13699" s="99"/>
      <c r="Q13699" s="99"/>
      <c r="R13699" s="99"/>
    </row>
    <row r="13700" spans="5:18" s="65" customFormat="1">
      <c r="E13700" s="130"/>
      <c r="P13700" s="99"/>
      <c r="Q13700" s="99"/>
      <c r="R13700" s="99"/>
    </row>
    <row r="13701" spans="5:18" s="65" customFormat="1">
      <c r="E13701" s="130"/>
      <c r="P13701" s="99"/>
      <c r="Q13701" s="99"/>
      <c r="R13701" s="99"/>
    </row>
    <row r="13702" spans="5:18" s="65" customFormat="1">
      <c r="E13702" s="130"/>
      <c r="P13702" s="99"/>
      <c r="Q13702" s="99"/>
      <c r="R13702" s="99"/>
    </row>
    <row r="13703" spans="5:18" s="65" customFormat="1">
      <c r="E13703" s="130"/>
      <c r="P13703" s="99"/>
      <c r="Q13703" s="99"/>
      <c r="R13703" s="99"/>
    </row>
    <row r="13704" spans="5:18" s="65" customFormat="1">
      <c r="E13704" s="130"/>
      <c r="P13704" s="99"/>
      <c r="Q13704" s="99"/>
      <c r="R13704" s="99"/>
    </row>
    <row r="13705" spans="5:18" s="65" customFormat="1">
      <c r="E13705" s="130"/>
      <c r="P13705" s="99"/>
      <c r="Q13705" s="99"/>
      <c r="R13705" s="99"/>
    </row>
    <row r="13706" spans="5:18" s="65" customFormat="1">
      <c r="E13706" s="130"/>
      <c r="P13706" s="99"/>
      <c r="Q13706" s="99"/>
      <c r="R13706" s="99"/>
    </row>
    <row r="13707" spans="5:18" s="65" customFormat="1">
      <c r="E13707" s="130"/>
      <c r="P13707" s="99"/>
      <c r="Q13707" s="99"/>
      <c r="R13707" s="99"/>
    </row>
    <row r="13708" spans="5:18" s="65" customFormat="1">
      <c r="E13708" s="130"/>
      <c r="P13708" s="99"/>
      <c r="Q13708" s="99"/>
      <c r="R13708" s="99"/>
    </row>
    <row r="13709" spans="5:18" s="65" customFormat="1">
      <c r="E13709" s="130"/>
      <c r="P13709" s="99"/>
      <c r="Q13709" s="99"/>
      <c r="R13709" s="99"/>
    </row>
    <row r="13710" spans="5:18" s="65" customFormat="1">
      <c r="E13710" s="130"/>
      <c r="P13710" s="99"/>
      <c r="Q13710" s="99"/>
      <c r="R13710" s="99"/>
    </row>
    <row r="13711" spans="5:18" s="65" customFormat="1">
      <c r="E13711" s="130"/>
      <c r="P13711" s="99"/>
      <c r="Q13711" s="99"/>
      <c r="R13711" s="99"/>
    </row>
    <row r="13712" spans="5:18" s="65" customFormat="1">
      <c r="E13712" s="130"/>
      <c r="P13712" s="99"/>
      <c r="Q13712" s="99"/>
      <c r="R13712" s="99"/>
    </row>
    <row r="13713" spans="5:18" s="65" customFormat="1">
      <c r="E13713" s="130"/>
      <c r="P13713" s="99"/>
      <c r="Q13713" s="99"/>
      <c r="R13713" s="99"/>
    </row>
    <row r="13714" spans="5:18" s="65" customFormat="1">
      <c r="E13714" s="130"/>
      <c r="P13714" s="99"/>
      <c r="Q13714" s="99"/>
      <c r="R13714" s="99"/>
    </row>
    <row r="13715" spans="5:18" s="65" customFormat="1">
      <c r="E13715" s="130"/>
      <c r="P13715" s="99"/>
      <c r="Q13715" s="99"/>
      <c r="R13715" s="99"/>
    </row>
    <row r="13716" spans="5:18" s="65" customFormat="1">
      <c r="E13716" s="130"/>
      <c r="P13716" s="99"/>
      <c r="Q13716" s="99"/>
      <c r="R13716" s="99"/>
    </row>
    <row r="13717" spans="5:18" s="65" customFormat="1">
      <c r="E13717" s="130"/>
      <c r="P13717" s="99"/>
      <c r="Q13717" s="99"/>
      <c r="R13717" s="99"/>
    </row>
    <row r="13718" spans="5:18" s="65" customFormat="1">
      <c r="E13718" s="130"/>
      <c r="P13718" s="99"/>
      <c r="Q13718" s="99"/>
      <c r="R13718" s="99"/>
    </row>
    <row r="13719" spans="5:18" s="65" customFormat="1">
      <c r="E13719" s="130"/>
      <c r="P13719" s="99"/>
      <c r="Q13719" s="99"/>
      <c r="R13719" s="99"/>
    </row>
    <row r="13720" spans="5:18" s="65" customFormat="1">
      <c r="E13720" s="130"/>
      <c r="P13720" s="99"/>
      <c r="Q13720" s="99"/>
      <c r="R13720" s="99"/>
    </row>
    <row r="13721" spans="5:18" s="65" customFormat="1">
      <c r="E13721" s="130"/>
      <c r="P13721" s="99"/>
      <c r="Q13721" s="99"/>
      <c r="R13721" s="99"/>
    </row>
    <row r="13722" spans="5:18" s="65" customFormat="1">
      <c r="E13722" s="130"/>
      <c r="P13722" s="99"/>
      <c r="Q13722" s="99"/>
      <c r="R13722" s="99"/>
    </row>
    <row r="13723" spans="5:18" s="65" customFormat="1">
      <c r="E13723" s="130"/>
      <c r="P13723" s="99"/>
      <c r="Q13723" s="99"/>
      <c r="R13723" s="99"/>
    </row>
    <row r="13724" spans="5:18" s="65" customFormat="1">
      <c r="E13724" s="130"/>
      <c r="P13724" s="99"/>
      <c r="Q13724" s="99"/>
      <c r="R13724" s="99"/>
    </row>
    <row r="13725" spans="5:18" s="65" customFormat="1">
      <c r="E13725" s="130"/>
      <c r="P13725" s="99"/>
      <c r="Q13725" s="99"/>
      <c r="R13725" s="99"/>
    </row>
    <row r="13726" spans="5:18" s="65" customFormat="1">
      <c r="E13726" s="130"/>
      <c r="P13726" s="99"/>
      <c r="Q13726" s="99"/>
      <c r="R13726" s="99"/>
    </row>
    <row r="13727" spans="5:18" s="65" customFormat="1">
      <c r="E13727" s="130"/>
      <c r="P13727" s="99"/>
      <c r="Q13727" s="99"/>
      <c r="R13727" s="99"/>
    </row>
    <row r="13728" spans="5:18" s="65" customFormat="1">
      <c r="E13728" s="130"/>
      <c r="P13728" s="99"/>
      <c r="Q13728" s="99"/>
      <c r="R13728" s="99"/>
    </row>
    <row r="13729" spans="5:18" s="65" customFormat="1">
      <c r="E13729" s="130"/>
      <c r="P13729" s="99"/>
      <c r="Q13729" s="99"/>
      <c r="R13729" s="99"/>
    </row>
    <row r="13730" spans="5:18" s="65" customFormat="1">
      <c r="E13730" s="130"/>
      <c r="P13730" s="99"/>
      <c r="Q13730" s="99"/>
      <c r="R13730" s="99"/>
    </row>
    <row r="13731" spans="5:18" s="65" customFormat="1">
      <c r="E13731" s="130"/>
      <c r="P13731" s="99"/>
      <c r="Q13731" s="99"/>
      <c r="R13731" s="99"/>
    </row>
    <row r="13732" spans="5:18" s="65" customFormat="1">
      <c r="E13732" s="130"/>
      <c r="P13732" s="99"/>
      <c r="Q13732" s="99"/>
      <c r="R13732" s="99"/>
    </row>
    <row r="13733" spans="5:18" s="65" customFormat="1">
      <c r="E13733" s="130"/>
      <c r="P13733" s="99"/>
      <c r="Q13733" s="99"/>
      <c r="R13733" s="99"/>
    </row>
    <row r="13734" spans="5:18" s="65" customFormat="1">
      <c r="E13734" s="130"/>
      <c r="P13734" s="99"/>
      <c r="Q13734" s="99"/>
      <c r="R13734" s="99"/>
    </row>
    <row r="13735" spans="5:18" s="65" customFormat="1">
      <c r="E13735" s="130"/>
      <c r="P13735" s="99"/>
      <c r="Q13735" s="99"/>
      <c r="R13735" s="99"/>
    </row>
    <row r="13736" spans="5:18" s="65" customFormat="1">
      <c r="E13736" s="130"/>
      <c r="P13736" s="99"/>
      <c r="Q13736" s="99"/>
      <c r="R13736" s="99"/>
    </row>
    <row r="13737" spans="5:18" s="65" customFormat="1">
      <c r="E13737" s="130"/>
      <c r="P13737" s="99"/>
      <c r="Q13737" s="99"/>
      <c r="R13737" s="99"/>
    </row>
    <row r="13738" spans="5:18" s="65" customFormat="1">
      <c r="E13738" s="130"/>
      <c r="P13738" s="99"/>
      <c r="Q13738" s="99"/>
      <c r="R13738" s="99"/>
    </row>
    <row r="13739" spans="5:18" s="65" customFormat="1">
      <c r="E13739" s="130"/>
      <c r="P13739" s="99"/>
      <c r="Q13739" s="99"/>
      <c r="R13739" s="99"/>
    </row>
    <row r="13740" spans="5:18" s="65" customFormat="1">
      <c r="E13740" s="130"/>
      <c r="P13740" s="99"/>
      <c r="Q13740" s="99"/>
      <c r="R13740" s="99"/>
    </row>
    <row r="13741" spans="5:18" s="65" customFormat="1">
      <c r="E13741" s="130"/>
      <c r="P13741" s="99"/>
      <c r="Q13741" s="99"/>
      <c r="R13741" s="99"/>
    </row>
    <row r="13742" spans="5:18" s="65" customFormat="1">
      <c r="E13742" s="130"/>
      <c r="P13742" s="99"/>
      <c r="Q13742" s="99"/>
      <c r="R13742" s="99"/>
    </row>
    <row r="13743" spans="5:18" s="65" customFormat="1">
      <c r="E13743" s="130"/>
      <c r="P13743" s="99"/>
      <c r="Q13743" s="99"/>
      <c r="R13743" s="99"/>
    </row>
    <row r="13744" spans="5:18" s="65" customFormat="1">
      <c r="E13744" s="130"/>
      <c r="P13744" s="99"/>
      <c r="Q13744" s="99"/>
      <c r="R13744" s="99"/>
    </row>
    <row r="13745" spans="5:18" s="65" customFormat="1">
      <c r="E13745" s="130"/>
      <c r="P13745" s="99"/>
      <c r="Q13745" s="99"/>
      <c r="R13745" s="99"/>
    </row>
    <row r="13746" spans="5:18" s="65" customFormat="1">
      <c r="E13746" s="130"/>
      <c r="P13746" s="99"/>
      <c r="Q13746" s="99"/>
      <c r="R13746" s="99"/>
    </row>
    <row r="13747" spans="5:18" s="65" customFormat="1">
      <c r="E13747" s="130"/>
      <c r="P13747" s="99"/>
      <c r="Q13747" s="99"/>
      <c r="R13747" s="99"/>
    </row>
    <row r="13748" spans="5:18" s="65" customFormat="1">
      <c r="E13748" s="130"/>
      <c r="P13748" s="99"/>
      <c r="Q13748" s="99"/>
      <c r="R13748" s="99"/>
    </row>
    <row r="13749" spans="5:18" s="65" customFormat="1">
      <c r="E13749" s="130"/>
      <c r="P13749" s="99"/>
      <c r="Q13749" s="99"/>
      <c r="R13749" s="99"/>
    </row>
    <row r="13750" spans="5:18" s="65" customFormat="1">
      <c r="E13750" s="130"/>
      <c r="P13750" s="99"/>
      <c r="Q13750" s="99"/>
      <c r="R13750" s="99"/>
    </row>
    <row r="13751" spans="5:18" s="65" customFormat="1">
      <c r="E13751" s="130"/>
      <c r="P13751" s="99"/>
      <c r="Q13751" s="99"/>
      <c r="R13751" s="99"/>
    </row>
    <row r="13752" spans="5:18" s="65" customFormat="1">
      <c r="E13752" s="130"/>
      <c r="P13752" s="99"/>
      <c r="Q13752" s="99"/>
      <c r="R13752" s="99"/>
    </row>
    <row r="13753" spans="5:18" s="65" customFormat="1">
      <c r="E13753" s="130"/>
      <c r="P13753" s="99"/>
      <c r="Q13753" s="99"/>
      <c r="R13753" s="99"/>
    </row>
    <row r="13754" spans="5:18" s="65" customFormat="1">
      <c r="E13754" s="130"/>
      <c r="P13754" s="99"/>
      <c r="Q13754" s="99"/>
      <c r="R13754" s="99"/>
    </row>
    <row r="13755" spans="5:18" s="65" customFormat="1">
      <c r="E13755" s="130"/>
      <c r="P13755" s="99"/>
      <c r="Q13755" s="99"/>
      <c r="R13755" s="99"/>
    </row>
    <row r="13756" spans="5:18" s="65" customFormat="1">
      <c r="E13756" s="130"/>
      <c r="P13756" s="99"/>
      <c r="Q13756" s="99"/>
      <c r="R13756" s="99"/>
    </row>
    <row r="13757" spans="5:18" s="65" customFormat="1">
      <c r="E13757" s="130"/>
      <c r="P13757" s="99"/>
      <c r="Q13757" s="99"/>
      <c r="R13757" s="99"/>
    </row>
    <row r="13758" spans="5:18" s="65" customFormat="1">
      <c r="E13758" s="130"/>
      <c r="P13758" s="99"/>
      <c r="Q13758" s="99"/>
      <c r="R13758" s="99"/>
    </row>
    <row r="13759" spans="5:18" s="65" customFormat="1">
      <c r="E13759" s="130"/>
      <c r="P13759" s="99"/>
      <c r="Q13759" s="99"/>
      <c r="R13759" s="99"/>
    </row>
    <row r="13760" spans="5:18" s="65" customFormat="1">
      <c r="E13760" s="130"/>
      <c r="P13760" s="99"/>
      <c r="Q13760" s="99"/>
      <c r="R13760" s="99"/>
    </row>
    <row r="13761" spans="5:18" s="65" customFormat="1">
      <c r="E13761" s="130"/>
      <c r="P13761" s="99"/>
      <c r="Q13761" s="99"/>
      <c r="R13761" s="99"/>
    </row>
    <row r="13762" spans="5:18" s="65" customFormat="1">
      <c r="E13762" s="130"/>
      <c r="P13762" s="99"/>
      <c r="Q13762" s="99"/>
      <c r="R13762" s="99"/>
    </row>
    <row r="13763" spans="5:18" s="65" customFormat="1">
      <c r="E13763" s="130"/>
      <c r="P13763" s="99"/>
      <c r="Q13763" s="99"/>
      <c r="R13763" s="99"/>
    </row>
    <row r="13764" spans="5:18" s="65" customFormat="1">
      <c r="E13764" s="130"/>
      <c r="P13764" s="99"/>
      <c r="Q13764" s="99"/>
      <c r="R13764" s="99"/>
    </row>
    <row r="13765" spans="5:18" s="65" customFormat="1">
      <c r="E13765" s="130"/>
      <c r="P13765" s="99"/>
      <c r="Q13765" s="99"/>
      <c r="R13765" s="99"/>
    </row>
    <row r="13766" spans="5:18" s="65" customFormat="1">
      <c r="E13766" s="130"/>
      <c r="P13766" s="99"/>
      <c r="Q13766" s="99"/>
      <c r="R13766" s="99"/>
    </row>
    <row r="13767" spans="5:18" s="65" customFormat="1">
      <c r="E13767" s="130"/>
      <c r="P13767" s="99"/>
      <c r="Q13767" s="99"/>
      <c r="R13767" s="99"/>
    </row>
    <row r="13768" spans="5:18" s="65" customFormat="1">
      <c r="E13768" s="130"/>
      <c r="P13768" s="99"/>
      <c r="Q13768" s="99"/>
      <c r="R13768" s="99"/>
    </row>
    <row r="13769" spans="5:18" s="65" customFormat="1">
      <c r="E13769" s="130"/>
      <c r="P13769" s="99"/>
      <c r="Q13769" s="99"/>
      <c r="R13769" s="99"/>
    </row>
    <row r="13770" spans="5:18" s="65" customFormat="1">
      <c r="E13770" s="130"/>
      <c r="P13770" s="99"/>
      <c r="Q13770" s="99"/>
      <c r="R13770" s="99"/>
    </row>
    <row r="13771" spans="5:18" s="65" customFormat="1">
      <c r="E13771" s="130"/>
      <c r="P13771" s="99"/>
      <c r="Q13771" s="99"/>
      <c r="R13771" s="99"/>
    </row>
    <row r="13772" spans="5:18" s="65" customFormat="1">
      <c r="E13772" s="130"/>
      <c r="P13772" s="99"/>
      <c r="Q13772" s="99"/>
      <c r="R13772" s="99"/>
    </row>
    <row r="13773" spans="5:18" s="65" customFormat="1">
      <c r="E13773" s="130"/>
      <c r="P13773" s="99"/>
      <c r="Q13773" s="99"/>
      <c r="R13773" s="99"/>
    </row>
    <row r="13774" spans="5:18" s="65" customFormat="1">
      <c r="E13774" s="130"/>
      <c r="P13774" s="99"/>
      <c r="Q13774" s="99"/>
      <c r="R13774" s="99"/>
    </row>
    <row r="13775" spans="5:18" s="65" customFormat="1">
      <c r="E13775" s="130"/>
      <c r="P13775" s="99"/>
      <c r="Q13775" s="99"/>
      <c r="R13775" s="99"/>
    </row>
    <row r="13776" spans="5:18" s="65" customFormat="1">
      <c r="E13776" s="130"/>
      <c r="P13776" s="99"/>
      <c r="Q13776" s="99"/>
      <c r="R13776" s="99"/>
    </row>
    <row r="13777" spans="5:18" s="65" customFormat="1">
      <c r="E13777" s="130"/>
      <c r="P13777" s="99"/>
      <c r="Q13777" s="99"/>
      <c r="R13777" s="99"/>
    </row>
    <row r="13778" spans="5:18" s="65" customFormat="1">
      <c r="E13778" s="130"/>
      <c r="P13778" s="99"/>
      <c r="Q13778" s="99"/>
      <c r="R13778" s="99"/>
    </row>
    <row r="13779" spans="5:18" s="65" customFormat="1">
      <c r="E13779" s="130"/>
      <c r="P13779" s="99"/>
      <c r="Q13779" s="99"/>
      <c r="R13779" s="99"/>
    </row>
    <row r="13780" spans="5:18" s="65" customFormat="1">
      <c r="E13780" s="130"/>
      <c r="P13780" s="99"/>
      <c r="Q13780" s="99"/>
      <c r="R13780" s="99"/>
    </row>
    <row r="13781" spans="5:18" s="65" customFormat="1">
      <c r="E13781" s="130"/>
      <c r="P13781" s="99"/>
      <c r="Q13781" s="99"/>
      <c r="R13781" s="99"/>
    </row>
    <row r="13782" spans="5:18" s="65" customFormat="1">
      <c r="E13782" s="130"/>
      <c r="P13782" s="99"/>
      <c r="Q13782" s="99"/>
      <c r="R13782" s="99"/>
    </row>
    <row r="13783" spans="5:18" s="65" customFormat="1">
      <c r="E13783" s="130"/>
      <c r="P13783" s="99"/>
      <c r="Q13783" s="99"/>
      <c r="R13783" s="99"/>
    </row>
    <row r="13784" spans="5:18" s="65" customFormat="1">
      <c r="E13784" s="130"/>
      <c r="P13784" s="99"/>
      <c r="Q13784" s="99"/>
      <c r="R13784" s="99"/>
    </row>
    <row r="13785" spans="5:18" s="65" customFormat="1">
      <c r="E13785" s="130"/>
      <c r="P13785" s="99"/>
      <c r="Q13785" s="99"/>
      <c r="R13785" s="99"/>
    </row>
    <row r="13786" spans="5:18" s="65" customFormat="1">
      <c r="E13786" s="130"/>
      <c r="P13786" s="99"/>
      <c r="Q13786" s="99"/>
      <c r="R13786" s="99"/>
    </row>
    <row r="13787" spans="5:18" s="65" customFormat="1">
      <c r="E13787" s="130"/>
      <c r="P13787" s="99"/>
      <c r="Q13787" s="99"/>
      <c r="R13787" s="99"/>
    </row>
    <row r="13788" spans="5:18" s="65" customFormat="1">
      <c r="E13788" s="130"/>
      <c r="P13788" s="99"/>
      <c r="Q13788" s="99"/>
      <c r="R13788" s="99"/>
    </row>
    <row r="13789" spans="5:18" s="65" customFormat="1">
      <c r="E13789" s="130"/>
      <c r="P13789" s="99"/>
      <c r="Q13789" s="99"/>
      <c r="R13789" s="99"/>
    </row>
    <row r="13790" spans="5:18" s="65" customFormat="1">
      <c r="E13790" s="130"/>
      <c r="P13790" s="99"/>
      <c r="Q13790" s="99"/>
      <c r="R13790" s="99"/>
    </row>
    <row r="13791" spans="5:18" s="65" customFormat="1">
      <c r="E13791" s="130"/>
      <c r="P13791" s="99"/>
      <c r="Q13791" s="99"/>
      <c r="R13791" s="99"/>
    </row>
    <row r="13792" spans="5:18" s="65" customFormat="1">
      <c r="E13792" s="130"/>
      <c r="P13792" s="99"/>
      <c r="Q13792" s="99"/>
      <c r="R13792" s="99"/>
    </row>
    <row r="13793" spans="5:18" s="65" customFormat="1">
      <c r="E13793" s="130"/>
      <c r="P13793" s="99"/>
      <c r="Q13793" s="99"/>
      <c r="R13793" s="99"/>
    </row>
    <row r="13794" spans="5:18" s="65" customFormat="1">
      <c r="E13794" s="130"/>
      <c r="P13794" s="99"/>
      <c r="Q13794" s="99"/>
      <c r="R13794" s="99"/>
    </row>
    <row r="13795" spans="5:18" s="65" customFormat="1">
      <c r="E13795" s="130"/>
      <c r="P13795" s="99"/>
      <c r="Q13795" s="99"/>
      <c r="R13795" s="99"/>
    </row>
    <row r="13796" spans="5:18" s="65" customFormat="1">
      <c r="E13796" s="130"/>
      <c r="P13796" s="99"/>
      <c r="Q13796" s="99"/>
      <c r="R13796" s="99"/>
    </row>
    <row r="13797" spans="5:18" s="65" customFormat="1">
      <c r="E13797" s="130"/>
      <c r="P13797" s="99"/>
      <c r="Q13797" s="99"/>
      <c r="R13797" s="99"/>
    </row>
    <row r="13798" spans="5:18" s="65" customFormat="1">
      <c r="E13798" s="130"/>
      <c r="P13798" s="99"/>
      <c r="Q13798" s="99"/>
      <c r="R13798" s="99"/>
    </row>
    <row r="13799" spans="5:18" s="65" customFormat="1">
      <c r="E13799" s="130"/>
      <c r="P13799" s="99"/>
      <c r="Q13799" s="99"/>
      <c r="R13799" s="99"/>
    </row>
    <row r="13800" spans="5:18" s="65" customFormat="1">
      <c r="E13800" s="130"/>
      <c r="P13800" s="99"/>
      <c r="Q13800" s="99"/>
      <c r="R13800" s="99"/>
    </row>
    <row r="13801" spans="5:18" s="65" customFormat="1">
      <c r="E13801" s="130"/>
      <c r="P13801" s="99"/>
      <c r="Q13801" s="99"/>
      <c r="R13801" s="99"/>
    </row>
    <row r="13802" spans="5:18" s="65" customFormat="1">
      <c r="E13802" s="130"/>
      <c r="P13802" s="99"/>
      <c r="Q13802" s="99"/>
      <c r="R13802" s="99"/>
    </row>
    <row r="13803" spans="5:18" s="65" customFormat="1">
      <c r="E13803" s="130"/>
      <c r="P13803" s="99"/>
      <c r="Q13803" s="99"/>
      <c r="R13803" s="99"/>
    </row>
    <row r="13804" spans="5:18" s="65" customFormat="1">
      <c r="E13804" s="130"/>
      <c r="P13804" s="99"/>
      <c r="Q13804" s="99"/>
      <c r="R13804" s="99"/>
    </row>
    <row r="13805" spans="5:18" s="65" customFormat="1">
      <c r="E13805" s="130"/>
      <c r="P13805" s="99"/>
      <c r="Q13805" s="99"/>
      <c r="R13805" s="99"/>
    </row>
    <row r="13806" spans="5:18" s="65" customFormat="1">
      <c r="E13806" s="130"/>
      <c r="P13806" s="99"/>
      <c r="Q13806" s="99"/>
      <c r="R13806" s="99"/>
    </row>
    <row r="13807" spans="5:18" s="65" customFormat="1">
      <c r="E13807" s="130"/>
      <c r="P13807" s="99"/>
      <c r="Q13807" s="99"/>
      <c r="R13807" s="99"/>
    </row>
    <row r="13808" spans="5:18" s="65" customFormat="1">
      <c r="E13808" s="130"/>
      <c r="P13808" s="99"/>
      <c r="Q13808" s="99"/>
      <c r="R13808" s="99"/>
    </row>
    <row r="13809" spans="5:18" s="65" customFormat="1">
      <c r="E13809" s="130"/>
      <c r="P13809" s="99"/>
      <c r="Q13809" s="99"/>
      <c r="R13809" s="99"/>
    </row>
    <row r="13810" spans="5:18" s="65" customFormat="1">
      <c r="E13810" s="130"/>
      <c r="P13810" s="99"/>
      <c r="Q13810" s="99"/>
      <c r="R13810" s="99"/>
    </row>
    <row r="13811" spans="5:18" s="65" customFormat="1">
      <c r="E13811" s="130"/>
      <c r="P13811" s="99"/>
      <c r="Q13811" s="99"/>
      <c r="R13811" s="99"/>
    </row>
    <row r="13812" spans="5:18" s="65" customFormat="1">
      <c r="E13812" s="130"/>
      <c r="P13812" s="99"/>
      <c r="Q13812" s="99"/>
      <c r="R13812" s="99"/>
    </row>
    <row r="13813" spans="5:18" s="65" customFormat="1">
      <c r="E13813" s="130"/>
      <c r="P13813" s="99"/>
      <c r="Q13813" s="99"/>
      <c r="R13813" s="99"/>
    </row>
    <row r="13814" spans="5:18" s="65" customFormat="1">
      <c r="E13814" s="130"/>
      <c r="P13814" s="99"/>
      <c r="Q13814" s="99"/>
      <c r="R13814" s="99"/>
    </row>
    <row r="13815" spans="5:18" s="65" customFormat="1">
      <c r="E13815" s="130"/>
      <c r="P13815" s="99"/>
      <c r="Q13815" s="99"/>
      <c r="R13815" s="99"/>
    </row>
    <row r="13816" spans="5:18" s="65" customFormat="1">
      <c r="E13816" s="130"/>
      <c r="P13816" s="99"/>
      <c r="Q13816" s="99"/>
      <c r="R13816" s="99"/>
    </row>
    <row r="13817" spans="5:18" s="65" customFormat="1">
      <c r="E13817" s="130"/>
      <c r="P13817" s="99"/>
      <c r="Q13817" s="99"/>
      <c r="R13817" s="99"/>
    </row>
    <row r="13818" spans="5:18" s="65" customFormat="1">
      <c r="E13818" s="130"/>
      <c r="P13818" s="99"/>
      <c r="Q13818" s="99"/>
      <c r="R13818" s="99"/>
    </row>
    <row r="13819" spans="5:18" s="65" customFormat="1">
      <c r="E13819" s="130"/>
      <c r="P13819" s="99"/>
      <c r="Q13819" s="99"/>
      <c r="R13819" s="99"/>
    </row>
    <row r="13820" spans="5:18" s="65" customFormat="1">
      <c r="E13820" s="130"/>
      <c r="P13820" s="99"/>
      <c r="Q13820" s="99"/>
      <c r="R13820" s="99"/>
    </row>
    <row r="13821" spans="5:18" s="65" customFormat="1">
      <c r="E13821" s="130"/>
      <c r="P13821" s="99"/>
      <c r="Q13821" s="99"/>
      <c r="R13821" s="99"/>
    </row>
    <row r="13822" spans="5:18" s="65" customFormat="1">
      <c r="E13822" s="130"/>
      <c r="P13822" s="99"/>
      <c r="Q13822" s="99"/>
      <c r="R13822" s="99"/>
    </row>
    <row r="13823" spans="5:18" s="65" customFormat="1">
      <c r="E13823" s="130"/>
      <c r="P13823" s="99"/>
      <c r="Q13823" s="99"/>
      <c r="R13823" s="99"/>
    </row>
    <row r="13824" spans="5:18" s="65" customFormat="1">
      <c r="E13824" s="130"/>
      <c r="P13824" s="99"/>
      <c r="Q13824" s="99"/>
      <c r="R13824" s="99"/>
    </row>
    <row r="13825" spans="5:18" s="65" customFormat="1">
      <c r="E13825" s="130"/>
      <c r="P13825" s="99"/>
      <c r="Q13825" s="99"/>
      <c r="R13825" s="99"/>
    </row>
    <row r="13826" spans="5:18" s="65" customFormat="1">
      <c r="E13826" s="130"/>
      <c r="P13826" s="99"/>
      <c r="Q13826" s="99"/>
      <c r="R13826" s="99"/>
    </row>
    <row r="13827" spans="5:18" s="65" customFormat="1">
      <c r="E13827" s="130"/>
      <c r="P13827" s="99"/>
      <c r="Q13827" s="99"/>
      <c r="R13827" s="99"/>
    </row>
    <row r="13828" spans="5:18" s="65" customFormat="1">
      <c r="E13828" s="130"/>
      <c r="P13828" s="99"/>
      <c r="Q13828" s="99"/>
      <c r="R13828" s="99"/>
    </row>
    <row r="13829" spans="5:18" s="65" customFormat="1">
      <c r="E13829" s="130"/>
      <c r="P13829" s="99"/>
      <c r="Q13829" s="99"/>
      <c r="R13829" s="99"/>
    </row>
    <row r="13830" spans="5:18" s="65" customFormat="1">
      <c r="E13830" s="130"/>
      <c r="P13830" s="99"/>
      <c r="Q13830" s="99"/>
      <c r="R13830" s="99"/>
    </row>
    <row r="13831" spans="5:18" s="65" customFormat="1">
      <c r="E13831" s="130"/>
      <c r="P13831" s="99"/>
      <c r="Q13831" s="99"/>
      <c r="R13831" s="99"/>
    </row>
    <row r="13832" spans="5:18" s="65" customFormat="1">
      <c r="E13832" s="130"/>
      <c r="P13832" s="99"/>
      <c r="Q13832" s="99"/>
      <c r="R13832" s="99"/>
    </row>
    <row r="13833" spans="5:18" s="65" customFormat="1">
      <c r="E13833" s="130"/>
      <c r="P13833" s="99"/>
      <c r="Q13833" s="99"/>
      <c r="R13833" s="99"/>
    </row>
    <row r="13834" spans="5:18" s="65" customFormat="1">
      <c r="E13834" s="130"/>
      <c r="P13834" s="99"/>
      <c r="Q13834" s="99"/>
      <c r="R13834" s="99"/>
    </row>
    <row r="13835" spans="5:18" s="65" customFormat="1">
      <c r="E13835" s="130"/>
      <c r="P13835" s="99"/>
      <c r="Q13835" s="99"/>
      <c r="R13835" s="99"/>
    </row>
    <row r="13836" spans="5:18" s="65" customFormat="1">
      <c r="E13836" s="130"/>
      <c r="P13836" s="99"/>
      <c r="Q13836" s="99"/>
      <c r="R13836" s="99"/>
    </row>
    <row r="13837" spans="5:18" s="65" customFormat="1">
      <c r="E13837" s="130"/>
      <c r="P13837" s="99"/>
      <c r="Q13837" s="99"/>
      <c r="R13837" s="99"/>
    </row>
    <row r="13838" spans="5:18" s="65" customFormat="1">
      <c r="E13838" s="130"/>
      <c r="P13838" s="99"/>
      <c r="Q13838" s="99"/>
      <c r="R13838" s="99"/>
    </row>
    <row r="13839" spans="5:18" s="65" customFormat="1">
      <c r="E13839" s="130"/>
      <c r="P13839" s="99"/>
      <c r="Q13839" s="99"/>
      <c r="R13839" s="99"/>
    </row>
    <row r="13840" spans="5:18" s="65" customFormat="1">
      <c r="E13840" s="130"/>
      <c r="P13840" s="99"/>
      <c r="Q13840" s="99"/>
      <c r="R13840" s="99"/>
    </row>
    <row r="13841" spans="5:18" s="65" customFormat="1">
      <c r="E13841" s="130"/>
      <c r="P13841" s="99"/>
      <c r="Q13841" s="99"/>
      <c r="R13841" s="99"/>
    </row>
    <row r="13842" spans="5:18" s="65" customFormat="1">
      <c r="E13842" s="130"/>
      <c r="P13842" s="99"/>
      <c r="Q13842" s="99"/>
      <c r="R13842" s="99"/>
    </row>
    <row r="13843" spans="5:18" s="65" customFormat="1">
      <c r="E13843" s="130"/>
      <c r="P13843" s="99"/>
      <c r="Q13843" s="99"/>
      <c r="R13843" s="99"/>
    </row>
    <row r="13844" spans="5:18" s="65" customFormat="1">
      <c r="E13844" s="130"/>
      <c r="P13844" s="99"/>
      <c r="Q13844" s="99"/>
      <c r="R13844" s="99"/>
    </row>
    <row r="13845" spans="5:18" s="65" customFormat="1">
      <c r="E13845" s="130"/>
      <c r="P13845" s="99"/>
      <c r="Q13845" s="99"/>
      <c r="R13845" s="99"/>
    </row>
    <row r="13846" spans="5:18" s="65" customFormat="1">
      <c r="E13846" s="130"/>
      <c r="P13846" s="99"/>
      <c r="Q13846" s="99"/>
      <c r="R13846" s="99"/>
    </row>
    <row r="13847" spans="5:18" s="65" customFormat="1">
      <c r="E13847" s="130"/>
      <c r="P13847" s="99"/>
      <c r="Q13847" s="99"/>
      <c r="R13847" s="99"/>
    </row>
    <row r="13848" spans="5:18" s="65" customFormat="1">
      <c r="E13848" s="130"/>
      <c r="P13848" s="99"/>
      <c r="Q13848" s="99"/>
      <c r="R13848" s="99"/>
    </row>
    <row r="13849" spans="5:18" s="65" customFormat="1">
      <c r="E13849" s="130"/>
      <c r="P13849" s="99"/>
      <c r="Q13849" s="99"/>
      <c r="R13849" s="99"/>
    </row>
    <row r="13850" spans="5:18" s="65" customFormat="1">
      <c r="E13850" s="130"/>
      <c r="P13850" s="99"/>
      <c r="Q13850" s="99"/>
      <c r="R13850" s="99"/>
    </row>
    <row r="13851" spans="5:18" s="65" customFormat="1">
      <c r="E13851" s="130"/>
      <c r="P13851" s="99"/>
      <c r="Q13851" s="99"/>
      <c r="R13851" s="99"/>
    </row>
    <row r="13852" spans="5:18" s="65" customFormat="1">
      <c r="E13852" s="130"/>
      <c r="P13852" s="99"/>
      <c r="Q13852" s="99"/>
      <c r="R13852" s="99"/>
    </row>
    <row r="13853" spans="5:18" s="65" customFormat="1">
      <c r="E13853" s="130"/>
      <c r="P13853" s="99"/>
      <c r="Q13853" s="99"/>
      <c r="R13853" s="99"/>
    </row>
    <row r="13854" spans="5:18" s="65" customFormat="1">
      <c r="E13854" s="130"/>
      <c r="P13854" s="99"/>
      <c r="Q13854" s="99"/>
      <c r="R13854" s="99"/>
    </row>
    <row r="13855" spans="5:18" s="65" customFormat="1">
      <c r="E13855" s="130"/>
      <c r="P13855" s="99"/>
      <c r="Q13855" s="99"/>
      <c r="R13855" s="99"/>
    </row>
    <row r="13856" spans="5:18" s="65" customFormat="1">
      <c r="E13856" s="130"/>
      <c r="P13856" s="99"/>
      <c r="Q13856" s="99"/>
      <c r="R13856" s="99"/>
    </row>
    <row r="13857" spans="5:18" s="65" customFormat="1">
      <c r="E13857" s="130"/>
      <c r="P13857" s="99"/>
      <c r="Q13857" s="99"/>
      <c r="R13857" s="99"/>
    </row>
    <row r="13858" spans="5:18" s="65" customFormat="1">
      <c r="E13858" s="130"/>
      <c r="P13858" s="99"/>
      <c r="Q13858" s="99"/>
      <c r="R13858" s="99"/>
    </row>
    <row r="13859" spans="5:18" s="65" customFormat="1">
      <c r="E13859" s="130"/>
      <c r="P13859" s="99"/>
      <c r="Q13859" s="99"/>
      <c r="R13859" s="99"/>
    </row>
    <row r="13860" spans="5:18" s="65" customFormat="1">
      <c r="E13860" s="130"/>
      <c r="P13860" s="99"/>
      <c r="Q13860" s="99"/>
      <c r="R13860" s="99"/>
    </row>
    <row r="13861" spans="5:18" s="65" customFormat="1">
      <c r="E13861" s="130"/>
      <c r="P13861" s="99"/>
      <c r="Q13861" s="99"/>
      <c r="R13861" s="99"/>
    </row>
    <row r="13862" spans="5:18" s="65" customFormat="1">
      <c r="E13862" s="130"/>
      <c r="P13862" s="99"/>
      <c r="Q13862" s="99"/>
      <c r="R13862" s="99"/>
    </row>
    <row r="13863" spans="5:18" s="65" customFormat="1">
      <c r="E13863" s="130"/>
      <c r="P13863" s="99"/>
      <c r="Q13863" s="99"/>
      <c r="R13863" s="99"/>
    </row>
    <row r="13864" spans="5:18" s="65" customFormat="1">
      <c r="E13864" s="130"/>
      <c r="P13864" s="99"/>
      <c r="Q13864" s="99"/>
      <c r="R13864" s="99"/>
    </row>
    <row r="13865" spans="5:18" s="65" customFormat="1">
      <c r="E13865" s="130"/>
      <c r="P13865" s="99"/>
      <c r="Q13865" s="99"/>
      <c r="R13865" s="99"/>
    </row>
    <row r="13866" spans="5:18" s="65" customFormat="1">
      <c r="E13866" s="130"/>
      <c r="P13866" s="99"/>
      <c r="Q13866" s="99"/>
      <c r="R13866" s="99"/>
    </row>
    <row r="13867" spans="5:18" s="65" customFormat="1">
      <c r="E13867" s="130"/>
      <c r="P13867" s="99"/>
      <c r="Q13867" s="99"/>
      <c r="R13867" s="99"/>
    </row>
    <row r="13868" spans="5:18" s="65" customFormat="1">
      <c r="E13868" s="130"/>
      <c r="P13868" s="99"/>
      <c r="Q13868" s="99"/>
      <c r="R13868" s="99"/>
    </row>
    <row r="13869" spans="5:18" s="65" customFormat="1">
      <c r="E13869" s="130"/>
      <c r="P13869" s="99"/>
      <c r="Q13869" s="99"/>
      <c r="R13869" s="99"/>
    </row>
    <row r="13870" spans="5:18" s="65" customFormat="1">
      <c r="E13870" s="130"/>
      <c r="P13870" s="99"/>
      <c r="Q13870" s="99"/>
      <c r="R13870" s="99"/>
    </row>
    <row r="13871" spans="5:18" s="65" customFormat="1">
      <c r="E13871" s="130"/>
      <c r="P13871" s="99"/>
      <c r="Q13871" s="99"/>
      <c r="R13871" s="99"/>
    </row>
    <row r="13872" spans="5:18" s="65" customFormat="1">
      <c r="E13872" s="130"/>
      <c r="P13872" s="99"/>
      <c r="Q13872" s="99"/>
      <c r="R13872" s="99"/>
    </row>
    <row r="13873" spans="5:18" s="65" customFormat="1">
      <c r="E13873" s="130"/>
      <c r="P13873" s="99"/>
      <c r="Q13873" s="99"/>
      <c r="R13873" s="99"/>
    </row>
    <row r="13874" spans="5:18" s="65" customFormat="1">
      <c r="E13874" s="130"/>
      <c r="P13874" s="99"/>
      <c r="Q13874" s="99"/>
      <c r="R13874" s="99"/>
    </row>
    <row r="13875" spans="5:18" s="65" customFormat="1">
      <c r="E13875" s="130"/>
      <c r="P13875" s="99"/>
      <c r="Q13875" s="99"/>
      <c r="R13875" s="99"/>
    </row>
    <row r="13876" spans="5:18" s="65" customFormat="1">
      <c r="E13876" s="130"/>
      <c r="P13876" s="99"/>
      <c r="Q13876" s="99"/>
      <c r="R13876" s="99"/>
    </row>
    <row r="13877" spans="5:18" s="65" customFormat="1">
      <c r="E13877" s="130"/>
      <c r="P13877" s="99"/>
      <c r="Q13877" s="99"/>
      <c r="R13877" s="99"/>
    </row>
    <row r="13878" spans="5:18" s="65" customFormat="1">
      <c r="E13878" s="130"/>
      <c r="P13878" s="99"/>
      <c r="Q13878" s="99"/>
      <c r="R13878" s="99"/>
    </row>
    <row r="13879" spans="5:18" s="65" customFormat="1">
      <c r="E13879" s="130"/>
      <c r="P13879" s="99"/>
      <c r="Q13879" s="99"/>
      <c r="R13879" s="99"/>
    </row>
    <row r="13880" spans="5:18" s="65" customFormat="1">
      <c r="E13880" s="130"/>
      <c r="P13880" s="99"/>
      <c r="Q13880" s="99"/>
      <c r="R13880" s="99"/>
    </row>
    <row r="13881" spans="5:18" s="65" customFormat="1">
      <c r="E13881" s="130"/>
      <c r="P13881" s="99"/>
      <c r="Q13881" s="99"/>
      <c r="R13881" s="99"/>
    </row>
    <row r="13882" spans="5:18" s="65" customFormat="1">
      <c r="E13882" s="130"/>
      <c r="P13882" s="99"/>
      <c r="Q13882" s="99"/>
      <c r="R13882" s="99"/>
    </row>
    <row r="13883" spans="5:18" s="65" customFormat="1">
      <c r="E13883" s="130"/>
      <c r="P13883" s="99"/>
      <c r="Q13883" s="99"/>
      <c r="R13883" s="99"/>
    </row>
    <row r="13884" spans="5:18" s="65" customFormat="1">
      <c r="E13884" s="130"/>
      <c r="P13884" s="99"/>
      <c r="Q13884" s="99"/>
      <c r="R13884" s="99"/>
    </row>
    <row r="13885" spans="5:18" s="65" customFormat="1">
      <c r="E13885" s="130"/>
      <c r="P13885" s="99"/>
      <c r="Q13885" s="99"/>
      <c r="R13885" s="99"/>
    </row>
    <row r="13886" spans="5:18" s="65" customFormat="1">
      <c r="E13886" s="130"/>
      <c r="P13886" s="99"/>
      <c r="Q13886" s="99"/>
      <c r="R13886" s="99"/>
    </row>
    <row r="13887" spans="5:18" s="65" customFormat="1">
      <c r="E13887" s="130"/>
      <c r="P13887" s="99"/>
      <c r="Q13887" s="99"/>
      <c r="R13887" s="99"/>
    </row>
    <row r="13888" spans="5:18" s="65" customFormat="1">
      <c r="E13888" s="130"/>
      <c r="P13888" s="99"/>
      <c r="Q13888" s="99"/>
      <c r="R13888" s="99"/>
    </row>
    <row r="13889" spans="5:18" s="65" customFormat="1">
      <c r="E13889" s="130"/>
      <c r="P13889" s="99"/>
      <c r="Q13889" s="99"/>
      <c r="R13889" s="99"/>
    </row>
    <row r="13890" spans="5:18" s="65" customFormat="1">
      <c r="E13890" s="130"/>
      <c r="P13890" s="99"/>
      <c r="Q13890" s="99"/>
      <c r="R13890" s="99"/>
    </row>
    <row r="13891" spans="5:18" s="65" customFormat="1">
      <c r="E13891" s="130"/>
      <c r="P13891" s="99"/>
      <c r="Q13891" s="99"/>
      <c r="R13891" s="99"/>
    </row>
    <row r="13892" spans="5:18" s="65" customFormat="1">
      <c r="E13892" s="130"/>
      <c r="P13892" s="99"/>
      <c r="Q13892" s="99"/>
      <c r="R13892" s="99"/>
    </row>
    <row r="13893" spans="5:18" s="65" customFormat="1">
      <c r="E13893" s="130"/>
      <c r="P13893" s="99"/>
      <c r="Q13893" s="99"/>
      <c r="R13893" s="99"/>
    </row>
    <row r="13894" spans="5:18" s="65" customFormat="1">
      <c r="E13894" s="130"/>
      <c r="P13894" s="99"/>
      <c r="Q13894" s="99"/>
      <c r="R13894" s="99"/>
    </row>
    <row r="13895" spans="5:18" s="65" customFormat="1">
      <c r="E13895" s="130"/>
      <c r="P13895" s="99"/>
      <c r="Q13895" s="99"/>
      <c r="R13895" s="99"/>
    </row>
    <row r="13896" spans="5:18" s="65" customFormat="1">
      <c r="E13896" s="130"/>
      <c r="P13896" s="99"/>
      <c r="Q13896" s="99"/>
      <c r="R13896" s="99"/>
    </row>
    <row r="13897" spans="5:18" s="65" customFormat="1">
      <c r="E13897" s="130"/>
      <c r="P13897" s="99"/>
      <c r="Q13897" s="99"/>
      <c r="R13897" s="99"/>
    </row>
    <row r="13898" spans="5:18" s="65" customFormat="1">
      <c r="E13898" s="130"/>
      <c r="P13898" s="99"/>
      <c r="Q13898" s="99"/>
      <c r="R13898" s="99"/>
    </row>
    <row r="13899" spans="5:18" s="65" customFormat="1">
      <c r="E13899" s="130"/>
      <c r="P13899" s="99"/>
      <c r="Q13899" s="99"/>
      <c r="R13899" s="99"/>
    </row>
    <row r="13900" spans="5:18" s="65" customFormat="1">
      <c r="E13900" s="130"/>
      <c r="P13900" s="99"/>
      <c r="Q13900" s="99"/>
      <c r="R13900" s="99"/>
    </row>
    <row r="13901" spans="5:18" s="65" customFormat="1">
      <c r="E13901" s="130"/>
      <c r="P13901" s="99"/>
      <c r="Q13901" s="99"/>
      <c r="R13901" s="99"/>
    </row>
    <row r="13902" spans="5:18" s="65" customFormat="1">
      <c r="E13902" s="130"/>
      <c r="P13902" s="99"/>
      <c r="Q13902" s="99"/>
      <c r="R13902" s="99"/>
    </row>
    <row r="13903" spans="5:18" s="65" customFormat="1">
      <c r="E13903" s="130"/>
      <c r="P13903" s="99"/>
      <c r="Q13903" s="99"/>
      <c r="R13903" s="99"/>
    </row>
    <row r="13904" spans="5:18" s="65" customFormat="1">
      <c r="E13904" s="130"/>
      <c r="P13904" s="99"/>
      <c r="Q13904" s="99"/>
      <c r="R13904" s="99"/>
    </row>
    <row r="13905" spans="5:18" s="65" customFormat="1">
      <c r="E13905" s="130"/>
      <c r="P13905" s="99"/>
      <c r="Q13905" s="99"/>
      <c r="R13905" s="99"/>
    </row>
    <row r="13906" spans="5:18" s="65" customFormat="1">
      <c r="E13906" s="130"/>
      <c r="P13906" s="99"/>
      <c r="Q13906" s="99"/>
      <c r="R13906" s="99"/>
    </row>
    <row r="13907" spans="5:18" s="65" customFormat="1">
      <c r="E13907" s="130"/>
      <c r="P13907" s="99"/>
      <c r="Q13907" s="99"/>
      <c r="R13907" s="99"/>
    </row>
    <row r="13908" spans="5:18" s="65" customFormat="1">
      <c r="E13908" s="130"/>
      <c r="P13908" s="99"/>
      <c r="Q13908" s="99"/>
      <c r="R13908" s="99"/>
    </row>
    <row r="13909" spans="5:18" s="65" customFormat="1">
      <c r="E13909" s="130"/>
      <c r="P13909" s="99"/>
      <c r="Q13909" s="99"/>
      <c r="R13909" s="99"/>
    </row>
    <row r="13910" spans="5:18" s="65" customFormat="1">
      <c r="E13910" s="130"/>
      <c r="P13910" s="99"/>
      <c r="Q13910" s="99"/>
      <c r="R13910" s="99"/>
    </row>
    <row r="13911" spans="5:18" s="65" customFormat="1">
      <c r="E13911" s="130"/>
      <c r="P13911" s="99"/>
      <c r="Q13911" s="99"/>
      <c r="R13911" s="99"/>
    </row>
    <row r="13912" spans="5:18" s="65" customFormat="1">
      <c r="E13912" s="130"/>
      <c r="P13912" s="99"/>
      <c r="Q13912" s="99"/>
      <c r="R13912" s="99"/>
    </row>
    <row r="13913" spans="5:18" s="65" customFormat="1">
      <c r="E13913" s="130"/>
      <c r="P13913" s="99"/>
      <c r="Q13913" s="99"/>
      <c r="R13913" s="99"/>
    </row>
    <row r="13914" spans="5:18" s="65" customFormat="1">
      <c r="E13914" s="130"/>
      <c r="P13914" s="99"/>
      <c r="Q13914" s="99"/>
      <c r="R13914" s="99"/>
    </row>
    <row r="13915" spans="5:18" s="65" customFormat="1">
      <c r="E13915" s="130"/>
      <c r="P13915" s="99"/>
      <c r="Q13915" s="99"/>
      <c r="R13915" s="99"/>
    </row>
    <row r="13916" spans="5:18" s="65" customFormat="1">
      <c r="E13916" s="130"/>
      <c r="P13916" s="99"/>
      <c r="Q13916" s="99"/>
      <c r="R13916" s="99"/>
    </row>
    <row r="13917" spans="5:18" s="65" customFormat="1">
      <c r="E13917" s="130"/>
      <c r="P13917" s="99"/>
      <c r="Q13917" s="99"/>
      <c r="R13917" s="99"/>
    </row>
    <row r="13918" spans="5:18" s="65" customFormat="1">
      <c r="E13918" s="130"/>
      <c r="P13918" s="99"/>
      <c r="Q13918" s="99"/>
      <c r="R13918" s="99"/>
    </row>
    <row r="13919" spans="5:18" s="65" customFormat="1">
      <c r="E13919" s="130"/>
      <c r="P13919" s="99"/>
      <c r="Q13919" s="99"/>
      <c r="R13919" s="99"/>
    </row>
    <row r="13920" spans="5:18" s="65" customFormat="1">
      <c r="E13920" s="130"/>
      <c r="P13920" s="99"/>
      <c r="Q13920" s="99"/>
      <c r="R13920" s="99"/>
    </row>
    <row r="13921" spans="5:18" s="65" customFormat="1">
      <c r="E13921" s="130"/>
      <c r="P13921" s="99"/>
      <c r="Q13921" s="99"/>
      <c r="R13921" s="99"/>
    </row>
    <row r="13922" spans="5:18" s="65" customFormat="1">
      <c r="E13922" s="130"/>
      <c r="P13922" s="99"/>
      <c r="Q13922" s="99"/>
      <c r="R13922" s="99"/>
    </row>
    <row r="13923" spans="5:18" s="65" customFormat="1">
      <c r="E13923" s="130"/>
      <c r="P13923" s="99"/>
      <c r="Q13923" s="99"/>
      <c r="R13923" s="99"/>
    </row>
    <row r="13924" spans="5:18" s="65" customFormat="1">
      <c r="E13924" s="130"/>
      <c r="P13924" s="99"/>
      <c r="Q13924" s="99"/>
      <c r="R13924" s="99"/>
    </row>
    <row r="13925" spans="5:18" s="65" customFormat="1">
      <c r="E13925" s="130"/>
      <c r="P13925" s="99"/>
      <c r="Q13925" s="99"/>
      <c r="R13925" s="99"/>
    </row>
    <row r="13926" spans="5:18" s="65" customFormat="1">
      <c r="E13926" s="130"/>
      <c r="P13926" s="99"/>
      <c r="Q13926" s="99"/>
      <c r="R13926" s="99"/>
    </row>
    <row r="13927" spans="5:18" s="65" customFormat="1">
      <c r="E13927" s="130"/>
      <c r="P13927" s="99"/>
      <c r="Q13927" s="99"/>
      <c r="R13927" s="99"/>
    </row>
    <row r="13928" spans="5:18" s="65" customFormat="1">
      <c r="E13928" s="130"/>
      <c r="P13928" s="99"/>
      <c r="Q13928" s="99"/>
      <c r="R13928" s="99"/>
    </row>
    <row r="13929" spans="5:18" s="65" customFormat="1">
      <c r="E13929" s="130"/>
      <c r="P13929" s="99"/>
      <c r="Q13929" s="99"/>
      <c r="R13929" s="99"/>
    </row>
    <row r="13930" spans="5:18" s="65" customFormat="1">
      <c r="E13930" s="130"/>
      <c r="P13930" s="99"/>
      <c r="Q13930" s="99"/>
      <c r="R13930" s="99"/>
    </row>
    <row r="13931" spans="5:18" s="65" customFormat="1">
      <c r="E13931" s="130"/>
      <c r="P13931" s="99"/>
      <c r="Q13931" s="99"/>
      <c r="R13931" s="99"/>
    </row>
    <row r="13932" spans="5:18" s="65" customFormat="1">
      <c r="E13932" s="130"/>
      <c r="P13932" s="99"/>
      <c r="Q13932" s="99"/>
      <c r="R13932" s="99"/>
    </row>
    <row r="13933" spans="5:18" s="65" customFormat="1">
      <c r="E13933" s="130"/>
      <c r="P13933" s="99"/>
      <c r="Q13933" s="99"/>
      <c r="R13933" s="99"/>
    </row>
    <row r="13934" spans="5:18" s="65" customFormat="1">
      <c r="E13934" s="130"/>
      <c r="P13934" s="99"/>
      <c r="Q13934" s="99"/>
      <c r="R13934" s="99"/>
    </row>
    <row r="13935" spans="5:18" s="65" customFormat="1">
      <c r="E13935" s="130"/>
      <c r="P13935" s="99"/>
      <c r="Q13935" s="99"/>
      <c r="R13935" s="99"/>
    </row>
    <row r="13936" spans="5:18" s="65" customFormat="1">
      <c r="E13936" s="130"/>
      <c r="P13936" s="99"/>
      <c r="Q13936" s="99"/>
      <c r="R13936" s="99"/>
    </row>
    <row r="13937" spans="5:18" s="65" customFormat="1">
      <c r="E13937" s="130"/>
      <c r="P13937" s="99"/>
      <c r="Q13937" s="99"/>
      <c r="R13937" s="99"/>
    </row>
    <row r="13938" spans="5:18" s="65" customFormat="1">
      <c r="E13938" s="130"/>
      <c r="P13938" s="99"/>
      <c r="Q13938" s="99"/>
      <c r="R13938" s="99"/>
    </row>
    <row r="13939" spans="5:18" s="65" customFormat="1">
      <c r="E13939" s="130"/>
      <c r="P13939" s="99"/>
      <c r="Q13939" s="99"/>
      <c r="R13939" s="99"/>
    </row>
    <row r="13940" spans="5:18" s="65" customFormat="1">
      <c r="E13940" s="130"/>
      <c r="P13940" s="99"/>
      <c r="Q13940" s="99"/>
      <c r="R13940" s="99"/>
    </row>
    <row r="13941" spans="5:18" s="65" customFormat="1">
      <c r="E13941" s="130"/>
      <c r="P13941" s="99"/>
      <c r="Q13941" s="99"/>
      <c r="R13941" s="99"/>
    </row>
    <row r="13942" spans="5:18" s="65" customFormat="1">
      <c r="E13942" s="130"/>
      <c r="P13942" s="99"/>
      <c r="Q13942" s="99"/>
      <c r="R13942" s="99"/>
    </row>
    <row r="13943" spans="5:18" s="65" customFormat="1">
      <c r="E13943" s="130"/>
      <c r="P13943" s="99"/>
      <c r="Q13943" s="99"/>
      <c r="R13943" s="99"/>
    </row>
    <row r="13944" spans="5:18" s="65" customFormat="1">
      <c r="E13944" s="130"/>
      <c r="P13944" s="99"/>
      <c r="Q13944" s="99"/>
      <c r="R13944" s="99"/>
    </row>
    <row r="13945" spans="5:18" s="65" customFormat="1">
      <c r="E13945" s="130"/>
      <c r="P13945" s="99"/>
      <c r="Q13945" s="99"/>
      <c r="R13945" s="99"/>
    </row>
    <row r="13946" spans="5:18" s="65" customFormat="1">
      <c r="E13946" s="130"/>
      <c r="P13946" s="99"/>
      <c r="Q13946" s="99"/>
      <c r="R13946" s="99"/>
    </row>
    <row r="13947" spans="5:18" s="65" customFormat="1">
      <c r="E13947" s="130"/>
      <c r="P13947" s="99"/>
      <c r="Q13947" s="99"/>
      <c r="R13947" s="99"/>
    </row>
    <row r="13948" spans="5:18" s="65" customFormat="1">
      <c r="E13948" s="130"/>
      <c r="P13948" s="99"/>
      <c r="Q13948" s="99"/>
      <c r="R13948" s="99"/>
    </row>
    <row r="13949" spans="5:18" s="65" customFormat="1">
      <c r="E13949" s="130"/>
      <c r="P13949" s="99"/>
      <c r="Q13949" s="99"/>
      <c r="R13949" s="99"/>
    </row>
    <row r="13950" spans="5:18" s="65" customFormat="1">
      <c r="E13950" s="130"/>
      <c r="P13950" s="99"/>
      <c r="Q13950" s="99"/>
      <c r="R13950" s="99"/>
    </row>
    <row r="13951" spans="5:18" s="65" customFormat="1">
      <c r="E13951" s="130"/>
      <c r="P13951" s="99"/>
      <c r="Q13951" s="99"/>
      <c r="R13951" s="99"/>
    </row>
    <row r="13952" spans="5:18" s="65" customFormat="1">
      <c r="E13952" s="130"/>
      <c r="P13952" s="99"/>
      <c r="Q13952" s="99"/>
      <c r="R13952" s="99"/>
    </row>
    <row r="13953" spans="5:18" s="65" customFormat="1">
      <c r="E13953" s="130"/>
      <c r="P13953" s="99"/>
      <c r="Q13953" s="99"/>
      <c r="R13953" s="99"/>
    </row>
    <row r="13954" spans="5:18" s="65" customFormat="1">
      <c r="E13954" s="130"/>
      <c r="P13954" s="99"/>
      <c r="Q13954" s="99"/>
      <c r="R13954" s="99"/>
    </row>
    <row r="13955" spans="5:18" s="65" customFormat="1">
      <c r="E13955" s="130"/>
      <c r="P13955" s="99"/>
      <c r="Q13955" s="99"/>
      <c r="R13955" s="99"/>
    </row>
    <row r="13956" spans="5:18" s="65" customFormat="1">
      <c r="E13956" s="130"/>
      <c r="P13956" s="99"/>
      <c r="Q13956" s="99"/>
      <c r="R13956" s="99"/>
    </row>
    <row r="13957" spans="5:18" s="65" customFormat="1">
      <c r="E13957" s="130"/>
      <c r="P13957" s="99"/>
      <c r="Q13957" s="99"/>
      <c r="R13957" s="99"/>
    </row>
    <row r="13958" spans="5:18" s="65" customFormat="1">
      <c r="E13958" s="130"/>
      <c r="P13958" s="99"/>
      <c r="Q13958" s="99"/>
      <c r="R13958" s="99"/>
    </row>
    <row r="13959" spans="5:18" s="65" customFormat="1">
      <c r="E13959" s="130"/>
      <c r="P13959" s="99"/>
      <c r="Q13959" s="99"/>
      <c r="R13959" s="99"/>
    </row>
    <row r="13960" spans="5:18" s="65" customFormat="1">
      <c r="E13960" s="130"/>
      <c r="P13960" s="99"/>
      <c r="Q13960" s="99"/>
      <c r="R13960" s="99"/>
    </row>
    <row r="13961" spans="5:18" s="65" customFormat="1">
      <c r="E13961" s="130"/>
      <c r="P13961" s="99"/>
      <c r="Q13961" s="99"/>
      <c r="R13961" s="99"/>
    </row>
    <row r="13962" spans="5:18" s="65" customFormat="1">
      <c r="E13962" s="130"/>
      <c r="P13962" s="99"/>
      <c r="Q13962" s="99"/>
      <c r="R13962" s="99"/>
    </row>
    <row r="13963" spans="5:18" s="65" customFormat="1">
      <c r="E13963" s="130"/>
      <c r="P13963" s="99"/>
      <c r="Q13963" s="99"/>
      <c r="R13963" s="99"/>
    </row>
    <row r="13964" spans="5:18" s="65" customFormat="1">
      <c r="E13964" s="130"/>
      <c r="P13964" s="99"/>
      <c r="Q13964" s="99"/>
      <c r="R13964" s="99"/>
    </row>
    <row r="13965" spans="5:18" s="65" customFormat="1">
      <c r="E13965" s="130"/>
      <c r="P13965" s="99"/>
      <c r="Q13965" s="99"/>
      <c r="R13965" s="99"/>
    </row>
    <row r="13966" spans="5:18" s="65" customFormat="1">
      <c r="E13966" s="130"/>
      <c r="P13966" s="99"/>
      <c r="Q13966" s="99"/>
      <c r="R13966" s="99"/>
    </row>
    <row r="13967" spans="5:18" s="65" customFormat="1">
      <c r="E13967" s="130"/>
      <c r="P13967" s="99"/>
      <c r="Q13967" s="99"/>
      <c r="R13967" s="99"/>
    </row>
    <row r="13968" spans="5:18" s="65" customFormat="1">
      <c r="E13968" s="130"/>
      <c r="P13968" s="99"/>
      <c r="Q13968" s="99"/>
      <c r="R13968" s="99"/>
    </row>
    <row r="13969" spans="5:18" s="65" customFormat="1">
      <c r="E13969" s="130"/>
      <c r="P13969" s="99"/>
      <c r="Q13969" s="99"/>
      <c r="R13969" s="99"/>
    </row>
    <row r="13970" spans="5:18" s="65" customFormat="1">
      <c r="E13970" s="130"/>
      <c r="P13970" s="99"/>
      <c r="Q13970" s="99"/>
      <c r="R13970" s="99"/>
    </row>
    <row r="13971" spans="5:18" s="65" customFormat="1">
      <c r="E13971" s="130"/>
      <c r="P13971" s="99"/>
      <c r="Q13971" s="99"/>
      <c r="R13971" s="99"/>
    </row>
    <row r="13972" spans="5:18" s="65" customFormat="1">
      <c r="E13972" s="130"/>
      <c r="P13972" s="99"/>
      <c r="Q13972" s="99"/>
      <c r="R13972" s="99"/>
    </row>
    <row r="13973" spans="5:18" s="65" customFormat="1">
      <c r="E13973" s="130"/>
      <c r="P13973" s="99"/>
      <c r="Q13973" s="99"/>
      <c r="R13973" s="99"/>
    </row>
    <row r="13974" spans="5:18" s="65" customFormat="1">
      <c r="E13974" s="130"/>
      <c r="P13974" s="99"/>
      <c r="Q13974" s="99"/>
      <c r="R13974" s="99"/>
    </row>
    <row r="13975" spans="5:18" s="65" customFormat="1">
      <c r="E13975" s="130"/>
      <c r="P13975" s="99"/>
      <c r="Q13975" s="99"/>
      <c r="R13975" s="99"/>
    </row>
    <row r="13976" spans="5:18" s="65" customFormat="1">
      <c r="E13976" s="130"/>
      <c r="P13976" s="99"/>
      <c r="Q13976" s="99"/>
      <c r="R13976" s="99"/>
    </row>
    <row r="13977" spans="5:18" s="65" customFormat="1">
      <c r="E13977" s="130"/>
      <c r="P13977" s="99"/>
      <c r="Q13977" s="99"/>
      <c r="R13977" s="99"/>
    </row>
    <row r="13978" spans="5:18" s="65" customFormat="1">
      <c r="E13978" s="130"/>
      <c r="P13978" s="99"/>
      <c r="Q13978" s="99"/>
      <c r="R13978" s="99"/>
    </row>
    <row r="13979" spans="5:18" s="65" customFormat="1">
      <c r="E13979" s="130"/>
      <c r="P13979" s="99"/>
      <c r="Q13979" s="99"/>
      <c r="R13979" s="99"/>
    </row>
    <row r="13980" spans="5:18" s="65" customFormat="1">
      <c r="E13980" s="130"/>
      <c r="P13980" s="99"/>
      <c r="Q13980" s="99"/>
      <c r="R13980" s="99"/>
    </row>
    <row r="13981" spans="5:18" s="65" customFormat="1">
      <c r="E13981" s="130"/>
      <c r="P13981" s="99"/>
      <c r="Q13981" s="99"/>
      <c r="R13981" s="99"/>
    </row>
    <row r="13982" spans="5:18" s="65" customFormat="1">
      <c r="E13982" s="130"/>
      <c r="P13982" s="99"/>
      <c r="Q13982" s="99"/>
      <c r="R13982" s="99"/>
    </row>
    <row r="13983" spans="5:18" s="65" customFormat="1">
      <c r="E13983" s="130"/>
      <c r="P13983" s="99"/>
      <c r="Q13983" s="99"/>
      <c r="R13983" s="99"/>
    </row>
    <row r="13984" spans="5:18" s="65" customFormat="1">
      <c r="E13984" s="130"/>
      <c r="P13984" s="99"/>
      <c r="Q13984" s="99"/>
      <c r="R13984" s="99"/>
    </row>
    <row r="13985" spans="5:18" s="65" customFormat="1">
      <c r="E13985" s="130"/>
      <c r="P13985" s="99"/>
      <c r="Q13985" s="99"/>
      <c r="R13985" s="99"/>
    </row>
    <row r="13986" spans="5:18" s="65" customFormat="1">
      <c r="E13986" s="130"/>
      <c r="P13986" s="99"/>
      <c r="Q13986" s="99"/>
      <c r="R13986" s="99"/>
    </row>
    <row r="13987" spans="5:18" s="65" customFormat="1">
      <c r="E13987" s="130"/>
      <c r="P13987" s="99"/>
      <c r="Q13987" s="99"/>
      <c r="R13987" s="99"/>
    </row>
    <row r="13988" spans="5:18" s="65" customFormat="1">
      <c r="E13988" s="130"/>
      <c r="P13988" s="99"/>
      <c r="Q13988" s="99"/>
      <c r="R13988" s="99"/>
    </row>
    <row r="13989" spans="5:18" s="65" customFormat="1">
      <c r="E13989" s="130"/>
      <c r="P13989" s="99"/>
      <c r="Q13989" s="99"/>
      <c r="R13989" s="99"/>
    </row>
    <row r="13990" spans="5:18" s="65" customFormat="1">
      <c r="E13990" s="130"/>
      <c r="P13990" s="99"/>
      <c r="Q13990" s="99"/>
      <c r="R13990" s="99"/>
    </row>
    <row r="13991" spans="5:18" s="65" customFormat="1">
      <c r="E13991" s="130"/>
      <c r="P13991" s="99"/>
      <c r="Q13991" s="99"/>
      <c r="R13991" s="99"/>
    </row>
    <row r="13992" spans="5:18" s="65" customFormat="1">
      <c r="E13992" s="130"/>
      <c r="P13992" s="99"/>
      <c r="Q13992" s="99"/>
      <c r="R13992" s="99"/>
    </row>
    <row r="13993" spans="5:18" s="65" customFormat="1">
      <c r="E13993" s="130"/>
      <c r="P13993" s="99"/>
      <c r="Q13993" s="99"/>
      <c r="R13993" s="99"/>
    </row>
    <row r="13994" spans="5:18" s="65" customFormat="1">
      <c r="E13994" s="130"/>
      <c r="P13994" s="99"/>
      <c r="Q13994" s="99"/>
      <c r="R13994" s="99"/>
    </row>
    <row r="13995" spans="5:18" s="65" customFormat="1">
      <c r="E13995" s="130"/>
      <c r="P13995" s="99"/>
      <c r="Q13995" s="99"/>
      <c r="R13995" s="99"/>
    </row>
    <row r="13996" spans="5:18" s="65" customFormat="1">
      <c r="E13996" s="130"/>
      <c r="P13996" s="99"/>
      <c r="Q13996" s="99"/>
      <c r="R13996" s="99"/>
    </row>
    <row r="13997" spans="5:18" s="65" customFormat="1">
      <c r="E13997" s="130"/>
      <c r="P13997" s="99"/>
      <c r="Q13997" s="99"/>
      <c r="R13997" s="99"/>
    </row>
    <row r="13998" spans="5:18" s="65" customFormat="1">
      <c r="E13998" s="130"/>
      <c r="P13998" s="99"/>
      <c r="Q13998" s="99"/>
      <c r="R13998" s="99"/>
    </row>
    <row r="13999" spans="5:18" s="65" customFormat="1">
      <c r="E13999" s="130"/>
      <c r="P13999" s="99"/>
      <c r="Q13999" s="99"/>
      <c r="R13999" s="99"/>
    </row>
    <row r="14000" spans="5:18" s="65" customFormat="1">
      <c r="E14000" s="130"/>
      <c r="P14000" s="99"/>
      <c r="Q14000" s="99"/>
      <c r="R14000" s="99"/>
    </row>
    <row r="14001" spans="5:18" s="65" customFormat="1">
      <c r="E14001" s="130"/>
      <c r="P14001" s="99"/>
      <c r="Q14001" s="99"/>
      <c r="R14001" s="99"/>
    </row>
    <row r="14002" spans="5:18" s="65" customFormat="1">
      <c r="E14002" s="130"/>
      <c r="P14002" s="99"/>
      <c r="Q14002" s="99"/>
      <c r="R14002" s="99"/>
    </row>
    <row r="14003" spans="5:18" s="65" customFormat="1">
      <c r="E14003" s="130"/>
      <c r="P14003" s="99"/>
      <c r="Q14003" s="99"/>
      <c r="R14003" s="99"/>
    </row>
    <row r="14004" spans="5:18" s="65" customFormat="1">
      <c r="E14004" s="130"/>
      <c r="P14004" s="99"/>
      <c r="Q14004" s="99"/>
      <c r="R14004" s="99"/>
    </row>
    <row r="14005" spans="5:18" s="65" customFormat="1">
      <c r="E14005" s="130"/>
      <c r="P14005" s="99"/>
      <c r="Q14005" s="99"/>
      <c r="R14005" s="99"/>
    </row>
    <row r="14006" spans="5:18" s="65" customFormat="1">
      <c r="E14006" s="130"/>
      <c r="P14006" s="99"/>
      <c r="Q14006" s="99"/>
      <c r="R14006" s="99"/>
    </row>
    <row r="14007" spans="5:18" s="65" customFormat="1">
      <c r="E14007" s="130"/>
      <c r="P14007" s="99"/>
      <c r="Q14007" s="99"/>
      <c r="R14007" s="99"/>
    </row>
    <row r="14008" spans="5:18" s="65" customFormat="1">
      <c r="E14008" s="130"/>
      <c r="P14008" s="99"/>
      <c r="Q14008" s="99"/>
      <c r="R14008" s="99"/>
    </row>
    <row r="14009" spans="5:18" s="65" customFormat="1">
      <c r="E14009" s="130"/>
      <c r="P14009" s="99"/>
      <c r="Q14009" s="99"/>
      <c r="R14009" s="99"/>
    </row>
    <row r="14010" spans="5:18" s="65" customFormat="1">
      <c r="E14010" s="130"/>
      <c r="P14010" s="99"/>
      <c r="Q14010" s="99"/>
      <c r="R14010" s="99"/>
    </row>
    <row r="14011" spans="5:18" s="65" customFormat="1">
      <c r="E14011" s="130"/>
      <c r="P14011" s="99"/>
      <c r="Q14011" s="99"/>
      <c r="R14011" s="99"/>
    </row>
    <row r="14012" spans="5:18" s="65" customFormat="1">
      <c r="E14012" s="130"/>
      <c r="P14012" s="99"/>
      <c r="Q14012" s="99"/>
      <c r="R14012" s="99"/>
    </row>
    <row r="14013" spans="5:18" s="65" customFormat="1">
      <c r="E14013" s="130"/>
      <c r="P14013" s="99"/>
      <c r="Q14013" s="99"/>
      <c r="R14013" s="99"/>
    </row>
    <row r="14014" spans="5:18" s="65" customFormat="1">
      <c r="E14014" s="130"/>
      <c r="P14014" s="99"/>
      <c r="Q14014" s="99"/>
      <c r="R14014" s="99"/>
    </row>
    <row r="14015" spans="5:18" s="65" customFormat="1">
      <c r="E14015" s="130"/>
      <c r="P14015" s="99"/>
      <c r="Q14015" s="99"/>
      <c r="R14015" s="99"/>
    </row>
    <row r="14016" spans="5:18" s="65" customFormat="1">
      <c r="E14016" s="130"/>
      <c r="P14016" s="99"/>
      <c r="Q14016" s="99"/>
      <c r="R14016" s="99"/>
    </row>
    <row r="14017" spans="5:18" s="65" customFormat="1">
      <c r="E14017" s="130"/>
      <c r="P14017" s="99"/>
      <c r="Q14017" s="99"/>
      <c r="R14017" s="99"/>
    </row>
    <row r="14018" spans="5:18" s="65" customFormat="1">
      <c r="E14018" s="130"/>
      <c r="P14018" s="99"/>
      <c r="Q14018" s="99"/>
      <c r="R14018" s="99"/>
    </row>
    <row r="14019" spans="5:18" s="65" customFormat="1">
      <c r="E14019" s="130"/>
      <c r="P14019" s="99"/>
      <c r="Q14019" s="99"/>
      <c r="R14019" s="99"/>
    </row>
    <row r="14020" spans="5:18" s="65" customFormat="1">
      <c r="E14020" s="130"/>
      <c r="P14020" s="99"/>
      <c r="Q14020" s="99"/>
      <c r="R14020" s="99"/>
    </row>
    <row r="14021" spans="5:18" s="65" customFormat="1">
      <c r="E14021" s="130"/>
      <c r="P14021" s="99"/>
      <c r="Q14021" s="99"/>
      <c r="R14021" s="99"/>
    </row>
    <row r="14022" spans="5:18" s="65" customFormat="1">
      <c r="E14022" s="130"/>
      <c r="P14022" s="99"/>
      <c r="Q14022" s="99"/>
      <c r="R14022" s="99"/>
    </row>
    <row r="14023" spans="5:18" s="65" customFormat="1">
      <c r="E14023" s="130"/>
      <c r="P14023" s="99"/>
      <c r="Q14023" s="99"/>
      <c r="R14023" s="99"/>
    </row>
    <row r="14024" spans="5:18" s="65" customFormat="1">
      <c r="E14024" s="130"/>
      <c r="P14024" s="99"/>
      <c r="Q14024" s="99"/>
      <c r="R14024" s="99"/>
    </row>
    <row r="14025" spans="5:18" s="65" customFormat="1">
      <c r="E14025" s="130"/>
      <c r="P14025" s="99"/>
      <c r="Q14025" s="99"/>
      <c r="R14025" s="99"/>
    </row>
    <row r="14026" spans="5:18" s="65" customFormat="1">
      <c r="E14026" s="130"/>
      <c r="P14026" s="99"/>
      <c r="Q14026" s="99"/>
      <c r="R14026" s="99"/>
    </row>
    <row r="14027" spans="5:18" s="65" customFormat="1">
      <c r="E14027" s="130"/>
      <c r="P14027" s="99"/>
      <c r="Q14027" s="99"/>
      <c r="R14027" s="99"/>
    </row>
    <row r="14028" spans="5:18" s="65" customFormat="1">
      <c r="E14028" s="130"/>
      <c r="P14028" s="99"/>
      <c r="Q14028" s="99"/>
      <c r="R14028" s="99"/>
    </row>
    <row r="14029" spans="5:18" s="65" customFormat="1">
      <c r="E14029" s="130"/>
      <c r="P14029" s="99"/>
      <c r="Q14029" s="99"/>
      <c r="R14029" s="99"/>
    </row>
    <row r="14030" spans="5:18" s="65" customFormat="1">
      <c r="E14030" s="130"/>
      <c r="P14030" s="99"/>
      <c r="Q14030" s="99"/>
      <c r="R14030" s="99"/>
    </row>
    <row r="14031" spans="5:18" s="65" customFormat="1">
      <c r="E14031" s="130"/>
      <c r="P14031" s="99"/>
      <c r="Q14031" s="99"/>
      <c r="R14031" s="99"/>
    </row>
    <row r="14032" spans="5:18" s="65" customFormat="1">
      <c r="E14032" s="130"/>
      <c r="P14032" s="99"/>
      <c r="Q14032" s="99"/>
      <c r="R14032" s="99"/>
    </row>
    <row r="14033" spans="5:18" s="65" customFormat="1">
      <c r="E14033" s="130"/>
      <c r="P14033" s="99"/>
      <c r="Q14033" s="99"/>
      <c r="R14033" s="99"/>
    </row>
    <row r="14034" spans="5:18" s="65" customFormat="1">
      <c r="E14034" s="130"/>
      <c r="P14034" s="99"/>
      <c r="Q14034" s="99"/>
      <c r="R14034" s="99"/>
    </row>
    <row r="14035" spans="5:18" s="65" customFormat="1">
      <c r="E14035" s="130"/>
      <c r="P14035" s="99"/>
      <c r="Q14035" s="99"/>
      <c r="R14035" s="99"/>
    </row>
    <row r="14036" spans="5:18" s="65" customFormat="1">
      <c r="E14036" s="130"/>
      <c r="P14036" s="99"/>
      <c r="Q14036" s="99"/>
      <c r="R14036" s="99"/>
    </row>
    <row r="14037" spans="5:18" s="65" customFormat="1">
      <c r="E14037" s="130"/>
      <c r="P14037" s="99"/>
      <c r="Q14037" s="99"/>
      <c r="R14037" s="99"/>
    </row>
    <row r="14038" spans="5:18" s="65" customFormat="1">
      <c r="E14038" s="130"/>
      <c r="P14038" s="99"/>
      <c r="Q14038" s="99"/>
      <c r="R14038" s="99"/>
    </row>
    <row r="14039" spans="5:18" s="65" customFormat="1">
      <c r="E14039" s="130"/>
      <c r="P14039" s="99"/>
      <c r="Q14039" s="99"/>
      <c r="R14039" s="99"/>
    </row>
    <row r="14040" spans="5:18" s="65" customFormat="1">
      <c r="E14040" s="130"/>
      <c r="P14040" s="99"/>
      <c r="Q14040" s="99"/>
      <c r="R14040" s="99"/>
    </row>
    <row r="14041" spans="5:18" s="65" customFormat="1">
      <c r="E14041" s="130"/>
      <c r="P14041" s="99"/>
      <c r="Q14041" s="99"/>
      <c r="R14041" s="99"/>
    </row>
    <row r="14042" spans="5:18" s="65" customFormat="1">
      <c r="E14042" s="130"/>
      <c r="P14042" s="99"/>
      <c r="Q14042" s="99"/>
      <c r="R14042" s="99"/>
    </row>
    <row r="14043" spans="5:18" s="65" customFormat="1">
      <c r="E14043" s="130"/>
      <c r="P14043" s="99"/>
      <c r="Q14043" s="99"/>
      <c r="R14043" s="99"/>
    </row>
    <row r="14044" spans="5:18" s="65" customFormat="1">
      <c r="E14044" s="130"/>
      <c r="P14044" s="99"/>
      <c r="Q14044" s="99"/>
      <c r="R14044" s="99"/>
    </row>
    <row r="14045" spans="5:18" s="65" customFormat="1">
      <c r="E14045" s="130"/>
      <c r="P14045" s="99"/>
      <c r="Q14045" s="99"/>
      <c r="R14045" s="99"/>
    </row>
    <row r="14046" spans="5:18" s="65" customFormat="1">
      <c r="E14046" s="130"/>
      <c r="P14046" s="99"/>
      <c r="Q14046" s="99"/>
      <c r="R14046" s="99"/>
    </row>
    <row r="14047" spans="5:18" s="65" customFormat="1">
      <c r="E14047" s="130"/>
      <c r="P14047" s="99"/>
      <c r="Q14047" s="99"/>
      <c r="R14047" s="99"/>
    </row>
    <row r="14048" spans="5:18" s="65" customFormat="1">
      <c r="E14048" s="130"/>
      <c r="P14048" s="99"/>
      <c r="Q14048" s="99"/>
      <c r="R14048" s="99"/>
    </row>
    <row r="14049" spans="5:18" s="65" customFormat="1">
      <c r="E14049" s="130"/>
      <c r="P14049" s="99"/>
      <c r="Q14049" s="99"/>
      <c r="R14049" s="99"/>
    </row>
    <row r="14050" spans="5:18" s="65" customFormat="1">
      <c r="E14050" s="130"/>
      <c r="P14050" s="99"/>
      <c r="Q14050" s="99"/>
      <c r="R14050" s="99"/>
    </row>
    <row r="14051" spans="5:18" s="65" customFormat="1">
      <c r="E14051" s="130"/>
      <c r="P14051" s="99"/>
      <c r="Q14051" s="99"/>
      <c r="R14051" s="99"/>
    </row>
    <row r="14052" spans="5:18" s="65" customFormat="1">
      <c r="E14052" s="130"/>
      <c r="P14052" s="99"/>
      <c r="Q14052" s="99"/>
      <c r="R14052" s="99"/>
    </row>
    <row r="14053" spans="5:18" s="65" customFormat="1">
      <c r="E14053" s="130"/>
      <c r="P14053" s="99"/>
      <c r="Q14053" s="99"/>
      <c r="R14053" s="99"/>
    </row>
    <row r="14054" spans="5:18" s="65" customFormat="1">
      <c r="E14054" s="130"/>
      <c r="P14054" s="99"/>
      <c r="Q14054" s="99"/>
      <c r="R14054" s="99"/>
    </row>
    <row r="14055" spans="5:18" s="65" customFormat="1">
      <c r="E14055" s="130"/>
      <c r="P14055" s="99"/>
      <c r="Q14055" s="99"/>
      <c r="R14055" s="99"/>
    </row>
    <row r="14056" spans="5:18" s="65" customFormat="1">
      <c r="E14056" s="130"/>
      <c r="P14056" s="99"/>
      <c r="Q14056" s="99"/>
      <c r="R14056" s="99"/>
    </row>
    <row r="14057" spans="5:18" s="65" customFormat="1">
      <c r="E14057" s="130"/>
      <c r="P14057" s="99"/>
      <c r="Q14057" s="99"/>
      <c r="R14057" s="99"/>
    </row>
    <row r="14058" spans="5:18" s="65" customFormat="1">
      <c r="E14058" s="130"/>
      <c r="P14058" s="99"/>
      <c r="Q14058" s="99"/>
      <c r="R14058" s="99"/>
    </row>
    <row r="14059" spans="5:18" s="65" customFormat="1">
      <c r="E14059" s="130"/>
      <c r="P14059" s="99"/>
      <c r="Q14059" s="99"/>
      <c r="R14059" s="99"/>
    </row>
    <row r="14060" spans="5:18" s="65" customFormat="1">
      <c r="E14060" s="130"/>
      <c r="P14060" s="99"/>
      <c r="Q14060" s="99"/>
      <c r="R14060" s="99"/>
    </row>
    <row r="14061" spans="5:18" s="65" customFormat="1">
      <c r="E14061" s="130"/>
      <c r="P14061" s="99"/>
      <c r="Q14061" s="99"/>
      <c r="R14061" s="99"/>
    </row>
    <row r="14062" spans="5:18" s="65" customFormat="1">
      <c r="E14062" s="130"/>
      <c r="P14062" s="99"/>
      <c r="Q14062" s="99"/>
      <c r="R14062" s="99"/>
    </row>
    <row r="14063" spans="5:18" s="65" customFormat="1">
      <c r="E14063" s="130"/>
      <c r="P14063" s="99"/>
      <c r="Q14063" s="99"/>
      <c r="R14063" s="99"/>
    </row>
    <row r="14064" spans="5:18" s="65" customFormat="1">
      <c r="E14064" s="130"/>
      <c r="P14064" s="99"/>
      <c r="Q14064" s="99"/>
      <c r="R14064" s="99"/>
    </row>
    <row r="14065" spans="5:18" s="65" customFormat="1">
      <c r="E14065" s="130"/>
      <c r="P14065" s="99"/>
      <c r="Q14065" s="99"/>
      <c r="R14065" s="99"/>
    </row>
    <row r="14066" spans="5:18" s="65" customFormat="1">
      <c r="E14066" s="130"/>
      <c r="P14066" s="99"/>
      <c r="Q14066" s="99"/>
      <c r="R14066" s="99"/>
    </row>
    <row r="14067" spans="5:18" s="65" customFormat="1">
      <c r="E14067" s="130"/>
      <c r="P14067" s="99"/>
      <c r="Q14067" s="99"/>
      <c r="R14067" s="99"/>
    </row>
    <row r="14068" spans="5:18" s="65" customFormat="1">
      <c r="E14068" s="130"/>
      <c r="P14068" s="99"/>
      <c r="Q14068" s="99"/>
      <c r="R14068" s="99"/>
    </row>
    <row r="14069" spans="5:18" s="65" customFormat="1">
      <c r="E14069" s="130"/>
      <c r="P14069" s="99"/>
      <c r="Q14069" s="99"/>
      <c r="R14069" s="99"/>
    </row>
    <row r="14070" spans="5:18" s="65" customFormat="1">
      <c r="E14070" s="130"/>
      <c r="P14070" s="99"/>
      <c r="Q14070" s="99"/>
      <c r="R14070" s="99"/>
    </row>
    <row r="14071" spans="5:18" s="65" customFormat="1">
      <c r="E14071" s="130"/>
      <c r="P14071" s="99"/>
      <c r="Q14071" s="99"/>
      <c r="R14071" s="99"/>
    </row>
    <row r="14072" spans="5:18" s="65" customFormat="1">
      <c r="E14072" s="130"/>
      <c r="P14072" s="99"/>
      <c r="Q14072" s="99"/>
      <c r="R14072" s="99"/>
    </row>
    <row r="14073" spans="5:18" s="65" customFormat="1">
      <c r="E14073" s="130"/>
      <c r="P14073" s="99"/>
      <c r="Q14073" s="99"/>
      <c r="R14073" s="99"/>
    </row>
    <row r="14074" spans="5:18" s="65" customFormat="1">
      <c r="E14074" s="130"/>
      <c r="P14074" s="99"/>
      <c r="Q14074" s="99"/>
      <c r="R14074" s="99"/>
    </row>
    <row r="14075" spans="5:18" s="65" customFormat="1">
      <c r="E14075" s="130"/>
      <c r="P14075" s="99"/>
      <c r="Q14075" s="99"/>
      <c r="R14075" s="99"/>
    </row>
    <row r="14076" spans="5:18" s="65" customFormat="1">
      <c r="E14076" s="130"/>
      <c r="P14076" s="99"/>
      <c r="Q14076" s="99"/>
      <c r="R14076" s="99"/>
    </row>
    <row r="14077" spans="5:18" s="65" customFormat="1">
      <c r="E14077" s="130"/>
      <c r="P14077" s="99"/>
      <c r="Q14077" s="99"/>
      <c r="R14077" s="99"/>
    </row>
    <row r="14078" spans="5:18" s="65" customFormat="1">
      <c r="E14078" s="130"/>
      <c r="P14078" s="99"/>
      <c r="Q14078" s="99"/>
      <c r="R14078" s="99"/>
    </row>
    <row r="14079" spans="5:18" s="65" customFormat="1">
      <c r="E14079" s="130"/>
      <c r="P14079" s="99"/>
      <c r="Q14079" s="99"/>
      <c r="R14079" s="99"/>
    </row>
    <row r="14080" spans="5:18" s="65" customFormat="1">
      <c r="E14080" s="130"/>
      <c r="P14080" s="99"/>
      <c r="Q14080" s="99"/>
      <c r="R14080" s="99"/>
    </row>
    <row r="14081" spans="5:18" s="65" customFormat="1">
      <c r="E14081" s="130"/>
      <c r="P14081" s="99"/>
      <c r="Q14081" s="99"/>
      <c r="R14081" s="99"/>
    </row>
    <row r="14082" spans="5:18" s="65" customFormat="1">
      <c r="E14082" s="130"/>
      <c r="P14082" s="99"/>
      <c r="Q14082" s="99"/>
      <c r="R14082" s="99"/>
    </row>
    <row r="14083" spans="5:18" s="65" customFormat="1">
      <c r="E14083" s="130"/>
      <c r="P14083" s="99"/>
      <c r="Q14083" s="99"/>
      <c r="R14083" s="99"/>
    </row>
    <row r="14084" spans="5:18" s="65" customFormat="1">
      <c r="E14084" s="130"/>
      <c r="P14084" s="99"/>
      <c r="Q14084" s="99"/>
      <c r="R14084" s="99"/>
    </row>
    <row r="14085" spans="5:18" s="65" customFormat="1">
      <c r="E14085" s="130"/>
      <c r="P14085" s="99"/>
      <c r="Q14085" s="99"/>
      <c r="R14085" s="99"/>
    </row>
    <row r="14086" spans="5:18" s="65" customFormat="1">
      <c r="E14086" s="130"/>
      <c r="P14086" s="99"/>
      <c r="Q14086" s="99"/>
      <c r="R14086" s="99"/>
    </row>
    <row r="14087" spans="5:18" s="65" customFormat="1">
      <c r="E14087" s="130"/>
      <c r="P14087" s="99"/>
      <c r="Q14087" s="99"/>
      <c r="R14087" s="99"/>
    </row>
    <row r="14088" spans="5:18" s="65" customFormat="1">
      <c r="E14088" s="130"/>
      <c r="P14088" s="99"/>
      <c r="Q14088" s="99"/>
      <c r="R14088" s="99"/>
    </row>
    <row r="14089" spans="5:18" s="65" customFormat="1">
      <c r="E14089" s="130"/>
      <c r="P14089" s="99"/>
      <c r="Q14089" s="99"/>
      <c r="R14089" s="99"/>
    </row>
    <row r="14090" spans="5:18" s="65" customFormat="1">
      <c r="E14090" s="130"/>
      <c r="P14090" s="99"/>
      <c r="Q14090" s="99"/>
      <c r="R14090" s="99"/>
    </row>
    <row r="14091" spans="5:18" s="65" customFormat="1">
      <c r="E14091" s="130"/>
      <c r="P14091" s="99"/>
      <c r="Q14091" s="99"/>
      <c r="R14091" s="99"/>
    </row>
    <row r="14092" spans="5:18" s="65" customFormat="1">
      <c r="E14092" s="130"/>
      <c r="P14092" s="99"/>
      <c r="Q14092" s="99"/>
      <c r="R14092" s="99"/>
    </row>
    <row r="14093" spans="5:18" s="65" customFormat="1">
      <c r="E14093" s="130"/>
      <c r="P14093" s="99"/>
      <c r="Q14093" s="99"/>
      <c r="R14093" s="99"/>
    </row>
    <row r="14094" spans="5:18" s="65" customFormat="1">
      <c r="E14094" s="130"/>
      <c r="P14094" s="99"/>
      <c r="Q14094" s="99"/>
      <c r="R14094" s="99"/>
    </row>
    <row r="14095" spans="5:18" s="65" customFormat="1">
      <c r="E14095" s="130"/>
      <c r="P14095" s="99"/>
      <c r="Q14095" s="99"/>
      <c r="R14095" s="99"/>
    </row>
    <row r="14096" spans="5:18" s="65" customFormat="1">
      <c r="E14096" s="130"/>
      <c r="P14096" s="99"/>
      <c r="Q14096" s="99"/>
      <c r="R14096" s="99"/>
    </row>
    <row r="14097" spans="5:18" s="65" customFormat="1">
      <c r="E14097" s="130"/>
      <c r="P14097" s="99"/>
      <c r="Q14097" s="99"/>
      <c r="R14097" s="99"/>
    </row>
    <row r="14098" spans="5:18" s="65" customFormat="1">
      <c r="E14098" s="130"/>
      <c r="P14098" s="99"/>
      <c r="Q14098" s="99"/>
      <c r="R14098" s="99"/>
    </row>
    <row r="14099" spans="5:18" s="65" customFormat="1">
      <c r="E14099" s="130"/>
      <c r="P14099" s="99"/>
      <c r="Q14099" s="99"/>
      <c r="R14099" s="99"/>
    </row>
    <row r="14100" spans="5:18" s="65" customFormat="1">
      <c r="E14100" s="130"/>
      <c r="P14100" s="99"/>
      <c r="Q14100" s="99"/>
      <c r="R14100" s="99"/>
    </row>
    <row r="14101" spans="5:18" s="65" customFormat="1">
      <c r="E14101" s="130"/>
      <c r="P14101" s="99"/>
      <c r="Q14101" s="99"/>
      <c r="R14101" s="99"/>
    </row>
    <row r="14102" spans="5:18" s="65" customFormat="1">
      <c r="E14102" s="130"/>
      <c r="P14102" s="99"/>
      <c r="Q14102" s="99"/>
      <c r="R14102" s="99"/>
    </row>
    <row r="14103" spans="5:18" s="65" customFormat="1">
      <c r="E14103" s="130"/>
      <c r="P14103" s="99"/>
      <c r="Q14103" s="99"/>
      <c r="R14103" s="99"/>
    </row>
    <row r="14104" spans="5:18" s="65" customFormat="1">
      <c r="E14104" s="130"/>
      <c r="P14104" s="99"/>
      <c r="Q14104" s="99"/>
      <c r="R14104" s="99"/>
    </row>
    <row r="14105" spans="5:18" s="65" customFormat="1">
      <c r="E14105" s="130"/>
      <c r="P14105" s="99"/>
      <c r="Q14105" s="99"/>
      <c r="R14105" s="99"/>
    </row>
    <row r="14106" spans="5:18" s="65" customFormat="1">
      <c r="E14106" s="130"/>
      <c r="P14106" s="99"/>
      <c r="Q14106" s="99"/>
      <c r="R14106" s="99"/>
    </row>
    <row r="14107" spans="5:18" s="65" customFormat="1">
      <c r="E14107" s="130"/>
      <c r="P14107" s="99"/>
      <c r="Q14107" s="99"/>
      <c r="R14107" s="99"/>
    </row>
    <row r="14108" spans="5:18" s="65" customFormat="1">
      <c r="E14108" s="130"/>
      <c r="P14108" s="99"/>
      <c r="Q14108" s="99"/>
      <c r="R14108" s="99"/>
    </row>
    <row r="14109" spans="5:18" s="65" customFormat="1">
      <c r="E14109" s="130"/>
      <c r="P14109" s="99"/>
      <c r="Q14109" s="99"/>
      <c r="R14109" s="99"/>
    </row>
    <row r="14110" spans="5:18" s="65" customFormat="1">
      <c r="E14110" s="130"/>
      <c r="P14110" s="99"/>
      <c r="Q14110" s="99"/>
      <c r="R14110" s="99"/>
    </row>
    <row r="14111" spans="5:18" s="65" customFormat="1">
      <c r="E14111" s="130"/>
      <c r="P14111" s="99"/>
      <c r="Q14111" s="99"/>
      <c r="R14111" s="99"/>
    </row>
    <row r="14112" spans="5:18" s="65" customFormat="1">
      <c r="E14112" s="130"/>
      <c r="P14112" s="99"/>
      <c r="Q14112" s="99"/>
      <c r="R14112" s="99"/>
    </row>
    <row r="14113" spans="5:18" s="65" customFormat="1">
      <c r="E14113" s="130"/>
      <c r="P14113" s="99"/>
      <c r="Q14113" s="99"/>
      <c r="R14113" s="99"/>
    </row>
    <row r="14114" spans="5:18" s="65" customFormat="1">
      <c r="E14114" s="130"/>
      <c r="P14114" s="99"/>
      <c r="Q14114" s="99"/>
      <c r="R14114" s="99"/>
    </row>
    <row r="14115" spans="5:18" s="65" customFormat="1">
      <c r="E14115" s="130"/>
      <c r="P14115" s="99"/>
      <c r="Q14115" s="99"/>
      <c r="R14115" s="99"/>
    </row>
    <row r="14116" spans="5:18" s="65" customFormat="1">
      <c r="E14116" s="130"/>
      <c r="P14116" s="99"/>
      <c r="Q14116" s="99"/>
      <c r="R14116" s="99"/>
    </row>
    <row r="14117" spans="5:18" s="65" customFormat="1">
      <c r="E14117" s="130"/>
      <c r="P14117" s="99"/>
      <c r="Q14117" s="99"/>
      <c r="R14117" s="99"/>
    </row>
    <row r="14118" spans="5:18" s="65" customFormat="1">
      <c r="E14118" s="130"/>
      <c r="P14118" s="99"/>
      <c r="Q14118" s="99"/>
      <c r="R14118" s="99"/>
    </row>
    <row r="14119" spans="5:18" s="65" customFormat="1">
      <c r="E14119" s="130"/>
      <c r="P14119" s="99"/>
      <c r="Q14119" s="99"/>
      <c r="R14119" s="99"/>
    </row>
    <row r="14120" spans="5:18" s="65" customFormat="1">
      <c r="E14120" s="130"/>
      <c r="P14120" s="99"/>
      <c r="Q14120" s="99"/>
      <c r="R14120" s="99"/>
    </row>
    <row r="14121" spans="5:18" s="65" customFormat="1">
      <c r="E14121" s="130"/>
      <c r="P14121" s="99"/>
      <c r="Q14121" s="99"/>
      <c r="R14121" s="99"/>
    </row>
    <row r="14122" spans="5:18" s="65" customFormat="1">
      <c r="E14122" s="130"/>
      <c r="P14122" s="99"/>
      <c r="Q14122" s="99"/>
      <c r="R14122" s="99"/>
    </row>
    <row r="14123" spans="5:18" s="65" customFormat="1">
      <c r="E14123" s="130"/>
      <c r="P14123" s="99"/>
      <c r="Q14123" s="99"/>
      <c r="R14123" s="99"/>
    </row>
    <row r="14124" spans="5:18" s="65" customFormat="1">
      <c r="E14124" s="130"/>
      <c r="P14124" s="99"/>
      <c r="Q14124" s="99"/>
      <c r="R14124" s="99"/>
    </row>
    <row r="14125" spans="5:18" s="65" customFormat="1">
      <c r="E14125" s="130"/>
      <c r="P14125" s="99"/>
      <c r="Q14125" s="99"/>
      <c r="R14125" s="99"/>
    </row>
    <row r="14126" spans="5:18" s="65" customFormat="1">
      <c r="E14126" s="130"/>
      <c r="P14126" s="99"/>
      <c r="Q14126" s="99"/>
      <c r="R14126" s="99"/>
    </row>
    <row r="14127" spans="5:18" s="65" customFormat="1">
      <c r="E14127" s="130"/>
      <c r="P14127" s="99"/>
      <c r="Q14127" s="99"/>
      <c r="R14127" s="99"/>
    </row>
    <row r="14128" spans="5:18" s="65" customFormat="1">
      <c r="E14128" s="130"/>
      <c r="P14128" s="99"/>
      <c r="Q14128" s="99"/>
      <c r="R14128" s="99"/>
    </row>
    <row r="14129" spans="5:18" s="65" customFormat="1">
      <c r="E14129" s="130"/>
      <c r="P14129" s="99"/>
      <c r="Q14129" s="99"/>
      <c r="R14129" s="99"/>
    </row>
    <row r="14130" spans="5:18" s="65" customFormat="1">
      <c r="E14130" s="130"/>
      <c r="P14130" s="99"/>
      <c r="Q14130" s="99"/>
      <c r="R14130" s="99"/>
    </row>
    <row r="14131" spans="5:18" s="65" customFormat="1">
      <c r="E14131" s="130"/>
      <c r="P14131" s="99"/>
      <c r="Q14131" s="99"/>
      <c r="R14131" s="99"/>
    </row>
    <row r="14132" spans="5:18" s="65" customFormat="1">
      <c r="E14132" s="130"/>
      <c r="P14132" s="99"/>
      <c r="Q14132" s="99"/>
      <c r="R14132" s="99"/>
    </row>
    <row r="14133" spans="5:18" s="65" customFormat="1">
      <c r="E14133" s="130"/>
      <c r="P14133" s="99"/>
      <c r="Q14133" s="99"/>
      <c r="R14133" s="99"/>
    </row>
    <row r="14134" spans="5:18" s="65" customFormat="1">
      <c r="E14134" s="130"/>
      <c r="P14134" s="99"/>
      <c r="Q14134" s="99"/>
      <c r="R14134" s="99"/>
    </row>
    <row r="14135" spans="5:18" s="65" customFormat="1">
      <c r="E14135" s="130"/>
      <c r="P14135" s="99"/>
      <c r="Q14135" s="99"/>
      <c r="R14135" s="99"/>
    </row>
    <row r="14136" spans="5:18" s="65" customFormat="1">
      <c r="E14136" s="130"/>
      <c r="P14136" s="99"/>
      <c r="Q14136" s="99"/>
      <c r="R14136" s="99"/>
    </row>
    <row r="14137" spans="5:18" s="65" customFormat="1">
      <c r="E14137" s="130"/>
      <c r="P14137" s="99"/>
      <c r="Q14137" s="99"/>
      <c r="R14137" s="99"/>
    </row>
    <row r="14138" spans="5:18" s="65" customFormat="1">
      <c r="E14138" s="130"/>
      <c r="P14138" s="99"/>
      <c r="Q14138" s="99"/>
      <c r="R14138" s="99"/>
    </row>
    <row r="14139" spans="5:18" s="65" customFormat="1">
      <c r="E14139" s="130"/>
      <c r="P14139" s="99"/>
      <c r="Q14139" s="99"/>
      <c r="R14139" s="99"/>
    </row>
    <row r="14140" spans="5:18" s="65" customFormat="1">
      <c r="E14140" s="130"/>
      <c r="P14140" s="99"/>
      <c r="Q14140" s="99"/>
      <c r="R14140" s="99"/>
    </row>
    <row r="14141" spans="5:18" s="65" customFormat="1">
      <c r="E14141" s="130"/>
      <c r="P14141" s="99"/>
      <c r="Q14141" s="99"/>
      <c r="R14141" s="99"/>
    </row>
    <row r="14142" spans="5:18" s="65" customFormat="1">
      <c r="E14142" s="130"/>
      <c r="P14142" s="99"/>
      <c r="Q14142" s="99"/>
      <c r="R14142" s="99"/>
    </row>
    <row r="14143" spans="5:18" s="65" customFormat="1">
      <c r="E14143" s="130"/>
      <c r="P14143" s="99"/>
      <c r="Q14143" s="99"/>
      <c r="R14143" s="99"/>
    </row>
    <row r="14144" spans="5:18" s="65" customFormat="1">
      <c r="E14144" s="130"/>
      <c r="P14144" s="99"/>
      <c r="Q14144" s="99"/>
      <c r="R14144" s="99"/>
    </row>
    <row r="14145" spans="5:18" s="65" customFormat="1">
      <c r="E14145" s="130"/>
      <c r="P14145" s="99"/>
      <c r="Q14145" s="99"/>
      <c r="R14145" s="99"/>
    </row>
    <row r="14146" spans="5:18" s="65" customFormat="1">
      <c r="E14146" s="130"/>
      <c r="P14146" s="99"/>
      <c r="Q14146" s="99"/>
      <c r="R14146" s="99"/>
    </row>
    <row r="14147" spans="5:18" s="65" customFormat="1">
      <c r="E14147" s="130"/>
      <c r="P14147" s="99"/>
      <c r="Q14147" s="99"/>
      <c r="R14147" s="99"/>
    </row>
    <row r="14148" spans="5:18" s="65" customFormat="1">
      <c r="E14148" s="130"/>
      <c r="P14148" s="99"/>
      <c r="Q14148" s="99"/>
      <c r="R14148" s="99"/>
    </row>
    <row r="14149" spans="5:18" s="65" customFormat="1">
      <c r="E14149" s="130"/>
      <c r="P14149" s="99"/>
      <c r="Q14149" s="99"/>
      <c r="R14149" s="99"/>
    </row>
    <row r="14150" spans="5:18" s="65" customFormat="1">
      <c r="E14150" s="130"/>
      <c r="P14150" s="99"/>
      <c r="Q14150" s="99"/>
      <c r="R14150" s="99"/>
    </row>
    <row r="14151" spans="5:18" s="65" customFormat="1">
      <c r="E14151" s="130"/>
      <c r="P14151" s="99"/>
      <c r="Q14151" s="99"/>
      <c r="R14151" s="99"/>
    </row>
    <row r="14152" spans="5:18" s="65" customFormat="1">
      <c r="E14152" s="130"/>
      <c r="P14152" s="99"/>
      <c r="Q14152" s="99"/>
      <c r="R14152" s="99"/>
    </row>
    <row r="14153" spans="5:18" s="65" customFormat="1">
      <c r="E14153" s="130"/>
      <c r="P14153" s="99"/>
      <c r="Q14153" s="99"/>
      <c r="R14153" s="99"/>
    </row>
    <row r="14154" spans="5:18" s="65" customFormat="1">
      <c r="E14154" s="130"/>
      <c r="P14154" s="99"/>
      <c r="Q14154" s="99"/>
      <c r="R14154" s="99"/>
    </row>
    <row r="14155" spans="5:18" s="65" customFormat="1">
      <c r="E14155" s="130"/>
      <c r="P14155" s="99"/>
      <c r="Q14155" s="99"/>
      <c r="R14155" s="99"/>
    </row>
    <row r="14156" spans="5:18" s="65" customFormat="1">
      <c r="E14156" s="130"/>
      <c r="P14156" s="99"/>
      <c r="Q14156" s="99"/>
      <c r="R14156" s="99"/>
    </row>
    <row r="14157" spans="5:18" s="65" customFormat="1">
      <c r="E14157" s="130"/>
      <c r="P14157" s="99"/>
      <c r="Q14157" s="99"/>
      <c r="R14157" s="99"/>
    </row>
    <row r="14158" spans="5:18" s="65" customFormat="1">
      <c r="E14158" s="130"/>
      <c r="P14158" s="99"/>
      <c r="Q14158" s="99"/>
      <c r="R14158" s="99"/>
    </row>
    <row r="14159" spans="5:18" s="65" customFormat="1">
      <c r="E14159" s="130"/>
      <c r="P14159" s="99"/>
      <c r="Q14159" s="99"/>
      <c r="R14159" s="99"/>
    </row>
    <row r="14160" spans="5:18" s="65" customFormat="1">
      <c r="E14160" s="130"/>
      <c r="P14160" s="99"/>
      <c r="Q14160" s="99"/>
      <c r="R14160" s="99"/>
    </row>
    <row r="14161" spans="5:18" s="65" customFormat="1">
      <c r="E14161" s="130"/>
      <c r="P14161" s="99"/>
      <c r="Q14161" s="99"/>
      <c r="R14161" s="99"/>
    </row>
    <row r="14162" spans="5:18" s="65" customFormat="1">
      <c r="E14162" s="130"/>
      <c r="P14162" s="99"/>
      <c r="Q14162" s="99"/>
      <c r="R14162" s="99"/>
    </row>
    <row r="14163" spans="5:18" s="65" customFormat="1">
      <c r="E14163" s="130"/>
      <c r="P14163" s="99"/>
      <c r="Q14163" s="99"/>
      <c r="R14163" s="99"/>
    </row>
    <row r="14164" spans="5:18" s="65" customFormat="1">
      <c r="E14164" s="130"/>
      <c r="P14164" s="99"/>
      <c r="Q14164" s="99"/>
      <c r="R14164" s="99"/>
    </row>
    <row r="14165" spans="5:18" s="65" customFormat="1">
      <c r="E14165" s="130"/>
      <c r="P14165" s="99"/>
      <c r="Q14165" s="99"/>
      <c r="R14165" s="99"/>
    </row>
    <row r="14166" spans="5:18" s="65" customFormat="1">
      <c r="E14166" s="130"/>
      <c r="P14166" s="99"/>
      <c r="Q14166" s="99"/>
      <c r="R14166" s="99"/>
    </row>
    <row r="14167" spans="5:18" s="65" customFormat="1">
      <c r="E14167" s="130"/>
      <c r="P14167" s="99"/>
      <c r="Q14167" s="99"/>
      <c r="R14167" s="99"/>
    </row>
    <row r="14168" spans="5:18" s="65" customFormat="1">
      <c r="E14168" s="130"/>
      <c r="P14168" s="99"/>
      <c r="Q14168" s="99"/>
      <c r="R14168" s="99"/>
    </row>
    <row r="14169" spans="5:18" s="65" customFormat="1">
      <c r="E14169" s="130"/>
      <c r="P14169" s="99"/>
      <c r="Q14169" s="99"/>
      <c r="R14169" s="99"/>
    </row>
    <row r="14170" spans="5:18" s="65" customFormat="1">
      <c r="E14170" s="130"/>
      <c r="P14170" s="99"/>
      <c r="Q14170" s="99"/>
      <c r="R14170" s="99"/>
    </row>
    <row r="14171" spans="5:18" s="65" customFormat="1">
      <c r="E14171" s="130"/>
      <c r="P14171" s="99"/>
      <c r="Q14171" s="99"/>
      <c r="R14171" s="99"/>
    </row>
    <row r="14172" spans="5:18" s="65" customFormat="1">
      <c r="E14172" s="130"/>
      <c r="P14172" s="99"/>
      <c r="Q14172" s="99"/>
      <c r="R14172" s="99"/>
    </row>
    <row r="14173" spans="5:18" s="65" customFormat="1">
      <c r="E14173" s="130"/>
      <c r="P14173" s="99"/>
      <c r="Q14173" s="99"/>
      <c r="R14173" s="99"/>
    </row>
    <row r="14174" spans="5:18" s="65" customFormat="1">
      <c r="E14174" s="130"/>
      <c r="P14174" s="99"/>
      <c r="Q14174" s="99"/>
      <c r="R14174" s="99"/>
    </row>
    <row r="14175" spans="5:18" s="65" customFormat="1">
      <c r="E14175" s="130"/>
      <c r="P14175" s="99"/>
      <c r="Q14175" s="99"/>
      <c r="R14175" s="99"/>
    </row>
    <row r="14176" spans="5:18" s="65" customFormat="1">
      <c r="E14176" s="130"/>
      <c r="P14176" s="99"/>
      <c r="Q14176" s="99"/>
      <c r="R14176" s="99"/>
    </row>
    <row r="14177" spans="5:18" s="65" customFormat="1">
      <c r="E14177" s="130"/>
      <c r="P14177" s="99"/>
      <c r="Q14177" s="99"/>
      <c r="R14177" s="99"/>
    </row>
    <row r="14178" spans="5:18" s="65" customFormat="1">
      <c r="E14178" s="130"/>
      <c r="P14178" s="99"/>
      <c r="Q14178" s="99"/>
      <c r="R14178" s="99"/>
    </row>
    <row r="14179" spans="5:18" s="65" customFormat="1">
      <c r="E14179" s="130"/>
      <c r="P14179" s="99"/>
      <c r="Q14179" s="99"/>
      <c r="R14179" s="99"/>
    </row>
    <row r="14180" spans="5:18" s="65" customFormat="1">
      <c r="E14180" s="130"/>
      <c r="P14180" s="99"/>
      <c r="Q14180" s="99"/>
      <c r="R14180" s="99"/>
    </row>
    <row r="14181" spans="5:18" s="65" customFormat="1">
      <c r="E14181" s="130"/>
      <c r="P14181" s="99"/>
      <c r="Q14181" s="99"/>
      <c r="R14181" s="99"/>
    </row>
    <row r="14182" spans="5:18" s="65" customFormat="1">
      <c r="E14182" s="130"/>
      <c r="P14182" s="99"/>
      <c r="Q14182" s="99"/>
      <c r="R14182" s="99"/>
    </row>
    <row r="14183" spans="5:18" s="65" customFormat="1">
      <c r="E14183" s="130"/>
      <c r="P14183" s="99"/>
      <c r="Q14183" s="99"/>
      <c r="R14183" s="99"/>
    </row>
    <row r="14184" spans="5:18" s="65" customFormat="1">
      <c r="E14184" s="130"/>
      <c r="P14184" s="99"/>
      <c r="Q14184" s="99"/>
      <c r="R14184" s="99"/>
    </row>
    <row r="14185" spans="5:18" s="65" customFormat="1">
      <c r="E14185" s="130"/>
      <c r="P14185" s="99"/>
      <c r="Q14185" s="99"/>
      <c r="R14185" s="99"/>
    </row>
    <row r="14186" spans="5:18" s="65" customFormat="1">
      <c r="E14186" s="130"/>
      <c r="P14186" s="99"/>
      <c r="Q14186" s="99"/>
      <c r="R14186" s="99"/>
    </row>
    <row r="14187" spans="5:18" s="65" customFormat="1">
      <c r="E14187" s="130"/>
      <c r="P14187" s="99"/>
      <c r="Q14187" s="99"/>
      <c r="R14187" s="99"/>
    </row>
    <row r="14188" spans="5:18" s="65" customFormat="1">
      <c r="E14188" s="130"/>
      <c r="P14188" s="99"/>
      <c r="Q14188" s="99"/>
      <c r="R14188" s="99"/>
    </row>
    <row r="14189" spans="5:18" s="65" customFormat="1">
      <c r="E14189" s="130"/>
      <c r="P14189" s="99"/>
      <c r="Q14189" s="99"/>
      <c r="R14189" s="99"/>
    </row>
    <row r="14190" spans="5:18" s="65" customFormat="1">
      <c r="E14190" s="130"/>
      <c r="P14190" s="99"/>
      <c r="Q14190" s="99"/>
      <c r="R14190" s="99"/>
    </row>
    <row r="14191" spans="5:18" s="65" customFormat="1">
      <c r="E14191" s="130"/>
      <c r="P14191" s="99"/>
      <c r="Q14191" s="99"/>
      <c r="R14191" s="99"/>
    </row>
    <row r="14192" spans="5:18" s="65" customFormat="1">
      <c r="E14192" s="130"/>
      <c r="P14192" s="99"/>
      <c r="Q14192" s="99"/>
      <c r="R14192" s="99"/>
    </row>
    <row r="14193" spans="5:18" s="65" customFormat="1">
      <c r="E14193" s="130"/>
      <c r="P14193" s="99"/>
      <c r="Q14193" s="99"/>
      <c r="R14193" s="99"/>
    </row>
    <row r="14194" spans="5:18" s="65" customFormat="1">
      <c r="E14194" s="130"/>
      <c r="P14194" s="99"/>
      <c r="Q14194" s="99"/>
      <c r="R14194" s="99"/>
    </row>
    <row r="14195" spans="5:18" s="65" customFormat="1">
      <c r="E14195" s="130"/>
      <c r="P14195" s="99"/>
      <c r="Q14195" s="99"/>
      <c r="R14195" s="99"/>
    </row>
    <row r="14196" spans="5:18" s="65" customFormat="1">
      <c r="E14196" s="130"/>
      <c r="P14196" s="99"/>
      <c r="Q14196" s="99"/>
      <c r="R14196" s="99"/>
    </row>
    <row r="14197" spans="5:18" s="65" customFormat="1">
      <c r="E14197" s="130"/>
      <c r="P14197" s="99"/>
      <c r="Q14197" s="99"/>
      <c r="R14197" s="99"/>
    </row>
    <row r="14198" spans="5:18" s="65" customFormat="1">
      <c r="E14198" s="130"/>
      <c r="P14198" s="99"/>
      <c r="Q14198" s="99"/>
      <c r="R14198" s="99"/>
    </row>
    <row r="14199" spans="5:18" s="65" customFormat="1">
      <c r="E14199" s="130"/>
      <c r="P14199" s="99"/>
      <c r="Q14199" s="99"/>
      <c r="R14199" s="99"/>
    </row>
    <row r="14200" spans="5:18" s="65" customFormat="1">
      <c r="E14200" s="130"/>
      <c r="P14200" s="99"/>
      <c r="Q14200" s="99"/>
      <c r="R14200" s="99"/>
    </row>
    <row r="14201" spans="5:18" s="65" customFormat="1">
      <c r="E14201" s="130"/>
      <c r="P14201" s="99"/>
      <c r="Q14201" s="99"/>
      <c r="R14201" s="99"/>
    </row>
    <row r="14202" spans="5:18" s="65" customFormat="1">
      <c r="E14202" s="130"/>
      <c r="P14202" s="99"/>
      <c r="Q14202" s="99"/>
      <c r="R14202" s="99"/>
    </row>
    <row r="14203" spans="5:18" s="65" customFormat="1">
      <c r="E14203" s="130"/>
      <c r="P14203" s="99"/>
      <c r="Q14203" s="99"/>
      <c r="R14203" s="99"/>
    </row>
    <row r="14204" spans="5:18" s="65" customFormat="1">
      <c r="E14204" s="130"/>
      <c r="P14204" s="99"/>
      <c r="Q14204" s="99"/>
      <c r="R14204" s="99"/>
    </row>
    <row r="14205" spans="5:18" s="65" customFormat="1">
      <c r="E14205" s="130"/>
      <c r="P14205" s="99"/>
      <c r="Q14205" s="99"/>
      <c r="R14205" s="99"/>
    </row>
    <row r="14206" spans="5:18" s="65" customFormat="1">
      <c r="E14206" s="130"/>
      <c r="P14206" s="99"/>
      <c r="Q14206" s="99"/>
      <c r="R14206" s="99"/>
    </row>
    <row r="14207" spans="5:18" s="65" customFormat="1">
      <c r="E14207" s="130"/>
      <c r="P14207" s="99"/>
      <c r="Q14207" s="99"/>
      <c r="R14207" s="99"/>
    </row>
    <row r="14208" spans="5:18" s="65" customFormat="1">
      <c r="E14208" s="130"/>
      <c r="P14208" s="99"/>
      <c r="Q14208" s="99"/>
      <c r="R14208" s="99"/>
    </row>
    <row r="14209" spans="5:18" s="65" customFormat="1">
      <c r="E14209" s="130"/>
      <c r="P14209" s="99"/>
      <c r="Q14209" s="99"/>
      <c r="R14209" s="99"/>
    </row>
    <row r="14210" spans="5:18" s="65" customFormat="1">
      <c r="E14210" s="130"/>
      <c r="P14210" s="99"/>
      <c r="Q14210" s="99"/>
      <c r="R14210" s="99"/>
    </row>
    <row r="14211" spans="5:18" s="65" customFormat="1">
      <c r="E14211" s="130"/>
      <c r="P14211" s="99"/>
      <c r="Q14211" s="99"/>
      <c r="R14211" s="99"/>
    </row>
    <row r="14212" spans="5:18" s="65" customFormat="1">
      <c r="E14212" s="130"/>
      <c r="P14212" s="99"/>
      <c r="Q14212" s="99"/>
      <c r="R14212" s="99"/>
    </row>
    <row r="14213" spans="5:18" s="65" customFormat="1">
      <c r="E14213" s="130"/>
      <c r="P14213" s="99"/>
      <c r="Q14213" s="99"/>
      <c r="R14213" s="99"/>
    </row>
    <row r="14214" spans="5:18" s="65" customFormat="1">
      <c r="E14214" s="130"/>
      <c r="P14214" s="99"/>
      <c r="Q14214" s="99"/>
      <c r="R14214" s="99"/>
    </row>
    <row r="14215" spans="5:18" s="65" customFormat="1">
      <c r="E14215" s="130"/>
      <c r="P14215" s="99"/>
      <c r="Q14215" s="99"/>
      <c r="R14215" s="99"/>
    </row>
    <row r="14216" spans="5:18" s="65" customFormat="1">
      <c r="E14216" s="130"/>
      <c r="P14216" s="99"/>
      <c r="Q14216" s="99"/>
      <c r="R14216" s="99"/>
    </row>
    <row r="14217" spans="5:18" s="65" customFormat="1">
      <c r="E14217" s="130"/>
      <c r="P14217" s="99"/>
      <c r="Q14217" s="99"/>
      <c r="R14217" s="99"/>
    </row>
    <row r="14218" spans="5:18" s="65" customFormat="1">
      <c r="E14218" s="130"/>
      <c r="P14218" s="99"/>
      <c r="Q14218" s="99"/>
      <c r="R14218" s="99"/>
    </row>
    <row r="14219" spans="5:18" s="65" customFormat="1">
      <c r="E14219" s="130"/>
      <c r="P14219" s="99"/>
      <c r="Q14219" s="99"/>
      <c r="R14219" s="99"/>
    </row>
    <row r="14220" spans="5:18" s="65" customFormat="1">
      <c r="E14220" s="130"/>
      <c r="P14220" s="99"/>
      <c r="Q14220" s="99"/>
      <c r="R14220" s="99"/>
    </row>
    <row r="14221" spans="5:18" s="65" customFormat="1">
      <c r="E14221" s="130"/>
      <c r="P14221" s="99"/>
      <c r="Q14221" s="99"/>
      <c r="R14221" s="99"/>
    </row>
    <row r="14222" spans="5:18" s="65" customFormat="1">
      <c r="E14222" s="130"/>
      <c r="P14222" s="99"/>
      <c r="Q14222" s="99"/>
      <c r="R14222" s="99"/>
    </row>
    <row r="14223" spans="5:18" s="65" customFormat="1">
      <c r="E14223" s="130"/>
      <c r="P14223" s="99"/>
      <c r="Q14223" s="99"/>
      <c r="R14223" s="99"/>
    </row>
    <row r="14224" spans="5:18" s="65" customFormat="1">
      <c r="E14224" s="130"/>
      <c r="P14224" s="99"/>
      <c r="Q14224" s="99"/>
      <c r="R14224" s="99"/>
    </row>
    <row r="14225" spans="5:18" s="65" customFormat="1">
      <c r="E14225" s="130"/>
      <c r="P14225" s="99"/>
      <c r="Q14225" s="99"/>
      <c r="R14225" s="99"/>
    </row>
    <row r="14226" spans="5:18" s="65" customFormat="1">
      <c r="E14226" s="130"/>
      <c r="P14226" s="99"/>
      <c r="Q14226" s="99"/>
      <c r="R14226" s="99"/>
    </row>
    <row r="14227" spans="5:18" s="65" customFormat="1">
      <c r="E14227" s="130"/>
      <c r="P14227" s="99"/>
      <c r="Q14227" s="99"/>
      <c r="R14227" s="99"/>
    </row>
    <row r="14228" spans="5:18" s="65" customFormat="1">
      <c r="E14228" s="130"/>
      <c r="P14228" s="99"/>
      <c r="Q14228" s="99"/>
      <c r="R14228" s="99"/>
    </row>
    <row r="14229" spans="5:18" s="65" customFormat="1">
      <c r="E14229" s="130"/>
      <c r="P14229" s="99"/>
      <c r="Q14229" s="99"/>
      <c r="R14229" s="99"/>
    </row>
    <row r="14230" spans="5:18" s="65" customFormat="1">
      <c r="E14230" s="130"/>
      <c r="P14230" s="99"/>
      <c r="Q14230" s="99"/>
      <c r="R14230" s="99"/>
    </row>
    <row r="14231" spans="5:18" s="65" customFormat="1">
      <c r="E14231" s="130"/>
      <c r="P14231" s="99"/>
      <c r="Q14231" s="99"/>
      <c r="R14231" s="99"/>
    </row>
    <row r="14232" spans="5:18" s="65" customFormat="1">
      <c r="E14232" s="130"/>
      <c r="P14232" s="99"/>
      <c r="Q14232" s="99"/>
      <c r="R14232" s="99"/>
    </row>
    <row r="14233" spans="5:18" s="65" customFormat="1">
      <c r="E14233" s="130"/>
      <c r="P14233" s="99"/>
      <c r="Q14233" s="99"/>
      <c r="R14233" s="99"/>
    </row>
    <row r="14234" spans="5:18" s="65" customFormat="1">
      <c r="E14234" s="130"/>
      <c r="P14234" s="99"/>
      <c r="Q14234" s="99"/>
      <c r="R14234" s="99"/>
    </row>
    <row r="14235" spans="5:18" s="65" customFormat="1">
      <c r="E14235" s="130"/>
      <c r="P14235" s="99"/>
      <c r="Q14235" s="99"/>
      <c r="R14235" s="99"/>
    </row>
    <row r="14236" spans="5:18" s="65" customFormat="1">
      <c r="E14236" s="130"/>
      <c r="P14236" s="99"/>
      <c r="Q14236" s="99"/>
      <c r="R14236" s="99"/>
    </row>
    <row r="14237" spans="5:18" s="65" customFormat="1">
      <c r="E14237" s="130"/>
      <c r="P14237" s="99"/>
      <c r="Q14237" s="99"/>
      <c r="R14237" s="99"/>
    </row>
    <row r="14238" spans="5:18" s="65" customFormat="1">
      <c r="E14238" s="130"/>
      <c r="P14238" s="99"/>
      <c r="Q14238" s="99"/>
      <c r="R14238" s="99"/>
    </row>
    <row r="14239" spans="5:18" s="65" customFormat="1">
      <c r="E14239" s="130"/>
      <c r="P14239" s="99"/>
      <c r="Q14239" s="99"/>
      <c r="R14239" s="99"/>
    </row>
    <row r="14240" spans="5:18" s="65" customFormat="1">
      <c r="E14240" s="130"/>
      <c r="P14240" s="99"/>
      <c r="Q14240" s="99"/>
      <c r="R14240" s="99"/>
    </row>
    <row r="14241" spans="5:18" s="65" customFormat="1">
      <c r="E14241" s="130"/>
      <c r="P14241" s="99"/>
      <c r="Q14241" s="99"/>
      <c r="R14241" s="99"/>
    </row>
    <row r="14242" spans="5:18" s="65" customFormat="1">
      <c r="E14242" s="130"/>
      <c r="P14242" s="99"/>
      <c r="Q14242" s="99"/>
      <c r="R14242" s="99"/>
    </row>
    <row r="14243" spans="5:18" s="65" customFormat="1">
      <c r="E14243" s="130"/>
      <c r="P14243" s="99"/>
      <c r="Q14243" s="99"/>
      <c r="R14243" s="99"/>
    </row>
    <row r="14244" spans="5:18" s="65" customFormat="1">
      <c r="E14244" s="130"/>
      <c r="P14244" s="99"/>
      <c r="Q14244" s="99"/>
      <c r="R14244" s="99"/>
    </row>
    <row r="14245" spans="5:18" s="65" customFormat="1">
      <c r="E14245" s="130"/>
      <c r="P14245" s="99"/>
      <c r="Q14245" s="99"/>
      <c r="R14245" s="99"/>
    </row>
    <row r="14246" spans="5:18" s="65" customFormat="1">
      <c r="E14246" s="130"/>
      <c r="P14246" s="99"/>
      <c r="Q14246" s="99"/>
      <c r="R14246" s="99"/>
    </row>
    <row r="14247" spans="5:18" s="65" customFormat="1">
      <c r="E14247" s="130"/>
      <c r="P14247" s="99"/>
      <c r="Q14247" s="99"/>
      <c r="R14247" s="99"/>
    </row>
    <row r="14248" spans="5:18" s="65" customFormat="1">
      <c r="E14248" s="130"/>
      <c r="P14248" s="99"/>
      <c r="Q14248" s="99"/>
      <c r="R14248" s="99"/>
    </row>
    <row r="14249" spans="5:18" s="65" customFormat="1">
      <c r="E14249" s="130"/>
      <c r="P14249" s="99"/>
      <c r="Q14249" s="99"/>
      <c r="R14249" s="99"/>
    </row>
    <row r="14250" spans="5:18" s="65" customFormat="1">
      <c r="E14250" s="130"/>
      <c r="P14250" s="99"/>
      <c r="Q14250" s="99"/>
      <c r="R14250" s="99"/>
    </row>
    <row r="14251" spans="5:18" s="65" customFormat="1">
      <c r="E14251" s="130"/>
      <c r="P14251" s="99"/>
      <c r="Q14251" s="99"/>
      <c r="R14251" s="99"/>
    </row>
    <row r="14252" spans="5:18" s="65" customFormat="1">
      <c r="E14252" s="130"/>
      <c r="P14252" s="99"/>
      <c r="Q14252" s="99"/>
      <c r="R14252" s="99"/>
    </row>
    <row r="14253" spans="5:18" s="65" customFormat="1">
      <c r="E14253" s="130"/>
      <c r="P14253" s="99"/>
      <c r="Q14253" s="99"/>
      <c r="R14253" s="99"/>
    </row>
    <row r="14254" spans="5:18" s="65" customFormat="1">
      <c r="E14254" s="130"/>
      <c r="P14254" s="99"/>
      <c r="Q14254" s="99"/>
      <c r="R14254" s="99"/>
    </row>
    <row r="14255" spans="5:18" s="65" customFormat="1">
      <c r="E14255" s="130"/>
      <c r="P14255" s="99"/>
      <c r="Q14255" s="99"/>
      <c r="R14255" s="99"/>
    </row>
    <row r="14256" spans="5:18" s="65" customFormat="1">
      <c r="E14256" s="130"/>
      <c r="P14256" s="99"/>
      <c r="Q14256" s="99"/>
      <c r="R14256" s="99"/>
    </row>
    <row r="14257" spans="5:18" s="65" customFormat="1">
      <c r="E14257" s="130"/>
      <c r="P14257" s="99"/>
      <c r="Q14257" s="99"/>
      <c r="R14257" s="99"/>
    </row>
    <row r="14258" spans="5:18" s="65" customFormat="1">
      <c r="E14258" s="130"/>
      <c r="P14258" s="99"/>
      <c r="Q14258" s="99"/>
      <c r="R14258" s="99"/>
    </row>
    <row r="14259" spans="5:18" s="65" customFormat="1">
      <c r="E14259" s="130"/>
      <c r="P14259" s="99"/>
      <c r="Q14259" s="99"/>
      <c r="R14259" s="99"/>
    </row>
    <row r="14260" spans="5:18" s="65" customFormat="1">
      <c r="E14260" s="130"/>
      <c r="P14260" s="99"/>
      <c r="Q14260" s="99"/>
      <c r="R14260" s="99"/>
    </row>
    <row r="14261" spans="5:18" s="65" customFormat="1">
      <c r="E14261" s="130"/>
      <c r="P14261" s="99"/>
      <c r="Q14261" s="99"/>
      <c r="R14261" s="99"/>
    </row>
    <row r="14262" spans="5:18" s="65" customFormat="1">
      <c r="E14262" s="130"/>
      <c r="P14262" s="99"/>
      <c r="Q14262" s="99"/>
      <c r="R14262" s="99"/>
    </row>
    <row r="14263" spans="5:18" s="65" customFormat="1">
      <c r="E14263" s="130"/>
      <c r="P14263" s="99"/>
      <c r="Q14263" s="99"/>
      <c r="R14263" s="99"/>
    </row>
    <row r="14264" spans="5:18" s="65" customFormat="1">
      <c r="E14264" s="130"/>
      <c r="P14264" s="99"/>
      <c r="Q14264" s="99"/>
      <c r="R14264" s="99"/>
    </row>
    <row r="14265" spans="5:18" s="65" customFormat="1">
      <c r="E14265" s="130"/>
      <c r="P14265" s="99"/>
      <c r="Q14265" s="99"/>
      <c r="R14265" s="99"/>
    </row>
    <row r="14266" spans="5:18" s="65" customFormat="1">
      <c r="E14266" s="130"/>
      <c r="P14266" s="99"/>
      <c r="Q14266" s="99"/>
      <c r="R14266" s="99"/>
    </row>
    <row r="14267" spans="5:18" s="65" customFormat="1">
      <c r="E14267" s="130"/>
      <c r="P14267" s="99"/>
      <c r="Q14267" s="99"/>
      <c r="R14267" s="99"/>
    </row>
    <row r="14268" spans="5:18" s="65" customFormat="1">
      <c r="E14268" s="130"/>
      <c r="P14268" s="99"/>
      <c r="Q14268" s="99"/>
      <c r="R14268" s="99"/>
    </row>
    <row r="14269" spans="5:18" s="65" customFormat="1">
      <c r="E14269" s="130"/>
      <c r="P14269" s="99"/>
      <c r="Q14269" s="99"/>
      <c r="R14269" s="99"/>
    </row>
    <row r="14270" spans="5:18" s="65" customFormat="1">
      <c r="E14270" s="130"/>
      <c r="P14270" s="99"/>
      <c r="Q14270" s="99"/>
      <c r="R14270" s="99"/>
    </row>
    <row r="14271" spans="5:18" s="65" customFormat="1">
      <c r="E14271" s="130"/>
      <c r="P14271" s="99"/>
      <c r="Q14271" s="99"/>
      <c r="R14271" s="99"/>
    </row>
    <row r="14272" spans="5:18" s="65" customFormat="1">
      <c r="E14272" s="130"/>
      <c r="P14272" s="99"/>
      <c r="Q14272" s="99"/>
      <c r="R14272" s="99"/>
    </row>
    <row r="14273" spans="5:18" s="65" customFormat="1">
      <c r="E14273" s="130"/>
      <c r="P14273" s="99"/>
      <c r="Q14273" s="99"/>
      <c r="R14273" s="99"/>
    </row>
    <row r="14274" spans="5:18" s="65" customFormat="1">
      <c r="E14274" s="130"/>
      <c r="P14274" s="99"/>
      <c r="Q14274" s="99"/>
      <c r="R14274" s="99"/>
    </row>
    <row r="14275" spans="5:18" s="65" customFormat="1">
      <c r="E14275" s="130"/>
      <c r="P14275" s="99"/>
      <c r="Q14275" s="99"/>
      <c r="R14275" s="99"/>
    </row>
    <row r="14276" spans="5:18" s="65" customFormat="1">
      <c r="E14276" s="130"/>
      <c r="P14276" s="99"/>
      <c r="Q14276" s="99"/>
      <c r="R14276" s="99"/>
    </row>
    <row r="14277" spans="5:18" s="65" customFormat="1">
      <c r="E14277" s="130"/>
      <c r="P14277" s="99"/>
      <c r="Q14277" s="99"/>
      <c r="R14277" s="99"/>
    </row>
    <row r="14278" spans="5:18" s="65" customFormat="1">
      <c r="E14278" s="130"/>
      <c r="P14278" s="99"/>
      <c r="Q14278" s="99"/>
      <c r="R14278" s="99"/>
    </row>
    <row r="14279" spans="5:18" s="65" customFormat="1">
      <c r="E14279" s="130"/>
      <c r="P14279" s="99"/>
      <c r="Q14279" s="99"/>
      <c r="R14279" s="99"/>
    </row>
    <row r="14280" spans="5:18" s="65" customFormat="1">
      <c r="E14280" s="130"/>
      <c r="P14280" s="99"/>
      <c r="Q14280" s="99"/>
      <c r="R14280" s="99"/>
    </row>
    <row r="14281" spans="5:18" s="65" customFormat="1">
      <c r="E14281" s="130"/>
      <c r="P14281" s="99"/>
      <c r="Q14281" s="99"/>
      <c r="R14281" s="99"/>
    </row>
    <row r="14282" spans="5:18" s="65" customFormat="1">
      <c r="E14282" s="130"/>
      <c r="P14282" s="99"/>
      <c r="Q14282" s="99"/>
      <c r="R14282" s="99"/>
    </row>
    <row r="14283" spans="5:18" s="65" customFormat="1">
      <c r="E14283" s="130"/>
      <c r="P14283" s="99"/>
      <c r="Q14283" s="99"/>
      <c r="R14283" s="99"/>
    </row>
    <row r="14284" spans="5:18" s="65" customFormat="1">
      <c r="E14284" s="130"/>
      <c r="P14284" s="99"/>
      <c r="Q14284" s="99"/>
      <c r="R14284" s="99"/>
    </row>
    <row r="14285" spans="5:18" s="65" customFormat="1">
      <c r="E14285" s="130"/>
      <c r="P14285" s="99"/>
      <c r="Q14285" s="99"/>
      <c r="R14285" s="99"/>
    </row>
    <row r="14286" spans="5:18" s="65" customFormat="1">
      <c r="E14286" s="130"/>
      <c r="P14286" s="99"/>
      <c r="Q14286" s="99"/>
      <c r="R14286" s="99"/>
    </row>
    <row r="14287" spans="5:18" s="65" customFormat="1">
      <c r="E14287" s="130"/>
      <c r="P14287" s="99"/>
      <c r="Q14287" s="99"/>
      <c r="R14287" s="99"/>
    </row>
    <row r="14288" spans="5:18" s="65" customFormat="1">
      <c r="E14288" s="130"/>
      <c r="P14288" s="99"/>
      <c r="Q14288" s="99"/>
      <c r="R14288" s="99"/>
    </row>
    <row r="14289" spans="5:18" s="65" customFormat="1">
      <c r="E14289" s="130"/>
      <c r="P14289" s="99"/>
      <c r="Q14289" s="99"/>
      <c r="R14289" s="99"/>
    </row>
    <row r="14290" spans="5:18" s="65" customFormat="1">
      <c r="E14290" s="130"/>
      <c r="P14290" s="99"/>
      <c r="Q14290" s="99"/>
      <c r="R14290" s="99"/>
    </row>
    <row r="14291" spans="5:18" s="65" customFormat="1">
      <c r="E14291" s="130"/>
      <c r="P14291" s="99"/>
      <c r="Q14291" s="99"/>
      <c r="R14291" s="99"/>
    </row>
    <row r="14292" spans="5:18" s="65" customFormat="1">
      <c r="E14292" s="130"/>
      <c r="P14292" s="99"/>
      <c r="Q14292" s="99"/>
      <c r="R14292" s="99"/>
    </row>
    <row r="14293" spans="5:18" s="65" customFormat="1">
      <c r="E14293" s="130"/>
      <c r="P14293" s="99"/>
      <c r="Q14293" s="99"/>
      <c r="R14293" s="99"/>
    </row>
    <row r="14294" spans="5:18" s="65" customFormat="1">
      <c r="E14294" s="130"/>
      <c r="P14294" s="99"/>
      <c r="Q14294" s="99"/>
      <c r="R14294" s="99"/>
    </row>
    <row r="14295" spans="5:18" s="65" customFormat="1">
      <c r="E14295" s="130"/>
      <c r="P14295" s="99"/>
      <c r="Q14295" s="99"/>
      <c r="R14295" s="99"/>
    </row>
    <row r="14296" spans="5:18" s="65" customFormat="1">
      <c r="E14296" s="130"/>
      <c r="P14296" s="99"/>
      <c r="Q14296" s="99"/>
      <c r="R14296" s="99"/>
    </row>
    <row r="14297" spans="5:18" s="65" customFormat="1">
      <c r="E14297" s="130"/>
      <c r="P14297" s="99"/>
      <c r="Q14297" s="99"/>
      <c r="R14297" s="99"/>
    </row>
    <row r="14298" spans="5:18" s="65" customFormat="1">
      <c r="E14298" s="130"/>
      <c r="P14298" s="99"/>
      <c r="Q14298" s="99"/>
      <c r="R14298" s="99"/>
    </row>
    <row r="14299" spans="5:18" s="65" customFormat="1">
      <c r="E14299" s="130"/>
      <c r="P14299" s="99"/>
      <c r="Q14299" s="99"/>
      <c r="R14299" s="99"/>
    </row>
    <row r="14300" spans="5:18" s="65" customFormat="1">
      <c r="E14300" s="130"/>
      <c r="P14300" s="99"/>
      <c r="Q14300" s="99"/>
      <c r="R14300" s="99"/>
    </row>
    <row r="14301" spans="5:18" s="65" customFormat="1">
      <c r="E14301" s="130"/>
      <c r="P14301" s="99"/>
      <c r="Q14301" s="99"/>
      <c r="R14301" s="99"/>
    </row>
    <row r="14302" spans="5:18" s="65" customFormat="1">
      <c r="E14302" s="130"/>
      <c r="P14302" s="99"/>
      <c r="Q14302" s="99"/>
      <c r="R14302" s="99"/>
    </row>
    <row r="14303" spans="5:18" s="65" customFormat="1">
      <c r="E14303" s="130"/>
      <c r="P14303" s="99"/>
      <c r="Q14303" s="99"/>
      <c r="R14303" s="99"/>
    </row>
    <row r="14304" spans="5:18" s="65" customFormat="1">
      <c r="E14304" s="130"/>
      <c r="P14304" s="99"/>
      <c r="Q14304" s="99"/>
      <c r="R14304" s="99"/>
    </row>
    <row r="14305" spans="5:18" s="65" customFormat="1">
      <c r="E14305" s="130"/>
      <c r="P14305" s="99"/>
      <c r="Q14305" s="99"/>
      <c r="R14305" s="99"/>
    </row>
    <row r="14306" spans="5:18" s="65" customFormat="1">
      <c r="E14306" s="130"/>
      <c r="P14306" s="99"/>
      <c r="Q14306" s="99"/>
      <c r="R14306" s="99"/>
    </row>
    <row r="14307" spans="5:18" s="65" customFormat="1">
      <c r="E14307" s="130"/>
      <c r="P14307" s="99"/>
      <c r="Q14307" s="99"/>
      <c r="R14307" s="99"/>
    </row>
    <row r="14308" spans="5:18" s="65" customFormat="1">
      <c r="E14308" s="130"/>
      <c r="P14308" s="99"/>
      <c r="Q14308" s="99"/>
      <c r="R14308" s="99"/>
    </row>
    <row r="14309" spans="5:18" s="65" customFormat="1">
      <c r="E14309" s="130"/>
      <c r="P14309" s="99"/>
      <c r="Q14309" s="99"/>
      <c r="R14309" s="99"/>
    </row>
    <row r="14310" spans="5:18" s="65" customFormat="1">
      <c r="E14310" s="130"/>
      <c r="P14310" s="99"/>
      <c r="Q14310" s="99"/>
      <c r="R14310" s="99"/>
    </row>
    <row r="14311" spans="5:18" s="65" customFormat="1">
      <c r="E14311" s="130"/>
      <c r="P14311" s="99"/>
      <c r="Q14311" s="99"/>
      <c r="R14311" s="99"/>
    </row>
    <row r="14312" spans="5:18" s="65" customFormat="1">
      <c r="E14312" s="130"/>
      <c r="P14312" s="99"/>
      <c r="Q14312" s="99"/>
      <c r="R14312" s="99"/>
    </row>
    <row r="14313" spans="5:18" s="65" customFormat="1">
      <c r="E14313" s="130"/>
      <c r="P14313" s="99"/>
      <c r="Q14313" s="99"/>
      <c r="R14313" s="99"/>
    </row>
    <row r="14314" spans="5:18" s="65" customFormat="1">
      <c r="E14314" s="130"/>
      <c r="P14314" s="99"/>
      <c r="Q14314" s="99"/>
      <c r="R14314" s="99"/>
    </row>
    <row r="14315" spans="5:18" s="65" customFormat="1">
      <c r="E14315" s="130"/>
      <c r="P14315" s="99"/>
      <c r="Q14315" s="99"/>
      <c r="R14315" s="99"/>
    </row>
    <row r="14316" spans="5:18" s="65" customFormat="1">
      <c r="E14316" s="130"/>
      <c r="P14316" s="99"/>
      <c r="Q14316" s="99"/>
      <c r="R14316" s="99"/>
    </row>
    <row r="14317" spans="5:18" s="65" customFormat="1">
      <c r="E14317" s="130"/>
      <c r="P14317" s="99"/>
      <c r="Q14317" s="99"/>
      <c r="R14317" s="99"/>
    </row>
    <row r="14318" spans="5:18" s="65" customFormat="1">
      <c r="E14318" s="130"/>
      <c r="P14318" s="99"/>
      <c r="Q14318" s="99"/>
      <c r="R14318" s="99"/>
    </row>
    <row r="14319" spans="5:18" s="65" customFormat="1">
      <c r="E14319" s="130"/>
      <c r="P14319" s="99"/>
      <c r="Q14319" s="99"/>
      <c r="R14319" s="99"/>
    </row>
    <row r="14320" spans="5:18" s="65" customFormat="1">
      <c r="E14320" s="130"/>
      <c r="P14320" s="99"/>
      <c r="Q14320" s="99"/>
      <c r="R14320" s="99"/>
    </row>
    <row r="14321" spans="5:18" s="65" customFormat="1">
      <c r="E14321" s="130"/>
      <c r="P14321" s="99"/>
      <c r="Q14321" s="99"/>
      <c r="R14321" s="99"/>
    </row>
    <row r="14322" spans="5:18" s="65" customFormat="1">
      <c r="E14322" s="130"/>
      <c r="P14322" s="99"/>
      <c r="Q14322" s="99"/>
      <c r="R14322" s="99"/>
    </row>
    <row r="14323" spans="5:18" s="65" customFormat="1">
      <c r="E14323" s="130"/>
      <c r="P14323" s="99"/>
      <c r="Q14323" s="99"/>
      <c r="R14323" s="99"/>
    </row>
    <row r="14324" spans="5:18" s="65" customFormat="1">
      <c r="E14324" s="130"/>
      <c r="P14324" s="99"/>
      <c r="Q14324" s="99"/>
      <c r="R14324" s="99"/>
    </row>
    <row r="14325" spans="5:18" s="65" customFormat="1">
      <c r="E14325" s="130"/>
      <c r="P14325" s="99"/>
      <c r="Q14325" s="99"/>
      <c r="R14325" s="99"/>
    </row>
    <row r="14326" spans="5:18" s="65" customFormat="1">
      <c r="E14326" s="130"/>
      <c r="P14326" s="99"/>
      <c r="Q14326" s="99"/>
      <c r="R14326" s="99"/>
    </row>
    <row r="14327" spans="5:18" s="65" customFormat="1">
      <c r="E14327" s="130"/>
      <c r="P14327" s="99"/>
      <c r="Q14327" s="99"/>
      <c r="R14327" s="99"/>
    </row>
    <row r="14328" spans="5:18" s="65" customFormat="1">
      <c r="E14328" s="130"/>
      <c r="P14328" s="99"/>
      <c r="Q14328" s="99"/>
      <c r="R14328" s="99"/>
    </row>
    <row r="14329" spans="5:18" s="65" customFormat="1">
      <c r="E14329" s="130"/>
      <c r="P14329" s="99"/>
      <c r="Q14329" s="99"/>
      <c r="R14329" s="99"/>
    </row>
    <row r="14330" spans="5:18" s="65" customFormat="1">
      <c r="E14330" s="130"/>
      <c r="P14330" s="99"/>
      <c r="Q14330" s="99"/>
      <c r="R14330" s="99"/>
    </row>
    <row r="14331" spans="5:18" s="65" customFormat="1">
      <c r="E14331" s="130"/>
      <c r="P14331" s="99"/>
      <c r="Q14331" s="99"/>
      <c r="R14331" s="99"/>
    </row>
    <row r="14332" spans="5:18" s="65" customFormat="1">
      <c r="E14332" s="130"/>
      <c r="P14332" s="99"/>
      <c r="Q14332" s="99"/>
      <c r="R14332" s="99"/>
    </row>
    <row r="14333" spans="5:18" s="65" customFormat="1">
      <c r="E14333" s="130"/>
      <c r="P14333" s="99"/>
      <c r="Q14333" s="99"/>
      <c r="R14333" s="99"/>
    </row>
    <row r="14334" spans="5:18" s="65" customFormat="1">
      <c r="E14334" s="130"/>
      <c r="P14334" s="99"/>
      <c r="Q14334" s="99"/>
      <c r="R14334" s="99"/>
    </row>
    <row r="14335" spans="5:18" s="65" customFormat="1">
      <c r="E14335" s="130"/>
      <c r="P14335" s="99"/>
      <c r="Q14335" s="99"/>
      <c r="R14335" s="99"/>
    </row>
    <row r="14336" spans="5:18" s="65" customFormat="1">
      <c r="E14336" s="130"/>
      <c r="P14336" s="99"/>
      <c r="Q14336" s="99"/>
      <c r="R14336" s="99"/>
    </row>
    <row r="14337" spans="5:18" s="65" customFormat="1">
      <c r="E14337" s="130"/>
      <c r="P14337" s="99"/>
      <c r="Q14337" s="99"/>
      <c r="R14337" s="99"/>
    </row>
    <row r="14338" spans="5:18" s="65" customFormat="1">
      <c r="E14338" s="130"/>
      <c r="P14338" s="99"/>
      <c r="Q14338" s="99"/>
      <c r="R14338" s="99"/>
    </row>
    <row r="14339" spans="5:18" s="65" customFormat="1">
      <c r="E14339" s="130"/>
      <c r="P14339" s="99"/>
      <c r="Q14339" s="99"/>
      <c r="R14339" s="99"/>
    </row>
    <row r="14340" spans="5:18" s="65" customFormat="1">
      <c r="E14340" s="130"/>
      <c r="P14340" s="99"/>
      <c r="Q14340" s="99"/>
      <c r="R14340" s="99"/>
    </row>
    <row r="14341" spans="5:18" s="65" customFormat="1">
      <c r="E14341" s="130"/>
      <c r="P14341" s="99"/>
      <c r="Q14341" s="99"/>
      <c r="R14341" s="99"/>
    </row>
    <row r="14342" spans="5:18" s="65" customFormat="1">
      <c r="E14342" s="130"/>
      <c r="P14342" s="99"/>
      <c r="Q14342" s="99"/>
      <c r="R14342" s="99"/>
    </row>
    <row r="14343" spans="5:18" s="65" customFormat="1">
      <c r="E14343" s="130"/>
      <c r="P14343" s="99"/>
      <c r="Q14343" s="99"/>
      <c r="R14343" s="99"/>
    </row>
    <row r="14344" spans="5:18" s="65" customFormat="1">
      <c r="E14344" s="130"/>
      <c r="P14344" s="99"/>
      <c r="Q14344" s="99"/>
      <c r="R14344" s="99"/>
    </row>
    <row r="14345" spans="5:18" s="65" customFormat="1">
      <c r="E14345" s="130"/>
      <c r="P14345" s="99"/>
      <c r="Q14345" s="99"/>
      <c r="R14345" s="99"/>
    </row>
    <row r="14346" spans="5:18" s="65" customFormat="1">
      <c r="E14346" s="130"/>
      <c r="P14346" s="99"/>
      <c r="Q14346" s="99"/>
      <c r="R14346" s="99"/>
    </row>
    <row r="14347" spans="5:18" s="65" customFormat="1">
      <c r="E14347" s="130"/>
      <c r="P14347" s="99"/>
      <c r="Q14347" s="99"/>
      <c r="R14347" s="99"/>
    </row>
    <row r="14348" spans="5:18" s="65" customFormat="1">
      <c r="E14348" s="130"/>
      <c r="P14348" s="99"/>
      <c r="Q14348" s="99"/>
      <c r="R14348" s="99"/>
    </row>
    <row r="14349" spans="5:18" s="65" customFormat="1">
      <c r="E14349" s="130"/>
      <c r="P14349" s="99"/>
      <c r="Q14349" s="99"/>
      <c r="R14349" s="99"/>
    </row>
    <row r="14350" spans="5:18" s="65" customFormat="1">
      <c r="E14350" s="130"/>
      <c r="P14350" s="99"/>
      <c r="Q14350" s="99"/>
      <c r="R14350" s="99"/>
    </row>
    <row r="14351" spans="5:18" s="65" customFormat="1">
      <c r="E14351" s="130"/>
      <c r="P14351" s="99"/>
      <c r="Q14351" s="99"/>
      <c r="R14351" s="99"/>
    </row>
    <row r="14352" spans="5:18" s="65" customFormat="1">
      <c r="E14352" s="130"/>
      <c r="P14352" s="99"/>
      <c r="Q14352" s="99"/>
      <c r="R14352" s="99"/>
    </row>
    <row r="14353" spans="5:18" s="65" customFormat="1">
      <c r="E14353" s="130"/>
      <c r="P14353" s="99"/>
      <c r="Q14353" s="99"/>
      <c r="R14353" s="99"/>
    </row>
    <row r="14354" spans="5:18" s="65" customFormat="1">
      <c r="E14354" s="130"/>
      <c r="P14354" s="99"/>
      <c r="Q14354" s="99"/>
      <c r="R14354" s="99"/>
    </row>
    <row r="14355" spans="5:18" s="65" customFormat="1">
      <c r="E14355" s="130"/>
      <c r="P14355" s="99"/>
      <c r="Q14355" s="99"/>
      <c r="R14355" s="99"/>
    </row>
    <row r="14356" spans="5:18" s="65" customFormat="1">
      <c r="E14356" s="130"/>
      <c r="P14356" s="99"/>
      <c r="Q14356" s="99"/>
      <c r="R14356" s="99"/>
    </row>
    <row r="14357" spans="5:18" s="65" customFormat="1">
      <c r="E14357" s="130"/>
      <c r="P14357" s="99"/>
      <c r="Q14357" s="99"/>
      <c r="R14357" s="99"/>
    </row>
    <row r="14358" spans="5:18" s="65" customFormat="1">
      <c r="E14358" s="130"/>
      <c r="P14358" s="99"/>
      <c r="Q14358" s="99"/>
      <c r="R14358" s="99"/>
    </row>
    <row r="14359" spans="5:18" s="65" customFormat="1">
      <c r="E14359" s="130"/>
      <c r="P14359" s="99"/>
      <c r="Q14359" s="99"/>
      <c r="R14359" s="99"/>
    </row>
    <row r="14360" spans="5:18" s="65" customFormat="1">
      <c r="E14360" s="130"/>
      <c r="P14360" s="99"/>
      <c r="Q14360" s="99"/>
      <c r="R14360" s="99"/>
    </row>
    <row r="14361" spans="5:18" s="65" customFormat="1">
      <c r="E14361" s="130"/>
      <c r="P14361" s="99"/>
      <c r="Q14361" s="99"/>
      <c r="R14361" s="99"/>
    </row>
    <row r="14362" spans="5:18" s="65" customFormat="1">
      <c r="E14362" s="130"/>
      <c r="P14362" s="99"/>
      <c r="Q14362" s="99"/>
      <c r="R14362" s="99"/>
    </row>
    <row r="14363" spans="5:18" s="65" customFormat="1">
      <c r="E14363" s="130"/>
      <c r="P14363" s="99"/>
      <c r="Q14363" s="99"/>
      <c r="R14363" s="99"/>
    </row>
    <row r="14364" spans="5:18" s="65" customFormat="1">
      <c r="E14364" s="130"/>
      <c r="P14364" s="99"/>
      <c r="Q14364" s="99"/>
      <c r="R14364" s="99"/>
    </row>
    <row r="14365" spans="5:18" s="65" customFormat="1">
      <c r="E14365" s="130"/>
      <c r="P14365" s="99"/>
      <c r="Q14365" s="99"/>
      <c r="R14365" s="99"/>
    </row>
    <row r="14366" spans="5:18" s="65" customFormat="1">
      <c r="E14366" s="130"/>
      <c r="P14366" s="99"/>
      <c r="Q14366" s="99"/>
      <c r="R14366" s="99"/>
    </row>
    <row r="14367" spans="5:18" s="65" customFormat="1">
      <c r="E14367" s="130"/>
      <c r="P14367" s="99"/>
      <c r="Q14367" s="99"/>
      <c r="R14367" s="99"/>
    </row>
    <row r="14368" spans="5:18" s="65" customFormat="1">
      <c r="E14368" s="130"/>
      <c r="P14368" s="99"/>
      <c r="Q14368" s="99"/>
      <c r="R14368" s="99"/>
    </row>
    <row r="14369" spans="5:18" s="65" customFormat="1">
      <c r="E14369" s="130"/>
      <c r="P14369" s="99"/>
      <c r="Q14369" s="99"/>
      <c r="R14369" s="99"/>
    </row>
    <row r="14370" spans="5:18" s="65" customFormat="1">
      <c r="E14370" s="130"/>
      <c r="P14370" s="99"/>
      <c r="Q14370" s="99"/>
      <c r="R14370" s="99"/>
    </row>
    <row r="14371" spans="5:18" s="65" customFormat="1">
      <c r="E14371" s="130"/>
      <c r="P14371" s="99"/>
      <c r="Q14371" s="99"/>
      <c r="R14371" s="99"/>
    </row>
    <row r="14372" spans="5:18" s="65" customFormat="1">
      <c r="E14372" s="130"/>
      <c r="P14372" s="99"/>
      <c r="Q14372" s="99"/>
      <c r="R14372" s="99"/>
    </row>
    <row r="14373" spans="5:18" s="65" customFormat="1">
      <c r="E14373" s="130"/>
      <c r="P14373" s="99"/>
      <c r="Q14373" s="99"/>
      <c r="R14373" s="99"/>
    </row>
    <row r="14374" spans="5:18" s="65" customFormat="1">
      <c r="E14374" s="130"/>
      <c r="P14374" s="99"/>
      <c r="Q14374" s="99"/>
      <c r="R14374" s="99"/>
    </row>
    <row r="14375" spans="5:18" s="65" customFormat="1">
      <c r="E14375" s="130"/>
      <c r="P14375" s="99"/>
      <c r="Q14375" s="99"/>
      <c r="R14375" s="99"/>
    </row>
    <row r="14376" spans="5:18" s="65" customFormat="1">
      <c r="E14376" s="130"/>
      <c r="P14376" s="99"/>
      <c r="Q14376" s="99"/>
      <c r="R14376" s="99"/>
    </row>
    <row r="14377" spans="5:18" s="65" customFormat="1">
      <c r="E14377" s="130"/>
      <c r="P14377" s="99"/>
      <c r="Q14377" s="99"/>
      <c r="R14377" s="99"/>
    </row>
    <row r="14378" spans="5:18" s="65" customFormat="1">
      <c r="E14378" s="130"/>
      <c r="P14378" s="99"/>
      <c r="Q14378" s="99"/>
      <c r="R14378" s="99"/>
    </row>
    <row r="14379" spans="5:18" s="65" customFormat="1">
      <c r="E14379" s="130"/>
      <c r="P14379" s="99"/>
      <c r="Q14379" s="99"/>
      <c r="R14379" s="99"/>
    </row>
    <row r="14380" spans="5:18" s="65" customFormat="1">
      <c r="E14380" s="130"/>
      <c r="P14380" s="99"/>
      <c r="Q14380" s="99"/>
      <c r="R14380" s="99"/>
    </row>
    <row r="14381" spans="5:18" s="65" customFormat="1">
      <c r="E14381" s="130"/>
      <c r="P14381" s="99"/>
      <c r="Q14381" s="99"/>
      <c r="R14381" s="99"/>
    </row>
    <row r="14382" spans="5:18" s="65" customFormat="1">
      <c r="E14382" s="130"/>
      <c r="P14382" s="99"/>
      <c r="Q14382" s="99"/>
      <c r="R14382" s="99"/>
    </row>
    <row r="14383" spans="5:18" s="65" customFormat="1">
      <c r="E14383" s="130"/>
      <c r="P14383" s="99"/>
      <c r="Q14383" s="99"/>
      <c r="R14383" s="99"/>
    </row>
    <row r="14384" spans="5:18" s="65" customFormat="1">
      <c r="E14384" s="130"/>
      <c r="P14384" s="99"/>
      <c r="Q14384" s="99"/>
      <c r="R14384" s="99"/>
    </row>
    <row r="14385" spans="5:18" s="65" customFormat="1">
      <c r="E14385" s="130"/>
      <c r="P14385" s="99"/>
      <c r="Q14385" s="99"/>
      <c r="R14385" s="99"/>
    </row>
    <row r="14386" spans="5:18" s="65" customFormat="1">
      <c r="E14386" s="130"/>
      <c r="P14386" s="99"/>
      <c r="Q14386" s="99"/>
      <c r="R14386" s="99"/>
    </row>
    <row r="14387" spans="5:18" s="65" customFormat="1">
      <c r="E14387" s="130"/>
      <c r="P14387" s="99"/>
      <c r="Q14387" s="99"/>
      <c r="R14387" s="99"/>
    </row>
    <row r="14388" spans="5:18" s="65" customFormat="1">
      <c r="E14388" s="130"/>
      <c r="P14388" s="99"/>
      <c r="Q14388" s="99"/>
      <c r="R14388" s="99"/>
    </row>
    <row r="14389" spans="5:18" s="65" customFormat="1">
      <c r="E14389" s="130"/>
      <c r="P14389" s="99"/>
      <c r="Q14389" s="99"/>
      <c r="R14389" s="99"/>
    </row>
    <row r="14390" spans="5:18" s="65" customFormat="1">
      <c r="E14390" s="130"/>
      <c r="P14390" s="99"/>
      <c r="Q14390" s="99"/>
      <c r="R14390" s="99"/>
    </row>
    <row r="14391" spans="5:18" s="65" customFormat="1">
      <c r="E14391" s="130"/>
      <c r="P14391" s="99"/>
      <c r="Q14391" s="99"/>
      <c r="R14391" s="99"/>
    </row>
    <row r="14392" spans="5:18" s="65" customFormat="1">
      <c r="E14392" s="130"/>
      <c r="P14392" s="99"/>
      <c r="Q14392" s="99"/>
      <c r="R14392" s="99"/>
    </row>
    <row r="14393" spans="5:18" s="65" customFormat="1">
      <c r="E14393" s="130"/>
      <c r="P14393" s="99"/>
      <c r="Q14393" s="99"/>
      <c r="R14393" s="99"/>
    </row>
    <row r="14394" spans="5:18" s="65" customFormat="1">
      <c r="E14394" s="130"/>
      <c r="P14394" s="99"/>
      <c r="Q14394" s="99"/>
      <c r="R14394" s="99"/>
    </row>
    <row r="14395" spans="5:18" s="65" customFormat="1">
      <c r="E14395" s="130"/>
      <c r="P14395" s="99"/>
      <c r="Q14395" s="99"/>
      <c r="R14395" s="99"/>
    </row>
    <row r="14396" spans="5:18" s="65" customFormat="1">
      <c r="E14396" s="130"/>
      <c r="P14396" s="99"/>
      <c r="Q14396" s="99"/>
      <c r="R14396" s="99"/>
    </row>
    <row r="14397" spans="5:18" s="65" customFormat="1">
      <c r="E14397" s="130"/>
      <c r="P14397" s="99"/>
      <c r="Q14397" s="99"/>
      <c r="R14397" s="99"/>
    </row>
    <row r="14398" spans="5:18" s="65" customFormat="1">
      <c r="E14398" s="130"/>
      <c r="P14398" s="99"/>
      <c r="Q14398" s="99"/>
      <c r="R14398" s="99"/>
    </row>
    <row r="14399" spans="5:18" s="65" customFormat="1">
      <c r="E14399" s="130"/>
      <c r="P14399" s="99"/>
      <c r="Q14399" s="99"/>
      <c r="R14399" s="99"/>
    </row>
    <row r="14400" spans="5:18" s="65" customFormat="1">
      <c r="E14400" s="130"/>
      <c r="P14400" s="99"/>
      <c r="Q14400" s="99"/>
      <c r="R14400" s="99"/>
    </row>
    <row r="14401" spans="5:18" s="65" customFormat="1">
      <c r="E14401" s="130"/>
      <c r="P14401" s="99"/>
      <c r="Q14401" s="99"/>
      <c r="R14401" s="99"/>
    </row>
    <row r="14402" spans="5:18" s="65" customFormat="1">
      <c r="E14402" s="130"/>
      <c r="P14402" s="99"/>
      <c r="Q14402" s="99"/>
      <c r="R14402" s="99"/>
    </row>
    <row r="14403" spans="5:18" s="65" customFormat="1">
      <c r="E14403" s="130"/>
      <c r="P14403" s="99"/>
      <c r="Q14403" s="99"/>
      <c r="R14403" s="99"/>
    </row>
    <row r="14404" spans="5:18" s="65" customFormat="1">
      <c r="E14404" s="130"/>
      <c r="P14404" s="99"/>
      <c r="Q14404" s="99"/>
      <c r="R14404" s="99"/>
    </row>
    <row r="14405" spans="5:18" s="65" customFormat="1">
      <c r="E14405" s="130"/>
      <c r="P14405" s="99"/>
      <c r="Q14405" s="99"/>
      <c r="R14405" s="99"/>
    </row>
    <row r="14406" spans="5:18" s="65" customFormat="1">
      <c r="E14406" s="130"/>
      <c r="P14406" s="99"/>
      <c r="Q14406" s="99"/>
      <c r="R14406" s="99"/>
    </row>
    <row r="14407" spans="5:18" s="65" customFormat="1">
      <c r="E14407" s="130"/>
      <c r="P14407" s="99"/>
      <c r="Q14407" s="99"/>
      <c r="R14407" s="99"/>
    </row>
    <row r="14408" spans="5:18" s="65" customFormat="1">
      <c r="E14408" s="130"/>
      <c r="P14408" s="99"/>
      <c r="Q14408" s="99"/>
      <c r="R14408" s="99"/>
    </row>
    <row r="14409" spans="5:18" s="65" customFormat="1">
      <c r="E14409" s="130"/>
      <c r="P14409" s="99"/>
      <c r="Q14409" s="99"/>
      <c r="R14409" s="99"/>
    </row>
    <row r="14410" spans="5:18" s="65" customFormat="1">
      <c r="E14410" s="130"/>
      <c r="P14410" s="99"/>
      <c r="Q14410" s="99"/>
      <c r="R14410" s="99"/>
    </row>
    <row r="14411" spans="5:18" s="65" customFormat="1">
      <c r="E14411" s="130"/>
      <c r="P14411" s="99"/>
      <c r="Q14411" s="99"/>
      <c r="R14411" s="99"/>
    </row>
    <row r="14412" spans="5:18" s="65" customFormat="1">
      <c r="E14412" s="130"/>
      <c r="P14412" s="99"/>
      <c r="Q14412" s="99"/>
      <c r="R14412" s="99"/>
    </row>
    <row r="14413" spans="5:18" s="65" customFormat="1">
      <c r="E14413" s="130"/>
      <c r="P14413" s="99"/>
      <c r="Q14413" s="99"/>
      <c r="R14413" s="99"/>
    </row>
    <row r="14414" spans="5:18" s="65" customFormat="1">
      <c r="E14414" s="130"/>
      <c r="P14414" s="99"/>
      <c r="Q14414" s="99"/>
      <c r="R14414" s="99"/>
    </row>
    <row r="14415" spans="5:18" s="65" customFormat="1">
      <c r="E14415" s="130"/>
      <c r="P14415" s="99"/>
      <c r="Q14415" s="99"/>
      <c r="R14415" s="99"/>
    </row>
    <row r="14416" spans="5:18" s="65" customFormat="1">
      <c r="E14416" s="130"/>
      <c r="P14416" s="99"/>
      <c r="Q14416" s="99"/>
      <c r="R14416" s="99"/>
    </row>
    <row r="14417" spans="5:18" s="65" customFormat="1">
      <c r="E14417" s="130"/>
      <c r="P14417" s="99"/>
      <c r="Q14417" s="99"/>
      <c r="R14417" s="99"/>
    </row>
    <row r="14418" spans="5:18" s="65" customFormat="1">
      <c r="E14418" s="130"/>
      <c r="P14418" s="99"/>
      <c r="Q14418" s="99"/>
      <c r="R14418" s="99"/>
    </row>
    <row r="14419" spans="5:18" s="65" customFormat="1">
      <c r="E14419" s="130"/>
      <c r="P14419" s="99"/>
      <c r="Q14419" s="99"/>
      <c r="R14419" s="99"/>
    </row>
    <row r="14420" spans="5:18" s="65" customFormat="1">
      <c r="E14420" s="130"/>
      <c r="P14420" s="99"/>
      <c r="Q14420" s="99"/>
      <c r="R14420" s="99"/>
    </row>
    <row r="14421" spans="5:18" s="65" customFormat="1">
      <c r="E14421" s="130"/>
      <c r="P14421" s="99"/>
      <c r="Q14421" s="99"/>
      <c r="R14421" s="99"/>
    </row>
    <row r="14422" spans="5:18" s="65" customFormat="1">
      <c r="E14422" s="130"/>
      <c r="P14422" s="99"/>
      <c r="Q14422" s="99"/>
      <c r="R14422" s="99"/>
    </row>
    <row r="14423" spans="5:18" s="65" customFormat="1">
      <c r="E14423" s="130"/>
      <c r="P14423" s="99"/>
      <c r="Q14423" s="99"/>
      <c r="R14423" s="99"/>
    </row>
    <row r="14424" spans="5:18" s="65" customFormat="1">
      <c r="E14424" s="130"/>
      <c r="P14424" s="99"/>
      <c r="Q14424" s="99"/>
      <c r="R14424" s="99"/>
    </row>
    <row r="14425" spans="5:18" s="65" customFormat="1">
      <c r="E14425" s="130"/>
      <c r="P14425" s="99"/>
      <c r="Q14425" s="99"/>
      <c r="R14425" s="99"/>
    </row>
    <row r="14426" spans="5:18" s="65" customFormat="1">
      <c r="E14426" s="130"/>
      <c r="P14426" s="99"/>
      <c r="Q14426" s="99"/>
      <c r="R14426" s="99"/>
    </row>
    <row r="14427" spans="5:18" s="65" customFormat="1">
      <c r="E14427" s="130"/>
      <c r="P14427" s="99"/>
      <c r="Q14427" s="99"/>
      <c r="R14427" s="99"/>
    </row>
    <row r="14428" spans="5:18" s="65" customFormat="1">
      <c r="E14428" s="130"/>
      <c r="P14428" s="99"/>
      <c r="Q14428" s="99"/>
      <c r="R14428" s="99"/>
    </row>
    <row r="14429" spans="5:18" s="65" customFormat="1">
      <c r="E14429" s="130"/>
      <c r="P14429" s="99"/>
      <c r="Q14429" s="99"/>
      <c r="R14429" s="99"/>
    </row>
    <row r="14430" spans="5:18" s="65" customFormat="1">
      <c r="E14430" s="130"/>
      <c r="P14430" s="99"/>
      <c r="Q14430" s="99"/>
      <c r="R14430" s="99"/>
    </row>
    <row r="14431" spans="5:18" s="65" customFormat="1">
      <c r="E14431" s="130"/>
      <c r="P14431" s="99"/>
      <c r="Q14431" s="99"/>
      <c r="R14431" s="99"/>
    </row>
    <row r="14432" spans="5:18" s="65" customFormat="1">
      <c r="E14432" s="130"/>
      <c r="P14432" s="99"/>
      <c r="Q14432" s="99"/>
      <c r="R14432" s="99"/>
    </row>
    <row r="14433" spans="5:18" s="65" customFormat="1">
      <c r="E14433" s="130"/>
      <c r="P14433" s="99"/>
      <c r="Q14433" s="99"/>
      <c r="R14433" s="99"/>
    </row>
    <row r="14434" spans="5:18" s="65" customFormat="1">
      <c r="E14434" s="130"/>
      <c r="P14434" s="99"/>
      <c r="Q14434" s="99"/>
      <c r="R14434" s="99"/>
    </row>
    <row r="14435" spans="5:18" s="65" customFormat="1">
      <c r="E14435" s="130"/>
      <c r="P14435" s="99"/>
      <c r="Q14435" s="99"/>
      <c r="R14435" s="99"/>
    </row>
    <row r="14436" spans="5:18" s="65" customFormat="1">
      <c r="E14436" s="130"/>
      <c r="P14436" s="99"/>
      <c r="Q14436" s="99"/>
      <c r="R14436" s="99"/>
    </row>
    <row r="14437" spans="5:18" s="65" customFormat="1">
      <c r="E14437" s="130"/>
      <c r="P14437" s="99"/>
      <c r="Q14437" s="99"/>
      <c r="R14437" s="99"/>
    </row>
    <row r="14438" spans="5:18" s="65" customFormat="1">
      <c r="E14438" s="130"/>
      <c r="P14438" s="99"/>
      <c r="Q14438" s="99"/>
      <c r="R14438" s="99"/>
    </row>
    <row r="14439" spans="5:18" s="65" customFormat="1">
      <c r="E14439" s="130"/>
      <c r="P14439" s="99"/>
      <c r="Q14439" s="99"/>
      <c r="R14439" s="99"/>
    </row>
    <row r="14440" spans="5:18" s="65" customFormat="1">
      <c r="E14440" s="130"/>
      <c r="P14440" s="99"/>
      <c r="Q14440" s="99"/>
      <c r="R14440" s="99"/>
    </row>
    <row r="14441" spans="5:18" s="65" customFormat="1">
      <c r="E14441" s="130"/>
      <c r="P14441" s="99"/>
      <c r="Q14441" s="99"/>
      <c r="R14441" s="99"/>
    </row>
    <row r="14442" spans="5:18" s="65" customFormat="1">
      <c r="E14442" s="130"/>
      <c r="P14442" s="99"/>
      <c r="Q14442" s="99"/>
      <c r="R14442" s="99"/>
    </row>
    <row r="14443" spans="5:18" s="65" customFormat="1">
      <c r="E14443" s="130"/>
      <c r="P14443" s="99"/>
      <c r="Q14443" s="99"/>
      <c r="R14443" s="99"/>
    </row>
    <row r="14444" spans="5:18" s="65" customFormat="1">
      <c r="E14444" s="130"/>
      <c r="P14444" s="99"/>
      <c r="Q14444" s="99"/>
      <c r="R14444" s="99"/>
    </row>
    <row r="14445" spans="5:18" s="65" customFormat="1">
      <c r="E14445" s="130"/>
      <c r="P14445" s="99"/>
      <c r="Q14445" s="99"/>
      <c r="R14445" s="99"/>
    </row>
    <row r="14446" spans="5:18" s="65" customFormat="1">
      <c r="E14446" s="130"/>
      <c r="P14446" s="99"/>
      <c r="Q14446" s="99"/>
      <c r="R14446" s="99"/>
    </row>
    <row r="14447" spans="5:18" s="65" customFormat="1">
      <c r="E14447" s="130"/>
      <c r="P14447" s="99"/>
      <c r="Q14447" s="99"/>
      <c r="R14447" s="99"/>
    </row>
    <row r="14448" spans="5:18" s="65" customFormat="1">
      <c r="E14448" s="130"/>
      <c r="P14448" s="99"/>
      <c r="Q14448" s="99"/>
      <c r="R14448" s="99"/>
    </row>
    <row r="14449" spans="5:18" s="65" customFormat="1">
      <c r="E14449" s="130"/>
      <c r="P14449" s="99"/>
      <c r="Q14449" s="99"/>
      <c r="R14449" s="99"/>
    </row>
    <row r="14450" spans="5:18" s="65" customFormat="1">
      <c r="E14450" s="130"/>
      <c r="P14450" s="99"/>
      <c r="Q14450" s="99"/>
      <c r="R14450" s="99"/>
    </row>
    <row r="14451" spans="5:18" s="65" customFormat="1">
      <c r="E14451" s="130"/>
      <c r="P14451" s="99"/>
      <c r="Q14451" s="99"/>
      <c r="R14451" s="99"/>
    </row>
    <row r="14452" spans="5:18" s="65" customFormat="1">
      <c r="E14452" s="130"/>
      <c r="P14452" s="99"/>
      <c r="Q14452" s="99"/>
      <c r="R14452" s="99"/>
    </row>
    <row r="14453" spans="5:18" s="65" customFormat="1">
      <c r="E14453" s="130"/>
      <c r="P14453" s="99"/>
      <c r="Q14453" s="99"/>
      <c r="R14453" s="99"/>
    </row>
    <row r="14454" spans="5:18" s="65" customFormat="1">
      <c r="E14454" s="130"/>
      <c r="P14454" s="99"/>
      <c r="Q14454" s="99"/>
      <c r="R14454" s="99"/>
    </row>
    <row r="14455" spans="5:18" s="65" customFormat="1">
      <c r="E14455" s="130"/>
      <c r="P14455" s="99"/>
      <c r="Q14455" s="99"/>
      <c r="R14455" s="99"/>
    </row>
    <row r="14456" spans="5:18" s="65" customFormat="1">
      <c r="E14456" s="130"/>
      <c r="P14456" s="99"/>
      <c r="Q14456" s="99"/>
      <c r="R14456" s="99"/>
    </row>
    <row r="14457" spans="5:18" s="65" customFormat="1">
      <c r="E14457" s="130"/>
      <c r="P14457" s="99"/>
      <c r="Q14457" s="99"/>
      <c r="R14457" s="99"/>
    </row>
    <row r="14458" spans="5:18" s="65" customFormat="1">
      <c r="E14458" s="130"/>
      <c r="P14458" s="99"/>
      <c r="Q14458" s="99"/>
      <c r="R14458" s="99"/>
    </row>
    <row r="14459" spans="5:18" s="65" customFormat="1">
      <c r="E14459" s="130"/>
      <c r="P14459" s="99"/>
      <c r="Q14459" s="99"/>
      <c r="R14459" s="99"/>
    </row>
    <row r="14460" spans="5:18" s="65" customFormat="1">
      <c r="E14460" s="130"/>
      <c r="P14460" s="99"/>
      <c r="Q14460" s="99"/>
      <c r="R14460" s="99"/>
    </row>
    <row r="14461" spans="5:18" s="65" customFormat="1">
      <c r="E14461" s="130"/>
      <c r="P14461" s="99"/>
      <c r="Q14461" s="99"/>
      <c r="R14461" s="99"/>
    </row>
    <row r="14462" spans="5:18" s="65" customFormat="1">
      <c r="E14462" s="130"/>
      <c r="P14462" s="99"/>
      <c r="Q14462" s="99"/>
      <c r="R14462" s="99"/>
    </row>
    <row r="14463" spans="5:18" s="65" customFormat="1">
      <c r="E14463" s="130"/>
      <c r="P14463" s="99"/>
      <c r="Q14463" s="99"/>
      <c r="R14463" s="99"/>
    </row>
    <row r="14464" spans="5:18" s="65" customFormat="1">
      <c r="E14464" s="130"/>
      <c r="P14464" s="99"/>
      <c r="Q14464" s="99"/>
      <c r="R14464" s="99"/>
    </row>
    <row r="14465" spans="5:18" s="65" customFormat="1">
      <c r="E14465" s="130"/>
      <c r="P14465" s="99"/>
      <c r="Q14465" s="99"/>
      <c r="R14465" s="99"/>
    </row>
    <row r="14466" spans="5:18" s="65" customFormat="1">
      <c r="E14466" s="130"/>
      <c r="P14466" s="99"/>
      <c r="Q14466" s="99"/>
      <c r="R14466" s="99"/>
    </row>
    <row r="14467" spans="5:18" s="65" customFormat="1">
      <c r="E14467" s="130"/>
      <c r="P14467" s="99"/>
      <c r="Q14467" s="99"/>
      <c r="R14467" s="99"/>
    </row>
    <row r="14468" spans="5:18" s="65" customFormat="1">
      <c r="E14468" s="130"/>
      <c r="P14468" s="99"/>
      <c r="Q14468" s="99"/>
      <c r="R14468" s="99"/>
    </row>
    <row r="14469" spans="5:18" s="65" customFormat="1">
      <c r="E14469" s="130"/>
      <c r="P14469" s="99"/>
      <c r="Q14469" s="99"/>
      <c r="R14469" s="99"/>
    </row>
    <row r="14470" spans="5:18" s="65" customFormat="1">
      <c r="E14470" s="130"/>
      <c r="P14470" s="99"/>
      <c r="Q14470" s="99"/>
      <c r="R14470" s="99"/>
    </row>
    <row r="14471" spans="5:18" s="65" customFormat="1">
      <c r="E14471" s="130"/>
      <c r="P14471" s="99"/>
      <c r="Q14471" s="99"/>
      <c r="R14471" s="99"/>
    </row>
    <row r="14472" spans="5:18" s="65" customFormat="1">
      <c r="E14472" s="130"/>
      <c r="P14472" s="99"/>
      <c r="Q14472" s="99"/>
      <c r="R14472" s="99"/>
    </row>
    <row r="14473" spans="5:18" s="65" customFormat="1">
      <c r="E14473" s="130"/>
      <c r="P14473" s="99"/>
      <c r="Q14473" s="99"/>
      <c r="R14473" s="99"/>
    </row>
    <row r="14474" spans="5:18" s="65" customFormat="1">
      <c r="E14474" s="130"/>
      <c r="P14474" s="99"/>
      <c r="Q14474" s="99"/>
      <c r="R14474" s="99"/>
    </row>
    <row r="14475" spans="5:18" s="65" customFormat="1">
      <c r="E14475" s="130"/>
      <c r="P14475" s="99"/>
      <c r="Q14475" s="99"/>
      <c r="R14475" s="99"/>
    </row>
    <row r="14476" spans="5:18" s="65" customFormat="1">
      <c r="E14476" s="130"/>
      <c r="P14476" s="99"/>
      <c r="Q14476" s="99"/>
      <c r="R14476" s="99"/>
    </row>
    <row r="14477" spans="5:18" s="65" customFormat="1">
      <c r="E14477" s="130"/>
      <c r="P14477" s="99"/>
      <c r="Q14477" s="99"/>
      <c r="R14477" s="99"/>
    </row>
    <row r="14478" spans="5:18" s="65" customFormat="1">
      <c r="E14478" s="130"/>
      <c r="P14478" s="99"/>
      <c r="Q14478" s="99"/>
      <c r="R14478" s="99"/>
    </row>
    <row r="14479" spans="5:18" s="65" customFormat="1">
      <c r="E14479" s="130"/>
      <c r="P14479" s="99"/>
      <c r="Q14479" s="99"/>
      <c r="R14479" s="99"/>
    </row>
    <row r="14480" spans="5:18" s="65" customFormat="1">
      <c r="E14480" s="130"/>
      <c r="P14480" s="99"/>
      <c r="Q14480" s="99"/>
      <c r="R14480" s="99"/>
    </row>
    <row r="14481" spans="5:18" s="65" customFormat="1">
      <c r="E14481" s="130"/>
      <c r="P14481" s="99"/>
      <c r="Q14481" s="99"/>
      <c r="R14481" s="99"/>
    </row>
    <row r="14482" spans="5:18" s="65" customFormat="1">
      <c r="E14482" s="130"/>
      <c r="P14482" s="99"/>
      <c r="Q14482" s="99"/>
      <c r="R14482" s="99"/>
    </row>
    <row r="14483" spans="5:18" s="65" customFormat="1">
      <c r="E14483" s="130"/>
      <c r="P14483" s="99"/>
      <c r="Q14483" s="99"/>
      <c r="R14483" s="99"/>
    </row>
    <row r="14484" spans="5:18" s="65" customFormat="1">
      <c r="E14484" s="130"/>
      <c r="P14484" s="99"/>
      <c r="Q14484" s="99"/>
      <c r="R14484" s="99"/>
    </row>
    <row r="14485" spans="5:18" s="65" customFormat="1">
      <c r="E14485" s="130"/>
      <c r="P14485" s="99"/>
      <c r="Q14485" s="99"/>
      <c r="R14485" s="99"/>
    </row>
    <row r="14486" spans="5:18" s="65" customFormat="1">
      <c r="E14486" s="130"/>
      <c r="P14486" s="99"/>
      <c r="Q14486" s="99"/>
      <c r="R14486" s="99"/>
    </row>
    <row r="14487" spans="5:18" s="65" customFormat="1">
      <c r="E14487" s="130"/>
      <c r="P14487" s="99"/>
      <c r="Q14487" s="99"/>
      <c r="R14487" s="99"/>
    </row>
    <row r="14488" spans="5:18" s="65" customFormat="1">
      <c r="E14488" s="130"/>
      <c r="P14488" s="99"/>
      <c r="Q14488" s="99"/>
      <c r="R14488" s="99"/>
    </row>
    <row r="14489" spans="5:18" s="65" customFormat="1">
      <c r="E14489" s="130"/>
      <c r="P14489" s="99"/>
      <c r="Q14489" s="99"/>
      <c r="R14489" s="99"/>
    </row>
    <row r="14490" spans="5:18" s="65" customFormat="1">
      <c r="E14490" s="130"/>
      <c r="P14490" s="99"/>
      <c r="Q14490" s="99"/>
      <c r="R14490" s="99"/>
    </row>
    <row r="14491" spans="5:18" s="65" customFormat="1">
      <c r="E14491" s="130"/>
      <c r="P14491" s="99"/>
      <c r="Q14491" s="99"/>
      <c r="R14491" s="99"/>
    </row>
    <row r="14492" spans="5:18" s="65" customFormat="1">
      <c r="E14492" s="130"/>
      <c r="P14492" s="99"/>
      <c r="Q14492" s="99"/>
      <c r="R14492" s="99"/>
    </row>
    <row r="14493" spans="5:18" s="65" customFormat="1">
      <c r="E14493" s="130"/>
      <c r="P14493" s="99"/>
      <c r="Q14493" s="99"/>
      <c r="R14493" s="99"/>
    </row>
    <row r="14494" spans="5:18" s="65" customFormat="1">
      <c r="E14494" s="130"/>
      <c r="P14494" s="99"/>
      <c r="Q14494" s="99"/>
      <c r="R14494" s="99"/>
    </row>
    <row r="14495" spans="5:18" s="65" customFormat="1">
      <c r="E14495" s="130"/>
      <c r="P14495" s="99"/>
      <c r="Q14495" s="99"/>
      <c r="R14495" s="99"/>
    </row>
    <row r="14496" spans="5:18" s="65" customFormat="1">
      <c r="E14496" s="130"/>
      <c r="P14496" s="99"/>
      <c r="Q14496" s="99"/>
      <c r="R14496" s="99"/>
    </row>
    <row r="14497" spans="5:18" s="65" customFormat="1">
      <c r="E14497" s="130"/>
      <c r="P14497" s="99"/>
      <c r="Q14497" s="99"/>
      <c r="R14497" s="99"/>
    </row>
    <row r="14498" spans="5:18" s="65" customFormat="1">
      <c r="E14498" s="130"/>
      <c r="P14498" s="99"/>
      <c r="Q14498" s="99"/>
      <c r="R14498" s="99"/>
    </row>
    <row r="14499" spans="5:18" s="65" customFormat="1">
      <c r="E14499" s="130"/>
      <c r="P14499" s="99"/>
      <c r="Q14499" s="99"/>
      <c r="R14499" s="99"/>
    </row>
    <row r="14500" spans="5:18" s="65" customFormat="1">
      <c r="E14500" s="130"/>
      <c r="P14500" s="99"/>
      <c r="Q14500" s="99"/>
      <c r="R14500" s="99"/>
    </row>
    <row r="14501" spans="5:18" s="65" customFormat="1">
      <c r="E14501" s="130"/>
      <c r="P14501" s="99"/>
      <c r="Q14501" s="99"/>
      <c r="R14501" s="99"/>
    </row>
    <row r="14502" spans="5:18" s="65" customFormat="1">
      <c r="E14502" s="130"/>
      <c r="P14502" s="99"/>
      <c r="Q14502" s="99"/>
      <c r="R14502" s="99"/>
    </row>
    <row r="14503" spans="5:18" s="65" customFormat="1">
      <c r="E14503" s="130"/>
      <c r="P14503" s="99"/>
      <c r="Q14503" s="99"/>
      <c r="R14503" s="99"/>
    </row>
    <row r="14504" spans="5:18" s="65" customFormat="1">
      <c r="E14504" s="130"/>
      <c r="P14504" s="99"/>
      <c r="Q14504" s="99"/>
      <c r="R14504" s="99"/>
    </row>
    <row r="14505" spans="5:18" s="65" customFormat="1">
      <c r="E14505" s="130"/>
      <c r="P14505" s="99"/>
      <c r="Q14505" s="99"/>
      <c r="R14505" s="99"/>
    </row>
    <row r="14506" spans="5:18" s="65" customFormat="1">
      <c r="E14506" s="130"/>
      <c r="P14506" s="99"/>
      <c r="Q14506" s="99"/>
      <c r="R14506" s="99"/>
    </row>
    <row r="14507" spans="5:18" s="65" customFormat="1">
      <c r="E14507" s="130"/>
      <c r="P14507" s="99"/>
      <c r="Q14507" s="99"/>
      <c r="R14507" s="99"/>
    </row>
    <row r="14508" spans="5:18" s="65" customFormat="1">
      <c r="E14508" s="130"/>
      <c r="P14508" s="99"/>
      <c r="Q14508" s="99"/>
      <c r="R14508" s="99"/>
    </row>
    <row r="14509" spans="5:18" s="65" customFormat="1">
      <c r="E14509" s="130"/>
      <c r="P14509" s="99"/>
      <c r="Q14509" s="99"/>
      <c r="R14509" s="99"/>
    </row>
    <row r="14510" spans="5:18" s="65" customFormat="1">
      <c r="E14510" s="130"/>
      <c r="P14510" s="99"/>
      <c r="Q14510" s="99"/>
      <c r="R14510" s="99"/>
    </row>
    <row r="14511" spans="5:18" s="65" customFormat="1">
      <c r="E14511" s="130"/>
      <c r="P14511" s="99"/>
      <c r="Q14511" s="99"/>
      <c r="R14511" s="99"/>
    </row>
    <row r="14512" spans="5:18" s="65" customFormat="1">
      <c r="E14512" s="130"/>
      <c r="P14512" s="99"/>
      <c r="Q14512" s="99"/>
      <c r="R14512" s="99"/>
    </row>
    <row r="14513" spans="5:18" s="65" customFormat="1">
      <c r="E14513" s="130"/>
      <c r="P14513" s="99"/>
      <c r="Q14513" s="99"/>
      <c r="R14513" s="99"/>
    </row>
    <row r="14514" spans="5:18" s="65" customFormat="1">
      <c r="E14514" s="130"/>
      <c r="P14514" s="99"/>
      <c r="Q14514" s="99"/>
      <c r="R14514" s="99"/>
    </row>
    <row r="14515" spans="5:18" s="65" customFormat="1">
      <c r="E14515" s="130"/>
      <c r="P14515" s="99"/>
      <c r="Q14515" s="99"/>
      <c r="R14515" s="99"/>
    </row>
    <row r="14516" spans="5:18" s="65" customFormat="1">
      <c r="E14516" s="130"/>
      <c r="P14516" s="99"/>
      <c r="Q14516" s="99"/>
      <c r="R14516" s="99"/>
    </row>
    <row r="14517" spans="5:18" s="65" customFormat="1">
      <c r="E14517" s="130"/>
      <c r="P14517" s="99"/>
      <c r="Q14517" s="99"/>
      <c r="R14517" s="99"/>
    </row>
    <row r="14518" spans="5:18" s="65" customFormat="1">
      <c r="E14518" s="130"/>
      <c r="P14518" s="99"/>
      <c r="Q14518" s="99"/>
      <c r="R14518" s="99"/>
    </row>
    <row r="14519" spans="5:18" s="65" customFormat="1">
      <c r="E14519" s="130"/>
      <c r="P14519" s="99"/>
      <c r="Q14519" s="99"/>
      <c r="R14519" s="99"/>
    </row>
    <row r="14520" spans="5:18" s="65" customFormat="1">
      <c r="E14520" s="130"/>
      <c r="P14520" s="99"/>
      <c r="Q14520" s="99"/>
      <c r="R14520" s="99"/>
    </row>
    <row r="14521" spans="5:18" s="65" customFormat="1">
      <c r="E14521" s="130"/>
      <c r="P14521" s="99"/>
      <c r="Q14521" s="99"/>
      <c r="R14521" s="99"/>
    </row>
    <row r="14522" spans="5:18" s="65" customFormat="1">
      <c r="E14522" s="130"/>
      <c r="P14522" s="99"/>
      <c r="Q14522" s="99"/>
      <c r="R14522" s="99"/>
    </row>
    <row r="14523" spans="5:18" s="65" customFormat="1">
      <c r="E14523" s="130"/>
      <c r="P14523" s="99"/>
      <c r="Q14523" s="99"/>
      <c r="R14523" s="99"/>
    </row>
    <row r="14524" spans="5:18" s="65" customFormat="1">
      <c r="E14524" s="130"/>
      <c r="P14524" s="99"/>
      <c r="Q14524" s="99"/>
      <c r="R14524" s="99"/>
    </row>
    <row r="14525" spans="5:18" s="65" customFormat="1">
      <c r="E14525" s="130"/>
      <c r="P14525" s="99"/>
      <c r="Q14525" s="99"/>
      <c r="R14525" s="99"/>
    </row>
    <row r="14526" spans="5:18" s="65" customFormat="1">
      <c r="E14526" s="130"/>
      <c r="P14526" s="99"/>
      <c r="Q14526" s="99"/>
      <c r="R14526" s="99"/>
    </row>
    <row r="14527" spans="5:18" s="65" customFormat="1">
      <c r="E14527" s="130"/>
      <c r="P14527" s="99"/>
      <c r="Q14527" s="99"/>
      <c r="R14527" s="99"/>
    </row>
    <row r="14528" spans="5:18" s="65" customFormat="1">
      <c r="E14528" s="130"/>
      <c r="P14528" s="99"/>
      <c r="Q14528" s="99"/>
      <c r="R14528" s="99"/>
    </row>
    <row r="14529" spans="5:18" s="65" customFormat="1">
      <c r="E14529" s="130"/>
      <c r="P14529" s="99"/>
      <c r="Q14529" s="99"/>
      <c r="R14529" s="99"/>
    </row>
    <row r="14530" spans="5:18" s="65" customFormat="1">
      <c r="E14530" s="130"/>
      <c r="P14530" s="99"/>
      <c r="Q14530" s="99"/>
      <c r="R14530" s="99"/>
    </row>
    <row r="14531" spans="5:18" s="65" customFormat="1">
      <c r="E14531" s="130"/>
      <c r="P14531" s="99"/>
      <c r="Q14531" s="99"/>
      <c r="R14531" s="99"/>
    </row>
    <row r="14532" spans="5:18" s="65" customFormat="1">
      <c r="E14532" s="130"/>
      <c r="P14532" s="99"/>
      <c r="Q14532" s="99"/>
      <c r="R14532" s="99"/>
    </row>
    <row r="14533" spans="5:18" s="65" customFormat="1">
      <c r="E14533" s="130"/>
      <c r="P14533" s="99"/>
      <c r="Q14533" s="99"/>
      <c r="R14533" s="99"/>
    </row>
    <row r="14534" spans="5:18" s="65" customFormat="1">
      <c r="E14534" s="130"/>
      <c r="P14534" s="99"/>
      <c r="Q14534" s="99"/>
      <c r="R14534" s="99"/>
    </row>
    <row r="14535" spans="5:18" s="65" customFormat="1">
      <c r="E14535" s="130"/>
      <c r="P14535" s="99"/>
      <c r="Q14535" s="99"/>
      <c r="R14535" s="99"/>
    </row>
    <row r="14536" spans="5:18" s="65" customFormat="1">
      <c r="E14536" s="130"/>
      <c r="P14536" s="99"/>
      <c r="Q14536" s="99"/>
      <c r="R14536" s="99"/>
    </row>
    <row r="14537" spans="5:18" s="65" customFormat="1">
      <c r="E14537" s="130"/>
      <c r="P14537" s="99"/>
      <c r="Q14537" s="99"/>
      <c r="R14537" s="99"/>
    </row>
    <row r="14538" spans="5:18" s="65" customFormat="1">
      <c r="E14538" s="130"/>
      <c r="P14538" s="99"/>
      <c r="Q14538" s="99"/>
      <c r="R14538" s="99"/>
    </row>
    <row r="14539" spans="5:18" s="65" customFormat="1">
      <c r="E14539" s="130"/>
      <c r="P14539" s="99"/>
      <c r="Q14539" s="99"/>
      <c r="R14539" s="99"/>
    </row>
    <row r="14540" spans="5:18" s="65" customFormat="1">
      <c r="E14540" s="130"/>
      <c r="P14540" s="99"/>
      <c r="Q14540" s="99"/>
      <c r="R14540" s="99"/>
    </row>
    <row r="14541" spans="5:18" s="65" customFormat="1">
      <c r="E14541" s="130"/>
      <c r="P14541" s="99"/>
      <c r="Q14541" s="99"/>
      <c r="R14541" s="99"/>
    </row>
    <row r="14542" spans="5:18" s="65" customFormat="1">
      <c r="E14542" s="130"/>
      <c r="P14542" s="99"/>
      <c r="Q14542" s="99"/>
      <c r="R14542" s="99"/>
    </row>
    <row r="14543" spans="5:18" s="65" customFormat="1">
      <c r="E14543" s="130"/>
      <c r="P14543" s="99"/>
      <c r="Q14543" s="99"/>
      <c r="R14543" s="99"/>
    </row>
    <row r="14544" spans="5:18" s="65" customFormat="1">
      <c r="E14544" s="130"/>
      <c r="P14544" s="99"/>
      <c r="Q14544" s="99"/>
      <c r="R14544" s="99"/>
    </row>
    <row r="14545" spans="5:18" s="65" customFormat="1">
      <c r="E14545" s="130"/>
      <c r="P14545" s="99"/>
      <c r="Q14545" s="99"/>
      <c r="R14545" s="99"/>
    </row>
    <row r="14546" spans="5:18" s="65" customFormat="1">
      <c r="E14546" s="130"/>
      <c r="P14546" s="99"/>
      <c r="Q14546" s="99"/>
      <c r="R14546" s="99"/>
    </row>
    <row r="14547" spans="5:18" s="65" customFormat="1">
      <c r="E14547" s="130"/>
      <c r="P14547" s="99"/>
      <c r="Q14547" s="99"/>
      <c r="R14547" s="99"/>
    </row>
    <row r="14548" spans="5:18" s="65" customFormat="1">
      <c r="E14548" s="130"/>
      <c r="P14548" s="99"/>
      <c r="Q14548" s="99"/>
      <c r="R14548" s="99"/>
    </row>
    <row r="14549" spans="5:18" s="65" customFormat="1">
      <c r="E14549" s="130"/>
      <c r="P14549" s="99"/>
      <c r="Q14549" s="99"/>
      <c r="R14549" s="99"/>
    </row>
    <row r="14550" spans="5:18" s="65" customFormat="1">
      <c r="E14550" s="130"/>
      <c r="P14550" s="99"/>
      <c r="Q14550" s="99"/>
      <c r="R14550" s="99"/>
    </row>
    <row r="14551" spans="5:18" s="65" customFormat="1">
      <c r="E14551" s="130"/>
      <c r="P14551" s="99"/>
      <c r="Q14551" s="99"/>
      <c r="R14551" s="99"/>
    </row>
    <row r="14552" spans="5:18" s="65" customFormat="1">
      <c r="E14552" s="130"/>
      <c r="P14552" s="99"/>
      <c r="Q14552" s="99"/>
      <c r="R14552" s="99"/>
    </row>
    <row r="14553" spans="5:18" s="65" customFormat="1">
      <c r="E14553" s="130"/>
      <c r="P14553" s="99"/>
      <c r="Q14553" s="99"/>
      <c r="R14553" s="99"/>
    </row>
    <row r="14554" spans="5:18" s="65" customFormat="1">
      <c r="E14554" s="130"/>
      <c r="P14554" s="99"/>
      <c r="Q14554" s="99"/>
      <c r="R14554" s="99"/>
    </row>
    <row r="14555" spans="5:18" s="65" customFormat="1">
      <c r="E14555" s="130"/>
      <c r="P14555" s="99"/>
      <c r="Q14555" s="99"/>
      <c r="R14555" s="99"/>
    </row>
    <row r="14556" spans="5:18" s="65" customFormat="1">
      <c r="E14556" s="130"/>
      <c r="P14556" s="99"/>
      <c r="Q14556" s="99"/>
      <c r="R14556" s="99"/>
    </row>
    <row r="14557" spans="5:18" s="65" customFormat="1">
      <c r="E14557" s="130"/>
      <c r="P14557" s="99"/>
      <c r="Q14557" s="99"/>
      <c r="R14557" s="99"/>
    </row>
    <row r="14558" spans="5:18" s="65" customFormat="1">
      <c r="E14558" s="130"/>
      <c r="P14558" s="99"/>
      <c r="Q14558" s="99"/>
      <c r="R14558" s="99"/>
    </row>
    <row r="14559" spans="5:18" s="65" customFormat="1">
      <c r="E14559" s="130"/>
      <c r="P14559" s="99"/>
      <c r="Q14559" s="99"/>
      <c r="R14559" s="99"/>
    </row>
    <row r="14560" spans="5:18" s="65" customFormat="1">
      <c r="E14560" s="130"/>
      <c r="P14560" s="99"/>
      <c r="Q14560" s="99"/>
      <c r="R14560" s="99"/>
    </row>
    <row r="14561" spans="5:18" s="65" customFormat="1">
      <c r="E14561" s="130"/>
      <c r="P14561" s="99"/>
      <c r="Q14561" s="99"/>
      <c r="R14561" s="99"/>
    </row>
    <row r="14562" spans="5:18" s="65" customFormat="1">
      <c r="E14562" s="130"/>
      <c r="P14562" s="99"/>
      <c r="Q14562" s="99"/>
      <c r="R14562" s="99"/>
    </row>
    <row r="14563" spans="5:18" s="65" customFormat="1">
      <c r="E14563" s="130"/>
      <c r="P14563" s="99"/>
      <c r="Q14563" s="99"/>
      <c r="R14563" s="99"/>
    </row>
    <row r="14564" spans="5:18" s="65" customFormat="1">
      <c r="E14564" s="130"/>
      <c r="P14564" s="99"/>
      <c r="Q14564" s="99"/>
      <c r="R14564" s="99"/>
    </row>
    <row r="14565" spans="5:18" s="65" customFormat="1">
      <c r="E14565" s="130"/>
      <c r="P14565" s="99"/>
      <c r="Q14565" s="99"/>
      <c r="R14565" s="99"/>
    </row>
    <row r="14566" spans="5:18" s="65" customFormat="1">
      <c r="E14566" s="130"/>
      <c r="P14566" s="99"/>
      <c r="Q14566" s="99"/>
      <c r="R14566" s="99"/>
    </row>
    <row r="14567" spans="5:18" s="65" customFormat="1">
      <c r="E14567" s="130"/>
      <c r="P14567" s="99"/>
      <c r="Q14567" s="99"/>
      <c r="R14567" s="99"/>
    </row>
    <row r="14568" spans="5:18" s="65" customFormat="1">
      <c r="E14568" s="130"/>
      <c r="P14568" s="99"/>
      <c r="Q14568" s="99"/>
      <c r="R14568" s="99"/>
    </row>
    <row r="14569" spans="5:18" s="65" customFormat="1">
      <c r="E14569" s="130"/>
      <c r="P14569" s="99"/>
      <c r="Q14569" s="99"/>
      <c r="R14569" s="99"/>
    </row>
    <row r="14570" spans="5:18" s="65" customFormat="1">
      <c r="E14570" s="130"/>
      <c r="P14570" s="99"/>
      <c r="Q14570" s="99"/>
      <c r="R14570" s="99"/>
    </row>
    <row r="14571" spans="5:18" s="65" customFormat="1">
      <c r="E14571" s="130"/>
      <c r="P14571" s="99"/>
      <c r="Q14571" s="99"/>
      <c r="R14571" s="99"/>
    </row>
    <row r="14572" spans="5:18" s="65" customFormat="1">
      <c r="E14572" s="130"/>
      <c r="P14572" s="99"/>
      <c r="Q14572" s="99"/>
      <c r="R14572" s="99"/>
    </row>
    <row r="14573" spans="5:18" s="65" customFormat="1">
      <c r="E14573" s="130"/>
      <c r="P14573" s="99"/>
      <c r="Q14573" s="99"/>
      <c r="R14573" s="99"/>
    </row>
    <row r="14574" spans="5:18" s="65" customFormat="1">
      <c r="E14574" s="130"/>
      <c r="P14574" s="99"/>
      <c r="Q14574" s="99"/>
      <c r="R14574" s="99"/>
    </row>
    <row r="14575" spans="5:18" s="65" customFormat="1">
      <c r="E14575" s="130"/>
      <c r="P14575" s="99"/>
      <c r="Q14575" s="99"/>
      <c r="R14575" s="99"/>
    </row>
    <row r="14576" spans="5:18" s="65" customFormat="1">
      <c r="E14576" s="130"/>
      <c r="P14576" s="99"/>
      <c r="Q14576" s="99"/>
      <c r="R14576" s="99"/>
    </row>
    <row r="14577" spans="5:18" s="65" customFormat="1">
      <c r="E14577" s="130"/>
      <c r="P14577" s="99"/>
      <c r="Q14577" s="99"/>
      <c r="R14577" s="99"/>
    </row>
    <row r="14578" spans="5:18" s="65" customFormat="1">
      <c r="E14578" s="130"/>
      <c r="P14578" s="99"/>
      <c r="Q14578" s="99"/>
      <c r="R14578" s="99"/>
    </row>
    <row r="14579" spans="5:18" s="65" customFormat="1">
      <c r="E14579" s="130"/>
      <c r="P14579" s="99"/>
      <c r="Q14579" s="99"/>
      <c r="R14579" s="99"/>
    </row>
    <row r="14580" spans="5:18" s="65" customFormat="1">
      <c r="E14580" s="130"/>
      <c r="P14580" s="99"/>
      <c r="Q14580" s="99"/>
      <c r="R14580" s="99"/>
    </row>
    <row r="14581" spans="5:18" s="65" customFormat="1">
      <c r="E14581" s="130"/>
      <c r="P14581" s="99"/>
      <c r="Q14581" s="99"/>
      <c r="R14581" s="99"/>
    </row>
    <row r="14582" spans="5:18" s="65" customFormat="1">
      <c r="E14582" s="130"/>
      <c r="P14582" s="99"/>
      <c r="Q14582" s="99"/>
      <c r="R14582" s="99"/>
    </row>
    <row r="14583" spans="5:18" s="65" customFormat="1">
      <c r="E14583" s="130"/>
      <c r="P14583" s="99"/>
      <c r="Q14583" s="99"/>
      <c r="R14583" s="99"/>
    </row>
    <row r="14584" spans="5:18" s="65" customFormat="1">
      <c r="E14584" s="130"/>
      <c r="P14584" s="99"/>
      <c r="Q14584" s="99"/>
      <c r="R14584" s="99"/>
    </row>
    <row r="14585" spans="5:18" s="65" customFormat="1">
      <c r="E14585" s="130"/>
      <c r="P14585" s="99"/>
      <c r="Q14585" s="99"/>
      <c r="R14585" s="99"/>
    </row>
    <row r="14586" spans="5:18" s="65" customFormat="1">
      <c r="E14586" s="130"/>
      <c r="P14586" s="99"/>
      <c r="Q14586" s="99"/>
      <c r="R14586" s="99"/>
    </row>
    <row r="14587" spans="5:18" s="65" customFormat="1">
      <c r="E14587" s="130"/>
      <c r="P14587" s="99"/>
      <c r="Q14587" s="99"/>
      <c r="R14587" s="99"/>
    </row>
    <row r="14588" spans="5:18" s="65" customFormat="1">
      <c r="E14588" s="130"/>
      <c r="P14588" s="99"/>
      <c r="Q14588" s="99"/>
      <c r="R14588" s="99"/>
    </row>
    <row r="14589" spans="5:18" s="65" customFormat="1">
      <c r="E14589" s="130"/>
      <c r="P14589" s="99"/>
      <c r="Q14589" s="99"/>
      <c r="R14589" s="99"/>
    </row>
    <row r="14590" spans="5:18" s="65" customFormat="1">
      <c r="E14590" s="130"/>
      <c r="P14590" s="99"/>
      <c r="Q14590" s="99"/>
      <c r="R14590" s="99"/>
    </row>
    <row r="14591" spans="5:18" s="65" customFormat="1">
      <c r="E14591" s="130"/>
      <c r="P14591" s="99"/>
      <c r="Q14591" s="99"/>
      <c r="R14591" s="99"/>
    </row>
    <row r="14592" spans="5:18" s="65" customFormat="1">
      <c r="E14592" s="130"/>
      <c r="P14592" s="99"/>
      <c r="Q14592" s="99"/>
      <c r="R14592" s="99"/>
    </row>
    <row r="14593" spans="5:18" s="65" customFormat="1">
      <c r="E14593" s="130"/>
      <c r="P14593" s="99"/>
      <c r="Q14593" s="99"/>
      <c r="R14593" s="99"/>
    </row>
    <row r="14594" spans="5:18" s="65" customFormat="1">
      <c r="E14594" s="130"/>
      <c r="P14594" s="99"/>
      <c r="Q14594" s="99"/>
      <c r="R14594" s="99"/>
    </row>
    <row r="14595" spans="5:18" s="65" customFormat="1">
      <c r="E14595" s="130"/>
      <c r="P14595" s="99"/>
      <c r="Q14595" s="99"/>
      <c r="R14595" s="99"/>
    </row>
    <row r="14596" spans="5:18" s="65" customFormat="1">
      <c r="E14596" s="130"/>
      <c r="P14596" s="99"/>
      <c r="Q14596" s="99"/>
      <c r="R14596" s="99"/>
    </row>
    <row r="14597" spans="5:18" s="65" customFormat="1">
      <c r="E14597" s="130"/>
      <c r="P14597" s="99"/>
      <c r="Q14597" s="99"/>
      <c r="R14597" s="99"/>
    </row>
    <row r="14598" spans="5:18" s="65" customFormat="1">
      <c r="E14598" s="130"/>
      <c r="P14598" s="99"/>
      <c r="Q14598" s="99"/>
      <c r="R14598" s="99"/>
    </row>
    <row r="14599" spans="5:18" s="65" customFormat="1">
      <c r="E14599" s="130"/>
      <c r="P14599" s="99"/>
      <c r="Q14599" s="99"/>
      <c r="R14599" s="99"/>
    </row>
    <row r="14600" spans="5:18" s="65" customFormat="1">
      <c r="E14600" s="130"/>
      <c r="P14600" s="99"/>
      <c r="Q14600" s="99"/>
      <c r="R14600" s="99"/>
    </row>
    <row r="14601" spans="5:18" s="65" customFormat="1">
      <c r="E14601" s="130"/>
      <c r="P14601" s="99"/>
      <c r="Q14601" s="99"/>
      <c r="R14601" s="99"/>
    </row>
    <row r="14602" spans="5:18" s="65" customFormat="1">
      <c r="E14602" s="130"/>
      <c r="P14602" s="99"/>
      <c r="Q14602" s="99"/>
      <c r="R14602" s="99"/>
    </row>
    <row r="14603" spans="5:18" s="65" customFormat="1">
      <c r="E14603" s="130"/>
      <c r="P14603" s="99"/>
      <c r="Q14603" s="99"/>
      <c r="R14603" s="99"/>
    </row>
    <row r="14604" spans="5:18" s="65" customFormat="1">
      <c r="E14604" s="130"/>
      <c r="P14604" s="99"/>
      <c r="Q14604" s="99"/>
      <c r="R14604" s="99"/>
    </row>
    <row r="14605" spans="5:18" s="65" customFormat="1">
      <c r="E14605" s="130"/>
      <c r="P14605" s="99"/>
      <c r="Q14605" s="99"/>
      <c r="R14605" s="99"/>
    </row>
    <row r="14606" spans="5:18" s="65" customFormat="1">
      <c r="E14606" s="130"/>
      <c r="P14606" s="99"/>
      <c r="Q14606" s="99"/>
      <c r="R14606" s="99"/>
    </row>
    <row r="14607" spans="5:18" s="65" customFormat="1">
      <c r="E14607" s="130"/>
      <c r="P14607" s="99"/>
      <c r="Q14607" s="99"/>
      <c r="R14607" s="99"/>
    </row>
    <row r="14608" spans="5:18" s="65" customFormat="1">
      <c r="E14608" s="130"/>
      <c r="P14608" s="99"/>
      <c r="Q14608" s="99"/>
      <c r="R14608" s="99"/>
    </row>
    <row r="14609" spans="5:18" s="65" customFormat="1">
      <c r="E14609" s="130"/>
      <c r="P14609" s="99"/>
      <c r="Q14609" s="99"/>
      <c r="R14609" s="99"/>
    </row>
    <row r="14610" spans="5:18" s="65" customFormat="1">
      <c r="E14610" s="130"/>
      <c r="P14610" s="99"/>
      <c r="Q14610" s="99"/>
      <c r="R14610" s="99"/>
    </row>
    <row r="14611" spans="5:18" s="65" customFormat="1">
      <c r="E14611" s="130"/>
      <c r="P14611" s="99"/>
      <c r="Q14611" s="99"/>
      <c r="R14611" s="99"/>
    </row>
    <row r="14612" spans="5:18" s="65" customFormat="1">
      <c r="E14612" s="130"/>
      <c r="P14612" s="99"/>
      <c r="Q14612" s="99"/>
      <c r="R14612" s="99"/>
    </row>
    <row r="14613" spans="5:18" s="65" customFormat="1">
      <c r="E14613" s="130"/>
      <c r="P14613" s="99"/>
      <c r="Q14613" s="99"/>
      <c r="R14613" s="99"/>
    </row>
    <row r="14614" spans="5:18" s="65" customFormat="1">
      <c r="E14614" s="130"/>
      <c r="P14614" s="99"/>
      <c r="Q14614" s="99"/>
      <c r="R14614" s="99"/>
    </row>
    <row r="14615" spans="5:18" s="65" customFormat="1">
      <c r="E14615" s="130"/>
      <c r="P14615" s="99"/>
      <c r="Q14615" s="99"/>
      <c r="R14615" s="99"/>
    </row>
    <row r="14616" spans="5:18" s="65" customFormat="1">
      <c r="E14616" s="130"/>
      <c r="P14616" s="99"/>
      <c r="Q14616" s="99"/>
      <c r="R14616" s="99"/>
    </row>
    <row r="14617" spans="5:18" s="65" customFormat="1">
      <c r="E14617" s="130"/>
      <c r="P14617" s="99"/>
      <c r="Q14617" s="99"/>
      <c r="R14617" s="99"/>
    </row>
    <row r="14618" spans="5:18" s="65" customFormat="1">
      <c r="E14618" s="130"/>
      <c r="P14618" s="99"/>
      <c r="Q14618" s="99"/>
      <c r="R14618" s="99"/>
    </row>
    <row r="14619" spans="5:18" s="65" customFormat="1">
      <c r="E14619" s="130"/>
      <c r="P14619" s="99"/>
      <c r="Q14619" s="99"/>
      <c r="R14619" s="99"/>
    </row>
    <row r="14620" spans="5:18" s="65" customFormat="1">
      <c r="E14620" s="130"/>
      <c r="P14620" s="99"/>
      <c r="Q14620" s="99"/>
      <c r="R14620" s="99"/>
    </row>
    <row r="14621" spans="5:18" s="65" customFormat="1">
      <c r="E14621" s="130"/>
      <c r="P14621" s="99"/>
      <c r="Q14621" s="99"/>
      <c r="R14621" s="99"/>
    </row>
    <row r="14622" spans="5:18" s="65" customFormat="1">
      <c r="E14622" s="130"/>
      <c r="P14622" s="99"/>
      <c r="Q14622" s="99"/>
      <c r="R14622" s="99"/>
    </row>
    <row r="14623" spans="5:18" s="65" customFormat="1">
      <c r="E14623" s="130"/>
      <c r="P14623" s="99"/>
      <c r="Q14623" s="99"/>
      <c r="R14623" s="99"/>
    </row>
    <row r="14624" spans="5:18" s="65" customFormat="1">
      <c r="E14624" s="130"/>
      <c r="P14624" s="99"/>
      <c r="Q14624" s="99"/>
      <c r="R14624" s="99"/>
    </row>
    <row r="14625" spans="5:18" s="65" customFormat="1">
      <c r="E14625" s="130"/>
      <c r="P14625" s="99"/>
      <c r="Q14625" s="99"/>
      <c r="R14625" s="99"/>
    </row>
    <row r="14626" spans="5:18" s="65" customFormat="1">
      <c r="E14626" s="130"/>
      <c r="P14626" s="99"/>
      <c r="Q14626" s="99"/>
      <c r="R14626" s="99"/>
    </row>
    <row r="14627" spans="5:18" s="65" customFormat="1">
      <c r="E14627" s="130"/>
      <c r="P14627" s="99"/>
      <c r="Q14627" s="99"/>
      <c r="R14627" s="99"/>
    </row>
    <row r="14628" spans="5:18" s="65" customFormat="1">
      <c r="E14628" s="130"/>
      <c r="P14628" s="99"/>
      <c r="Q14628" s="99"/>
      <c r="R14628" s="99"/>
    </row>
    <row r="14629" spans="5:18" s="65" customFormat="1">
      <c r="E14629" s="130"/>
      <c r="P14629" s="99"/>
      <c r="Q14629" s="99"/>
      <c r="R14629" s="99"/>
    </row>
    <row r="14630" spans="5:18" s="65" customFormat="1">
      <c r="E14630" s="130"/>
      <c r="P14630" s="99"/>
      <c r="Q14630" s="99"/>
      <c r="R14630" s="99"/>
    </row>
    <row r="14631" spans="5:18" s="65" customFormat="1">
      <c r="E14631" s="130"/>
      <c r="P14631" s="99"/>
      <c r="Q14631" s="99"/>
      <c r="R14631" s="99"/>
    </row>
    <row r="14632" spans="5:18" s="65" customFormat="1">
      <c r="E14632" s="130"/>
      <c r="P14632" s="99"/>
      <c r="Q14632" s="99"/>
      <c r="R14632" s="99"/>
    </row>
    <row r="14633" spans="5:18" s="65" customFormat="1">
      <c r="E14633" s="130"/>
      <c r="P14633" s="99"/>
      <c r="Q14633" s="99"/>
      <c r="R14633" s="99"/>
    </row>
    <row r="14634" spans="5:18" s="65" customFormat="1">
      <c r="E14634" s="130"/>
      <c r="P14634" s="99"/>
      <c r="Q14634" s="99"/>
      <c r="R14634" s="99"/>
    </row>
    <row r="14635" spans="5:18" s="65" customFormat="1">
      <c r="E14635" s="130"/>
      <c r="P14635" s="99"/>
      <c r="Q14635" s="99"/>
      <c r="R14635" s="99"/>
    </row>
    <row r="14636" spans="5:18" s="65" customFormat="1">
      <c r="E14636" s="130"/>
      <c r="P14636" s="99"/>
      <c r="Q14636" s="99"/>
      <c r="R14636" s="99"/>
    </row>
    <row r="14637" spans="5:18" s="65" customFormat="1">
      <c r="E14637" s="130"/>
      <c r="P14637" s="99"/>
      <c r="Q14637" s="99"/>
      <c r="R14637" s="99"/>
    </row>
    <row r="14638" spans="5:18" s="65" customFormat="1">
      <c r="E14638" s="130"/>
      <c r="P14638" s="99"/>
      <c r="Q14638" s="99"/>
      <c r="R14638" s="99"/>
    </row>
    <row r="14639" spans="5:18" s="65" customFormat="1">
      <c r="E14639" s="130"/>
      <c r="P14639" s="99"/>
      <c r="Q14639" s="99"/>
      <c r="R14639" s="99"/>
    </row>
    <row r="14640" spans="5:18" s="65" customFormat="1">
      <c r="E14640" s="130"/>
      <c r="P14640" s="99"/>
      <c r="Q14640" s="99"/>
      <c r="R14640" s="99"/>
    </row>
    <row r="14641" spans="5:18" s="65" customFormat="1">
      <c r="E14641" s="130"/>
      <c r="P14641" s="99"/>
      <c r="Q14641" s="99"/>
      <c r="R14641" s="99"/>
    </row>
    <row r="14642" spans="5:18" s="65" customFormat="1">
      <c r="E14642" s="130"/>
      <c r="P14642" s="99"/>
      <c r="Q14642" s="99"/>
      <c r="R14642" s="99"/>
    </row>
    <row r="14643" spans="5:18" s="65" customFormat="1">
      <c r="E14643" s="130"/>
      <c r="P14643" s="99"/>
      <c r="Q14643" s="99"/>
      <c r="R14643" s="99"/>
    </row>
    <row r="14644" spans="5:18" s="65" customFormat="1">
      <c r="E14644" s="130"/>
      <c r="P14644" s="99"/>
      <c r="Q14644" s="99"/>
      <c r="R14644" s="99"/>
    </row>
    <row r="14645" spans="5:18" s="65" customFormat="1">
      <c r="E14645" s="130"/>
      <c r="P14645" s="99"/>
      <c r="Q14645" s="99"/>
      <c r="R14645" s="99"/>
    </row>
    <row r="14646" spans="5:18" s="65" customFormat="1">
      <c r="E14646" s="130"/>
      <c r="P14646" s="99"/>
      <c r="Q14646" s="99"/>
      <c r="R14646" s="99"/>
    </row>
    <row r="14647" spans="5:18" s="65" customFormat="1">
      <c r="E14647" s="130"/>
      <c r="P14647" s="99"/>
      <c r="Q14647" s="99"/>
      <c r="R14647" s="99"/>
    </row>
    <row r="14648" spans="5:18" s="65" customFormat="1">
      <c r="E14648" s="130"/>
      <c r="P14648" s="99"/>
      <c r="Q14648" s="99"/>
      <c r="R14648" s="99"/>
    </row>
    <row r="14649" spans="5:18" s="65" customFormat="1">
      <c r="E14649" s="130"/>
      <c r="P14649" s="99"/>
      <c r="Q14649" s="99"/>
      <c r="R14649" s="99"/>
    </row>
    <row r="14650" spans="5:18" s="65" customFormat="1">
      <c r="E14650" s="130"/>
      <c r="P14650" s="99"/>
      <c r="Q14650" s="99"/>
      <c r="R14650" s="99"/>
    </row>
    <row r="14651" spans="5:18" s="65" customFormat="1">
      <c r="E14651" s="130"/>
      <c r="P14651" s="99"/>
      <c r="Q14651" s="99"/>
      <c r="R14651" s="99"/>
    </row>
    <row r="14652" spans="5:18" s="65" customFormat="1">
      <c r="E14652" s="130"/>
      <c r="P14652" s="99"/>
      <c r="Q14652" s="99"/>
      <c r="R14652" s="99"/>
    </row>
    <row r="14653" spans="5:18" s="65" customFormat="1">
      <c r="E14653" s="130"/>
      <c r="P14653" s="99"/>
      <c r="Q14653" s="99"/>
      <c r="R14653" s="99"/>
    </row>
    <row r="14654" spans="5:18" s="65" customFormat="1">
      <c r="E14654" s="130"/>
      <c r="P14654" s="99"/>
      <c r="Q14654" s="99"/>
      <c r="R14654" s="99"/>
    </row>
    <row r="14655" spans="5:18" s="65" customFormat="1">
      <c r="E14655" s="130"/>
      <c r="P14655" s="99"/>
      <c r="Q14655" s="99"/>
      <c r="R14655" s="99"/>
    </row>
    <row r="14656" spans="5:18" s="65" customFormat="1">
      <c r="E14656" s="130"/>
      <c r="P14656" s="99"/>
      <c r="Q14656" s="99"/>
      <c r="R14656" s="99"/>
    </row>
    <row r="14657" spans="5:18" s="65" customFormat="1">
      <c r="E14657" s="130"/>
      <c r="P14657" s="99"/>
      <c r="Q14657" s="99"/>
      <c r="R14657" s="99"/>
    </row>
    <row r="14658" spans="5:18" s="65" customFormat="1">
      <c r="E14658" s="130"/>
      <c r="P14658" s="99"/>
      <c r="Q14658" s="99"/>
      <c r="R14658" s="99"/>
    </row>
    <row r="14659" spans="5:18" s="65" customFormat="1">
      <c r="E14659" s="130"/>
      <c r="P14659" s="99"/>
      <c r="Q14659" s="99"/>
      <c r="R14659" s="99"/>
    </row>
    <row r="14660" spans="5:18" s="65" customFormat="1">
      <c r="E14660" s="130"/>
      <c r="P14660" s="99"/>
      <c r="Q14660" s="99"/>
      <c r="R14660" s="99"/>
    </row>
    <row r="14661" spans="5:18" s="65" customFormat="1">
      <c r="E14661" s="130"/>
      <c r="P14661" s="99"/>
      <c r="Q14661" s="99"/>
      <c r="R14661" s="99"/>
    </row>
    <row r="14662" spans="5:18" s="65" customFormat="1">
      <c r="E14662" s="130"/>
      <c r="P14662" s="99"/>
      <c r="Q14662" s="99"/>
      <c r="R14662" s="99"/>
    </row>
    <row r="14663" spans="5:18" s="65" customFormat="1">
      <c r="E14663" s="130"/>
      <c r="P14663" s="99"/>
      <c r="Q14663" s="99"/>
      <c r="R14663" s="99"/>
    </row>
    <row r="14664" spans="5:18" s="65" customFormat="1">
      <c r="E14664" s="130"/>
      <c r="P14664" s="99"/>
      <c r="Q14664" s="99"/>
      <c r="R14664" s="99"/>
    </row>
    <row r="14665" spans="5:18" s="65" customFormat="1">
      <c r="E14665" s="130"/>
      <c r="P14665" s="99"/>
      <c r="Q14665" s="99"/>
      <c r="R14665" s="99"/>
    </row>
    <row r="14666" spans="5:18" s="65" customFormat="1">
      <c r="E14666" s="130"/>
      <c r="P14666" s="99"/>
      <c r="Q14666" s="99"/>
      <c r="R14666" s="99"/>
    </row>
    <row r="14667" spans="5:18" s="65" customFormat="1">
      <c r="E14667" s="130"/>
      <c r="P14667" s="99"/>
      <c r="Q14667" s="99"/>
      <c r="R14667" s="99"/>
    </row>
    <row r="14668" spans="5:18" s="65" customFormat="1">
      <c r="E14668" s="130"/>
      <c r="P14668" s="99"/>
      <c r="Q14668" s="99"/>
      <c r="R14668" s="99"/>
    </row>
    <row r="14669" spans="5:18" s="65" customFormat="1">
      <c r="E14669" s="130"/>
      <c r="P14669" s="99"/>
      <c r="Q14669" s="99"/>
      <c r="R14669" s="99"/>
    </row>
    <row r="14670" spans="5:18" s="65" customFormat="1">
      <c r="E14670" s="130"/>
      <c r="P14670" s="99"/>
      <c r="Q14670" s="99"/>
      <c r="R14670" s="99"/>
    </row>
    <row r="14671" spans="5:18" s="65" customFormat="1">
      <c r="E14671" s="130"/>
      <c r="P14671" s="99"/>
      <c r="Q14671" s="99"/>
      <c r="R14671" s="99"/>
    </row>
    <row r="14672" spans="5:18" s="65" customFormat="1">
      <c r="E14672" s="130"/>
      <c r="P14672" s="99"/>
      <c r="Q14672" s="99"/>
      <c r="R14672" s="99"/>
    </row>
    <row r="14673" spans="5:18" s="65" customFormat="1">
      <c r="E14673" s="130"/>
      <c r="P14673" s="99"/>
      <c r="Q14673" s="99"/>
      <c r="R14673" s="99"/>
    </row>
    <row r="14674" spans="5:18" s="65" customFormat="1">
      <c r="E14674" s="130"/>
      <c r="P14674" s="99"/>
      <c r="Q14674" s="99"/>
      <c r="R14674" s="99"/>
    </row>
    <row r="14675" spans="5:18" s="65" customFormat="1">
      <c r="E14675" s="130"/>
      <c r="P14675" s="99"/>
      <c r="Q14675" s="99"/>
      <c r="R14675" s="99"/>
    </row>
    <row r="14676" spans="5:18" s="65" customFormat="1">
      <c r="E14676" s="130"/>
      <c r="P14676" s="99"/>
      <c r="Q14676" s="99"/>
      <c r="R14676" s="99"/>
    </row>
    <row r="14677" spans="5:18" s="65" customFormat="1">
      <c r="E14677" s="130"/>
      <c r="P14677" s="99"/>
      <c r="Q14677" s="99"/>
      <c r="R14677" s="99"/>
    </row>
    <row r="14678" spans="5:18" s="65" customFormat="1">
      <c r="E14678" s="130"/>
      <c r="P14678" s="99"/>
      <c r="Q14678" s="99"/>
      <c r="R14678" s="99"/>
    </row>
    <row r="14679" spans="5:18" s="65" customFormat="1">
      <c r="E14679" s="130"/>
      <c r="P14679" s="99"/>
      <c r="Q14679" s="99"/>
      <c r="R14679" s="99"/>
    </row>
    <row r="14680" spans="5:18" s="65" customFormat="1">
      <c r="E14680" s="130"/>
      <c r="P14680" s="99"/>
      <c r="Q14680" s="99"/>
      <c r="R14680" s="99"/>
    </row>
    <row r="14681" spans="5:18" s="65" customFormat="1">
      <c r="E14681" s="130"/>
      <c r="P14681" s="99"/>
      <c r="Q14681" s="99"/>
      <c r="R14681" s="99"/>
    </row>
    <row r="14682" spans="5:18" s="65" customFormat="1">
      <c r="E14682" s="130"/>
      <c r="P14682" s="99"/>
      <c r="Q14682" s="99"/>
      <c r="R14682" s="99"/>
    </row>
    <row r="14683" spans="5:18" s="65" customFormat="1">
      <c r="E14683" s="130"/>
      <c r="P14683" s="99"/>
      <c r="Q14683" s="99"/>
      <c r="R14683" s="99"/>
    </row>
    <row r="14684" spans="5:18" s="65" customFormat="1">
      <c r="E14684" s="130"/>
      <c r="P14684" s="99"/>
      <c r="Q14684" s="99"/>
      <c r="R14684" s="99"/>
    </row>
    <row r="14685" spans="5:18" s="65" customFormat="1">
      <c r="E14685" s="130"/>
      <c r="P14685" s="99"/>
      <c r="Q14685" s="99"/>
      <c r="R14685" s="99"/>
    </row>
    <row r="14686" spans="5:18" s="65" customFormat="1">
      <c r="E14686" s="130"/>
      <c r="P14686" s="99"/>
      <c r="Q14686" s="99"/>
      <c r="R14686" s="99"/>
    </row>
    <row r="14687" spans="5:18" s="65" customFormat="1">
      <c r="E14687" s="130"/>
      <c r="P14687" s="99"/>
      <c r="Q14687" s="99"/>
      <c r="R14687" s="99"/>
    </row>
    <row r="14688" spans="5:18" s="65" customFormat="1">
      <c r="E14688" s="130"/>
      <c r="P14688" s="99"/>
      <c r="Q14688" s="99"/>
      <c r="R14688" s="99"/>
    </row>
    <row r="14689" spans="5:18" s="65" customFormat="1">
      <c r="E14689" s="130"/>
      <c r="P14689" s="99"/>
      <c r="Q14689" s="99"/>
      <c r="R14689" s="99"/>
    </row>
    <row r="14690" spans="5:18" s="65" customFormat="1">
      <c r="E14690" s="130"/>
      <c r="P14690" s="99"/>
      <c r="Q14690" s="99"/>
      <c r="R14690" s="99"/>
    </row>
    <row r="14691" spans="5:18" s="65" customFormat="1">
      <c r="E14691" s="130"/>
      <c r="P14691" s="99"/>
      <c r="Q14691" s="99"/>
      <c r="R14691" s="99"/>
    </row>
    <row r="14692" spans="5:18" s="65" customFormat="1">
      <c r="E14692" s="130"/>
      <c r="P14692" s="99"/>
      <c r="Q14692" s="99"/>
      <c r="R14692" s="99"/>
    </row>
    <row r="14693" spans="5:18" s="65" customFormat="1">
      <c r="E14693" s="130"/>
      <c r="P14693" s="99"/>
      <c r="Q14693" s="99"/>
      <c r="R14693" s="99"/>
    </row>
    <row r="14694" spans="5:18" s="65" customFormat="1">
      <c r="E14694" s="130"/>
      <c r="P14694" s="99"/>
      <c r="Q14694" s="99"/>
      <c r="R14694" s="99"/>
    </row>
    <row r="14695" spans="5:18" s="65" customFormat="1">
      <c r="E14695" s="130"/>
      <c r="P14695" s="99"/>
      <c r="Q14695" s="99"/>
      <c r="R14695" s="99"/>
    </row>
    <row r="14696" spans="5:18" s="65" customFormat="1">
      <c r="E14696" s="130"/>
      <c r="P14696" s="99"/>
      <c r="Q14696" s="99"/>
      <c r="R14696" s="99"/>
    </row>
    <row r="14697" spans="5:18" s="65" customFormat="1">
      <c r="E14697" s="130"/>
      <c r="P14697" s="99"/>
      <c r="Q14697" s="99"/>
      <c r="R14697" s="99"/>
    </row>
    <row r="14698" spans="5:18" s="65" customFormat="1">
      <c r="E14698" s="130"/>
      <c r="P14698" s="99"/>
      <c r="Q14698" s="99"/>
      <c r="R14698" s="99"/>
    </row>
    <row r="14699" spans="5:18" s="65" customFormat="1">
      <c r="E14699" s="130"/>
      <c r="P14699" s="99"/>
      <c r="Q14699" s="99"/>
      <c r="R14699" s="99"/>
    </row>
    <row r="14700" spans="5:18" s="65" customFormat="1">
      <c r="E14700" s="130"/>
      <c r="P14700" s="99"/>
      <c r="Q14700" s="99"/>
      <c r="R14700" s="99"/>
    </row>
    <row r="14701" spans="5:18" s="65" customFormat="1">
      <c r="E14701" s="130"/>
      <c r="P14701" s="99"/>
      <c r="Q14701" s="99"/>
      <c r="R14701" s="99"/>
    </row>
    <row r="14702" spans="5:18" s="65" customFormat="1">
      <c r="E14702" s="130"/>
      <c r="P14702" s="99"/>
      <c r="Q14702" s="99"/>
      <c r="R14702" s="99"/>
    </row>
    <row r="14703" spans="5:18" s="65" customFormat="1">
      <c r="E14703" s="130"/>
      <c r="P14703" s="99"/>
      <c r="Q14703" s="99"/>
      <c r="R14703" s="99"/>
    </row>
    <row r="14704" spans="5:18" s="65" customFormat="1">
      <c r="E14704" s="130"/>
      <c r="P14704" s="99"/>
      <c r="Q14704" s="99"/>
      <c r="R14704" s="99"/>
    </row>
    <row r="14705" spans="5:18" s="65" customFormat="1">
      <c r="E14705" s="130"/>
      <c r="P14705" s="99"/>
      <c r="Q14705" s="99"/>
      <c r="R14705" s="99"/>
    </row>
    <row r="14706" spans="5:18" s="65" customFormat="1">
      <c r="E14706" s="130"/>
      <c r="P14706" s="99"/>
      <c r="Q14706" s="99"/>
      <c r="R14706" s="99"/>
    </row>
    <row r="14707" spans="5:18" s="65" customFormat="1">
      <c r="E14707" s="130"/>
      <c r="P14707" s="99"/>
      <c r="Q14707" s="99"/>
      <c r="R14707" s="99"/>
    </row>
    <row r="14708" spans="5:18" s="65" customFormat="1">
      <c r="E14708" s="130"/>
      <c r="P14708" s="99"/>
      <c r="Q14708" s="99"/>
      <c r="R14708" s="99"/>
    </row>
    <row r="14709" spans="5:18" s="65" customFormat="1">
      <c r="E14709" s="130"/>
      <c r="P14709" s="99"/>
      <c r="Q14709" s="99"/>
      <c r="R14709" s="99"/>
    </row>
    <row r="14710" spans="5:18" s="65" customFormat="1">
      <c r="E14710" s="130"/>
      <c r="P14710" s="99"/>
      <c r="Q14710" s="99"/>
      <c r="R14710" s="99"/>
    </row>
    <row r="14711" spans="5:18" s="65" customFormat="1">
      <c r="E14711" s="130"/>
      <c r="P14711" s="99"/>
      <c r="Q14711" s="99"/>
      <c r="R14711" s="99"/>
    </row>
    <row r="14712" spans="5:18" s="65" customFormat="1">
      <c r="E14712" s="130"/>
      <c r="P14712" s="99"/>
      <c r="Q14712" s="99"/>
      <c r="R14712" s="99"/>
    </row>
    <row r="14713" spans="5:18" s="65" customFormat="1">
      <c r="E14713" s="130"/>
      <c r="P14713" s="99"/>
      <c r="Q14713" s="99"/>
      <c r="R14713" s="99"/>
    </row>
    <row r="14714" spans="5:18" s="65" customFormat="1">
      <c r="E14714" s="130"/>
      <c r="P14714" s="99"/>
      <c r="Q14714" s="99"/>
      <c r="R14714" s="99"/>
    </row>
    <row r="14715" spans="5:18" s="65" customFormat="1">
      <c r="E14715" s="130"/>
      <c r="P14715" s="99"/>
      <c r="Q14715" s="99"/>
      <c r="R14715" s="99"/>
    </row>
    <row r="14716" spans="5:18" s="65" customFormat="1">
      <c r="E14716" s="130"/>
      <c r="P14716" s="99"/>
      <c r="Q14716" s="99"/>
      <c r="R14716" s="99"/>
    </row>
    <row r="14717" spans="5:18" s="65" customFormat="1">
      <c r="E14717" s="130"/>
      <c r="P14717" s="99"/>
      <c r="Q14717" s="99"/>
      <c r="R14717" s="99"/>
    </row>
    <row r="14718" spans="5:18" s="65" customFormat="1">
      <c r="E14718" s="130"/>
      <c r="P14718" s="99"/>
      <c r="Q14718" s="99"/>
      <c r="R14718" s="99"/>
    </row>
    <row r="14719" spans="5:18" s="65" customFormat="1">
      <c r="E14719" s="130"/>
      <c r="P14719" s="99"/>
      <c r="Q14719" s="99"/>
      <c r="R14719" s="99"/>
    </row>
    <row r="14720" spans="5:18" s="65" customFormat="1">
      <c r="E14720" s="130"/>
      <c r="P14720" s="99"/>
      <c r="Q14720" s="99"/>
      <c r="R14720" s="99"/>
    </row>
    <row r="14721" spans="5:18" s="65" customFormat="1">
      <c r="E14721" s="130"/>
      <c r="P14721" s="99"/>
      <c r="Q14721" s="99"/>
      <c r="R14721" s="99"/>
    </row>
    <row r="14722" spans="5:18" s="65" customFormat="1">
      <c r="E14722" s="130"/>
      <c r="P14722" s="99"/>
      <c r="Q14722" s="99"/>
      <c r="R14722" s="99"/>
    </row>
    <row r="14723" spans="5:18" s="65" customFormat="1">
      <c r="E14723" s="130"/>
      <c r="P14723" s="99"/>
      <c r="Q14723" s="99"/>
      <c r="R14723" s="99"/>
    </row>
    <row r="14724" spans="5:18" s="65" customFormat="1">
      <c r="E14724" s="130"/>
      <c r="P14724" s="99"/>
      <c r="Q14724" s="99"/>
      <c r="R14724" s="99"/>
    </row>
    <row r="14725" spans="5:18" s="65" customFormat="1">
      <c r="E14725" s="130"/>
      <c r="P14725" s="99"/>
      <c r="Q14725" s="99"/>
      <c r="R14725" s="99"/>
    </row>
    <row r="14726" spans="5:18" s="65" customFormat="1">
      <c r="E14726" s="130"/>
      <c r="P14726" s="99"/>
      <c r="Q14726" s="99"/>
      <c r="R14726" s="99"/>
    </row>
    <row r="14727" spans="5:18" s="65" customFormat="1">
      <c r="E14727" s="130"/>
      <c r="P14727" s="99"/>
      <c r="Q14727" s="99"/>
      <c r="R14727" s="99"/>
    </row>
    <row r="14728" spans="5:18" s="65" customFormat="1">
      <c r="E14728" s="130"/>
      <c r="P14728" s="99"/>
      <c r="Q14728" s="99"/>
      <c r="R14728" s="99"/>
    </row>
    <row r="14729" spans="5:18" s="65" customFormat="1">
      <c r="E14729" s="130"/>
      <c r="P14729" s="99"/>
      <c r="Q14729" s="99"/>
      <c r="R14729" s="99"/>
    </row>
    <row r="14730" spans="5:18" s="65" customFormat="1">
      <c r="E14730" s="130"/>
      <c r="P14730" s="99"/>
      <c r="Q14730" s="99"/>
      <c r="R14730" s="99"/>
    </row>
    <row r="14731" spans="5:18" s="65" customFormat="1">
      <c r="E14731" s="130"/>
      <c r="P14731" s="99"/>
      <c r="Q14731" s="99"/>
      <c r="R14731" s="99"/>
    </row>
    <row r="14732" spans="5:18" s="65" customFormat="1">
      <c r="E14732" s="130"/>
      <c r="P14732" s="99"/>
      <c r="Q14732" s="99"/>
      <c r="R14732" s="99"/>
    </row>
    <row r="14733" spans="5:18" s="65" customFormat="1">
      <c r="E14733" s="130"/>
      <c r="P14733" s="99"/>
      <c r="Q14733" s="99"/>
      <c r="R14733" s="99"/>
    </row>
    <row r="14734" spans="5:18" s="65" customFormat="1">
      <c r="E14734" s="130"/>
      <c r="P14734" s="99"/>
      <c r="Q14734" s="99"/>
      <c r="R14734" s="99"/>
    </row>
    <row r="14735" spans="5:18" s="65" customFormat="1">
      <c r="E14735" s="130"/>
      <c r="P14735" s="99"/>
      <c r="Q14735" s="99"/>
      <c r="R14735" s="99"/>
    </row>
    <row r="14736" spans="5:18" s="65" customFormat="1">
      <c r="E14736" s="130"/>
      <c r="P14736" s="99"/>
      <c r="Q14736" s="99"/>
      <c r="R14736" s="99"/>
    </row>
    <row r="14737" spans="5:18" s="65" customFormat="1">
      <c r="E14737" s="130"/>
      <c r="P14737" s="99"/>
      <c r="Q14737" s="99"/>
      <c r="R14737" s="99"/>
    </row>
    <row r="14738" spans="5:18" s="65" customFormat="1">
      <c r="E14738" s="130"/>
      <c r="P14738" s="99"/>
      <c r="Q14738" s="99"/>
      <c r="R14738" s="99"/>
    </row>
    <row r="14739" spans="5:18" s="65" customFormat="1">
      <c r="E14739" s="130"/>
      <c r="P14739" s="99"/>
      <c r="Q14739" s="99"/>
      <c r="R14739" s="99"/>
    </row>
    <row r="14740" spans="5:18" s="65" customFormat="1">
      <c r="E14740" s="130"/>
      <c r="P14740" s="99"/>
      <c r="Q14740" s="99"/>
      <c r="R14740" s="99"/>
    </row>
    <row r="14741" spans="5:18" s="65" customFormat="1">
      <c r="E14741" s="130"/>
      <c r="P14741" s="99"/>
      <c r="Q14741" s="99"/>
      <c r="R14741" s="99"/>
    </row>
    <row r="14742" spans="5:18" s="65" customFormat="1">
      <c r="E14742" s="130"/>
      <c r="P14742" s="99"/>
      <c r="Q14742" s="99"/>
      <c r="R14742" s="99"/>
    </row>
    <row r="14743" spans="5:18" s="65" customFormat="1">
      <c r="E14743" s="130"/>
      <c r="P14743" s="99"/>
      <c r="Q14743" s="99"/>
      <c r="R14743" s="99"/>
    </row>
    <row r="14744" spans="5:18" s="65" customFormat="1">
      <c r="E14744" s="130"/>
      <c r="P14744" s="99"/>
      <c r="Q14744" s="99"/>
      <c r="R14744" s="99"/>
    </row>
    <row r="14745" spans="5:18" s="65" customFormat="1">
      <c r="E14745" s="130"/>
      <c r="P14745" s="99"/>
      <c r="Q14745" s="99"/>
      <c r="R14745" s="99"/>
    </row>
    <row r="14746" spans="5:18" s="65" customFormat="1">
      <c r="E14746" s="130"/>
      <c r="P14746" s="99"/>
      <c r="Q14746" s="99"/>
      <c r="R14746" s="99"/>
    </row>
    <row r="14747" spans="5:18" s="65" customFormat="1">
      <c r="E14747" s="130"/>
      <c r="P14747" s="99"/>
      <c r="Q14747" s="99"/>
      <c r="R14747" s="99"/>
    </row>
    <row r="14748" spans="5:18" s="65" customFormat="1">
      <c r="E14748" s="130"/>
      <c r="P14748" s="99"/>
      <c r="Q14748" s="99"/>
      <c r="R14748" s="99"/>
    </row>
    <row r="14749" spans="5:18" s="65" customFormat="1">
      <c r="E14749" s="130"/>
      <c r="P14749" s="99"/>
      <c r="Q14749" s="99"/>
      <c r="R14749" s="99"/>
    </row>
    <row r="14750" spans="5:18" s="65" customFormat="1">
      <c r="E14750" s="130"/>
      <c r="P14750" s="99"/>
      <c r="Q14750" s="99"/>
      <c r="R14750" s="99"/>
    </row>
    <row r="14751" spans="5:18" s="65" customFormat="1">
      <c r="E14751" s="130"/>
      <c r="P14751" s="99"/>
      <c r="Q14751" s="99"/>
      <c r="R14751" s="99"/>
    </row>
    <row r="14752" spans="5:18" s="65" customFormat="1">
      <c r="E14752" s="130"/>
      <c r="P14752" s="99"/>
      <c r="Q14752" s="99"/>
      <c r="R14752" s="99"/>
    </row>
    <row r="14753" spans="5:18" s="65" customFormat="1">
      <c r="E14753" s="130"/>
      <c r="P14753" s="99"/>
      <c r="Q14753" s="99"/>
      <c r="R14753" s="99"/>
    </row>
    <row r="14754" spans="5:18" s="65" customFormat="1">
      <c r="E14754" s="130"/>
      <c r="P14754" s="99"/>
      <c r="Q14754" s="99"/>
      <c r="R14754" s="99"/>
    </row>
    <row r="14755" spans="5:18" s="65" customFormat="1">
      <c r="E14755" s="130"/>
      <c r="P14755" s="99"/>
      <c r="Q14755" s="99"/>
      <c r="R14755" s="99"/>
    </row>
    <row r="14756" spans="5:18" s="65" customFormat="1">
      <c r="E14756" s="130"/>
      <c r="P14756" s="99"/>
      <c r="Q14756" s="99"/>
      <c r="R14756" s="99"/>
    </row>
    <row r="14757" spans="5:18" s="65" customFormat="1">
      <c r="E14757" s="130"/>
      <c r="P14757" s="99"/>
      <c r="Q14757" s="99"/>
      <c r="R14757" s="99"/>
    </row>
    <row r="14758" spans="5:18" s="65" customFormat="1">
      <c r="E14758" s="130"/>
      <c r="P14758" s="99"/>
      <c r="Q14758" s="99"/>
      <c r="R14758" s="99"/>
    </row>
    <row r="14759" spans="5:18" s="65" customFormat="1">
      <c r="E14759" s="130"/>
      <c r="P14759" s="99"/>
      <c r="Q14759" s="99"/>
      <c r="R14759" s="99"/>
    </row>
    <row r="14760" spans="5:18" s="65" customFormat="1">
      <c r="E14760" s="130"/>
      <c r="P14760" s="99"/>
      <c r="Q14760" s="99"/>
      <c r="R14760" s="99"/>
    </row>
    <row r="14761" spans="5:18" s="65" customFormat="1">
      <c r="E14761" s="130"/>
      <c r="P14761" s="99"/>
      <c r="Q14761" s="99"/>
      <c r="R14761" s="99"/>
    </row>
    <row r="14762" spans="5:18" s="65" customFormat="1">
      <c r="E14762" s="130"/>
      <c r="P14762" s="99"/>
      <c r="Q14762" s="99"/>
      <c r="R14762" s="99"/>
    </row>
    <row r="14763" spans="5:18" s="65" customFormat="1">
      <c r="E14763" s="130"/>
      <c r="P14763" s="99"/>
      <c r="Q14763" s="99"/>
      <c r="R14763" s="99"/>
    </row>
    <row r="14764" spans="5:18" s="65" customFormat="1">
      <c r="E14764" s="130"/>
      <c r="P14764" s="99"/>
      <c r="Q14764" s="99"/>
      <c r="R14764" s="99"/>
    </row>
    <row r="14765" spans="5:18" s="65" customFormat="1">
      <c r="E14765" s="130"/>
      <c r="P14765" s="99"/>
      <c r="Q14765" s="99"/>
      <c r="R14765" s="99"/>
    </row>
    <row r="14766" spans="5:18" s="65" customFormat="1">
      <c r="E14766" s="130"/>
      <c r="P14766" s="99"/>
      <c r="Q14766" s="99"/>
      <c r="R14766" s="99"/>
    </row>
    <row r="14767" spans="5:18" s="65" customFormat="1">
      <c r="E14767" s="130"/>
      <c r="P14767" s="99"/>
      <c r="Q14767" s="99"/>
      <c r="R14767" s="99"/>
    </row>
    <row r="14768" spans="5:18" s="65" customFormat="1">
      <c r="E14768" s="130"/>
      <c r="P14768" s="99"/>
      <c r="Q14768" s="99"/>
      <c r="R14768" s="99"/>
    </row>
    <row r="14769" spans="5:18" s="65" customFormat="1">
      <c r="E14769" s="130"/>
      <c r="P14769" s="99"/>
      <c r="Q14769" s="99"/>
      <c r="R14769" s="99"/>
    </row>
    <row r="14770" spans="5:18" s="65" customFormat="1">
      <c r="E14770" s="130"/>
      <c r="P14770" s="99"/>
      <c r="Q14770" s="99"/>
      <c r="R14770" s="99"/>
    </row>
    <row r="14771" spans="5:18" s="65" customFormat="1">
      <c r="E14771" s="130"/>
      <c r="P14771" s="99"/>
      <c r="Q14771" s="99"/>
      <c r="R14771" s="99"/>
    </row>
    <row r="14772" spans="5:18" s="65" customFormat="1">
      <c r="E14772" s="130"/>
      <c r="P14772" s="99"/>
      <c r="Q14772" s="99"/>
      <c r="R14772" s="99"/>
    </row>
    <row r="14773" spans="5:18" s="65" customFormat="1">
      <c r="E14773" s="130"/>
      <c r="P14773" s="99"/>
      <c r="Q14773" s="99"/>
      <c r="R14773" s="99"/>
    </row>
    <row r="14774" spans="5:18" s="65" customFormat="1">
      <c r="E14774" s="130"/>
      <c r="P14774" s="99"/>
      <c r="Q14774" s="99"/>
      <c r="R14774" s="99"/>
    </row>
    <row r="14775" spans="5:18" s="65" customFormat="1">
      <c r="E14775" s="130"/>
      <c r="P14775" s="99"/>
      <c r="Q14775" s="99"/>
      <c r="R14775" s="99"/>
    </row>
    <row r="14776" spans="5:18" s="65" customFormat="1">
      <c r="E14776" s="130"/>
      <c r="P14776" s="99"/>
      <c r="Q14776" s="99"/>
      <c r="R14776" s="99"/>
    </row>
    <row r="14777" spans="5:18" s="65" customFormat="1">
      <c r="E14777" s="130"/>
      <c r="P14777" s="99"/>
      <c r="Q14777" s="99"/>
      <c r="R14777" s="99"/>
    </row>
    <row r="14778" spans="5:18" s="65" customFormat="1">
      <c r="E14778" s="130"/>
      <c r="P14778" s="99"/>
      <c r="Q14778" s="99"/>
      <c r="R14778" s="99"/>
    </row>
    <row r="14779" spans="5:18" s="65" customFormat="1">
      <c r="E14779" s="130"/>
      <c r="P14779" s="99"/>
      <c r="Q14779" s="99"/>
      <c r="R14779" s="99"/>
    </row>
    <row r="14780" spans="5:18" s="65" customFormat="1">
      <c r="E14780" s="130"/>
      <c r="P14780" s="99"/>
      <c r="Q14780" s="99"/>
      <c r="R14780" s="99"/>
    </row>
    <row r="14781" spans="5:18" s="65" customFormat="1">
      <c r="E14781" s="130"/>
      <c r="P14781" s="99"/>
      <c r="Q14781" s="99"/>
      <c r="R14781" s="99"/>
    </row>
    <row r="14782" spans="5:18" s="65" customFormat="1">
      <c r="E14782" s="130"/>
      <c r="P14782" s="99"/>
      <c r="Q14782" s="99"/>
      <c r="R14782" s="99"/>
    </row>
    <row r="14783" spans="5:18" s="65" customFormat="1">
      <c r="E14783" s="130"/>
      <c r="P14783" s="99"/>
      <c r="Q14783" s="99"/>
      <c r="R14783" s="99"/>
    </row>
    <row r="14784" spans="5:18" s="65" customFormat="1">
      <c r="E14784" s="130"/>
      <c r="P14784" s="99"/>
      <c r="Q14784" s="99"/>
      <c r="R14784" s="99"/>
    </row>
    <row r="14785" spans="5:18" s="65" customFormat="1">
      <c r="E14785" s="130"/>
      <c r="P14785" s="99"/>
      <c r="Q14785" s="99"/>
      <c r="R14785" s="99"/>
    </row>
    <row r="14786" spans="5:18" s="65" customFormat="1">
      <c r="E14786" s="130"/>
      <c r="P14786" s="99"/>
      <c r="Q14786" s="99"/>
      <c r="R14786" s="99"/>
    </row>
    <row r="14787" spans="5:18" s="65" customFormat="1">
      <c r="E14787" s="130"/>
      <c r="P14787" s="99"/>
      <c r="Q14787" s="99"/>
      <c r="R14787" s="99"/>
    </row>
    <row r="14788" spans="5:18" s="65" customFormat="1">
      <c r="E14788" s="130"/>
      <c r="P14788" s="99"/>
      <c r="Q14788" s="99"/>
      <c r="R14788" s="99"/>
    </row>
    <row r="14789" spans="5:18" s="65" customFormat="1">
      <c r="E14789" s="130"/>
      <c r="P14789" s="99"/>
      <c r="Q14789" s="99"/>
      <c r="R14789" s="99"/>
    </row>
    <row r="14790" spans="5:18" s="65" customFormat="1">
      <c r="E14790" s="130"/>
      <c r="P14790" s="99"/>
      <c r="Q14790" s="99"/>
      <c r="R14790" s="99"/>
    </row>
    <row r="14791" spans="5:18" s="65" customFormat="1">
      <c r="E14791" s="130"/>
      <c r="P14791" s="99"/>
      <c r="Q14791" s="99"/>
      <c r="R14791" s="99"/>
    </row>
    <row r="14792" spans="5:18" s="65" customFormat="1">
      <c r="E14792" s="130"/>
      <c r="P14792" s="99"/>
      <c r="Q14792" s="99"/>
      <c r="R14792" s="99"/>
    </row>
    <row r="14793" spans="5:18" s="65" customFormat="1">
      <c r="E14793" s="130"/>
      <c r="P14793" s="99"/>
      <c r="Q14793" s="99"/>
      <c r="R14793" s="99"/>
    </row>
    <row r="14794" spans="5:18" s="65" customFormat="1">
      <c r="E14794" s="130"/>
      <c r="P14794" s="99"/>
      <c r="Q14794" s="99"/>
      <c r="R14794" s="99"/>
    </row>
    <row r="14795" spans="5:18" s="65" customFormat="1">
      <c r="E14795" s="130"/>
      <c r="P14795" s="99"/>
      <c r="Q14795" s="99"/>
      <c r="R14795" s="99"/>
    </row>
    <row r="14796" spans="5:18" s="65" customFormat="1">
      <c r="E14796" s="130"/>
      <c r="P14796" s="99"/>
      <c r="Q14796" s="99"/>
      <c r="R14796" s="99"/>
    </row>
    <row r="14797" spans="5:18" s="65" customFormat="1">
      <c r="E14797" s="130"/>
      <c r="P14797" s="99"/>
      <c r="Q14797" s="99"/>
      <c r="R14797" s="99"/>
    </row>
    <row r="14798" spans="5:18" s="65" customFormat="1">
      <c r="E14798" s="130"/>
      <c r="P14798" s="99"/>
      <c r="Q14798" s="99"/>
      <c r="R14798" s="99"/>
    </row>
    <row r="14799" spans="5:18" s="65" customFormat="1">
      <c r="E14799" s="130"/>
      <c r="P14799" s="99"/>
      <c r="Q14799" s="99"/>
      <c r="R14799" s="99"/>
    </row>
    <row r="14800" spans="5:18" s="65" customFormat="1">
      <c r="E14800" s="130"/>
      <c r="P14800" s="99"/>
      <c r="Q14800" s="99"/>
      <c r="R14800" s="99"/>
    </row>
    <row r="14801" spans="5:18" s="65" customFormat="1">
      <c r="E14801" s="130"/>
      <c r="P14801" s="99"/>
      <c r="Q14801" s="99"/>
      <c r="R14801" s="99"/>
    </row>
    <row r="14802" spans="5:18" s="65" customFormat="1">
      <c r="E14802" s="130"/>
      <c r="P14802" s="99"/>
      <c r="Q14802" s="99"/>
      <c r="R14802" s="99"/>
    </row>
    <row r="14803" spans="5:18" s="65" customFormat="1">
      <c r="E14803" s="130"/>
      <c r="P14803" s="99"/>
      <c r="Q14803" s="99"/>
      <c r="R14803" s="99"/>
    </row>
    <row r="14804" spans="5:18" s="65" customFormat="1">
      <c r="E14804" s="130"/>
      <c r="P14804" s="99"/>
      <c r="Q14804" s="99"/>
      <c r="R14804" s="99"/>
    </row>
    <row r="14805" spans="5:18" s="65" customFormat="1">
      <c r="E14805" s="130"/>
      <c r="P14805" s="99"/>
      <c r="Q14805" s="99"/>
      <c r="R14805" s="99"/>
    </row>
    <row r="14806" spans="5:18" s="65" customFormat="1">
      <c r="E14806" s="130"/>
      <c r="P14806" s="99"/>
      <c r="Q14806" s="99"/>
      <c r="R14806" s="99"/>
    </row>
    <row r="14807" spans="5:18" s="65" customFormat="1">
      <c r="E14807" s="130"/>
      <c r="P14807" s="99"/>
      <c r="Q14807" s="99"/>
      <c r="R14807" s="99"/>
    </row>
    <row r="14808" spans="5:18" s="65" customFormat="1">
      <c r="E14808" s="130"/>
      <c r="P14808" s="99"/>
      <c r="Q14808" s="99"/>
      <c r="R14808" s="99"/>
    </row>
    <row r="14809" spans="5:18" s="65" customFormat="1">
      <c r="E14809" s="130"/>
      <c r="P14809" s="99"/>
      <c r="Q14809" s="99"/>
      <c r="R14809" s="99"/>
    </row>
    <row r="14810" spans="5:18" s="65" customFormat="1">
      <c r="E14810" s="130"/>
      <c r="P14810" s="99"/>
      <c r="Q14810" s="99"/>
      <c r="R14810" s="99"/>
    </row>
    <row r="14811" spans="5:18" s="65" customFormat="1">
      <c r="E14811" s="130"/>
      <c r="P14811" s="99"/>
      <c r="Q14811" s="99"/>
      <c r="R14811" s="99"/>
    </row>
    <row r="14812" spans="5:18" s="65" customFormat="1">
      <c r="E14812" s="130"/>
      <c r="P14812" s="99"/>
      <c r="Q14812" s="99"/>
      <c r="R14812" s="99"/>
    </row>
    <row r="14813" spans="5:18" s="65" customFormat="1">
      <c r="E14813" s="130"/>
      <c r="P14813" s="99"/>
      <c r="Q14813" s="99"/>
      <c r="R14813" s="99"/>
    </row>
    <row r="14814" spans="5:18" s="65" customFormat="1">
      <c r="E14814" s="130"/>
      <c r="P14814" s="99"/>
      <c r="Q14814" s="99"/>
      <c r="R14814" s="99"/>
    </row>
    <row r="14815" spans="5:18" s="65" customFormat="1">
      <c r="E14815" s="130"/>
      <c r="P14815" s="99"/>
      <c r="Q14815" s="99"/>
      <c r="R14815" s="99"/>
    </row>
    <row r="14816" spans="5:18" s="65" customFormat="1">
      <c r="E14816" s="130"/>
      <c r="P14816" s="99"/>
      <c r="Q14816" s="99"/>
      <c r="R14816" s="99"/>
    </row>
    <row r="14817" spans="5:18" s="65" customFormat="1">
      <c r="E14817" s="130"/>
      <c r="P14817" s="99"/>
      <c r="Q14817" s="99"/>
      <c r="R14817" s="99"/>
    </row>
    <row r="14818" spans="5:18" s="65" customFormat="1">
      <c r="E14818" s="130"/>
      <c r="P14818" s="99"/>
      <c r="Q14818" s="99"/>
      <c r="R14818" s="99"/>
    </row>
    <row r="14819" spans="5:18" s="65" customFormat="1">
      <c r="E14819" s="130"/>
      <c r="P14819" s="99"/>
      <c r="Q14819" s="99"/>
      <c r="R14819" s="99"/>
    </row>
    <row r="14820" spans="5:18" s="65" customFormat="1">
      <c r="E14820" s="130"/>
      <c r="P14820" s="99"/>
      <c r="Q14820" s="99"/>
      <c r="R14820" s="99"/>
    </row>
    <row r="14821" spans="5:18" s="65" customFormat="1">
      <c r="E14821" s="130"/>
      <c r="P14821" s="99"/>
      <c r="Q14821" s="99"/>
      <c r="R14821" s="99"/>
    </row>
    <row r="14822" spans="5:18" s="65" customFormat="1">
      <c r="E14822" s="130"/>
      <c r="P14822" s="99"/>
      <c r="Q14822" s="99"/>
      <c r="R14822" s="99"/>
    </row>
    <row r="14823" spans="5:18" s="65" customFormat="1">
      <c r="E14823" s="130"/>
      <c r="P14823" s="99"/>
      <c r="Q14823" s="99"/>
      <c r="R14823" s="99"/>
    </row>
    <row r="14824" spans="5:18" s="65" customFormat="1">
      <c r="E14824" s="130"/>
      <c r="P14824" s="99"/>
      <c r="Q14824" s="99"/>
      <c r="R14824" s="99"/>
    </row>
    <row r="14825" spans="5:18" s="65" customFormat="1">
      <c r="E14825" s="130"/>
      <c r="P14825" s="99"/>
      <c r="Q14825" s="99"/>
      <c r="R14825" s="99"/>
    </row>
    <row r="14826" spans="5:18" s="65" customFormat="1">
      <c r="E14826" s="130"/>
      <c r="P14826" s="99"/>
      <c r="Q14826" s="99"/>
      <c r="R14826" s="99"/>
    </row>
    <row r="14827" spans="5:18" s="65" customFormat="1">
      <c r="E14827" s="130"/>
      <c r="P14827" s="99"/>
      <c r="Q14827" s="99"/>
      <c r="R14827" s="99"/>
    </row>
    <row r="14828" spans="5:18" s="65" customFormat="1">
      <c r="E14828" s="130"/>
      <c r="P14828" s="99"/>
      <c r="Q14828" s="99"/>
      <c r="R14828" s="99"/>
    </row>
    <row r="14829" spans="5:18" s="65" customFormat="1">
      <c r="E14829" s="130"/>
      <c r="P14829" s="99"/>
      <c r="Q14829" s="99"/>
      <c r="R14829" s="99"/>
    </row>
    <row r="14830" spans="5:18" s="65" customFormat="1">
      <c r="E14830" s="130"/>
      <c r="P14830" s="99"/>
      <c r="Q14830" s="99"/>
      <c r="R14830" s="99"/>
    </row>
    <row r="14831" spans="5:18" s="65" customFormat="1">
      <c r="E14831" s="130"/>
      <c r="P14831" s="99"/>
      <c r="Q14831" s="99"/>
      <c r="R14831" s="99"/>
    </row>
    <row r="14832" spans="5:18" s="65" customFormat="1">
      <c r="E14832" s="130"/>
      <c r="P14832" s="99"/>
      <c r="Q14832" s="99"/>
      <c r="R14832" s="99"/>
    </row>
    <row r="14833" spans="5:18" s="65" customFormat="1">
      <c r="E14833" s="130"/>
      <c r="P14833" s="99"/>
      <c r="Q14833" s="99"/>
      <c r="R14833" s="99"/>
    </row>
    <row r="14834" spans="5:18" s="65" customFormat="1">
      <c r="E14834" s="130"/>
      <c r="P14834" s="99"/>
      <c r="Q14834" s="99"/>
      <c r="R14834" s="99"/>
    </row>
    <row r="14835" spans="5:18" s="65" customFormat="1">
      <c r="E14835" s="130"/>
      <c r="P14835" s="99"/>
      <c r="Q14835" s="99"/>
      <c r="R14835" s="99"/>
    </row>
    <row r="14836" spans="5:18" s="65" customFormat="1">
      <c r="E14836" s="130"/>
      <c r="P14836" s="99"/>
      <c r="Q14836" s="99"/>
      <c r="R14836" s="99"/>
    </row>
    <row r="14837" spans="5:18" s="65" customFormat="1">
      <c r="E14837" s="130"/>
      <c r="P14837" s="99"/>
      <c r="Q14837" s="99"/>
      <c r="R14837" s="99"/>
    </row>
    <row r="14838" spans="5:18" s="65" customFormat="1">
      <c r="E14838" s="130"/>
      <c r="P14838" s="99"/>
      <c r="Q14838" s="99"/>
      <c r="R14838" s="99"/>
    </row>
    <row r="14839" spans="5:18" s="65" customFormat="1">
      <c r="E14839" s="130"/>
      <c r="P14839" s="99"/>
      <c r="Q14839" s="99"/>
      <c r="R14839" s="99"/>
    </row>
    <row r="14840" spans="5:18" s="65" customFormat="1">
      <c r="E14840" s="130"/>
      <c r="P14840" s="99"/>
      <c r="Q14840" s="99"/>
      <c r="R14840" s="99"/>
    </row>
    <row r="14841" spans="5:18" s="65" customFormat="1">
      <c r="E14841" s="130"/>
      <c r="P14841" s="99"/>
      <c r="Q14841" s="99"/>
      <c r="R14841" s="99"/>
    </row>
    <row r="14842" spans="5:18" s="65" customFormat="1">
      <c r="E14842" s="130"/>
      <c r="P14842" s="99"/>
      <c r="Q14842" s="99"/>
      <c r="R14842" s="99"/>
    </row>
    <row r="14843" spans="5:18" s="65" customFormat="1">
      <c r="E14843" s="130"/>
      <c r="P14843" s="99"/>
      <c r="Q14843" s="99"/>
      <c r="R14843" s="99"/>
    </row>
    <row r="14844" spans="5:18" s="65" customFormat="1">
      <c r="E14844" s="130"/>
      <c r="P14844" s="99"/>
      <c r="Q14844" s="99"/>
      <c r="R14844" s="99"/>
    </row>
    <row r="14845" spans="5:18" s="65" customFormat="1">
      <c r="E14845" s="130"/>
      <c r="P14845" s="99"/>
      <c r="Q14845" s="99"/>
      <c r="R14845" s="99"/>
    </row>
    <row r="14846" spans="5:18" s="65" customFormat="1">
      <c r="E14846" s="130"/>
      <c r="P14846" s="99"/>
      <c r="Q14846" s="99"/>
      <c r="R14846" s="99"/>
    </row>
    <row r="14847" spans="5:18" s="65" customFormat="1">
      <c r="E14847" s="130"/>
      <c r="P14847" s="99"/>
      <c r="Q14847" s="99"/>
      <c r="R14847" s="99"/>
    </row>
    <row r="14848" spans="5:18" s="65" customFormat="1">
      <c r="E14848" s="130"/>
      <c r="P14848" s="99"/>
      <c r="Q14848" s="99"/>
      <c r="R14848" s="99"/>
    </row>
    <row r="14849" spans="5:18" s="65" customFormat="1">
      <c r="E14849" s="130"/>
      <c r="P14849" s="99"/>
      <c r="Q14849" s="99"/>
      <c r="R14849" s="99"/>
    </row>
    <row r="14850" spans="5:18" s="65" customFormat="1">
      <c r="E14850" s="130"/>
      <c r="P14850" s="99"/>
      <c r="Q14850" s="99"/>
      <c r="R14850" s="99"/>
    </row>
    <row r="14851" spans="5:18" s="65" customFormat="1">
      <c r="E14851" s="130"/>
      <c r="P14851" s="99"/>
      <c r="Q14851" s="99"/>
      <c r="R14851" s="99"/>
    </row>
    <row r="14852" spans="5:18" s="65" customFormat="1">
      <c r="E14852" s="130"/>
      <c r="P14852" s="99"/>
      <c r="Q14852" s="99"/>
      <c r="R14852" s="99"/>
    </row>
    <row r="14853" spans="5:18" s="65" customFormat="1">
      <c r="E14853" s="130"/>
      <c r="P14853" s="99"/>
      <c r="Q14853" s="99"/>
      <c r="R14853" s="99"/>
    </row>
    <row r="14854" spans="5:18" s="65" customFormat="1">
      <c r="E14854" s="130"/>
      <c r="P14854" s="99"/>
      <c r="Q14854" s="99"/>
      <c r="R14854" s="99"/>
    </row>
    <row r="14855" spans="5:18" s="65" customFormat="1">
      <c r="E14855" s="130"/>
      <c r="P14855" s="99"/>
      <c r="Q14855" s="99"/>
      <c r="R14855" s="99"/>
    </row>
    <row r="14856" spans="5:18" s="65" customFormat="1">
      <c r="E14856" s="130"/>
      <c r="P14856" s="99"/>
      <c r="Q14856" s="99"/>
      <c r="R14856" s="99"/>
    </row>
    <row r="14857" spans="5:18" s="65" customFormat="1">
      <c r="E14857" s="130"/>
      <c r="P14857" s="99"/>
      <c r="Q14857" s="99"/>
      <c r="R14857" s="99"/>
    </row>
    <row r="14858" spans="5:18" s="65" customFormat="1">
      <c r="E14858" s="130"/>
      <c r="P14858" s="99"/>
      <c r="Q14858" s="99"/>
      <c r="R14858" s="99"/>
    </row>
    <row r="14859" spans="5:18" s="65" customFormat="1">
      <c r="E14859" s="130"/>
      <c r="P14859" s="99"/>
      <c r="Q14859" s="99"/>
      <c r="R14859" s="99"/>
    </row>
    <row r="14860" spans="5:18" s="65" customFormat="1">
      <c r="E14860" s="130"/>
      <c r="P14860" s="99"/>
      <c r="Q14860" s="99"/>
      <c r="R14860" s="99"/>
    </row>
    <row r="14861" spans="5:18" s="65" customFormat="1">
      <c r="E14861" s="130"/>
      <c r="P14861" s="99"/>
      <c r="Q14861" s="99"/>
      <c r="R14861" s="99"/>
    </row>
    <row r="14862" spans="5:18" s="65" customFormat="1">
      <c r="E14862" s="130"/>
      <c r="P14862" s="99"/>
      <c r="Q14862" s="99"/>
      <c r="R14862" s="99"/>
    </row>
    <row r="14863" spans="5:18" s="65" customFormat="1">
      <c r="E14863" s="130"/>
      <c r="P14863" s="99"/>
      <c r="Q14863" s="99"/>
      <c r="R14863" s="99"/>
    </row>
    <row r="14864" spans="5:18" s="65" customFormat="1">
      <c r="E14864" s="130"/>
      <c r="P14864" s="99"/>
      <c r="Q14864" s="99"/>
      <c r="R14864" s="99"/>
    </row>
    <row r="14865" spans="5:18" s="65" customFormat="1">
      <c r="E14865" s="130"/>
      <c r="P14865" s="99"/>
      <c r="Q14865" s="99"/>
      <c r="R14865" s="99"/>
    </row>
    <row r="14866" spans="5:18" s="65" customFormat="1">
      <c r="E14866" s="130"/>
      <c r="P14866" s="99"/>
      <c r="Q14866" s="99"/>
      <c r="R14866" s="99"/>
    </row>
    <row r="14867" spans="5:18" s="65" customFormat="1">
      <c r="E14867" s="130"/>
      <c r="P14867" s="99"/>
      <c r="Q14867" s="99"/>
      <c r="R14867" s="99"/>
    </row>
    <row r="14868" spans="5:18" s="65" customFormat="1">
      <c r="E14868" s="130"/>
      <c r="P14868" s="99"/>
      <c r="Q14868" s="99"/>
      <c r="R14868" s="99"/>
    </row>
    <row r="14869" spans="5:18" s="65" customFormat="1">
      <c r="E14869" s="130"/>
      <c r="P14869" s="99"/>
      <c r="Q14869" s="99"/>
      <c r="R14869" s="99"/>
    </row>
    <row r="14870" spans="5:18" s="65" customFormat="1">
      <c r="E14870" s="130"/>
      <c r="P14870" s="99"/>
      <c r="Q14870" s="99"/>
      <c r="R14870" s="99"/>
    </row>
    <row r="14871" spans="5:18" s="65" customFormat="1">
      <c r="E14871" s="130"/>
      <c r="P14871" s="99"/>
      <c r="Q14871" s="99"/>
      <c r="R14871" s="99"/>
    </row>
    <row r="14872" spans="5:18" s="65" customFormat="1">
      <c r="E14872" s="130"/>
      <c r="P14872" s="99"/>
      <c r="Q14872" s="99"/>
      <c r="R14872" s="99"/>
    </row>
    <row r="14873" spans="5:18" s="65" customFormat="1">
      <c r="E14873" s="130"/>
      <c r="P14873" s="99"/>
      <c r="Q14873" s="99"/>
      <c r="R14873" s="99"/>
    </row>
    <row r="14874" spans="5:18" s="65" customFormat="1">
      <c r="E14874" s="130"/>
      <c r="P14874" s="99"/>
      <c r="Q14874" s="99"/>
      <c r="R14874" s="99"/>
    </row>
    <row r="14875" spans="5:18" s="65" customFormat="1">
      <c r="E14875" s="130"/>
      <c r="P14875" s="99"/>
      <c r="Q14875" s="99"/>
      <c r="R14875" s="99"/>
    </row>
    <row r="14876" spans="5:18" s="65" customFormat="1">
      <c r="E14876" s="130"/>
      <c r="P14876" s="99"/>
      <c r="Q14876" s="99"/>
      <c r="R14876" s="99"/>
    </row>
    <row r="14877" spans="5:18" s="65" customFormat="1">
      <c r="E14877" s="130"/>
      <c r="P14877" s="99"/>
      <c r="Q14877" s="99"/>
      <c r="R14877" s="99"/>
    </row>
    <row r="14878" spans="5:18" s="65" customFormat="1">
      <c r="E14878" s="130"/>
      <c r="P14878" s="99"/>
      <c r="Q14878" s="99"/>
      <c r="R14878" s="99"/>
    </row>
    <row r="14879" spans="5:18" s="65" customFormat="1">
      <c r="E14879" s="130"/>
      <c r="P14879" s="99"/>
      <c r="Q14879" s="99"/>
      <c r="R14879" s="99"/>
    </row>
    <row r="14880" spans="5:18" s="65" customFormat="1">
      <c r="E14880" s="130"/>
      <c r="P14880" s="99"/>
      <c r="Q14880" s="99"/>
      <c r="R14880" s="99"/>
    </row>
    <row r="14881" spans="5:18" s="65" customFormat="1">
      <c r="E14881" s="130"/>
      <c r="P14881" s="99"/>
      <c r="Q14881" s="99"/>
      <c r="R14881" s="99"/>
    </row>
    <row r="14882" spans="5:18" s="65" customFormat="1">
      <c r="E14882" s="130"/>
      <c r="P14882" s="99"/>
      <c r="Q14882" s="99"/>
      <c r="R14882" s="99"/>
    </row>
    <row r="14883" spans="5:18" s="65" customFormat="1">
      <c r="E14883" s="130"/>
      <c r="P14883" s="99"/>
      <c r="Q14883" s="99"/>
      <c r="R14883" s="99"/>
    </row>
    <row r="14884" spans="5:18" s="65" customFormat="1">
      <c r="E14884" s="130"/>
      <c r="P14884" s="99"/>
      <c r="Q14884" s="99"/>
      <c r="R14884" s="99"/>
    </row>
    <row r="14885" spans="5:18" s="65" customFormat="1">
      <c r="E14885" s="130"/>
      <c r="P14885" s="99"/>
      <c r="Q14885" s="99"/>
      <c r="R14885" s="99"/>
    </row>
    <row r="14886" spans="5:18" s="65" customFormat="1">
      <c r="E14886" s="130"/>
      <c r="P14886" s="99"/>
      <c r="Q14886" s="99"/>
      <c r="R14886" s="99"/>
    </row>
    <row r="14887" spans="5:18" s="65" customFormat="1">
      <c r="E14887" s="130"/>
      <c r="P14887" s="99"/>
      <c r="Q14887" s="99"/>
      <c r="R14887" s="99"/>
    </row>
    <row r="14888" spans="5:18" s="65" customFormat="1">
      <c r="E14888" s="130"/>
      <c r="P14888" s="99"/>
      <c r="Q14888" s="99"/>
      <c r="R14888" s="99"/>
    </row>
    <row r="14889" spans="5:18" s="65" customFormat="1">
      <c r="E14889" s="130"/>
      <c r="P14889" s="99"/>
      <c r="Q14889" s="99"/>
      <c r="R14889" s="99"/>
    </row>
    <row r="14890" spans="5:18" s="65" customFormat="1">
      <c r="E14890" s="130"/>
      <c r="P14890" s="99"/>
      <c r="Q14890" s="99"/>
      <c r="R14890" s="99"/>
    </row>
    <row r="14891" spans="5:18" s="65" customFormat="1">
      <c r="E14891" s="130"/>
      <c r="P14891" s="99"/>
      <c r="Q14891" s="99"/>
      <c r="R14891" s="99"/>
    </row>
    <row r="14892" spans="5:18" s="65" customFormat="1">
      <c r="E14892" s="130"/>
      <c r="P14892" s="99"/>
      <c r="Q14892" s="99"/>
      <c r="R14892" s="99"/>
    </row>
    <row r="14893" spans="5:18" s="65" customFormat="1">
      <c r="E14893" s="130"/>
      <c r="P14893" s="99"/>
      <c r="Q14893" s="99"/>
      <c r="R14893" s="99"/>
    </row>
    <row r="14894" spans="5:18" s="65" customFormat="1">
      <c r="E14894" s="130"/>
      <c r="P14894" s="99"/>
      <c r="Q14894" s="99"/>
      <c r="R14894" s="99"/>
    </row>
    <row r="14895" spans="5:18" s="65" customFormat="1">
      <c r="E14895" s="130"/>
      <c r="P14895" s="99"/>
      <c r="Q14895" s="99"/>
      <c r="R14895" s="99"/>
    </row>
    <row r="14896" spans="5:18" s="65" customFormat="1">
      <c r="E14896" s="130"/>
      <c r="P14896" s="99"/>
      <c r="Q14896" s="99"/>
      <c r="R14896" s="99"/>
    </row>
    <row r="14897" spans="5:18" s="65" customFormat="1">
      <c r="E14897" s="130"/>
      <c r="P14897" s="99"/>
      <c r="Q14897" s="99"/>
      <c r="R14897" s="99"/>
    </row>
    <row r="14898" spans="5:18" s="65" customFormat="1">
      <c r="E14898" s="130"/>
      <c r="P14898" s="99"/>
      <c r="Q14898" s="99"/>
      <c r="R14898" s="99"/>
    </row>
    <row r="14899" spans="5:18" s="65" customFormat="1">
      <c r="E14899" s="130"/>
      <c r="P14899" s="99"/>
      <c r="Q14899" s="99"/>
      <c r="R14899" s="99"/>
    </row>
    <row r="14900" spans="5:18" s="65" customFormat="1">
      <c r="E14900" s="130"/>
      <c r="P14900" s="99"/>
      <c r="Q14900" s="99"/>
      <c r="R14900" s="99"/>
    </row>
    <row r="14901" spans="5:18" s="65" customFormat="1">
      <c r="E14901" s="130"/>
      <c r="P14901" s="99"/>
      <c r="Q14901" s="99"/>
      <c r="R14901" s="99"/>
    </row>
    <row r="14902" spans="5:18" s="65" customFormat="1">
      <c r="E14902" s="130"/>
      <c r="P14902" s="99"/>
      <c r="Q14902" s="99"/>
      <c r="R14902" s="99"/>
    </row>
    <row r="14903" spans="5:18" s="65" customFormat="1">
      <c r="E14903" s="130"/>
      <c r="P14903" s="99"/>
      <c r="Q14903" s="99"/>
      <c r="R14903" s="99"/>
    </row>
    <row r="14904" spans="5:18" s="65" customFormat="1">
      <c r="E14904" s="130"/>
      <c r="P14904" s="99"/>
      <c r="Q14904" s="99"/>
      <c r="R14904" s="99"/>
    </row>
    <row r="14905" spans="5:18" s="65" customFormat="1">
      <c r="E14905" s="130"/>
      <c r="P14905" s="99"/>
      <c r="Q14905" s="99"/>
      <c r="R14905" s="99"/>
    </row>
    <row r="14906" spans="5:18" s="65" customFormat="1">
      <c r="E14906" s="130"/>
      <c r="P14906" s="99"/>
      <c r="Q14906" s="99"/>
      <c r="R14906" s="99"/>
    </row>
    <row r="14907" spans="5:18" s="65" customFormat="1">
      <c r="E14907" s="130"/>
      <c r="P14907" s="99"/>
      <c r="Q14907" s="99"/>
      <c r="R14907" s="99"/>
    </row>
    <row r="14908" spans="5:18" s="65" customFormat="1">
      <c r="E14908" s="130"/>
      <c r="P14908" s="99"/>
      <c r="Q14908" s="99"/>
      <c r="R14908" s="99"/>
    </row>
    <row r="14909" spans="5:18" s="65" customFormat="1">
      <c r="E14909" s="130"/>
      <c r="P14909" s="99"/>
      <c r="Q14909" s="99"/>
      <c r="R14909" s="99"/>
    </row>
    <row r="14910" spans="5:18" s="65" customFormat="1">
      <c r="E14910" s="130"/>
      <c r="P14910" s="99"/>
      <c r="Q14910" s="99"/>
      <c r="R14910" s="99"/>
    </row>
    <row r="14911" spans="5:18" s="65" customFormat="1">
      <c r="E14911" s="130"/>
      <c r="P14911" s="99"/>
      <c r="Q14911" s="99"/>
      <c r="R14911" s="99"/>
    </row>
    <row r="14912" spans="5:18" s="65" customFormat="1">
      <c r="E14912" s="130"/>
      <c r="P14912" s="99"/>
      <c r="Q14912" s="99"/>
      <c r="R14912" s="99"/>
    </row>
    <row r="14913" spans="5:18" s="65" customFormat="1">
      <c r="E14913" s="130"/>
      <c r="P14913" s="99"/>
      <c r="Q14913" s="99"/>
      <c r="R14913" s="99"/>
    </row>
    <row r="14914" spans="5:18" s="65" customFormat="1">
      <c r="E14914" s="130"/>
      <c r="P14914" s="99"/>
      <c r="Q14914" s="99"/>
      <c r="R14914" s="99"/>
    </row>
    <row r="14915" spans="5:18" s="65" customFormat="1">
      <c r="E14915" s="130"/>
      <c r="P14915" s="99"/>
      <c r="Q14915" s="99"/>
      <c r="R14915" s="99"/>
    </row>
    <row r="14916" spans="5:18" s="65" customFormat="1">
      <c r="E14916" s="130"/>
      <c r="P14916" s="99"/>
      <c r="Q14916" s="99"/>
      <c r="R14916" s="99"/>
    </row>
    <row r="14917" spans="5:18" s="65" customFormat="1">
      <c r="E14917" s="130"/>
      <c r="P14917" s="99"/>
      <c r="Q14917" s="99"/>
      <c r="R14917" s="99"/>
    </row>
    <row r="14918" spans="5:18" s="65" customFormat="1">
      <c r="E14918" s="130"/>
      <c r="P14918" s="99"/>
      <c r="Q14918" s="99"/>
      <c r="R14918" s="99"/>
    </row>
    <row r="14919" spans="5:18" s="65" customFormat="1">
      <c r="E14919" s="130"/>
      <c r="P14919" s="99"/>
      <c r="Q14919" s="99"/>
      <c r="R14919" s="99"/>
    </row>
    <row r="14920" spans="5:18" s="65" customFormat="1">
      <c r="E14920" s="130"/>
      <c r="P14920" s="99"/>
      <c r="Q14920" s="99"/>
      <c r="R14920" s="99"/>
    </row>
    <row r="14921" spans="5:18" s="65" customFormat="1">
      <c r="E14921" s="130"/>
      <c r="P14921" s="99"/>
      <c r="Q14921" s="99"/>
      <c r="R14921" s="99"/>
    </row>
    <row r="14922" spans="5:18" s="65" customFormat="1">
      <c r="E14922" s="130"/>
      <c r="P14922" s="99"/>
      <c r="Q14922" s="99"/>
      <c r="R14922" s="99"/>
    </row>
    <row r="14923" spans="5:18" s="65" customFormat="1">
      <c r="E14923" s="130"/>
      <c r="P14923" s="99"/>
      <c r="Q14923" s="99"/>
      <c r="R14923" s="99"/>
    </row>
    <row r="14924" spans="5:18" s="65" customFormat="1">
      <c r="E14924" s="130"/>
      <c r="P14924" s="99"/>
      <c r="Q14924" s="99"/>
      <c r="R14924" s="99"/>
    </row>
    <row r="14925" spans="5:18" s="65" customFormat="1">
      <c r="E14925" s="130"/>
      <c r="P14925" s="99"/>
      <c r="Q14925" s="99"/>
      <c r="R14925" s="99"/>
    </row>
    <row r="14926" spans="5:18" s="65" customFormat="1">
      <c r="E14926" s="130"/>
      <c r="P14926" s="99"/>
      <c r="Q14926" s="99"/>
      <c r="R14926" s="99"/>
    </row>
    <row r="14927" spans="5:18" s="65" customFormat="1">
      <c r="E14927" s="130"/>
      <c r="P14927" s="99"/>
      <c r="Q14927" s="99"/>
      <c r="R14927" s="99"/>
    </row>
    <row r="14928" spans="5:18" s="65" customFormat="1">
      <c r="E14928" s="130"/>
      <c r="P14928" s="99"/>
      <c r="Q14928" s="99"/>
      <c r="R14928" s="99"/>
    </row>
    <row r="14929" spans="5:18" s="65" customFormat="1">
      <c r="E14929" s="130"/>
      <c r="P14929" s="99"/>
      <c r="Q14929" s="99"/>
      <c r="R14929" s="99"/>
    </row>
    <row r="14930" spans="5:18" s="65" customFormat="1">
      <c r="E14930" s="130"/>
      <c r="P14930" s="99"/>
      <c r="Q14930" s="99"/>
      <c r="R14930" s="99"/>
    </row>
    <row r="14931" spans="5:18" s="65" customFormat="1">
      <c r="E14931" s="130"/>
      <c r="P14931" s="99"/>
      <c r="Q14931" s="99"/>
      <c r="R14931" s="99"/>
    </row>
    <row r="14932" spans="5:18" s="65" customFormat="1">
      <c r="E14932" s="130"/>
      <c r="P14932" s="99"/>
      <c r="Q14932" s="99"/>
      <c r="R14932" s="99"/>
    </row>
    <row r="14933" spans="5:18" s="65" customFormat="1">
      <c r="E14933" s="130"/>
      <c r="P14933" s="99"/>
      <c r="Q14933" s="99"/>
      <c r="R14933" s="99"/>
    </row>
    <row r="14934" spans="5:18" s="65" customFormat="1">
      <c r="E14934" s="130"/>
      <c r="P14934" s="99"/>
      <c r="Q14934" s="99"/>
      <c r="R14934" s="99"/>
    </row>
    <row r="14935" spans="5:18" s="65" customFormat="1">
      <c r="E14935" s="130"/>
      <c r="P14935" s="99"/>
      <c r="Q14935" s="99"/>
      <c r="R14935" s="99"/>
    </row>
    <row r="14936" spans="5:18" s="65" customFormat="1">
      <c r="E14936" s="130"/>
      <c r="P14936" s="99"/>
      <c r="Q14936" s="99"/>
      <c r="R14936" s="99"/>
    </row>
    <row r="14937" spans="5:18" s="65" customFormat="1">
      <c r="E14937" s="130"/>
      <c r="P14937" s="99"/>
      <c r="Q14937" s="99"/>
      <c r="R14937" s="99"/>
    </row>
    <row r="14938" spans="5:18" s="65" customFormat="1">
      <c r="E14938" s="130"/>
      <c r="P14938" s="99"/>
      <c r="Q14938" s="99"/>
      <c r="R14938" s="99"/>
    </row>
    <row r="14939" spans="5:18" s="65" customFormat="1">
      <c r="E14939" s="130"/>
      <c r="P14939" s="99"/>
      <c r="Q14939" s="99"/>
      <c r="R14939" s="99"/>
    </row>
    <row r="14940" spans="5:18" s="65" customFormat="1">
      <c r="E14940" s="130"/>
      <c r="P14940" s="99"/>
      <c r="Q14940" s="99"/>
      <c r="R14940" s="99"/>
    </row>
    <row r="14941" spans="5:18" s="65" customFormat="1">
      <c r="E14941" s="130"/>
      <c r="P14941" s="99"/>
      <c r="Q14941" s="99"/>
      <c r="R14941" s="99"/>
    </row>
    <row r="14942" spans="5:18" s="65" customFormat="1">
      <c r="E14942" s="130"/>
      <c r="P14942" s="99"/>
      <c r="Q14942" s="99"/>
      <c r="R14942" s="99"/>
    </row>
    <row r="14943" spans="5:18" s="65" customFormat="1">
      <c r="E14943" s="130"/>
      <c r="P14943" s="99"/>
      <c r="Q14943" s="99"/>
      <c r="R14943" s="99"/>
    </row>
    <row r="14944" spans="5:18" s="65" customFormat="1">
      <c r="E14944" s="130"/>
      <c r="P14944" s="99"/>
      <c r="Q14944" s="99"/>
      <c r="R14944" s="99"/>
    </row>
    <row r="14945" spans="5:18" s="65" customFormat="1">
      <c r="E14945" s="130"/>
      <c r="P14945" s="99"/>
      <c r="Q14945" s="99"/>
      <c r="R14945" s="99"/>
    </row>
    <row r="14946" spans="5:18" s="65" customFormat="1">
      <c r="E14946" s="130"/>
      <c r="P14946" s="99"/>
      <c r="Q14946" s="99"/>
      <c r="R14946" s="99"/>
    </row>
    <row r="14947" spans="5:18" s="65" customFormat="1">
      <c r="E14947" s="130"/>
      <c r="P14947" s="99"/>
      <c r="Q14947" s="99"/>
      <c r="R14947" s="99"/>
    </row>
    <row r="14948" spans="5:18" s="65" customFormat="1">
      <c r="E14948" s="130"/>
      <c r="P14948" s="99"/>
      <c r="Q14948" s="99"/>
      <c r="R14948" s="99"/>
    </row>
    <row r="14949" spans="5:18" s="65" customFormat="1">
      <c r="E14949" s="130"/>
      <c r="P14949" s="99"/>
      <c r="Q14949" s="99"/>
      <c r="R14949" s="99"/>
    </row>
    <row r="14950" spans="5:18" s="65" customFormat="1">
      <c r="E14950" s="130"/>
      <c r="P14950" s="99"/>
      <c r="Q14950" s="99"/>
      <c r="R14950" s="99"/>
    </row>
    <row r="14951" spans="5:18" s="65" customFormat="1">
      <c r="E14951" s="130"/>
      <c r="P14951" s="99"/>
      <c r="Q14951" s="99"/>
      <c r="R14951" s="99"/>
    </row>
    <row r="14952" spans="5:18" s="65" customFormat="1">
      <c r="E14952" s="130"/>
      <c r="P14952" s="99"/>
      <c r="Q14952" s="99"/>
      <c r="R14952" s="99"/>
    </row>
    <row r="14953" spans="5:18" s="65" customFormat="1">
      <c r="E14953" s="130"/>
      <c r="P14953" s="99"/>
      <c r="Q14953" s="99"/>
      <c r="R14953" s="99"/>
    </row>
    <row r="14954" spans="5:18" s="65" customFormat="1">
      <c r="E14954" s="130"/>
      <c r="P14954" s="99"/>
      <c r="Q14954" s="99"/>
      <c r="R14954" s="99"/>
    </row>
    <row r="14955" spans="5:18" s="65" customFormat="1">
      <c r="E14955" s="130"/>
      <c r="P14955" s="99"/>
      <c r="Q14955" s="99"/>
      <c r="R14955" s="99"/>
    </row>
    <row r="14956" spans="5:18" s="65" customFormat="1">
      <c r="E14956" s="130"/>
      <c r="P14956" s="99"/>
      <c r="Q14956" s="99"/>
      <c r="R14956" s="99"/>
    </row>
    <row r="14957" spans="5:18" s="65" customFormat="1">
      <c r="E14957" s="130"/>
      <c r="P14957" s="99"/>
      <c r="Q14957" s="99"/>
      <c r="R14957" s="99"/>
    </row>
    <row r="14958" spans="5:18" s="65" customFormat="1">
      <c r="E14958" s="130"/>
      <c r="P14958" s="99"/>
      <c r="Q14958" s="99"/>
      <c r="R14958" s="99"/>
    </row>
    <row r="14959" spans="5:18" s="65" customFormat="1">
      <c r="E14959" s="130"/>
      <c r="P14959" s="99"/>
      <c r="Q14959" s="99"/>
      <c r="R14959" s="99"/>
    </row>
    <row r="14960" spans="5:18" s="65" customFormat="1">
      <c r="E14960" s="130"/>
      <c r="P14960" s="99"/>
      <c r="Q14960" s="99"/>
      <c r="R14960" s="99"/>
    </row>
    <row r="14961" spans="5:18" s="65" customFormat="1">
      <c r="E14961" s="130"/>
      <c r="P14961" s="99"/>
      <c r="Q14961" s="99"/>
      <c r="R14961" s="99"/>
    </row>
    <row r="14962" spans="5:18" s="65" customFormat="1">
      <c r="E14962" s="130"/>
      <c r="P14962" s="99"/>
      <c r="Q14962" s="99"/>
      <c r="R14962" s="99"/>
    </row>
    <row r="14963" spans="5:18" s="65" customFormat="1">
      <c r="E14963" s="130"/>
      <c r="P14963" s="99"/>
      <c r="Q14963" s="99"/>
      <c r="R14963" s="99"/>
    </row>
    <row r="14964" spans="5:18" s="65" customFormat="1">
      <c r="E14964" s="130"/>
      <c r="P14964" s="99"/>
      <c r="Q14964" s="99"/>
      <c r="R14964" s="99"/>
    </row>
    <row r="14965" spans="5:18" s="65" customFormat="1">
      <c r="E14965" s="130"/>
      <c r="P14965" s="99"/>
      <c r="Q14965" s="99"/>
      <c r="R14965" s="99"/>
    </row>
    <row r="14966" spans="5:18" s="65" customFormat="1">
      <c r="E14966" s="130"/>
      <c r="P14966" s="99"/>
      <c r="Q14966" s="99"/>
      <c r="R14966" s="99"/>
    </row>
    <row r="14967" spans="5:18" s="65" customFormat="1">
      <c r="E14967" s="130"/>
      <c r="P14967" s="99"/>
      <c r="Q14967" s="99"/>
      <c r="R14967" s="99"/>
    </row>
    <row r="14968" spans="5:18" s="65" customFormat="1">
      <c r="E14968" s="130"/>
      <c r="P14968" s="99"/>
      <c r="Q14968" s="99"/>
      <c r="R14968" s="99"/>
    </row>
    <row r="14969" spans="5:18" s="65" customFormat="1">
      <c r="E14969" s="130"/>
      <c r="P14969" s="99"/>
      <c r="Q14969" s="99"/>
      <c r="R14969" s="99"/>
    </row>
    <row r="14970" spans="5:18" s="65" customFormat="1">
      <c r="E14970" s="130"/>
      <c r="P14970" s="99"/>
      <c r="Q14970" s="99"/>
      <c r="R14970" s="99"/>
    </row>
    <row r="14971" spans="5:18" s="65" customFormat="1">
      <c r="E14971" s="130"/>
      <c r="P14971" s="99"/>
      <c r="Q14971" s="99"/>
      <c r="R14971" s="99"/>
    </row>
    <row r="14972" spans="5:18" s="65" customFormat="1">
      <c r="E14972" s="130"/>
      <c r="P14972" s="99"/>
      <c r="Q14972" s="99"/>
      <c r="R14972" s="99"/>
    </row>
    <row r="14973" spans="5:18" s="65" customFormat="1">
      <c r="E14973" s="130"/>
      <c r="P14973" s="99"/>
      <c r="Q14973" s="99"/>
      <c r="R14973" s="99"/>
    </row>
    <row r="14974" spans="5:18" s="65" customFormat="1">
      <c r="E14974" s="130"/>
      <c r="P14974" s="99"/>
      <c r="Q14974" s="99"/>
      <c r="R14974" s="99"/>
    </row>
    <row r="14975" spans="5:18" s="65" customFormat="1">
      <c r="E14975" s="130"/>
      <c r="P14975" s="99"/>
      <c r="Q14975" s="99"/>
      <c r="R14975" s="99"/>
    </row>
    <row r="14976" spans="5:18" s="65" customFormat="1">
      <c r="E14976" s="130"/>
      <c r="P14976" s="99"/>
      <c r="Q14976" s="99"/>
      <c r="R14976" s="99"/>
    </row>
    <row r="14977" spans="5:18" s="65" customFormat="1">
      <c r="E14977" s="130"/>
      <c r="P14977" s="99"/>
      <c r="Q14977" s="99"/>
      <c r="R14977" s="99"/>
    </row>
    <row r="14978" spans="5:18" s="65" customFormat="1">
      <c r="E14978" s="130"/>
      <c r="P14978" s="99"/>
      <c r="Q14978" s="99"/>
      <c r="R14978" s="99"/>
    </row>
    <row r="14979" spans="5:18" s="65" customFormat="1">
      <c r="E14979" s="130"/>
      <c r="P14979" s="99"/>
      <c r="Q14979" s="99"/>
      <c r="R14979" s="99"/>
    </row>
    <row r="14980" spans="5:18" s="65" customFormat="1">
      <c r="E14980" s="130"/>
      <c r="P14980" s="99"/>
      <c r="Q14980" s="99"/>
      <c r="R14980" s="99"/>
    </row>
    <row r="14981" spans="5:18" s="65" customFormat="1">
      <c r="E14981" s="130"/>
      <c r="P14981" s="99"/>
      <c r="Q14981" s="99"/>
      <c r="R14981" s="99"/>
    </row>
    <row r="14982" spans="5:18" s="65" customFormat="1">
      <c r="E14982" s="130"/>
      <c r="P14982" s="99"/>
      <c r="Q14982" s="99"/>
      <c r="R14982" s="99"/>
    </row>
    <row r="14983" spans="5:18" s="65" customFormat="1">
      <c r="E14983" s="130"/>
      <c r="P14983" s="99"/>
      <c r="Q14983" s="99"/>
      <c r="R14983" s="99"/>
    </row>
    <row r="14984" spans="5:18" s="65" customFormat="1">
      <c r="E14984" s="130"/>
      <c r="P14984" s="99"/>
      <c r="Q14984" s="99"/>
      <c r="R14984" s="99"/>
    </row>
    <row r="14985" spans="5:18" s="65" customFormat="1">
      <c r="E14985" s="130"/>
      <c r="P14985" s="99"/>
      <c r="Q14985" s="99"/>
      <c r="R14985" s="99"/>
    </row>
    <row r="14986" spans="5:18" s="65" customFormat="1">
      <c r="E14986" s="130"/>
      <c r="P14986" s="99"/>
      <c r="Q14986" s="99"/>
      <c r="R14986" s="99"/>
    </row>
    <row r="14987" spans="5:18" s="65" customFormat="1">
      <c r="E14987" s="130"/>
      <c r="P14987" s="99"/>
      <c r="Q14987" s="99"/>
      <c r="R14987" s="99"/>
    </row>
    <row r="14988" spans="5:18" s="65" customFormat="1">
      <c r="E14988" s="130"/>
      <c r="P14988" s="99"/>
      <c r="Q14988" s="99"/>
      <c r="R14988" s="99"/>
    </row>
    <row r="14989" spans="5:18" s="65" customFormat="1">
      <c r="E14989" s="130"/>
      <c r="P14989" s="99"/>
      <c r="Q14989" s="99"/>
      <c r="R14989" s="99"/>
    </row>
    <row r="14990" spans="5:18" s="65" customFormat="1">
      <c r="E14990" s="130"/>
      <c r="P14990" s="99"/>
      <c r="Q14990" s="99"/>
      <c r="R14990" s="99"/>
    </row>
    <row r="14991" spans="5:18" s="65" customFormat="1">
      <c r="E14991" s="130"/>
      <c r="P14991" s="99"/>
      <c r="Q14991" s="99"/>
      <c r="R14991" s="99"/>
    </row>
    <row r="14992" spans="5:18" s="65" customFormat="1">
      <c r="E14992" s="130"/>
      <c r="P14992" s="99"/>
      <c r="Q14992" s="99"/>
      <c r="R14992" s="99"/>
    </row>
    <row r="14993" spans="5:18" s="65" customFormat="1">
      <c r="E14993" s="130"/>
      <c r="P14993" s="99"/>
      <c r="Q14993" s="99"/>
      <c r="R14993" s="99"/>
    </row>
    <row r="14994" spans="5:18" s="65" customFormat="1">
      <c r="E14994" s="130"/>
      <c r="P14994" s="99"/>
      <c r="Q14994" s="99"/>
      <c r="R14994" s="99"/>
    </row>
    <row r="14995" spans="5:18" s="65" customFormat="1">
      <c r="E14995" s="130"/>
      <c r="P14995" s="99"/>
      <c r="Q14995" s="99"/>
      <c r="R14995" s="99"/>
    </row>
    <row r="14996" spans="5:18" s="65" customFormat="1">
      <c r="E14996" s="130"/>
      <c r="P14996" s="99"/>
      <c r="Q14996" s="99"/>
      <c r="R14996" s="99"/>
    </row>
    <row r="14997" spans="5:18" s="65" customFormat="1">
      <c r="E14997" s="130"/>
      <c r="P14997" s="99"/>
      <c r="Q14997" s="99"/>
      <c r="R14997" s="99"/>
    </row>
    <row r="14998" spans="5:18" s="65" customFormat="1">
      <c r="E14998" s="130"/>
      <c r="P14998" s="99"/>
      <c r="Q14998" s="99"/>
      <c r="R14998" s="99"/>
    </row>
    <row r="14999" spans="5:18" s="65" customFormat="1">
      <c r="E14999" s="130"/>
      <c r="P14999" s="99"/>
      <c r="Q14999" s="99"/>
      <c r="R14999" s="99"/>
    </row>
    <row r="15000" spans="5:18" s="65" customFormat="1">
      <c r="E15000" s="130"/>
      <c r="P15000" s="99"/>
      <c r="Q15000" s="99"/>
      <c r="R15000" s="99"/>
    </row>
    <row r="15001" spans="5:18" s="65" customFormat="1">
      <c r="E15001" s="130"/>
      <c r="P15001" s="99"/>
      <c r="Q15001" s="99"/>
      <c r="R15001" s="99"/>
    </row>
    <row r="15002" spans="5:18" s="65" customFormat="1">
      <c r="E15002" s="130"/>
      <c r="P15002" s="99"/>
      <c r="Q15002" s="99"/>
      <c r="R15002" s="99"/>
    </row>
    <row r="15003" spans="5:18" s="65" customFormat="1">
      <c r="E15003" s="130"/>
      <c r="P15003" s="99"/>
      <c r="Q15003" s="99"/>
      <c r="R15003" s="99"/>
    </row>
    <row r="15004" spans="5:18" s="65" customFormat="1">
      <c r="E15004" s="130"/>
      <c r="P15004" s="99"/>
      <c r="Q15004" s="99"/>
      <c r="R15004" s="99"/>
    </row>
    <row r="15005" spans="5:18" s="65" customFormat="1">
      <c r="E15005" s="130"/>
      <c r="P15005" s="99"/>
      <c r="Q15005" s="99"/>
      <c r="R15005" s="99"/>
    </row>
    <row r="15006" spans="5:18" s="65" customFormat="1">
      <c r="E15006" s="130"/>
      <c r="P15006" s="99"/>
      <c r="Q15006" s="99"/>
      <c r="R15006" s="99"/>
    </row>
    <row r="15007" spans="5:18" s="65" customFormat="1">
      <c r="E15007" s="130"/>
      <c r="P15007" s="99"/>
      <c r="Q15007" s="99"/>
      <c r="R15007" s="99"/>
    </row>
    <row r="15008" spans="5:18" s="65" customFormat="1">
      <c r="E15008" s="130"/>
      <c r="P15008" s="99"/>
      <c r="Q15008" s="99"/>
      <c r="R15008" s="99"/>
    </row>
    <row r="15009" spans="5:18" s="65" customFormat="1">
      <c r="E15009" s="130"/>
      <c r="P15009" s="99"/>
      <c r="Q15009" s="99"/>
      <c r="R15009" s="99"/>
    </row>
    <row r="15010" spans="5:18" s="65" customFormat="1">
      <c r="E15010" s="130"/>
      <c r="P15010" s="99"/>
      <c r="Q15010" s="99"/>
      <c r="R15010" s="99"/>
    </row>
    <row r="15011" spans="5:18" s="65" customFormat="1">
      <c r="E15011" s="130"/>
      <c r="P15011" s="99"/>
      <c r="Q15011" s="99"/>
      <c r="R15011" s="99"/>
    </row>
    <row r="15012" spans="5:18" s="65" customFormat="1">
      <c r="E15012" s="130"/>
      <c r="P15012" s="99"/>
      <c r="Q15012" s="99"/>
      <c r="R15012" s="99"/>
    </row>
    <row r="15013" spans="5:18" s="65" customFormat="1">
      <c r="E15013" s="130"/>
      <c r="P15013" s="99"/>
      <c r="Q15013" s="99"/>
      <c r="R15013" s="99"/>
    </row>
    <row r="15014" spans="5:18" s="65" customFormat="1">
      <c r="E15014" s="130"/>
      <c r="P15014" s="99"/>
      <c r="Q15014" s="99"/>
      <c r="R15014" s="99"/>
    </row>
    <row r="15015" spans="5:18" s="65" customFormat="1">
      <c r="E15015" s="130"/>
      <c r="P15015" s="99"/>
      <c r="Q15015" s="99"/>
      <c r="R15015" s="99"/>
    </row>
    <row r="15016" spans="5:18" s="65" customFormat="1">
      <c r="E15016" s="130"/>
      <c r="P15016" s="99"/>
      <c r="Q15016" s="99"/>
      <c r="R15016" s="99"/>
    </row>
    <row r="15017" spans="5:18" s="65" customFormat="1">
      <c r="E15017" s="130"/>
      <c r="P15017" s="99"/>
      <c r="Q15017" s="99"/>
      <c r="R15017" s="99"/>
    </row>
    <row r="15018" spans="5:18" s="65" customFormat="1">
      <c r="E15018" s="130"/>
      <c r="P15018" s="99"/>
      <c r="Q15018" s="99"/>
      <c r="R15018" s="99"/>
    </row>
    <row r="15019" spans="5:18" s="65" customFormat="1">
      <c r="E15019" s="130"/>
      <c r="P15019" s="99"/>
      <c r="Q15019" s="99"/>
      <c r="R15019" s="99"/>
    </row>
    <row r="15020" spans="5:18" s="65" customFormat="1">
      <c r="E15020" s="130"/>
      <c r="P15020" s="99"/>
      <c r="Q15020" s="99"/>
      <c r="R15020" s="99"/>
    </row>
    <row r="15021" spans="5:18" s="65" customFormat="1">
      <c r="E15021" s="130"/>
      <c r="P15021" s="99"/>
      <c r="Q15021" s="99"/>
      <c r="R15021" s="99"/>
    </row>
    <row r="15022" spans="5:18" s="65" customFormat="1">
      <c r="E15022" s="130"/>
      <c r="P15022" s="99"/>
      <c r="Q15022" s="99"/>
      <c r="R15022" s="99"/>
    </row>
    <row r="15023" spans="5:18" s="65" customFormat="1">
      <c r="E15023" s="130"/>
      <c r="P15023" s="99"/>
      <c r="Q15023" s="99"/>
      <c r="R15023" s="99"/>
    </row>
    <row r="15024" spans="5:18" s="65" customFormat="1">
      <c r="E15024" s="130"/>
      <c r="P15024" s="99"/>
      <c r="Q15024" s="99"/>
      <c r="R15024" s="99"/>
    </row>
    <row r="15025" spans="5:18" s="65" customFormat="1">
      <c r="E15025" s="130"/>
      <c r="P15025" s="99"/>
      <c r="Q15025" s="99"/>
      <c r="R15025" s="99"/>
    </row>
    <row r="15026" spans="5:18" s="65" customFormat="1">
      <c r="E15026" s="130"/>
      <c r="P15026" s="99"/>
      <c r="Q15026" s="99"/>
      <c r="R15026" s="99"/>
    </row>
    <row r="15027" spans="5:18" s="65" customFormat="1">
      <c r="E15027" s="130"/>
      <c r="P15027" s="99"/>
      <c r="Q15027" s="99"/>
      <c r="R15027" s="99"/>
    </row>
    <row r="15028" spans="5:18" s="65" customFormat="1">
      <c r="E15028" s="130"/>
      <c r="P15028" s="99"/>
      <c r="Q15028" s="99"/>
      <c r="R15028" s="99"/>
    </row>
    <row r="15029" spans="5:18" s="65" customFormat="1">
      <c r="E15029" s="130"/>
      <c r="P15029" s="99"/>
      <c r="Q15029" s="99"/>
      <c r="R15029" s="99"/>
    </row>
    <row r="15030" spans="5:18" s="65" customFormat="1">
      <c r="E15030" s="130"/>
      <c r="P15030" s="99"/>
      <c r="Q15030" s="99"/>
      <c r="R15030" s="99"/>
    </row>
    <row r="15031" spans="5:18" s="65" customFormat="1">
      <c r="E15031" s="130"/>
      <c r="P15031" s="99"/>
      <c r="Q15031" s="99"/>
      <c r="R15031" s="99"/>
    </row>
    <row r="15032" spans="5:18" s="65" customFormat="1">
      <c r="E15032" s="130"/>
      <c r="P15032" s="99"/>
      <c r="Q15032" s="99"/>
      <c r="R15032" s="99"/>
    </row>
    <row r="15033" spans="5:18" s="65" customFormat="1">
      <c r="E15033" s="130"/>
      <c r="P15033" s="99"/>
      <c r="Q15033" s="99"/>
      <c r="R15033" s="99"/>
    </row>
    <row r="15034" spans="5:18" s="65" customFormat="1">
      <c r="E15034" s="130"/>
      <c r="P15034" s="99"/>
      <c r="Q15034" s="99"/>
      <c r="R15034" s="99"/>
    </row>
    <row r="15035" spans="5:18" s="65" customFormat="1">
      <c r="E15035" s="130"/>
      <c r="P15035" s="99"/>
      <c r="Q15035" s="99"/>
      <c r="R15035" s="99"/>
    </row>
    <row r="15036" spans="5:18" s="65" customFormat="1">
      <c r="E15036" s="130"/>
      <c r="P15036" s="99"/>
      <c r="Q15036" s="99"/>
      <c r="R15036" s="99"/>
    </row>
    <row r="15037" spans="5:18" s="65" customFormat="1">
      <c r="E15037" s="130"/>
      <c r="P15037" s="99"/>
      <c r="Q15037" s="99"/>
      <c r="R15037" s="99"/>
    </row>
    <row r="15038" spans="5:18" s="65" customFormat="1">
      <c r="E15038" s="130"/>
      <c r="P15038" s="99"/>
      <c r="Q15038" s="99"/>
      <c r="R15038" s="99"/>
    </row>
    <row r="15039" spans="5:18" s="65" customFormat="1">
      <c r="E15039" s="130"/>
      <c r="P15039" s="99"/>
      <c r="Q15039" s="99"/>
      <c r="R15039" s="99"/>
    </row>
    <row r="15040" spans="5:18" s="65" customFormat="1">
      <c r="E15040" s="130"/>
      <c r="P15040" s="99"/>
      <c r="Q15040" s="99"/>
      <c r="R15040" s="99"/>
    </row>
    <row r="15041" spans="5:18" s="65" customFormat="1">
      <c r="E15041" s="130"/>
      <c r="P15041" s="99"/>
      <c r="Q15041" s="99"/>
      <c r="R15041" s="99"/>
    </row>
    <row r="15042" spans="5:18" s="65" customFormat="1">
      <c r="E15042" s="130"/>
      <c r="P15042" s="99"/>
      <c r="Q15042" s="99"/>
      <c r="R15042" s="99"/>
    </row>
    <row r="15043" spans="5:18" s="65" customFormat="1">
      <c r="E15043" s="130"/>
      <c r="P15043" s="99"/>
      <c r="Q15043" s="99"/>
      <c r="R15043" s="99"/>
    </row>
    <row r="15044" spans="5:18" s="65" customFormat="1">
      <c r="E15044" s="130"/>
      <c r="P15044" s="99"/>
      <c r="Q15044" s="99"/>
      <c r="R15044" s="99"/>
    </row>
    <row r="15045" spans="5:18" s="65" customFormat="1">
      <c r="E15045" s="130"/>
      <c r="P15045" s="99"/>
      <c r="Q15045" s="99"/>
      <c r="R15045" s="99"/>
    </row>
    <row r="15046" spans="5:18" s="65" customFormat="1">
      <c r="E15046" s="130"/>
      <c r="P15046" s="99"/>
      <c r="Q15046" s="99"/>
      <c r="R15046" s="99"/>
    </row>
    <row r="15047" spans="5:18" s="65" customFormat="1">
      <c r="E15047" s="130"/>
      <c r="P15047" s="99"/>
      <c r="Q15047" s="99"/>
      <c r="R15047" s="99"/>
    </row>
    <row r="15048" spans="5:18" s="65" customFormat="1">
      <c r="E15048" s="130"/>
      <c r="P15048" s="99"/>
      <c r="Q15048" s="99"/>
      <c r="R15048" s="99"/>
    </row>
    <row r="15049" spans="5:18" s="65" customFormat="1">
      <c r="E15049" s="130"/>
      <c r="P15049" s="99"/>
      <c r="Q15049" s="99"/>
      <c r="R15049" s="99"/>
    </row>
    <row r="15050" spans="5:18" s="65" customFormat="1">
      <c r="E15050" s="130"/>
      <c r="P15050" s="99"/>
      <c r="Q15050" s="99"/>
      <c r="R15050" s="99"/>
    </row>
    <row r="15051" spans="5:18" s="65" customFormat="1">
      <c r="E15051" s="130"/>
      <c r="P15051" s="99"/>
      <c r="Q15051" s="99"/>
      <c r="R15051" s="99"/>
    </row>
    <row r="15052" spans="5:18" s="65" customFormat="1">
      <c r="E15052" s="130"/>
      <c r="P15052" s="99"/>
      <c r="Q15052" s="99"/>
      <c r="R15052" s="99"/>
    </row>
    <row r="15053" spans="5:18" s="65" customFormat="1">
      <c r="E15053" s="130"/>
      <c r="P15053" s="99"/>
      <c r="Q15053" s="99"/>
      <c r="R15053" s="99"/>
    </row>
    <row r="15054" spans="5:18" s="65" customFormat="1">
      <c r="E15054" s="130"/>
      <c r="P15054" s="99"/>
      <c r="Q15054" s="99"/>
      <c r="R15054" s="99"/>
    </row>
    <row r="15055" spans="5:18" s="65" customFormat="1">
      <c r="E15055" s="130"/>
      <c r="P15055" s="99"/>
      <c r="Q15055" s="99"/>
      <c r="R15055" s="99"/>
    </row>
    <row r="15056" spans="5:18" s="65" customFormat="1">
      <c r="E15056" s="130"/>
      <c r="P15056" s="99"/>
      <c r="Q15056" s="99"/>
      <c r="R15056" s="99"/>
    </row>
    <row r="15057" spans="5:18" s="65" customFormat="1">
      <c r="E15057" s="130"/>
      <c r="P15057" s="99"/>
      <c r="Q15057" s="99"/>
      <c r="R15057" s="99"/>
    </row>
    <row r="15058" spans="5:18" s="65" customFormat="1">
      <c r="E15058" s="130"/>
      <c r="P15058" s="99"/>
      <c r="Q15058" s="99"/>
      <c r="R15058" s="99"/>
    </row>
    <row r="15059" spans="5:18" s="65" customFormat="1">
      <c r="E15059" s="130"/>
      <c r="P15059" s="99"/>
      <c r="Q15059" s="99"/>
      <c r="R15059" s="99"/>
    </row>
    <row r="15060" spans="5:18" s="65" customFormat="1">
      <c r="E15060" s="130"/>
      <c r="P15060" s="99"/>
      <c r="Q15060" s="99"/>
      <c r="R15060" s="99"/>
    </row>
    <row r="15061" spans="5:18" s="65" customFormat="1">
      <c r="E15061" s="130"/>
      <c r="P15061" s="99"/>
      <c r="Q15061" s="99"/>
      <c r="R15061" s="99"/>
    </row>
    <row r="15062" spans="5:18" s="65" customFormat="1">
      <c r="E15062" s="130"/>
      <c r="P15062" s="99"/>
      <c r="Q15062" s="99"/>
      <c r="R15062" s="99"/>
    </row>
    <row r="15063" spans="5:18" s="65" customFormat="1">
      <c r="E15063" s="130"/>
      <c r="P15063" s="99"/>
      <c r="Q15063" s="99"/>
      <c r="R15063" s="99"/>
    </row>
    <row r="15064" spans="5:18" s="65" customFormat="1">
      <c r="E15064" s="130"/>
      <c r="P15064" s="99"/>
      <c r="Q15064" s="99"/>
      <c r="R15064" s="99"/>
    </row>
    <row r="15065" spans="5:18" s="65" customFormat="1">
      <c r="E15065" s="130"/>
      <c r="P15065" s="99"/>
      <c r="Q15065" s="99"/>
      <c r="R15065" s="99"/>
    </row>
    <row r="15066" spans="5:18" s="65" customFormat="1">
      <c r="E15066" s="130"/>
      <c r="P15066" s="99"/>
      <c r="Q15066" s="99"/>
      <c r="R15066" s="99"/>
    </row>
    <row r="15067" spans="5:18" s="65" customFormat="1">
      <c r="E15067" s="130"/>
      <c r="P15067" s="99"/>
      <c r="Q15067" s="99"/>
      <c r="R15067" s="99"/>
    </row>
    <row r="15068" spans="5:18" s="65" customFormat="1">
      <c r="E15068" s="130"/>
      <c r="P15068" s="99"/>
      <c r="Q15068" s="99"/>
      <c r="R15068" s="99"/>
    </row>
    <row r="15069" spans="5:18" s="65" customFormat="1">
      <c r="E15069" s="130"/>
      <c r="P15069" s="99"/>
      <c r="Q15069" s="99"/>
      <c r="R15069" s="99"/>
    </row>
    <row r="15070" spans="5:18" s="65" customFormat="1">
      <c r="E15070" s="130"/>
      <c r="P15070" s="99"/>
      <c r="Q15070" s="99"/>
      <c r="R15070" s="99"/>
    </row>
    <row r="15071" spans="5:18" s="65" customFormat="1">
      <c r="E15071" s="130"/>
      <c r="P15071" s="99"/>
      <c r="Q15071" s="99"/>
      <c r="R15071" s="99"/>
    </row>
    <row r="15072" spans="5:18" s="65" customFormat="1">
      <c r="E15072" s="130"/>
      <c r="P15072" s="99"/>
      <c r="Q15072" s="99"/>
      <c r="R15072" s="99"/>
    </row>
    <row r="15073" spans="5:18" s="65" customFormat="1">
      <c r="E15073" s="130"/>
      <c r="P15073" s="99"/>
      <c r="Q15073" s="99"/>
      <c r="R15073" s="99"/>
    </row>
    <row r="15074" spans="5:18" s="65" customFormat="1">
      <c r="E15074" s="130"/>
      <c r="P15074" s="99"/>
      <c r="Q15074" s="99"/>
      <c r="R15074" s="99"/>
    </row>
    <row r="15075" spans="5:18" s="65" customFormat="1">
      <c r="E15075" s="130"/>
      <c r="P15075" s="99"/>
      <c r="Q15075" s="99"/>
      <c r="R15075" s="99"/>
    </row>
    <row r="15076" spans="5:18" s="65" customFormat="1">
      <c r="E15076" s="130"/>
      <c r="P15076" s="99"/>
      <c r="Q15076" s="99"/>
      <c r="R15076" s="99"/>
    </row>
    <row r="15077" spans="5:18" s="65" customFormat="1">
      <c r="E15077" s="130"/>
      <c r="P15077" s="99"/>
      <c r="Q15077" s="99"/>
      <c r="R15077" s="99"/>
    </row>
    <row r="15078" spans="5:18" s="65" customFormat="1">
      <c r="E15078" s="130"/>
      <c r="P15078" s="99"/>
      <c r="Q15078" s="99"/>
      <c r="R15078" s="99"/>
    </row>
    <row r="15079" spans="5:18" s="65" customFormat="1">
      <c r="E15079" s="130"/>
      <c r="P15079" s="99"/>
      <c r="Q15079" s="99"/>
      <c r="R15079" s="99"/>
    </row>
    <row r="15080" spans="5:18" s="65" customFormat="1">
      <c r="E15080" s="130"/>
      <c r="P15080" s="99"/>
      <c r="Q15080" s="99"/>
      <c r="R15080" s="99"/>
    </row>
    <row r="15081" spans="5:18" s="65" customFormat="1">
      <c r="E15081" s="130"/>
      <c r="P15081" s="99"/>
      <c r="Q15081" s="99"/>
      <c r="R15081" s="99"/>
    </row>
    <row r="15082" spans="5:18" s="65" customFormat="1">
      <c r="E15082" s="130"/>
      <c r="P15082" s="99"/>
      <c r="Q15082" s="99"/>
      <c r="R15082" s="99"/>
    </row>
    <row r="15083" spans="5:18" s="65" customFormat="1">
      <c r="E15083" s="130"/>
      <c r="P15083" s="99"/>
      <c r="Q15083" s="99"/>
      <c r="R15083" s="99"/>
    </row>
    <row r="15084" spans="5:18" s="65" customFormat="1">
      <c r="E15084" s="130"/>
      <c r="P15084" s="99"/>
      <c r="Q15084" s="99"/>
      <c r="R15084" s="99"/>
    </row>
    <row r="15085" spans="5:18" s="65" customFormat="1">
      <c r="E15085" s="130"/>
      <c r="P15085" s="99"/>
      <c r="Q15085" s="99"/>
      <c r="R15085" s="99"/>
    </row>
    <row r="15086" spans="5:18" s="65" customFormat="1">
      <c r="E15086" s="130"/>
      <c r="P15086" s="99"/>
      <c r="Q15086" s="99"/>
      <c r="R15086" s="99"/>
    </row>
    <row r="15087" spans="5:18" s="65" customFormat="1">
      <c r="E15087" s="130"/>
      <c r="P15087" s="99"/>
      <c r="Q15087" s="99"/>
      <c r="R15087" s="99"/>
    </row>
    <row r="15088" spans="5:18" s="65" customFormat="1">
      <c r="E15088" s="130"/>
      <c r="P15088" s="99"/>
      <c r="Q15088" s="99"/>
      <c r="R15088" s="99"/>
    </row>
    <row r="15089" spans="5:18" s="65" customFormat="1">
      <c r="E15089" s="130"/>
      <c r="P15089" s="99"/>
      <c r="Q15089" s="99"/>
      <c r="R15089" s="99"/>
    </row>
    <row r="15090" spans="5:18" s="65" customFormat="1">
      <c r="E15090" s="130"/>
      <c r="P15090" s="99"/>
      <c r="Q15090" s="99"/>
      <c r="R15090" s="99"/>
    </row>
    <row r="15091" spans="5:18" s="65" customFormat="1">
      <c r="E15091" s="130"/>
      <c r="P15091" s="99"/>
      <c r="Q15091" s="99"/>
      <c r="R15091" s="99"/>
    </row>
    <row r="15092" spans="5:18" s="65" customFormat="1">
      <c r="E15092" s="130"/>
      <c r="P15092" s="99"/>
      <c r="Q15092" s="99"/>
      <c r="R15092" s="99"/>
    </row>
    <row r="15093" spans="5:18" s="65" customFormat="1">
      <c r="E15093" s="130"/>
      <c r="P15093" s="99"/>
      <c r="Q15093" s="99"/>
      <c r="R15093" s="99"/>
    </row>
    <row r="15094" spans="5:18" s="65" customFormat="1">
      <c r="E15094" s="130"/>
      <c r="P15094" s="99"/>
      <c r="Q15094" s="99"/>
      <c r="R15094" s="99"/>
    </row>
    <row r="15095" spans="5:18" s="65" customFormat="1">
      <c r="E15095" s="130"/>
      <c r="P15095" s="99"/>
      <c r="Q15095" s="99"/>
      <c r="R15095" s="99"/>
    </row>
    <row r="15096" spans="5:18" s="65" customFormat="1">
      <c r="E15096" s="130"/>
      <c r="P15096" s="99"/>
      <c r="Q15096" s="99"/>
      <c r="R15096" s="99"/>
    </row>
    <row r="15097" spans="5:18" s="65" customFormat="1">
      <c r="E15097" s="130"/>
      <c r="P15097" s="99"/>
      <c r="Q15097" s="99"/>
      <c r="R15097" s="99"/>
    </row>
    <row r="15098" spans="5:18" s="65" customFormat="1">
      <c r="E15098" s="130"/>
      <c r="P15098" s="99"/>
      <c r="Q15098" s="99"/>
      <c r="R15098" s="99"/>
    </row>
    <row r="15099" spans="5:18" s="65" customFormat="1">
      <c r="E15099" s="130"/>
      <c r="P15099" s="99"/>
      <c r="Q15099" s="99"/>
      <c r="R15099" s="99"/>
    </row>
    <row r="15100" spans="5:18" s="65" customFormat="1">
      <c r="E15100" s="130"/>
      <c r="P15100" s="99"/>
      <c r="Q15100" s="99"/>
      <c r="R15100" s="99"/>
    </row>
    <row r="15101" spans="5:18" s="65" customFormat="1">
      <c r="E15101" s="130"/>
      <c r="P15101" s="99"/>
      <c r="Q15101" s="99"/>
      <c r="R15101" s="99"/>
    </row>
    <row r="15102" spans="5:18" s="65" customFormat="1">
      <c r="E15102" s="130"/>
      <c r="P15102" s="99"/>
      <c r="Q15102" s="99"/>
      <c r="R15102" s="99"/>
    </row>
    <row r="15103" spans="5:18" s="65" customFormat="1">
      <c r="E15103" s="130"/>
      <c r="P15103" s="99"/>
      <c r="Q15103" s="99"/>
      <c r="R15103" s="99"/>
    </row>
    <row r="15104" spans="5:18" s="65" customFormat="1">
      <c r="E15104" s="130"/>
      <c r="P15104" s="99"/>
      <c r="Q15104" s="99"/>
      <c r="R15104" s="99"/>
    </row>
    <row r="15105" spans="5:18" s="65" customFormat="1">
      <c r="E15105" s="130"/>
      <c r="P15105" s="99"/>
      <c r="Q15105" s="99"/>
      <c r="R15105" s="99"/>
    </row>
    <row r="15106" spans="5:18" s="65" customFormat="1">
      <c r="E15106" s="130"/>
      <c r="P15106" s="99"/>
      <c r="Q15106" s="99"/>
      <c r="R15106" s="99"/>
    </row>
    <row r="15107" spans="5:18" s="65" customFormat="1">
      <c r="E15107" s="130"/>
      <c r="P15107" s="99"/>
      <c r="Q15107" s="99"/>
      <c r="R15107" s="99"/>
    </row>
    <row r="15108" spans="5:18" s="65" customFormat="1">
      <c r="E15108" s="130"/>
      <c r="P15108" s="99"/>
      <c r="Q15108" s="99"/>
      <c r="R15108" s="99"/>
    </row>
    <row r="15109" spans="5:18" s="65" customFormat="1">
      <c r="E15109" s="130"/>
      <c r="P15109" s="99"/>
      <c r="Q15109" s="99"/>
      <c r="R15109" s="99"/>
    </row>
    <row r="15110" spans="5:18" s="65" customFormat="1">
      <c r="E15110" s="130"/>
      <c r="P15110" s="99"/>
      <c r="Q15110" s="99"/>
      <c r="R15110" s="99"/>
    </row>
    <row r="15111" spans="5:18" s="65" customFormat="1">
      <c r="E15111" s="130"/>
      <c r="P15111" s="99"/>
      <c r="Q15111" s="99"/>
      <c r="R15111" s="99"/>
    </row>
    <row r="15112" spans="5:18" s="65" customFormat="1">
      <c r="E15112" s="130"/>
      <c r="P15112" s="99"/>
      <c r="Q15112" s="99"/>
      <c r="R15112" s="99"/>
    </row>
    <row r="15113" spans="5:18" s="65" customFormat="1">
      <c r="E15113" s="130"/>
      <c r="P15113" s="99"/>
      <c r="Q15113" s="99"/>
      <c r="R15113" s="99"/>
    </row>
    <row r="15114" spans="5:18" s="65" customFormat="1">
      <c r="E15114" s="130"/>
      <c r="P15114" s="99"/>
      <c r="Q15114" s="99"/>
      <c r="R15114" s="99"/>
    </row>
    <row r="15115" spans="5:18" s="65" customFormat="1">
      <c r="E15115" s="130"/>
      <c r="P15115" s="99"/>
      <c r="Q15115" s="99"/>
      <c r="R15115" s="99"/>
    </row>
    <row r="15116" spans="5:18" s="65" customFormat="1">
      <c r="E15116" s="130"/>
      <c r="P15116" s="99"/>
      <c r="Q15116" s="99"/>
      <c r="R15116" s="99"/>
    </row>
    <row r="15117" spans="5:18" s="65" customFormat="1">
      <c r="E15117" s="130"/>
      <c r="P15117" s="99"/>
      <c r="Q15117" s="99"/>
      <c r="R15117" s="99"/>
    </row>
    <row r="15118" spans="5:18" s="65" customFormat="1">
      <c r="E15118" s="130"/>
      <c r="P15118" s="99"/>
      <c r="Q15118" s="99"/>
      <c r="R15118" s="99"/>
    </row>
    <row r="15119" spans="5:18" s="65" customFormat="1">
      <c r="E15119" s="130"/>
      <c r="P15119" s="99"/>
      <c r="Q15119" s="99"/>
      <c r="R15119" s="99"/>
    </row>
    <row r="15120" spans="5:18" s="65" customFormat="1">
      <c r="E15120" s="130"/>
      <c r="P15120" s="99"/>
      <c r="Q15120" s="99"/>
      <c r="R15120" s="99"/>
    </row>
    <row r="15121" spans="5:18" s="65" customFormat="1">
      <c r="E15121" s="130"/>
      <c r="P15121" s="99"/>
      <c r="Q15121" s="99"/>
      <c r="R15121" s="99"/>
    </row>
    <row r="15122" spans="5:18" s="65" customFormat="1">
      <c r="E15122" s="130"/>
      <c r="P15122" s="99"/>
      <c r="Q15122" s="99"/>
      <c r="R15122" s="99"/>
    </row>
    <row r="15123" spans="5:18" s="65" customFormat="1">
      <c r="E15123" s="130"/>
      <c r="P15123" s="99"/>
      <c r="Q15123" s="99"/>
      <c r="R15123" s="99"/>
    </row>
    <row r="15124" spans="5:18" s="65" customFormat="1">
      <c r="E15124" s="130"/>
      <c r="P15124" s="99"/>
      <c r="Q15124" s="99"/>
      <c r="R15124" s="99"/>
    </row>
    <row r="15125" spans="5:18" s="65" customFormat="1">
      <c r="E15125" s="130"/>
      <c r="P15125" s="99"/>
      <c r="Q15125" s="99"/>
      <c r="R15125" s="99"/>
    </row>
    <row r="15126" spans="5:18" s="65" customFormat="1">
      <c r="E15126" s="130"/>
      <c r="P15126" s="99"/>
      <c r="Q15126" s="99"/>
      <c r="R15126" s="99"/>
    </row>
    <row r="15127" spans="5:18" s="65" customFormat="1">
      <c r="E15127" s="130"/>
      <c r="P15127" s="99"/>
      <c r="Q15127" s="99"/>
      <c r="R15127" s="99"/>
    </row>
    <row r="15128" spans="5:18" s="65" customFormat="1">
      <c r="E15128" s="130"/>
      <c r="P15128" s="99"/>
      <c r="Q15128" s="99"/>
      <c r="R15128" s="99"/>
    </row>
    <row r="15129" spans="5:18" s="65" customFormat="1">
      <c r="E15129" s="130"/>
      <c r="P15129" s="99"/>
      <c r="Q15129" s="99"/>
      <c r="R15129" s="99"/>
    </row>
    <row r="15130" spans="5:18" s="65" customFormat="1">
      <c r="E15130" s="130"/>
      <c r="P15130" s="99"/>
      <c r="Q15130" s="99"/>
      <c r="R15130" s="99"/>
    </row>
    <row r="15131" spans="5:18" s="65" customFormat="1">
      <c r="E15131" s="130"/>
      <c r="P15131" s="99"/>
      <c r="Q15131" s="99"/>
      <c r="R15131" s="99"/>
    </row>
    <row r="15132" spans="5:18" s="65" customFormat="1">
      <c r="E15132" s="130"/>
      <c r="P15132" s="99"/>
      <c r="Q15132" s="99"/>
      <c r="R15132" s="99"/>
    </row>
    <row r="15133" spans="5:18" s="65" customFormat="1">
      <c r="E15133" s="130"/>
      <c r="P15133" s="99"/>
      <c r="Q15133" s="99"/>
      <c r="R15133" s="99"/>
    </row>
    <row r="15134" spans="5:18" s="65" customFormat="1">
      <c r="E15134" s="130"/>
      <c r="P15134" s="99"/>
      <c r="Q15134" s="99"/>
      <c r="R15134" s="99"/>
    </row>
    <row r="15135" spans="5:18" s="65" customFormat="1">
      <c r="E15135" s="130"/>
      <c r="P15135" s="99"/>
      <c r="Q15135" s="99"/>
      <c r="R15135" s="99"/>
    </row>
    <row r="15136" spans="5:18" s="65" customFormat="1">
      <c r="E15136" s="130"/>
      <c r="P15136" s="99"/>
      <c r="Q15136" s="99"/>
      <c r="R15136" s="99"/>
    </row>
    <row r="15137" spans="5:18" s="65" customFormat="1">
      <c r="E15137" s="130"/>
      <c r="P15137" s="99"/>
      <c r="Q15137" s="99"/>
      <c r="R15137" s="99"/>
    </row>
    <row r="15138" spans="5:18" s="65" customFormat="1">
      <c r="E15138" s="130"/>
      <c r="P15138" s="99"/>
      <c r="Q15138" s="99"/>
      <c r="R15138" s="99"/>
    </row>
    <row r="15139" spans="5:18" s="65" customFormat="1">
      <c r="E15139" s="130"/>
      <c r="P15139" s="99"/>
      <c r="Q15139" s="99"/>
      <c r="R15139" s="99"/>
    </row>
    <row r="15140" spans="5:18" s="65" customFormat="1">
      <c r="E15140" s="130"/>
      <c r="P15140" s="99"/>
      <c r="Q15140" s="99"/>
      <c r="R15140" s="99"/>
    </row>
    <row r="15141" spans="5:18" s="65" customFormat="1">
      <c r="E15141" s="130"/>
      <c r="P15141" s="99"/>
      <c r="Q15141" s="99"/>
      <c r="R15141" s="99"/>
    </row>
    <row r="15142" spans="5:18" s="65" customFormat="1">
      <c r="E15142" s="130"/>
      <c r="P15142" s="99"/>
      <c r="Q15142" s="99"/>
      <c r="R15142" s="99"/>
    </row>
    <row r="15143" spans="5:18" s="65" customFormat="1">
      <c r="E15143" s="130"/>
      <c r="P15143" s="99"/>
      <c r="Q15143" s="99"/>
      <c r="R15143" s="99"/>
    </row>
    <row r="15144" spans="5:18" s="65" customFormat="1">
      <c r="E15144" s="130"/>
      <c r="P15144" s="99"/>
      <c r="Q15144" s="99"/>
      <c r="R15144" s="99"/>
    </row>
    <row r="15145" spans="5:18" s="65" customFormat="1">
      <c r="E15145" s="130"/>
      <c r="P15145" s="99"/>
      <c r="Q15145" s="99"/>
      <c r="R15145" s="99"/>
    </row>
    <row r="15146" spans="5:18" s="65" customFormat="1">
      <c r="E15146" s="130"/>
      <c r="P15146" s="99"/>
      <c r="Q15146" s="99"/>
      <c r="R15146" s="99"/>
    </row>
    <row r="15147" spans="5:18" s="65" customFormat="1">
      <c r="E15147" s="130"/>
      <c r="P15147" s="99"/>
      <c r="Q15147" s="99"/>
      <c r="R15147" s="99"/>
    </row>
    <row r="15148" spans="5:18" s="65" customFormat="1">
      <c r="E15148" s="130"/>
      <c r="P15148" s="99"/>
      <c r="Q15148" s="99"/>
      <c r="R15148" s="99"/>
    </row>
    <row r="15149" spans="5:18" s="65" customFormat="1">
      <c r="E15149" s="130"/>
      <c r="P15149" s="99"/>
      <c r="Q15149" s="99"/>
      <c r="R15149" s="99"/>
    </row>
    <row r="15150" spans="5:18" s="65" customFormat="1">
      <c r="E15150" s="130"/>
      <c r="P15150" s="99"/>
      <c r="Q15150" s="99"/>
      <c r="R15150" s="99"/>
    </row>
    <row r="15151" spans="5:18" s="65" customFormat="1">
      <c r="E15151" s="130"/>
      <c r="P15151" s="99"/>
      <c r="Q15151" s="99"/>
      <c r="R15151" s="99"/>
    </row>
    <row r="15152" spans="5:18" s="65" customFormat="1">
      <c r="E15152" s="130"/>
      <c r="P15152" s="99"/>
      <c r="Q15152" s="99"/>
      <c r="R15152" s="99"/>
    </row>
    <row r="15153" spans="5:18" s="65" customFormat="1">
      <c r="E15153" s="130"/>
      <c r="P15153" s="99"/>
      <c r="Q15153" s="99"/>
      <c r="R15153" s="99"/>
    </row>
    <row r="15154" spans="5:18" s="65" customFormat="1">
      <c r="E15154" s="130"/>
      <c r="P15154" s="99"/>
      <c r="Q15154" s="99"/>
      <c r="R15154" s="99"/>
    </row>
    <row r="15155" spans="5:18" s="65" customFormat="1">
      <c r="E15155" s="130"/>
      <c r="P15155" s="99"/>
      <c r="Q15155" s="99"/>
      <c r="R15155" s="99"/>
    </row>
    <row r="15156" spans="5:18" s="65" customFormat="1">
      <c r="E15156" s="130"/>
      <c r="P15156" s="99"/>
      <c r="Q15156" s="99"/>
      <c r="R15156" s="99"/>
    </row>
    <row r="15157" spans="5:18" s="65" customFormat="1">
      <c r="E15157" s="130"/>
      <c r="P15157" s="99"/>
      <c r="Q15157" s="99"/>
      <c r="R15157" s="99"/>
    </row>
    <row r="15158" spans="5:18" s="65" customFormat="1">
      <c r="E15158" s="130"/>
      <c r="P15158" s="99"/>
      <c r="Q15158" s="99"/>
      <c r="R15158" s="99"/>
    </row>
    <row r="15159" spans="5:18" s="65" customFormat="1">
      <c r="E15159" s="130"/>
      <c r="P15159" s="99"/>
      <c r="Q15159" s="99"/>
      <c r="R15159" s="99"/>
    </row>
    <row r="15160" spans="5:18" s="65" customFormat="1">
      <c r="E15160" s="130"/>
      <c r="P15160" s="99"/>
      <c r="Q15160" s="99"/>
      <c r="R15160" s="99"/>
    </row>
    <row r="15161" spans="5:18" s="65" customFormat="1">
      <c r="E15161" s="130"/>
      <c r="P15161" s="99"/>
      <c r="Q15161" s="99"/>
      <c r="R15161" s="99"/>
    </row>
    <row r="15162" spans="5:18" s="65" customFormat="1">
      <c r="E15162" s="130"/>
      <c r="P15162" s="99"/>
      <c r="Q15162" s="99"/>
      <c r="R15162" s="99"/>
    </row>
    <row r="15163" spans="5:18" s="65" customFormat="1">
      <c r="E15163" s="130"/>
      <c r="P15163" s="99"/>
      <c r="Q15163" s="99"/>
      <c r="R15163" s="99"/>
    </row>
    <row r="15164" spans="5:18" s="65" customFormat="1">
      <c r="E15164" s="130"/>
      <c r="P15164" s="99"/>
      <c r="Q15164" s="99"/>
      <c r="R15164" s="99"/>
    </row>
    <row r="15165" spans="5:18" s="65" customFormat="1">
      <c r="E15165" s="130"/>
      <c r="P15165" s="99"/>
      <c r="Q15165" s="99"/>
      <c r="R15165" s="99"/>
    </row>
    <row r="15166" spans="5:18" s="65" customFormat="1">
      <c r="E15166" s="130"/>
      <c r="P15166" s="99"/>
      <c r="Q15166" s="99"/>
      <c r="R15166" s="99"/>
    </row>
    <row r="15167" spans="5:18" s="65" customFormat="1">
      <c r="E15167" s="130"/>
      <c r="P15167" s="99"/>
      <c r="Q15167" s="99"/>
      <c r="R15167" s="99"/>
    </row>
    <row r="15168" spans="5:18" s="65" customFormat="1">
      <c r="E15168" s="130"/>
      <c r="P15168" s="99"/>
      <c r="Q15168" s="99"/>
      <c r="R15168" s="99"/>
    </row>
    <row r="15169" spans="5:18" s="65" customFormat="1">
      <c r="E15169" s="130"/>
      <c r="P15169" s="99"/>
      <c r="Q15169" s="99"/>
      <c r="R15169" s="99"/>
    </row>
    <row r="15170" spans="5:18" s="65" customFormat="1">
      <c r="E15170" s="130"/>
      <c r="P15170" s="99"/>
      <c r="Q15170" s="99"/>
      <c r="R15170" s="99"/>
    </row>
    <row r="15171" spans="5:18" s="65" customFormat="1">
      <c r="E15171" s="130"/>
      <c r="P15171" s="99"/>
      <c r="Q15171" s="99"/>
      <c r="R15171" s="99"/>
    </row>
    <row r="15172" spans="5:18" s="65" customFormat="1">
      <c r="E15172" s="130"/>
      <c r="P15172" s="99"/>
      <c r="Q15172" s="99"/>
      <c r="R15172" s="99"/>
    </row>
    <row r="15173" spans="5:18" s="65" customFormat="1">
      <c r="E15173" s="130"/>
      <c r="P15173" s="99"/>
      <c r="Q15173" s="99"/>
      <c r="R15173" s="99"/>
    </row>
    <row r="15174" spans="5:18" s="65" customFormat="1">
      <c r="E15174" s="130"/>
      <c r="P15174" s="99"/>
      <c r="Q15174" s="99"/>
      <c r="R15174" s="99"/>
    </row>
    <row r="15175" spans="5:18" s="65" customFormat="1">
      <c r="E15175" s="130"/>
      <c r="P15175" s="99"/>
      <c r="Q15175" s="99"/>
      <c r="R15175" s="99"/>
    </row>
    <row r="15176" spans="5:18" s="65" customFormat="1">
      <c r="E15176" s="130"/>
      <c r="P15176" s="99"/>
      <c r="Q15176" s="99"/>
      <c r="R15176" s="99"/>
    </row>
    <row r="15177" spans="5:18" s="65" customFormat="1">
      <c r="E15177" s="130"/>
      <c r="P15177" s="99"/>
      <c r="Q15177" s="99"/>
      <c r="R15177" s="99"/>
    </row>
    <row r="15178" spans="5:18" s="65" customFormat="1">
      <c r="E15178" s="130"/>
      <c r="P15178" s="99"/>
      <c r="Q15178" s="99"/>
      <c r="R15178" s="99"/>
    </row>
    <row r="15179" spans="5:18" s="65" customFormat="1">
      <c r="E15179" s="130"/>
      <c r="P15179" s="99"/>
      <c r="Q15179" s="99"/>
      <c r="R15179" s="99"/>
    </row>
    <row r="15180" spans="5:18" s="65" customFormat="1">
      <c r="E15180" s="130"/>
      <c r="P15180" s="99"/>
      <c r="Q15180" s="99"/>
      <c r="R15180" s="99"/>
    </row>
    <row r="15181" spans="5:18" s="65" customFormat="1">
      <c r="E15181" s="130"/>
      <c r="P15181" s="99"/>
      <c r="Q15181" s="99"/>
      <c r="R15181" s="99"/>
    </row>
    <row r="15182" spans="5:18" s="65" customFormat="1">
      <c r="E15182" s="130"/>
      <c r="P15182" s="99"/>
      <c r="Q15182" s="99"/>
      <c r="R15182" s="99"/>
    </row>
    <row r="15183" spans="5:18" s="65" customFormat="1">
      <c r="E15183" s="130"/>
      <c r="P15183" s="99"/>
      <c r="Q15183" s="99"/>
      <c r="R15183" s="99"/>
    </row>
    <row r="15184" spans="5:18" s="65" customFormat="1">
      <c r="E15184" s="130"/>
      <c r="P15184" s="99"/>
      <c r="Q15184" s="99"/>
      <c r="R15184" s="99"/>
    </row>
    <row r="15185" spans="5:18" s="65" customFormat="1">
      <c r="E15185" s="130"/>
      <c r="P15185" s="99"/>
      <c r="Q15185" s="99"/>
      <c r="R15185" s="99"/>
    </row>
    <row r="15186" spans="5:18" s="65" customFormat="1">
      <c r="E15186" s="130"/>
      <c r="P15186" s="99"/>
      <c r="Q15186" s="99"/>
      <c r="R15186" s="99"/>
    </row>
    <row r="15187" spans="5:18" s="65" customFormat="1">
      <c r="E15187" s="130"/>
      <c r="P15187" s="99"/>
      <c r="Q15187" s="99"/>
      <c r="R15187" s="99"/>
    </row>
    <row r="15188" spans="5:18" s="65" customFormat="1">
      <c r="E15188" s="130"/>
      <c r="P15188" s="99"/>
      <c r="Q15188" s="99"/>
      <c r="R15188" s="99"/>
    </row>
    <row r="15189" spans="5:18" s="65" customFormat="1">
      <c r="E15189" s="130"/>
      <c r="P15189" s="99"/>
      <c r="Q15189" s="99"/>
      <c r="R15189" s="99"/>
    </row>
    <row r="15190" spans="5:18" s="65" customFormat="1">
      <c r="E15190" s="130"/>
      <c r="P15190" s="99"/>
      <c r="Q15190" s="99"/>
      <c r="R15190" s="99"/>
    </row>
    <row r="15191" spans="5:18" s="65" customFormat="1">
      <c r="E15191" s="130"/>
      <c r="P15191" s="99"/>
      <c r="Q15191" s="99"/>
      <c r="R15191" s="99"/>
    </row>
    <row r="15192" spans="5:18" s="65" customFormat="1">
      <c r="E15192" s="130"/>
      <c r="P15192" s="99"/>
      <c r="Q15192" s="99"/>
      <c r="R15192" s="99"/>
    </row>
    <row r="15193" spans="5:18" s="65" customFormat="1">
      <c r="E15193" s="130"/>
      <c r="P15193" s="99"/>
      <c r="Q15193" s="99"/>
      <c r="R15193" s="99"/>
    </row>
    <row r="15194" spans="5:18" s="65" customFormat="1">
      <c r="E15194" s="130"/>
      <c r="P15194" s="99"/>
      <c r="Q15194" s="99"/>
      <c r="R15194" s="99"/>
    </row>
    <row r="15195" spans="5:18" s="65" customFormat="1">
      <c r="E15195" s="130"/>
      <c r="P15195" s="99"/>
      <c r="Q15195" s="99"/>
      <c r="R15195" s="99"/>
    </row>
    <row r="15196" spans="5:18" s="65" customFormat="1">
      <c r="E15196" s="130"/>
      <c r="P15196" s="99"/>
      <c r="Q15196" s="99"/>
      <c r="R15196" s="99"/>
    </row>
    <row r="15197" spans="5:18" s="65" customFormat="1">
      <c r="E15197" s="130"/>
      <c r="P15197" s="99"/>
      <c r="Q15197" s="99"/>
      <c r="R15197" s="99"/>
    </row>
    <row r="15198" spans="5:18" s="65" customFormat="1">
      <c r="E15198" s="130"/>
      <c r="P15198" s="99"/>
      <c r="Q15198" s="99"/>
      <c r="R15198" s="99"/>
    </row>
    <row r="15199" spans="5:18" s="65" customFormat="1">
      <c r="E15199" s="130"/>
      <c r="P15199" s="99"/>
      <c r="Q15199" s="99"/>
      <c r="R15199" s="99"/>
    </row>
    <row r="15200" spans="5:18" s="65" customFormat="1">
      <c r="E15200" s="130"/>
      <c r="P15200" s="99"/>
      <c r="Q15200" s="99"/>
      <c r="R15200" s="99"/>
    </row>
    <row r="15201" spans="5:18" s="65" customFormat="1">
      <c r="E15201" s="130"/>
      <c r="P15201" s="99"/>
      <c r="Q15201" s="99"/>
      <c r="R15201" s="99"/>
    </row>
    <row r="15202" spans="5:18" s="65" customFormat="1">
      <c r="E15202" s="130"/>
      <c r="P15202" s="99"/>
      <c r="Q15202" s="99"/>
      <c r="R15202" s="99"/>
    </row>
    <row r="15203" spans="5:18" s="65" customFormat="1">
      <c r="E15203" s="130"/>
      <c r="P15203" s="99"/>
      <c r="Q15203" s="99"/>
      <c r="R15203" s="99"/>
    </row>
    <row r="15204" spans="5:18" s="65" customFormat="1">
      <c r="E15204" s="130"/>
      <c r="P15204" s="99"/>
      <c r="Q15204" s="99"/>
      <c r="R15204" s="99"/>
    </row>
    <row r="15205" spans="5:18" s="65" customFormat="1">
      <c r="E15205" s="130"/>
      <c r="P15205" s="99"/>
      <c r="Q15205" s="99"/>
      <c r="R15205" s="99"/>
    </row>
    <row r="15206" spans="5:18" s="65" customFormat="1">
      <c r="E15206" s="130"/>
      <c r="P15206" s="99"/>
      <c r="Q15206" s="99"/>
      <c r="R15206" s="99"/>
    </row>
    <row r="15207" spans="5:18" s="65" customFormat="1">
      <c r="E15207" s="130"/>
      <c r="P15207" s="99"/>
      <c r="Q15207" s="99"/>
      <c r="R15207" s="99"/>
    </row>
    <row r="15208" spans="5:18" s="65" customFormat="1">
      <c r="E15208" s="130"/>
      <c r="P15208" s="99"/>
      <c r="Q15208" s="99"/>
      <c r="R15208" s="99"/>
    </row>
    <row r="15209" spans="5:18" s="65" customFormat="1">
      <c r="E15209" s="130"/>
      <c r="P15209" s="99"/>
      <c r="Q15209" s="99"/>
      <c r="R15209" s="99"/>
    </row>
    <row r="15210" spans="5:18" s="65" customFormat="1">
      <c r="E15210" s="130"/>
      <c r="P15210" s="99"/>
      <c r="Q15210" s="99"/>
      <c r="R15210" s="99"/>
    </row>
    <row r="15211" spans="5:18" s="65" customFormat="1">
      <c r="E15211" s="130"/>
      <c r="P15211" s="99"/>
      <c r="Q15211" s="99"/>
      <c r="R15211" s="99"/>
    </row>
    <row r="15212" spans="5:18" s="65" customFormat="1">
      <c r="E15212" s="130"/>
      <c r="P15212" s="99"/>
      <c r="Q15212" s="99"/>
      <c r="R15212" s="99"/>
    </row>
    <row r="15213" spans="5:18" s="65" customFormat="1">
      <c r="E15213" s="130"/>
      <c r="P15213" s="99"/>
      <c r="Q15213" s="99"/>
      <c r="R15213" s="99"/>
    </row>
    <row r="15214" spans="5:18" s="65" customFormat="1">
      <c r="E15214" s="130"/>
      <c r="P15214" s="99"/>
      <c r="Q15214" s="99"/>
      <c r="R15214" s="99"/>
    </row>
    <row r="15215" spans="5:18" s="65" customFormat="1">
      <c r="E15215" s="130"/>
      <c r="P15215" s="99"/>
      <c r="Q15215" s="99"/>
      <c r="R15215" s="99"/>
    </row>
    <row r="15216" spans="5:18" s="65" customFormat="1">
      <c r="E15216" s="130"/>
      <c r="P15216" s="99"/>
      <c r="Q15216" s="99"/>
      <c r="R15216" s="99"/>
    </row>
    <row r="15217" spans="5:18" s="65" customFormat="1">
      <c r="E15217" s="130"/>
      <c r="P15217" s="99"/>
      <c r="Q15217" s="99"/>
      <c r="R15217" s="99"/>
    </row>
    <row r="15218" spans="5:18" s="65" customFormat="1">
      <c r="E15218" s="130"/>
      <c r="P15218" s="99"/>
      <c r="Q15218" s="99"/>
      <c r="R15218" s="99"/>
    </row>
    <row r="15219" spans="5:18" s="65" customFormat="1">
      <c r="E15219" s="130"/>
      <c r="P15219" s="99"/>
      <c r="Q15219" s="99"/>
      <c r="R15219" s="99"/>
    </row>
    <row r="15220" spans="5:18" s="65" customFormat="1">
      <c r="E15220" s="130"/>
      <c r="P15220" s="99"/>
      <c r="Q15220" s="99"/>
      <c r="R15220" s="99"/>
    </row>
    <row r="15221" spans="5:18" s="65" customFormat="1">
      <c r="E15221" s="130"/>
      <c r="P15221" s="99"/>
      <c r="Q15221" s="99"/>
      <c r="R15221" s="99"/>
    </row>
    <row r="15222" spans="5:18" s="65" customFormat="1">
      <c r="E15222" s="130"/>
      <c r="P15222" s="99"/>
      <c r="Q15222" s="99"/>
      <c r="R15222" s="99"/>
    </row>
    <row r="15223" spans="5:18" s="65" customFormat="1">
      <c r="E15223" s="130"/>
      <c r="P15223" s="99"/>
      <c r="Q15223" s="99"/>
      <c r="R15223" s="99"/>
    </row>
    <row r="15224" spans="5:18" s="65" customFormat="1">
      <c r="E15224" s="130"/>
      <c r="P15224" s="99"/>
      <c r="Q15224" s="99"/>
      <c r="R15224" s="99"/>
    </row>
    <row r="15225" spans="5:18" s="65" customFormat="1">
      <c r="E15225" s="130"/>
      <c r="P15225" s="99"/>
      <c r="Q15225" s="99"/>
      <c r="R15225" s="99"/>
    </row>
    <row r="15226" spans="5:18" s="65" customFormat="1">
      <c r="E15226" s="130"/>
      <c r="P15226" s="99"/>
      <c r="Q15226" s="99"/>
      <c r="R15226" s="99"/>
    </row>
    <row r="15227" spans="5:18" s="65" customFormat="1">
      <c r="E15227" s="130"/>
      <c r="P15227" s="99"/>
      <c r="Q15227" s="99"/>
      <c r="R15227" s="99"/>
    </row>
    <row r="15228" spans="5:18" s="65" customFormat="1">
      <c r="E15228" s="130"/>
      <c r="P15228" s="99"/>
      <c r="Q15228" s="99"/>
      <c r="R15228" s="99"/>
    </row>
    <row r="15229" spans="5:18" s="65" customFormat="1">
      <c r="E15229" s="130"/>
      <c r="P15229" s="99"/>
      <c r="Q15229" s="99"/>
      <c r="R15229" s="99"/>
    </row>
    <row r="15230" spans="5:18" s="65" customFormat="1">
      <c r="E15230" s="130"/>
      <c r="P15230" s="99"/>
      <c r="Q15230" s="99"/>
      <c r="R15230" s="99"/>
    </row>
    <row r="15231" spans="5:18" s="65" customFormat="1">
      <c r="E15231" s="130"/>
      <c r="P15231" s="99"/>
      <c r="Q15231" s="99"/>
      <c r="R15231" s="99"/>
    </row>
    <row r="15232" spans="5:18" s="65" customFormat="1">
      <c r="E15232" s="130"/>
      <c r="P15232" s="99"/>
      <c r="Q15232" s="99"/>
      <c r="R15232" s="99"/>
    </row>
    <row r="15233" spans="5:18" s="65" customFormat="1">
      <c r="E15233" s="130"/>
      <c r="P15233" s="99"/>
      <c r="Q15233" s="99"/>
      <c r="R15233" s="99"/>
    </row>
    <row r="15234" spans="5:18" s="65" customFormat="1">
      <c r="E15234" s="130"/>
      <c r="P15234" s="99"/>
      <c r="Q15234" s="99"/>
      <c r="R15234" s="99"/>
    </row>
    <row r="15235" spans="5:18" s="65" customFormat="1">
      <c r="E15235" s="130"/>
      <c r="P15235" s="99"/>
      <c r="Q15235" s="99"/>
      <c r="R15235" s="99"/>
    </row>
    <row r="15236" spans="5:18" s="65" customFormat="1">
      <c r="E15236" s="130"/>
      <c r="P15236" s="99"/>
      <c r="Q15236" s="99"/>
      <c r="R15236" s="99"/>
    </row>
    <row r="15237" spans="5:18" s="65" customFormat="1">
      <c r="E15237" s="130"/>
      <c r="P15237" s="99"/>
      <c r="Q15237" s="99"/>
      <c r="R15237" s="99"/>
    </row>
    <row r="15238" spans="5:18" s="65" customFormat="1">
      <c r="E15238" s="130"/>
      <c r="P15238" s="99"/>
      <c r="Q15238" s="99"/>
      <c r="R15238" s="99"/>
    </row>
    <row r="15239" spans="5:18" s="65" customFormat="1">
      <c r="E15239" s="130"/>
      <c r="P15239" s="99"/>
      <c r="Q15239" s="99"/>
      <c r="R15239" s="99"/>
    </row>
    <row r="15240" spans="5:18" s="65" customFormat="1">
      <c r="E15240" s="130"/>
      <c r="P15240" s="99"/>
      <c r="Q15240" s="99"/>
      <c r="R15240" s="99"/>
    </row>
    <row r="15241" spans="5:18" s="65" customFormat="1">
      <c r="E15241" s="130"/>
      <c r="P15241" s="99"/>
      <c r="Q15241" s="99"/>
      <c r="R15241" s="99"/>
    </row>
    <row r="15242" spans="5:18" s="65" customFormat="1">
      <c r="E15242" s="130"/>
      <c r="P15242" s="99"/>
      <c r="Q15242" s="99"/>
      <c r="R15242" s="99"/>
    </row>
    <row r="15243" spans="5:18" s="65" customFormat="1">
      <c r="E15243" s="130"/>
      <c r="P15243" s="99"/>
      <c r="Q15243" s="99"/>
      <c r="R15243" s="99"/>
    </row>
    <row r="15244" spans="5:18" s="65" customFormat="1">
      <c r="E15244" s="130"/>
      <c r="P15244" s="99"/>
      <c r="Q15244" s="99"/>
      <c r="R15244" s="99"/>
    </row>
    <row r="15245" spans="5:18" s="65" customFormat="1">
      <c r="E15245" s="130"/>
      <c r="P15245" s="99"/>
      <c r="Q15245" s="99"/>
      <c r="R15245" s="99"/>
    </row>
    <row r="15246" spans="5:18" s="65" customFormat="1">
      <c r="E15246" s="130"/>
      <c r="P15246" s="99"/>
      <c r="Q15246" s="99"/>
      <c r="R15246" s="99"/>
    </row>
    <row r="15247" spans="5:18" s="65" customFormat="1">
      <c r="E15247" s="130"/>
      <c r="P15247" s="99"/>
      <c r="Q15247" s="99"/>
      <c r="R15247" s="99"/>
    </row>
    <row r="15248" spans="5:18" s="65" customFormat="1">
      <c r="E15248" s="130"/>
      <c r="P15248" s="99"/>
      <c r="Q15248" s="99"/>
      <c r="R15248" s="99"/>
    </row>
    <row r="15249" spans="5:18" s="65" customFormat="1">
      <c r="E15249" s="130"/>
      <c r="P15249" s="99"/>
      <c r="Q15249" s="99"/>
      <c r="R15249" s="99"/>
    </row>
    <row r="15250" spans="5:18" s="65" customFormat="1">
      <c r="E15250" s="130"/>
      <c r="P15250" s="99"/>
      <c r="Q15250" s="99"/>
      <c r="R15250" s="99"/>
    </row>
    <row r="15251" spans="5:18" s="65" customFormat="1">
      <c r="E15251" s="130"/>
      <c r="P15251" s="99"/>
      <c r="Q15251" s="99"/>
      <c r="R15251" s="99"/>
    </row>
    <row r="15252" spans="5:18" s="65" customFormat="1">
      <c r="E15252" s="130"/>
      <c r="P15252" s="99"/>
      <c r="Q15252" s="99"/>
      <c r="R15252" s="99"/>
    </row>
    <row r="15253" spans="5:18" s="65" customFormat="1">
      <c r="E15253" s="130"/>
      <c r="P15253" s="99"/>
      <c r="Q15253" s="99"/>
      <c r="R15253" s="99"/>
    </row>
    <row r="15254" spans="5:18" s="65" customFormat="1">
      <c r="E15254" s="130"/>
      <c r="P15254" s="99"/>
      <c r="Q15254" s="99"/>
      <c r="R15254" s="99"/>
    </row>
    <row r="15255" spans="5:18" s="65" customFormat="1">
      <c r="E15255" s="130"/>
      <c r="P15255" s="99"/>
      <c r="Q15255" s="99"/>
      <c r="R15255" s="99"/>
    </row>
    <row r="15256" spans="5:18" s="65" customFormat="1">
      <c r="E15256" s="130"/>
      <c r="P15256" s="99"/>
      <c r="Q15256" s="99"/>
      <c r="R15256" s="99"/>
    </row>
    <row r="15257" spans="5:18" s="65" customFormat="1">
      <c r="E15257" s="130"/>
      <c r="P15257" s="99"/>
      <c r="Q15257" s="99"/>
      <c r="R15257" s="99"/>
    </row>
    <row r="15258" spans="5:18" s="65" customFormat="1">
      <c r="E15258" s="130"/>
      <c r="P15258" s="99"/>
      <c r="Q15258" s="99"/>
      <c r="R15258" s="99"/>
    </row>
    <row r="15259" spans="5:18" s="65" customFormat="1">
      <c r="E15259" s="130"/>
      <c r="P15259" s="99"/>
      <c r="Q15259" s="99"/>
      <c r="R15259" s="99"/>
    </row>
    <row r="15260" spans="5:18" s="65" customFormat="1">
      <c r="E15260" s="130"/>
      <c r="P15260" s="99"/>
      <c r="Q15260" s="99"/>
      <c r="R15260" s="99"/>
    </row>
    <row r="15261" spans="5:18" s="65" customFormat="1">
      <c r="E15261" s="130"/>
      <c r="P15261" s="99"/>
      <c r="Q15261" s="99"/>
      <c r="R15261" s="99"/>
    </row>
    <row r="15262" spans="5:18" s="65" customFormat="1">
      <c r="E15262" s="130"/>
      <c r="P15262" s="99"/>
      <c r="Q15262" s="99"/>
      <c r="R15262" s="99"/>
    </row>
    <row r="15263" spans="5:18" s="65" customFormat="1">
      <c r="E15263" s="130"/>
      <c r="P15263" s="99"/>
      <c r="Q15263" s="99"/>
      <c r="R15263" s="99"/>
    </row>
    <row r="15264" spans="5:18" s="65" customFormat="1">
      <c r="E15264" s="130"/>
      <c r="P15264" s="99"/>
      <c r="Q15264" s="99"/>
      <c r="R15264" s="99"/>
    </row>
    <row r="15265" spans="5:18" s="65" customFormat="1">
      <c r="E15265" s="130"/>
      <c r="P15265" s="99"/>
      <c r="Q15265" s="99"/>
      <c r="R15265" s="99"/>
    </row>
    <row r="15266" spans="5:18" s="65" customFormat="1">
      <c r="E15266" s="130"/>
      <c r="P15266" s="99"/>
      <c r="Q15266" s="99"/>
      <c r="R15266" s="99"/>
    </row>
    <row r="15267" spans="5:18" s="65" customFormat="1">
      <c r="E15267" s="130"/>
      <c r="P15267" s="99"/>
      <c r="Q15267" s="99"/>
      <c r="R15267" s="99"/>
    </row>
    <row r="15268" spans="5:18" s="65" customFormat="1">
      <c r="E15268" s="130"/>
      <c r="P15268" s="99"/>
      <c r="Q15268" s="99"/>
      <c r="R15268" s="99"/>
    </row>
    <row r="15269" spans="5:18" s="65" customFormat="1">
      <c r="E15269" s="130"/>
      <c r="P15269" s="99"/>
      <c r="Q15269" s="99"/>
      <c r="R15269" s="99"/>
    </row>
    <row r="15270" spans="5:18" s="65" customFormat="1">
      <c r="E15270" s="130"/>
      <c r="P15270" s="99"/>
      <c r="Q15270" s="99"/>
      <c r="R15270" s="99"/>
    </row>
    <row r="15271" spans="5:18" s="65" customFormat="1">
      <c r="E15271" s="130"/>
      <c r="P15271" s="99"/>
      <c r="Q15271" s="99"/>
      <c r="R15271" s="99"/>
    </row>
    <row r="15272" spans="5:18" s="65" customFormat="1">
      <c r="E15272" s="130"/>
      <c r="P15272" s="99"/>
      <c r="Q15272" s="99"/>
      <c r="R15272" s="99"/>
    </row>
    <row r="15273" spans="5:18" s="65" customFormat="1">
      <c r="E15273" s="130"/>
      <c r="P15273" s="99"/>
      <c r="Q15273" s="99"/>
      <c r="R15273" s="99"/>
    </row>
    <row r="15274" spans="5:18" s="65" customFormat="1">
      <c r="E15274" s="130"/>
      <c r="P15274" s="99"/>
      <c r="Q15274" s="99"/>
      <c r="R15274" s="99"/>
    </row>
    <row r="15275" spans="5:18" s="65" customFormat="1">
      <c r="E15275" s="130"/>
      <c r="P15275" s="99"/>
      <c r="Q15275" s="99"/>
      <c r="R15275" s="99"/>
    </row>
    <row r="15276" spans="5:18" s="65" customFormat="1">
      <c r="E15276" s="130"/>
      <c r="P15276" s="99"/>
      <c r="Q15276" s="99"/>
      <c r="R15276" s="99"/>
    </row>
    <row r="15277" spans="5:18" s="65" customFormat="1">
      <c r="E15277" s="130"/>
      <c r="P15277" s="99"/>
      <c r="Q15277" s="99"/>
      <c r="R15277" s="99"/>
    </row>
    <row r="15278" spans="5:18" s="65" customFormat="1">
      <c r="E15278" s="130"/>
      <c r="P15278" s="99"/>
      <c r="Q15278" s="99"/>
      <c r="R15278" s="99"/>
    </row>
    <row r="15279" spans="5:18" s="65" customFormat="1">
      <c r="E15279" s="130"/>
      <c r="P15279" s="99"/>
      <c r="Q15279" s="99"/>
      <c r="R15279" s="99"/>
    </row>
    <row r="15280" spans="5:18" s="65" customFormat="1">
      <c r="E15280" s="130"/>
      <c r="P15280" s="99"/>
      <c r="Q15280" s="99"/>
      <c r="R15280" s="99"/>
    </row>
    <row r="15281" spans="5:18" s="65" customFormat="1">
      <c r="E15281" s="130"/>
      <c r="P15281" s="99"/>
      <c r="Q15281" s="99"/>
      <c r="R15281" s="99"/>
    </row>
    <row r="15282" spans="5:18" s="65" customFormat="1">
      <c r="E15282" s="130"/>
      <c r="P15282" s="99"/>
      <c r="Q15282" s="99"/>
      <c r="R15282" s="99"/>
    </row>
    <row r="15283" spans="5:18" s="65" customFormat="1">
      <c r="E15283" s="130"/>
      <c r="P15283" s="99"/>
      <c r="Q15283" s="99"/>
      <c r="R15283" s="99"/>
    </row>
    <row r="15284" spans="5:18" s="65" customFormat="1">
      <c r="E15284" s="130"/>
      <c r="P15284" s="99"/>
      <c r="Q15284" s="99"/>
      <c r="R15284" s="99"/>
    </row>
    <row r="15285" spans="5:18" s="65" customFormat="1">
      <c r="E15285" s="130"/>
      <c r="P15285" s="99"/>
      <c r="Q15285" s="99"/>
      <c r="R15285" s="99"/>
    </row>
    <row r="15286" spans="5:18" s="65" customFormat="1">
      <c r="E15286" s="130"/>
      <c r="P15286" s="99"/>
      <c r="Q15286" s="99"/>
      <c r="R15286" s="99"/>
    </row>
    <row r="15287" spans="5:18" s="65" customFormat="1">
      <c r="E15287" s="130"/>
      <c r="P15287" s="99"/>
      <c r="Q15287" s="99"/>
      <c r="R15287" s="99"/>
    </row>
    <row r="15288" spans="5:18" s="65" customFormat="1">
      <c r="E15288" s="130"/>
      <c r="P15288" s="99"/>
      <c r="Q15288" s="99"/>
      <c r="R15288" s="99"/>
    </row>
    <row r="15289" spans="5:18" s="65" customFormat="1">
      <c r="E15289" s="130"/>
      <c r="P15289" s="99"/>
      <c r="Q15289" s="99"/>
      <c r="R15289" s="99"/>
    </row>
    <row r="15290" spans="5:18" s="65" customFormat="1">
      <c r="E15290" s="130"/>
      <c r="P15290" s="99"/>
      <c r="Q15290" s="99"/>
      <c r="R15290" s="99"/>
    </row>
    <row r="15291" spans="5:18" s="65" customFormat="1">
      <c r="E15291" s="130"/>
      <c r="P15291" s="99"/>
      <c r="Q15291" s="99"/>
      <c r="R15291" s="99"/>
    </row>
    <row r="15292" spans="5:18" s="65" customFormat="1">
      <c r="E15292" s="130"/>
      <c r="P15292" s="99"/>
      <c r="Q15292" s="99"/>
      <c r="R15292" s="99"/>
    </row>
    <row r="15293" spans="5:18" s="65" customFormat="1">
      <c r="E15293" s="130"/>
      <c r="P15293" s="99"/>
      <c r="Q15293" s="99"/>
      <c r="R15293" s="99"/>
    </row>
    <row r="15294" spans="5:18" s="65" customFormat="1">
      <c r="E15294" s="130"/>
      <c r="P15294" s="99"/>
      <c r="Q15294" s="99"/>
      <c r="R15294" s="99"/>
    </row>
    <row r="15295" spans="5:18" s="65" customFormat="1">
      <c r="E15295" s="130"/>
      <c r="P15295" s="99"/>
      <c r="Q15295" s="99"/>
      <c r="R15295" s="99"/>
    </row>
    <row r="15296" spans="5:18" s="65" customFormat="1">
      <c r="E15296" s="130"/>
      <c r="P15296" s="99"/>
      <c r="Q15296" s="99"/>
      <c r="R15296" s="99"/>
    </row>
    <row r="15297" spans="5:18" s="65" customFormat="1">
      <c r="E15297" s="130"/>
      <c r="P15297" s="99"/>
      <c r="Q15297" s="99"/>
      <c r="R15297" s="99"/>
    </row>
    <row r="15298" spans="5:18" s="65" customFormat="1">
      <c r="E15298" s="130"/>
      <c r="P15298" s="99"/>
      <c r="Q15298" s="99"/>
      <c r="R15298" s="99"/>
    </row>
    <row r="15299" spans="5:18" s="65" customFormat="1">
      <c r="E15299" s="130"/>
      <c r="P15299" s="99"/>
      <c r="Q15299" s="99"/>
      <c r="R15299" s="99"/>
    </row>
    <row r="15300" spans="5:18" s="65" customFormat="1">
      <c r="E15300" s="130"/>
      <c r="P15300" s="99"/>
      <c r="Q15300" s="99"/>
      <c r="R15300" s="99"/>
    </row>
    <row r="15301" spans="5:18" s="65" customFormat="1">
      <c r="E15301" s="130"/>
      <c r="P15301" s="99"/>
      <c r="Q15301" s="99"/>
      <c r="R15301" s="99"/>
    </row>
    <row r="15302" spans="5:18" s="65" customFormat="1">
      <c r="E15302" s="130"/>
      <c r="P15302" s="99"/>
      <c r="Q15302" s="99"/>
      <c r="R15302" s="99"/>
    </row>
    <row r="15303" spans="5:18" s="65" customFormat="1">
      <c r="E15303" s="130"/>
      <c r="P15303" s="99"/>
      <c r="Q15303" s="99"/>
      <c r="R15303" s="99"/>
    </row>
    <row r="15304" spans="5:18" s="65" customFormat="1">
      <c r="E15304" s="130"/>
      <c r="P15304" s="99"/>
      <c r="Q15304" s="99"/>
      <c r="R15304" s="99"/>
    </row>
    <row r="15305" spans="5:18" s="65" customFormat="1">
      <c r="E15305" s="130"/>
      <c r="P15305" s="99"/>
      <c r="Q15305" s="99"/>
      <c r="R15305" s="99"/>
    </row>
    <row r="15306" spans="5:18" s="65" customFormat="1">
      <c r="E15306" s="130"/>
      <c r="P15306" s="99"/>
      <c r="Q15306" s="99"/>
      <c r="R15306" s="99"/>
    </row>
    <row r="15307" spans="5:18" s="65" customFormat="1">
      <c r="E15307" s="130"/>
      <c r="P15307" s="99"/>
      <c r="Q15307" s="99"/>
      <c r="R15307" s="99"/>
    </row>
    <row r="15308" spans="5:18" s="65" customFormat="1">
      <c r="E15308" s="130"/>
      <c r="P15308" s="99"/>
      <c r="Q15308" s="99"/>
      <c r="R15308" s="99"/>
    </row>
    <row r="15309" spans="5:18" s="65" customFormat="1">
      <c r="E15309" s="130"/>
      <c r="P15309" s="99"/>
      <c r="Q15309" s="99"/>
      <c r="R15309" s="99"/>
    </row>
    <row r="15310" spans="5:18" s="65" customFormat="1">
      <c r="E15310" s="130"/>
      <c r="P15310" s="99"/>
      <c r="Q15310" s="99"/>
      <c r="R15310" s="99"/>
    </row>
    <row r="15311" spans="5:18" s="65" customFormat="1">
      <c r="E15311" s="130"/>
      <c r="P15311" s="99"/>
      <c r="Q15311" s="99"/>
      <c r="R15311" s="99"/>
    </row>
    <row r="15312" spans="5:18" s="65" customFormat="1">
      <c r="E15312" s="130"/>
      <c r="P15312" s="99"/>
      <c r="Q15312" s="99"/>
      <c r="R15312" s="99"/>
    </row>
    <row r="15313" spans="5:18" s="65" customFormat="1">
      <c r="E15313" s="130"/>
      <c r="P15313" s="99"/>
      <c r="Q15313" s="99"/>
      <c r="R15313" s="99"/>
    </row>
    <row r="15314" spans="5:18" s="65" customFormat="1">
      <c r="E15314" s="130"/>
      <c r="P15314" s="99"/>
      <c r="Q15314" s="99"/>
      <c r="R15314" s="99"/>
    </row>
    <row r="15315" spans="5:18" s="65" customFormat="1">
      <c r="E15315" s="130"/>
      <c r="P15315" s="99"/>
      <c r="Q15315" s="99"/>
      <c r="R15315" s="99"/>
    </row>
    <row r="15316" spans="5:18" s="65" customFormat="1">
      <c r="E15316" s="130"/>
      <c r="P15316" s="99"/>
      <c r="Q15316" s="99"/>
      <c r="R15316" s="99"/>
    </row>
    <row r="15317" spans="5:18" s="65" customFormat="1">
      <c r="E15317" s="130"/>
      <c r="P15317" s="99"/>
      <c r="Q15317" s="99"/>
      <c r="R15317" s="99"/>
    </row>
    <row r="15318" spans="5:18" s="65" customFormat="1">
      <c r="E15318" s="130"/>
      <c r="P15318" s="99"/>
      <c r="Q15318" s="99"/>
      <c r="R15318" s="99"/>
    </row>
    <row r="15319" spans="5:18" s="65" customFormat="1">
      <c r="E15319" s="130"/>
      <c r="P15319" s="99"/>
      <c r="Q15319" s="99"/>
      <c r="R15319" s="99"/>
    </row>
    <row r="15320" spans="5:18" s="65" customFormat="1">
      <c r="E15320" s="130"/>
      <c r="P15320" s="99"/>
      <c r="Q15320" s="99"/>
      <c r="R15320" s="99"/>
    </row>
    <row r="15321" spans="5:18" s="65" customFormat="1">
      <c r="E15321" s="130"/>
      <c r="P15321" s="99"/>
      <c r="Q15321" s="99"/>
      <c r="R15321" s="99"/>
    </row>
    <row r="15322" spans="5:18" s="65" customFormat="1">
      <c r="E15322" s="130"/>
      <c r="P15322" s="99"/>
      <c r="Q15322" s="99"/>
      <c r="R15322" s="99"/>
    </row>
    <row r="15323" spans="5:18" s="65" customFormat="1">
      <c r="E15323" s="130"/>
      <c r="P15323" s="99"/>
      <c r="Q15323" s="99"/>
      <c r="R15323" s="99"/>
    </row>
    <row r="15324" spans="5:18" s="65" customFormat="1">
      <c r="E15324" s="130"/>
      <c r="P15324" s="99"/>
      <c r="Q15324" s="99"/>
      <c r="R15324" s="99"/>
    </row>
    <row r="15325" spans="5:18" s="65" customFormat="1">
      <c r="E15325" s="130"/>
      <c r="P15325" s="99"/>
      <c r="Q15325" s="99"/>
      <c r="R15325" s="99"/>
    </row>
    <row r="15326" spans="5:18" s="65" customFormat="1">
      <c r="E15326" s="130"/>
      <c r="P15326" s="99"/>
      <c r="Q15326" s="99"/>
      <c r="R15326" s="99"/>
    </row>
    <row r="15327" spans="5:18" s="65" customFormat="1">
      <c r="E15327" s="130"/>
      <c r="P15327" s="99"/>
      <c r="Q15327" s="99"/>
      <c r="R15327" s="99"/>
    </row>
    <row r="15328" spans="5:18" s="65" customFormat="1">
      <c r="E15328" s="130"/>
      <c r="P15328" s="99"/>
      <c r="Q15328" s="99"/>
      <c r="R15328" s="99"/>
    </row>
    <row r="15329" spans="5:18" s="65" customFormat="1">
      <c r="E15329" s="130"/>
      <c r="P15329" s="99"/>
      <c r="Q15329" s="99"/>
      <c r="R15329" s="99"/>
    </row>
    <row r="15330" spans="5:18" s="65" customFormat="1">
      <c r="E15330" s="130"/>
      <c r="P15330" s="99"/>
      <c r="Q15330" s="99"/>
      <c r="R15330" s="99"/>
    </row>
    <row r="15331" spans="5:18" s="65" customFormat="1">
      <c r="E15331" s="130"/>
      <c r="P15331" s="99"/>
      <c r="Q15331" s="99"/>
      <c r="R15331" s="99"/>
    </row>
    <row r="15332" spans="5:18" s="65" customFormat="1">
      <c r="E15332" s="130"/>
      <c r="P15332" s="99"/>
      <c r="Q15332" s="99"/>
      <c r="R15332" s="99"/>
    </row>
    <row r="15333" spans="5:18" s="65" customFormat="1">
      <c r="E15333" s="130"/>
      <c r="P15333" s="99"/>
      <c r="Q15333" s="99"/>
      <c r="R15333" s="99"/>
    </row>
    <row r="15334" spans="5:18" s="65" customFormat="1">
      <c r="E15334" s="130"/>
      <c r="P15334" s="99"/>
      <c r="Q15334" s="99"/>
      <c r="R15334" s="99"/>
    </row>
    <row r="15335" spans="5:18" s="65" customFormat="1">
      <c r="E15335" s="130"/>
      <c r="P15335" s="99"/>
      <c r="Q15335" s="99"/>
      <c r="R15335" s="99"/>
    </row>
    <row r="15336" spans="5:18" s="65" customFormat="1">
      <c r="E15336" s="130"/>
      <c r="P15336" s="99"/>
      <c r="Q15336" s="99"/>
      <c r="R15336" s="99"/>
    </row>
    <row r="15337" spans="5:18" s="65" customFormat="1">
      <c r="E15337" s="130"/>
      <c r="P15337" s="99"/>
      <c r="Q15337" s="99"/>
      <c r="R15337" s="99"/>
    </row>
    <row r="15338" spans="5:18" s="65" customFormat="1">
      <c r="E15338" s="130"/>
      <c r="P15338" s="99"/>
      <c r="Q15338" s="99"/>
      <c r="R15338" s="99"/>
    </row>
    <row r="15339" spans="5:18" s="65" customFormat="1">
      <c r="E15339" s="130"/>
      <c r="P15339" s="99"/>
      <c r="Q15339" s="99"/>
      <c r="R15339" s="99"/>
    </row>
    <row r="15340" spans="5:18" s="65" customFormat="1">
      <c r="E15340" s="130"/>
      <c r="P15340" s="99"/>
      <c r="Q15340" s="99"/>
      <c r="R15340" s="99"/>
    </row>
    <row r="15341" spans="5:18" s="65" customFormat="1">
      <c r="E15341" s="130"/>
      <c r="P15341" s="99"/>
      <c r="Q15341" s="99"/>
      <c r="R15341" s="99"/>
    </row>
    <row r="15342" spans="5:18" s="65" customFormat="1">
      <c r="E15342" s="130"/>
      <c r="P15342" s="99"/>
      <c r="Q15342" s="99"/>
      <c r="R15342" s="99"/>
    </row>
    <row r="15343" spans="5:18" s="65" customFormat="1">
      <c r="E15343" s="130"/>
      <c r="P15343" s="99"/>
      <c r="Q15343" s="99"/>
      <c r="R15343" s="99"/>
    </row>
    <row r="15344" spans="5:18" s="65" customFormat="1">
      <c r="E15344" s="130"/>
      <c r="P15344" s="99"/>
      <c r="Q15344" s="99"/>
      <c r="R15344" s="99"/>
    </row>
    <row r="15345" spans="5:18" s="65" customFormat="1">
      <c r="E15345" s="130"/>
      <c r="P15345" s="99"/>
      <c r="Q15345" s="99"/>
      <c r="R15345" s="99"/>
    </row>
    <row r="15346" spans="5:18" s="65" customFormat="1">
      <c r="E15346" s="130"/>
      <c r="P15346" s="99"/>
      <c r="Q15346" s="99"/>
      <c r="R15346" s="99"/>
    </row>
    <row r="15347" spans="5:18" s="65" customFormat="1">
      <c r="E15347" s="130"/>
      <c r="P15347" s="99"/>
      <c r="Q15347" s="99"/>
      <c r="R15347" s="99"/>
    </row>
    <row r="15348" spans="5:18" s="65" customFormat="1">
      <c r="E15348" s="130"/>
      <c r="P15348" s="99"/>
      <c r="Q15348" s="99"/>
      <c r="R15348" s="99"/>
    </row>
    <row r="15349" spans="5:18" s="65" customFormat="1">
      <c r="E15349" s="130"/>
      <c r="P15349" s="99"/>
      <c r="Q15349" s="99"/>
      <c r="R15349" s="99"/>
    </row>
    <row r="15350" spans="5:18" s="65" customFormat="1">
      <c r="E15350" s="130"/>
      <c r="P15350" s="99"/>
      <c r="Q15350" s="99"/>
      <c r="R15350" s="99"/>
    </row>
    <row r="15351" spans="5:18" s="65" customFormat="1">
      <c r="E15351" s="130"/>
      <c r="P15351" s="99"/>
      <c r="Q15351" s="99"/>
      <c r="R15351" s="99"/>
    </row>
    <row r="15352" spans="5:18" s="65" customFormat="1">
      <c r="E15352" s="130"/>
      <c r="P15352" s="99"/>
      <c r="Q15352" s="99"/>
      <c r="R15352" s="99"/>
    </row>
    <row r="15353" spans="5:18" s="65" customFormat="1">
      <c r="E15353" s="130"/>
      <c r="P15353" s="99"/>
      <c r="Q15353" s="99"/>
      <c r="R15353" s="99"/>
    </row>
    <row r="15354" spans="5:18" s="65" customFormat="1">
      <c r="E15354" s="130"/>
      <c r="P15354" s="99"/>
      <c r="Q15354" s="99"/>
      <c r="R15354" s="99"/>
    </row>
    <row r="15355" spans="5:18" s="65" customFormat="1">
      <c r="E15355" s="130"/>
      <c r="P15355" s="99"/>
      <c r="Q15355" s="99"/>
      <c r="R15355" s="99"/>
    </row>
    <row r="15356" spans="5:18" s="65" customFormat="1">
      <c r="E15356" s="130"/>
      <c r="P15356" s="99"/>
      <c r="Q15356" s="99"/>
      <c r="R15356" s="99"/>
    </row>
    <row r="15357" spans="5:18" s="65" customFormat="1">
      <c r="E15357" s="130"/>
      <c r="P15357" s="99"/>
      <c r="Q15357" s="99"/>
      <c r="R15357" s="99"/>
    </row>
    <row r="15358" spans="5:18" s="65" customFormat="1">
      <c r="E15358" s="130"/>
      <c r="P15358" s="99"/>
      <c r="Q15358" s="99"/>
      <c r="R15358" s="99"/>
    </row>
    <row r="15359" spans="5:18" s="65" customFormat="1">
      <c r="E15359" s="130"/>
      <c r="P15359" s="99"/>
      <c r="Q15359" s="99"/>
      <c r="R15359" s="99"/>
    </row>
    <row r="15360" spans="5:18" s="65" customFormat="1">
      <c r="E15360" s="130"/>
      <c r="P15360" s="99"/>
      <c r="Q15360" s="99"/>
      <c r="R15360" s="99"/>
    </row>
    <row r="15361" spans="5:18" s="65" customFormat="1">
      <c r="E15361" s="130"/>
      <c r="P15361" s="99"/>
      <c r="Q15361" s="99"/>
      <c r="R15361" s="99"/>
    </row>
    <row r="15362" spans="5:18" s="65" customFormat="1">
      <c r="E15362" s="130"/>
      <c r="P15362" s="99"/>
      <c r="Q15362" s="99"/>
      <c r="R15362" s="99"/>
    </row>
    <row r="15363" spans="5:18" s="65" customFormat="1">
      <c r="E15363" s="130"/>
      <c r="P15363" s="99"/>
      <c r="Q15363" s="99"/>
      <c r="R15363" s="99"/>
    </row>
    <row r="15364" spans="5:18" s="65" customFormat="1">
      <c r="E15364" s="130"/>
      <c r="P15364" s="99"/>
      <c r="Q15364" s="99"/>
      <c r="R15364" s="99"/>
    </row>
    <row r="15365" spans="5:18" s="65" customFormat="1">
      <c r="E15365" s="130"/>
      <c r="P15365" s="99"/>
      <c r="Q15365" s="99"/>
      <c r="R15365" s="99"/>
    </row>
    <row r="15366" spans="5:18" s="65" customFormat="1">
      <c r="E15366" s="130"/>
      <c r="P15366" s="99"/>
      <c r="Q15366" s="99"/>
      <c r="R15366" s="99"/>
    </row>
    <row r="15367" spans="5:18" s="65" customFormat="1">
      <c r="E15367" s="130"/>
      <c r="P15367" s="99"/>
      <c r="Q15367" s="99"/>
      <c r="R15367" s="99"/>
    </row>
    <row r="15368" spans="5:18" s="65" customFormat="1">
      <c r="E15368" s="130"/>
      <c r="P15368" s="99"/>
      <c r="Q15368" s="99"/>
      <c r="R15368" s="99"/>
    </row>
    <row r="15369" spans="5:18" s="65" customFormat="1">
      <c r="E15369" s="130"/>
      <c r="P15369" s="99"/>
      <c r="Q15369" s="99"/>
      <c r="R15369" s="99"/>
    </row>
    <row r="15370" spans="5:18" s="65" customFormat="1">
      <c r="E15370" s="130"/>
      <c r="P15370" s="99"/>
      <c r="Q15370" s="99"/>
      <c r="R15370" s="99"/>
    </row>
    <row r="15371" spans="5:18" s="65" customFormat="1">
      <c r="E15371" s="130"/>
      <c r="P15371" s="99"/>
      <c r="Q15371" s="99"/>
      <c r="R15371" s="99"/>
    </row>
    <row r="15372" spans="5:18" s="65" customFormat="1">
      <c r="E15372" s="130"/>
      <c r="P15372" s="99"/>
      <c r="Q15372" s="99"/>
      <c r="R15372" s="99"/>
    </row>
    <row r="15373" spans="5:18" s="65" customFormat="1">
      <c r="E15373" s="130"/>
      <c r="P15373" s="99"/>
      <c r="Q15373" s="99"/>
      <c r="R15373" s="99"/>
    </row>
    <row r="15374" spans="5:18" s="65" customFormat="1">
      <c r="E15374" s="130"/>
      <c r="P15374" s="99"/>
      <c r="Q15374" s="99"/>
      <c r="R15374" s="99"/>
    </row>
    <row r="15375" spans="5:18" s="65" customFormat="1">
      <c r="E15375" s="130"/>
      <c r="P15375" s="99"/>
      <c r="Q15375" s="99"/>
      <c r="R15375" s="99"/>
    </row>
    <row r="15376" spans="5:18" s="65" customFormat="1">
      <c r="E15376" s="130"/>
      <c r="P15376" s="99"/>
      <c r="Q15376" s="99"/>
      <c r="R15376" s="99"/>
    </row>
    <row r="15377" spans="5:18" s="65" customFormat="1">
      <c r="E15377" s="130"/>
      <c r="P15377" s="99"/>
      <c r="Q15377" s="99"/>
      <c r="R15377" s="99"/>
    </row>
    <row r="15378" spans="5:18" s="65" customFormat="1">
      <c r="E15378" s="130"/>
      <c r="P15378" s="99"/>
      <c r="Q15378" s="99"/>
      <c r="R15378" s="99"/>
    </row>
    <row r="15379" spans="5:18" s="65" customFormat="1">
      <c r="E15379" s="130"/>
      <c r="P15379" s="99"/>
      <c r="Q15379" s="99"/>
      <c r="R15379" s="99"/>
    </row>
    <row r="15380" spans="5:18" s="65" customFormat="1">
      <c r="E15380" s="130"/>
      <c r="P15380" s="99"/>
      <c r="Q15380" s="99"/>
      <c r="R15380" s="99"/>
    </row>
    <row r="15381" spans="5:18" s="65" customFormat="1">
      <c r="E15381" s="130"/>
      <c r="P15381" s="99"/>
      <c r="Q15381" s="99"/>
      <c r="R15381" s="99"/>
    </row>
    <row r="15382" spans="5:18" s="65" customFormat="1">
      <c r="E15382" s="130"/>
      <c r="P15382" s="99"/>
      <c r="Q15382" s="99"/>
      <c r="R15382" s="99"/>
    </row>
    <row r="15383" spans="5:18" s="65" customFormat="1">
      <c r="E15383" s="130"/>
      <c r="P15383" s="99"/>
      <c r="Q15383" s="99"/>
      <c r="R15383" s="99"/>
    </row>
    <row r="15384" spans="5:18" s="65" customFormat="1">
      <c r="E15384" s="130"/>
      <c r="P15384" s="99"/>
      <c r="Q15384" s="99"/>
      <c r="R15384" s="99"/>
    </row>
    <row r="15385" spans="5:18" s="65" customFormat="1">
      <c r="E15385" s="130"/>
      <c r="P15385" s="99"/>
      <c r="Q15385" s="99"/>
      <c r="R15385" s="99"/>
    </row>
    <row r="15386" spans="5:18" s="65" customFormat="1">
      <c r="E15386" s="130"/>
      <c r="P15386" s="99"/>
      <c r="Q15386" s="99"/>
      <c r="R15386" s="99"/>
    </row>
    <row r="15387" spans="5:18" s="65" customFormat="1">
      <c r="E15387" s="130"/>
      <c r="P15387" s="99"/>
      <c r="Q15387" s="99"/>
      <c r="R15387" s="99"/>
    </row>
    <row r="15388" spans="5:18" s="65" customFormat="1">
      <c r="E15388" s="130"/>
      <c r="P15388" s="99"/>
      <c r="Q15388" s="99"/>
      <c r="R15388" s="99"/>
    </row>
    <row r="15389" spans="5:18" s="65" customFormat="1">
      <c r="E15389" s="130"/>
      <c r="P15389" s="99"/>
      <c r="Q15389" s="99"/>
      <c r="R15389" s="99"/>
    </row>
    <row r="15390" spans="5:18" s="65" customFormat="1">
      <c r="E15390" s="130"/>
      <c r="P15390" s="99"/>
      <c r="Q15390" s="99"/>
      <c r="R15390" s="99"/>
    </row>
    <row r="15391" spans="5:18" s="65" customFormat="1">
      <c r="E15391" s="130"/>
      <c r="P15391" s="99"/>
      <c r="Q15391" s="99"/>
      <c r="R15391" s="99"/>
    </row>
    <row r="15392" spans="5:18" s="65" customFormat="1">
      <c r="E15392" s="130"/>
      <c r="P15392" s="99"/>
      <c r="Q15392" s="99"/>
      <c r="R15392" s="99"/>
    </row>
    <row r="15393" spans="5:18" s="65" customFormat="1">
      <c r="E15393" s="130"/>
      <c r="P15393" s="99"/>
      <c r="Q15393" s="99"/>
      <c r="R15393" s="99"/>
    </row>
    <row r="15394" spans="5:18" s="65" customFormat="1">
      <c r="E15394" s="130"/>
      <c r="P15394" s="99"/>
      <c r="Q15394" s="99"/>
      <c r="R15394" s="99"/>
    </row>
    <row r="15395" spans="5:18" s="65" customFormat="1">
      <c r="E15395" s="130"/>
      <c r="P15395" s="99"/>
      <c r="Q15395" s="99"/>
      <c r="R15395" s="99"/>
    </row>
    <row r="15396" spans="5:18" s="65" customFormat="1">
      <c r="E15396" s="130"/>
      <c r="P15396" s="99"/>
      <c r="Q15396" s="99"/>
      <c r="R15396" s="99"/>
    </row>
    <row r="15397" spans="5:18" s="65" customFormat="1">
      <c r="E15397" s="130"/>
      <c r="P15397" s="99"/>
      <c r="Q15397" s="99"/>
      <c r="R15397" s="99"/>
    </row>
    <row r="15398" spans="5:18" s="65" customFormat="1">
      <c r="E15398" s="130"/>
      <c r="P15398" s="99"/>
      <c r="Q15398" s="99"/>
      <c r="R15398" s="99"/>
    </row>
    <row r="15399" spans="5:18" s="65" customFormat="1">
      <c r="E15399" s="130"/>
      <c r="P15399" s="99"/>
      <c r="Q15399" s="99"/>
      <c r="R15399" s="99"/>
    </row>
    <row r="15400" spans="5:18" s="65" customFormat="1">
      <c r="E15400" s="130"/>
      <c r="P15400" s="99"/>
      <c r="Q15400" s="99"/>
      <c r="R15400" s="99"/>
    </row>
    <row r="15401" spans="5:18" s="65" customFormat="1">
      <c r="E15401" s="130"/>
      <c r="P15401" s="99"/>
      <c r="Q15401" s="99"/>
      <c r="R15401" s="99"/>
    </row>
    <row r="15402" spans="5:18" s="65" customFormat="1">
      <c r="E15402" s="130"/>
      <c r="P15402" s="99"/>
      <c r="Q15402" s="99"/>
      <c r="R15402" s="99"/>
    </row>
    <row r="15403" spans="5:18" s="65" customFormat="1">
      <c r="E15403" s="130"/>
      <c r="P15403" s="99"/>
      <c r="Q15403" s="99"/>
      <c r="R15403" s="99"/>
    </row>
    <row r="15404" spans="5:18" s="65" customFormat="1">
      <c r="E15404" s="130"/>
      <c r="P15404" s="99"/>
      <c r="Q15404" s="99"/>
      <c r="R15404" s="99"/>
    </row>
    <row r="15405" spans="5:18" s="65" customFormat="1">
      <c r="E15405" s="130"/>
      <c r="P15405" s="99"/>
      <c r="Q15405" s="99"/>
      <c r="R15405" s="99"/>
    </row>
    <row r="15406" spans="5:18" s="65" customFormat="1">
      <c r="E15406" s="130"/>
      <c r="P15406" s="99"/>
      <c r="Q15406" s="99"/>
      <c r="R15406" s="99"/>
    </row>
    <row r="15407" spans="5:18" s="65" customFormat="1">
      <c r="E15407" s="130"/>
      <c r="P15407" s="99"/>
      <c r="Q15407" s="99"/>
      <c r="R15407" s="99"/>
    </row>
    <row r="15408" spans="5:18" s="65" customFormat="1">
      <c r="E15408" s="130"/>
      <c r="P15408" s="99"/>
      <c r="Q15408" s="99"/>
      <c r="R15408" s="99"/>
    </row>
    <row r="15409" spans="5:18" s="65" customFormat="1">
      <c r="E15409" s="130"/>
      <c r="P15409" s="99"/>
      <c r="Q15409" s="99"/>
      <c r="R15409" s="99"/>
    </row>
    <row r="15410" spans="5:18" s="65" customFormat="1">
      <c r="E15410" s="130"/>
      <c r="P15410" s="99"/>
      <c r="Q15410" s="99"/>
      <c r="R15410" s="99"/>
    </row>
    <row r="15411" spans="5:18" s="65" customFormat="1">
      <c r="E15411" s="130"/>
      <c r="P15411" s="99"/>
      <c r="Q15411" s="99"/>
      <c r="R15411" s="99"/>
    </row>
    <row r="15412" spans="5:18" s="65" customFormat="1">
      <c r="E15412" s="130"/>
      <c r="P15412" s="99"/>
      <c r="Q15412" s="99"/>
      <c r="R15412" s="99"/>
    </row>
    <row r="15413" spans="5:18" s="65" customFormat="1">
      <c r="E15413" s="130"/>
      <c r="P15413" s="99"/>
      <c r="Q15413" s="99"/>
      <c r="R15413" s="99"/>
    </row>
    <row r="15414" spans="5:18" s="65" customFormat="1">
      <c r="E15414" s="130"/>
      <c r="P15414" s="99"/>
      <c r="Q15414" s="99"/>
      <c r="R15414" s="99"/>
    </row>
    <row r="15415" spans="5:18" s="65" customFormat="1">
      <c r="E15415" s="130"/>
      <c r="P15415" s="99"/>
      <c r="Q15415" s="99"/>
      <c r="R15415" s="99"/>
    </row>
    <row r="15416" spans="5:18" s="65" customFormat="1">
      <c r="E15416" s="130"/>
      <c r="P15416" s="99"/>
      <c r="Q15416" s="99"/>
      <c r="R15416" s="99"/>
    </row>
    <row r="15417" spans="5:18" s="65" customFormat="1">
      <c r="E15417" s="130"/>
      <c r="P15417" s="99"/>
      <c r="Q15417" s="99"/>
      <c r="R15417" s="99"/>
    </row>
    <row r="15418" spans="5:18" s="65" customFormat="1">
      <c r="E15418" s="130"/>
      <c r="P15418" s="99"/>
      <c r="Q15418" s="99"/>
      <c r="R15418" s="99"/>
    </row>
    <row r="15419" spans="5:18" s="65" customFormat="1">
      <c r="E15419" s="130"/>
      <c r="P15419" s="99"/>
      <c r="Q15419" s="99"/>
      <c r="R15419" s="99"/>
    </row>
    <row r="15420" spans="5:18" s="65" customFormat="1">
      <c r="E15420" s="130"/>
      <c r="P15420" s="99"/>
      <c r="Q15420" s="99"/>
      <c r="R15420" s="99"/>
    </row>
    <row r="15421" spans="5:18" s="65" customFormat="1">
      <c r="E15421" s="130"/>
      <c r="P15421" s="99"/>
      <c r="Q15421" s="99"/>
      <c r="R15421" s="99"/>
    </row>
    <row r="15422" spans="5:18" s="65" customFormat="1">
      <c r="E15422" s="130"/>
      <c r="P15422" s="99"/>
      <c r="Q15422" s="99"/>
      <c r="R15422" s="99"/>
    </row>
    <row r="15423" spans="5:18" s="65" customFormat="1">
      <c r="E15423" s="130"/>
      <c r="P15423" s="99"/>
      <c r="Q15423" s="99"/>
      <c r="R15423" s="99"/>
    </row>
    <row r="15424" spans="5:18" s="65" customFormat="1">
      <c r="E15424" s="130"/>
      <c r="P15424" s="99"/>
      <c r="Q15424" s="99"/>
      <c r="R15424" s="99"/>
    </row>
    <row r="15425" spans="5:18" s="65" customFormat="1">
      <c r="E15425" s="130"/>
      <c r="P15425" s="99"/>
      <c r="Q15425" s="99"/>
      <c r="R15425" s="99"/>
    </row>
    <row r="15426" spans="5:18" s="65" customFormat="1">
      <c r="E15426" s="130"/>
      <c r="P15426" s="99"/>
      <c r="Q15426" s="99"/>
      <c r="R15426" s="99"/>
    </row>
    <row r="15427" spans="5:18" s="65" customFormat="1">
      <c r="E15427" s="130"/>
      <c r="P15427" s="99"/>
      <c r="Q15427" s="99"/>
      <c r="R15427" s="99"/>
    </row>
    <row r="15428" spans="5:18" s="65" customFormat="1">
      <c r="E15428" s="130"/>
      <c r="P15428" s="99"/>
      <c r="Q15428" s="99"/>
      <c r="R15428" s="99"/>
    </row>
    <row r="15429" spans="5:18" s="65" customFormat="1">
      <c r="E15429" s="130"/>
      <c r="P15429" s="99"/>
      <c r="Q15429" s="99"/>
      <c r="R15429" s="99"/>
    </row>
    <row r="15430" spans="5:18" s="65" customFormat="1">
      <c r="E15430" s="130"/>
      <c r="P15430" s="99"/>
      <c r="Q15430" s="99"/>
      <c r="R15430" s="99"/>
    </row>
    <row r="15431" spans="5:18" s="65" customFormat="1">
      <c r="E15431" s="130"/>
      <c r="P15431" s="99"/>
      <c r="Q15431" s="99"/>
      <c r="R15431" s="99"/>
    </row>
    <row r="15432" spans="5:18" s="65" customFormat="1">
      <c r="E15432" s="130"/>
      <c r="P15432" s="99"/>
      <c r="Q15432" s="99"/>
      <c r="R15432" s="99"/>
    </row>
    <row r="15433" spans="5:18" s="65" customFormat="1">
      <c r="E15433" s="130"/>
      <c r="P15433" s="99"/>
      <c r="Q15433" s="99"/>
      <c r="R15433" s="99"/>
    </row>
    <row r="15434" spans="5:18" s="65" customFormat="1">
      <c r="E15434" s="130"/>
      <c r="P15434" s="99"/>
      <c r="Q15434" s="99"/>
      <c r="R15434" s="99"/>
    </row>
    <row r="15435" spans="5:18" s="65" customFormat="1">
      <c r="E15435" s="130"/>
      <c r="P15435" s="99"/>
      <c r="Q15435" s="99"/>
      <c r="R15435" s="99"/>
    </row>
    <row r="15436" spans="5:18" s="65" customFormat="1">
      <c r="E15436" s="130"/>
      <c r="P15436" s="99"/>
      <c r="Q15436" s="99"/>
      <c r="R15436" s="99"/>
    </row>
    <row r="15437" spans="5:18" s="65" customFormat="1">
      <c r="E15437" s="130"/>
      <c r="P15437" s="99"/>
      <c r="Q15437" s="99"/>
      <c r="R15437" s="99"/>
    </row>
    <row r="15438" spans="5:18" s="65" customFormat="1">
      <c r="E15438" s="130"/>
      <c r="P15438" s="99"/>
      <c r="Q15438" s="99"/>
      <c r="R15438" s="99"/>
    </row>
    <row r="15439" spans="5:18" s="65" customFormat="1">
      <c r="E15439" s="130"/>
      <c r="P15439" s="99"/>
      <c r="Q15439" s="99"/>
      <c r="R15439" s="99"/>
    </row>
    <row r="15440" spans="5:18" s="65" customFormat="1">
      <c r="E15440" s="130"/>
      <c r="P15440" s="99"/>
      <c r="Q15440" s="99"/>
      <c r="R15440" s="99"/>
    </row>
    <row r="15441" spans="5:18" s="65" customFormat="1">
      <c r="E15441" s="130"/>
      <c r="P15441" s="99"/>
      <c r="Q15441" s="99"/>
      <c r="R15441" s="99"/>
    </row>
    <row r="15442" spans="5:18" s="65" customFormat="1">
      <c r="E15442" s="130"/>
      <c r="P15442" s="99"/>
      <c r="Q15442" s="99"/>
      <c r="R15442" s="99"/>
    </row>
    <row r="15443" spans="5:18" s="65" customFormat="1">
      <c r="E15443" s="130"/>
      <c r="P15443" s="99"/>
      <c r="Q15443" s="99"/>
      <c r="R15443" s="99"/>
    </row>
    <row r="15444" spans="5:18" s="65" customFormat="1">
      <c r="E15444" s="130"/>
      <c r="P15444" s="99"/>
      <c r="Q15444" s="99"/>
      <c r="R15444" s="99"/>
    </row>
    <row r="15445" spans="5:18" s="65" customFormat="1">
      <c r="E15445" s="130"/>
      <c r="P15445" s="99"/>
      <c r="Q15445" s="99"/>
      <c r="R15445" s="99"/>
    </row>
    <row r="15446" spans="5:18" s="65" customFormat="1">
      <c r="E15446" s="130"/>
      <c r="P15446" s="99"/>
      <c r="Q15446" s="99"/>
      <c r="R15446" s="99"/>
    </row>
    <row r="15447" spans="5:18" s="65" customFormat="1">
      <c r="E15447" s="130"/>
      <c r="P15447" s="99"/>
      <c r="Q15447" s="99"/>
      <c r="R15447" s="99"/>
    </row>
    <row r="15448" spans="5:18" s="65" customFormat="1">
      <c r="E15448" s="130"/>
      <c r="P15448" s="99"/>
      <c r="Q15448" s="99"/>
      <c r="R15448" s="99"/>
    </row>
    <row r="15449" spans="5:18" s="65" customFormat="1">
      <c r="E15449" s="130"/>
      <c r="P15449" s="99"/>
      <c r="Q15449" s="99"/>
      <c r="R15449" s="99"/>
    </row>
    <row r="15450" spans="5:18" s="65" customFormat="1">
      <c r="E15450" s="130"/>
      <c r="P15450" s="99"/>
      <c r="Q15450" s="99"/>
      <c r="R15450" s="99"/>
    </row>
    <row r="15451" spans="5:18" s="65" customFormat="1">
      <c r="E15451" s="130"/>
      <c r="P15451" s="99"/>
      <c r="Q15451" s="99"/>
      <c r="R15451" s="99"/>
    </row>
    <row r="15452" spans="5:18" s="65" customFormat="1">
      <c r="E15452" s="130"/>
      <c r="P15452" s="99"/>
      <c r="Q15452" s="99"/>
      <c r="R15452" s="99"/>
    </row>
    <row r="15453" spans="5:18" s="65" customFormat="1">
      <c r="E15453" s="130"/>
      <c r="P15453" s="99"/>
      <c r="Q15453" s="99"/>
      <c r="R15453" s="99"/>
    </row>
    <row r="15454" spans="5:18" s="65" customFormat="1">
      <c r="E15454" s="130"/>
      <c r="P15454" s="99"/>
      <c r="Q15454" s="99"/>
      <c r="R15454" s="99"/>
    </row>
    <row r="15455" spans="5:18" s="65" customFormat="1">
      <c r="E15455" s="130"/>
      <c r="P15455" s="99"/>
      <c r="Q15455" s="99"/>
      <c r="R15455" s="99"/>
    </row>
    <row r="15456" spans="5:18" s="65" customFormat="1">
      <c r="E15456" s="130"/>
      <c r="P15456" s="99"/>
      <c r="Q15456" s="99"/>
      <c r="R15456" s="99"/>
    </row>
    <row r="15457" spans="5:18" s="65" customFormat="1">
      <c r="E15457" s="130"/>
      <c r="P15457" s="99"/>
      <c r="Q15457" s="99"/>
      <c r="R15457" s="99"/>
    </row>
    <row r="15458" spans="5:18" s="65" customFormat="1">
      <c r="E15458" s="130"/>
      <c r="P15458" s="99"/>
      <c r="Q15458" s="99"/>
      <c r="R15458" s="99"/>
    </row>
    <row r="15459" spans="5:18" s="65" customFormat="1">
      <c r="E15459" s="130"/>
      <c r="P15459" s="99"/>
      <c r="Q15459" s="99"/>
      <c r="R15459" s="99"/>
    </row>
    <row r="15460" spans="5:18" s="65" customFormat="1">
      <c r="E15460" s="130"/>
      <c r="P15460" s="99"/>
      <c r="Q15460" s="99"/>
      <c r="R15460" s="99"/>
    </row>
    <row r="15461" spans="5:18" s="65" customFormat="1">
      <c r="E15461" s="130"/>
      <c r="P15461" s="99"/>
      <c r="Q15461" s="99"/>
      <c r="R15461" s="99"/>
    </row>
    <row r="15462" spans="5:18" s="65" customFormat="1">
      <c r="E15462" s="130"/>
      <c r="P15462" s="99"/>
      <c r="Q15462" s="99"/>
      <c r="R15462" s="99"/>
    </row>
    <row r="15463" spans="5:18" s="65" customFormat="1">
      <c r="E15463" s="130"/>
      <c r="P15463" s="99"/>
      <c r="Q15463" s="99"/>
      <c r="R15463" s="99"/>
    </row>
    <row r="15464" spans="5:18" s="65" customFormat="1">
      <c r="E15464" s="130"/>
      <c r="P15464" s="99"/>
      <c r="Q15464" s="99"/>
      <c r="R15464" s="99"/>
    </row>
    <row r="15465" spans="5:18" s="65" customFormat="1">
      <c r="E15465" s="130"/>
      <c r="P15465" s="99"/>
      <c r="Q15465" s="99"/>
      <c r="R15465" s="99"/>
    </row>
    <row r="15466" spans="5:18" s="65" customFormat="1">
      <c r="E15466" s="130"/>
      <c r="P15466" s="99"/>
      <c r="Q15466" s="99"/>
      <c r="R15466" s="99"/>
    </row>
    <row r="15467" spans="5:18" s="65" customFormat="1">
      <c r="E15467" s="130"/>
      <c r="P15467" s="99"/>
      <c r="Q15467" s="99"/>
      <c r="R15467" s="99"/>
    </row>
    <row r="15468" spans="5:18" s="65" customFormat="1">
      <c r="E15468" s="130"/>
      <c r="P15468" s="99"/>
      <c r="Q15468" s="99"/>
      <c r="R15468" s="99"/>
    </row>
    <row r="15469" spans="5:18" s="65" customFormat="1">
      <c r="E15469" s="130"/>
      <c r="P15469" s="99"/>
      <c r="Q15469" s="99"/>
      <c r="R15469" s="99"/>
    </row>
    <row r="15470" spans="5:18" s="65" customFormat="1">
      <c r="E15470" s="130"/>
      <c r="P15470" s="99"/>
      <c r="Q15470" s="99"/>
      <c r="R15470" s="99"/>
    </row>
    <row r="15471" spans="5:18" s="65" customFormat="1">
      <c r="E15471" s="130"/>
      <c r="P15471" s="99"/>
      <c r="Q15471" s="99"/>
      <c r="R15471" s="99"/>
    </row>
    <row r="15472" spans="5:18" s="65" customFormat="1">
      <c r="E15472" s="130"/>
      <c r="P15472" s="99"/>
      <c r="Q15472" s="99"/>
      <c r="R15472" s="99"/>
    </row>
    <row r="15473" spans="5:18" s="65" customFormat="1">
      <c r="E15473" s="130"/>
      <c r="P15473" s="99"/>
      <c r="Q15473" s="99"/>
      <c r="R15473" s="99"/>
    </row>
    <row r="15474" spans="5:18" s="65" customFormat="1">
      <c r="E15474" s="130"/>
      <c r="P15474" s="99"/>
      <c r="Q15474" s="99"/>
      <c r="R15474" s="99"/>
    </row>
    <row r="15475" spans="5:18" s="65" customFormat="1">
      <c r="E15475" s="130"/>
      <c r="P15475" s="99"/>
      <c r="Q15475" s="99"/>
      <c r="R15475" s="99"/>
    </row>
    <row r="15476" spans="5:18" s="65" customFormat="1">
      <c r="E15476" s="130"/>
      <c r="P15476" s="99"/>
      <c r="Q15476" s="99"/>
      <c r="R15476" s="99"/>
    </row>
    <row r="15477" spans="5:18" s="65" customFormat="1">
      <c r="E15477" s="130"/>
      <c r="P15477" s="99"/>
      <c r="Q15477" s="99"/>
      <c r="R15477" s="99"/>
    </row>
    <row r="15478" spans="5:18" s="65" customFormat="1">
      <c r="E15478" s="130"/>
      <c r="P15478" s="99"/>
      <c r="Q15478" s="99"/>
      <c r="R15478" s="99"/>
    </row>
    <row r="15479" spans="5:18" s="65" customFormat="1">
      <c r="E15479" s="130"/>
      <c r="P15479" s="99"/>
      <c r="Q15479" s="99"/>
      <c r="R15479" s="99"/>
    </row>
    <row r="15480" spans="5:18" s="65" customFormat="1">
      <c r="E15480" s="130"/>
      <c r="P15480" s="99"/>
      <c r="Q15480" s="99"/>
      <c r="R15480" s="99"/>
    </row>
    <row r="15481" spans="5:18" s="65" customFormat="1">
      <c r="E15481" s="130"/>
      <c r="P15481" s="99"/>
      <c r="Q15481" s="99"/>
      <c r="R15481" s="99"/>
    </row>
    <row r="15482" spans="5:18" s="65" customFormat="1">
      <c r="E15482" s="130"/>
      <c r="P15482" s="99"/>
      <c r="Q15482" s="99"/>
      <c r="R15482" s="99"/>
    </row>
    <row r="15483" spans="5:18" s="65" customFormat="1">
      <c r="E15483" s="130"/>
      <c r="P15483" s="99"/>
      <c r="Q15483" s="99"/>
      <c r="R15483" s="99"/>
    </row>
    <row r="15484" spans="5:18" s="65" customFormat="1">
      <c r="E15484" s="130"/>
      <c r="P15484" s="99"/>
      <c r="Q15484" s="99"/>
      <c r="R15484" s="99"/>
    </row>
    <row r="15485" spans="5:18" s="65" customFormat="1">
      <c r="E15485" s="130"/>
      <c r="P15485" s="99"/>
      <c r="Q15485" s="99"/>
      <c r="R15485" s="99"/>
    </row>
    <row r="15486" spans="5:18" s="65" customFormat="1">
      <c r="E15486" s="130"/>
      <c r="P15486" s="99"/>
      <c r="Q15486" s="99"/>
      <c r="R15486" s="99"/>
    </row>
    <row r="15487" spans="5:18" s="65" customFormat="1">
      <c r="E15487" s="130"/>
      <c r="P15487" s="99"/>
      <c r="Q15487" s="99"/>
      <c r="R15487" s="99"/>
    </row>
    <row r="15488" spans="5:18" s="65" customFormat="1">
      <c r="E15488" s="130"/>
      <c r="P15488" s="99"/>
      <c r="Q15488" s="99"/>
      <c r="R15488" s="99"/>
    </row>
    <row r="15489" spans="5:18" s="65" customFormat="1">
      <c r="E15489" s="130"/>
      <c r="P15489" s="99"/>
      <c r="Q15489" s="99"/>
      <c r="R15489" s="99"/>
    </row>
    <row r="15490" spans="5:18" s="65" customFormat="1">
      <c r="E15490" s="130"/>
      <c r="P15490" s="99"/>
      <c r="Q15490" s="99"/>
      <c r="R15490" s="99"/>
    </row>
    <row r="15491" spans="5:18" s="65" customFormat="1">
      <c r="E15491" s="130"/>
      <c r="P15491" s="99"/>
      <c r="Q15491" s="99"/>
      <c r="R15491" s="99"/>
    </row>
    <row r="15492" spans="5:18" s="65" customFormat="1">
      <c r="E15492" s="130"/>
      <c r="P15492" s="99"/>
      <c r="Q15492" s="99"/>
      <c r="R15492" s="99"/>
    </row>
    <row r="15493" spans="5:18" s="65" customFormat="1">
      <c r="E15493" s="130"/>
      <c r="P15493" s="99"/>
      <c r="Q15493" s="99"/>
      <c r="R15493" s="99"/>
    </row>
    <row r="15494" spans="5:18" s="65" customFormat="1">
      <c r="E15494" s="130"/>
      <c r="P15494" s="99"/>
      <c r="Q15494" s="99"/>
      <c r="R15494" s="99"/>
    </row>
    <row r="15495" spans="5:18" s="65" customFormat="1">
      <c r="E15495" s="130"/>
      <c r="P15495" s="99"/>
      <c r="Q15495" s="99"/>
      <c r="R15495" s="99"/>
    </row>
    <row r="15496" spans="5:18" s="65" customFormat="1">
      <c r="E15496" s="130"/>
      <c r="P15496" s="99"/>
      <c r="Q15496" s="99"/>
      <c r="R15496" s="99"/>
    </row>
    <row r="15497" spans="5:18" s="65" customFormat="1">
      <c r="E15497" s="130"/>
      <c r="P15497" s="99"/>
      <c r="Q15497" s="99"/>
      <c r="R15497" s="99"/>
    </row>
    <row r="15498" spans="5:18" s="65" customFormat="1">
      <c r="E15498" s="130"/>
      <c r="P15498" s="99"/>
      <c r="Q15498" s="99"/>
      <c r="R15498" s="99"/>
    </row>
    <row r="15499" spans="5:18" s="65" customFormat="1">
      <c r="E15499" s="130"/>
      <c r="P15499" s="99"/>
      <c r="Q15499" s="99"/>
      <c r="R15499" s="99"/>
    </row>
    <row r="15500" spans="5:18" s="65" customFormat="1">
      <c r="E15500" s="130"/>
      <c r="P15500" s="99"/>
      <c r="Q15500" s="99"/>
      <c r="R15500" s="99"/>
    </row>
    <row r="15501" spans="5:18" s="65" customFormat="1">
      <c r="E15501" s="130"/>
      <c r="P15501" s="99"/>
      <c r="Q15501" s="99"/>
      <c r="R15501" s="99"/>
    </row>
    <row r="15502" spans="5:18" s="65" customFormat="1">
      <c r="E15502" s="130"/>
      <c r="P15502" s="99"/>
      <c r="Q15502" s="99"/>
      <c r="R15502" s="99"/>
    </row>
    <row r="15503" spans="5:18" s="65" customFormat="1">
      <c r="E15503" s="130"/>
      <c r="P15503" s="99"/>
      <c r="Q15503" s="99"/>
      <c r="R15503" s="99"/>
    </row>
    <row r="15504" spans="5:18" s="65" customFormat="1">
      <c r="E15504" s="130"/>
      <c r="P15504" s="99"/>
      <c r="Q15504" s="99"/>
      <c r="R15504" s="99"/>
    </row>
    <row r="15505" spans="5:18" s="65" customFormat="1">
      <c r="E15505" s="130"/>
      <c r="P15505" s="99"/>
      <c r="Q15505" s="99"/>
      <c r="R15505" s="99"/>
    </row>
    <row r="15506" spans="5:18" s="65" customFormat="1">
      <c r="E15506" s="130"/>
      <c r="P15506" s="99"/>
      <c r="Q15506" s="99"/>
      <c r="R15506" s="99"/>
    </row>
    <row r="15507" spans="5:18" s="65" customFormat="1">
      <c r="E15507" s="130"/>
      <c r="P15507" s="99"/>
      <c r="Q15507" s="99"/>
      <c r="R15507" s="99"/>
    </row>
    <row r="15508" spans="5:18" s="65" customFormat="1">
      <c r="E15508" s="130"/>
      <c r="P15508" s="99"/>
      <c r="Q15508" s="99"/>
      <c r="R15508" s="99"/>
    </row>
    <row r="15509" spans="5:18" s="65" customFormat="1">
      <c r="E15509" s="130"/>
      <c r="P15509" s="99"/>
      <c r="Q15509" s="99"/>
      <c r="R15509" s="99"/>
    </row>
    <row r="15510" spans="5:18" s="65" customFormat="1">
      <c r="E15510" s="130"/>
      <c r="P15510" s="99"/>
      <c r="Q15510" s="99"/>
      <c r="R15510" s="99"/>
    </row>
    <row r="15511" spans="5:18" s="65" customFormat="1">
      <c r="E15511" s="130"/>
      <c r="P15511" s="99"/>
      <c r="Q15511" s="99"/>
      <c r="R15511" s="99"/>
    </row>
    <row r="15512" spans="5:18" s="65" customFormat="1">
      <c r="E15512" s="130"/>
      <c r="P15512" s="99"/>
      <c r="Q15512" s="99"/>
      <c r="R15512" s="99"/>
    </row>
    <row r="15513" spans="5:18" s="65" customFormat="1">
      <c r="E15513" s="130"/>
      <c r="P15513" s="99"/>
      <c r="Q15513" s="99"/>
      <c r="R15513" s="99"/>
    </row>
    <row r="15514" spans="5:18" s="65" customFormat="1">
      <c r="E15514" s="130"/>
      <c r="P15514" s="99"/>
      <c r="Q15514" s="99"/>
      <c r="R15514" s="99"/>
    </row>
    <row r="15515" spans="5:18" s="65" customFormat="1">
      <c r="E15515" s="130"/>
      <c r="P15515" s="99"/>
      <c r="Q15515" s="99"/>
      <c r="R15515" s="99"/>
    </row>
    <row r="15516" spans="5:18" s="65" customFormat="1">
      <c r="E15516" s="130"/>
      <c r="P15516" s="99"/>
      <c r="Q15516" s="99"/>
      <c r="R15516" s="99"/>
    </row>
    <row r="15517" spans="5:18" s="65" customFormat="1">
      <c r="E15517" s="130"/>
      <c r="P15517" s="99"/>
      <c r="Q15517" s="99"/>
      <c r="R15517" s="99"/>
    </row>
    <row r="15518" spans="5:18" s="65" customFormat="1">
      <c r="E15518" s="130"/>
      <c r="P15518" s="99"/>
      <c r="Q15518" s="99"/>
      <c r="R15518" s="99"/>
    </row>
    <row r="15519" spans="5:18" s="65" customFormat="1">
      <c r="E15519" s="130"/>
      <c r="P15519" s="99"/>
      <c r="Q15519" s="99"/>
      <c r="R15519" s="99"/>
    </row>
    <row r="15520" spans="5:18" s="65" customFormat="1">
      <c r="E15520" s="130"/>
      <c r="P15520" s="99"/>
      <c r="Q15520" s="99"/>
      <c r="R15520" s="99"/>
    </row>
    <row r="15521" spans="5:18" s="65" customFormat="1">
      <c r="E15521" s="130"/>
      <c r="P15521" s="99"/>
      <c r="Q15521" s="99"/>
      <c r="R15521" s="99"/>
    </row>
    <row r="15522" spans="5:18" s="65" customFormat="1">
      <c r="E15522" s="130"/>
      <c r="P15522" s="99"/>
      <c r="Q15522" s="99"/>
      <c r="R15522" s="99"/>
    </row>
    <row r="15523" spans="5:18" s="65" customFormat="1">
      <c r="E15523" s="130"/>
      <c r="P15523" s="99"/>
      <c r="Q15523" s="99"/>
      <c r="R15523" s="99"/>
    </row>
    <row r="15524" spans="5:18" s="65" customFormat="1">
      <c r="E15524" s="130"/>
      <c r="P15524" s="99"/>
      <c r="Q15524" s="99"/>
      <c r="R15524" s="99"/>
    </row>
    <row r="15525" spans="5:18" s="65" customFormat="1">
      <c r="E15525" s="130"/>
      <c r="P15525" s="99"/>
      <c r="Q15525" s="99"/>
      <c r="R15525" s="99"/>
    </row>
    <row r="15526" spans="5:18" s="65" customFormat="1">
      <c r="E15526" s="130"/>
      <c r="P15526" s="99"/>
      <c r="Q15526" s="99"/>
      <c r="R15526" s="99"/>
    </row>
    <row r="15527" spans="5:18" s="65" customFormat="1">
      <c r="E15527" s="130"/>
      <c r="P15527" s="99"/>
      <c r="Q15527" s="99"/>
      <c r="R15527" s="99"/>
    </row>
    <row r="15528" spans="5:18" s="65" customFormat="1">
      <c r="E15528" s="130"/>
      <c r="P15528" s="99"/>
      <c r="Q15528" s="99"/>
      <c r="R15528" s="99"/>
    </row>
    <row r="15529" spans="5:18" s="65" customFormat="1">
      <c r="E15529" s="130"/>
      <c r="P15529" s="99"/>
      <c r="Q15529" s="99"/>
      <c r="R15529" s="99"/>
    </row>
    <row r="15530" spans="5:18" s="65" customFormat="1">
      <c r="E15530" s="130"/>
      <c r="P15530" s="99"/>
      <c r="Q15530" s="99"/>
      <c r="R15530" s="99"/>
    </row>
    <row r="15531" spans="5:18" s="65" customFormat="1">
      <c r="E15531" s="130"/>
      <c r="P15531" s="99"/>
      <c r="Q15531" s="99"/>
      <c r="R15531" s="99"/>
    </row>
    <row r="15532" spans="5:18" s="65" customFormat="1">
      <c r="E15532" s="130"/>
      <c r="P15532" s="99"/>
      <c r="Q15532" s="99"/>
      <c r="R15532" s="99"/>
    </row>
    <row r="15533" spans="5:18" s="65" customFormat="1">
      <c r="E15533" s="130"/>
      <c r="P15533" s="99"/>
      <c r="Q15533" s="99"/>
      <c r="R15533" s="99"/>
    </row>
    <row r="15534" spans="5:18" s="65" customFormat="1">
      <c r="E15534" s="130"/>
      <c r="P15534" s="99"/>
      <c r="Q15534" s="99"/>
      <c r="R15534" s="99"/>
    </row>
    <row r="15535" spans="5:18" s="65" customFormat="1">
      <c r="E15535" s="130"/>
      <c r="P15535" s="99"/>
      <c r="Q15535" s="99"/>
      <c r="R15535" s="99"/>
    </row>
    <row r="15536" spans="5:18" s="65" customFormat="1">
      <c r="E15536" s="130"/>
      <c r="P15536" s="99"/>
      <c r="Q15536" s="99"/>
      <c r="R15536" s="99"/>
    </row>
    <row r="15537" spans="5:18" s="65" customFormat="1">
      <c r="E15537" s="130"/>
      <c r="P15537" s="99"/>
      <c r="Q15537" s="99"/>
      <c r="R15537" s="99"/>
    </row>
    <row r="15538" spans="5:18" s="65" customFormat="1">
      <c r="E15538" s="130"/>
      <c r="P15538" s="99"/>
      <c r="Q15538" s="99"/>
      <c r="R15538" s="99"/>
    </row>
    <row r="15539" spans="5:18" s="65" customFormat="1">
      <c r="E15539" s="130"/>
      <c r="P15539" s="99"/>
      <c r="Q15539" s="99"/>
      <c r="R15539" s="99"/>
    </row>
    <row r="15540" spans="5:18" s="65" customFormat="1">
      <c r="E15540" s="130"/>
      <c r="P15540" s="99"/>
      <c r="Q15540" s="99"/>
      <c r="R15540" s="99"/>
    </row>
    <row r="15541" spans="5:18" s="65" customFormat="1">
      <c r="E15541" s="130"/>
      <c r="P15541" s="99"/>
      <c r="Q15541" s="99"/>
      <c r="R15541" s="99"/>
    </row>
    <row r="15542" spans="5:18" s="65" customFormat="1">
      <c r="E15542" s="130"/>
      <c r="P15542" s="99"/>
      <c r="Q15542" s="99"/>
      <c r="R15542" s="99"/>
    </row>
    <row r="15543" spans="5:18" s="65" customFormat="1">
      <c r="E15543" s="130"/>
      <c r="P15543" s="99"/>
      <c r="Q15543" s="99"/>
      <c r="R15543" s="99"/>
    </row>
    <row r="15544" spans="5:18" s="65" customFormat="1">
      <c r="E15544" s="130"/>
      <c r="P15544" s="99"/>
      <c r="Q15544" s="99"/>
      <c r="R15544" s="99"/>
    </row>
    <row r="15545" spans="5:18" s="65" customFormat="1">
      <c r="E15545" s="130"/>
      <c r="P15545" s="99"/>
      <c r="Q15545" s="99"/>
      <c r="R15545" s="99"/>
    </row>
    <row r="15546" spans="5:18" s="65" customFormat="1">
      <c r="E15546" s="130"/>
      <c r="P15546" s="99"/>
      <c r="Q15546" s="99"/>
      <c r="R15546" s="99"/>
    </row>
    <row r="15547" spans="5:18" s="65" customFormat="1">
      <c r="E15547" s="130"/>
      <c r="P15547" s="99"/>
      <c r="Q15547" s="99"/>
      <c r="R15547" s="99"/>
    </row>
    <row r="15548" spans="5:18" s="65" customFormat="1">
      <c r="E15548" s="130"/>
      <c r="P15548" s="99"/>
      <c r="Q15548" s="99"/>
      <c r="R15548" s="99"/>
    </row>
    <row r="15549" spans="5:18" s="65" customFormat="1">
      <c r="E15549" s="130"/>
      <c r="P15549" s="99"/>
      <c r="Q15549" s="99"/>
      <c r="R15549" s="99"/>
    </row>
    <row r="15550" spans="5:18" s="65" customFormat="1">
      <c r="E15550" s="130"/>
      <c r="P15550" s="99"/>
      <c r="Q15550" s="99"/>
      <c r="R15550" s="99"/>
    </row>
    <row r="15551" spans="5:18" s="65" customFormat="1">
      <c r="E15551" s="130"/>
      <c r="P15551" s="99"/>
      <c r="Q15551" s="99"/>
      <c r="R15551" s="99"/>
    </row>
    <row r="15552" spans="5:18" s="65" customFormat="1">
      <c r="E15552" s="130"/>
      <c r="P15552" s="99"/>
      <c r="Q15552" s="99"/>
      <c r="R15552" s="99"/>
    </row>
    <row r="15553" spans="5:18" s="65" customFormat="1">
      <c r="E15553" s="130"/>
      <c r="P15553" s="99"/>
      <c r="Q15553" s="99"/>
      <c r="R15553" s="99"/>
    </row>
    <row r="15554" spans="5:18" s="65" customFormat="1">
      <c r="E15554" s="130"/>
      <c r="P15554" s="99"/>
      <c r="Q15554" s="99"/>
      <c r="R15554" s="99"/>
    </row>
    <row r="15555" spans="5:18" s="65" customFormat="1">
      <c r="E15555" s="130"/>
      <c r="P15555" s="99"/>
      <c r="Q15555" s="99"/>
      <c r="R15555" s="99"/>
    </row>
    <row r="15556" spans="5:18" s="65" customFormat="1">
      <c r="E15556" s="130"/>
      <c r="P15556" s="99"/>
      <c r="Q15556" s="99"/>
      <c r="R15556" s="99"/>
    </row>
    <row r="15557" spans="5:18" s="65" customFormat="1">
      <c r="E15557" s="130"/>
      <c r="P15557" s="99"/>
      <c r="Q15557" s="99"/>
      <c r="R15557" s="99"/>
    </row>
    <row r="15558" spans="5:18" s="65" customFormat="1">
      <c r="E15558" s="130"/>
      <c r="P15558" s="99"/>
      <c r="Q15558" s="99"/>
      <c r="R15558" s="99"/>
    </row>
    <row r="15559" spans="5:18" s="65" customFormat="1">
      <c r="E15559" s="130"/>
      <c r="P15559" s="99"/>
      <c r="Q15559" s="99"/>
      <c r="R15559" s="99"/>
    </row>
    <row r="15560" spans="5:18" s="65" customFormat="1">
      <c r="E15560" s="130"/>
      <c r="P15560" s="99"/>
      <c r="Q15560" s="99"/>
      <c r="R15560" s="99"/>
    </row>
    <row r="15561" spans="5:18" s="65" customFormat="1">
      <c r="E15561" s="130"/>
      <c r="P15561" s="99"/>
      <c r="Q15561" s="99"/>
      <c r="R15561" s="99"/>
    </row>
    <row r="15562" spans="5:18" s="65" customFormat="1">
      <c r="E15562" s="130"/>
      <c r="P15562" s="99"/>
      <c r="Q15562" s="99"/>
      <c r="R15562" s="99"/>
    </row>
    <row r="15563" spans="5:18" s="65" customFormat="1">
      <c r="E15563" s="130"/>
      <c r="P15563" s="99"/>
      <c r="Q15563" s="99"/>
      <c r="R15563" s="99"/>
    </row>
    <row r="15564" spans="5:18" s="65" customFormat="1">
      <c r="E15564" s="130"/>
      <c r="P15564" s="99"/>
      <c r="Q15564" s="99"/>
      <c r="R15564" s="99"/>
    </row>
    <row r="15565" spans="5:18" s="65" customFormat="1">
      <c r="E15565" s="130"/>
      <c r="P15565" s="99"/>
      <c r="Q15565" s="99"/>
      <c r="R15565" s="99"/>
    </row>
    <row r="15566" spans="5:18" s="65" customFormat="1">
      <c r="E15566" s="130"/>
      <c r="P15566" s="99"/>
      <c r="Q15566" s="99"/>
      <c r="R15566" s="99"/>
    </row>
    <row r="15567" spans="5:18" s="65" customFormat="1">
      <c r="E15567" s="130"/>
      <c r="P15567" s="99"/>
      <c r="Q15567" s="99"/>
      <c r="R15567" s="99"/>
    </row>
    <row r="15568" spans="5:18" s="65" customFormat="1">
      <c r="E15568" s="130"/>
      <c r="P15568" s="99"/>
      <c r="Q15568" s="99"/>
      <c r="R15568" s="99"/>
    </row>
    <row r="15569" spans="5:18" s="65" customFormat="1">
      <c r="E15569" s="130"/>
      <c r="P15569" s="99"/>
      <c r="Q15569" s="99"/>
      <c r="R15569" s="99"/>
    </row>
    <row r="15570" spans="5:18" s="65" customFormat="1">
      <c r="E15570" s="130"/>
      <c r="P15570" s="99"/>
      <c r="Q15570" s="99"/>
      <c r="R15570" s="99"/>
    </row>
    <row r="15571" spans="5:18" s="65" customFormat="1">
      <c r="E15571" s="130"/>
      <c r="P15571" s="99"/>
      <c r="Q15571" s="99"/>
      <c r="R15571" s="99"/>
    </row>
    <row r="15572" spans="5:18" s="65" customFormat="1">
      <c r="E15572" s="130"/>
      <c r="P15572" s="99"/>
      <c r="Q15572" s="99"/>
      <c r="R15572" s="99"/>
    </row>
    <row r="15573" spans="5:18" s="65" customFormat="1">
      <c r="E15573" s="130"/>
      <c r="P15573" s="99"/>
      <c r="Q15573" s="99"/>
      <c r="R15573" s="99"/>
    </row>
    <row r="15574" spans="5:18" s="65" customFormat="1">
      <c r="E15574" s="130"/>
      <c r="P15574" s="99"/>
      <c r="Q15574" s="99"/>
      <c r="R15574" s="99"/>
    </row>
    <row r="15575" spans="5:18" s="65" customFormat="1">
      <c r="E15575" s="130"/>
      <c r="P15575" s="99"/>
      <c r="Q15575" s="99"/>
      <c r="R15575" s="99"/>
    </row>
    <row r="15576" spans="5:18" s="65" customFormat="1">
      <c r="E15576" s="130"/>
      <c r="P15576" s="99"/>
      <c r="Q15576" s="99"/>
      <c r="R15576" s="99"/>
    </row>
    <row r="15577" spans="5:18" s="65" customFormat="1">
      <c r="E15577" s="130"/>
      <c r="P15577" s="99"/>
      <c r="Q15577" s="99"/>
      <c r="R15577" s="99"/>
    </row>
    <row r="15578" spans="5:18" s="65" customFormat="1">
      <c r="E15578" s="130"/>
      <c r="P15578" s="99"/>
      <c r="Q15578" s="99"/>
      <c r="R15578" s="99"/>
    </row>
    <row r="15579" spans="5:18" s="65" customFormat="1">
      <c r="E15579" s="130"/>
      <c r="P15579" s="99"/>
      <c r="Q15579" s="99"/>
      <c r="R15579" s="99"/>
    </row>
    <row r="15580" spans="5:18" s="65" customFormat="1">
      <c r="E15580" s="130"/>
      <c r="P15580" s="99"/>
      <c r="Q15580" s="99"/>
      <c r="R15580" s="99"/>
    </row>
    <row r="15581" spans="5:18" s="65" customFormat="1">
      <c r="E15581" s="130"/>
      <c r="P15581" s="99"/>
      <c r="Q15581" s="99"/>
      <c r="R15581" s="99"/>
    </row>
    <row r="15582" spans="5:18" s="65" customFormat="1">
      <c r="E15582" s="130"/>
      <c r="P15582" s="99"/>
      <c r="Q15582" s="99"/>
      <c r="R15582" s="99"/>
    </row>
    <row r="15583" spans="5:18" s="65" customFormat="1">
      <c r="E15583" s="130"/>
      <c r="P15583" s="99"/>
      <c r="Q15583" s="99"/>
      <c r="R15583" s="99"/>
    </row>
    <row r="15584" spans="5:18" s="65" customFormat="1">
      <c r="E15584" s="130"/>
      <c r="P15584" s="99"/>
      <c r="Q15584" s="99"/>
      <c r="R15584" s="99"/>
    </row>
    <row r="15585" spans="5:18" s="65" customFormat="1">
      <c r="E15585" s="130"/>
      <c r="P15585" s="99"/>
      <c r="Q15585" s="99"/>
      <c r="R15585" s="99"/>
    </row>
    <row r="15586" spans="5:18" s="65" customFormat="1">
      <c r="E15586" s="130"/>
      <c r="P15586" s="99"/>
      <c r="Q15586" s="99"/>
      <c r="R15586" s="99"/>
    </row>
    <row r="15587" spans="5:18" s="65" customFormat="1">
      <c r="E15587" s="130"/>
      <c r="P15587" s="99"/>
      <c r="Q15587" s="99"/>
      <c r="R15587" s="99"/>
    </row>
    <row r="15588" spans="5:18" s="65" customFormat="1">
      <c r="E15588" s="130"/>
      <c r="P15588" s="99"/>
      <c r="Q15588" s="99"/>
      <c r="R15588" s="99"/>
    </row>
    <row r="15589" spans="5:18" s="65" customFormat="1">
      <c r="E15589" s="130"/>
      <c r="P15589" s="99"/>
      <c r="Q15589" s="99"/>
      <c r="R15589" s="99"/>
    </row>
    <row r="15590" spans="5:18" s="65" customFormat="1">
      <c r="E15590" s="130"/>
      <c r="P15590" s="99"/>
      <c r="Q15590" s="99"/>
      <c r="R15590" s="99"/>
    </row>
    <row r="15591" spans="5:18" s="65" customFormat="1">
      <c r="E15591" s="130"/>
      <c r="P15591" s="99"/>
      <c r="Q15591" s="99"/>
      <c r="R15591" s="99"/>
    </row>
    <row r="15592" spans="5:18" s="65" customFormat="1">
      <c r="E15592" s="130"/>
      <c r="P15592" s="99"/>
      <c r="Q15592" s="99"/>
      <c r="R15592" s="99"/>
    </row>
    <row r="15593" spans="5:18" s="65" customFormat="1">
      <c r="E15593" s="130"/>
      <c r="P15593" s="99"/>
      <c r="Q15593" s="99"/>
      <c r="R15593" s="99"/>
    </row>
    <row r="15594" spans="5:18" s="65" customFormat="1">
      <c r="E15594" s="130"/>
      <c r="P15594" s="99"/>
      <c r="Q15594" s="99"/>
      <c r="R15594" s="99"/>
    </row>
    <row r="15595" spans="5:18" s="65" customFormat="1">
      <c r="E15595" s="130"/>
      <c r="P15595" s="99"/>
      <c r="Q15595" s="99"/>
      <c r="R15595" s="99"/>
    </row>
    <row r="15596" spans="5:18" s="65" customFormat="1">
      <c r="E15596" s="130"/>
      <c r="P15596" s="99"/>
      <c r="Q15596" s="99"/>
      <c r="R15596" s="99"/>
    </row>
    <row r="15597" spans="5:18" s="65" customFormat="1">
      <c r="E15597" s="130"/>
      <c r="P15597" s="99"/>
      <c r="Q15597" s="99"/>
      <c r="R15597" s="99"/>
    </row>
    <row r="15598" spans="5:18" s="65" customFormat="1">
      <c r="E15598" s="130"/>
      <c r="P15598" s="99"/>
      <c r="Q15598" s="99"/>
      <c r="R15598" s="99"/>
    </row>
    <row r="15599" spans="5:18" s="65" customFormat="1">
      <c r="E15599" s="130"/>
      <c r="P15599" s="99"/>
      <c r="Q15599" s="99"/>
      <c r="R15599" s="99"/>
    </row>
    <row r="15600" spans="5:18" s="65" customFormat="1">
      <c r="E15600" s="130"/>
      <c r="P15600" s="99"/>
      <c r="Q15600" s="99"/>
      <c r="R15600" s="99"/>
    </row>
    <row r="15601" spans="5:18" s="65" customFormat="1">
      <c r="E15601" s="130"/>
      <c r="P15601" s="99"/>
      <c r="Q15601" s="99"/>
      <c r="R15601" s="99"/>
    </row>
    <row r="15602" spans="5:18" s="65" customFormat="1">
      <c r="E15602" s="130"/>
      <c r="P15602" s="99"/>
      <c r="Q15602" s="99"/>
      <c r="R15602" s="99"/>
    </row>
    <row r="15603" spans="5:18" s="65" customFormat="1">
      <c r="E15603" s="130"/>
      <c r="P15603" s="99"/>
      <c r="Q15603" s="99"/>
      <c r="R15603" s="99"/>
    </row>
    <row r="15604" spans="5:18" s="65" customFormat="1">
      <c r="E15604" s="130"/>
      <c r="P15604" s="99"/>
      <c r="Q15604" s="99"/>
      <c r="R15604" s="99"/>
    </row>
    <row r="15605" spans="5:18" s="65" customFormat="1">
      <c r="E15605" s="130"/>
      <c r="P15605" s="99"/>
      <c r="Q15605" s="99"/>
      <c r="R15605" s="99"/>
    </row>
    <row r="15606" spans="5:18" s="65" customFormat="1">
      <c r="E15606" s="130"/>
      <c r="P15606" s="99"/>
      <c r="Q15606" s="99"/>
      <c r="R15606" s="99"/>
    </row>
    <row r="15607" spans="5:18" s="65" customFormat="1">
      <c r="E15607" s="130"/>
      <c r="P15607" s="99"/>
      <c r="Q15607" s="99"/>
      <c r="R15607" s="99"/>
    </row>
    <row r="15608" spans="5:18" s="65" customFormat="1">
      <c r="E15608" s="130"/>
      <c r="P15608" s="99"/>
      <c r="Q15608" s="99"/>
      <c r="R15608" s="99"/>
    </row>
    <row r="15609" spans="5:18" s="65" customFormat="1">
      <c r="E15609" s="130"/>
      <c r="P15609" s="99"/>
      <c r="Q15609" s="99"/>
      <c r="R15609" s="99"/>
    </row>
    <row r="15610" spans="5:18" s="65" customFormat="1">
      <c r="E15610" s="130"/>
      <c r="P15610" s="99"/>
      <c r="Q15610" s="99"/>
      <c r="R15610" s="99"/>
    </row>
    <row r="15611" spans="5:18" s="65" customFormat="1">
      <c r="E15611" s="130"/>
      <c r="P15611" s="99"/>
      <c r="Q15611" s="99"/>
      <c r="R15611" s="99"/>
    </row>
    <row r="15612" spans="5:18" s="65" customFormat="1">
      <c r="E15612" s="130"/>
      <c r="P15612" s="99"/>
      <c r="Q15612" s="99"/>
      <c r="R15612" s="99"/>
    </row>
    <row r="15613" spans="5:18" s="65" customFormat="1">
      <c r="E15613" s="130"/>
      <c r="P15613" s="99"/>
      <c r="Q15613" s="99"/>
      <c r="R15613" s="99"/>
    </row>
    <row r="15614" spans="5:18" s="65" customFormat="1">
      <c r="E15614" s="130"/>
      <c r="P15614" s="99"/>
      <c r="Q15614" s="99"/>
      <c r="R15614" s="99"/>
    </row>
    <row r="15615" spans="5:18" s="65" customFormat="1">
      <c r="E15615" s="130"/>
      <c r="P15615" s="99"/>
      <c r="Q15615" s="99"/>
      <c r="R15615" s="99"/>
    </row>
    <row r="15616" spans="5:18" s="65" customFormat="1">
      <c r="E15616" s="130"/>
      <c r="P15616" s="99"/>
      <c r="Q15616" s="99"/>
      <c r="R15616" s="99"/>
    </row>
    <row r="15617" spans="5:18" s="65" customFormat="1">
      <c r="E15617" s="130"/>
      <c r="P15617" s="99"/>
      <c r="Q15617" s="99"/>
      <c r="R15617" s="99"/>
    </row>
    <row r="15618" spans="5:18" s="65" customFormat="1">
      <c r="E15618" s="130"/>
      <c r="P15618" s="99"/>
      <c r="Q15618" s="99"/>
      <c r="R15618" s="99"/>
    </row>
    <row r="15619" spans="5:18" s="65" customFormat="1">
      <c r="E15619" s="130"/>
      <c r="P15619" s="99"/>
      <c r="Q15619" s="99"/>
      <c r="R15619" s="99"/>
    </row>
    <row r="15620" spans="5:18" s="65" customFormat="1">
      <c r="E15620" s="130"/>
      <c r="P15620" s="99"/>
      <c r="Q15620" s="99"/>
      <c r="R15620" s="99"/>
    </row>
    <row r="15621" spans="5:18" s="65" customFormat="1">
      <c r="E15621" s="130"/>
      <c r="P15621" s="99"/>
      <c r="Q15621" s="99"/>
      <c r="R15621" s="99"/>
    </row>
    <row r="15622" spans="5:18" s="65" customFormat="1">
      <c r="E15622" s="130"/>
      <c r="P15622" s="99"/>
      <c r="Q15622" s="99"/>
      <c r="R15622" s="99"/>
    </row>
    <row r="15623" spans="5:18" s="65" customFormat="1">
      <c r="E15623" s="130"/>
      <c r="P15623" s="99"/>
      <c r="Q15623" s="99"/>
      <c r="R15623" s="99"/>
    </row>
    <row r="15624" spans="5:18" s="65" customFormat="1">
      <c r="E15624" s="130"/>
      <c r="P15624" s="99"/>
      <c r="Q15624" s="99"/>
      <c r="R15624" s="99"/>
    </row>
    <row r="15625" spans="5:18" s="65" customFormat="1">
      <c r="E15625" s="130"/>
      <c r="P15625" s="99"/>
      <c r="Q15625" s="99"/>
      <c r="R15625" s="99"/>
    </row>
    <row r="15626" spans="5:18" s="65" customFormat="1">
      <c r="E15626" s="130"/>
      <c r="P15626" s="99"/>
      <c r="Q15626" s="99"/>
      <c r="R15626" s="99"/>
    </row>
    <row r="15627" spans="5:18" s="65" customFormat="1">
      <c r="E15627" s="130"/>
      <c r="P15627" s="99"/>
      <c r="Q15627" s="99"/>
      <c r="R15627" s="99"/>
    </row>
    <row r="15628" spans="5:18" s="65" customFormat="1">
      <c r="E15628" s="130"/>
      <c r="P15628" s="99"/>
      <c r="Q15628" s="99"/>
      <c r="R15628" s="99"/>
    </row>
    <row r="15629" spans="5:18" s="65" customFormat="1">
      <c r="E15629" s="130"/>
      <c r="P15629" s="99"/>
      <c r="Q15629" s="99"/>
      <c r="R15629" s="99"/>
    </row>
    <row r="15630" spans="5:18" s="65" customFormat="1">
      <c r="E15630" s="130"/>
      <c r="P15630" s="99"/>
      <c r="Q15630" s="99"/>
      <c r="R15630" s="99"/>
    </row>
    <row r="15631" spans="5:18" s="65" customFormat="1">
      <c r="E15631" s="130"/>
      <c r="P15631" s="99"/>
      <c r="Q15631" s="99"/>
      <c r="R15631" s="99"/>
    </row>
    <row r="15632" spans="5:18" s="65" customFormat="1">
      <c r="E15632" s="130"/>
      <c r="P15632" s="99"/>
      <c r="Q15632" s="99"/>
      <c r="R15632" s="99"/>
    </row>
    <row r="15633" spans="5:18" s="65" customFormat="1">
      <c r="E15633" s="130"/>
      <c r="P15633" s="99"/>
      <c r="Q15633" s="99"/>
      <c r="R15633" s="99"/>
    </row>
    <row r="15634" spans="5:18" s="65" customFormat="1">
      <c r="E15634" s="130"/>
      <c r="P15634" s="99"/>
      <c r="Q15634" s="99"/>
      <c r="R15634" s="99"/>
    </row>
    <row r="15635" spans="5:18" s="65" customFormat="1">
      <c r="E15635" s="130"/>
      <c r="P15635" s="99"/>
      <c r="Q15635" s="99"/>
      <c r="R15635" s="99"/>
    </row>
    <row r="15636" spans="5:18" s="65" customFormat="1">
      <c r="E15636" s="130"/>
      <c r="P15636" s="99"/>
      <c r="Q15636" s="99"/>
      <c r="R15636" s="99"/>
    </row>
    <row r="15637" spans="5:18" s="65" customFormat="1">
      <c r="E15637" s="130"/>
      <c r="P15637" s="99"/>
      <c r="Q15637" s="99"/>
      <c r="R15637" s="99"/>
    </row>
    <row r="15638" spans="5:18" s="65" customFormat="1">
      <c r="E15638" s="130"/>
      <c r="P15638" s="99"/>
      <c r="Q15638" s="99"/>
      <c r="R15638" s="99"/>
    </row>
    <row r="15639" spans="5:18" s="65" customFormat="1">
      <c r="E15639" s="130"/>
      <c r="P15639" s="99"/>
      <c r="Q15639" s="99"/>
      <c r="R15639" s="99"/>
    </row>
    <row r="15640" spans="5:18" s="65" customFormat="1">
      <c r="E15640" s="130"/>
      <c r="P15640" s="99"/>
      <c r="Q15640" s="99"/>
      <c r="R15640" s="99"/>
    </row>
    <row r="15641" spans="5:18" s="65" customFormat="1">
      <c r="E15641" s="130"/>
      <c r="P15641" s="99"/>
      <c r="Q15641" s="99"/>
      <c r="R15641" s="99"/>
    </row>
    <row r="15642" spans="5:18" s="65" customFormat="1">
      <c r="E15642" s="130"/>
      <c r="P15642" s="99"/>
      <c r="Q15642" s="99"/>
      <c r="R15642" s="99"/>
    </row>
    <row r="15643" spans="5:18" s="65" customFormat="1">
      <c r="E15643" s="130"/>
      <c r="P15643" s="99"/>
      <c r="Q15643" s="99"/>
      <c r="R15643" s="99"/>
    </row>
    <row r="15644" spans="5:18" s="65" customFormat="1">
      <c r="E15644" s="130"/>
      <c r="P15644" s="99"/>
      <c r="Q15644" s="99"/>
      <c r="R15644" s="99"/>
    </row>
    <row r="15645" spans="5:18" s="65" customFormat="1">
      <c r="E15645" s="130"/>
      <c r="P15645" s="99"/>
      <c r="Q15645" s="99"/>
      <c r="R15645" s="99"/>
    </row>
    <row r="15646" spans="5:18" s="65" customFormat="1">
      <c r="E15646" s="130"/>
      <c r="P15646" s="99"/>
      <c r="Q15646" s="99"/>
      <c r="R15646" s="99"/>
    </row>
    <row r="15647" spans="5:18" s="65" customFormat="1">
      <c r="E15647" s="130"/>
      <c r="P15647" s="99"/>
      <c r="Q15647" s="99"/>
      <c r="R15647" s="99"/>
    </row>
    <row r="15648" spans="5:18" s="65" customFormat="1">
      <c r="E15648" s="130"/>
      <c r="P15648" s="99"/>
      <c r="Q15648" s="99"/>
      <c r="R15648" s="99"/>
    </row>
    <row r="15649" spans="5:18" s="65" customFormat="1">
      <c r="E15649" s="130"/>
      <c r="P15649" s="99"/>
      <c r="Q15649" s="99"/>
      <c r="R15649" s="99"/>
    </row>
    <row r="15650" spans="5:18" s="65" customFormat="1">
      <c r="E15650" s="130"/>
      <c r="P15650" s="99"/>
      <c r="Q15650" s="99"/>
      <c r="R15650" s="99"/>
    </row>
    <row r="15651" spans="5:18" s="65" customFormat="1">
      <c r="E15651" s="130"/>
      <c r="P15651" s="99"/>
      <c r="Q15651" s="99"/>
      <c r="R15651" s="99"/>
    </row>
    <row r="15652" spans="5:18" s="65" customFormat="1">
      <c r="E15652" s="130"/>
      <c r="P15652" s="99"/>
      <c r="Q15652" s="99"/>
      <c r="R15652" s="99"/>
    </row>
    <row r="15653" spans="5:18" s="65" customFormat="1">
      <c r="E15653" s="130"/>
      <c r="P15653" s="99"/>
      <c r="Q15653" s="99"/>
      <c r="R15653" s="99"/>
    </row>
    <row r="15654" spans="5:18" s="65" customFormat="1">
      <c r="E15654" s="130"/>
      <c r="P15654" s="99"/>
      <c r="Q15654" s="99"/>
      <c r="R15654" s="99"/>
    </row>
    <row r="15655" spans="5:18" s="65" customFormat="1">
      <c r="E15655" s="130"/>
      <c r="P15655" s="99"/>
      <c r="Q15655" s="99"/>
      <c r="R15655" s="99"/>
    </row>
    <row r="15656" spans="5:18" s="65" customFormat="1">
      <c r="E15656" s="130"/>
      <c r="P15656" s="99"/>
      <c r="Q15656" s="99"/>
      <c r="R15656" s="99"/>
    </row>
    <row r="15657" spans="5:18" s="65" customFormat="1">
      <c r="E15657" s="130"/>
      <c r="P15657" s="99"/>
      <c r="Q15657" s="99"/>
      <c r="R15657" s="99"/>
    </row>
    <row r="15658" spans="5:18" s="65" customFormat="1">
      <c r="E15658" s="130"/>
      <c r="P15658" s="99"/>
      <c r="Q15658" s="99"/>
      <c r="R15658" s="99"/>
    </row>
    <row r="15659" spans="5:18" s="65" customFormat="1">
      <c r="E15659" s="130"/>
      <c r="P15659" s="99"/>
      <c r="Q15659" s="99"/>
      <c r="R15659" s="99"/>
    </row>
    <row r="15660" spans="5:18" s="65" customFormat="1">
      <c r="E15660" s="130"/>
      <c r="P15660" s="99"/>
      <c r="Q15660" s="99"/>
      <c r="R15660" s="99"/>
    </row>
    <row r="15661" spans="5:18" s="65" customFormat="1">
      <c r="E15661" s="130"/>
      <c r="P15661" s="99"/>
      <c r="Q15661" s="99"/>
      <c r="R15661" s="99"/>
    </row>
    <row r="15662" spans="5:18" s="65" customFormat="1">
      <c r="E15662" s="130"/>
      <c r="P15662" s="99"/>
      <c r="Q15662" s="99"/>
      <c r="R15662" s="99"/>
    </row>
    <row r="15663" spans="5:18" s="65" customFormat="1">
      <c r="E15663" s="130"/>
      <c r="P15663" s="99"/>
      <c r="Q15663" s="99"/>
      <c r="R15663" s="99"/>
    </row>
    <row r="15664" spans="5:18" s="65" customFormat="1">
      <c r="E15664" s="130"/>
      <c r="P15664" s="99"/>
      <c r="Q15664" s="99"/>
      <c r="R15664" s="99"/>
    </row>
    <row r="15665" spans="5:18" s="65" customFormat="1">
      <c r="E15665" s="130"/>
      <c r="P15665" s="99"/>
      <c r="Q15665" s="99"/>
      <c r="R15665" s="99"/>
    </row>
    <row r="15666" spans="5:18" s="65" customFormat="1">
      <c r="E15666" s="130"/>
      <c r="P15666" s="99"/>
      <c r="Q15666" s="99"/>
      <c r="R15666" s="99"/>
    </row>
    <row r="15667" spans="5:18" s="65" customFormat="1">
      <c r="E15667" s="130"/>
      <c r="P15667" s="99"/>
      <c r="Q15667" s="99"/>
      <c r="R15667" s="99"/>
    </row>
    <row r="15668" spans="5:18" s="65" customFormat="1">
      <c r="E15668" s="130"/>
      <c r="P15668" s="99"/>
      <c r="Q15668" s="99"/>
      <c r="R15668" s="99"/>
    </row>
    <row r="15669" spans="5:18" s="65" customFormat="1">
      <c r="E15669" s="130"/>
      <c r="P15669" s="99"/>
      <c r="Q15669" s="99"/>
      <c r="R15669" s="99"/>
    </row>
    <row r="15670" spans="5:18" s="65" customFormat="1">
      <c r="E15670" s="130"/>
      <c r="P15670" s="99"/>
      <c r="Q15670" s="99"/>
      <c r="R15670" s="99"/>
    </row>
    <row r="15671" spans="5:18" s="65" customFormat="1">
      <c r="E15671" s="130"/>
      <c r="P15671" s="99"/>
      <c r="Q15671" s="99"/>
      <c r="R15671" s="99"/>
    </row>
    <row r="15672" spans="5:18" s="65" customFormat="1">
      <c r="E15672" s="130"/>
      <c r="P15672" s="99"/>
      <c r="Q15672" s="99"/>
      <c r="R15672" s="99"/>
    </row>
    <row r="15673" spans="5:18" s="65" customFormat="1">
      <c r="E15673" s="130"/>
      <c r="P15673" s="99"/>
      <c r="Q15673" s="99"/>
      <c r="R15673" s="99"/>
    </row>
    <row r="15674" spans="5:18" s="65" customFormat="1">
      <c r="E15674" s="130"/>
      <c r="P15674" s="99"/>
      <c r="Q15674" s="99"/>
      <c r="R15674" s="99"/>
    </row>
    <row r="15675" spans="5:18" s="65" customFormat="1">
      <c r="E15675" s="130"/>
      <c r="P15675" s="99"/>
      <c r="Q15675" s="99"/>
      <c r="R15675" s="99"/>
    </row>
    <row r="15676" spans="5:18" s="65" customFormat="1">
      <c r="E15676" s="130"/>
      <c r="P15676" s="99"/>
      <c r="Q15676" s="99"/>
      <c r="R15676" s="99"/>
    </row>
    <row r="15677" spans="5:18" s="65" customFormat="1">
      <c r="E15677" s="130"/>
      <c r="P15677" s="99"/>
      <c r="Q15677" s="99"/>
      <c r="R15677" s="99"/>
    </row>
    <row r="15678" spans="5:18" s="65" customFormat="1">
      <c r="E15678" s="130"/>
      <c r="P15678" s="99"/>
      <c r="Q15678" s="99"/>
      <c r="R15678" s="99"/>
    </row>
    <row r="15679" spans="5:18" s="65" customFormat="1">
      <c r="E15679" s="130"/>
      <c r="P15679" s="99"/>
      <c r="Q15679" s="99"/>
      <c r="R15679" s="99"/>
    </row>
    <row r="15680" spans="5:18" s="65" customFormat="1">
      <c r="E15680" s="130"/>
      <c r="P15680" s="99"/>
      <c r="Q15680" s="99"/>
      <c r="R15680" s="99"/>
    </row>
    <row r="15681" spans="5:18" s="65" customFormat="1">
      <c r="E15681" s="130"/>
      <c r="P15681" s="99"/>
      <c r="Q15681" s="99"/>
      <c r="R15681" s="99"/>
    </row>
    <row r="15682" spans="5:18" s="65" customFormat="1">
      <c r="E15682" s="130"/>
      <c r="P15682" s="99"/>
      <c r="Q15682" s="99"/>
      <c r="R15682" s="99"/>
    </row>
    <row r="15683" spans="5:18" s="65" customFormat="1">
      <c r="E15683" s="130"/>
      <c r="P15683" s="99"/>
      <c r="Q15683" s="99"/>
      <c r="R15683" s="99"/>
    </row>
    <row r="15684" spans="5:18" s="65" customFormat="1">
      <c r="E15684" s="130"/>
      <c r="P15684" s="99"/>
      <c r="Q15684" s="99"/>
      <c r="R15684" s="99"/>
    </row>
    <row r="15685" spans="5:18" s="65" customFormat="1">
      <c r="E15685" s="130"/>
      <c r="P15685" s="99"/>
      <c r="Q15685" s="99"/>
      <c r="R15685" s="99"/>
    </row>
    <row r="15686" spans="5:18" s="65" customFormat="1">
      <c r="E15686" s="130"/>
      <c r="P15686" s="99"/>
      <c r="Q15686" s="99"/>
      <c r="R15686" s="99"/>
    </row>
    <row r="15687" spans="5:18" s="65" customFormat="1">
      <c r="E15687" s="130"/>
      <c r="P15687" s="99"/>
      <c r="Q15687" s="99"/>
      <c r="R15687" s="99"/>
    </row>
    <row r="15688" spans="5:18" s="65" customFormat="1">
      <c r="E15688" s="130"/>
      <c r="P15688" s="99"/>
      <c r="Q15688" s="99"/>
      <c r="R15688" s="99"/>
    </row>
    <row r="15689" spans="5:18" s="65" customFormat="1">
      <c r="E15689" s="130"/>
      <c r="P15689" s="99"/>
      <c r="Q15689" s="99"/>
      <c r="R15689" s="99"/>
    </row>
    <row r="15690" spans="5:18" s="65" customFormat="1">
      <c r="E15690" s="130"/>
      <c r="P15690" s="99"/>
      <c r="Q15690" s="99"/>
      <c r="R15690" s="99"/>
    </row>
    <row r="15691" spans="5:18" s="65" customFormat="1">
      <c r="E15691" s="130"/>
      <c r="P15691" s="99"/>
      <c r="Q15691" s="99"/>
      <c r="R15691" s="99"/>
    </row>
    <row r="15692" spans="5:18" s="65" customFormat="1">
      <c r="E15692" s="130"/>
      <c r="P15692" s="99"/>
      <c r="Q15692" s="99"/>
      <c r="R15692" s="99"/>
    </row>
    <row r="15693" spans="5:18" s="65" customFormat="1">
      <c r="E15693" s="130"/>
      <c r="P15693" s="99"/>
      <c r="Q15693" s="99"/>
      <c r="R15693" s="99"/>
    </row>
    <row r="15694" spans="5:18" s="65" customFormat="1">
      <c r="E15694" s="130"/>
      <c r="P15694" s="99"/>
      <c r="Q15694" s="99"/>
      <c r="R15694" s="99"/>
    </row>
    <row r="15695" spans="5:18" s="65" customFormat="1">
      <c r="E15695" s="130"/>
      <c r="P15695" s="99"/>
      <c r="Q15695" s="99"/>
      <c r="R15695" s="99"/>
    </row>
    <row r="15696" spans="5:18" s="65" customFormat="1">
      <c r="E15696" s="130"/>
      <c r="P15696" s="99"/>
      <c r="Q15696" s="99"/>
      <c r="R15696" s="99"/>
    </row>
    <row r="15697" spans="5:18" s="65" customFormat="1">
      <c r="E15697" s="130"/>
      <c r="P15697" s="99"/>
      <c r="Q15697" s="99"/>
      <c r="R15697" s="99"/>
    </row>
    <row r="15698" spans="5:18" s="65" customFormat="1">
      <c r="E15698" s="130"/>
      <c r="P15698" s="99"/>
      <c r="Q15698" s="99"/>
      <c r="R15698" s="99"/>
    </row>
    <row r="15699" spans="5:18" s="65" customFormat="1">
      <c r="E15699" s="130"/>
      <c r="P15699" s="99"/>
      <c r="Q15699" s="99"/>
      <c r="R15699" s="99"/>
    </row>
    <row r="15700" spans="5:18" s="65" customFormat="1">
      <c r="E15700" s="130"/>
      <c r="P15700" s="99"/>
      <c r="Q15700" s="99"/>
      <c r="R15700" s="99"/>
    </row>
    <row r="15701" spans="5:18" s="65" customFormat="1">
      <c r="E15701" s="130"/>
      <c r="P15701" s="99"/>
      <c r="Q15701" s="99"/>
      <c r="R15701" s="99"/>
    </row>
    <row r="15702" spans="5:18" s="65" customFormat="1">
      <c r="E15702" s="130"/>
      <c r="P15702" s="99"/>
      <c r="Q15702" s="99"/>
      <c r="R15702" s="99"/>
    </row>
    <row r="15703" spans="5:18" s="65" customFormat="1">
      <c r="E15703" s="130"/>
      <c r="P15703" s="99"/>
      <c r="Q15703" s="99"/>
      <c r="R15703" s="99"/>
    </row>
    <row r="15704" spans="5:18" s="65" customFormat="1">
      <c r="E15704" s="130"/>
      <c r="P15704" s="99"/>
      <c r="Q15704" s="99"/>
      <c r="R15704" s="99"/>
    </row>
    <row r="15705" spans="5:18" s="65" customFormat="1">
      <c r="E15705" s="130"/>
      <c r="P15705" s="99"/>
      <c r="Q15705" s="99"/>
      <c r="R15705" s="99"/>
    </row>
    <row r="15706" spans="5:18" s="65" customFormat="1">
      <c r="E15706" s="130"/>
      <c r="P15706" s="99"/>
      <c r="Q15706" s="99"/>
      <c r="R15706" s="99"/>
    </row>
    <row r="15707" spans="5:18" s="65" customFormat="1">
      <c r="E15707" s="130"/>
      <c r="P15707" s="99"/>
      <c r="Q15707" s="99"/>
      <c r="R15707" s="99"/>
    </row>
    <row r="15708" spans="5:18" s="65" customFormat="1">
      <c r="E15708" s="130"/>
      <c r="P15708" s="99"/>
      <c r="Q15708" s="99"/>
      <c r="R15708" s="99"/>
    </row>
    <row r="15709" spans="5:18" s="65" customFormat="1">
      <c r="E15709" s="130"/>
      <c r="P15709" s="99"/>
      <c r="Q15709" s="99"/>
      <c r="R15709" s="99"/>
    </row>
    <row r="15710" spans="5:18" s="65" customFormat="1">
      <c r="E15710" s="130"/>
      <c r="P15710" s="99"/>
      <c r="Q15710" s="99"/>
      <c r="R15710" s="99"/>
    </row>
    <row r="15711" spans="5:18" s="65" customFormat="1">
      <c r="E15711" s="130"/>
      <c r="P15711" s="99"/>
      <c r="Q15711" s="99"/>
      <c r="R15711" s="99"/>
    </row>
    <row r="15712" spans="5:18" s="65" customFormat="1">
      <c r="E15712" s="130"/>
      <c r="P15712" s="99"/>
      <c r="Q15712" s="99"/>
      <c r="R15712" s="99"/>
    </row>
    <row r="15713" spans="5:18" s="65" customFormat="1">
      <c r="E15713" s="130"/>
      <c r="P15713" s="99"/>
      <c r="Q15713" s="99"/>
      <c r="R15713" s="99"/>
    </row>
    <row r="15714" spans="5:18" s="65" customFormat="1">
      <c r="E15714" s="130"/>
      <c r="P15714" s="99"/>
      <c r="Q15714" s="99"/>
      <c r="R15714" s="99"/>
    </row>
    <row r="15715" spans="5:18" s="65" customFormat="1">
      <c r="E15715" s="130"/>
      <c r="P15715" s="99"/>
      <c r="Q15715" s="99"/>
      <c r="R15715" s="99"/>
    </row>
    <row r="15716" spans="5:18" s="65" customFormat="1">
      <c r="E15716" s="130"/>
      <c r="P15716" s="99"/>
      <c r="Q15716" s="99"/>
      <c r="R15716" s="99"/>
    </row>
    <row r="15717" spans="5:18" s="65" customFormat="1">
      <c r="E15717" s="130"/>
      <c r="P15717" s="99"/>
      <c r="Q15717" s="99"/>
      <c r="R15717" s="99"/>
    </row>
    <row r="15718" spans="5:18" s="65" customFormat="1">
      <c r="E15718" s="130"/>
      <c r="P15718" s="99"/>
      <c r="Q15718" s="99"/>
      <c r="R15718" s="99"/>
    </row>
    <row r="15719" spans="5:18" s="65" customFormat="1">
      <c r="E15719" s="130"/>
      <c r="P15719" s="99"/>
      <c r="Q15719" s="99"/>
      <c r="R15719" s="99"/>
    </row>
    <row r="15720" spans="5:18" s="65" customFormat="1">
      <c r="E15720" s="130"/>
      <c r="P15720" s="99"/>
      <c r="Q15720" s="99"/>
      <c r="R15720" s="99"/>
    </row>
    <row r="15721" spans="5:18" s="65" customFormat="1">
      <c r="E15721" s="130"/>
      <c r="P15721" s="99"/>
      <c r="Q15721" s="99"/>
      <c r="R15721" s="99"/>
    </row>
    <row r="15722" spans="5:18" s="65" customFormat="1">
      <c r="E15722" s="130"/>
      <c r="P15722" s="99"/>
      <c r="Q15722" s="99"/>
      <c r="R15722" s="99"/>
    </row>
    <row r="15723" spans="5:18" s="65" customFormat="1">
      <c r="E15723" s="130"/>
      <c r="P15723" s="99"/>
      <c r="Q15723" s="99"/>
      <c r="R15723" s="99"/>
    </row>
    <row r="15724" spans="5:18" s="65" customFormat="1">
      <c r="E15724" s="130"/>
      <c r="P15724" s="99"/>
      <c r="Q15724" s="99"/>
      <c r="R15724" s="99"/>
    </row>
    <row r="15725" spans="5:18" s="65" customFormat="1">
      <c r="E15725" s="130"/>
      <c r="P15725" s="99"/>
      <c r="Q15725" s="99"/>
      <c r="R15725" s="99"/>
    </row>
    <row r="15726" spans="5:18" s="65" customFormat="1">
      <c r="E15726" s="130"/>
      <c r="P15726" s="99"/>
      <c r="Q15726" s="99"/>
      <c r="R15726" s="99"/>
    </row>
    <row r="15727" spans="5:18" s="65" customFormat="1">
      <c r="E15727" s="130"/>
      <c r="P15727" s="99"/>
      <c r="Q15727" s="99"/>
      <c r="R15727" s="99"/>
    </row>
    <row r="15728" spans="5:18" s="65" customFormat="1">
      <c r="E15728" s="130"/>
      <c r="P15728" s="99"/>
      <c r="Q15728" s="99"/>
      <c r="R15728" s="99"/>
    </row>
    <row r="15729" spans="5:18" s="65" customFormat="1">
      <c r="E15729" s="130"/>
      <c r="P15729" s="99"/>
      <c r="Q15729" s="99"/>
      <c r="R15729" s="99"/>
    </row>
    <row r="15730" spans="5:18" s="65" customFormat="1">
      <c r="E15730" s="130"/>
      <c r="P15730" s="99"/>
      <c r="Q15730" s="99"/>
      <c r="R15730" s="99"/>
    </row>
    <row r="15731" spans="5:18" s="65" customFormat="1">
      <c r="E15731" s="130"/>
      <c r="P15731" s="99"/>
      <c r="Q15731" s="99"/>
      <c r="R15731" s="99"/>
    </row>
    <row r="15732" spans="5:18" s="65" customFormat="1">
      <c r="E15732" s="130"/>
      <c r="P15732" s="99"/>
      <c r="Q15732" s="99"/>
      <c r="R15732" s="99"/>
    </row>
    <row r="15733" spans="5:18" s="65" customFormat="1">
      <c r="E15733" s="130"/>
      <c r="P15733" s="99"/>
      <c r="Q15733" s="99"/>
      <c r="R15733" s="99"/>
    </row>
    <row r="15734" spans="5:18" s="65" customFormat="1">
      <c r="E15734" s="130"/>
      <c r="P15734" s="99"/>
      <c r="Q15734" s="99"/>
      <c r="R15734" s="99"/>
    </row>
    <row r="15735" spans="5:18" s="65" customFormat="1">
      <c r="E15735" s="130"/>
      <c r="P15735" s="99"/>
      <c r="Q15735" s="99"/>
      <c r="R15735" s="99"/>
    </row>
    <row r="15736" spans="5:18" s="65" customFormat="1">
      <c r="E15736" s="130"/>
      <c r="P15736" s="99"/>
      <c r="Q15736" s="99"/>
      <c r="R15736" s="99"/>
    </row>
    <row r="15737" spans="5:18" s="65" customFormat="1">
      <c r="E15737" s="130"/>
      <c r="P15737" s="99"/>
      <c r="Q15737" s="99"/>
      <c r="R15737" s="99"/>
    </row>
    <row r="15738" spans="5:18" s="65" customFormat="1">
      <c r="E15738" s="130"/>
      <c r="P15738" s="99"/>
      <c r="Q15738" s="99"/>
      <c r="R15738" s="99"/>
    </row>
    <row r="15739" spans="5:18" s="65" customFormat="1">
      <c r="E15739" s="130"/>
      <c r="P15739" s="99"/>
      <c r="Q15739" s="99"/>
      <c r="R15739" s="99"/>
    </row>
    <row r="15740" spans="5:18" s="65" customFormat="1">
      <c r="E15740" s="130"/>
      <c r="P15740" s="99"/>
      <c r="Q15740" s="99"/>
      <c r="R15740" s="99"/>
    </row>
    <row r="15741" spans="5:18" s="65" customFormat="1">
      <c r="E15741" s="130"/>
      <c r="P15741" s="99"/>
      <c r="Q15741" s="99"/>
      <c r="R15741" s="99"/>
    </row>
    <row r="15742" spans="5:18" s="65" customFormat="1">
      <c r="E15742" s="130"/>
      <c r="P15742" s="99"/>
      <c r="Q15742" s="99"/>
      <c r="R15742" s="99"/>
    </row>
    <row r="15743" spans="5:18" s="65" customFormat="1">
      <c r="E15743" s="130"/>
      <c r="P15743" s="99"/>
      <c r="Q15743" s="99"/>
      <c r="R15743" s="99"/>
    </row>
    <row r="15744" spans="5:18" s="65" customFormat="1">
      <c r="E15744" s="130"/>
      <c r="P15744" s="99"/>
      <c r="Q15744" s="99"/>
      <c r="R15744" s="99"/>
    </row>
    <row r="15745" spans="5:18" s="65" customFormat="1">
      <c r="E15745" s="130"/>
      <c r="P15745" s="99"/>
      <c r="Q15745" s="99"/>
      <c r="R15745" s="99"/>
    </row>
    <row r="15746" spans="5:18" s="65" customFormat="1">
      <c r="E15746" s="130"/>
      <c r="P15746" s="99"/>
      <c r="Q15746" s="99"/>
      <c r="R15746" s="99"/>
    </row>
    <row r="15747" spans="5:18" s="65" customFormat="1">
      <c r="E15747" s="130"/>
      <c r="P15747" s="99"/>
      <c r="Q15747" s="99"/>
      <c r="R15747" s="99"/>
    </row>
    <row r="15748" spans="5:18" s="65" customFormat="1">
      <c r="E15748" s="130"/>
      <c r="P15748" s="99"/>
      <c r="Q15748" s="99"/>
      <c r="R15748" s="99"/>
    </row>
    <row r="15749" spans="5:18" s="65" customFormat="1">
      <c r="E15749" s="130"/>
      <c r="P15749" s="99"/>
      <c r="Q15749" s="99"/>
      <c r="R15749" s="99"/>
    </row>
    <row r="15750" spans="5:18" s="65" customFormat="1">
      <c r="E15750" s="130"/>
      <c r="P15750" s="99"/>
      <c r="Q15750" s="99"/>
      <c r="R15750" s="99"/>
    </row>
    <row r="15751" spans="5:18" s="65" customFormat="1">
      <c r="E15751" s="130"/>
      <c r="P15751" s="99"/>
      <c r="Q15751" s="99"/>
      <c r="R15751" s="99"/>
    </row>
    <row r="15752" spans="5:18" s="65" customFormat="1">
      <c r="E15752" s="130"/>
      <c r="P15752" s="99"/>
      <c r="Q15752" s="99"/>
      <c r="R15752" s="99"/>
    </row>
    <row r="15753" spans="5:18" s="65" customFormat="1">
      <c r="E15753" s="130"/>
      <c r="P15753" s="99"/>
      <c r="Q15753" s="99"/>
      <c r="R15753" s="99"/>
    </row>
    <row r="15754" spans="5:18" s="65" customFormat="1">
      <c r="E15754" s="130"/>
      <c r="P15754" s="99"/>
      <c r="Q15754" s="99"/>
      <c r="R15754" s="99"/>
    </row>
    <row r="15755" spans="5:18" s="65" customFormat="1">
      <c r="E15755" s="130"/>
      <c r="P15755" s="99"/>
      <c r="Q15755" s="99"/>
      <c r="R15755" s="99"/>
    </row>
    <row r="15756" spans="5:18" s="65" customFormat="1">
      <c r="E15756" s="130"/>
      <c r="P15756" s="99"/>
      <c r="Q15756" s="99"/>
      <c r="R15756" s="99"/>
    </row>
    <row r="15757" spans="5:18" s="65" customFormat="1">
      <c r="E15757" s="130"/>
      <c r="P15757" s="99"/>
      <c r="Q15757" s="99"/>
      <c r="R15757" s="99"/>
    </row>
    <row r="15758" spans="5:18" s="65" customFormat="1">
      <c r="E15758" s="130"/>
      <c r="P15758" s="99"/>
      <c r="Q15758" s="99"/>
      <c r="R15758" s="99"/>
    </row>
    <row r="15759" spans="5:18" s="65" customFormat="1">
      <c r="E15759" s="130"/>
      <c r="P15759" s="99"/>
      <c r="Q15759" s="99"/>
      <c r="R15759" s="99"/>
    </row>
    <row r="15760" spans="5:18" s="65" customFormat="1">
      <c r="E15760" s="130"/>
      <c r="P15760" s="99"/>
      <c r="Q15760" s="99"/>
      <c r="R15760" s="99"/>
    </row>
    <row r="15761" spans="5:18" s="65" customFormat="1">
      <c r="E15761" s="130"/>
      <c r="P15761" s="99"/>
      <c r="Q15761" s="99"/>
      <c r="R15761" s="99"/>
    </row>
    <row r="15762" spans="5:18" s="65" customFormat="1">
      <c r="E15762" s="130"/>
      <c r="P15762" s="99"/>
      <c r="Q15762" s="99"/>
      <c r="R15762" s="99"/>
    </row>
    <row r="15763" spans="5:18" s="65" customFormat="1">
      <c r="E15763" s="130"/>
      <c r="P15763" s="99"/>
      <c r="Q15763" s="99"/>
      <c r="R15763" s="99"/>
    </row>
    <row r="15764" spans="5:18" s="65" customFormat="1">
      <c r="E15764" s="130"/>
      <c r="P15764" s="99"/>
      <c r="Q15764" s="99"/>
      <c r="R15764" s="99"/>
    </row>
    <row r="15765" spans="5:18" s="65" customFormat="1">
      <c r="E15765" s="130"/>
      <c r="P15765" s="99"/>
      <c r="Q15765" s="99"/>
      <c r="R15765" s="99"/>
    </row>
    <row r="15766" spans="5:18" s="65" customFormat="1">
      <c r="E15766" s="130"/>
      <c r="P15766" s="99"/>
      <c r="Q15766" s="99"/>
      <c r="R15766" s="99"/>
    </row>
    <row r="15767" spans="5:18" s="65" customFormat="1">
      <c r="E15767" s="130"/>
      <c r="P15767" s="99"/>
      <c r="Q15767" s="99"/>
      <c r="R15767" s="99"/>
    </row>
    <row r="15768" spans="5:18" s="65" customFormat="1">
      <c r="E15768" s="130"/>
      <c r="P15768" s="99"/>
      <c r="Q15768" s="99"/>
      <c r="R15768" s="99"/>
    </row>
    <row r="15769" spans="5:18" s="65" customFormat="1">
      <c r="E15769" s="130"/>
      <c r="P15769" s="99"/>
      <c r="Q15769" s="99"/>
      <c r="R15769" s="99"/>
    </row>
    <row r="15770" spans="5:18" s="65" customFormat="1">
      <c r="E15770" s="130"/>
      <c r="P15770" s="99"/>
      <c r="Q15770" s="99"/>
      <c r="R15770" s="99"/>
    </row>
    <row r="15771" spans="5:18" s="65" customFormat="1">
      <c r="E15771" s="130"/>
      <c r="P15771" s="99"/>
      <c r="Q15771" s="99"/>
      <c r="R15771" s="99"/>
    </row>
    <row r="15772" spans="5:18" s="65" customFormat="1">
      <c r="E15772" s="130"/>
      <c r="P15772" s="99"/>
      <c r="Q15772" s="99"/>
      <c r="R15772" s="99"/>
    </row>
    <row r="15773" spans="5:18" s="65" customFormat="1">
      <c r="E15773" s="130"/>
      <c r="P15773" s="99"/>
      <c r="Q15773" s="99"/>
      <c r="R15773" s="99"/>
    </row>
    <row r="15774" spans="5:18" s="65" customFormat="1">
      <c r="E15774" s="130"/>
      <c r="P15774" s="99"/>
      <c r="Q15774" s="99"/>
      <c r="R15774" s="99"/>
    </row>
    <row r="15775" spans="5:18" s="65" customFormat="1">
      <c r="E15775" s="130"/>
      <c r="P15775" s="99"/>
      <c r="Q15775" s="99"/>
      <c r="R15775" s="99"/>
    </row>
    <row r="15776" spans="5:18" s="65" customFormat="1">
      <c r="E15776" s="130"/>
      <c r="P15776" s="99"/>
      <c r="Q15776" s="99"/>
      <c r="R15776" s="99"/>
    </row>
    <row r="15777" spans="5:18" s="65" customFormat="1">
      <c r="E15777" s="130"/>
      <c r="P15777" s="99"/>
      <c r="Q15777" s="99"/>
      <c r="R15777" s="99"/>
    </row>
    <row r="15778" spans="5:18" s="65" customFormat="1">
      <c r="E15778" s="130"/>
      <c r="P15778" s="99"/>
      <c r="Q15778" s="99"/>
      <c r="R15778" s="99"/>
    </row>
    <row r="15779" spans="5:18" s="65" customFormat="1">
      <c r="E15779" s="130"/>
      <c r="P15779" s="99"/>
      <c r="Q15779" s="99"/>
      <c r="R15779" s="99"/>
    </row>
    <row r="15780" spans="5:18" s="65" customFormat="1">
      <c r="E15780" s="130"/>
      <c r="P15780" s="99"/>
      <c r="Q15780" s="99"/>
      <c r="R15780" s="99"/>
    </row>
    <row r="15781" spans="5:18" s="65" customFormat="1">
      <c r="E15781" s="130"/>
      <c r="P15781" s="99"/>
      <c r="Q15781" s="99"/>
      <c r="R15781" s="99"/>
    </row>
    <row r="15782" spans="5:18" s="65" customFormat="1">
      <c r="E15782" s="130"/>
      <c r="P15782" s="99"/>
      <c r="Q15782" s="99"/>
      <c r="R15782" s="99"/>
    </row>
    <row r="15783" spans="5:18" s="65" customFormat="1">
      <c r="E15783" s="130"/>
      <c r="P15783" s="99"/>
      <c r="Q15783" s="99"/>
      <c r="R15783" s="99"/>
    </row>
    <row r="15784" spans="5:18" s="65" customFormat="1">
      <c r="E15784" s="130"/>
      <c r="P15784" s="99"/>
      <c r="Q15784" s="99"/>
      <c r="R15784" s="99"/>
    </row>
    <row r="15785" spans="5:18" s="65" customFormat="1">
      <c r="E15785" s="130"/>
      <c r="P15785" s="99"/>
      <c r="Q15785" s="99"/>
      <c r="R15785" s="99"/>
    </row>
    <row r="15786" spans="5:18" s="65" customFormat="1">
      <c r="E15786" s="130"/>
      <c r="P15786" s="99"/>
      <c r="Q15786" s="99"/>
      <c r="R15786" s="99"/>
    </row>
    <row r="15787" spans="5:18" s="65" customFormat="1">
      <c r="E15787" s="130"/>
      <c r="P15787" s="99"/>
      <c r="Q15787" s="99"/>
      <c r="R15787" s="99"/>
    </row>
    <row r="15788" spans="5:18" s="65" customFormat="1">
      <c r="E15788" s="130"/>
      <c r="P15788" s="99"/>
      <c r="Q15788" s="99"/>
      <c r="R15788" s="99"/>
    </row>
    <row r="15789" spans="5:18" s="65" customFormat="1">
      <c r="E15789" s="130"/>
      <c r="P15789" s="99"/>
      <c r="Q15789" s="99"/>
      <c r="R15789" s="99"/>
    </row>
    <row r="15790" spans="5:18" s="65" customFormat="1">
      <c r="E15790" s="130"/>
      <c r="P15790" s="99"/>
      <c r="Q15790" s="99"/>
      <c r="R15790" s="99"/>
    </row>
    <row r="15791" spans="5:18" s="65" customFormat="1">
      <c r="E15791" s="130"/>
      <c r="P15791" s="99"/>
      <c r="Q15791" s="99"/>
      <c r="R15791" s="99"/>
    </row>
    <row r="15792" spans="5:18" s="65" customFormat="1">
      <c r="E15792" s="130"/>
      <c r="P15792" s="99"/>
      <c r="Q15792" s="99"/>
      <c r="R15792" s="99"/>
    </row>
    <row r="15793" spans="5:18" s="65" customFormat="1">
      <c r="E15793" s="130"/>
      <c r="P15793" s="99"/>
      <c r="Q15793" s="99"/>
      <c r="R15793" s="99"/>
    </row>
    <row r="15794" spans="5:18" s="65" customFormat="1">
      <c r="E15794" s="130"/>
      <c r="P15794" s="99"/>
      <c r="Q15794" s="99"/>
      <c r="R15794" s="99"/>
    </row>
    <row r="15795" spans="5:18" s="65" customFormat="1">
      <c r="E15795" s="130"/>
      <c r="P15795" s="99"/>
      <c r="Q15795" s="99"/>
      <c r="R15795" s="99"/>
    </row>
    <row r="15796" spans="5:18" s="65" customFormat="1">
      <c r="E15796" s="130"/>
      <c r="P15796" s="99"/>
      <c r="Q15796" s="99"/>
      <c r="R15796" s="99"/>
    </row>
    <row r="15797" spans="5:18" s="65" customFormat="1">
      <c r="E15797" s="130"/>
      <c r="P15797" s="99"/>
      <c r="Q15797" s="99"/>
      <c r="R15797" s="99"/>
    </row>
    <row r="15798" spans="5:18" s="65" customFormat="1">
      <c r="E15798" s="130"/>
      <c r="P15798" s="99"/>
      <c r="Q15798" s="99"/>
      <c r="R15798" s="99"/>
    </row>
    <row r="15799" spans="5:18" s="65" customFormat="1">
      <c r="E15799" s="130"/>
      <c r="P15799" s="99"/>
      <c r="Q15799" s="99"/>
      <c r="R15799" s="99"/>
    </row>
    <row r="15800" spans="5:18" s="65" customFormat="1">
      <c r="E15800" s="130"/>
      <c r="P15800" s="99"/>
      <c r="Q15800" s="99"/>
      <c r="R15800" s="99"/>
    </row>
    <row r="15801" spans="5:18" s="65" customFormat="1">
      <c r="E15801" s="130"/>
      <c r="P15801" s="99"/>
      <c r="Q15801" s="99"/>
      <c r="R15801" s="99"/>
    </row>
    <row r="15802" spans="5:18" s="65" customFormat="1">
      <c r="E15802" s="130"/>
      <c r="P15802" s="99"/>
      <c r="Q15802" s="99"/>
      <c r="R15802" s="99"/>
    </row>
    <row r="15803" spans="5:18" s="65" customFormat="1">
      <c r="E15803" s="130"/>
      <c r="P15803" s="99"/>
      <c r="Q15803" s="99"/>
      <c r="R15803" s="99"/>
    </row>
    <row r="15804" spans="5:18" s="65" customFormat="1">
      <c r="E15804" s="130"/>
      <c r="P15804" s="99"/>
      <c r="Q15804" s="99"/>
      <c r="R15804" s="99"/>
    </row>
    <row r="15805" spans="5:18" s="65" customFormat="1">
      <c r="E15805" s="130"/>
      <c r="P15805" s="99"/>
      <c r="Q15805" s="99"/>
      <c r="R15805" s="99"/>
    </row>
    <row r="15806" spans="5:18" s="65" customFormat="1">
      <c r="E15806" s="130"/>
      <c r="P15806" s="99"/>
      <c r="Q15806" s="99"/>
      <c r="R15806" s="99"/>
    </row>
    <row r="15807" spans="5:18" s="65" customFormat="1">
      <c r="E15807" s="130"/>
      <c r="P15807" s="99"/>
      <c r="Q15807" s="99"/>
      <c r="R15807" s="99"/>
    </row>
    <row r="15808" spans="5:18" s="65" customFormat="1">
      <c r="E15808" s="130"/>
      <c r="P15808" s="99"/>
      <c r="Q15808" s="99"/>
      <c r="R15808" s="99"/>
    </row>
    <row r="15809" spans="5:18" s="65" customFormat="1">
      <c r="E15809" s="130"/>
      <c r="P15809" s="99"/>
      <c r="Q15809" s="99"/>
      <c r="R15809" s="99"/>
    </row>
    <row r="15810" spans="5:18" s="65" customFormat="1">
      <c r="E15810" s="130"/>
      <c r="P15810" s="99"/>
      <c r="Q15810" s="99"/>
      <c r="R15810" s="99"/>
    </row>
    <row r="15811" spans="5:18" s="65" customFormat="1">
      <c r="E15811" s="130"/>
      <c r="P15811" s="99"/>
      <c r="Q15811" s="99"/>
      <c r="R15811" s="99"/>
    </row>
    <row r="15812" spans="5:18" s="65" customFormat="1">
      <c r="E15812" s="130"/>
      <c r="P15812" s="99"/>
      <c r="Q15812" s="99"/>
      <c r="R15812" s="99"/>
    </row>
    <row r="15813" spans="5:18" s="65" customFormat="1">
      <c r="E15813" s="130"/>
      <c r="P15813" s="99"/>
      <c r="Q15813" s="99"/>
      <c r="R15813" s="99"/>
    </row>
    <row r="15814" spans="5:18" s="65" customFormat="1">
      <c r="E15814" s="130"/>
      <c r="P15814" s="99"/>
      <c r="Q15814" s="99"/>
      <c r="R15814" s="99"/>
    </row>
    <row r="15815" spans="5:18" s="65" customFormat="1">
      <c r="E15815" s="130"/>
      <c r="P15815" s="99"/>
      <c r="Q15815" s="99"/>
      <c r="R15815" s="99"/>
    </row>
    <row r="15816" spans="5:18" s="65" customFormat="1">
      <c r="E15816" s="130"/>
      <c r="P15816" s="99"/>
      <c r="Q15816" s="99"/>
      <c r="R15816" s="99"/>
    </row>
    <row r="15817" spans="5:18" s="65" customFormat="1">
      <c r="E15817" s="130"/>
      <c r="P15817" s="99"/>
      <c r="Q15817" s="99"/>
      <c r="R15817" s="99"/>
    </row>
    <row r="15818" spans="5:18" s="65" customFormat="1">
      <c r="E15818" s="130"/>
      <c r="P15818" s="99"/>
      <c r="Q15818" s="99"/>
      <c r="R15818" s="99"/>
    </row>
    <row r="15819" spans="5:18" s="65" customFormat="1">
      <c r="E15819" s="130"/>
      <c r="P15819" s="99"/>
      <c r="Q15819" s="99"/>
      <c r="R15819" s="99"/>
    </row>
    <row r="15820" spans="5:18" s="65" customFormat="1">
      <c r="E15820" s="130"/>
      <c r="P15820" s="99"/>
      <c r="Q15820" s="99"/>
      <c r="R15820" s="99"/>
    </row>
    <row r="15821" spans="5:18" s="65" customFormat="1">
      <c r="E15821" s="130"/>
      <c r="P15821" s="99"/>
      <c r="Q15821" s="99"/>
      <c r="R15821" s="99"/>
    </row>
    <row r="15822" spans="5:18" s="65" customFormat="1">
      <c r="E15822" s="130"/>
      <c r="P15822" s="99"/>
      <c r="Q15822" s="99"/>
      <c r="R15822" s="99"/>
    </row>
    <row r="15823" spans="5:18" s="65" customFormat="1">
      <c r="E15823" s="130"/>
      <c r="P15823" s="99"/>
      <c r="Q15823" s="99"/>
      <c r="R15823" s="99"/>
    </row>
    <row r="15824" spans="5:18" s="65" customFormat="1">
      <c r="E15824" s="130"/>
      <c r="P15824" s="99"/>
      <c r="Q15824" s="99"/>
      <c r="R15824" s="99"/>
    </row>
    <row r="15825" spans="5:18" s="65" customFormat="1">
      <c r="E15825" s="130"/>
      <c r="P15825" s="99"/>
      <c r="Q15825" s="99"/>
      <c r="R15825" s="99"/>
    </row>
    <row r="15826" spans="5:18" s="65" customFormat="1">
      <c r="E15826" s="130"/>
      <c r="P15826" s="99"/>
      <c r="Q15826" s="99"/>
      <c r="R15826" s="99"/>
    </row>
    <row r="15827" spans="5:18" s="65" customFormat="1">
      <c r="E15827" s="130"/>
      <c r="P15827" s="99"/>
      <c r="Q15827" s="99"/>
      <c r="R15827" s="99"/>
    </row>
    <row r="15828" spans="5:18" s="65" customFormat="1">
      <c r="E15828" s="130"/>
      <c r="P15828" s="99"/>
      <c r="Q15828" s="99"/>
      <c r="R15828" s="99"/>
    </row>
    <row r="15829" spans="5:18" s="65" customFormat="1">
      <c r="E15829" s="130"/>
      <c r="P15829" s="99"/>
      <c r="Q15829" s="99"/>
      <c r="R15829" s="99"/>
    </row>
    <row r="15830" spans="5:18" s="65" customFormat="1">
      <c r="E15830" s="130"/>
      <c r="P15830" s="99"/>
      <c r="Q15830" s="99"/>
      <c r="R15830" s="99"/>
    </row>
    <row r="15831" spans="5:18" s="65" customFormat="1">
      <c r="E15831" s="130"/>
      <c r="P15831" s="99"/>
      <c r="Q15831" s="99"/>
      <c r="R15831" s="99"/>
    </row>
    <row r="15832" spans="5:18" s="65" customFormat="1">
      <c r="E15832" s="130"/>
      <c r="P15832" s="99"/>
      <c r="Q15832" s="99"/>
      <c r="R15832" s="99"/>
    </row>
    <row r="15833" spans="5:18" s="65" customFormat="1">
      <c r="E15833" s="130"/>
      <c r="P15833" s="99"/>
      <c r="Q15833" s="99"/>
      <c r="R15833" s="99"/>
    </row>
    <row r="15834" spans="5:18" s="65" customFormat="1">
      <c r="E15834" s="130"/>
      <c r="P15834" s="99"/>
      <c r="Q15834" s="99"/>
      <c r="R15834" s="99"/>
    </row>
    <row r="15835" spans="5:18" s="65" customFormat="1">
      <c r="E15835" s="130"/>
      <c r="P15835" s="99"/>
      <c r="Q15835" s="99"/>
      <c r="R15835" s="99"/>
    </row>
    <row r="15836" spans="5:18" s="65" customFormat="1">
      <c r="E15836" s="130"/>
      <c r="P15836" s="99"/>
      <c r="Q15836" s="99"/>
      <c r="R15836" s="99"/>
    </row>
    <row r="15837" spans="5:18" s="65" customFormat="1">
      <c r="E15837" s="130"/>
      <c r="P15837" s="99"/>
      <c r="Q15837" s="99"/>
      <c r="R15837" s="99"/>
    </row>
    <row r="15838" spans="5:18" s="65" customFormat="1">
      <c r="E15838" s="130"/>
      <c r="P15838" s="99"/>
      <c r="Q15838" s="99"/>
      <c r="R15838" s="99"/>
    </row>
    <row r="15839" spans="5:18" s="65" customFormat="1">
      <c r="E15839" s="130"/>
      <c r="P15839" s="99"/>
      <c r="Q15839" s="99"/>
      <c r="R15839" s="99"/>
    </row>
    <row r="15840" spans="5:18" s="65" customFormat="1">
      <c r="E15840" s="130"/>
      <c r="P15840" s="99"/>
      <c r="Q15840" s="99"/>
      <c r="R15840" s="99"/>
    </row>
    <row r="15841" spans="5:18" s="65" customFormat="1">
      <c r="E15841" s="130"/>
      <c r="P15841" s="99"/>
      <c r="Q15841" s="99"/>
      <c r="R15841" s="99"/>
    </row>
    <row r="15842" spans="5:18" s="65" customFormat="1">
      <c r="E15842" s="130"/>
      <c r="P15842" s="99"/>
      <c r="Q15842" s="99"/>
      <c r="R15842" s="99"/>
    </row>
    <row r="15843" spans="5:18" s="65" customFormat="1">
      <c r="E15843" s="130"/>
      <c r="P15843" s="99"/>
      <c r="Q15843" s="99"/>
      <c r="R15843" s="99"/>
    </row>
    <row r="15844" spans="5:18" s="65" customFormat="1">
      <c r="E15844" s="130"/>
      <c r="P15844" s="99"/>
      <c r="Q15844" s="99"/>
      <c r="R15844" s="99"/>
    </row>
    <row r="15845" spans="5:18" s="65" customFormat="1">
      <c r="E15845" s="130"/>
      <c r="P15845" s="99"/>
      <c r="Q15845" s="99"/>
      <c r="R15845" s="99"/>
    </row>
    <row r="15846" spans="5:18" s="65" customFormat="1">
      <c r="E15846" s="130"/>
      <c r="P15846" s="99"/>
      <c r="Q15846" s="99"/>
      <c r="R15846" s="99"/>
    </row>
    <row r="15847" spans="5:18" s="65" customFormat="1">
      <c r="E15847" s="130"/>
      <c r="P15847" s="99"/>
      <c r="Q15847" s="99"/>
      <c r="R15847" s="99"/>
    </row>
    <row r="15848" spans="5:18" s="65" customFormat="1">
      <c r="E15848" s="130"/>
      <c r="P15848" s="99"/>
      <c r="Q15848" s="99"/>
      <c r="R15848" s="99"/>
    </row>
    <row r="15849" spans="5:18" s="65" customFormat="1">
      <c r="E15849" s="130"/>
      <c r="P15849" s="99"/>
      <c r="Q15849" s="99"/>
      <c r="R15849" s="99"/>
    </row>
    <row r="15850" spans="5:18" s="65" customFormat="1">
      <c r="E15850" s="130"/>
      <c r="P15850" s="99"/>
      <c r="Q15850" s="99"/>
      <c r="R15850" s="99"/>
    </row>
    <row r="15851" spans="5:18" s="65" customFormat="1">
      <c r="E15851" s="130"/>
      <c r="P15851" s="99"/>
      <c r="Q15851" s="99"/>
      <c r="R15851" s="99"/>
    </row>
    <row r="15852" spans="5:18" s="65" customFormat="1">
      <c r="E15852" s="130"/>
      <c r="P15852" s="99"/>
      <c r="Q15852" s="99"/>
      <c r="R15852" s="99"/>
    </row>
    <row r="15853" spans="5:18" s="65" customFormat="1">
      <c r="E15853" s="130"/>
      <c r="P15853" s="99"/>
      <c r="Q15853" s="99"/>
      <c r="R15853" s="99"/>
    </row>
    <row r="15854" spans="5:18" s="65" customFormat="1">
      <c r="E15854" s="130"/>
      <c r="P15854" s="99"/>
      <c r="Q15854" s="99"/>
      <c r="R15854" s="99"/>
    </row>
    <row r="15855" spans="5:18" s="65" customFormat="1">
      <c r="E15855" s="130"/>
      <c r="P15855" s="99"/>
      <c r="Q15855" s="99"/>
      <c r="R15855" s="99"/>
    </row>
    <row r="15856" spans="5:18" s="65" customFormat="1">
      <c r="E15856" s="130"/>
      <c r="P15856" s="99"/>
      <c r="Q15856" s="99"/>
      <c r="R15856" s="99"/>
    </row>
    <row r="15857" spans="5:18" s="65" customFormat="1">
      <c r="E15857" s="130"/>
      <c r="P15857" s="99"/>
      <c r="Q15857" s="99"/>
      <c r="R15857" s="99"/>
    </row>
    <row r="15858" spans="5:18" s="65" customFormat="1">
      <c r="E15858" s="130"/>
      <c r="P15858" s="99"/>
      <c r="Q15858" s="99"/>
      <c r="R15858" s="99"/>
    </row>
    <row r="15859" spans="5:18" s="65" customFormat="1">
      <c r="E15859" s="130"/>
      <c r="P15859" s="99"/>
      <c r="Q15859" s="99"/>
      <c r="R15859" s="99"/>
    </row>
    <row r="15860" spans="5:18" s="65" customFormat="1">
      <c r="E15860" s="130"/>
      <c r="P15860" s="99"/>
      <c r="Q15860" s="99"/>
      <c r="R15860" s="99"/>
    </row>
    <row r="15861" spans="5:18" s="65" customFormat="1">
      <c r="E15861" s="130"/>
      <c r="P15861" s="99"/>
      <c r="Q15861" s="99"/>
      <c r="R15861" s="99"/>
    </row>
    <row r="15862" spans="5:18" s="65" customFormat="1">
      <c r="E15862" s="130"/>
      <c r="P15862" s="99"/>
      <c r="Q15862" s="99"/>
      <c r="R15862" s="99"/>
    </row>
    <row r="15863" spans="5:18" s="65" customFormat="1">
      <c r="E15863" s="130"/>
      <c r="P15863" s="99"/>
      <c r="Q15863" s="99"/>
      <c r="R15863" s="99"/>
    </row>
    <row r="15864" spans="5:18" s="65" customFormat="1">
      <c r="E15864" s="130"/>
      <c r="P15864" s="99"/>
      <c r="Q15864" s="99"/>
      <c r="R15864" s="99"/>
    </row>
    <row r="15865" spans="5:18" s="65" customFormat="1">
      <c r="E15865" s="130"/>
      <c r="P15865" s="99"/>
      <c r="Q15865" s="99"/>
      <c r="R15865" s="99"/>
    </row>
    <row r="15866" spans="5:18" s="65" customFormat="1">
      <c r="E15866" s="130"/>
      <c r="P15866" s="99"/>
      <c r="Q15866" s="99"/>
      <c r="R15866" s="99"/>
    </row>
    <row r="15867" spans="5:18" s="65" customFormat="1">
      <c r="E15867" s="130"/>
      <c r="P15867" s="99"/>
      <c r="Q15867" s="99"/>
      <c r="R15867" s="99"/>
    </row>
    <row r="15868" spans="5:18" s="65" customFormat="1">
      <c r="E15868" s="130"/>
      <c r="P15868" s="99"/>
      <c r="Q15868" s="99"/>
      <c r="R15868" s="99"/>
    </row>
    <row r="15869" spans="5:18" s="65" customFormat="1">
      <c r="E15869" s="130"/>
      <c r="P15869" s="99"/>
      <c r="Q15869" s="99"/>
      <c r="R15869" s="99"/>
    </row>
    <row r="15870" spans="5:18" s="65" customFormat="1">
      <c r="E15870" s="130"/>
      <c r="P15870" s="99"/>
      <c r="Q15870" s="99"/>
      <c r="R15870" s="99"/>
    </row>
    <row r="15871" spans="5:18" s="65" customFormat="1">
      <c r="E15871" s="130"/>
      <c r="P15871" s="99"/>
      <c r="Q15871" s="99"/>
      <c r="R15871" s="99"/>
    </row>
    <row r="15872" spans="5:18" s="65" customFormat="1">
      <c r="E15872" s="130"/>
      <c r="P15872" s="99"/>
      <c r="Q15872" s="99"/>
      <c r="R15872" s="99"/>
    </row>
    <row r="15873" spans="5:18" s="65" customFormat="1">
      <c r="E15873" s="130"/>
      <c r="P15873" s="99"/>
      <c r="Q15873" s="99"/>
      <c r="R15873" s="99"/>
    </row>
    <row r="15874" spans="5:18" s="65" customFormat="1">
      <c r="E15874" s="130"/>
      <c r="P15874" s="99"/>
      <c r="Q15874" s="99"/>
      <c r="R15874" s="99"/>
    </row>
    <row r="15875" spans="5:18" s="65" customFormat="1">
      <c r="E15875" s="130"/>
      <c r="P15875" s="99"/>
      <c r="Q15875" s="99"/>
      <c r="R15875" s="99"/>
    </row>
    <row r="15876" spans="5:18" s="65" customFormat="1">
      <c r="E15876" s="130"/>
      <c r="P15876" s="99"/>
      <c r="Q15876" s="99"/>
      <c r="R15876" s="99"/>
    </row>
    <row r="15877" spans="5:18" s="65" customFormat="1">
      <c r="E15877" s="130"/>
      <c r="P15877" s="99"/>
      <c r="Q15877" s="99"/>
      <c r="R15877" s="99"/>
    </row>
    <row r="15878" spans="5:18" s="65" customFormat="1">
      <c r="E15878" s="130"/>
      <c r="P15878" s="99"/>
      <c r="Q15878" s="99"/>
      <c r="R15878" s="99"/>
    </row>
    <row r="15879" spans="5:18" s="65" customFormat="1">
      <c r="E15879" s="130"/>
      <c r="P15879" s="99"/>
      <c r="Q15879" s="99"/>
      <c r="R15879" s="99"/>
    </row>
    <row r="15880" spans="5:18" s="65" customFormat="1">
      <c r="E15880" s="130"/>
      <c r="P15880" s="99"/>
      <c r="Q15880" s="99"/>
      <c r="R15880" s="99"/>
    </row>
    <row r="15881" spans="5:18" s="65" customFormat="1">
      <c r="E15881" s="130"/>
      <c r="P15881" s="99"/>
      <c r="Q15881" s="99"/>
      <c r="R15881" s="99"/>
    </row>
    <row r="15882" spans="5:18" s="65" customFormat="1">
      <c r="E15882" s="130"/>
      <c r="P15882" s="99"/>
      <c r="Q15882" s="99"/>
      <c r="R15882" s="99"/>
    </row>
    <row r="15883" spans="5:18" s="65" customFormat="1">
      <c r="E15883" s="130"/>
      <c r="P15883" s="99"/>
      <c r="Q15883" s="99"/>
      <c r="R15883" s="99"/>
    </row>
    <row r="15884" spans="5:18" s="65" customFormat="1">
      <c r="E15884" s="130"/>
      <c r="P15884" s="99"/>
      <c r="Q15884" s="99"/>
      <c r="R15884" s="99"/>
    </row>
    <row r="15885" spans="5:18" s="65" customFormat="1">
      <c r="E15885" s="130"/>
      <c r="P15885" s="99"/>
      <c r="Q15885" s="99"/>
      <c r="R15885" s="99"/>
    </row>
    <row r="15886" spans="5:18" s="65" customFormat="1">
      <c r="E15886" s="130"/>
      <c r="P15886" s="99"/>
      <c r="Q15886" s="99"/>
      <c r="R15886" s="99"/>
    </row>
    <row r="15887" spans="5:18" s="65" customFormat="1">
      <c r="E15887" s="130"/>
      <c r="P15887" s="99"/>
      <c r="Q15887" s="99"/>
      <c r="R15887" s="99"/>
    </row>
    <row r="15888" spans="5:18" s="65" customFormat="1">
      <c r="E15888" s="130"/>
      <c r="P15888" s="99"/>
      <c r="Q15888" s="99"/>
      <c r="R15888" s="99"/>
    </row>
    <row r="15889" spans="5:18" s="65" customFormat="1">
      <c r="E15889" s="130"/>
      <c r="P15889" s="99"/>
      <c r="Q15889" s="99"/>
      <c r="R15889" s="99"/>
    </row>
    <row r="15890" spans="5:18" s="65" customFormat="1">
      <c r="E15890" s="130"/>
      <c r="P15890" s="99"/>
      <c r="Q15890" s="99"/>
      <c r="R15890" s="99"/>
    </row>
    <row r="15891" spans="5:18" s="65" customFormat="1">
      <c r="E15891" s="130"/>
      <c r="P15891" s="99"/>
      <c r="Q15891" s="99"/>
      <c r="R15891" s="99"/>
    </row>
    <row r="15892" spans="5:18" s="65" customFormat="1">
      <c r="E15892" s="130"/>
      <c r="P15892" s="99"/>
      <c r="Q15892" s="99"/>
      <c r="R15892" s="99"/>
    </row>
    <row r="15893" spans="5:18" s="65" customFormat="1">
      <c r="E15893" s="130"/>
      <c r="P15893" s="99"/>
      <c r="Q15893" s="99"/>
      <c r="R15893" s="99"/>
    </row>
    <row r="15894" spans="5:18" s="65" customFormat="1">
      <c r="E15894" s="130"/>
      <c r="P15894" s="99"/>
      <c r="Q15894" s="99"/>
      <c r="R15894" s="99"/>
    </row>
    <row r="15895" spans="5:18" s="65" customFormat="1">
      <c r="E15895" s="130"/>
      <c r="P15895" s="99"/>
      <c r="Q15895" s="99"/>
      <c r="R15895" s="99"/>
    </row>
    <row r="15896" spans="5:18" s="65" customFormat="1">
      <c r="E15896" s="130"/>
      <c r="P15896" s="99"/>
      <c r="Q15896" s="99"/>
      <c r="R15896" s="99"/>
    </row>
    <row r="15897" spans="5:18" s="65" customFormat="1">
      <c r="E15897" s="130"/>
      <c r="P15897" s="99"/>
      <c r="Q15897" s="99"/>
      <c r="R15897" s="99"/>
    </row>
    <row r="15898" spans="5:18" s="65" customFormat="1">
      <c r="E15898" s="130"/>
      <c r="P15898" s="99"/>
      <c r="Q15898" s="99"/>
      <c r="R15898" s="99"/>
    </row>
    <row r="15899" spans="5:18" s="65" customFormat="1">
      <c r="E15899" s="130"/>
      <c r="P15899" s="99"/>
      <c r="Q15899" s="99"/>
      <c r="R15899" s="99"/>
    </row>
    <row r="15900" spans="5:18" s="65" customFormat="1">
      <c r="E15900" s="130"/>
      <c r="P15900" s="99"/>
      <c r="Q15900" s="99"/>
      <c r="R15900" s="99"/>
    </row>
    <row r="15901" spans="5:18" s="65" customFormat="1">
      <c r="E15901" s="130"/>
      <c r="P15901" s="99"/>
      <c r="Q15901" s="99"/>
      <c r="R15901" s="99"/>
    </row>
    <row r="15902" spans="5:18" s="65" customFormat="1">
      <c r="E15902" s="130"/>
      <c r="P15902" s="99"/>
      <c r="Q15902" s="99"/>
      <c r="R15902" s="99"/>
    </row>
    <row r="15903" spans="5:18" s="65" customFormat="1">
      <c r="E15903" s="130"/>
      <c r="P15903" s="99"/>
      <c r="Q15903" s="99"/>
      <c r="R15903" s="99"/>
    </row>
    <row r="15904" spans="5:18" s="65" customFormat="1">
      <c r="E15904" s="130"/>
      <c r="P15904" s="99"/>
      <c r="Q15904" s="99"/>
      <c r="R15904" s="99"/>
    </row>
    <row r="15905" spans="5:18" s="65" customFormat="1">
      <c r="E15905" s="130"/>
      <c r="P15905" s="99"/>
      <c r="Q15905" s="99"/>
      <c r="R15905" s="99"/>
    </row>
    <row r="15906" spans="5:18" s="65" customFormat="1">
      <c r="E15906" s="130"/>
      <c r="P15906" s="99"/>
      <c r="Q15906" s="99"/>
      <c r="R15906" s="99"/>
    </row>
    <row r="15907" spans="5:18" s="65" customFormat="1">
      <c r="E15907" s="130"/>
      <c r="P15907" s="99"/>
      <c r="Q15907" s="99"/>
      <c r="R15907" s="99"/>
    </row>
    <row r="15908" spans="5:18" s="65" customFormat="1">
      <c r="E15908" s="130"/>
      <c r="P15908" s="99"/>
      <c r="Q15908" s="99"/>
      <c r="R15908" s="99"/>
    </row>
    <row r="15909" spans="5:18" s="65" customFormat="1">
      <c r="E15909" s="130"/>
      <c r="P15909" s="99"/>
      <c r="Q15909" s="99"/>
      <c r="R15909" s="99"/>
    </row>
    <row r="15910" spans="5:18" s="65" customFormat="1">
      <c r="E15910" s="130"/>
      <c r="P15910" s="99"/>
      <c r="Q15910" s="99"/>
      <c r="R15910" s="99"/>
    </row>
    <row r="15911" spans="5:18" s="65" customFormat="1">
      <c r="E15911" s="130"/>
      <c r="P15911" s="99"/>
      <c r="Q15911" s="99"/>
      <c r="R15911" s="99"/>
    </row>
    <row r="15912" spans="5:18" s="65" customFormat="1">
      <c r="E15912" s="130"/>
      <c r="P15912" s="99"/>
      <c r="Q15912" s="99"/>
      <c r="R15912" s="99"/>
    </row>
    <row r="15913" spans="5:18" s="65" customFormat="1">
      <c r="E15913" s="130"/>
      <c r="P15913" s="99"/>
      <c r="Q15913" s="99"/>
      <c r="R15913" s="99"/>
    </row>
    <row r="15914" spans="5:18" s="65" customFormat="1">
      <c r="E15914" s="130"/>
      <c r="P15914" s="99"/>
      <c r="Q15914" s="99"/>
      <c r="R15914" s="99"/>
    </row>
    <row r="15915" spans="5:18" s="65" customFormat="1">
      <c r="E15915" s="130"/>
      <c r="P15915" s="99"/>
      <c r="Q15915" s="99"/>
      <c r="R15915" s="99"/>
    </row>
    <row r="15916" spans="5:18" s="65" customFormat="1">
      <c r="E15916" s="130"/>
      <c r="P15916" s="99"/>
      <c r="Q15916" s="99"/>
      <c r="R15916" s="99"/>
    </row>
    <row r="15917" spans="5:18" s="65" customFormat="1">
      <c r="E15917" s="130"/>
      <c r="P15917" s="99"/>
      <c r="Q15917" s="99"/>
      <c r="R15917" s="99"/>
    </row>
    <row r="15918" spans="5:18" s="65" customFormat="1">
      <c r="E15918" s="130"/>
      <c r="P15918" s="99"/>
      <c r="Q15918" s="99"/>
      <c r="R15918" s="99"/>
    </row>
    <row r="15919" spans="5:18" s="65" customFormat="1">
      <c r="E15919" s="130"/>
      <c r="P15919" s="99"/>
      <c r="Q15919" s="99"/>
      <c r="R15919" s="99"/>
    </row>
    <row r="15920" spans="5:18" s="65" customFormat="1">
      <c r="E15920" s="130"/>
      <c r="P15920" s="99"/>
      <c r="Q15920" s="99"/>
      <c r="R15920" s="99"/>
    </row>
    <row r="15921" spans="5:18" s="65" customFormat="1">
      <c r="E15921" s="130"/>
      <c r="P15921" s="99"/>
      <c r="Q15921" s="99"/>
      <c r="R15921" s="99"/>
    </row>
    <row r="15922" spans="5:18" s="65" customFormat="1">
      <c r="E15922" s="130"/>
      <c r="P15922" s="99"/>
      <c r="Q15922" s="99"/>
      <c r="R15922" s="99"/>
    </row>
    <row r="15923" spans="5:18" s="65" customFormat="1">
      <c r="E15923" s="130"/>
      <c r="P15923" s="99"/>
      <c r="Q15923" s="99"/>
      <c r="R15923" s="99"/>
    </row>
    <row r="15924" spans="5:18" s="65" customFormat="1">
      <c r="E15924" s="130"/>
      <c r="P15924" s="99"/>
      <c r="Q15924" s="99"/>
      <c r="R15924" s="99"/>
    </row>
    <row r="15925" spans="5:18" s="65" customFormat="1">
      <c r="E15925" s="130"/>
      <c r="P15925" s="99"/>
      <c r="Q15925" s="99"/>
      <c r="R15925" s="99"/>
    </row>
    <row r="15926" spans="5:18" s="65" customFormat="1">
      <c r="E15926" s="130"/>
      <c r="P15926" s="99"/>
      <c r="Q15926" s="99"/>
      <c r="R15926" s="99"/>
    </row>
    <row r="15927" spans="5:18" s="65" customFormat="1">
      <c r="E15927" s="130"/>
      <c r="P15927" s="99"/>
      <c r="Q15927" s="99"/>
      <c r="R15927" s="99"/>
    </row>
    <row r="15928" spans="5:18" s="65" customFormat="1">
      <c r="E15928" s="130"/>
      <c r="P15928" s="99"/>
      <c r="Q15928" s="99"/>
      <c r="R15928" s="99"/>
    </row>
    <row r="15929" spans="5:18" s="65" customFormat="1">
      <c r="E15929" s="130"/>
      <c r="P15929" s="99"/>
      <c r="Q15929" s="99"/>
      <c r="R15929" s="99"/>
    </row>
    <row r="15930" spans="5:18" s="65" customFormat="1">
      <c r="E15930" s="130"/>
      <c r="P15930" s="99"/>
      <c r="Q15930" s="99"/>
      <c r="R15930" s="99"/>
    </row>
    <row r="15931" spans="5:18" s="65" customFormat="1">
      <c r="E15931" s="130"/>
      <c r="P15931" s="99"/>
      <c r="Q15931" s="99"/>
      <c r="R15931" s="99"/>
    </row>
    <row r="15932" spans="5:18" s="65" customFormat="1">
      <c r="E15932" s="130"/>
      <c r="P15932" s="99"/>
      <c r="Q15932" s="99"/>
      <c r="R15932" s="99"/>
    </row>
    <row r="15933" spans="5:18" s="65" customFormat="1">
      <c r="E15933" s="130"/>
      <c r="P15933" s="99"/>
      <c r="Q15933" s="99"/>
      <c r="R15933" s="99"/>
    </row>
    <row r="15934" spans="5:18" s="65" customFormat="1">
      <c r="E15934" s="130"/>
      <c r="P15934" s="99"/>
      <c r="Q15934" s="99"/>
      <c r="R15934" s="99"/>
    </row>
    <row r="15935" spans="5:18" s="65" customFormat="1">
      <c r="E15935" s="130"/>
      <c r="P15935" s="99"/>
      <c r="Q15935" s="99"/>
      <c r="R15935" s="99"/>
    </row>
    <row r="15936" spans="5:18" s="65" customFormat="1">
      <c r="E15936" s="130"/>
      <c r="P15936" s="99"/>
      <c r="Q15936" s="99"/>
      <c r="R15936" s="99"/>
    </row>
    <row r="15937" spans="5:18" s="65" customFormat="1">
      <c r="E15937" s="130"/>
      <c r="P15937" s="99"/>
      <c r="Q15937" s="99"/>
      <c r="R15937" s="99"/>
    </row>
    <row r="15938" spans="5:18" s="65" customFormat="1">
      <c r="E15938" s="130"/>
      <c r="P15938" s="99"/>
      <c r="Q15938" s="99"/>
      <c r="R15938" s="99"/>
    </row>
    <row r="15939" spans="5:18" s="65" customFormat="1">
      <c r="E15939" s="130"/>
      <c r="P15939" s="99"/>
      <c r="Q15939" s="99"/>
      <c r="R15939" s="99"/>
    </row>
    <row r="15940" spans="5:18" s="65" customFormat="1">
      <c r="E15940" s="130"/>
      <c r="P15940" s="99"/>
      <c r="Q15940" s="99"/>
      <c r="R15940" s="99"/>
    </row>
    <row r="15941" spans="5:18" s="65" customFormat="1">
      <c r="E15941" s="130"/>
      <c r="P15941" s="99"/>
      <c r="Q15941" s="99"/>
      <c r="R15941" s="99"/>
    </row>
    <row r="15942" spans="5:18" s="65" customFormat="1">
      <c r="E15942" s="130"/>
      <c r="P15942" s="99"/>
      <c r="Q15942" s="99"/>
      <c r="R15942" s="99"/>
    </row>
    <row r="15943" spans="5:18" s="65" customFormat="1">
      <c r="E15943" s="130"/>
      <c r="P15943" s="99"/>
      <c r="Q15943" s="99"/>
      <c r="R15943" s="99"/>
    </row>
    <row r="15944" spans="5:18" s="65" customFormat="1">
      <c r="E15944" s="130"/>
      <c r="P15944" s="99"/>
      <c r="Q15944" s="99"/>
      <c r="R15944" s="99"/>
    </row>
    <row r="15945" spans="5:18" s="65" customFormat="1">
      <c r="E15945" s="130"/>
      <c r="P15945" s="99"/>
      <c r="Q15945" s="99"/>
      <c r="R15945" s="99"/>
    </row>
    <row r="15946" spans="5:18" s="65" customFormat="1">
      <c r="E15946" s="130"/>
      <c r="P15946" s="99"/>
      <c r="Q15946" s="99"/>
      <c r="R15946" s="99"/>
    </row>
    <row r="15947" spans="5:18" s="65" customFormat="1">
      <c r="E15947" s="130"/>
      <c r="P15947" s="99"/>
      <c r="Q15947" s="99"/>
      <c r="R15947" s="99"/>
    </row>
    <row r="15948" spans="5:18" s="65" customFormat="1">
      <c r="E15948" s="130"/>
      <c r="P15948" s="99"/>
      <c r="Q15948" s="99"/>
      <c r="R15948" s="99"/>
    </row>
    <row r="15949" spans="5:18" s="65" customFormat="1">
      <c r="E15949" s="130"/>
      <c r="P15949" s="99"/>
      <c r="Q15949" s="99"/>
      <c r="R15949" s="99"/>
    </row>
    <row r="15950" spans="5:18" s="65" customFormat="1">
      <c r="E15950" s="130"/>
      <c r="P15950" s="99"/>
      <c r="Q15950" s="99"/>
      <c r="R15950" s="99"/>
    </row>
    <row r="15951" spans="5:18" s="65" customFormat="1">
      <c r="E15951" s="130"/>
      <c r="P15951" s="99"/>
      <c r="Q15951" s="99"/>
      <c r="R15951" s="99"/>
    </row>
    <row r="15952" spans="5:18" s="65" customFormat="1">
      <c r="E15952" s="130"/>
      <c r="P15952" s="99"/>
      <c r="Q15952" s="99"/>
      <c r="R15952" s="99"/>
    </row>
    <row r="15953" spans="5:18" s="65" customFormat="1">
      <c r="E15953" s="130"/>
      <c r="P15953" s="99"/>
      <c r="Q15953" s="99"/>
      <c r="R15953" s="99"/>
    </row>
    <row r="15954" spans="5:18" s="65" customFormat="1">
      <c r="E15954" s="130"/>
      <c r="P15954" s="99"/>
      <c r="Q15954" s="99"/>
      <c r="R15954" s="99"/>
    </row>
    <row r="15955" spans="5:18" s="65" customFormat="1">
      <c r="E15955" s="130"/>
      <c r="P15955" s="99"/>
      <c r="Q15955" s="99"/>
      <c r="R15955" s="99"/>
    </row>
    <row r="15956" spans="5:18" s="65" customFormat="1">
      <c r="E15956" s="130"/>
      <c r="P15956" s="99"/>
      <c r="Q15956" s="99"/>
      <c r="R15956" s="99"/>
    </row>
    <row r="15957" spans="5:18" s="65" customFormat="1">
      <c r="E15957" s="130"/>
      <c r="P15957" s="99"/>
      <c r="Q15957" s="99"/>
      <c r="R15957" s="99"/>
    </row>
    <row r="15958" spans="5:18" s="65" customFormat="1">
      <c r="E15958" s="130"/>
      <c r="P15958" s="99"/>
      <c r="Q15958" s="99"/>
      <c r="R15958" s="99"/>
    </row>
    <row r="15959" spans="5:18" s="65" customFormat="1">
      <c r="E15959" s="130"/>
      <c r="P15959" s="99"/>
      <c r="Q15959" s="99"/>
      <c r="R15959" s="99"/>
    </row>
    <row r="15960" spans="5:18" s="65" customFormat="1">
      <c r="E15960" s="130"/>
      <c r="P15960" s="99"/>
      <c r="Q15960" s="99"/>
      <c r="R15960" s="99"/>
    </row>
    <row r="15961" spans="5:18" s="65" customFormat="1">
      <c r="E15961" s="130"/>
      <c r="P15961" s="99"/>
      <c r="Q15961" s="99"/>
      <c r="R15961" s="99"/>
    </row>
    <row r="15962" spans="5:18" s="65" customFormat="1">
      <c r="E15962" s="130"/>
      <c r="P15962" s="99"/>
      <c r="Q15962" s="99"/>
      <c r="R15962" s="99"/>
    </row>
    <row r="15963" spans="5:18" s="65" customFormat="1">
      <c r="E15963" s="130"/>
      <c r="P15963" s="99"/>
      <c r="Q15963" s="99"/>
      <c r="R15963" s="99"/>
    </row>
    <row r="15964" spans="5:18" s="65" customFormat="1">
      <c r="E15964" s="130"/>
      <c r="P15964" s="99"/>
      <c r="Q15964" s="99"/>
      <c r="R15964" s="99"/>
    </row>
    <row r="15965" spans="5:18" s="65" customFormat="1">
      <c r="E15965" s="130"/>
      <c r="P15965" s="99"/>
      <c r="Q15965" s="99"/>
      <c r="R15965" s="99"/>
    </row>
    <row r="15966" spans="5:18" s="65" customFormat="1">
      <c r="E15966" s="130"/>
      <c r="P15966" s="99"/>
      <c r="Q15966" s="99"/>
      <c r="R15966" s="99"/>
    </row>
    <row r="15967" spans="5:18" s="65" customFormat="1">
      <c r="E15967" s="130"/>
      <c r="P15967" s="99"/>
      <c r="Q15967" s="99"/>
      <c r="R15967" s="99"/>
    </row>
    <row r="15968" spans="5:18" s="65" customFormat="1">
      <c r="E15968" s="130"/>
      <c r="P15968" s="99"/>
      <c r="Q15968" s="99"/>
      <c r="R15968" s="99"/>
    </row>
    <row r="15969" spans="5:18" s="65" customFormat="1">
      <c r="E15969" s="130"/>
      <c r="P15969" s="99"/>
      <c r="Q15969" s="99"/>
      <c r="R15969" s="99"/>
    </row>
    <row r="15970" spans="5:18" s="65" customFormat="1">
      <c r="E15970" s="130"/>
      <c r="P15970" s="99"/>
      <c r="Q15970" s="99"/>
      <c r="R15970" s="99"/>
    </row>
    <row r="15971" spans="5:18" s="65" customFormat="1">
      <c r="E15971" s="130"/>
      <c r="P15971" s="99"/>
      <c r="Q15971" s="99"/>
      <c r="R15971" s="99"/>
    </row>
    <row r="15972" spans="5:18" s="65" customFormat="1">
      <c r="E15972" s="130"/>
      <c r="P15972" s="99"/>
      <c r="Q15972" s="99"/>
      <c r="R15972" s="99"/>
    </row>
    <row r="15973" spans="5:18" s="65" customFormat="1">
      <c r="E15973" s="130"/>
      <c r="P15973" s="99"/>
      <c r="Q15973" s="99"/>
      <c r="R15973" s="99"/>
    </row>
    <row r="15974" spans="5:18" s="65" customFormat="1">
      <c r="E15974" s="130"/>
      <c r="P15974" s="99"/>
      <c r="Q15974" s="99"/>
      <c r="R15974" s="99"/>
    </row>
    <row r="15975" spans="5:18" s="65" customFormat="1">
      <c r="E15975" s="130"/>
      <c r="P15975" s="99"/>
      <c r="Q15975" s="99"/>
      <c r="R15975" s="99"/>
    </row>
    <row r="15976" spans="5:18" s="65" customFormat="1">
      <c r="E15976" s="130"/>
      <c r="P15976" s="99"/>
      <c r="Q15976" s="99"/>
      <c r="R15976" s="99"/>
    </row>
    <row r="15977" spans="5:18" s="65" customFormat="1">
      <c r="E15977" s="130"/>
      <c r="P15977" s="99"/>
      <c r="Q15977" s="99"/>
      <c r="R15977" s="99"/>
    </row>
    <row r="15978" spans="5:18" s="65" customFormat="1">
      <c r="E15978" s="130"/>
      <c r="P15978" s="99"/>
      <c r="Q15978" s="99"/>
      <c r="R15978" s="99"/>
    </row>
    <row r="15979" spans="5:18" s="65" customFormat="1">
      <c r="E15979" s="130"/>
      <c r="P15979" s="99"/>
      <c r="Q15979" s="99"/>
      <c r="R15979" s="99"/>
    </row>
    <row r="15980" spans="5:18" s="65" customFormat="1">
      <c r="E15980" s="130"/>
      <c r="P15980" s="99"/>
      <c r="Q15980" s="99"/>
      <c r="R15980" s="99"/>
    </row>
    <row r="15981" spans="5:18" s="65" customFormat="1">
      <c r="E15981" s="130"/>
      <c r="P15981" s="99"/>
      <c r="Q15981" s="99"/>
      <c r="R15981" s="99"/>
    </row>
    <row r="15982" spans="5:18" s="65" customFormat="1">
      <c r="E15982" s="130"/>
      <c r="P15982" s="99"/>
      <c r="Q15982" s="99"/>
      <c r="R15982" s="99"/>
    </row>
    <row r="15983" spans="5:18" s="65" customFormat="1">
      <c r="E15983" s="130"/>
      <c r="P15983" s="99"/>
      <c r="Q15983" s="99"/>
      <c r="R15983" s="99"/>
    </row>
    <row r="15984" spans="5:18" s="65" customFormat="1">
      <c r="E15984" s="130"/>
      <c r="P15984" s="99"/>
      <c r="Q15984" s="99"/>
      <c r="R15984" s="99"/>
    </row>
    <row r="15985" spans="5:18" s="65" customFormat="1">
      <c r="E15985" s="130"/>
      <c r="P15985" s="99"/>
      <c r="Q15985" s="99"/>
      <c r="R15985" s="99"/>
    </row>
    <row r="15986" spans="5:18" s="65" customFormat="1">
      <c r="E15986" s="130"/>
      <c r="P15986" s="99"/>
      <c r="Q15986" s="99"/>
      <c r="R15986" s="99"/>
    </row>
    <row r="15987" spans="5:18" s="65" customFormat="1">
      <c r="E15987" s="130"/>
      <c r="P15987" s="99"/>
      <c r="Q15987" s="99"/>
      <c r="R15987" s="99"/>
    </row>
    <row r="15988" spans="5:18" s="65" customFormat="1">
      <c r="E15988" s="130"/>
      <c r="P15988" s="99"/>
      <c r="Q15988" s="99"/>
      <c r="R15988" s="99"/>
    </row>
    <row r="15989" spans="5:18" s="65" customFormat="1">
      <c r="E15989" s="130"/>
      <c r="P15989" s="99"/>
      <c r="Q15989" s="99"/>
      <c r="R15989" s="99"/>
    </row>
    <row r="15990" spans="5:18" s="65" customFormat="1">
      <c r="E15990" s="130"/>
      <c r="P15990" s="99"/>
      <c r="Q15990" s="99"/>
      <c r="R15990" s="99"/>
    </row>
    <row r="15991" spans="5:18" s="65" customFormat="1">
      <c r="E15991" s="130"/>
      <c r="P15991" s="99"/>
      <c r="Q15991" s="99"/>
      <c r="R15991" s="99"/>
    </row>
    <row r="15992" spans="5:18" s="65" customFormat="1">
      <c r="E15992" s="130"/>
      <c r="P15992" s="99"/>
      <c r="Q15992" s="99"/>
      <c r="R15992" s="99"/>
    </row>
    <row r="15993" spans="5:18" s="65" customFormat="1">
      <c r="E15993" s="130"/>
      <c r="P15993" s="99"/>
      <c r="Q15993" s="99"/>
      <c r="R15993" s="99"/>
    </row>
    <row r="15994" spans="5:18" s="65" customFormat="1">
      <c r="E15994" s="130"/>
      <c r="P15994" s="99"/>
      <c r="Q15994" s="99"/>
      <c r="R15994" s="99"/>
    </row>
    <row r="15995" spans="5:18" s="65" customFormat="1">
      <c r="E15995" s="130"/>
      <c r="P15995" s="99"/>
      <c r="Q15995" s="99"/>
      <c r="R15995" s="99"/>
    </row>
    <row r="15996" spans="5:18" s="65" customFormat="1">
      <c r="E15996" s="130"/>
      <c r="P15996" s="99"/>
      <c r="Q15996" s="99"/>
      <c r="R15996" s="99"/>
    </row>
    <row r="15997" spans="5:18" s="65" customFormat="1">
      <c r="E15997" s="130"/>
      <c r="P15997" s="99"/>
      <c r="Q15997" s="99"/>
      <c r="R15997" s="99"/>
    </row>
    <row r="15998" spans="5:18" s="65" customFormat="1">
      <c r="E15998" s="130"/>
      <c r="P15998" s="99"/>
      <c r="Q15998" s="99"/>
      <c r="R15998" s="99"/>
    </row>
    <row r="15999" spans="5:18" s="65" customFormat="1">
      <c r="E15999" s="130"/>
      <c r="P15999" s="99"/>
      <c r="Q15999" s="99"/>
      <c r="R15999" s="99"/>
    </row>
    <row r="16000" spans="5:18" s="65" customFormat="1">
      <c r="E16000" s="130"/>
      <c r="P16000" s="99"/>
      <c r="Q16000" s="99"/>
      <c r="R16000" s="99"/>
    </row>
    <row r="16001" spans="5:18" s="65" customFormat="1">
      <c r="E16001" s="130"/>
      <c r="P16001" s="99"/>
      <c r="Q16001" s="99"/>
      <c r="R16001" s="99"/>
    </row>
    <row r="16002" spans="5:18" s="65" customFormat="1">
      <c r="E16002" s="130"/>
      <c r="P16002" s="99"/>
      <c r="Q16002" s="99"/>
      <c r="R16002" s="99"/>
    </row>
    <row r="16003" spans="5:18" s="65" customFormat="1">
      <c r="E16003" s="130"/>
      <c r="P16003" s="99"/>
      <c r="Q16003" s="99"/>
      <c r="R16003" s="99"/>
    </row>
    <row r="16004" spans="5:18" s="65" customFormat="1">
      <c r="E16004" s="130"/>
      <c r="P16004" s="99"/>
      <c r="Q16004" s="99"/>
      <c r="R16004" s="99"/>
    </row>
    <row r="16005" spans="5:18" s="65" customFormat="1">
      <c r="E16005" s="130"/>
      <c r="P16005" s="99"/>
      <c r="Q16005" s="99"/>
      <c r="R16005" s="99"/>
    </row>
    <row r="16006" spans="5:18" s="65" customFormat="1">
      <c r="E16006" s="130"/>
      <c r="P16006" s="99"/>
      <c r="Q16006" s="99"/>
      <c r="R16006" s="99"/>
    </row>
    <row r="16007" spans="5:18" s="65" customFormat="1">
      <c r="E16007" s="130"/>
      <c r="P16007" s="99"/>
      <c r="Q16007" s="99"/>
      <c r="R16007" s="99"/>
    </row>
    <row r="16008" spans="5:18" s="65" customFormat="1">
      <c r="E16008" s="130"/>
      <c r="P16008" s="99"/>
      <c r="Q16008" s="99"/>
      <c r="R16008" s="99"/>
    </row>
    <row r="16009" spans="5:18" s="65" customFormat="1">
      <c r="E16009" s="130"/>
      <c r="P16009" s="99"/>
      <c r="Q16009" s="99"/>
      <c r="R16009" s="99"/>
    </row>
    <row r="16010" spans="5:18" s="65" customFormat="1">
      <c r="E16010" s="130"/>
      <c r="P16010" s="99"/>
      <c r="Q16010" s="99"/>
      <c r="R16010" s="99"/>
    </row>
    <row r="16011" spans="5:18" s="65" customFormat="1">
      <c r="E16011" s="130"/>
      <c r="P16011" s="99"/>
      <c r="Q16011" s="99"/>
      <c r="R16011" s="99"/>
    </row>
    <row r="16012" spans="5:18" s="65" customFormat="1">
      <c r="E16012" s="130"/>
      <c r="P16012" s="99"/>
      <c r="Q16012" s="99"/>
      <c r="R16012" s="99"/>
    </row>
    <row r="16013" spans="5:18" s="65" customFormat="1">
      <c r="E16013" s="130"/>
      <c r="P16013" s="99"/>
      <c r="Q16013" s="99"/>
      <c r="R16013" s="99"/>
    </row>
    <row r="16014" spans="5:18" s="65" customFormat="1">
      <c r="E16014" s="130"/>
      <c r="P16014" s="99"/>
      <c r="Q16014" s="99"/>
      <c r="R16014" s="99"/>
    </row>
    <row r="16015" spans="5:18" s="65" customFormat="1">
      <c r="E16015" s="130"/>
      <c r="P16015" s="99"/>
      <c r="Q16015" s="99"/>
      <c r="R16015" s="99"/>
    </row>
    <row r="16016" spans="5:18" s="65" customFormat="1">
      <c r="E16016" s="130"/>
      <c r="P16016" s="99"/>
      <c r="Q16016" s="99"/>
      <c r="R16016" s="99"/>
    </row>
    <row r="16017" spans="5:18" s="65" customFormat="1">
      <c r="E16017" s="130"/>
      <c r="P16017" s="99"/>
      <c r="Q16017" s="99"/>
      <c r="R16017" s="99"/>
    </row>
    <row r="16018" spans="5:18" s="65" customFormat="1">
      <c r="E16018" s="130"/>
      <c r="P16018" s="99"/>
      <c r="Q16018" s="99"/>
      <c r="R16018" s="99"/>
    </row>
    <row r="16019" spans="5:18" s="65" customFormat="1">
      <c r="E16019" s="130"/>
      <c r="P16019" s="99"/>
      <c r="Q16019" s="99"/>
      <c r="R16019" s="99"/>
    </row>
    <row r="16020" spans="5:18" s="65" customFormat="1">
      <c r="E16020" s="130"/>
      <c r="P16020" s="99"/>
      <c r="Q16020" s="99"/>
      <c r="R16020" s="99"/>
    </row>
    <row r="16021" spans="5:18" s="65" customFormat="1">
      <c r="E16021" s="130"/>
      <c r="P16021" s="99"/>
      <c r="Q16021" s="99"/>
      <c r="R16021" s="99"/>
    </row>
    <row r="16022" spans="5:18" s="65" customFormat="1">
      <c r="E16022" s="130"/>
      <c r="P16022" s="99"/>
      <c r="Q16022" s="99"/>
      <c r="R16022" s="99"/>
    </row>
    <row r="16023" spans="5:18" s="65" customFormat="1">
      <c r="E16023" s="130"/>
      <c r="P16023" s="99"/>
      <c r="Q16023" s="99"/>
      <c r="R16023" s="99"/>
    </row>
    <row r="16024" spans="5:18" s="65" customFormat="1">
      <c r="E16024" s="130"/>
      <c r="P16024" s="99"/>
      <c r="Q16024" s="99"/>
      <c r="R16024" s="99"/>
    </row>
    <row r="16025" spans="5:18" s="65" customFormat="1">
      <c r="E16025" s="130"/>
      <c r="P16025" s="99"/>
      <c r="Q16025" s="99"/>
      <c r="R16025" s="99"/>
    </row>
    <row r="16026" spans="5:18" s="65" customFormat="1">
      <c r="E16026" s="130"/>
      <c r="P16026" s="99"/>
      <c r="Q16026" s="99"/>
      <c r="R16026" s="99"/>
    </row>
    <row r="16027" spans="5:18" s="65" customFormat="1">
      <c r="E16027" s="130"/>
      <c r="P16027" s="99"/>
      <c r="Q16027" s="99"/>
      <c r="R16027" s="99"/>
    </row>
    <row r="16028" spans="5:18" s="65" customFormat="1">
      <c r="E16028" s="130"/>
      <c r="P16028" s="99"/>
      <c r="Q16028" s="99"/>
      <c r="R16028" s="99"/>
    </row>
    <row r="16029" spans="5:18" s="65" customFormat="1">
      <c r="E16029" s="130"/>
      <c r="P16029" s="99"/>
      <c r="Q16029" s="99"/>
      <c r="R16029" s="99"/>
    </row>
    <row r="16030" spans="5:18" s="65" customFormat="1">
      <c r="E16030" s="130"/>
      <c r="P16030" s="99"/>
      <c r="Q16030" s="99"/>
      <c r="R16030" s="99"/>
    </row>
    <row r="16031" spans="5:18" s="65" customFormat="1">
      <c r="E16031" s="130"/>
      <c r="P16031" s="99"/>
      <c r="Q16031" s="99"/>
      <c r="R16031" s="99"/>
    </row>
    <row r="16032" spans="5:18" s="65" customFormat="1">
      <c r="E16032" s="130"/>
      <c r="P16032" s="99"/>
      <c r="Q16032" s="99"/>
      <c r="R16032" s="99"/>
    </row>
    <row r="16033" spans="5:18" s="65" customFormat="1">
      <c r="E16033" s="130"/>
      <c r="P16033" s="99"/>
      <c r="Q16033" s="99"/>
      <c r="R16033" s="99"/>
    </row>
    <row r="16034" spans="5:18" s="65" customFormat="1">
      <c r="E16034" s="130"/>
      <c r="P16034" s="99"/>
      <c r="Q16034" s="99"/>
      <c r="R16034" s="99"/>
    </row>
    <row r="16035" spans="5:18" s="65" customFormat="1">
      <c r="E16035" s="130"/>
      <c r="P16035" s="99"/>
      <c r="Q16035" s="99"/>
      <c r="R16035" s="99"/>
    </row>
    <row r="16036" spans="5:18" s="65" customFormat="1">
      <c r="E16036" s="130"/>
      <c r="P16036" s="99"/>
      <c r="Q16036" s="99"/>
      <c r="R16036" s="99"/>
    </row>
    <row r="16037" spans="5:18" s="65" customFormat="1">
      <c r="E16037" s="130"/>
      <c r="P16037" s="99"/>
      <c r="Q16037" s="99"/>
      <c r="R16037" s="99"/>
    </row>
    <row r="16038" spans="5:18" s="65" customFormat="1">
      <c r="E16038" s="130"/>
      <c r="P16038" s="99"/>
      <c r="Q16038" s="99"/>
      <c r="R16038" s="99"/>
    </row>
    <row r="16039" spans="5:18" s="65" customFormat="1">
      <c r="E16039" s="130"/>
      <c r="P16039" s="99"/>
      <c r="Q16039" s="99"/>
      <c r="R16039" s="99"/>
    </row>
    <row r="16040" spans="5:18" s="65" customFormat="1">
      <c r="E16040" s="130"/>
      <c r="P16040" s="99"/>
      <c r="Q16040" s="99"/>
      <c r="R16040" s="99"/>
    </row>
    <row r="16041" spans="5:18" s="65" customFormat="1">
      <c r="E16041" s="130"/>
      <c r="P16041" s="99"/>
      <c r="Q16041" s="99"/>
      <c r="R16041" s="99"/>
    </row>
    <row r="16042" spans="5:18" s="65" customFormat="1">
      <c r="E16042" s="130"/>
      <c r="P16042" s="99"/>
      <c r="Q16042" s="99"/>
      <c r="R16042" s="99"/>
    </row>
    <row r="16043" spans="5:18" s="65" customFormat="1">
      <c r="E16043" s="130"/>
      <c r="P16043" s="99"/>
      <c r="Q16043" s="99"/>
      <c r="R16043" s="99"/>
    </row>
    <row r="16044" spans="5:18" s="65" customFormat="1">
      <c r="E16044" s="130"/>
      <c r="P16044" s="99"/>
      <c r="Q16044" s="99"/>
      <c r="R16044" s="99"/>
    </row>
    <row r="16045" spans="5:18" s="65" customFormat="1">
      <c r="E16045" s="130"/>
      <c r="P16045" s="99"/>
      <c r="Q16045" s="99"/>
      <c r="R16045" s="99"/>
    </row>
    <row r="16046" spans="5:18" s="65" customFormat="1">
      <c r="E16046" s="130"/>
      <c r="P16046" s="99"/>
      <c r="Q16046" s="99"/>
      <c r="R16046" s="99"/>
    </row>
    <row r="16047" spans="5:18" s="65" customFormat="1">
      <c r="E16047" s="130"/>
      <c r="P16047" s="99"/>
      <c r="Q16047" s="99"/>
      <c r="R16047" s="99"/>
    </row>
    <row r="16048" spans="5:18" s="65" customFormat="1">
      <c r="E16048" s="130"/>
      <c r="P16048" s="99"/>
      <c r="Q16048" s="99"/>
      <c r="R16048" s="99"/>
    </row>
    <row r="16049" spans="5:18" s="65" customFormat="1">
      <c r="E16049" s="130"/>
      <c r="P16049" s="99"/>
      <c r="Q16049" s="99"/>
      <c r="R16049" s="99"/>
    </row>
    <row r="16050" spans="5:18" s="65" customFormat="1">
      <c r="E16050" s="130"/>
      <c r="P16050" s="99"/>
      <c r="Q16050" s="99"/>
      <c r="R16050" s="99"/>
    </row>
    <row r="16051" spans="5:18" s="65" customFormat="1">
      <c r="E16051" s="130"/>
      <c r="P16051" s="99"/>
      <c r="Q16051" s="99"/>
      <c r="R16051" s="99"/>
    </row>
    <row r="16052" spans="5:18" s="65" customFormat="1">
      <c r="E16052" s="130"/>
      <c r="P16052" s="99"/>
      <c r="Q16052" s="99"/>
      <c r="R16052" s="99"/>
    </row>
    <row r="16053" spans="5:18" s="65" customFormat="1">
      <c r="E16053" s="130"/>
      <c r="P16053" s="99"/>
      <c r="Q16053" s="99"/>
      <c r="R16053" s="99"/>
    </row>
    <row r="16054" spans="5:18" s="65" customFormat="1">
      <c r="E16054" s="130"/>
      <c r="P16054" s="99"/>
      <c r="Q16054" s="99"/>
      <c r="R16054" s="99"/>
    </row>
    <row r="16055" spans="5:18" s="65" customFormat="1">
      <c r="E16055" s="130"/>
      <c r="P16055" s="99"/>
      <c r="Q16055" s="99"/>
      <c r="R16055" s="99"/>
    </row>
    <row r="16056" spans="5:18" s="65" customFormat="1">
      <c r="E16056" s="130"/>
      <c r="P16056" s="99"/>
      <c r="Q16056" s="99"/>
      <c r="R16056" s="99"/>
    </row>
    <row r="16057" spans="5:18" s="65" customFormat="1">
      <c r="E16057" s="130"/>
      <c r="P16057" s="99"/>
      <c r="Q16057" s="99"/>
      <c r="R16057" s="99"/>
    </row>
    <row r="16058" spans="5:18" s="65" customFormat="1">
      <c r="E16058" s="130"/>
      <c r="P16058" s="99"/>
      <c r="Q16058" s="99"/>
      <c r="R16058" s="99"/>
    </row>
    <row r="16059" spans="5:18" s="65" customFormat="1">
      <c r="E16059" s="130"/>
      <c r="P16059" s="99"/>
      <c r="Q16059" s="99"/>
      <c r="R16059" s="99"/>
    </row>
    <row r="16060" spans="5:18" s="65" customFormat="1">
      <c r="E16060" s="130"/>
      <c r="P16060" s="99"/>
      <c r="Q16060" s="99"/>
      <c r="R16060" s="99"/>
    </row>
    <row r="16061" spans="5:18" s="65" customFormat="1">
      <c r="E16061" s="130"/>
      <c r="P16061" s="99"/>
      <c r="Q16061" s="99"/>
      <c r="R16061" s="99"/>
    </row>
    <row r="16062" spans="5:18" s="65" customFormat="1">
      <c r="E16062" s="130"/>
      <c r="P16062" s="99"/>
      <c r="Q16062" s="99"/>
      <c r="R16062" s="99"/>
    </row>
    <row r="16063" spans="5:18" s="65" customFormat="1">
      <c r="E16063" s="130"/>
      <c r="P16063" s="99"/>
      <c r="Q16063" s="99"/>
      <c r="R16063" s="99"/>
    </row>
    <row r="16064" spans="5:18" s="65" customFormat="1">
      <c r="E16064" s="130"/>
      <c r="P16064" s="99"/>
      <c r="Q16064" s="99"/>
      <c r="R16064" s="99"/>
    </row>
    <row r="16065" spans="5:18" s="65" customFormat="1">
      <c r="E16065" s="130"/>
      <c r="P16065" s="99"/>
      <c r="Q16065" s="99"/>
      <c r="R16065" s="99"/>
    </row>
    <row r="16066" spans="5:18" s="65" customFormat="1">
      <c r="E16066" s="130"/>
      <c r="P16066" s="99"/>
      <c r="Q16066" s="99"/>
      <c r="R16066" s="99"/>
    </row>
    <row r="16067" spans="5:18" s="65" customFormat="1">
      <c r="E16067" s="130"/>
      <c r="P16067" s="99"/>
      <c r="Q16067" s="99"/>
      <c r="R16067" s="99"/>
    </row>
    <row r="16068" spans="5:18" s="65" customFormat="1">
      <c r="E16068" s="130"/>
      <c r="P16068" s="99"/>
      <c r="Q16068" s="99"/>
      <c r="R16068" s="99"/>
    </row>
    <row r="16069" spans="5:18" s="65" customFormat="1">
      <c r="E16069" s="130"/>
      <c r="P16069" s="99"/>
      <c r="Q16069" s="99"/>
      <c r="R16069" s="99"/>
    </row>
    <row r="16070" spans="5:18" s="65" customFormat="1">
      <c r="E16070" s="130"/>
      <c r="P16070" s="99"/>
      <c r="Q16070" s="99"/>
      <c r="R16070" s="99"/>
    </row>
    <row r="16071" spans="5:18" s="65" customFormat="1">
      <c r="E16071" s="130"/>
      <c r="P16071" s="99"/>
      <c r="Q16071" s="99"/>
      <c r="R16071" s="99"/>
    </row>
    <row r="16072" spans="5:18" s="65" customFormat="1">
      <c r="E16072" s="130"/>
      <c r="P16072" s="99"/>
      <c r="Q16072" s="99"/>
      <c r="R16072" s="99"/>
    </row>
    <row r="16073" spans="5:18" s="65" customFormat="1">
      <c r="E16073" s="130"/>
      <c r="P16073" s="99"/>
      <c r="Q16073" s="99"/>
      <c r="R16073" s="99"/>
    </row>
    <row r="16074" spans="5:18" s="65" customFormat="1">
      <c r="E16074" s="130"/>
      <c r="P16074" s="99"/>
      <c r="Q16074" s="99"/>
      <c r="R16074" s="99"/>
    </row>
    <row r="16075" spans="5:18" s="65" customFormat="1">
      <c r="E16075" s="130"/>
      <c r="P16075" s="99"/>
      <c r="Q16075" s="99"/>
      <c r="R16075" s="99"/>
    </row>
    <row r="16076" spans="5:18" s="65" customFormat="1">
      <c r="E16076" s="130"/>
      <c r="P16076" s="99"/>
      <c r="Q16076" s="99"/>
      <c r="R16076" s="99"/>
    </row>
    <row r="16077" spans="5:18" s="65" customFormat="1">
      <c r="E16077" s="130"/>
      <c r="P16077" s="99"/>
      <c r="Q16077" s="99"/>
      <c r="R16077" s="99"/>
    </row>
    <row r="16078" spans="5:18" s="65" customFormat="1">
      <c r="E16078" s="130"/>
      <c r="P16078" s="99"/>
      <c r="Q16078" s="99"/>
      <c r="R16078" s="99"/>
    </row>
    <row r="16079" spans="5:18" s="65" customFormat="1">
      <c r="E16079" s="130"/>
      <c r="P16079" s="99"/>
      <c r="Q16079" s="99"/>
      <c r="R16079" s="99"/>
    </row>
    <row r="16080" spans="5:18" s="65" customFormat="1">
      <c r="E16080" s="130"/>
      <c r="P16080" s="99"/>
      <c r="Q16080" s="99"/>
      <c r="R16080" s="99"/>
    </row>
    <row r="16081" spans="5:18" s="65" customFormat="1">
      <c r="E16081" s="130"/>
      <c r="P16081" s="99"/>
      <c r="Q16081" s="99"/>
      <c r="R16081" s="99"/>
    </row>
    <row r="16082" spans="5:18" s="65" customFormat="1">
      <c r="E16082" s="130"/>
      <c r="P16082" s="99"/>
      <c r="Q16082" s="99"/>
      <c r="R16082" s="99"/>
    </row>
    <row r="16083" spans="5:18" s="65" customFormat="1">
      <c r="E16083" s="130"/>
      <c r="P16083" s="99"/>
      <c r="Q16083" s="99"/>
      <c r="R16083" s="99"/>
    </row>
    <row r="16084" spans="5:18" s="65" customFormat="1">
      <c r="E16084" s="130"/>
      <c r="P16084" s="99"/>
      <c r="Q16084" s="99"/>
      <c r="R16084" s="99"/>
    </row>
    <row r="16085" spans="5:18" s="65" customFormat="1">
      <c r="E16085" s="130"/>
      <c r="P16085" s="99"/>
      <c r="Q16085" s="99"/>
      <c r="R16085" s="99"/>
    </row>
    <row r="16086" spans="5:18" s="65" customFormat="1">
      <c r="E16086" s="130"/>
      <c r="P16086" s="99"/>
      <c r="Q16086" s="99"/>
      <c r="R16086" s="99"/>
    </row>
    <row r="16087" spans="5:18" s="65" customFormat="1">
      <c r="E16087" s="130"/>
      <c r="P16087" s="99"/>
      <c r="Q16087" s="99"/>
      <c r="R16087" s="99"/>
    </row>
    <row r="16088" spans="5:18" s="65" customFormat="1">
      <c r="E16088" s="130"/>
      <c r="P16088" s="99"/>
      <c r="Q16088" s="99"/>
      <c r="R16088" s="99"/>
    </row>
    <row r="16089" spans="5:18" s="65" customFormat="1">
      <c r="E16089" s="130"/>
      <c r="P16089" s="99"/>
      <c r="Q16089" s="99"/>
      <c r="R16089" s="99"/>
    </row>
    <row r="16090" spans="5:18" s="65" customFormat="1">
      <c r="E16090" s="130"/>
      <c r="P16090" s="99"/>
      <c r="Q16090" s="99"/>
      <c r="R16090" s="99"/>
    </row>
    <row r="16091" spans="5:18" s="65" customFormat="1">
      <c r="E16091" s="130"/>
      <c r="P16091" s="99"/>
      <c r="Q16091" s="99"/>
      <c r="R16091" s="99"/>
    </row>
    <row r="16092" spans="5:18" s="65" customFormat="1">
      <c r="E16092" s="130"/>
      <c r="P16092" s="99"/>
      <c r="Q16092" s="99"/>
      <c r="R16092" s="99"/>
    </row>
    <row r="16093" spans="5:18" s="65" customFormat="1">
      <c r="E16093" s="130"/>
      <c r="P16093" s="99"/>
      <c r="Q16093" s="99"/>
      <c r="R16093" s="99"/>
    </row>
    <row r="16094" spans="5:18" s="65" customFormat="1">
      <c r="E16094" s="130"/>
      <c r="P16094" s="99"/>
      <c r="Q16094" s="99"/>
      <c r="R16094" s="99"/>
    </row>
    <row r="16095" spans="5:18" s="65" customFormat="1">
      <c r="E16095" s="130"/>
      <c r="P16095" s="99"/>
      <c r="Q16095" s="99"/>
      <c r="R16095" s="99"/>
    </row>
    <row r="16096" spans="5:18" s="65" customFormat="1">
      <c r="E16096" s="130"/>
      <c r="P16096" s="99"/>
      <c r="Q16096" s="99"/>
      <c r="R16096" s="99"/>
    </row>
    <row r="16097" spans="5:18" s="65" customFormat="1">
      <c r="E16097" s="130"/>
      <c r="P16097" s="99"/>
      <c r="Q16097" s="99"/>
      <c r="R16097" s="99"/>
    </row>
    <row r="16098" spans="5:18" s="65" customFormat="1">
      <c r="E16098" s="130"/>
      <c r="P16098" s="99"/>
      <c r="Q16098" s="99"/>
      <c r="R16098" s="99"/>
    </row>
    <row r="16099" spans="5:18" s="65" customFormat="1">
      <c r="E16099" s="130"/>
      <c r="P16099" s="99"/>
      <c r="Q16099" s="99"/>
      <c r="R16099" s="99"/>
    </row>
    <row r="16100" spans="5:18" s="65" customFormat="1">
      <c r="E16100" s="130"/>
      <c r="P16100" s="99"/>
      <c r="Q16100" s="99"/>
      <c r="R16100" s="99"/>
    </row>
    <row r="16101" spans="5:18" s="65" customFormat="1">
      <c r="E16101" s="130"/>
      <c r="P16101" s="99"/>
      <c r="Q16101" s="99"/>
      <c r="R16101" s="99"/>
    </row>
    <row r="16102" spans="5:18" s="65" customFormat="1">
      <c r="E16102" s="130"/>
      <c r="P16102" s="99"/>
      <c r="Q16102" s="99"/>
      <c r="R16102" s="99"/>
    </row>
    <row r="16103" spans="5:18" s="65" customFormat="1">
      <c r="E16103" s="130"/>
      <c r="P16103" s="99"/>
      <c r="Q16103" s="99"/>
      <c r="R16103" s="99"/>
    </row>
    <row r="16104" spans="5:18" s="65" customFormat="1">
      <c r="E16104" s="130"/>
      <c r="P16104" s="99"/>
      <c r="Q16104" s="99"/>
      <c r="R16104" s="99"/>
    </row>
    <row r="16105" spans="5:18" s="65" customFormat="1">
      <c r="E16105" s="130"/>
      <c r="P16105" s="99"/>
      <c r="Q16105" s="99"/>
      <c r="R16105" s="99"/>
    </row>
    <row r="16106" spans="5:18" s="65" customFormat="1">
      <c r="E16106" s="130"/>
      <c r="P16106" s="99"/>
      <c r="Q16106" s="99"/>
      <c r="R16106" s="99"/>
    </row>
    <row r="16107" spans="5:18" s="65" customFormat="1">
      <c r="E16107" s="130"/>
      <c r="P16107" s="99"/>
      <c r="Q16107" s="99"/>
      <c r="R16107" s="99"/>
    </row>
    <row r="16108" spans="5:18" s="65" customFormat="1">
      <c r="E16108" s="130"/>
      <c r="P16108" s="99"/>
      <c r="Q16108" s="99"/>
      <c r="R16108" s="99"/>
    </row>
    <row r="16109" spans="5:18" s="65" customFormat="1">
      <c r="E16109" s="130"/>
      <c r="P16109" s="99"/>
      <c r="Q16109" s="99"/>
      <c r="R16109" s="99"/>
    </row>
    <row r="16110" spans="5:18" s="65" customFormat="1">
      <c r="E16110" s="130"/>
      <c r="P16110" s="99"/>
      <c r="Q16110" s="99"/>
      <c r="R16110" s="99"/>
    </row>
    <row r="16111" spans="5:18" s="65" customFormat="1">
      <c r="E16111" s="130"/>
      <c r="P16111" s="99"/>
      <c r="Q16111" s="99"/>
      <c r="R16111" s="99"/>
    </row>
    <row r="16112" spans="5:18" s="65" customFormat="1">
      <c r="E16112" s="130"/>
      <c r="P16112" s="99"/>
      <c r="Q16112" s="99"/>
      <c r="R16112" s="99"/>
    </row>
    <row r="16113" spans="5:18" s="65" customFormat="1">
      <c r="E16113" s="130"/>
      <c r="P16113" s="99"/>
      <c r="Q16113" s="99"/>
      <c r="R16113" s="99"/>
    </row>
    <row r="16114" spans="5:18" s="65" customFormat="1">
      <c r="E16114" s="130"/>
      <c r="P16114" s="99"/>
      <c r="Q16114" s="99"/>
      <c r="R16114" s="99"/>
    </row>
    <row r="16115" spans="5:18" s="65" customFormat="1">
      <c r="E16115" s="130"/>
      <c r="P16115" s="99"/>
      <c r="Q16115" s="99"/>
      <c r="R16115" s="99"/>
    </row>
    <row r="16116" spans="5:18" s="65" customFormat="1">
      <c r="E16116" s="130"/>
      <c r="P16116" s="99"/>
      <c r="Q16116" s="99"/>
      <c r="R16116" s="99"/>
    </row>
    <row r="16117" spans="5:18" s="65" customFormat="1">
      <c r="E16117" s="130"/>
      <c r="P16117" s="99"/>
      <c r="Q16117" s="99"/>
      <c r="R16117" s="99"/>
    </row>
    <row r="16118" spans="5:18" s="65" customFormat="1">
      <c r="E16118" s="130"/>
      <c r="P16118" s="99"/>
      <c r="Q16118" s="99"/>
      <c r="R16118" s="99"/>
    </row>
    <row r="16119" spans="5:18" s="65" customFormat="1">
      <c r="E16119" s="130"/>
      <c r="P16119" s="99"/>
      <c r="Q16119" s="99"/>
      <c r="R16119" s="99"/>
    </row>
    <row r="16120" spans="5:18" s="65" customFormat="1">
      <c r="E16120" s="130"/>
      <c r="P16120" s="99"/>
      <c r="Q16120" s="99"/>
      <c r="R16120" s="99"/>
    </row>
    <row r="16121" spans="5:18" s="65" customFormat="1">
      <c r="E16121" s="130"/>
      <c r="P16121" s="99"/>
      <c r="Q16121" s="99"/>
      <c r="R16121" s="99"/>
    </row>
    <row r="16122" spans="5:18" s="65" customFormat="1">
      <c r="E16122" s="130"/>
      <c r="P16122" s="99"/>
      <c r="Q16122" s="99"/>
      <c r="R16122" s="99"/>
    </row>
    <row r="16123" spans="5:18" s="65" customFormat="1">
      <c r="E16123" s="130"/>
      <c r="P16123" s="99"/>
      <c r="Q16123" s="99"/>
      <c r="R16123" s="99"/>
    </row>
    <row r="16124" spans="5:18" s="65" customFormat="1">
      <c r="E16124" s="130"/>
      <c r="P16124" s="99"/>
      <c r="Q16124" s="99"/>
      <c r="R16124" s="99"/>
    </row>
    <row r="16125" spans="5:18" s="65" customFormat="1">
      <c r="E16125" s="130"/>
      <c r="P16125" s="99"/>
      <c r="Q16125" s="99"/>
      <c r="R16125" s="99"/>
    </row>
    <row r="16126" spans="5:18" s="65" customFormat="1">
      <c r="E16126" s="130"/>
      <c r="P16126" s="99"/>
      <c r="Q16126" s="99"/>
      <c r="R16126" s="99"/>
    </row>
    <row r="16127" spans="5:18" s="65" customFormat="1">
      <c r="E16127" s="130"/>
      <c r="P16127" s="99"/>
      <c r="Q16127" s="99"/>
      <c r="R16127" s="99"/>
    </row>
    <row r="16128" spans="5:18" s="65" customFormat="1">
      <c r="E16128" s="130"/>
      <c r="P16128" s="99"/>
      <c r="Q16128" s="99"/>
      <c r="R16128" s="99"/>
    </row>
    <row r="16129" spans="5:18" s="65" customFormat="1">
      <c r="E16129" s="130"/>
      <c r="P16129" s="99"/>
      <c r="Q16129" s="99"/>
      <c r="R16129" s="99"/>
    </row>
    <row r="16130" spans="5:18" s="65" customFormat="1">
      <c r="E16130" s="130"/>
      <c r="P16130" s="99"/>
      <c r="Q16130" s="99"/>
      <c r="R16130" s="99"/>
    </row>
    <row r="16131" spans="5:18" s="65" customFormat="1">
      <c r="E16131" s="130"/>
      <c r="P16131" s="99"/>
      <c r="Q16131" s="99"/>
      <c r="R16131" s="99"/>
    </row>
    <row r="16132" spans="5:18" s="65" customFormat="1">
      <c r="E16132" s="130"/>
      <c r="P16132" s="99"/>
      <c r="Q16132" s="99"/>
      <c r="R16132" s="99"/>
    </row>
    <row r="16133" spans="5:18" s="65" customFormat="1">
      <c r="E16133" s="130"/>
      <c r="P16133" s="99"/>
      <c r="Q16133" s="99"/>
      <c r="R16133" s="99"/>
    </row>
    <row r="16134" spans="5:18" s="65" customFormat="1">
      <c r="E16134" s="130"/>
      <c r="P16134" s="99"/>
      <c r="Q16134" s="99"/>
      <c r="R16134" s="99"/>
    </row>
    <row r="16135" spans="5:18" s="65" customFormat="1">
      <c r="E16135" s="130"/>
      <c r="P16135" s="99"/>
      <c r="Q16135" s="99"/>
      <c r="R16135" s="99"/>
    </row>
    <row r="16136" spans="5:18" s="65" customFormat="1">
      <c r="E16136" s="130"/>
      <c r="P16136" s="99"/>
      <c r="Q16136" s="99"/>
      <c r="R16136" s="99"/>
    </row>
    <row r="16137" spans="5:18" s="65" customFormat="1">
      <c r="E16137" s="130"/>
      <c r="P16137" s="99"/>
      <c r="Q16137" s="99"/>
      <c r="R16137" s="99"/>
    </row>
    <row r="16138" spans="5:18" s="65" customFormat="1">
      <c r="E16138" s="130"/>
      <c r="P16138" s="99"/>
      <c r="Q16138" s="99"/>
      <c r="R16138" s="99"/>
    </row>
    <row r="16139" spans="5:18" s="65" customFormat="1">
      <c r="E16139" s="130"/>
      <c r="P16139" s="99"/>
      <c r="Q16139" s="99"/>
      <c r="R16139" s="99"/>
    </row>
    <row r="16140" spans="5:18" s="65" customFormat="1">
      <c r="E16140" s="130"/>
      <c r="P16140" s="99"/>
      <c r="Q16140" s="99"/>
      <c r="R16140" s="99"/>
    </row>
    <row r="16141" spans="5:18" s="65" customFormat="1">
      <c r="E16141" s="130"/>
      <c r="P16141" s="99"/>
      <c r="Q16141" s="99"/>
      <c r="R16141" s="99"/>
    </row>
    <row r="16142" spans="5:18" s="65" customFormat="1">
      <c r="E16142" s="130"/>
      <c r="P16142" s="99"/>
      <c r="Q16142" s="99"/>
      <c r="R16142" s="99"/>
    </row>
    <row r="16143" spans="5:18" s="65" customFormat="1">
      <c r="E16143" s="130"/>
      <c r="P16143" s="99"/>
      <c r="Q16143" s="99"/>
      <c r="R16143" s="99"/>
    </row>
    <row r="16144" spans="5:18" s="65" customFormat="1">
      <c r="E16144" s="130"/>
      <c r="P16144" s="99"/>
      <c r="Q16144" s="99"/>
      <c r="R16144" s="99"/>
    </row>
    <row r="16145" spans="5:18" s="65" customFormat="1">
      <c r="E16145" s="130"/>
      <c r="P16145" s="99"/>
      <c r="Q16145" s="99"/>
      <c r="R16145" s="99"/>
    </row>
    <row r="16146" spans="5:18" s="65" customFormat="1">
      <c r="E16146" s="130"/>
      <c r="P16146" s="99"/>
      <c r="Q16146" s="99"/>
      <c r="R16146" s="99"/>
    </row>
    <row r="16147" spans="5:18" s="65" customFormat="1">
      <c r="E16147" s="130"/>
      <c r="P16147" s="99"/>
      <c r="Q16147" s="99"/>
      <c r="R16147" s="99"/>
    </row>
    <row r="16148" spans="5:18" s="65" customFormat="1">
      <c r="E16148" s="130"/>
      <c r="P16148" s="99"/>
      <c r="Q16148" s="99"/>
      <c r="R16148" s="99"/>
    </row>
    <row r="16149" spans="5:18" s="65" customFormat="1">
      <c r="E16149" s="130"/>
      <c r="P16149" s="99"/>
      <c r="Q16149" s="99"/>
      <c r="R16149" s="99"/>
    </row>
    <row r="16150" spans="5:18" s="65" customFormat="1">
      <c r="E16150" s="130"/>
      <c r="P16150" s="99"/>
      <c r="Q16150" s="99"/>
      <c r="R16150" s="99"/>
    </row>
    <row r="16151" spans="5:18" s="65" customFormat="1">
      <c r="E16151" s="130"/>
      <c r="P16151" s="99"/>
      <c r="Q16151" s="99"/>
      <c r="R16151" s="99"/>
    </row>
    <row r="16152" spans="5:18" s="65" customFormat="1">
      <c r="E16152" s="130"/>
      <c r="P16152" s="99"/>
      <c r="Q16152" s="99"/>
      <c r="R16152" s="99"/>
    </row>
    <row r="16153" spans="5:18" s="65" customFormat="1">
      <c r="E16153" s="130"/>
      <c r="P16153" s="99"/>
      <c r="Q16153" s="99"/>
      <c r="R16153" s="99"/>
    </row>
    <row r="16154" spans="5:18" s="65" customFormat="1">
      <c r="E16154" s="130"/>
      <c r="P16154" s="99"/>
      <c r="Q16154" s="99"/>
      <c r="R16154" s="99"/>
    </row>
    <row r="16155" spans="5:18" s="65" customFormat="1">
      <c r="E16155" s="130"/>
      <c r="P16155" s="99"/>
      <c r="Q16155" s="99"/>
      <c r="R16155" s="99"/>
    </row>
    <row r="16156" spans="5:18" s="65" customFormat="1">
      <c r="E16156" s="130"/>
      <c r="P16156" s="99"/>
      <c r="Q16156" s="99"/>
      <c r="R16156" s="99"/>
    </row>
    <row r="16157" spans="5:18" s="65" customFormat="1">
      <c r="E16157" s="130"/>
      <c r="P16157" s="99"/>
      <c r="Q16157" s="99"/>
      <c r="R16157" s="99"/>
    </row>
    <row r="16158" spans="5:18" s="65" customFormat="1">
      <c r="E16158" s="130"/>
      <c r="P16158" s="99"/>
      <c r="Q16158" s="99"/>
      <c r="R16158" s="99"/>
    </row>
    <row r="16159" spans="5:18" s="65" customFormat="1">
      <c r="E16159" s="130"/>
      <c r="P16159" s="99"/>
      <c r="Q16159" s="99"/>
      <c r="R16159" s="99"/>
    </row>
    <row r="16160" spans="5:18" s="65" customFormat="1">
      <c r="E16160" s="130"/>
      <c r="P16160" s="99"/>
      <c r="Q16160" s="99"/>
      <c r="R16160" s="99"/>
    </row>
    <row r="16161" spans="5:18" s="65" customFormat="1">
      <c r="E16161" s="130"/>
      <c r="P16161" s="99"/>
      <c r="Q16161" s="99"/>
      <c r="R16161" s="99"/>
    </row>
    <row r="16162" spans="5:18" s="65" customFormat="1">
      <c r="E16162" s="130"/>
      <c r="P16162" s="99"/>
      <c r="Q16162" s="99"/>
      <c r="R16162" s="99"/>
    </row>
    <row r="16163" spans="5:18" s="65" customFormat="1">
      <c r="E16163" s="130"/>
      <c r="P16163" s="99"/>
      <c r="Q16163" s="99"/>
      <c r="R16163" s="99"/>
    </row>
    <row r="16164" spans="5:18" s="65" customFormat="1">
      <c r="E16164" s="130"/>
      <c r="P16164" s="99"/>
      <c r="Q16164" s="99"/>
      <c r="R16164" s="99"/>
    </row>
    <row r="16165" spans="5:18" s="65" customFormat="1">
      <c r="E16165" s="130"/>
      <c r="P16165" s="99"/>
      <c r="Q16165" s="99"/>
      <c r="R16165" s="99"/>
    </row>
    <row r="16166" spans="5:18" s="65" customFormat="1">
      <c r="E16166" s="130"/>
      <c r="P16166" s="99"/>
      <c r="Q16166" s="99"/>
      <c r="R16166" s="99"/>
    </row>
    <row r="16167" spans="5:18" s="65" customFormat="1">
      <c r="E16167" s="130"/>
      <c r="P16167" s="99"/>
      <c r="Q16167" s="99"/>
      <c r="R16167" s="99"/>
    </row>
    <row r="16168" spans="5:18" s="65" customFormat="1">
      <c r="E16168" s="130"/>
      <c r="P16168" s="99"/>
      <c r="Q16168" s="99"/>
      <c r="R16168" s="99"/>
    </row>
    <row r="16169" spans="5:18" s="65" customFormat="1">
      <c r="E16169" s="130"/>
      <c r="P16169" s="99"/>
      <c r="Q16169" s="99"/>
      <c r="R16169" s="99"/>
    </row>
    <row r="16170" spans="5:18" s="65" customFormat="1">
      <c r="E16170" s="130"/>
      <c r="P16170" s="99"/>
      <c r="Q16170" s="99"/>
      <c r="R16170" s="99"/>
    </row>
    <row r="16171" spans="5:18" s="65" customFormat="1">
      <c r="E16171" s="130"/>
      <c r="P16171" s="99"/>
      <c r="Q16171" s="99"/>
      <c r="R16171" s="99"/>
    </row>
    <row r="16172" spans="5:18" s="65" customFormat="1">
      <c r="E16172" s="130"/>
      <c r="P16172" s="99"/>
      <c r="Q16172" s="99"/>
      <c r="R16172" s="99"/>
    </row>
    <row r="16173" spans="5:18" s="65" customFormat="1">
      <c r="E16173" s="130"/>
      <c r="P16173" s="99"/>
      <c r="Q16173" s="99"/>
      <c r="R16173" s="99"/>
    </row>
    <row r="16174" spans="5:18" s="65" customFormat="1">
      <c r="E16174" s="130"/>
      <c r="P16174" s="99"/>
      <c r="Q16174" s="99"/>
      <c r="R16174" s="99"/>
    </row>
    <row r="16175" spans="5:18" s="65" customFormat="1">
      <c r="E16175" s="130"/>
      <c r="P16175" s="99"/>
      <c r="Q16175" s="99"/>
      <c r="R16175" s="99"/>
    </row>
    <row r="16176" spans="5:18" s="65" customFormat="1">
      <c r="E16176" s="130"/>
      <c r="P16176" s="99"/>
      <c r="Q16176" s="99"/>
      <c r="R16176" s="99"/>
    </row>
    <row r="16177" spans="5:18" s="65" customFormat="1">
      <c r="E16177" s="130"/>
      <c r="P16177" s="99"/>
      <c r="Q16177" s="99"/>
      <c r="R16177" s="99"/>
    </row>
    <row r="16178" spans="5:18" s="65" customFormat="1">
      <c r="E16178" s="130"/>
      <c r="P16178" s="99"/>
      <c r="Q16178" s="99"/>
      <c r="R16178" s="99"/>
    </row>
    <row r="16179" spans="5:18" s="65" customFormat="1">
      <c r="E16179" s="130"/>
      <c r="P16179" s="99"/>
      <c r="Q16179" s="99"/>
      <c r="R16179" s="99"/>
    </row>
    <row r="16180" spans="5:18" s="65" customFormat="1">
      <c r="E16180" s="130"/>
      <c r="P16180" s="99"/>
      <c r="Q16180" s="99"/>
      <c r="R16180" s="99"/>
    </row>
    <row r="16181" spans="5:18" s="65" customFormat="1">
      <c r="E16181" s="130"/>
      <c r="P16181" s="99"/>
      <c r="Q16181" s="99"/>
      <c r="R16181" s="99"/>
    </row>
    <row r="16182" spans="5:18" s="65" customFormat="1">
      <c r="E16182" s="130"/>
      <c r="P16182" s="99"/>
      <c r="Q16182" s="99"/>
      <c r="R16182" s="99"/>
    </row>
    <row r="16183" spans="5:18" s="65" customFormat="1">
      <c r="E16183" s="130"/>
      <c r="P16183" s="99"/>
      <c r="Q16183" s="99"/>
      <c r="R16183" s="99"/>
    </row>
    <row r="16184" spans="5:18" s="65" customFormat="1">
      <c r="E16184" s="130"/>
      <c r="P16184" s="99"/>
      <c r="Q16184" s="99"/>
      <c r="R16184" s="99"/>
    </row>
    <row r="16185" spans="5:18" s="65" customFormat="1">
      <c r="E16185" s="130"/>
      <c r="P16185" s="99"/>
      <c r="Q16185" s="99"/>
      <c r="R16185" s="99"/>
    </row>
    <row r="16186" spans="5:18" s="65" customFormat="1">
      <c r="E16186" s="130"/>
      <c r="P16186" s="99"/>
      <c r="Q16186" s="99"/>
      <c r="R16186" s="99"/>
    </row>
    <row r="16187" spans="5:18" s="65" customFormat="1">
      <c r="E16187" s="130"/>
      <c r="P16187" s="99"/>
      <c r="Q16187" s="99"/>
      <c r="R16187" s="99"/>
    </row>
    <row r="16188" spans="5:18" s="65" customFormat="1">
      <c r="E16188" s="130"/>
      <c r="P16188" s="99"/>
      <c r="Q16188" s="99"/>
      <c r="R16188" s="99"/>
    </row>
    <row r="16189" spans="5:18" s="65" customFormat="1">
      <c r="E16189" s="130"/>
      <c r="P16189" s="99"/>
      <c r="Q16189" s="99"/>
      <c r="R16189" s="99"/>
    </row>
    <row r="16190" spans="5:18" s="65" customFormat="1">
      <c r="E16190" s="130"/>
      <c r="P16190" s="99"/>
      <c r="Q16190" s="99"/>
      <c r="R16190" s="99"/>
    </row>
    <row r="16191" spans="5:18" s="65" customFormat="1">
      <c r="E16191" s="130"/>
      <c r="P16191" s="99"/>
      <c r="Q16191" s="99"/>
      <c r="R16191" s="99"/>
    </row>
    <row r="16192" spans="5:18" s="65" customFormat="1">
      <c r="E16192" s="130"/>
      <c r="P16192" s="99"/>
      <c r="Q16192" s="99"/>
      <c r="R16192" s="99"/>
    </row>
    <row r="16193" spans="5:18" s="65" customFormat="1">
      <c r="E16193" s="130"/>
      <c r="P16193" s="99"/>
      <c r="Q16193" s="99"/>
      <c r="R16193" s="99"/>
    </row>
    <row r="16194" spans="5:18" s="65" customFormat="1">
      <c r="E16194" s="130"/>
      <c r="P16194" s="99"/>
      <c r="Q16194" s="99"/>
      <c r="R16194" s="99"/>
    </row>
    <row r="16195" spans="5:18" s="65" customFormat="1">
      <c r="E16195" s="130"/>
      <c r="P16195" s="99"/>
      <c r="Q16195" s="99"/>
      <c r="R16195" s="99"/>
    </row>
    <row r="16196" spans="5:18" s="65" customFormat="1">
      <c r="E16196" s="130"/>
      <c r="P16196" s="99"/>
      <c r="Q16196" s="99"/>
      <c r="R16196" s="99"/>
    </row>
    <row r="16197" spans="5:18" s="65" customFormat="1">
      <c r="E16197" s="130"/>
      <c r="P16197" s="99"/>
      <c r="Q16197" s="99"/>
      <c r="R16197" s="99"/>
    </row>
    <row r="16198" spans="5:18" s="65" customFormat="1">
      <c r="E16198" s="130"/>
      <c r="P16198" s="99"/>
      <c r="Q16198" s="99"/>
      <c r="R16198" s="99"/>
    </row>
    <row r="16199" spans="5:18" s="65" customFormat="1">
      <c r="E16199" s="130"/>
      <c r="P16199" s="99"/>
      <c r="Q16199" s="99"/>
      <c r="R16199" s="99"/>
    </row>
    <row r="16200" spans="5:18" s="65" customFormat="1">
      <c r="E16200" s="130"/>
      <c r="P16200" s="99"/>
      <c r="Q16200" s="99"/>
      <c r="R16200" s="99"/>
    </row>
    <row r="16201" spans="5:18" s="65" customFormat="1">
      <c r="E16201" s="130"/>
      <c r="P16201" s="99"/>
      <c r="Q16201" s="99"/>
      <c r="R16201" s="99"/>
    </row>
    <row r="16202" spans="5:18" s="65" customFormat="1">
      <c r="E16202" s="130"/>
      <c r="P16202" s="99"/>
      <c r="Q16202" s="99"/>
      <c r="R16202" s="99"/>
    </row>
    <row r="16203" spans="5:18" s="65" customFormat="1">
      <c r="E16203" s="130"/>
      <c r="P16203" s="99"/>
      <c r="Q16203" s="99"/>
      <c r="R16203" s="99"/>
    </row>
    <row r="16204" spans="5:18" s="65" customFormat="1">
      <c r="E16204" s="130"/>
      <c r="P16204" s="99"/>
      <c r="Q16204" s="99"/>
      <c r="R16204" s="99"/>
    </row>
    <row r="16205" spans="5:18" s="65" customFormat="1">
      <c r="E16205" s="130"/>
      <c r="P16205" s="99"/>
      <c r="Q16205" s="99"/>
      <c r="R16205" s="99"/>
    </row>
    <row r="16206" spans="5:18" s="65" customFormat="1">
      <c r="E16206" s="130"/>
      <c r="P16206" s="99"/>
      <c r="Q16206" s="99"/>
      <c r="R16206" s="99"/>
    </row>
    <row r="16207" spans="5:18" s="65" customFormat="1">
      <c r="E16207" s="130"/>
      <c r="P16207" s="99"/>
      <c r="Q16207" s="99"/>
      <c r="R16207" s="99"/>
    </row>
    <row r="16208" spans="5:18" s="65" customFormat="1">
      <c r="E16208" s="130"/>
      <c r="P16208" s="99"/>
      <c r="Q16208" s="99"/>
      <c r="R16208" s="99"/>
    </row>
    <row r="16209" spans="5:18" s="65" customFormat="1">
      <c r="E16209" s="130"/>
      <c r="P16209" s="99"/>
      <c r="Q16209" s="99"/>
      <c r="R16209" s="99"/>
    </row>
    <row r="16210" spans="5:18" s="65" customFormat="1">
      <c r="E16210" s="130"/>
      <c r="P16210" s="99"/>
      <c r="Q16210" s="99"/>
      <c r="R16210" s="99"/>
    </row>
    <row r="16211" spans="5:18" s="65" customFormat="1">
      <c r="E16211" s="130"/>
      <c r="P16211" s="99"/>
      <c r="Q16211" s="99"/>
      <c r="R16211" s="99"/>
    </row>
    <row r="16212" spans="5:18" s="65" customFormat="1">
      <c r="E16212" s="130"/>
      <c r="P16212" s="99"/>
      <c r="Q16212" s="99"/>
      <c r="R16212" s="99"/>
    </row>
    <row r="16213" spans="5:18" s="65" customFormat="1">
      <c r="E16213" s="130"/>
      <c r="P16213" s="99"/>
      <c r="Q16213" s="99"/>
      <c r="R16213" s="99"/>
    </row>
    <row r="16214" spans="5:18" s="65" customFormat="1">
      <c r="E16214" s="130"/>
      <c r="P16214" s="99"/>
      <c r="Q16214" s="99"/>
      <c r="R16214" s="99"/>
    </row>
    <row r="16215" spans="5:18" s="65" customFormat="1">
      <c r="E16215" s="130"/>
      <c r="P16215" s="99"/>
      <c r="Q16215" s="99"/>
      <c r="R16215" s="99"/>
    </row>
    <row r="16216" spans="5:18" s="65" customFormat="1">
      <c r="E16216" s="130"/>
      <c r="P16216" s="99"/>
      <c r="Q16216" s="99"/>
      <c r="R16216" s="99"/>
    </row>
    <row r="16217" spans="5:18" s="65" customFormat="1">
      <c r="E16217" s="130"/>
      <c r="P16217" s="99"/>
      <c r="Q16217" s="99"/>
      <c r="R16217" s="99"/>
    </row>
    <row r="16218" spans="5:18" s="65" customFormat="1">
      <c r="E16218" s="130"/>
      <c r="P16218" s="99"/>
      <c r="Q16218" s="99"/>
      <c r="R16218" s="99"/>
    </row>
    <row r="16219" spans="5:18" s="65" customFormat="1">
      <c r="E16219" s="130"/>
      <c r="P16219" s="99"/>
      <c r="Q16219" s="99"/>
      <c r="R16219" s="99"/>
    </row>
    <row r="16220" spans="5:18" s="65" customFormat="1">
      <c r="E16220" s="130"/>
      <c r="P16220" s="99"/>
      <c r="Q16220" s="99"/>
      <c r="R16220" s="99"/>
    </row>
    <row r="16221" spans="5:18" s="65" customFormat="1">
      <c r="E16221" s="130"/>
      <c r="P16221" s="99"/>
      <c r="Q16221" s="99"/>
      <c r="R16221" s="99"/>
    </row>
    <row r="16222" spans="5:18" s="65" customFormat="1">
      <c r="E16222" s="130"/>
      <c r="P16222" s="99"/>
      <c r="Q16222" s="99"/>
      <c r="R16222" s="99"/>
    </row>
    <row r="16223" spans="5:18" s="65" customFormat="1">
      <c r="E16223" s="130"/>
      <c r="P16223" s="99"/>
      <c r="Q16223" s="99"/>
      <c r="R16223" s="99"/>
    </row>
    <row r="16224" spans="5:18" s="65" customFormat="1">
      <c r="E16224" s="130"/>
      <c r="P16224" s="99"/>
      <c r="Q16224" s="99"/>
      <c r="R16224" s="99"/>
    </row>
    <row r="16225" spans="5:18" s="65" customFormat="1">
      <c r="E16225" s="130"/>
      <c r="P16225" s="99"/>
      <c r="Q16225" s="99"/>
      <c r="R16225" s="99"/>
    </row>
    <row r="16226" spans="5:18" s="65" customFormat="1">
      <c r="E16226" s="130"/>
      <c r="P16226" s="99"/>
      <c r="Q16226" s="99"/>
      <c r="R16226" s="99"/>
    </row>
    <row r="16227" spans="5:18" s="65" customFormat="1">
      <c r="E16227" s="130"/>
      <c r="P16227" s="99"/>
      <c r="Q16227" s="99"/>
      <c r="R16227" s="99"/>
    </row>
    <row r="16228" spans="5:18" s="65" customFormat="1">
      <c r="E16228" s="130"/>
      <c r="P16228" s="99"/>
      <c r="Q16228" s="99"/>
      <c r="R16228" s="99"/>
    </row>
    <row r="16229" spans="5:18" s="65" customFormat="1">
      <c r="E16229" s="130"/>
      <c r="P16229" s="99"/>
      <c r="Q16229" s="99"/>
      <c r="R16229" s="99"/>
    </row>
    <row r="16230" spans="5:18" s="65" customFormat="1">
      <c r="E16230" s="130"/>
      <c r="P16230" s="99"/>
      <c r="Q16230" s="99"/>
      <c r="R16230" s="99"/>
    </row>
    <row r="16231" spans="5:18" s="65" customFormat="1">
      <c r="E16231" s="130"/>
      <c r="P16231" s="99"/>
      <c r="Q16231" s="99"/>
      <c r="R16231" s="99"/>
    </row>
    <row r="16232" spans="5:18" s="65" customFormat="1">
      <c r="E16232" s="130"/>
      <c r="P16232" s="99"/>
      <c r="Q16232" s="99"/>
      <c r="R16232" s="99"/>
    </row>
    <row r="16233" spans="5:18" s="65" customFormat="1">
      <c r="E16233" s="130"/>
      <c r="P16233" s="99"/>
      <c r="Q16233" s="99"/>
      <c r="R16233" s="99"/>
    </row>
    <row r="16234" spans="5:18" s="65" customFormat="1">
      <c r="E16234" s="130"/>
      <c r="P16234" s="99"/>
      <c r="Q16234" s="99"/>
      <c r="R16234" s="99"/>
    </row>
    <row r="16235" spans="5:18" s="65" customFormat="1">
      <c r="E16235" s="130"/>
      <c r="P16235" s="99"/>
      <c r="Q16235" s="99"/>
      <c r="R16235" s="99"/>
    </row>
    <row r="16236" spans="5:18" s="65" customFormat="1">
      <c r="E16236" s="130"/>
      <c r="P16236" s="99"/>
      <c r="Q16236" s="99"/>
      <c r="R16236" s="99"/>
    </row>
    <row r="16237" spans="5:18" s="65" customFormat="1">
      <c r="E16237" s="130"/>
      <c r="P16237" s="99"/>
      <c r="Q16237" s="99"/>
      <c r="R16237" s="99"/>
    </row>
    <row r="16238" spans="5:18" s="65" customFormat="1">
      <c r="E16238" s="130"/>
      <c r="P16238" s="99"/>
      <c r="Q16238" s="99"/>
      <c r="R16238" s="99"/>
    </row>
    <row r="16239" spans="5:18" s="65" customFormat="1">
      <c r="E16239" s="130"/>
      <c r="P16239" s="99"/>
      <c r="Q16239" s="99"/>
      <c r="R16239" s="99"/>
    </row>
    <row r="16240" spans="5:18" s="65" customFormat="1">
      <c r="E16240" s="130"/>
      <c r="P16240" s="99"/>
      <c r="Q16240" s="99"/>
      <c r="R16240" s="99"/>
    </row>
    <row r="16241" spans="5:18" s="65" customFormat="1">
      <c r="E16241" s="130"/>
      <c r="P16241" s="99"/>
      <c r="Q16241" s="99"/>
      <c r="R16241" s="99"/>
    </row>
    <row r="16242" spans="5:18" s="65" customFormat="1">
      <c r="E16242" s="130"/>
      <c r="P16242" s="99"/>
      <c r="Q16242" s="99"/>
      <c r="R16242" s="99"/>
    </row>
    <row r="16243" spans="5:18" s="65" customFormat="1">
      <c r="E16243" s="130"/>
      <c r="P16243" s="99"/>
      <c r="Q16243" s="99"/>
      <c r="R16243" s="99"/>
    </row>
    <row r="16244" spans="5:18" s="65" customFormat="1">
      <c r="E16244" s="130"/>
      <c r="P16244" s="99"/>
      <c r="Q16244" s="99"/>
      <c r="R16244" s="99"/>
    </row>
    <row r="16245" spans="5:18" s="65" customFormat="1">
      <c r="E16245" s="130"/>
      <c r="P16245" s="99"/>
      <c r="Q16245" s="99"/>
      <c r="R16245" s="99"/>
    </row>
    <row r="16246" spans="5:18" s="65" customFormat="1">
      <c r="E16246" s="130"/>
      <c r="P16246" s="99"/>
      <c r="Q16246" s="99"/>
      <c r="R16246" s="99"/>
    </row>
    <row r="16247" spans="5:18" s="65" customFormat="1">
      <c r="E16247" s="130"/>
      <c r="P16247" s="99"/>
      <c r="Q16247" s="99"/>
      <c r="R16247" s="99"/>
    </row>
    <row r="16248" spans="5:18" s="65" customFormat="1">
      <c r="E16248" s="130"/>
      <c r="P16248" s="99"/>
      <c r="Q16248" s="99"/>
      <c r="R16248" s="99"/>
    </row>
    <row r="16249" spans="5:18" s="65" customFormat="1">
      <c r="E16249" s="130"/>
      <c r="P16249" s="99"/>
      <c r="Q16249" s="99"/>
      <c r="R16249" s="99"/>
    </row>
    <row r="16250" spans="5:18" s="65" customFormat="1">
      <c r="E16250" s="130"/>
      <c r="P16250" s="99"/>
      <c r="Q16250" s="99"/>
      <c r="R16250" s="99"/>
    </row>
    <row r="16251" spans="5:18" s="65" customFormat="1">
      <c r="E16251" s="130"/>
      <c r="P16251" s="99"/>
      <c r="Q16251" s="99"/>
      <c r="R16251" s="99"/>
    </row>
    <row r="16252" spans="5:18" s="65" customFormat="1">
      <c r="E16252" s="130"/>
      <c r="P16252" s="99"/>
      <c r="Q16252" s="99"/>
      <c r="R16252" s="99"/>
    </row>
    <row r="16253" spans="5:18" s="65" customFormat="1">
      <c r="E16253" s="130"/>
      <c r="P16253" s="99"/>
      <c r="Q16253" s="99"/>
      <c r="R16253" s="99"/>
    </row>
    <row r="16254" spans="5:18" s="65" customFormat="1">
      <c r="E16254" s="130"/>
      <c r="P16254" s="99"/>
      <c r="Q16254" s="99"/>
      <c r="R16254" s="99"/>
    </row>
    <row r="16255" spans="5:18" s="65" customFormat="1">
      <c r="E16255" s="130"/>
      <c r="P16255" s="99"/>
      <c r="Q16255" s="99"/>
      <c r="R16255" s="99"/>
    </row>
    <row r="16256" spans="5:18" s="65" customFormat="1">
      <c r="E16256" s="130"/>
      <c r="P16256" s="99"/>
      <c r="Q16256" s="99"/>
      <c r="R16256" s="99"/>
    </row>
    <row r="16257" spans="5:18" s="65" customFormat="1">
      <c r="E16257" s="130"/>
      <c r="P16257" s="99"/>
      <c r="Q16257" s="99"/>
      <c r="R16257" s="99"/>
    </row>
    <row r="16258" spans="5:18" s="65" customFormat="1">
      <c r="E16258" s="130"/>
      <c r="P16258" s="99"/>
      <c r="Q16258" s="99"/>
      <c r="R16258" s="99"/>
    </row>
    <row r="16259" spans="5:18" s="65" customFormat="1">
      <c r="E16259" s="130"/>
      <c r="P16259" s="99"/>
      <c r="Q16259" s="99"/>
      <c r="R16259" s="99"/>
    </row>
    <row r="16260" spans="5:18" s="65" customFormat="1">
      <c r="E16260" s="130"/>
      <c r="P16260" s="99"/>
      <c r="Q16260" s="99"/>
      <c r="R16260" s="99"/>
    </row>
    <row r="16261" spans="5:18" s="65" customFormat="1">
      <c r="E16261" s="130"/>
      <c r="P16261" s="99"/>
      <c r="Q16261" s="99"/>
      <c r="R16261" s="99"/>
    </row>
    <row r="16262" spans="5:18" s="65" customFormat="1">
      <c r="E16262" s="130"/>
      <c r="P16262" s="99"/>
      <c r="Q16262" s="99"/>
      <c r="R16262" s="99"/>
    </row>
    <row r="16263" spans="5:18" s="65" customFormat="1">
      <c r="E16263" s="130"/>
      <c r="P16263" s="99"/>
      <c r="Q16263" s="99"/>
      <c r="R16263" s="99"/>
    </row>
    <row r="16264" spans="5:18" s="65" customFormat="1">
      <c r="E16264" s="130"/>
      <c r="P16264" s="99"/>
      <c r="Q16264" s="99"/>
      <c r="R16264" s="99"/>
    </row>
    <row r="16265" spans="5:18" s="65" customFormat="1">
      <c r="E16265" s="130"/>
      <c r="P16265" s="99"/>
      <c r="Q16265" s="99"/>
      <c r="R16265" s="99"/>
    </row>
    <row r="16266" spans="5:18" s="65" customFormat="1">
      <c r="E16266" s="130"/>
      <c r="P16266" s="99"/>
      <c r="Q16266" s="99"/>
      <c r="R16266" s="99"/>
    </row>
    <row r="16267" spans="5:18" s="65" customFormat="1">
      <c r="E16267" s="130"/>
      <c r="P16267" s="99"/>
      <c r="Q16267" s="99"/>
      <c r="R16267" s="99"/>
    </row>
    <row r="16268" spans="5:18" s="65" customFormat="1">
      <c r="E16268" s="130"/>
      <c r="P16268" s="99"/>
      <c r="Q16268" s="99"/>
      <c r="R16268" s="99"/>
    </row>
    <row r="16269" spans="5:18" s="65" customFormat="1">
      <c r="E16269" s="130"/>
      <c r="P16269" s="99"/>
      <c r="Q16269" s="99"/>
      <c r="R16269" s="99"/>
    </row>
    <row r="16270" spans="5:18" s="65" customFormat="1">
      <c r="E16270" s="130"/>
      <c r="P16270" s="99"/>
      <c r="Q16270" s="99"/>
      <c r="R16270" s="99"/>
    </row>
    <row r="16271" spans="5:18" s="65" customFormat="1">
      <c r="E16271" s="130"/>
      <c r="P16271" s="99"/>
      <c r="Q16271" s="99"/>
      <c r="R16271" s="99"/>
    </row>
    <row r="16272" spans="5:18" s="65" customFormat="1">
      <c r="E16272" s="130"/>
      <c r="P16272" s="99"/>
      <c r="Q16272" s="99"/>
      <c r="R16272" s="99"/>
    </row>
    <row r="16273" spans="5:18" s="65" customFormat="1">
      <c r="E16273" s="130"/>
      <c r="P16273" s="99"/>
      <c r="Q16273" s="99"/>
      <c r="R16273" s="99"/>
    </row>
    <row r="16274" spans="5:18" s="65" customFormat="1">
      <c r="E16274" s="130"/>
      <c r="P16274" s="99"/>
      <c r="Q16274" s="99"/>
      <c r="R16274" s="99"/>
    </row>
    <row r="16275" spans="5:18" s="65" customFormat="1">
      <c r="E16275" s="130"/>
      <c r="P16275" s="99"/>
      <c r="Q16275" s="99"/>
      <c r="R16275" s="99"/>
    </row>
    <row r="16276" spans="5:18" s="65" customFormat="1">
      <c r="E16276" s="130"/>
      <c r="P16276" s="99"/>
      <c r="Q16276" s="99"/>
      <c r="R16276" s="99"/>
    </row>
    <row r="16277" spans="5:18" s="65" customFormat="1">
      <c r="E16277" s="130"/>
      <c r="P16277" s="99"/>
      <c r="Q16277" s="99"/>
      <c r="R16277" s="99"/>
    </row>
    <row r="16278" spans="5:18" s="65" customFormat="1">
      <c r="E16278" s="130"/>
      <c r="P16278" s="99"/>
      <c r="Q16278" s="99"/>
      <c r="R16278" s="99"/>
    </row>
    <row r="16279" spans="5:18" s="65" customFormat="1">
      <c r="E16279" s="130"/>
      <c r="P16279" s="99"/>
      <c r="Q16279" s="99"/>
      <c r="R16279" s="99"/>
    </row>
    <row r="16280" spans="5:18" s="65" customFormat="1">
      <c r="E16280" s="130"/>
      <c r="P16280" s="99"/>
      <c r="Q16280" s="99"/>
      <c r="R16280" s="99"/>
    </row>
    <row r="16281" spans="5:18" s="65" customFormat="1">
      <c r="E16281" s="130"/>
      <c r="P16281" s="99"/>
      <c r="Q16281" s="99"/>
      <c r="R16281" s="99"/>
    </row>
    <row r="16282" spans="5:18" s="65" customFormat="1">
      <c r="E16282" s="130"/>
      <c r="P16282" s="99"/>
      <c r="Q16282" s="99"/>
      <c r="R16282" s="99"/>
    </row>
    <row r="16283" spans="5:18" s="65" customFormat="1">
      <c r="E16283" s="130"/>
      <c r="P16283" s="99"/>
      <c r="Q16283" s="99"/>
      <c r="R16283" s="99"/>
    </row>
    <row r="16284" spans="5:18" s="65" customFormat="1">
      <c r="E16284" s="130"/>
      <c r="P16284" s="99"/>
      <c r="Q16284" s="99"/>
      <c r="R16284" s="99"/>
    </row>
    <row r="16285" spans="5:18" s="65" customFormat="1">
      <c r="E16285" s="130"/>
      <c r="P16285" s="99"/>
      <c r="Q16285" s="99"/>
      <c r="R16285" s="99"/>
    </row>
    <row r="16286" spans="5:18" s="65" customFormat="1">
      <c r="E16286" s="130"/>
      <c r="P16286" s="99"/>
      <c r="Q16286" s="99"/>
      <c r="R16286" s="99"/>
    </row>
    <row r="16287" spans="5:18" s="65" customFormat="1">
      <c r="E16287" s="130"/>
      <c r="P16287" s="99"/>
      <c r="Q16287" s="99"/>
      <c r="R16287" s="99"/>
    </row>
    <row r="16288" spans="5:18" s="65" customFormat="1">
      <c r="E16288" s="130"/>
      <c r="P16288" s="99"/>
      <c r="Q16288" s="99"/>
      <c r="R16288" s="99"/>
    </row>
    <row r="16289" spans="5:18" s="65" customFormat="1">
      <c r="E16289" s="130"/>
      <c r="P16289" s="99"/>
      <c r="Q16289" s="99"/>
      <c r="R16289" s="99"/>
    </row>
    <row r="16290" spans="5:18" s="65" customFormat="1">
      <c r="E16290" s="130"/>
      <c r="P16290" s="99"/>
      <c r="Q16290" s="99"/>
      <c r="R16290" s="99"/>
    </row>
    <row r="16291" spans="5:18" s="65" customFormat="1">
      <c r="E16291" s="130"/>
      <c r="P16291" s="99"/>
      <c r="Q16291" s="99"/>
      <c r="R16291" s="99"/>
    </row>
    <row r="16292" spans="5:18" s="65" customFormat="1">
      <c r="E16292" s="130"/>
      <c r="P16292" s="99"/>
      <c r="Q16292" s="99"/>
      <c r="R16292" s="99"/>
    </row>
    <row r="16293" spans="5:18" s="65" customFormat="1">
      <c r="E16293" s="130"/>
      <c r="P16293" s="99"/>
      <c r="Q16293" s="99"/>
      <c r="R16293" s="99"/>
    </row>
    <row r="16294" spans="5:18" s="65" customFormat="1">
      <c r="E16294" s="130"/>
      <c r="P16294" s="99"/>
      <c r="Q16294" s="99"/>
      <c r="R16294" s="99"/>
    </row>
    <row r="16295" spans="5:18" s="65" customFormat="1">
      <c r="E16295" s="130"/>
      <c r="P16295" s="99"/>
      <c r="Q16295" s="99"/>
      <c r="R16295" s="99"/>
    </row>
    <row r="16296" spans="5:18" s="65" customFormat="1">
      <c r="E16296" s="130"/>
      <c r="P16296" s="99"/>
      <c r="Q16296" s="99"/>
      <c r="R16296" s="99"/>
    </row>
    <row r="16297" spans="5:18" s="65" customFormat="1">
      <c r="E16297" s="130"/>
      <c r="P16297" s="99"/>
      <c r="Q16297" s="99"/>
      <c r="R16297" s="99"/>
    </row>
    <row r="16298" spans="5:18" s="65" customFormat="1">
      <c r="E16298" s="130"/>
      <c r="P16298" s="99"/>
      <c r="Q16298" s="99"/>
      <c r="R16298" s="99"/>
    </row>
    <row r="16299" spans="5:18" s="65" customFormat="1">
      <c r="E16299" s="130"/>
      <c r="P16299" s="99"/>
      <c r="Q16299" s="99"/>
      <c r="R16299" s="99"/>
    </row>
    <row r="16300" spans="5:18" s="65" customFormat="1">
      <c r="E16300" s="130"/>
      <c r="P16300" s="99"/>
      <c r="Q16300" s="99"/>
      <c r="R16300" s="99"/>
    </row>
    <row r="16301" spans="5:18" s="65" customFormat="1">
      <c r="E16301" s="130"/>
      <c r="P16301" s="99"/>
      <c r="Q16301" s="99"/>
      <c r="R16301" s="99"/>
    </row>
    <row r="16302" spans="5:18" s="65" customFormat="1">
      <c r="E16302" s="130"/>
      <c r="P16302" s="99"/>
      <c r="Q16302" s="99"/>
      <c r="R16302" s="99"/>
    </row>
    <row r="16303" spans="5:18" s="65" customFormat="1">
      <c r="E16303" s="130"/>
      <c r="P16303" s="99"/>
      <c r="Q16303" s="99"/>
      <c r="R16303" s="99"/>
    </row>
    <row r="16304" spans="5:18" s="65" customFormat="1">
      <c r="E16304" s="130"/>
      <c r="P16304" s="99"/>
      <c r="Q16304" s="99"/>
      <c r="R16304" s="99"/>
    </row>
    <row r="16305" spans="5:18" s="65" customFormat="1">
      <c r="E16305" s="130"/>
      <c r="P16305" s="99"/>
      <c r="Q16305" s="99"/>
      <c r="R16305" s="99"/>
    </row>
    <row r="16306" spans="5:18" s="65" customFormat="1">
      <c r="E16306" s="130"/>
      <c r="P16306" s="99"/>
      <c r="Q16306" s="99"/>
      <c r="R16306" s="99"/>
    </row>
    <row r="16307" spans="5:18" s="65" customFormat="1">
      <c r="E16307" s="130"/>
      <c r="P16307" s="99"/>
      <c r="Q16307" s="99"/>
      <c r="R16307" s="99"/>
    </row>
    <row r="16308" spans="5:18" s="65" customFormat="1">
      <c r="E16308" s="130"/>
      <c r="P16308" s="99"/>
      <c r="Q16308" s="99"/>
      <c r="R16308" s="99"/>
    </row>
    <row r="16309" spans="5:18" s="65" customFormat="1">
      <c r="E16309" s="130"/>
      <c r="P16309" s="99"/>
      <c r="Q16309" s="99"/>
      <c r="R16309" s="99"/>
    </row>
    <row r="16310" spans="5:18" s="65" customFormat="1">
      <c r="E16310" s="130"/>
      <c r="P16310" s="99"/>
      <c r="Q16310" s="99"/>
      <c r="R16310" s="99"/>
    </row>
    <row r="16311" spans="5:18" s="65" customFormat="1">
      <c r="E16311" s="130"/>
      <c r="P16311" s="99"/>
      <c r="Q16311" s="99"/>
      <c r="R16311" s="99"/>
    </row>
    <row r="16312" spans="5:18" s="65" customFormat="1">
      <c r="E16312" s="130"/>
      <c r="P16312" s="99"/>
      <c r="Q16312" s="99"/>
      <c r="R16312" s="99"/>
    </row>
    <row r="16313" spans="5:18" s="65" customFormat="1">
      <c r="E16313" s="130"/>
      <c r="P16313" s="99"/>
      <c r="Q16313" s="99"/>
      <c r="R16313" s="99"/>
    </row>
    <row r="16314" spans="5:18" s="65" customFormat="1">
      <c r="E16314" s="130"/>
      <c r="P16314" s="99"/>
      <c r="Q16314" s="99"/>
      <c r="R16314" s="99"/>
    </row>
    <row r="16315" spans="5:18" s="65" customFormat="1">
      <c r="E16315" s="130"/>
      <c r="P16315" s="99"/>
      <c r="Q16315" s="99"/>
      <c r="R16315" s="99"/>
    </row>
    <row r="16316" spans="5:18" s="65" customFormat="1">
      <c r="E16316" s="130"/>
      <c r="P16316" s="99"/>
      <c r="Q16316" s="99"/>
      <c r="R16316" s="99"/>
    </row>
    <row r="16317" spans="5:18" s="65" customFormat="1">
      <c r="E16317" s="130"/>
      <c r="P16317" s="99"/>
      <c r="Q16317" s="99"/>
      <c r="R16317" s="99"/>
    </row>
    <row r="16318" spans="5:18" s="65" customFormat="1">
      <c r="E16318" s="130"/>
      <c r="P16318" s="99"/>
      <c r="Q16318" s="99"/>
      <c r="R16318" s="99"/>
    </row>
    <row r="16319" spans="5:18" s="65" customFormat="1">
      <c r="E16319" s="130"/>
      <c r="P16319" s="99"/>
      <c r="Q16319" s="99"/>
      <c r="R16319" s="99"/>
    </row>
    <row r="16320" spans="5:18" s="65" customFormat="1">
      <c r="E16320" s="130"/>
      <c r="P16320" s="99"/>
      <c r="Q16320" s="99"/>
      <c r="R16320" s="99"/>
    </row>
    <row r="16321" spans="5:18" s="65" customFormat="1">
      <c r="E16321" s="130"/>
      <c r="P16321" s="99"/>
      <c r="Q16321" s="99"/>
      <c r="R16321" s="99"/>
    </row>
    <row r="16322" spans="5:18" s="65" customFormat="1">
      <c r="E16322" s="130"/>
      <c r="P16322" s="99"/>
      <c r="Q16322" s="99"/>
      <c r="R16322" s="99"/>
    </row>
    <row r="16323" spans="5:18" s="65" customFormat="1">
      <c r="E16323" s="130"/>
      <c r="P16323" s="99"/>
      <c r="Q16323" s="99"/>
      <c r="R16323" s="99"/>
    </row>
    <row r="16324" spans="5:18" s="65" customFormat="1">
      <c r="E16324" s="130"/>
      <c r="P16324" s="99"/>
      <c r="Q16324" s="99"/>
      <c r="R16324" s="99"/>
    </row>
    <row r="16325" spans="5:18" s="65" customFormat="1">
      <c r="E16325" s="130"/>
      <c r="P16325" s="99"/>
      <c r="Q16325" s="99"/>
      <c r="R16325" s="99"/>
    </row>
    <row r="16326" spans="5:18" s="65" customFormat="1">
      <c r="E16326" s="130"/>
      <c r="P16326" s="99"/>
      <c r="Q16326" s="99"/>
      <c r="R16326" s="99"/>
    </row>
    <row r="16327" spans="5:18" s="65" customFormat="1">
      <c r="E16327" s="130"/>
      <c r="P16327" s="99"/>
      <c r="Q16327" s="99"/>
      <c r="R16327" s="99"/>
    </row>
    <row r="16328" spans="5:18" s="65" customFormat="1">
      <c r="E16328" s="130"/>
      <c r="P16328" s="99"/>
      <c r="Q16328" s="99"/>
      <c r="R16328" s="99"/>
    </row>
    <row r="16329" spans="5:18" s="65" customFormat="1">
      <c r="E16329" s="130"/>
      <c r="P16329" s="99"/>
      <c r="Q16329" s="99"/>
      <c r="R16329" s="99"/>
    </row>
    <row r="16330" spans="5:18" s="65" customFormat="1">
      <c r="E16330" s="130"/>
      <c r="P16330" s="99"/>
      <c r="Q16330" s="99"/>
      <c r="R16330" s="99"/>
    </row>
    <row r="16331" spans="5:18" s="65" customFormat="1">
      <c r="E16331" s="130"/>
      <c r="P16331" s="99"/>
      <c r="Q16331" s="99"/>
      <c r="R16331" s="99"/>
    </row>
    <row r="16332" spans="5:18" s="65" customFormat="1">
      <c r="E16332" s="130"/>
      <c r="P16332" s="99"/>
      <c r="Q16332" s="99"/>
      <c r="R16332" s="99"/>
    </row>
    <row r="16333" spans="5:18" s="65" customFormat="1">
      <c r="E16333" s="130"/>
      <c r="P16333" s="99"/>
      <c r="Q16333" s="99"/>
      <c r="R16333" s="99"/>
    </row>
    <row r="16334" spans="5:18" s="65" customFormat="1">
      <c r="E16334" s="130"/>
      <c r="P16334" s="99"/>
      <c r="Q16334" s="99"/>
      <c r="R16334" s="99"/>
    </row>
    <row r="16335" spans="5:18" s="65" customFormat="1">
      <c r="E16335" s="130"/>
      <c r="P16335" s="99"/>
      <c r="Q16335" s="99"/>
      <c r="R16335" s="99"/>
    </row>
    <row r="16336" spans="5:18" s="65" customFormat="1">
      <c r="E16336" s="130"/>
      <c r="P16336" s="99"/>
      <c r="Q16336" s="99"/>
      <c r="R16336" s="99"/>
    </row>
    <row r="16337" spans="5:18" s="65" customFormat="1">
      <c r="E16337" s="130"/>
      <c r="P16337" s="99"/>
      <c r="Q16337" s="99"/>
      <c r="R16337" s="99"/>
    </row>
    <row r="16338" spans="5:18" s="65" customFormat="1">
      <c r="E16338" s="130"/>
      <c r="P16338" s="99"/>
      <c r="Q16338" s="99"/>
      <c r="R16338" s="99"/>
    </row>
    <row r="16339" spans="5:18" s="65" customFormat="1">
      <c r="E16339" s="130"/>
      <c r="P16339" s="99"/>
      <c r="Q16339" s="99"/>
      <c r="R16339" s="99"/>
    </row>
    <row r="16340" spans="5:18" s="65" customFormat="1">
      <c r="E16340" s="130"/>
      <c r="P16340" s="99"/>
      <c r="Q16340" s="99"/>
      <c r="R16340" s="99"/>
    </row>
    <row r="16341" spans="5:18" s="65" customFormat="1">
      <c r="E16341" s="130"/>
      <c r="P16341" s="99"/>
      <c r="Q16341" s="99"/>
      <c r="R16341" s="99"/>
    </row>
    <row r="16342" spans="5:18" s="65" customFormat="1">
      <c r="E16342" s="130"/>
      <c r="P16342" s="99"/>
      <c r="Q16342" s="99"/>
      <c r="R16342" s="99"/>
    </row>
    <row r="16343" spans="5:18" s="65" customFormat="1">
      <c r="E16343" s="130"/>
      <c r="P16343" s="99"/>
      <c r="Q16343" s="99"/>
      <c r="R16343" s="99"/>
    </row>
    <row r="16344" spans="5:18" s="65" customFormat="1">
      <c r="E16344" s="130"/>
      <c r="P16344" s="99"/>
      <c r="Q16344" s="99"/>
      <c r="R16344" s="99"/>
    </row>
    <row r="16345" spans="5:18" s="65" customFormat="1">
      <c r="E16345" s="130"/>
      <c r="P16345" s="99"/>
      <c r="Q16345" s="99"/>
      <c r="R16345" s="99"/>
    </row>
    <row r="16346" spans="5:18" s="65" customFormat="1">
      <c r="E16346" s="130"/>
      <c r="P16346" s="99"/>
      <c r="Q16346" s="99"/>
      <c r="R16346" s="99"/>
    </row>
    <row r="16347" spans="5:18" s="65" customFormat="1">
      <c r="E16347" s="130"/>
      <c r="P16347" s="99"/>
      <c r="Q16347" s="99"/>
      <c r="R16347" s="99"/>
    </row>
    <row r="16348" spans="5:18" s="65" customFormat="1">
      <c r="E16348" s="130"/>
      <c r="P16348" s="99"/>
      <c r="Q16348" s="99"/>
      <c r="R16348" s="99"/>
    </row>
    <row r="16349" spans="5:18" s="65" customFormat="1">
      <c r="E16349" s="130"/>
      <c r="P16349" s="99"/>
      <c r="Q16349" s="99"/>
      <c r="R16349" s="99"/>
    </row>
    <row r="16350" spans="5:18" s="65" customFormat="1">
      <c r="E16350" s="130"/>
      <c r="P16350" s="99"/>
      <c r="Q16350" s="99"/>
      <c r="R16350" s="99"/>
    </row>
    <row r="16351" spans="5:18" s="65" customFormat="1">
      <c r="E16351" s="130"/>
      <c r="P16351" s="99"/>
      <c r="Q16351" s="99"/>
      <c r="R16351" s="99"/>
    </row>
    <row r="16352" spans="5:18" s="65" customFormat="1">
      <c r="E16352" s="130"/>
      <c r="P16352" s="99"/>
      <c r="Q16352" s="99"/>
      <c r="R16352" s="99"/>
    </row>
    <row r="16353" spans="5:18" s="65" customFormat="1">
      <c r="E16353" s="130"/>
      <c r="P16353" s="99"/>
      <c r="Q16353" s="99"/>
      <c r="R16353" s="99"/>
    </row>
    <row r="16354" spans="5:18" s="65" customFormat="1">
      <c r="E16354" s="130"/>
      <c r="P16354" s="99"/>
      <c r="Q16354" s="99"/>
      <c r="R16354" s="99"/>
    </row>
    <row r="16355" spans="5:18" s="65" customFormat="1">
      <c r="E16355" s="130"/>
      <c r="P16355" s="99"/>
      <c r="Q16355" s="99"/>
      <c r="R16355" s="99"/>
    </row>
    <row r="16356" spans="5:18" s="65" customFormat="1">
      <c r="E16356" s="130"/>
      <c r="P16356" s="99"/>
      <c r="Q16356" s="99"/>
      <c r="R16356" s="99"/>
    </row>
    <row r="16357" spans="5:18" s="65" customFormat="1">
      <c r="E16357" s="130"/>
      <c r="P16357" s="99"/>
      <c r="Q16357" s="99"/>
      <c r="R16357" s="99"/>
    </row>
    <row r="16358" spans="5:18" s="65" customFormat="1">
      <c r="E16358" s="130"/>
      <c r="P16358" s="99"/>
      <c r="Q16358" s="99"/>
      <c r="R16358" s="99"/>
    </row>
    <row r="16359" spans="5:18" s="65" customFormat="1">
      <c r="E16359" s="130"/>
      <c r="P16359" s="99"/>
      <c r="Q16359" s="99"/>
      <c r="R16359" s="99"/>
    </row>
    <row r="16360" spans="5:18" s="65" customFormat="1">
      <c r="E16360" s="130"/>
      <c r="P16360" s="99"/>
      <c r="Q16360" s="99"/>
      <c r="R16360" s="99"/>
    </row>
    <row r="16361" spans="5:18" s="65" customFormat="1">
      <c r="E16361" s="130"/>
      <c r="P16361" s="99"/>
      <c r="Q16361" s="99"/>
      <c r="R16361" s="99"/>
    </row>
    <row r="16362" spans="5:18" s="65" customFormat="1">
      <c r="E16362" s="130"/>
      <c r="P16362" s="99"/>
      <c r="Q16362" s="99"/>
      <c r="R16362" s="99"/>
    </row>
    <row r="16363" spans="5:18" s="65" customFormat="1">
      <c r="E16363" s="130"/>
      <c r="P16363" s="99"/>
      <c r="Q16363" s="99"/>
      <c r="R16363" s="99"/>
    </row>
    <row r="16364" spans="5:18" s="65" customFormat="1">
      <c r="E16364" s="130"/>
      <c r="P16364" s="99"/>
      <c r="Q16364" s="99"/>
      <c r="R16364" s="99"/>
    </row>
    <row r="16365" spans="5:18" s="65" customFormat="1">
      <c r="E16365" s="130"/>
      <c r="P16365" s="99"/>
      <c r="Q16365" s="99"/>
      <c r="R16365" s="99"/>
    </row>
    <row r="16366" spans="5:18" s="65" customFormat="1">
      <c r="E16366" s="130"/>
      <c r="P16366" s="99"/>
      <c r="Q16366" s="99"/>
      <c r="R16366" s="99"/>
    </row>
    <row r="16367" spans="5:18" s="65" customFormat="1">
      <c r="E16367" s="130"/>
      <c r="P16367" s="99"/>
      <c r="Q16367" s="99"/>
      <c r="R16367" s="99"/>
    </row>
    <row r="16368" spans="5:18" s="65" customFormat="1">
      <c r="E16368" s="130"/>
      <c r="P16368" s="99"/>
      <c r="Q16368" s="99"/>
      <c r="R16368" s="99"/>
    </row>
    <row r="16369" spans="5:18" s="65" customFormat="1">
      <c r="E16369" s="130"/>
      <c r="P16369" s="99"/>
      <c r="Q16369" s="99"/>
      <c r="R16369" s="99"/>
    </row>
    <row r="16370" spans="5:18" s="65" customFormat="1">
      <c r="E16370" s="130"/>
      <c r="P16370" s="99"/>
      <c r="Q16370" s="99"/>
      <c r="R16370" s="99"/>
    </row>
    <row r="16371" spans="5:18" s="65" customFormat="1">
      <c r="E16371" s="130"/>
      <c r="P16371" s="99"/>
      <c r="Q16371" s="99"/>
      <c r="R16371" s="99"/>
    </row>
    <row r="16372" spans="5:18" s="65" customFormat="1">
      <c r="E16372" s="130"/>
      <c r="P16372" s="99"/>
      <c r="Q16372" s="99"/>
      <c r="R16372" s="99"/>
    </row>
    <row r="16373" spans="5:18" s="65" customFormat="1">
      <c r="E16373" s="130"/>
      <c r="P16373" s="99"/>
      <c r="Q16373" s="99"/>
      <c r="R16373" s="99"/>
    </row>
    <row r="16374" spans="5:18" s="65" customFormat="1">
      <c r="E16374" s="130"/>
      <c r="P16374" s="99"/>
      <c r="Q16374" s="99"/>
      <c r="R16374" s="99"/>
    </row>
    <row r="16375" spans="5:18" s="65" customFormat="1">
      <c r="E16375" s="130"/>
      <c r="P16375" s="99"/>
      <c r="Q16375" s="99"/>
      <c r="R16375" s="99"/>
    </row>
    <row r="16376" spans="5:18" s="65" customFormat="1">
      <c r="E16376" s="130"/>
      <c r="P16376" s="99"/>
      <c r="Q16376" s="99"/>
      <c r="R16376" s="99"/>
    </row>
    <row r="16377" spans="5:18" s="65" customFormat="1">
      <c r="E16377" s="130"/>
      <c r="P16377" s="99"/>
      <c r="Q16377" s="99"/>
      <c r="R16377" s="99"/>
    </row>
    <row r="16378" spans="5:18" s="65" customFormat="1">
      <c r="E16378" s="130"/>
      <c r="P16378" s="99"/>
      <c r="Q16378" s="99"/>
      <c r="R16378" s="99"/>
    </row>
    <row r="16379" spans="5:18" s="65" customFormat="1">
      <c r="E16379" s="130"/>
      <c r="P16379" s="99"/>
      <c r="Q16379" s="99"/>
      <c r="R16379" s="99"/>
    </row>
    <row r="16380" spans="5:18" s="65" customFormat="1">
      <c r="E16380" s="130"/>
      <c r="P16380" s="99"/>
      <c r="Q16380" s="99"/>
      <c r="R16380" s="99"/>
    </row>
    <row r="16381" spans="5:18" s="65" customFormat="1">
      <c r="E16381" s="130"/>
      <c r="P16381" s="99"/>
      <c r="Q16381" s="99"/>
      <c r="R16381" s="99"/>
    </row>
    <row r="16382" spans="5:18" s="65" customFormat="1">
      <c r="E16382" s="130"/>
      <c r="P16382" s="99"/>
      <c r="Q16382" s="99"/>
      <c r="R16382" s="99"/>
    </row>
    <row r="16383" spans="5:18" s="65" customFormat="1">
      <c r="E16383" s="130"/>
      <c r="P16383" s="99"/>
      <c r="Q16383" s="99"/>
      <c r="R16383" s="99"/>
    </row>
    <row r="16384" spans="5:18" s="65" customFormat="1">
      <c r="E16384" s="130"/>
      <c r="P16384" s="99"/>
      <c r="Q16384" s="99"/>
      <c r="R16384" s="99"/>
    </row>
    <row r="16385" spans="5:18" s="65" customFormat="1">
      <c r="E16385" s="130"/>
      <c r="P16385" s="99"/>
      <c r="Q16385" s="99"/>
      <c r="R16385" s="99"/>
    </row>
    <row r="16386" spans="5:18" s="65" customFormat="1">
      <c r="E16386" s="130"/>
      <c r="P16386" s="99"/>
      <c r="Q16386" s="99"/>
      <c r="R16386" s="99"/>
    </row>
    <row r="16387" spans="5:18" s="65" customFormat="1">
      <c r="E16387" s="130"/>
      <c r="P16387" s="99"/>
      <c r="Q16387" s="99"/>
      <c r="R16387" s="99"/>
    </row>
    <row r="16388" spans="5:18" s="65" customFormat="1">
      <c r="E16388" s="130"/>
      <c r="P16388" s="99"/>
      <c r="Q16388" s="99"/>
      <c r="R16388" s="99"/>
    </row>
    <row r="16389" spans="5:18" s="65" customFormat="1">
      <c r="E16389" s="130"/>
      <c r="P16389" s="99"/>
      <c r="Q16389" s="99"/>
      <c r="R16389" s="99"/>
    </row>
    <row r="16390" spans="5:18" s="65" customFormat="1">
      <c r="E16390" s="130"/>
      <c r="P16390" s="99"/>
      <c r="Q16390" s="99"/>
      <c r="R16390" s="99"/>
    </row>
    <row r="16391" spans="5:18" s="65" customFormat="1">
      <c r="E16391" s="130"/>
      <c r="P16391" s="99"/>
      <c r="Q16391" s="99"/>
      <c r="R16391" s="99"/>
    </row>
    <row r="16392" spans="5:18" s="65" customFormat="1">
      <c r="E16392" s="130"/>
      <c r="P16392" s="99"/>
      <c r="Q16392" s="99"/>
      <c r="R16392" s="99"/>
    </row>
    <row r="16393" spans="5:18" s="65" customFormat="1">
      <c r="E16393" s="130"/>
      <c r="P16393" s="99"/>
      <c r="Q16393" s="99"/>
      <c r="R16393" s="99"/>
    </row>
    <row r="16394" spans="5:18" s="65" customFormat="1">
      <c r="E16394" s="130"/>
      <c r="P16394" s="99"/>
      <c r="Q16394" s="99"/>
      <c r="R16394" s="99"/>
    </row>
    <row r="16395" spans="5:18" s="65" customFormat="1">
      <c r="E16395" s="130"/>
      <c r="P16395" s="99"/>
      <c r="Q16395" s="99"/>
      <c r="R16395" s="99"/>
    </row>
    <row r="16396" spans="5:18" s="65" customFormat="1">
      <c r="E16396" s="130"/>
      <c r="P16396" s="99"/>
      <c r="Q16396" s="99"/>
      <c r="R16396" s="99"/>
    </row>
    <row r="16397" spans="5:18" s="65" customFormat="1">
      <c r="E16397" s="130"/>
      <c r="P16397" s="99"/>
      <c r="Q16397" s="99"/>
      <c r="R16397" s="99"/>
    </row>
    <row r="16398" spans="5:18" s="65" customFormat="1">
      <c r="E16398" s="130"/>
      <c r="P16398" s="99"/>
      <c r="Q16398" s="99"/>
      <c r="R16398" s="99"/>
    </row>
    <row r="16399" spans="5:18" s="65" customFormat="1">
      <c r="E16399" s="130"/>
      <c r="P16399" s="99"/>
      <c r="Q16399" s="99"/>
      <c r="R16399" s="99"/>
    </row>
    <row r="16400" spans="5:18" s="65" customFormat="1">
      <c r="E16400" s="130"/>
      <c r="P16400" s="99"/>
      <c r="Q16400" s="99"/>
      <c r="R16400" s="99"/>
    </row>
    <row r="16401" spans="5:18" s="65" customFormat="1">
      <c r="E16401" s="130"/>
      <c r="P16401" s="99"/>
      <c r="Q16401" s="99"/>
      <c r="R16401" s="99"/>
    </row>
    <row r="16402" spans="5:18" s="65" customFormat="1">
      <c r="E16402" s="130"/>
      <c r="P16402" s="99"/>
      <c r="Q16402" s="99"/>
      <c r="R16402" s="99"/>
    </row>
    <row r="16403" spans="5:18" s="65" customFormat="1">
      <c r="E16403" s="130"/>
      <c r="P16403" s="99"/>
      <c r="Q16403" s="99"/>
      <c r="R16403" s="99"/>
    </row>
    <row r="16404" spans="5:18" s="65" customFormat="1">
      <c r="E16404" s="130"/>
      <c r="P16404" s="99"/>
      <c r="Q16404" s="99"/>
      <c r="R16404" s="99"/>
    </row>
    <row r="16405" spans="5:18" s="65" customFormat="1">
      <c r="E16405" s="130"/>
      <c r="P16405" s="99"/>
      <c r="Q16405" s="99"/>
      <c r="R16405" s="99"/>
    </row>
    <row r="16406" spans="5:18" s="65" customFormat="1">
      <c r="E16406" s="130"/>
      <c r="P16406" s="99"/>
      <c r="Q16406" s="99"/>
      <c r="R16406" s="99"/>
    </row>
    <row r="16407" spans="5:18" s="65" customFormat="1">
      <c r="E16407" s="130"/>
      <c r="P16407" s="99"/>
      <c r="Q16407" s="99"/>
      <c r="R16407" s="99"/>
    </row>
    <row r="16408" spans="5:18" s="65" customFormat="1">
      <c r="E16408" s="130"/>
      <c r="P16408" s="99"/>
      <c r="Q16408" s="99"/>
      <c r="R16408" s="99"/>
    </row>
    <row r="16409" spans="5:18" s="65" customFormat="1">
      <c r="E16409" s="130"/>
      <c r="P16409" s="99"/>
      <c r="Q16409" s="99"/>
      <c r="R16409" s="99"/>
    </row>
    <row r="16410" spans="5:18" s="65" customFormat="1">
      <c r="E16410" s="130"/>
      <c r="P16410" s="99"/>
      <c r="Q16410" s="99"/>
      <c r="R16410" s="99"/>
    </row>
    <row r="16411" spans="5:18" s="65" customFormat="1">
      <c r="E16411" s="130"/>
      <c r="P16411" s="99"/>
      <c r="Q16411" s="99"/>
      <c r="R16411" s="99"/>
    </row>
    <row r="16412" spans="5:18" s="65" customFormat="1">
      <c r="E16412" s="130"/>
      <c r="P16412" s="99"/>
      <c r="Q16412" s="99"/>
      <c r="R16412" s="99"/>
    </row>
    <row r="16413" spans="5:18" s="65" customFormat="1">
      <c r="E16413" s="130"/>
      <c r="P16413" s="99"/>
      <c r="Q16413" s="99"/>
      <c r="R16413" s="99"/>
    </row>
    <row r="16414" spans="5:18" s="65" customFormat="1">
      <c r="E16414" s="130"/>
      <c r="P16414" s="99"/>
      <c r="Q16414" s="99"/>
      <c r="R16414" s="99"/>
    </row>
    <row r="16415" spans="5:18" s="65" customFormat="1">
      <c r="E16415" s="130"/>
      <c r="P16415" s="99"/>
      <c r="Q16415" s="99"/>
      <c r="R16415" s="99"/>
    </row>
    <row r="16416" spans="5:18" s="65" customFormat="1">
      <c r="E16416" s="130"/>
      <c r="P16416" s="99"/>
      <c r="Q16416" s="99"/>
      <c r="R16416" s="99"/>
    </row>
    <row r="16417" spans="5:18" s="65" customFormat="1">
      <c r="E16417" s="130"/>
      <c r="P16417" s="99"/>
      <c r="Q16417" s="99"/>
      <c r="R16417" s="99"/>
    </row>
    <row r="16418" spans="5:18" s="65" customFormat="1">
      <c r="E16418" s="130"/>
      <c r="P16418" s="99"/>
      <c r="Q16418" s="99"/>
      <c r="R16418" s="99"/>
    </row>
    <row r="16419" spans="5:18" s="65" customFormat="1">
      <c r="E16419" s="130"/>
      <c r="P16419" s="99"/>
      <c r="Q16419" s="99"/>
      <c r="R16419" s="99"/>
    </row>
    <row r="16420" spans="5:18" s="65" customFormat="1">
      <c r="E16420" s="130"/>
      <c r="P16420" s="99"/>
      <c r="Q16420" s="99"/>
      <c r="R16420" s="99"/>
    </row>
    <row r="16421" spans="5:18" s="65" customFormat="1">
      <c r="E16421" s="130"/>
      <c r="P16421" s="99"/>
      <c r="Q16421" s="99"/>
      <c r="R16421" s="99"/>
    </row>
    <row r="16422" spans="5:18" s="65" customFormat="1">
      <c r="E16422" s="130"/>
      <c r="P16422" s="99"/>
      <c r="Q16422" s="99"/>
      <c r="R16422" s="99"/>
    </row>
    <row r="16423" spans="5:18" s="65" customFormat="1">
      <c r="E16423" s="130"/>
      <c r="P16423" s="99"/>
      <c r="Q16423" s="99"/>
      <c r="R16423" s="99"/>
    </row>
    <row r="16424" spans="5:18" s="65" customFormat="1">
      <c r="E16424" s="130"/>
      <c r="P16424" s="99"/>
      <c r="Q16424" s="99"/>
      <c r="R16424" s="99"/>
    </row>
    <row r="16425" spans="5:18" s="65" customFormat="1">
      <c r="E16425" s="130"/>
      <c r="P16425" s="99"/>
      <c r="Q16425" s="99"/>
      <c r="R16425" s="99"/>
    </row>
    <row r="16426" spans="5:18" s="65" customFormat="1">
      <c r="E16426" s="130"/>
      <c r="P16426" s="99"/>
      <c r="Q16426" s="99"/>
      <c r="R16426" s="99"/>
    </row>
    <row r="16427" spans="5:18" s="65" customFormat="1">
      <c r="E16427" s="130"/>
      <c r="P16427" s="99"/>
      <c r="Q16427" s="99"/>
      <c r="R16427" s="99"/>
    </row>
    <row r="16428" spans="5:18" s="65" customFormat="1">
      <c r="E16428" s="130"/>
      <c r="P16428" s="99"/>
      <c r="Q16428" s="99"/>
      <c r="R16428" s="99"/>
    </row>
    <row r="16429" spans="5:18" s="65" customFormat="1">
      <c r="E16429" s="130"/>
      <c r="P16429" s="99"/>
      <c r="Q16429" s="99"/>
      <c r="R16429" s="99"/>
    </row>
    <row r="16430" spans="5:18" s="65" customFormat="1">
      <c r="E16430" s="130"/>
      <c r="P16430" s="99"/>
      <c r="Q16430" s="99"/>
      <c r="R16430" s="99"/>
    </row>
    <row r="16431" spans="5:18" s="65" customFormat="1">
      <c r="E16431" s="130"/>
      <c r="P16431" s="99"/>
      <c r="Q16431" s="99"/>
      <c r="R16431" s="99"/>
    </row>
    <row r="16432" spans="5:18" s="65" customFormat="1">
      <c r="E16432" s="130"/>
      <c r="P16432" s="99"/>
      <c r="Q16432" s="99"/>
      <c r="R16432" s="99"/>
    </row>
    <row r="16433" spans="5:18" s="65" customFormat="1">
      <c r="E16433" s="130"/>
      <c r="P16433" s="99"/>
      <c r="Q16433" s="99"/>
      <c r="R16433" s="99"/>
    </row>
    <row r="16434" spans="5:18" s="65" customFormat="1">
      <c r="E16434" s="130"/>
      <c r="P16434" s="99"/>
      <c r="Q16434" s="99"/>
      <c r="R16434" s="99"/>
    </row>
    <row r="16435" spans="5:18" s="65" customFormat="1">
      <c r="E16435" s="130"/>
      <c r="P16435" s="99"/>
      <c r="Q16435" s="99"/>
      <c r="R16435" s="99"/>
    </row>
    <row r="16436" spans="5:18" s="65" customFormat="1">
      <c r="E16436" s="130"/>
      <c r="P16436" s="99"/>
      <c r="Q16436" s="99"/>
      <c r="R16436" s="99"/>
    </row>
    <row r="16437" spans="5:18" s="65" customFormat="1">
      <c r="E16437" s="130"/>
      <c r="P16437" s="99"/>
      <c r="Q16437" s="99"/>
      <c r="R16437" s="99"/>
    </row>
    <row r="16438" spans="5:18" s="65" customFormat="1">
      <c r="E16438" s="130"/>
      <c r="P16438" s="99"/>
      <c r="Q16438" s="99"/>
      <c r="R16438" s="99"/>
    </row>
    <row r="16439" spans="5:18" s="65" customFormat="1">
      <c r="E16439" s="130"/>
      <c r="P16439" s="99"/>
      <c r="Q16439" s="99"/>
      <c r="R16439" s="99"/>
    </row>
    <row r="16440" spans="5:18" s="65" customFormat="1">
      <c r="E16440" s="130"/>
      <c r="P16440" s="99"/>
      <c r="Q16440" s="99"/>
      <c r="R16440" s="99"/>
    </row>
    <row r="16441" spans="5:18" s="65" customFormat="1">
      <c r="E16441" s="130"/>
      <c r="P16441" s="99"/>
      <c r="Q16441" s="99"/>
      <c r="R16441" s="99"/>
    </row>
    <row r="16442" spans="5:18" s="65" customFormat="1">
      <c r="E16442" s="130"/>
      <c r="P16442" s="99"/>
      <c r="Q16442" s="99"/>
      <c r="R16442" s="99"/>
    </row>
    <row r="16443" spans="5:18" s="65" customFormat="1">
      <c r="E16443" s="130"/>
      <c r="P16443" s="99"/>
      <c r="Q16443" s="99"/>
      <c r="R16443" s="99"/>
    </row>
    <row r="16444" spans="5:18" s="65" customFormat="1">
      <c r="E16444" s="130"/>
      <c r="P16444" s="99"/>
      <c r="Q16444" s="99"/>
      <c r="R16444" s="99"/>
    </row>
    <row r="16445" spans="5:18" s="65" customFormat="1">
      <c r="E16445" s="130"/>
      <c r="P16445" s="99"/>
      <c r="Q16445" s="99"/>
      <c r="R16445" s="99"/>
    </row>
    <row r="16446" spans="5:18" s="65" customFormat="1">
      <c r="E16446" s="130"/>
      <c r="P16446" s="99"/>
      <c r="Q16446" s="99"/>
      <c r="R16446" s="99"/>
    </row>
    <row r="16447" spans="5:18" s="65" customFormat="1">
      <c r="E16447" s="130"/>
      <c r="P16447" s="99"/>
      <c r="Q16447" s="99"/>
      <c r="R16447" s="99"/>
    </row>
    <row r="16448" spans="5:18" s="65" customFormat="1">
      <c r="E16448" s="130"/>
      <c r="P16448" s="99"/>
      <c r="Q16448" s="99"/>
      <c r="R16448" s="99"/>
    </row>
    <row r="16449" spans="5:18" s="65" customFormat="1">
      <c r="E16449" s="130"/>
      <c r="P16449" s="99"/>
      <c r="Q16449" s="99"/>
      <c r="R16449" s="99"/>
    </row>
    <row r="16450" spans="5:18" s="65" customFormat="1">
      <c r="E16450" s="130"/>
      <c r="P16450" s="99"/>
      <c r="Q16450" s="99"/>
      <c r="R16450" s="99"/>
    </row>
    <row r="16451" spans="5:18" s="65" customFormat="1">
      <c r="E16451" s="130"/>
      <c r="P16451" s="99"/>
      <c r="Q16451" s="99"/>
      <c r="R16451" s="99"/>
    </row>
    <row r="16452" spans="5:18" s="65" customFormat="1">
      <c r="E16452" s="130"/>
      <c r="P16452" s="99"/>
      <c r="Q16452" s="99"/>
      <c r="R16452" s="99"/>
    </row>
    <row r="16453" spans="5:18" s="65" customFormat="1">
      <c r="E16453" s="130"/>
      <c r="P16453" s="99"/>
      <c r="Q16453" s="99"/>
      <c r="R16453" s="99"/>
    </row>
    <row r="16454" spans="5:18" s="65" customFormat="1">
      <c r="E16454" s="130"/>
      <c r="P16454" s="99"/>
      <c r="Q16454" s="99"/>
      <c r="R16454" s="99"/>
    </row>
    <row r="16455" spans="5:18" s="65" customFormat="1">
      <c r="E16455" s="130"/>
      <c r="P16455" s="99"/>
      <c r="Q16455" s="99"/>
      <c r="R16455" s="99"/>
    </row>
    <row r="16456" spans="5:18" s="65" customFormat="1">
      <c r="E16456" s="130"/>
      <c r="P16456" s="99"/>
      <c r="Q16456" s="99"/>
      <c r="R16456" s="99"/>
    </row>
    <row r="16457" spans="5:18" s="65" customFormat="1">
      <c r="E16457" s="130"/>
      <c r="P16457" s="99"/>
      <c r="Q16457" s="99"/>
      <c r="R16457" s="99"/>
    </row>
    <row r="16458" spans="5:18" s="65" customFormat="1">
      <c r="E16458" s="130"/>
      <c r="P16458" s="99"/>
      <c r="Q16458" s="99"/>
      <c r="R16458" s="99"/>
    </row>
    <row r="16459" spans="5:18" s="65" customFormat="1">
      <c r="E16459" s="130"/>
      <c r="P16459" s="99"/>
      <c r="Q16459" s="99"/>
      <c r="R16459" s="99"/>
    </row>
    <row r="16460" spans="5:18" s="65" customFormat="1">
      <c r="E16460" s="130"/>
      <c r="P16460" s="99"/>
      <c r="Q16460" s="99"/>
      <c r="R16460" s="99"/>
    </row>
    <row r="16461" spans="5:18" s="65" customFormat="1">
      <c r="E16461" s="130"/>
      <c r="P16461" s="99"/>
      <c r="Q16461" s="99"/>
      <c r="R16461" s="99"/>
    </row>
    <row r="16462" spans="5:18" s="65" customFormat="1">
      <c r="E16462" s="130"/>
      <c r="P16462" s="99"/>
      <c r="Q16462" s="99"/>
      <c r="R16462" s="99"/>
    </row>
    <row r="16463" spans="5:18" s="65" customFormat="1">
      <c r="E16463" s="130"/>
      <c r="P16463" s="99"/>
      <c r="Q16463" s="99"/>
      <c r="R16463" s="99"/>
    </row>
    <row r="16464" spans="5:18" s="65" customFormat="1">
      <c r="E16464" s="130"/>
      <c r="P16464" s="99"/>
      <c r="Q16464" s="99"/>
      <c r="R16464" s="99"/>
    </row>
    <row r="16465" spans="5:18" s="65" customFormat="1">
      <c r="E16465" s="130"/>
      <c r="P16465" s="99"/>
      <c r="Q16465" s="99"/>
      <c r="R16465" s="99"/>
    </row>
    <row r="16466" spans="5:18" s="65" customFormat="1">
      <c r="E16466" s="130"/>
      <c r="P16466" s="99"/>
      <c r="Q16466" s="99"/>
      <c r="R16466" s="99"/>
    </row>
    <row r="16467" spans="5:18" s="65" customFormat="1">
      <c r="E16467" s="130"/>
      <c r="P16467" s="99"/>
      <c r="Q16467" s="99"/>
      <c r="R16467" s="99"/>
    </row>
    <row r="16468" spans="5:18" s="65" customFormat="1">
      <c r="E16468" s="130"/>
      <c r="P16468" s="99"/>
      <c r="Q16468" s="99"/>
      <c r="R16468" s="99"/>
    </row>
    <row r="16469" spans="5:18" s="65" customFormat="1">
      <c r="E16469" s="130"/>
      <c r="P16469" s="99"/>
      <c r="Q16469" s="99"/>
      <c r="R16469" s="99"/>
    </row>
    <row r="16470" spans="5:18" s="65" customFormat="1">
      <c r="E16470" s="130"/>
      <c r="P16470" s="99"/>
      <c r="Q16470" s="99"/>
      <c r="R16470" s="99"/>
    </row>
    <row r="16471" spans="5:18" s="65" customFormat="1">
      <c r="E16471" s="130"/>
      <c r="P16471" s="99"/>
      <c r="Q16471" s="99"/>
      <c r="R16471" s="99"/>
    </row>
    <row r="16472" spans="5:18" s="65" customFormat="1">
      <c r="E16472" s="130"/>
      <c r="P16472" s="99"/>
      <c r="Q16472" s="99"/>
      <c r="R16472" s="99"/>
    </row>
    <row r="16473" spans="5:18" s="65" customFormat="1">
      <c r="E16473" s="130"/>
      <c r="P16473" s="99"/>
      <c r="Q16473" s="99"/>
      <c r="R16473" s="99"/>
    </row>
    <row r="16474" spans="5:18" s="65" customFormat="1">
      <c r="E16474" s="130"/>
      <c r="P16474" s="99"/>
      <c r="Q16474" s="99"/>
      <c r="R16474" s="99"/>
    </row>
    <row r="16475" spans="5:18" s="65" customFormat="1">
      <c r="E16475" s="130"/>
      <c r="P16475" s="99"/>
      <c r="Q16475" s="99"/>
      <c r="R16475" s="99"/>
    </row>
    <row r="16476" spans="5:18" s="65" customFormat="1">
      <c r="E16476" s="130"/>
      <c r="P16476" s="99"/>
      <c r="Q16476" s="99"/>
      <c r="R16476" s="99"/>
    </row>
    <row r="16477" spans="5:18" s="65" customFormat="1">
      <c r="E16477" s="130"/>
      <c r="P16477" s="99"/>
      <c r="Q16477" s="99"/>
      <c r="R16477" s="99"/>
    </row>
    <row r="16478" spans="5:18" s="65" customFormat="1">
      <c r="E16478" s="130"/>
      <c r="P16478" s="99"/>
      <c r="Q16478" s="99"/>
      <c r="R16478" s="99"/>
    </row>
    <row r="16479" spans="5:18" s="65" customFormat="1">
      <c r="E16479" s="130"/>
      <c r="P16479" s="99"/>
      <c r="Q16479" s="99"/>
      <c r="R16479" s="99"/>
    </row>
    <row r="16480" spans="5:18" s="65" customFormat="1">
      <c r="E16480" s="130"/>
      <c r="P16480" s="99"/>
      <c r="Q16480" s="99"/>
      <c r="R16480" s="99"/>
    </row>
    <row r="16481" spans="5:18" s="65" customFormat="1">
      <c r="E16481" s="130"/>
      <c r="P16481" s="99"/>
      <c r="Q16481" s="99"/>
      <c r="R16481" s="99"/>
    </row>
    <row r="16482" spans="5:18" s="65" customFormat="1">
      <c r="E16482" s="130"/>
      <c r="P16482" s="99"/>
      <c r="Q16482" s="99"/>
      <c r="R16482" s="99"/>
    </row>
    <row r="16483" spans="5:18" s="65" customFormat="1">
      <c r="E16483" s="130"/>
      <c r="P16483" s="99"/>
      <c r="Q16483" s="99"/>
      <c r="R16483" s="99"/>
    </row>
    <row r="16484" spans="5:18" s="65" customFormat="1">
      <c r="E16484" s="130"/>
      <c r="P16484" s="99"/>
      <c r="Q16484" s="99"/>
      <c r="R16484" s="99"/>
    </row>
    <row r="16485" spans="5:18" s="65" customFormat="1">
      <c r="E16485" s="130"/>
      <c r="P16485" s="99"/>
      <c r="Q16485" s="99"/>
      <c r="R16485" s="99"/>
    </row>
    <row r="16486" spans="5:18" s="65" customFormat="1">
      <c r="E16486" s="130"/>
      <c r="P16486" s="99"/>
      <c r="Q16486" s="99"/>
      <c r="R16486" s="99"/>
    </row>
    <row r="16487" spans="5:18" s="65" customFormat="1">
      <c r="E16487" s="130"/>
      <c r="P16487" s="99"/>
      <c r="Q16487" s="99"/>
      <c r="R16487" s="99"/>
    </row>
    <row r="16488" spans="5:18" s="65" customFormat="1">
      <c r="E16488" s="130"/>
      <c r="P16488" s="99"/>
      <c r="Q16488" s="99"/>
      <c r="R16488" s="99"/>
    </row>
    <row r="16489" spans="5:18" s="65" customFormat="1">
      <c r="E16489" s="130"/>
      <c r="P16489" s="99"/>
      <c r="Q16489" s="99"/>
      <c r="R16489" s="99"/>
    </row>
    <row r="16490" spans="5:18" s="65" customFormat="1">
      <c r="E16490" s="130"/>
      <c r="P16490" s="99"/>
      <c r="Q16490" s="99"/>
      <c r="R16490" s="99"/>
    </row>
    <row r="16491" spans="5:18" s="65" customFormat="1">
      <c r="E16491" s="130"/>
      <c r="P16491" s="99"/>
      <c r="Q16491" s="99"/>
      <c r="R16491" s="99"/>
    </row>
    <row r="16492" spans="5:18" s="65" customFormat="1">
      <c r="E16492" s="130"/>
      <c r="P16492" s="99"/>
      <c r="Q16492" s="99"/>
      <c r="R16492" s="99"/>
    </row>
    <row r="16493" spans="5:18" s="65" customFormat="1">
      <c r="E16493" s="130"/>
      <c r="P16493" s="99"/>
      <c r="Q16493" s="99"/>
      <c r="R16493" s="99"/>
    </row>
    <row r="16494" spans="5:18" s="65" customFormat="1">
      <c r="E16494" s="130"/>
      <c r="P16494" s="99"/>
      <c r="Q16494" s="99"/>
      <c r="R16494" s="99"/>
    </row>
    <row r="16495" spans="5:18" s="65" customFormat="1">
      <c r="E16495" s="130"/>
      <c r="P16495" s="99"/>
      <c r="Q16495" s="99"/>
      <c r="R16495" s="99"/>
    </row>
    <row r="16496" spans="5:18" s="65" customFormat="1">
      <c r="E16496" s="130"/>
      <c r="P16496" s="99"/>
      <c r="Q16496" s="99"/>
      <c r="R16496" s="99"/>
    </row>
    <row r="16497" spans="5:18" s="65" customFormat="1">
      <c r="E16497" s="130"/>
      <c r="P16497" s="99"/>
      <c r="Q16497" s="99"/>
      <c r="R16497" s="99"/>
    </row>
    <row r="16498" spans="5:18" s="65" customFormat="1">
      <c r="E16498" s="130"/>
      <c r="P16498" s="99"/>
      <c r="Q16498" s="99"/>
      <c r="R16498" s="99"/>
    </row>
    <row r="16499" spans="5:18" s="65" customFormat="1">
      <c r="E16499" s="130"/>
      <c r="P16499" s="99"/>
      <c r="Q16499" s="99"/>
      <c r="R16499" s="99"/>
    </row>
    <row r="16500" spans="5:18" s="65" customFormat="1">
      <c r="E16500" s="130"/>
      <c r="P16500" s="99"/>
      <c r="Q16500" s="99"/>
      <c r="R16500" s="99"/>
    </row>
    <row r="16501" spans="5:18" s="65" customFormat="1">
      <c r="E16501" s="130"/>
      <c r="P16501" s="99"/>
      <c r="Q16501" s="99"/>
      <c r="R16501" s="99"/>
    </row>
    <row r="16502" spans="5:18" s="65" customFormat="1">
      <c r="E16502" s="130"/>
      <c r="P16502" s="99"/>
      <c r="Q16502" s="99"/>
      <c r="R16502" s="99"/>
    </row>
    <row r="16503" spans="5:18" s="65" customFormat="1">
      <c r="E16503" s="130"/>
      <c r="P16503" s="99"/>
      <c r="Q16503" s="99"/>
      <c r="R16503" s="99"/>
    </row>
    <row r="16504" spans="5:18" s="65" customFormat="1">
      <c r="E16504" s="130"/>
      <c r="P16504" s="99"/>
      <c r="Q16504" s="99"/>
      <c r="R16504" s="99"/>
    </row>
    <row r="16505" spans="5:18" s="65" customFormat="1">
      <c r="E16505" s="130"/>
      <c r="P16505" s="99"/>
      <c r="Q16505" s="99"/>
      <c r="R16505" s="99"/>
    </row>
    <row r="16506" spans="5:18" s="65" customFormat="1">
      <c r="E16506" s="130"/>
      <c r="P16506" s="99"/>
      <c r="Q16506" s="99"/>
      <c r="R16506" s="99"/>
    </row>
    <row r="16507" spans="5:18" s="65" customFormat="1">
      <c r="E16507" s="130"/>
      <c r="P16507" s="99"/>
      <c r="Q16507" s="99"/>
      <c r="R16507" s="99"/>
    </row>
    <row r="16508" spans="5:18" s="65" customFormat="1">
      <c r="E16508" s="130"/>
      <c r="P16508" s="99"/>
      <c r="Q16508" s="99"/>
      <c r="R16508" s="99"/>
    </row>
    <row r="16509" spans="5:18" s="65" customFormat="1">
      <c r="E16509" s="130"/>
      <c r="P16509" s="99"/>
      <c r="Q16509" s="99"/>
      <c r="R16509" s="99"/>
    </row>
    <row r="16510" spans="5:18" s="65" customFormat="1">
      <c r="E16510" s="130"/>
      <c r="P16510" s="99"/>
      <c r="Q16510" s="99"/>
      <c r="R16510" s="99"/>
    </row>
    <row r="16511" spans="5:18" s="65" customFormat="1">
      <c r="E16511" s="130"/>
      <c r="P16511" s="99"/>
      <c r="Q16511" s="99"/>
      <c r="R16511" s="99"/>
    </row>
    <row r="16512" spans="5:18" s="65" customFormat="1">
      <c r="E16512" s="130"/>
      <c r="P16512" s="99"/>
      <c r="Q16512" s="99"/>
      <c r="R16512" s="99"/>
    </row>
    <row r="16513" spans="5:18" s="65" customFormat="1">
      <c r="E16513" s="130"/>
      <c r="P16513" s="99"/>
      <c r="Q16513" s="99"/>
      <c r="R16513" s="99"/>
    </row>
    <row r="16514" spans="5:18" s="65" customFormat="1">
      <c r="E16514" s="130"/>
      <c r="P16514" s="99"/>
      <c r="Q16514" s="99"/>
      <c r="R16514" s="99"/>
    </row>
    <row r="16515" spans="5:18" s="65" customFormat="1">
      <c r="E16515" s="130"/>
      <c r="P16515" s="99"/>
      <c r="Q16515" s="99"/>
      <c r="R16515" s="99"/>
    </row>
    <row r="16516" spans="5:18" s="65" customFormat="1">
      <c r="E16516" s="130"/>
      <c r="P16516" s="99"/>
      <c r="Q16516" s="99"/>
      <c r="R16516" s="99"/>
    </row>
    <row r="16517" spans="5:18" s="65" customFormat="1">
      <c r="E16517" s="130"/>
      <c r="P16517" s="99"/>
      <c r="Q16517" s="99"/>
      <c r="R16517" s="99"/>
    </row>
    <row r="16518" spans="5:18" s="65" customFormat="1">
      <c r="E16518" s="130"/>
      <c r="P16518" s="99"/>
      <c r="Q16518" s="99"/>
      <c r="R16518" s="99"/>
    </row>
    <row r="16519" spans="5:18" s="65" customFormat="1">
      <c r="E16519" s="130"/>
      <c r="P16519" s="99"/>
      <c r="Q16519" s="99"/>
      <c r="R16519" s="99"/>
    </row>
    <row r="16520" spans="5:18" s="65" customFormat="1">
      <c r="E16520" s="130"/>
      <c r="P16520" s="99"/>
      <c r="Q16520" s="99"/>
      <c r="R16520" s="99"/>
    </row>
    <row r="16521" spans="5:18" s="65" customFormat="1">
      <c r="E16521" s="130"/>
      <c r="P16521" s="99"/>
      <c r="Q16521" s="99"/>
      <c r="R16521" s="99"/>
    </row>
    <row r="16522" spans="5:18" s="65" customFormat="1">
      <c r="E16522" s="130"/>
      <c r="P16522" s="99"/>
      <c r="Q16522" s="99"/>
      <c r="R16522" s="99"/>
    </row>
    <row r="16523" spans="5:18" s="65" customFormat="1">
      <c r="E16523" s="130"/>
      <c r="P16523" s="99"/>
      <c r="Q16523" s="99"/>
      <c r="R16523" s="99"/>
    </row>
    <row r="16524" spans="5:18" s="65" customFormat="1">
      <c r="E16524" s="130"/>
      <c r="P16524" s="99"/>
      <c r="Q16524" s="99"/>
      <c r="R16524" s="99"/>
    </row>
    <row r="16525" spans="5:18" s="65" customFormat="1">
      <c r="E16525" s="130"/>
      <c r="P16525" s="99"/>
      <c r="Q16525" s="99"/>
      <c r="R16525" s="99"/>
    </row>
    <row r="16526" spans="5:18" s="65" customFormat="1">
      <c r="E16526" s="130"/>
      <c r="P16526" s="99"/>
      <c r="Q16526" s="99"/>
      <c r="R16526" s="99"/>
    </row>
    <row r="16527" spans="5:18" s="65" customFormat="1">
      <c r="E16527" s="130"/>
      <c r="P16527" s="99"/>
      <c r="Q16527" s="99"/>
      <c r="R16527" s="99"/>
    </row>
    <row r="16528" spans="5:18" s="65" customFormat="1">
      <c r="E16528" s="130"/>
      <c r="P16528" s="99"/>
      <c r="Q16528" s="99"/>
      <c r="R16528" s="99"/>
    </row>
    <row r="16529" spans="5:18" s="65" customFormat="1">
      <c r="E16529" s="130"/>
      <c r="P16529" s="99"/>
      <c r="Q16529" s="99"/>
      <c r="R16529" s="99"/>
    </row>
    <row r="16530" spans="5:18" s="65" customFormat="1">
      <c r="E16530" s="130"/>
      <c r="P16530" s="99"/>
      <c r="Q16530" s="99"/>
      <c r="R16530" s="99"/>
    </row>
    <row r="16531" spans="5:18" s="65" customFormat="1">
      <c r="E16531" s="130"/>
      <c r="P16531" s="99"/>
      <c r="Q16531" s="99"/>
      <c r="R16531" s="99"/>
    </row>
    <row r="16532" spans="5:18" s="65" customFormat="1">
      <c r="E16532" s="130"/>
      <c r="P16532" s="99"/>
      <c r="Q16532" s="99"/>
      <c r="R16532" s="99"/>
    </row>
    <row r="16533" spans="5:18" s="65" customFormat="1">
      <c r="E16533" s="130"/>
      <c r="P16533" s="99"/>
      <c r="Q16533" s="99"/>
      <c r="R16533" s="99"/>
    </row>
    <row r="16534" spans="5:18" s="65" customFormat="1">
      <c r="E16534" s="130"/>
      <c r="P16534" s="99"/>
      <c r="Q16534" s="99"/>
      <c r="R16534" s="99"/>
    </row>
    <row r="16535" spans="5:18" s="65" customFormat="1">
      <c r="E16535" s="130"/>
      <c r="P16535" s="99"/>
      <c r="Q16535" s="99"/>
      <c r="R16535" s="99"/>
    </row>
    <row r="16536" spans="5:18" s="65" customFormat="1">
      <c r="E16536" s="130"/>
      <c r="P16536" s="99"/>
      <c r="Q16536" s="99"/>
      <c r="R16536" s="99"/>
    </row>
    <row r="16537" spans="5:18" s="65" customFormat="1">
      <c r="E16537" s="130"/>
      <c r="P16537" s="99"/>
      <c r="Q16537" s="99"/>
      <c r="R16537" s="99"/>
    </row>
    <row r="16538" spans="5:18" s="65" customFormat="1">
      <c r="E16538" s="130"/>
      <c r="P16538" s="99"/>
      <c r="Q16538" s="99"/>
      <c r="R16538" s="99"/>
    </row>
    <row r="16539" spans="5:18" s="65" customFormat="1">
      <c r="E16539" s="130"/>
      <c r="P16539" s="99"/>
      <c r="Q16539" s="99"/>
      <c r="R16539" s="99"/>
    </row>
    <row r="16540" spans="5:18" s="65" customFormat="1">
      <c r="E16540" s="130"/>
      <c r="P16540" s="99"/>
      <c r="Q16540" s="99"/>
      <c r="R16540" s="99"/>
    </row>
    <row r="16541" spans="5:18" s="65" customFormat="1">
      <c r="E16541" s="130"/>
      <c r="P16541" s="99"/>
      <c r="Q16541" s="99"/>
      <c r="R16541" s="99"/>
    </row>
    <row r="16542" spans="5:18" s="65" customFormat="1">
      <c r="E16542" s="130"/>
      <c r="P16542" s="99"/>
      <c r="Q16542" s="99"/>
      <c r="R16542" s="99"/>
    </row>
    <row r="16543" spans="5:18" s="65" customFormat="1">
      <c r="E16543" s="130"/>
      <c r="P16543" s="99"/>
      <c r="Q16543" s="99"/>
      <c r="R16543" s="99"/>
    </row>
    <row r="16544" spans="5:18" s="65" customFormat="1">
      <c r="E16544" s="130"/>
      <c r="P16544" s="99"/>
      <c r="Q16544" s="99"/>
      <c r="R16544" s="99"/>
    </row>
    <row r="16545" spans="5:18" s="65" customFormat="1">
      <c r="E16545" s="130"/>
      <c r="P16545" s="99"/>
      <c r="Q16545" s="99"/>
      <c r="R16545" s="99"/>
    </row>
    <row r="16546" spans="5:18" s="65" customFormat="1">
      <c r="E16546" s="130"/>
      <c r="P16546" s="99"/>
      <c r="Q16546" s="99"/>
      <c r="R16546" s="99"/>
    </row>
    <row r="16547" spans="5:18" s="65" customFormat="1">
      <c r="E16547" s="130"/>
      <c r="P16547" s="99"/>
      <c r="Q16547" s="99"/>
      <c r="R16547" s="99"/>
    </row>
    <row r="16548" spans="5:18" s="65" customFormat="1">
      <c r="E16548" s="130"/>
      <c r="P16548" s="99"/>
      <c r="Q16548" s="99"/>
      <c r="R16548" s="99"/>
    </row>
    <row r="16549" spans="5:18" s="65" customFormat="1">
      <c r="E16549" s="130"/>
      <c r="P16549" s="99"/>
      <c r="Q16549" s="99"/>
      <c r="R16549" s="99"/>
    </row>
    <row r="16550" spans="5:18" s="65" customFormat="1">
      <c r="E16550" s="130"/>
      <c r="P16550" s="99"/>
      <c r="Q16550" s="99"/>
      <c r="R16550" s="99"/>
    </row>
    <row r="16551" spans="5:18" s="65" customFormat="1">
      <c r="E16551" s="130"/>
      <c r="P16551" s="99"/>
      <c r="Q16551" s="99"/>
      <c r="R16551" s="99"/>
    </row>
    <row r="16552" spans="5:18" s="65" customFormat="1">
      <c r="E16552" s="130"/>
      <c r="P16552" s="99"/>
      <c r="Q16552" s="99"/>
      <c r="R16552" s="99"/>
    </row>
    <row r="16553" spans="5:18" s="65" customFormat="1">
      <c r="E16553" s="130"/>
      <c r="P16553" s="99"/>
      <c r="Q16553" s="99"/>
      <c r="R16553" s="99"/>
    </row>
    <row r="16554" spans="5:18" s="65" customFormat="1">
      <c r="E16554" s="130"/>
      <c r="P16554" s="99"/>
      <c r="Q16554" s="99"/>
      <c r="R16554" s="99"/>
    </row>
    <row r="16555" spans="5:18" s="65" customFormat="1">
      <c r="E16555" s="130"/>
      <c r="P16555" s="99"/>
      <c r="Q16555" s="99"/>
      <c r="R16555" s="99"/>
    </row>
    <row r="16556" spans="5:18" s="65" customFormat="1">
      <c r="E16556" s="130"/>
      <c r="P16556" s="99"/>
      <c r="Q16556" s="99"/>
      <c r="R16556" s="99"/>
    </row>
    <row r="16557" spans="5:18" s="65" customFormat="1">
      <c r="E16557" s="130"/>
      <c r="P16557" s="99"/>
      <c r="Q16557" s="99"/>
      <c r="R16557" s="99"/>
    </row>
    <row r="16558" spans="5:18" s="65" customFormat="1">
      <c r="E16558" s="130"/>
      <c r="P16558" s="99"/>
      <c r="Q16558" s="99"/>
      <c r="R16558" s="99"/>
    </row>
    <row r="16559" spans="5:18" s="65" customFormat="1">
      <c r="E16559" s="130"/>
      <c r="P16559" s="99"/>
      <c r="Q16559" s="99"/>
      <c r="R16559" s="99"/>
    </row>
    <row r="16560" spans="5:18" s="65" customFormat="1">
      <c r="E16560" s="130"/>
      <c r="P16560" s="99"/>
      <c r="Q16560" s="99"/>
      <c r="R16560" s="99"/>
    </row>
    <row r="16561" spans="5:18" s="65" customFormat="1">
      <c r="E16561" s="130"/>
      <c r="P16561" s="99"/>
      <c r="Q16561" s="99"/>
      <c r="R16561" s="99"/>
    </row>
    <row r="16562" spans="5:18" s="65" customFormat="1">
      <c r="E16562" s="130"/>
      <c r="P16562" s="99"/>
      <c r="Q16562" s="99"/>
      <c r="R16562" s="99"/>
    </row>
    <row r="16563" spans="5:18" s="65" customFormat="1">
      <c r="E16563" s="130"/>
      <c r="P16563" s="99"/>
      <c r="Q16563" s="99"/>
      <c r="R16563" s="99"/>
    </row>
    <row r="16564" spans="5:18" s="65" customFormat="1">
      <c r="E16564" s="130"/>
      <c r="P16564" s="99"/>
      <c r="Q16564" s="99"/>
      <c r="R16564" s="99"/>
    </row>
    <row r="16565" spans="5:18" s="65" customFormat="1">
      <c r="E16565" s="130"/>
      <c r="P16565" s="99"/>
      <c r="Q16565" s="99"/>
      <c r="R16565" s="99"/>
    </row>
    <row r="16566" spans="5:18" s="65" customFormat="1">
      <c r="E16566" s="130"/>
      <c r="P16566" s="99"/>
      <c r="Q16566" s="99"/>
      <c r="R16566" s="99"/>
    </row>
    <row r="16567" spans="5:18" s="65" customFormat="1">
      <c r="E16567" s="130"/>
      <c r="P16567" s="99"/>
      <c r="Q16567" s="99"/>
      <c r="R16567" s="99"/>
    </row>
    <row r="16568" spans="5:18" s="65" customFormat="1">
      <c r="E16568" s="130"/>
      <c r="P16568" s="99"/>
      <c r="Q16568" s="99"/>
      <c r="R16568" s="99"/>
    </row>
    <row r="16569" spans="5:18" s="65" customFormat="1">
      <c r="E16569" s="130"/>
      <c r="P16569" s="99"/>
      <c r="Q16569" s="99"/>
      <c r="R16569" s="99"/>
    </row>
    <row r="16570" spans="5:18" s="65" customFormat="1">
      <c r="E16570" s="130"/>
      <c r="P16570" s="99"/>
      <c r="Q16570" s="99"/>
      <c r="R16570" s="99"/>
    </row>
    <row r="16571" spans="5:18" s="65" customFormat="1">
      <c r="E16571" s="130"/>
      <c r="P16571" s="99"/>
      <c r="Q16571" s="99"/>
      <c r="R16571" s="99"/>
    </row>
    <row r="16572" spans="5:18" s="65" customFormat="1">
      <c r="E16572" s="130"/>
      <c r="P16572" s="99"/>
      <c r="Q16572" s="99"/>
      <c r="R16572" s="99"/>
    </row>
    <row r="16573" spans="5:18" s="65" customFormat="1">
      <c r="E16573" s="130"/>
      <c r="P16573" s="99"/>
      <c r="Q16573" s="99"/>
      <c r="R16573" s="99"/>
    </row>
    <row r="16574" spans="5:18" s="65" customFormat="1">
      <c r="E16574" s="130"/>
      <c r="P16574" s="99"/>
      <c r="Q16574" s="99"/>
      <c r="R16574" s="99"/>
    </row>
    <row r="16575" spans="5:18" s="65" customFormat="1">
      <c r="E16575" s="130"/>
      <c r="P16575" s="99"/>
      <c r="Q16575" s="99"/>
      <c r="R16575" s="99"/>
    </row>
    <row r="16576" spans="5:18" s="65" customFormat="1">
      <c r="E16576" s="130"/>
      <c r="P16576" s="99"/>
      <c r="Q16576" s="99"/>
      <c r="R16576" s="99"/>
    </row>
    <row r="16577" spans="5:18" s="65" customFormat="1">
      <c r="E16577" s="130"/>
      <c r="P16577" s="99"/>
      <c r="Q16577" s="99"/>
      <c r="R16577" s="99"/>
    </row>
    <row r="16578" spans="5:18" s="65" customFormat="1">
      <c r="E16578" s="130"/>
      <c r="P16578" s="99"/>
      <c r="Q16578" s="99"/>
      <c r="R16578" s="99"/>
    </row>
    <row r="16579" spans="5:18" s="65" customFormat="1">
      <c r="E16579" s="130"/>
      <c r="P16579" s="99"/>
      <c r="Q16579" s="99"/>
      <c r="R16579" s="99"/>
    </row>
    <row r="16580" spans="5:18" s="65" customFormat="1">
      <c r="E16580" s="130"/>
      <c r="P16580" s="99"/>
      <c r="Q16580" s="99"/>
      <c r="R16580" s="99"/>
    </row>
    <row r="16581" spans="5:18" s="65" customFormat="1">
      <c r="E16581" s="130"/>
      <c r="P16581" s="99"/>
      <c r="Q16581" s="99"/>
      <c r="R16581" s="99"/>
    </row>
    <row r="16582" spans="5:18" s="65" customFormat="1">
      <c r="E16582" s="130"/>
      <c r="P16582" s="99"/>
      <c r="Q16582" s="99"/>
      <c r="R16582" s="99"/>
    </row>
    <row r="16583" spans="5:18" s="65" customFormat="1">
      <c r="E16583" s="130"/>
      <c r="P16583" s="99"/>
      <c r="Q16583" s="99"/>
      <c r="R16583" s="99"/>
    </row>
    <row r="16584" spans="5:18" s="65" customFormat="1">
      <c r="E16584" s="130"/>
      <c r="P16584" s="99"/>
      <c r="Q16584" s="99"/>
      <c r="R16584" s="99"/>
    </row>
    <row r="16585" spans="5:18" s="65" customFormat="1">
      <c r="E16585" s="130"/>
      <c r="P16585" s="99"/>
      <c r="Q16585" s="99"/>
      <c r="R16585" s="99"/>
    </row>
    <row r="16586" spans="5:18" s="65" customFormat="1">
      <c r="E16586" s="130"/>
      <c r="P16586" s="99"/>
      <c r="Q16586" s="99"/>
      <c r="R16586" s="99"/>
    </row>
    <row r="16587" spans="5:18" s="65" customFormat="1">
      <c r="E16587" s="130"/>
      <c r="P16587" s="99"/>
      <c r="Q16587" s="99"/>
      <c r="R16587" s="99"/>
    </row>
    <row r="16588" spans="5:18" s="65" customFormat="1">
      <c r="E16588" s="130"/>
      <c r="P16588" s="99"/>
      <c r="Q16588" s="99"/>
      <c r="R16588" s="99"/>
    </row>
    <row r="16589" spans="5:18" s="65" customFormat="1">
      <c r="E16589" s="130"/>
      <c r="P16589" s="99"/>
      <c r="Q16589" s="99"/>
      <c r="R16589" s="99"/>
    </row>
    <row r="16590" spans="5:18" s="65" customFormat="1">
      <c r="E16590" s="130"/>
      <c r="P16590" s="99"/>
      <c r="Q16590" s="99"/>
      <c r="R16590" s="99"/>
    </row>
    <row r="16591" spans="5:18" s="65" customFormat="1">
      <c r="E16591" s="130"/>
      <c r="P16591" s="99"/>
      <c r="Q16591" s="99"/>
      <c r="R16591" s="99"/>
    </row>
    <row r="16592" spans="5:18" s="65" customFormat="1">
      <c r="E16592" s="130"/>
      <c r="P16592" s="99"/>
      <c r="Q16592" s="99"/>
      <c r="R16592" s="99"/>
    </row>
    <row r="16593" spans="5:18" s="65" customFormat="1">
      <c r="E16593" s="130"/>
      <c r="P16593" s="99"/>
      <c r="Q16593" s="99"/>
      <c r="R16593" s="99"/>
    </row>
    <row r="16594" spans="5:18" s="65" customFormat="1">
      <c r="E16594" s="130"/>
      <c r="P16594" s="99"/>
      <c r="Q16594" s="99"/>
      <c r="R16594" s="99"/>
    </row>
    <row r="16595" spans="5:18" s="65" customFormat="1">
      <c r="E16595" s="130"/>
      <c r="P16595" s="99"/>
      <c r="Q16595" s="99"/>
      <c r="R16595" s="99"/>
    </row>
    <row r="16596" spans="5:18" s="65" customFormat="1">
      <c r="E16596" s="130"/>
      <c r="P16596" s="99"/>
      <c r="Q16596" s="99"/>
      <c r="R16596" s="99"/>
    </row>
    <row r="16597" spans="5:18" s="65" customFormat="1">
      <c r="E16597" s="130"/>
      <c r="P16597" s="99"/>
      <c r="Q16597" s="99"/>
      <c r="R16597" s="99"/>
    </row>
    <row r="16598" spans="5:18" s="65" customFormat="1">
      <c r="E16598" s="130"/>
      <c r="P16598" s="99"/>
      <c r="Q16598" s="99"/>
      <c r="R16598" s="99"/>
    </row>
    <row r="16599" spans="5:18" s="65" customFormat="1">
      <c r="E16599" s="130"/>
      <c r="P16599" s="99"/>
      <c r="Q16599" s="99"/>
      <c r="R16599" s="99"/>
    </row>
    <row r="16600" spans="5:18" s="65" customFormat="1">
      <c r="E16600" s="130"/>
      <c r="P16600" s="99"/>
      <c r="Q16600" s="99"/>
      <c r="R16600" s="99"/>
    </row>
    <row r="16601" spans="5:18" s="65" customFormat="1">
      <c r="E16601" s="130"/>
      <c r="P16601" s="99"/>
      <c r="Q16601" s="99"/>
      <c r="R16601" s="99"/>
    </row>
    <row r="16602" spans="5:18" s="65" customFormat="1">
      <c r="E16602" s="130"/>
      <c r="P16602" s="99"/>
      <c r="Q16602" s="99"/>
      <c r="R16602" s="99"/>
    </row>
    <row r="16603" spans="5:18" s="65" customFormat="1">
      <c r="E16603" s="130"/>
      <c r="P16603" s="99"/>
      <c r="Q16603" s="99"/>
      <c r="R16603" s="99"/>
    </row>
    <row r="16604" spans="5:18" s="65" customFormat="1">
      <c r="E16604" s="130"/>
      <c r="P16604" s="99"/>
      <c r="Q16604" s="99"/>
      <c r="R16604" s="99"/>
    </row>
    <row r="16605" spans="5:18" s="65" customFormat="1">
      <c r="E16605" s="130"/>
      <c r="P16605" s="99"/>
      <c r="Q16605" s="99"/>
      <c r="R16605" s="99"/>
    </row>
    <row r="16606" spans="5:18" s="65" customFormat="1">
      <c r="E16606" s="130"/>
      <c r="P16606" s="99"/>
      <c r="Q16606" s="99"/>
      <c r="R16606" s="99"/>
    </row>
    <row r="16607" spans="5:18" s="65" customFormat="1">
      <c r="E16607" s="130"/>
      <c r="P16607" s="99"/>
      <c r="Q16607" s="99"/>
      <c r="R16607" s="99"/>
    </row>
    <row r="16608" spans="5:18" s="65" customFormat="1">
      <c r="E16608" s="130"/>
      <c r="P16608" s="99"/>
      <c r="Q16608" s="99"/>
      <c r="R16608" s="99"/>
    </row>
    <row r="16609" spans="5:18" s="65" customFormat="1">
      <c r="E16609" s="130"/>
      <c r="P16609" s="99"/>
      <c r="Q16609" s="99"/>
      <c r="R16609" s="99"/>
    </row>
    <row r="16610" spans="5:18" s="65" customFormat="1">
      <c r="E16610" s="130"/>
      <c r="P16610" s="99"/>
      <c r="Q16610" s="99"/>
      <c r="R16610" s="99"/>
    </row>
    <row r="16611" spans="5:18" s="65" customFormat="1">
      <c r="E16611" s="130"/>
      <c r="P16611" s="99"/>
      <c r="Q16611" s="99"/>
      <c r="R16611" s="99"/>
    </row>
    <row r="16612" spans="5:18" s="65" customFormat="1">
      <c r="E16612" s="130"/>
      <c r="P16612" s="99"/>
      <c r="Q16612" s="99"/>
      <c r="R16612" s="99"/>
    </row>
    <row r="16613" spans="5:18" s="65" customFormat="1">
      <c r="E16613" s="130"/>
      <c r="P16613" s="99"/>
      <c r="Q16613" s="99"/>
      <c r="R16613" s="99"/>
    </row>
    <row r="16614" spans="5:18" s="65" customFormat="1">
      <c r="E16614" s="130"/>
      <c r="P16614" s="99"/>
      <c r="Q16614" s="99"/>
      <c r="R16614" s="99"/>
    </row>
    <row r="16615" spans="5:18" s="65" customFormat="1">
      <c r="E16615" s="130"/>
      <c r="P16615" s="99"/>
      <c r="Q16615" s="99"/>
      <c r="R16615" s="99"/>
    </row>
    <row r="16616" spans="5:18" s="65" customFormat="1">
      <c r="E16616" s="130"/>
      <c r="P16616" s="99"/>
      <c r="Q16616" s="99"/>
      <c r="R16616" s="99"/>
    </row>
    <row r="16617" spans="5:18" s="65" customFormat="1">
      <c r="E16617" s="130"/>
      <c r="P16617" s="99"/>
      <c r="Q16617" s="99"/>
      <c r="R16617" s="99"/>
    </row>
    <row r="16618" spans="5:18" s="65" customFormat="1">
      <c r="E16618" s="130"/>
      <c r="P16618" s="99"/>
      <c r="Q16618" s="99"/>
      <c r="R16618" s="99"/>
    </row>
    <row r="16619" spans="5:18" s="65" customFormat="1">
      <c r="E16619" s="130"/>
      <c r="P16619" s="99"/>
      <c r="Q16619" s="99"/>
      <c r="R16619" s="99"/>
    </row>
    <row r="16620" spans="5:18" s="65" customFormat="1">
      <c r="E16620" s="130"/>
      <c r="P16620" s="99"/>
      <c r="Q16620" s="99"/>
      <c r="R16620" s="99"/>
    </row>
    <row r="16621" spans="5:18" s="65" customFormat="1">
      <c r="E16621" s="130"/>
      <c r="P16621" s="99"/>
      <c r="Q16621" s="99"/>
      <c r="R16621" s="99"/>
    </row>
    <row r="16622" spans="5:18" s="65" customFormat="1">
      <c r="E16622" s="130"/>
      <c r="P16622" s="99"/>
      <c r="Q16622" s="99"/>
      <c r="R16622" s="99"/>
    </row>
    <row r="16623" spans="5:18" s="65" customFormat="1">
      <c r="E16623" s="130"/>
      <c r="P16623" s="99"/>
      <c r="Q16623" s="99"/>
      <c r="R16623" s="99"/>
    </row>
    <row r="16624" spans="5:18" s="65" customFormat="1">
      <c r="E16624" s="130"/>
      <c r="P16624" s="99"/>
      <c r="Q16624" s="99"/>
      <c r="R16624" s="99"/>
    </row>
    <row r="16625" spans="5:18" s="65" customFormat="1">
      <c r="E16625" s="130"/>
      <c r="P16625" s="99"/>
      <c r="Q16625" s="99"/>
      <c r="R16625" s="99"/>
    </row>
    <row r="16626" spans="5:18" s="65" customFormat="1">
      <c r="E16626" s="130"/>
      <c r="P16626" s="99"/>
      <c r="Q16626" s="99"/>
      <c r="R16626" s="99"/>
    </row>
    <row r="16627" spans="5:18" s="65" customFormat="1">
      <c r="E16627" s="130"/>
      <c r="P16627" s="99"/>
      <c r="Q16627" s="99"/>
      <c r="R16627" s="99"/>
    </row>
    <row r="16628" spans="5:18" s="65" customFormat="1">
      <c r="E16628" s="130"/>
      <c r="P16628" s="99"/>
      <c r="Q16628" s="99"/>
      <c r="R16628" s="99"/>
    </row>
    <row r="16629" spans="5:18" s="65" customFormat="1">
      <c r="E16629" s="130"/>
      <c r="P16629" s="99"/>
      <c r="Q16629" s="99"/>
      <c r="R16629" s="99"/>
    </row>
    <row r="16630" spans="5:18" s="65" customFormat="1">
      <c r="E16630" s="130"/>
      <c r="P16630" s="99"/>
      <c r="Q16630" s="99"/>
      <c r="R16630" s="99"/>
    </row>
    <row r="16631" spans="5:18" s="65" customFormat="1">
      <c r="E16631" s="130"/>
      <c r="P16631" s="99"/>
      <c r="Q16631" s="99"/>
      <c r="R16631" s="99"/>
    </row>
    <row r="16632" spans="5:18" s="65" customFormat="1">
      <c r="E16632" s="130"/>
      <c r="P16632" s="99"/>
      <c r="Q16632" s="99"/>
      <c r="R16632" s="99"/>
    </row>
    <row r="16633" spans="5:18" s="65" customFormat="1">
      <c r="E16633" s="130"/>
      <c r="P16633" s="99"/>
      <c r="Q16633" s="99"/>
      <c r="R16633" s="99"/>
    </row>
    <row r="16634" spans="5:18" s="65" customFormat="1">
      <c r="E16634" s="130"/>
      <c r="P16634" s="99"/>
      <c r="Q16634" s="99"/>
      <c r="R16634" s="99"/>
    </row>
    <row r="16635" spans="5:18" s="65" customFormat="1">
      <c r="E16635" s="130"/>
      <c r="P16635" s="99"/>
      <c r="Q16635" s="99"/>
      <c r="R16635" s="99"/>
    </row>
    <row r="16636" spans="5:18" s="65" customFormat="1">
      <c r="E16636" s="130"/>
      <c r="P16636" s="99"/>
      <c r="Q16636" s="99"/>
      <c r="R16636" s="99"/>
    </row>
    <row r="16637" spans="5:18" s="65" customFormat="1">
      <c r="E16637" s="130"/>
      <c r="P16637" s="99"/>
      <c r="Q16637" s="99"/>
      <c r="R16637" s="99"/>
    </row>
    <row r="16638" spans="5:18" s="65" customFormat="1">
      <c r="E16638" s="130"/>
      <c r="P16638" s="99"/>
      <c r="Q16638" s="99"/>
      <c r="R16638" s="99"/>
    </row>
    <row r="16639" spans="5:18" s="65" customFormat="1">
      <c r="E16639" s="130"/>
      <c r="P16639" s="99"/>
      <c r="Q16639" s="99"/>
      <c r="R16639" s="99"/>
    </row>
    <row r="16640" spans="5:18" s="65" customFormat="1">
      <c r="E16640" s="130"/>
      <c r="P16640" s="99"/>
      <c r="Q16640" s="99"/>
      <c r="R16640" s="99"/>
    </row>
    <row r="16641" spans="5:18" s="65" customFormat="1">
      <c r="E16641" s="130"/>
      <c r="P16641" s="99"/>
      <c r="Q16641" s="99"/>
      <c r="R16641" s="99"/>
    </row>
    <row r="16642" spans="5:18" s="65" customFormat="1">
      <c r="E16642" s="130"/>
      <c r="P16642" s="99"/>
      <c r="Q16642" s="99"/>
      <c r="R16642" s="99"/>
    </row>
    <row r="16643" spans="5:18" s="65" customFormat="1">
      <c r="E16643" s="130"/>
      <c r="P16643" s="99"/>
      <c r="Q16643" s="99"/>
      <c r="R16643" s="99"/>
    </row>
    <row r="16644" spans="5:18" s="65" customFormat="1">
      <c r="E16644" s="130"/>
      <c r="P16644" s="99"/>
      <c r="Q16644" s="99"/>
      <c r="R16644" s="99"/>
    </row>
    <row r="16645" spans="5:18" s="65" customFormat="1">
      <c r="E16645" s="130"/>
      <c r="P16645" s="99"/>
      <c r="Q16645" s="99"/>
      <c r="R16645" s="99"/>
    </row>
    <row r="16646" spans="5:18" s="65" customFormat="1">
      <c r="E16646" s="130"/>
      <c r="P16646" s="99"/>
      <c r="Q16646" s="99"/>
      <c r="R16646" s="99"/>
    </row>
    <row r="16647" spans="5:18" s="65" customFormat="1">
      <c r="E16647" s="130"/>
      <c r="P16647" s="99"/>
      <c r="Q16647" s="99"/>
      <c r="R16647" s="99"/>
    </row>
    <row r="16648" spans="5:18" s="65" customFormat="1">
      <c r="E16648" s="130"/>
      <c r="P16648" s="99"/>
      <c r="Q16648" s="99"/>
      <c r="R16648" s="99"/>
    </row>
    <row r="16649" spans="5:18" s="65" customFormat="1">
      <c r="E16649" s="130"/>
      <c r="P16649" s="99"/>
      <c r="Q16649" s="99"/>
      <c r="R16649" s="99"/>
    </row>
    <row r="16650" spans="5:18" s="65" customFormat="1">
      <c r="E16650" s="130"/>
      <c r="P16650" s="99"/>
      <c r="Q16650" s="99"/>
      <c r="R16650" s="99"/>
    </row>
    <row r="16651" spans="5:18" s="65" customFormat="1">
      <c r="E16651" s="130"/>
      <c r="P16651" s="99"/>
      <c r="Q16651" s="99"/>
      <c r="R16651" s="99"/>
    </row>
    <row r="16652" spans="5:18" s="65" customFormat="1">
      <c r="E16652" s="130"/>
      <c r="P16652" s="99"/>
      <c r="Q16652" s="99"/>
      <c r="R16652" s="99"/>
    </row>
    <row r="16653" spans="5:18" s="65" customFormat="1">
      <c r="E16653" s="130"/>
      <c r="P16653" s="99"/>
      <c r="Q16653" s="99"/>
      <c r="R16653" s="99"/>
    </row>
    <row r="16654" spans="5:18" s="65" customFormat="1">
      <c r="E16654" s="130"/>
      <c r="P16654" s="99"/>
      <c r="Q16654" s="99"/>
      <c r="R16654" s="99"/>
    </row>
    <row r="16655" spans="5:18" s="65" customFormat="1">
      <c r="E16655" s="130"/>
      <c r="P16655" s="99"/>
      <c r="Q16655" s="99"/>
      <c r="R16655" s="99"/>
    </row>
    <row r="16656" spans="5:18" s="65" customFormat="1">
      <c r="E16656" s="130"/>
      <c r="P16656" s="99"/>
      <c r="Q16656" s="99"/>
      <c r="R16656" s="99"/>
    </row>
    <row r="16657" spans="5:18" s="65" customFormat="1">
      <c r="E16657" s="130"/>
      <c r="P16657" s="99"/>
      <c r="Q16657" s="99"/>
      <c r="R16657" s="99"/>
    </row>
    <row r="16658" spans="5:18" s="65" customFormat="1">
      <c r="E16658" s="130"/>
      <c r="P16658" s="99"/>
      <c r="Q16658" s="99"/>
      <c r="R16658" s="99"/>
    </row>
    <row r="16659" spans="5:18" s="65" customFormat="1">
      <c r="E16659" s="130"/>
      <c r="P16659" s="99"/>
      <c r="Q16659" s="99"/>
      <c r="R16659" s="99"/>
    </row>
    <row r="16660" spans="5:18" s="65" customFormat="1">
      <c r="E16660" s="130"/>
      <c r="P16660" s="99"/>
      <c r="Q16660" s="99"/>
      <c r="R16660" s="99"/>
    </row>
    <row r="16661" spans="5:18" s="65" customFormat="1">
      <c r="E16661" s="130"/>
      <c r="P16661" s="99"/>
      <c r="Q16661" s="99"/>
      <c r="R16661" s="99"/>
    </row>
    <row r="16662" spans="5:18" s="65" customFormat="1">
      <c r="E16662" s="130"/>
      <c r="P16662" s="99"/>
      <c r="Q16662" s="99"/>
      <c r="R16662" s="99"/>
    </row>
    <row r="16663" spans="5:18" s="65" customFormat="1">
      <c r="E16663" s="130"/>
      <c r="P16663" s="99"/>
      <c r="Q16663" s="99"/>
      <c r="R16663" s="99"/>
    </row>
    <row r="16664" spans="5:18" s="65" customFormat="1">
      <c r="E16664" s="130"/>
      <c r="P16664" s="99"/>
      <c r="Q16664" s="99"/>
      <c r="R16664" s="99"/>
    </row>
    <row r="16665" spans="5:18" s="65" customFormat="1">
      <c r="E16665" s="130"/>
      <c r="P16665" s="99"/>
      <c r="Q16665" s="99"/>
      <c r="R16665" s="99"/>
    </row>
    <row r="16666" spans="5:18" s="65" customFormat="1">
      <c r="E16666" s="130"/>
      <c r="P16666" s="99"/>
      <c r="Q16666" s="99"/>
      <c r="R16666" s="99"/>
    </row>
    <row r="16667" spans="5:18" s="65" customFormat="1">
      <c r="E16667" s="130"/>
      <c r="P16667" s="99"/>
      <c r="Q16667" s="99"/>
      <c r="R16667" s="99"/>
    </row>
    <row r="16668" spans="5:18" s="65" customFormat="1">
      <c r="E16668" s="130"/>
      <c r="P16668" s="99"/>
      <c r="Q16668" s="99"/>
      <c r="R16668" s="99"/>
    </row>
    <row r="16669" spans="5:18" s="65" customFormat="1">
      <c r="E16669" s="130"/>
      <c r="P16669" s="99"/>
      <c r="Q16669" s="99"/>
      <c r="R16669" s="99"/>
    </row>
    <row r="16670" spans="5:18" s="65" customFormat="1">
      <c r="E16670" s="130"/>
      <c r="P16670" s="99"/>
      <c r="Q16670" s="99"/>
      <c r="R16670" s="99"/>
    </row>
    <row r="16671" spans="5:18" s="65" customFormat="1">
      <c r="E16671" s="130"/>
      <c r="P16671" s="99"/>
      <c r="Q16671" s="99"/>
      <c r="R16671" s="99"/>
    </row>
    <row r="16672" spans="5:18" s="65" customFormat="1">
      <c r="E16672" s="130"/>
      <c r="P16672" s="99"/>
      <c r="Q16672" s="99"/>
      <c r="R16672" s="99"/>
    </row>
    <row r="16673" spans="5:18" s="65" customFormat="1">
      <c r="E16673" s="130"/>
      <c r="P16673" s="99"/>
      <c r="Q16673" s="99"/>
      <c r="R16673" s="99"/>
    </row>
    <row r="16674" spans="5:18" s="65" customFormat="1">
      <c r="E16674" s="130"/>
      <c r="P16674" s="99"/>
      <c r="Q16674" s="99"/>
      <c r="R16674" s="99"/>
    </row>
    <row r="16675" spans="5:18" s="65" customFormat="1">
      <c r="E16675" s="130"/>
      <c r="P16675" s="99"/>
      <c r="Q16675" s="99"/>
      <c r="R16675" s="99"/>
    </row>
    <row r="16676" spans="5:18" s="65" customFormat="1">
      <c r="E16676" s="130"/>
      <c r="P16676" s="99"/>
      <c r="Q16676" s="99"/>
      <c r="R16676" s="99"/>
    </row>
    <row r="16677" spans="5:18" s="65" customFormat="1">
      <c r="E16677" s="130"/>
      <c r="P16677" s="99"/>
      <c r="Q16677" s="99"/>
      <c r="R16677" s="99"/>
    </row>
    <row r="16678" spans="5:18" s="65" customFormat="1">
      <c r="E16678" s="130"/>
      <c r="P16678" s="99"/>
      <c r="Q16678" s="99"/>
      <c r="R16678" s="99"/>
    </row>
    <row r="16679" spans="5:18" s="65" customFormat="1">
      <c r="E16679" s="130"/>
      <c r="P16679" s="99"/>
      <c r="Q16679" s="99"/>
      <c r="R16679" s="99"/>
    </row>
    <row r="16680" spans="5:18" s="65" customFormat="1">
      <c r="E16680" s="130"/>
      <c r="P16680" s="99"/>
      <c r="Q16680" s="99"/>
      <c r="R16680" s="99"/>
    </row>
    <row r="16681" spans="5:18" s="65" customFormat="1">
      <c r="E16681" s="130"/>
      <c r="P16681" s="99"/>
      <c r="Q16681" s="99"/>
      <c r="R16681" s="99"/>
    </row>
    <row r="16682" spans="5:18" s="65" customFormat="1">
      <c r="E16682" s="130"/>
      <c r="P16682" s="99"/>
      <c r="Q16682" s="99"/>
      <c r="R16682" s="99"/>
    </row>
    <row r="16683" spans="5:18" s="65" customFormat="1">
      <c r="E16683" s="130"/>
      <c r="P16683" s="99"/>
      <c r="Q16683" s="99"/>
      <c r="R16683" s="99"/>
    </row>
    <row r="16684" spans="5:18" s="65" customFormat="1">
      <c r="E16684" s="130"/>
      <c r="P16684" s="99"/>
      <c r="Q16684" s="99"/>
      <c r="R16684" s="99"/>
    </row>
    <row r="16685" spans="5:18" s="65" customFormat="1">
      <c r="E16685" s="130"/>
      <c r="P16685" s="99"/>
      <c r="Q16685" s="99"/>
      <c r="R16685" s="99"/>
    </row>
    <row r="16686" spans="5:18" s="65" customFormat="1">
      <c r="E16686" s="130"/>
      <c r="P16686" s="99"/>
      <c r="Q16686" s="99"/>
      <c r="R16686" s="99"/>
    </row>
    <row r="16687" spans="5:18" s="65" customFormat="1">
      <c r="E16687" s="130"/>
      <c r="P16687" s="99"/>
      <c r="Q16687" s="99"/>
      <c r="R16687" s="99"/>
    </row>
    <row r="16688" spans="5:18" s="65" customFormat="1">
      <c r="E16688" s="130"/>
      <c r="P16688" s="99"/>
      <c r="Q16688" s="99"/>
      <c r="R16688" s="99"/>
    </row>
    <row r="16689" spans="5:18" s="65" customFormat="1">
      <c r="E16689" s="130"/>
      <c r="P16689" s="99"/>
      <c r="Q16689" s="99"/>
      <c r="R16689" s="99"/>
    </row>
    <row r="16690" spans="5:18" s="65" customFormat="1">
      <c r="E16690" s="130"/>
      <c r="P16690" s="99"/>
      <c r="Q16690" s="99"/>
      <c r="R16690" s="99"/>
    </row>
    <row r="16691" spans="5:18" s="65" customFormat="1">
      <c r="E16691" s="130"/>
      <c r="P16691" s="99"/>
      <c r="Q16691" s="99"/>
      <c r="R16691" s="99"/>
    </row>
    <row r="16692" spans="5:18" s="65" customFormat="1">
      <c r="E16692" s="130"/>
      <c r="P16692" s="99"/>
      <c r="Q16692" s="99"/>
      <c r="R16692" s="99"/>
    </row>
    <row r="16693" spans="5:18" s="65" customFormat="1">
      <c r="E16693" s="130"/>
      <c r="P16693" s="99"/>
      <c r="Q16693" s="99"/>
      <c r="R16693" s="99"/>
    </row>
    <row r="16694" spans="5:18" s="65" customFormat="1">
      <c r="E16694" s="130"/>
      <c r="P16694" s="99"/>
      <c r="Q16694" s="99"/>
      <c r="R16694" s="99"/>
    </row>
    <row r="16695" spans="5:18" s="65" customFormat="1">
      <c r="E16695" s="130"/>
      <c r="P16695" s="99"/>
      <c r="Q16695" s="99"/>
      <c r="R16695" s="99"/>
    </row>
    <row r="16696" spans="5:18" s="65" customFormat="1">
      <c r="E16696" s="130"/>
      <c r="P16696" s="99"/>
      <c r="Q16696" s="99"/>
      <c r="R16696" s="99"/>
    </row>
    <row r="16697" spans="5:18" s="65" customFormat="1">
      <c r="E16697" s="130"/>
      <c r="P16697" s="99"/>
      <c r="Q16697" s="99"/>
      <c r="R16697" s="99"/>
    </row>
    <row r="16698" spans="5:18" s="65" customFormat="1">
      <c r="E16698" s="130"/>
      <c r="P16698" s="99"/>
      <c r="Q16698" s="99"/>
      <c r="R16698" s="99"/>
    </row>
    <row r="16699" spans="5:18" s="65" customFormat="1">
      <c r="E16699" s="130"/>
      <c r="P16699" s="99"/>
      <c r="Q16699" s="99"/>
      <c r="R16699" s="99"/>
    </row>
    <row r="16700" spans="5:18" s="65" customFormat="1">
      <c r="E16700" s="130"/>
      <c r="P16700" s="99"/>
      <c r="Q16700" s="99"/>
      <c r="R16700" s="99"/>
    </row>
    <row r="16701" spans="5:18" s="65" customFormat="1">
      <c r="E16701" s="130"/>
      <c r="P16701" s="99"/>
      <c r="Q16701" s="99"/>
      <c r="R16701" s="99"/>
    </row>
    <row r="16702" spans="5:18" s="65" customFormat="1">
      <c r="E16702" s="130"/>
      <c r="P16702" s="99"/>
      <c r="Q16702" s="99"/>
      <c r="R16702" s="99"/>
    </row>
    <row r="16703" spans="5:18" s="65" customFormat="1">
      <c r="E16703" s="130"/>
      <c r="P16703" s="99"/>
      <c r="Q16703" s="99"/>
      <c r="R16703" s="99"/>
    </row>
    <row r="16704" spans="5:18" s="65" customFormat="1">
      <c r="E16704" s="130"/>
      <c r="P16704" s="99"/>
      <c r="Q16704" s="99"/>
      <c r="R16704" s="99"/>
    </row>
    <row r="16705" spans="5:18" s="65" customFormat="1">
      <c r="E16705" s="130"/>
      <c r="P16705" s="99"/>
      <c r="Q16705" s="99"/>
      <c r="R16705" s="99"/>
    </row>
    <row r="16706" spans="5:18" s="65" customFormat="1">
      <c r="E16706" s="130"/>
      <c r="P16706" s="99"/>
      <c r="Q16706" s="99"/>
      <c r="R16706" s="99"/>
    </row>
    <row r="16707" spans="5:18" s="65" customFormat="1">
      <c r="E16707" s="130"/>
      <c r="P16707" s="99"/>
      <c r="Q16707" s="99"/>
      <c r="R16707" s="99"/>
    </row>
    <row r="16708" spans="5:18" s="65" customFormat="1">
      <c r="E16708" s="130"/>
      <c r="P16708" s="99"/>
      <c r="Q16708" s="99"/>
      <c r="R16708" s="99"/>
    </row>
    <row r="16709" spans="5:18" s="65" customFormat="1">
      <c r="E16709" s="130"/>
      <c r="P16709" s="99"/>
      <c r="Q16709" s="99"/>
      <c r="R16709" s="99"/>
    </row>
    <row r="16710" spans="5:18" s="65" customFormat="1">
      <c r="E16710" s="130"/>
      <c r="P16710" s="99"/>
      <c r="Q16710" s="99"/>
      <c r="R16710" s="99"/>
    </row>
    <row r="16711" spans="5:18" s="65" customFormat="1">
      <c r="E16711" s="130"/>
      <c r="P16711" s="99"/>
      <c r="Q16711" s="99"/>
      <c r="R16711" s="99"/>
    </row>
    <row r="16712" spans="5:18" s="65" customFormat="1">
      <c r="E16712" s="130"/>
      <c r="P16712" s="99"/>
      <c r="Q16712" s="99"/>
      <c r="R16712" s="99"/>
    </row>
    <row r="16713" spans="5:18" s="65" customFormat="1">
      <c r="E16713" s="130"/>
      <c r="P16713" s="99"/>
      <c r="Q16713" s="99"/>
      <c r="R16713" s="99"/>
    </row>
    <row r="16714" spans="5:18" s="65" customFormat="1">
      <c r="E16714" s="130"/>
      <c r="P16714" s="99"/>
      <c r="Q16714" s="99"/>
      <c r="R16714" s="99"/>
    </row>
    <row r="16715" spans="5:18" s="65" customFormat="1">
      <c r="E16715" s="130"/>
      <c r="P16715" s="99"/>
      <c r="Q16715" s="99"/>
      <c r="R16715" s="99"/>
    </row>
    <row r="16716" spans="5:18" s="65" customFormat="1">
      <c r="E16716" s="130"/>
      <c r="P16716" s="99"/>
      <c r="Q16716" s="99"/>
      <c r="R16716" s="99"/>
    </row>
  </sheetData>
  <sortState xmlns:xlrd2="http://schemas.microsoft.com/office/spreadsheetml/2017/richdata2" ref="A2:N16716">
    <sortCondition ref="K2:K16716"/>
  </sortState>
  <phoneticPr fontId="33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131</v>
      </c>
      <c r="B1" s="75"/>
      <c r="F1" s="74" t="s">
        <v>130</v>
      </c>
      <c r="I1" s="76"/>
    </row>
    <row r="2" spans="1:13" ht="13.15" thickBot="1">
      <c r="B2" s="75"/>
      <c r="I2" s="76"/>
    </row>
    <row r="3" spans="1:13" ht="13.5" thickBot="1">
      <c r="A3" s="74" t="s">
        <v>111</v>
      </c>
      <c r="B3" s="159" t="s">
        <v>81</v>
      </c>
      <c r="C3" s="77" t="s">
        <v>128</v>
      </c>
      <c r="F3" s="74" t="s">
        <v>0</v>
      </c>
      <c r="I3" s="76"/>
      <c r="J3" s="76" t="s">
        <v>1</v>
      </c>
    </row>
    <row r="4" spans="1:13" ht="13.15" thickBot="1">
      <c r="A4" s="76" t="s">
        <v>116</v>
      </c>
      <c r="B4" s="78">
        <f>VLOOKUP($B$3,'Well Plate Characteristics'!A5:G16,2,)</f>
        <v>1</v>
      </c>
      <c r="F4" s="76" t="s">
        <v>145</v>
      </c>
      <c r="G4" s="79">
        <v>3.5000000000000003E-2</v>
      </c>
      <c r="I4" s="76"/>
      <c r="J4" s="80"/>
      <c r="K4" s="76" t="s">
        <v>2</v>
      </c>
    </row>
    <row r="5" spans="1:13" ht="13.15" thickBot="1">
      <c r="A5" s="76" t="s">
        <v>94</v>
      </c>
      <c r="B5" s="81">
        <f>VLOOKUP($B$3,'Well Plate Characteristics'!A5:G16,5,)</f>
        <v>16800</v>
      </c>
      <c r="C5" s="75" t="s">
        <v>99</v>
      </c>
      <c r="D5" s="76"/>
      <c r="E5" s="76"/>
      <c r="F5" s="76" t="s">
        <v>20</v>
      </c>
      <c r="G5" s="82">
        <v>0.05</v>
      </c>
      <c r="I5" s="76"/>
      <c r="J5" s="83"/>
      <c r="K5" s="76" t="s">
        <v>110</v>
      </c>
    </row>
    <row r="6" spans="1:13" ht="13.15" thickBot="1">
      <c r="A6" s="76" t="s">
        <v>112</v>
      </c>
      <c r="B6" s="84">
        <f>VLOOKUP($B$3,'Well Plate Characteristics'!A5:G16,7,)</f>
        <v>2000</v>
      </c>
      <c r="C6" s="75" t="s">
        <v>99</v>
      </c>
      <c r="F6" s="76" t="s">
        <v>132</v>
      </c>
      <c r="G6" s="85">
        <v>1</v>
      </c>
      <c r="I6" s="76"/>
    </row>
    <row r="7" spans="1:13" ht="13.15" thickBot="1">
      <c r="B7" s="86"/>
      <c r="I7" s="76"/>
    </row>
    <row r="8" spans="1:13" ht="13.5" thickBot="1">
      <c r="A8" s="76" t="s">
        <v>113</v>
      </c>
      <c r="B8" s="87">
        <f>(B5-B6)*50</f>
        <v>740000</v>
      </c>
      <c r="C8" s="75" t="s">
        <v>99</v>
      </c>
      <c r="D8" s="76" t="s">
        <v>117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2">
        <f>K9*B6*K16/(1/0.733)/1000</f>
        <v>0</v>
      </c>
      <c r="C9" s="75" t="s">
        <v>99</v>
      </c>
      <c r="F9" s="99" t="s">
        <v>274</v>
      </c>
      <c r="G9" s="162">
        <v>9.5700000000000004E-3</v>
      </c>
      <c r="H9" s="75" t="s">
        <v>55</v>
      </c>
      <c r="I9" s="76"/>
      <c r="J9" s="76" t="s">
        <v>156</v>
      </c>
      <c r="K9" s="165">
        <v>0</v>
      </c>
      <c r="L9" s="76" t="s">
        <v>26</v>
      </c>
      <c r="M9" s="77" t="s">
        <v>146</v>
      </c>
    </row>
    <row r="10" spans="1:13" ht="17.25">
      <c r="A10" s="76" t="s">
        <v>114</v>
      </c>
      <c r="B10" s="132">
        <f>K9*B6*K17/1000</f>
        <v>0</v>
      </c>
      <c r="C10" s="75" t="s">
        <v>99</v>
      </c>
      <c r="F10" s="99" t="s">
        <v>275</v>
      </c>
      <c r="G10" s="163">
        <v>2.2329999999999999E-2</v>
      </c>
      <c r="H10" s="75" t="s">
        <v>55</v>
      </c>
      <c r="I10" s="76"/>
      <c r="J10" s="76" t="s">
        <v>157</v>
      </c>
      <c r="K10" s="82">
        <v>0</v>
      </c>
      <c r="L10" s="76" t="s">
        <v>4</v>
      </c>
      <c r="M10" s="77" t="s">
        <v>147</v>
      </c>
    </row>
    <row r="11" spans="1:13" ht="13.15" thickBot="1">
      <c r="A11" s="76" t="s">
        <v>20</v>
      </c>
      <c r="B11" s="132">
        <f>K10*B6/1000/1000/K11</f>
        <v>0</v>
      </c>
      <c r="C11" s="75" t="s">
        <v>99</v>
      </c>
      <c r="F11" s="76" t="s">
        <v>144</v>
      </c>
      <c r="G11" s="164">
        <v>9.4600000000000004E-2</v>
      </c>
      <c r="H11" s="75"/>
      <c r="I11" s="76"/>
      <c r="J11" s="76" t="s">
        <v>33</v>
      </c>
      <c r="K11" s="85">
        <v>1</v>
      </c>
      <c r="L11" s="76" t="s">
        <v>3</v>
      </c>
      <c r="M11" s="75"/>
    </row>
    <row r="12" spans="1:13" ht="13.15" thickBot="1">
      <c r="A12" s="76" t="s">
        <v>22</v>
      </c>
      <c r="B12" s="133">
        <f>G13/1000000/G12*1000000</f>
        <v>6.8</v>
      </c>
      <c r="C12" s="75" t="s">
        <v>99</v>
      </c>
      <c r="F12" s="76" t="s">
        <v>45</v>
      </c>
      <c r="G12" s="88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115</v>
      </c>
      <c r="D13" s="76"/>
      <c r="E13" s="76"/>
      <c r="F13" s="76" t="s">
        <v>19</v>
      </c>
      <c r="G13" s="89">
        <f>VLOOKUP($B$3,'Well Plate Characteristics'!A5:I16,9,)</f>
        <v>6.8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99" t="s">
        <v>163</v>
      </c>
      <c r="G14" s="87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7">
        <v>37</v>
      </c>
      <c r="H15" s="76" t="s">
        <v>158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166">
        <v>24</v>
      </c>
      <c r="L16" s="75" t="s">
        <v>29</v>
      </c>
      <c r="M16" s="99" t="s">
        <v>273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167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0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3">
        <v>0.15</v>
      </c>
      <c r="H21" s="76" t="s">
        <v>23</v>
      </c>
      <c r="J21" s="91">
        <f>B12/B6</f>
        <v>3.3999999999999998E-3</v>
      </c>
      <c r="K21" s="76" t="s">
        <v>124</v>
      </c>
      <c r="M21" s="75"/>
    </row>
    <row r="22" spans="1:13" ht="13.15" thickBot="1">
      <c r="A22" s="75"/>
      <c r="C22" s="76"/>
      <c r="F22" s="99" t="s">
        <v>163</v>
      </c>
      <c r="G22" s="87">
        <v>7.4</v>
      </c>
      <c r="J22" s="92">
        <f>B12*(G9+G10)/B6</f>
        <v>1.0845999999999999E-4</v>
      </c>
      <c r="K22" s="77" t="s">
        <v>125</v>
      </c>
      <c r="L22" s="93"/>
    </row>
    <row r="23" spans="1:13" ht="13.15">
      <c r="A23" s="74" t="s">
        <v>141</v>
      </c>
      <c r="B23" s="75"/>
      <c r="C23" s="93"/>
      <c r="D23" s="76"/>
      <c r="E23" s="76"/>
      <c r="F23" s="74" t="s">
        <v>135</v>
      </c>
      <c r="J23" s="92">
        <f>B10/B6</f>
        <v>0</v>
      </c>
      <c r="K23" s="76" t="s">
        <v>126</v>
      </c>
    </row>
    <row r="24" spans="1:13" ht="13.15" thickBot="1">
      <c r="A24" s="76" t="s">
        <v>142</v>
      </c>
      <c r="B24" s="93"/>
      <c r="C24" s="93"/>
      <c r="D24" s="76"/>
      <c r="E24" s="76"/>
      <c r="F24" s="76" t="s">
        <v>137</v>
      </c>
      <c r="G24" s="75" t="b">
        <v>0</v>
      </c>
      <c r="I24" s="76"/>
      <c r="J24" s="94">
        <f>B9/B6</f>
        <v>0</v>
      </c>
      <c r="K24" s="76" t="s">
        <v>127</v>
      </c>
    </row>
    <row r="25" spans="1:13">
      <c r="C25" s="93"/>
      <c r="F25" s="76" t="s">
        <v>136</v>
      </c>
    </row>
    <row r="26" spans="1:13">
      <c r="B26" s="75"/>
      <c r="F26" s="95" t="s">
        <v>151</v>
      </c>
      <c r="G26" s="76" t="b">
        <v>0</v>
      </c>
    </row>
    <row r="27" spans="1:13" ht="13.15">
      <c r="C27" s="93"/>
      <c r="F27" s="74"/>
      <c r="G27" s="75"/>
      <c r="H27" s="75"/>
      <c r="J27" s="96"/>
    </row>
    <row r="28" spans="1:13" ht="13.15">
      <c r="B28" s="97"/>
      <c r="C28" s="93"/>
      <c r="F28" s="6" t="s">
        <v>267</v>
      </c>
      <c r="G28" s="75"/>
      <c r="H28" s="75"/>
      <c r="L28" s="76"/>
    </row>
    <row r="29" spans="1:13">
      <c r="B29" s="99"/>
      <c r="C29" s="152"/>
      <c r="F29" s="157" t="s">
        <v>269</v>
      </c>
      <c r="G29" s="158" t="s">
        <v>270</v>
      </c>
      <c r="H29" s="158" t="s">
        <v>271</v>
      </c>
      <c r="L29" s="76"/>
    </row>
    <row r="30" spans="1:13">
      <c r="B30" s="99"/>
      <c r="E30" s="100"/>
      <c r="F30" s="99" t="s">
        <v>68</v>
      </c>
      <c r="G30" s="75">
        <v>1.2999999999999999E-3</v>
      </c>
      <c r="H30" s="75">
        <v>1.5E-3</v>
      </c>
      <c r="L30" s="76"/>
    </row>
    <row r="31" spans="1:13">
      <c r="D31" s="100"/>
      <c r="E31" s="100"/>
      <c r="F31" s="99" t="s">
        <v>69</v>
      </c>
      <c r="G31" s="75">
        <v>2.2000000000000001E-3</v>
      </c>
      <c r="H31" s="75">
        <v>8.0000000000000004E-4</v>
      </c>
    </row>
    <row r="32" spans="1:13">
      <c r="B32" s="99"/>
      <c r="D32" s="100"/>
      <c r="E32" s="100"/>
      <c r="F32" s="99" t="s">
        <v>56</v>
      </c>
      <c r="G32" s="75">
        <v>1.6E-2</v>
      </c>
      <c r="H32" s="75">
        <v>2.9000000000000001E-2</v>
      </c>
    </row>
    <row r="33" spans="2:8">
      <c r="B33" s="153"/>
      <c r="D33" s="100"/>
      <c r="E33" s="100"/>
      <c r="F33" s="99" t="s">
        <v>268</v>
      </c>
      <c r="G33" s="75">
        <v>0.16</v>
      </c>
      <c r="H33" s="75">
        <v>1.4999999999999999E-2</v>
      </c>
    </row>
    <row r="34" spans="2:8">
      <c r="C34" s="100"/>
      <c r="D34" s="100"/>
      <c r="F34" s="99" t="s">
        <v>272</v>
      </c>
      <c r="G34" s="100" t="s">
        <v>55</v>
      </c>
      <c r="H34" s="100" t="s">
        <v>55</v>
      </c>
    </row>
    <row r="35" spans="2:8">
      <c r="C35" s="100"/>
      <c r="D35" s="100"/>
    </row>
    <row r="36" spans="2:8">
      <c r="D36" s="100"/>
    </row>
  </sheetData>
  <phoneticPr fontId="3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5" r:id="rId4" name="CheckBox1">
          <controlPr autoLine="0" linkedCell="G24" r:id="rId5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4" name="CheckBox1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100013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6" r:id="rId8" name="CheckBox2">
          <controlPr autoLine="0" linkedCell="G26" r:id="rId9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8" name="Check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20"/>
  <sheetViews>
    <sheetView workbookViewId="0">
      <selection activeCell="W5" sqref="W5"/>
    </sheetView>
  </sheetViews>
  <sheetFormatPr defaultRowHeight="12.75"/>
  <cols>
    <col min="1" max="1" width="30.28515625" style="99" customWidth="1"/>
    <col min="2" max="3" width="9.140625" style="99"/>
    <col min="4" max="22" width="9.140625" style="104"/>
    <col min="23" max="16384" width="9.140625" style="99"/>
  </cols>
  <sheetData>
    <row r="1" spans="1:23" s="6" customFormat="1" ht="55.5" customHeight="1">
      <c r="A1" s="38" t="s">
        <v>5</v>
      </c>
      <c r="B1" s="32" t="s">
        <v>6</v>
      </c>
      <c r="C1" s="32" t="s">
        <v>216</v>
      </c>
      <c r="D1" s="30" t="s">
        <v>166</v>
      </c>
      <c r="E1" s="30" t="s">
        <v>167</v>
      </c>
      <c r="F1" s="105" t="s">
        <v>168</v>
      </c>
      <c r="G1" s="105" t="s">
        <v>169</v>
      </c>
      <c r="H1" s="113" t="s">
        <v>207</v>
      </c>
      <c r="I1" s="105" t="s">
        <v>235</v>
      </c>
      <c r="J1" s="105" t="s">
        <v>234</v>
      </c>
      <c r="K1" s="113" t="s">
        <v>237</v>
      </c>
      <c r="L1" s="105" t="s">
        <v>170</v>
      </c>
      <c r="M1" s="105" t="s">
        <v>171</v>
      </c>
      <c r="N1" s="113" t="s">
        <v>208</v>
      </c>
      <c r="O1" s="105" t="s">
        <v>172</v>
      </c>
      <c r="P1" s="105" t="s">
        <v>173</v>
      </c>
      <c r="Q1" s="113" t="s">
        <v>209</v>
      </c>
      <c r="R1" s="105" t="s">
        <v>164</v>
      </c>
      <c r="S1" s="105" t="s">
        <v>210</v>
      </c>
      <c r="T1" s="113" t="s">
        <v>211</v>
      </c>
      <c r="U1" s="113" t="s">
        <v>212</v>
      </c>
      <c r="V1" s="113" t="s">
        <v>213</v>
      </c>
      <c r="W1" s="38" t="s">
        <v>198</v>
      </c>
    </row>
    <row r="2" spans="1:23" ht="16.149999999999999">
      <c r="A2" s="169" t="s">
        <v>282</v>
      </c>
      <c r="B2" s="169" t="s">
        <v>283</v>
      </c>
      <c r="D2" s="104" t="s">
        <v>175</v>
      </c>
      <c r="F2" s="104">
        <v>7.496977170771153</v>
      </c>
      <c r="H2" s="104">
        <v>7.496977170771153</v>
      </c>
      <c r="I2" s="104">
        <v>7.496977170771153</v>
      </c>
      <c r="K2" s="104">
        <v>7.496977170771153</v>
      </c>
      <c r="L2" s="104">
        <v>7.8282199999999991</v>
      </c>
      <c r="N2" s="104">
        <v>7.8282199999999991</v>
      </c>
      <c r="O2" s="104">
        <v>5.4234199999999992</v>
      </c>
      <c r="Q2" s="104">
        <v>5.4234199999999992</v>
      </c>
      <c r="R2" s="104">
        <v>-10.230851512313462</v>
      </c>
      <c r="S2" s="104">
        <v>-10.230851512313462</v>
      </c>
      <c r="T2" s="104">
        <v>-0.46882282922884444</v>
      </c>
      <c r="V2" s="104">
        <v>-0.46882282922884444</v>
      </c>
      <c r="W2" s="109">
        <v>0.49311764108623457</v>
      </c>
    </row>
    <row r="3" spans="1:23">
      <c r="A3" s="99" t="s">
        <v>282</v>
      </c>
      <c r="B3" s="99" t="s">
        <v>283</v>
      </c>
      <c r="D3" s="104" t="s">
        <v>175</v>
      </c>
      <c r="F3" s="104">
        <v>7.496977170771153</v>
      </c>
      <c r="H3" s="104">
        <v>7.496977170771153</v>
      </c>
      <c r="I3" s="104">
        <v>7.496977170771153</v>
      </c>
      <c r="K3" s="104">
        <v>7.496977170771153</v>
      </c>
      <c r="L3" s="104">
        <v>7.8282199999999991</v>
      </c>
      <c r="N3" s="104">
        <v>7.8282199999999991</v>
      </c>
      <c r="O3" s="104">
        <v>5.4234199999999992</v>
      </c>
      <c r="Q3" s="104">
        <v>5.4234199999999992</v>
      </c>
      <c r="R3" s="104">
        <v>-10.230851512313462</v>
      </c>
      <c r="S3" s="104">
        <v>-10.230851512313462</v>
      </c>
      <c r="T3" s="104">
        <v>-0.46882282922884444</v>
      </c>
      <c r="V3" s="104">
        <v>-0.46882282922884444</v>
      </c>
      <c r="W3" s="109">
        <v>0.49311764108623457</v>
      </c>
    </row>
    <row r="4" spans="1:23">
      <c r="A4" s="99" t="s">
        <v>284</v>
      </c>
      <c r="B4" s="99" t="s">
        <v>285</v>
      </c>
      <c r="D4" s="104" t="s">
        <v>281</v>
      </c>
      <c r="E4" s="104">
        <v>4.57</v>
      </c>
      <c r="F4" s="104">
        <v>3.6339371707711541</v>
      </c>
      <c r="G4" s="104">
        <v>0.13393717077115466</v>
      </c>
      <c r="H4" s="104">
        <v>0.88744105348308966</v>
      </c>
      <c r="I4" s="104">
        <v>3.6339371707711541</v>
      </c>
      <c r="J4" s="104">
        <v>0.13393717077115466</v>
      </c>
      <c r="K4" s="104">
        <v>0.88744105348308966</v>
      </c>
      <c r="L4" s="104">
        <v>3.9267799999999999</v>
      </c>
      <c r="M4" s="104">
        <v>2.9267799999999995</v>
      </c>
      <c r="N4" s="104">
        <v>2.9325147487723653</v>
      </c>
      <c r="O4" s="104">
        <v>3.3678799999999995</v>
      </c>
      <c r="P4" s="104">
        <v>3.3678799999999995</v>
      </c>
      <c r="Q4" s="104">
        <v>3.3678799999999995</v>
      </c>
      <c r="R4" s="104">
        <v>-5.463891512313463</v>
      </c>
      <c r="S4" s="104">
        <v>-8.2945334063261118</v>
      </c>
      <c r="T4" s="104">
        <v>-2.6422628292288444</v>
      </c>
      <c r="U4" s="104">
        <v>-6.1422628292288444</v>
      </c>
      <c r="V4" s="104">
        <v>-5.3887589465169095</v>
      </c>
      <c r="W4" s="109">
        <v>222.32618110791267</v>
      </c>
    </row>
    <row r="5" spans="1:23">
      <c r="A5" s="99" t="s">
        <v>284</v>
      </c>
      <c r="B5" s="99" t="s">
        <v>285</v>
      </c>
      <c r="D5" s="104" t="s">
        <v>281</v>
      </c>
      <c r="E5" s="104">
        <v>4.57</v>
      </c>
      <c r="F5" s="104">
        <v>3.6339371707711541</v>
      </c>
      <c r="G5" s="104">
        <v>0.13393717077115466</v>
      </c>
      <c r="H5" s="104">
        <v>0.88744105348308966</v>
      </c>
      <c r="I5" s="104">
        <v>3.6339371707711541</v>
      </c>
      <c r="J5" s="104">
        <v>0.13393717077115466</v>
      </c>
      <c r="K5" s="104">
        <v>0.88744105348308966</v>
      </c>
      <c r="L5" s="104">
        <v>3.9267799999999999</v>
      </c>
      <c r="M5" s="104">
        <v>2.9267799999999995</v>
      </c>
      <c r="N5" s="104">
        <v>2.9325147487723653</v>
      </c>
      <c r="O5" s="104">
        <v>3.3678799999999995</v>
      </c>
      <c r="P5" s="104">
        <v>3.3678799999999995</v>
      </c>
      <c r="Q5" s="104">
        <v>3.3678799999999995</v>
      </c>
      <c r="R5" s="104">
        <v>-5.463891512313463</v>
      </c>
      <c r="S5" s="104">
        <v>-8.2945334063261118</v>
      </c>
      <c r="T5" s="104">
        <v>-2.6422628292288444</v>
      </c>
      <c r="U5" s="104">
        <v>-6.1422628292288444</v>
      </c>
      <c r="V5" s="104">
        <v>-5.3887589465169095</v>
      </c>
      <c r="W5" s="109">
        <v>222.32618110791267</v>
      </c>
    </row>
    <row r="6" spans="1:23">
      <c r="W6" s="109"/>
    </row>
    <row r="7" spans="1:23">
      <c r="W7" s="109"/>
    </row>
    <row r="8" spans="1:23">
      <c r="W8" s="109"/>
    </row>
    <row r="9" spans="1:23">
      <c r="W9" s="109"/>
    </row>
    <row r="10" spans="1:23">
      <c r="W10" s="109"/>
    </row>
    <row r="11" spans="1:23">
      <c r="W11" s="109"/>
    </row>
    <row r="12" spans="1:23">
      <c r="W12" s="109"/>
    </row>
    <row r="13" spans="1:23">
      <c r="W13" s="109"/>
    </row>
    <row r="14" spans="1:23">
      <c r="W14" s="109"/>
    </row>
    <row r="15" spans="1:23">
      <c r="W15" s="109"/>
    </row>
    <row r="16" spans="1:23">
      <c r="W16" s="109"/>
    </row>
    <row r="17" spans="23:23">
      <c r="W17" s="109"/>
    </row>
    <row r="18" spans="23:23">
      <c r="W18" s="109"/>
    </row>
    <row r="19" spans="23:23">
      <c r="W19" s="109"/>
    </row>
    <row r="20" spans="23:23">
      <c r="W20" s="109"/>
    </row>
  </sheetData>
  <phoneticPr fontId="33" type="noConversion"/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25"/>
  <sheetViews>
    <sheetView workbookViewId="0">
      <pane ySplit="1" topLeftCell="A2" activePane="bottomLeft" state="frozen"/>
      <selection pane="bottomLeft" activeCell="Q5" sqref="Q5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216</v>
      </c>
      <c r="D1" s="37" t="s">
        <v>262</v>
      </c>
      <c r="E1" s="42" t="s">
        <v>263</v>
      </c>
      <c r="F1" s="39" t="s">
        <v>259</v>
      </c>
      <c r="G1" s="37" t="s">
        <v>255</v>
      </c>
      <c r="H1" s="39" t="s">
        <v>256</v>
      </c>
      <c r="I1" s="39" t="s">
        <v>257</v>
      </c>
      <c r="J1" s="39" t="s">
        <v>258</v>
      </c>
      <c r="K1" s="156" t="s">
        <v>260</v>
      </c>
      <c r="L1" s="156" t="s">
        <v>261</v>
      </c>
      <c r="M1" s="155" t="s">
        <v>231</v>
      </c>
      <c r="N1" s="43" t="s">
        <v>264</v>
      </c>
      <c r="O1" s="43" t="str">
        <f>"---&gt;ng/g"</f>
        <v>---&gt;ng/g</v>
      </c>
      <c r="P1" s="110" t="s">
        <v>32</v>
      </c>
      <c r="Q1" s="56" t="s">
        <v>140</v>
      </c>
      <c r="R1" s="37"/>
      <c r="S1" s="6" t="s">
        <v>17</v>
      </c>
      <c r="T1" s="99" t="s">
        <v>254</v>
      </c>
    </row>
    <row r="2" spans="1:20">
      <c r="A2" s="2" t="s">
        <v>282</v>
      </c>
      <c r="B2" s="16" t="s">
        <v>283</v>
      </c>
      <c r="D2" s="14">
        <v>0.25</v>
      </c>
      <c r="E2" s="14">
        <v>3.8341829459662546E-5</v>
      </c>
      <c r="F2" s="14">
        <v>3.8341829459662553E-5</v>
      </c>
      <c r="G2" s="14">
        <v>2.2533119445386039E-15</v>
      </c>
      <c r="H2" s="14">
        <v>0</v>
      </c>
      <c r="I2" s="14">
        <v>0</v>
      </c>
      <c r="J2" s="14">
        <v>0</v>
      </c>
      <c r="K2" s="14">
        <v>6520.2939850069497</v>
      </c>
      <c r="L2" s="14">
        <v>1.5336731783865021E-4</v>
      </c>
      <c r="M2" s="14">
        <v>1.258378842866125E-4</v>
      </c>
      <c r="N2" s="14">
        <v>73.077730170226744</v>
      </c>
      <c r="O2" s="14">
        <v>47157.790056149017</v>
      </c>
      <c r="P2" s="8">
        <v>292.31092068090703</v>
      </c>
      <c r="Q2" s="54">
        <v>1.3027167641140433E-2</v>
      </c>
      <c r="S2" s="99"/>
    </row>
    <row r="3" spans="1:20">
      <c r="A3" s="2" t="s">
        <v>282</v>
      </c>
      <c r="B3" s="16" t="s">
        <v>283</v>
      </c>
      <c r="D3" s="14">
        <v>2.5</v>
      </c>
      <c r="E3" s="14">
        <v>3.8341829459662548E-4</v>
      </c>
      <c r="F3" s="14">
        <v>3.8341829459662548E-4</v>
      </c>
      <c r="G3" s="14">
        <v>2.2533119445386036E-14</v>
      </c>
      <c r="H3" s="14">
        <v>0</v>
      </c>
      <c r="I3" s="14">
        <v>0</v>
      </c>
      <c r="J3" s="14">
        <v>0</v>
      </c>
      <c r="K3" s="14">
        <v>6520.2939850069506</v>
      </c>
      <c r="L3" s="14">
        <v>1.5336731783865019E-4</v>
      </c>
      <c r="M3" s="14">
        <v>1.2583788428661248E-4</v>
      </c>
      <c r="N3" s="14">
        <v>730.77730170226755</v>
      </c>
      <c r="O3" s="14">
        <v>471577.90056149021</v>
      </c>
      <c r="P3" s="8">
        <v>292.31092068090697</v>
      </c>
      <c r="Q3" s="54">
        <v>0.13027167641140433</v>
      </c>
      <c r="S3" s="106"/>
      <c r="T3" s="22"/>
    </row>
    <row r="4" spans="1:20">
      <c r="A4" s="2" t="s">
        <v>284</v>
      </c>
      <c r="B4" s="16" t="s">
        <v>285</v>
      </c>
      <c r="D4" s="14">
        <v>100</v>
      </c>
      <c r="E4" s="14">
        <v>94.506462980788967</v>
      </c>
      <c r="F4" s="14">
        <v>94.506462980788967</v>
      </c>
      <c r="G4" s="14">
        <v>4.796540359969102E-7</v>
      </c>
      <c r="H4" s="14">
        <v>0</v>
      </c>
      <c r="I4" s="14">
        <v>0</v>
      </c>
      <c r="J4" s="14">
        <v>0</v>
      </c>
      <c r="K4" s="14">
        <v>1.0581286913713801</v>
      </c>
      <c r="L4" s="14">
        <v>0.94506462980788963</v>
      </c>
      <c r="M4" s="14">
        <v>0.77542552875737347</v>
      </c>
      <c r="N4" s="14">
        <v>1602.6411631469236</v>
      </c>
      <c r="O4" s="14">
        <v>330592.81913394743</v>
      </c>
      <c r="P4" s="8">
        <v>16.026411631469234</v>
      </c>
      <c r="Q4" s="54">
        <v>0.38610245490811596</v>
      </c>
      <c r="S4" s="99"/>
    </row>
    <row r="5" spans="1:20">
      <c r="A5" s="2" t="s">
        <v>284</v>
      </c>
      <c r="B5" s="16" t="s">
        <v>285</v>
      </c>
      <c r="D5" s="14">
        <v>1000</v>
      </c>
      <c r="E5" s="14">
        <v>945.06462980788956</v>
      </c>
      <c r="F5" s="14">
        <v>945.06462980788956</v>
      </c>
      <c r="G5" s="14">
        <v>4.7965403599691015E-6</v>
      </c>
      <c r="H5" s="14">
        <v>0</v>
      </c>
      <c r="I5" s="14">
        <v>0</v>
      </c>
      <c r="J5" s="14">
        <v>0</v>
      </c>
      <c r="K5" s="14">
        <v>1.0581286913713801</v>
      </c>
      <c r="L5" s="14">
        <v>0.94506462980788952</v>
      </c>
      <c r="M5" s="14">
        <v>0.77542552875737336</v>
      </c>
      <c r="N5" s="14">
        <v>16026.411631469235</v>
      </c>
      <c r="O5" s="14">
        <v>3305928.1913394737</v>
      </c>
      <c r="P5" s="8">
        <v>16.026411631469234</v>
      </c>
      <c r="Q5" s="54">
        <v>3.8610245490811583</v>
      </c>
      <c r="S5" s="99"/>
    </row>
    <row r="6" spans="1:20">
      <c r="S6" s="99"/>
    </row>
    <row r="21" spans="20:21">
      <c r="T21" s="22"/>
    </row>
    <row r="22" spans="20:21">
      <c r="T22" s="22"/>
      <c r="U22" s="22"/>
    </row>
    <row r="23" spans="20:21">
      <c r="T23" s="22"/>
      <c r="U23" s="22"/>
    </row>
    <row r="24" spans="20:21">
      <c r="T24" s="22"/>
      <c r="U24" s="22"/>
    </row>
    <row r="25" spans="20:21">
      <c r="T25" s="22"/>
      <c r="U25" s="22"/>
    </row>
  </sheetData>
  <phoneticPr fontId="33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5"/>
  <sheetViews>
    <sheetView workbookViewId="0">
      <pane ySplit="1" topLeftCell="A2" activePane="bottomLeft" state="frozen"/>
      <selection pane="bottomLeft" activeCell="L5" sqref="L5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216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282</v>
      </c>
      <c r="B2" s="3" t="s">
        <v>283</v>
      </c>
      <c r="D2" s="20">
        <v>3.3349016779171332E-12</v>
      </c>
      <c r="E2" s="20">
        <v>1.5336731783865019E-4</v>
      </c>
      <c r="F2" s="20">
        <v>0</v>
      </c>
      <c r="G2" s="20">
        <v>0</v>
      </c>
      <c r="H2" s="20">
        <v>0</v>
      </c>
      <c r="I2" s="20">
        <v>1.5336731783865019E-4</v>
      </c>
      <c r="J2" s="20">
        <v>0.99385713031508371</v>
      </c>
      <c r="K2" s="20">
        <v>5.9895023637427285E-3</v>
      </c>
      <c r="L2" s="20">
        <v>0</v>
      </c>
      <c r="N2" s="99"/>
    </row>
    <row r="3" spans="1:14">
      <c r="A3" s="2" t="s">
        <v>282</v>
      </c>
      <c r="B3" s="3" t="s">
        <v>283</v>
      </c>
      <c r="D3" s="20">
        <v>3.3349016779171332E-12</v>
      </c>
      <c r="E3" s="20">
        <v>1.5336731783865019E-4</v>
      </c>
      <c r="F3" s="20">
        <v>0</v>
      </c>
      <c r="G3" s="20">
        <v>0</v>
      </c>
      <c r="H3" s="20">
        <v>0</v>
      </c>
      <c r="I3" s="20">
        <v>1.5336731783865019E-4</v>
      </c>
      <c r="J3" s="20">
        <v>0.99385713031508383</v>
      </c>
      <c r="K3" s="20">
        <v>5.9895023637427285E-3</v>
      </c>
      <c r="L3" s="20">
        <v>0</v>
      </c>
      <c r="N3" s="99"/>
    </row>
    <row r="4" spans="1:14">
      <c r="A4" s="2" t="s">
        <v>284</v>
      </c>
      <c r="B4" s="3" t="s">
        <v>285</v>
      </c>
      <c r="D4" s="20">
        <v>1.7747199331885677E-6</v>
      </c>
      <c r="E4" s="20">
        <v>0.94506462980788963</v>
      </c>
      <c r="F4" s="20">
        <v>0</v>
      </c>
      <c r="G4" s="20">
        <v>0</v>
      </c>
      <c r="H4" s="20">
        <v>0</v>
      </c>
      <c r="I4" s="20">
        <v>0.94506462980788963</v>
      </c>
      <c r="J4" s="20">
        <v>5.4489799546995399E-2</v>
      </c>
      <c r="K4" s="20">
        <v>4.4379592518174255E-4</v>
      </c>
      <c r="L4" s="20">
        <v>1.8870057723865941E-17</v>
      </c>
      <c r="N4" s="99"/>
    </row>
    <row r="5" spans="1:14">
      <c r="A5" s="2" t="s">
        <v>284</v>
      </c>
      <c r="B5" s="3" t="s">
        <v>285</v>
      </c>
      <c r="D5" s="20">
        <v>1.7747199331885679E-6</v>
      </c>
      <c r="E5" s="20">
        <v>0.94506462980788963</v>
      </c>
      <c r="F5" s="20">
        <v>0</v>
      </c>
      <c r="G5" s="20">
        <v>0</v>
      </c>
      <c r="H5" s="20">
        <v>0</v>
      </c>
      <c r="I5" s="20">
        <v>0.94506462980788963</v>
      </c>
      <c r="J5" s="20">
        <v>5.4489799546995406E-2</v>
      </c>
      <c r="K5" s="20">
        <v>4.4379592518174244E-4</v>
      </c>
      <c r="L5" s="20">
        <v>-2.5849394142282115E-18</v>
      </c>
      <c r="N5" s="99"/>
    </row>
  </sheetData>
  <phoneticPr fontId="33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25"/>
  <sheetViews>
    <sheetView tabSelected="1" workbookViewId="0">
      <pane ySplit="1" topLeftCell="A2" activePane="bottomLeft" state="frozen"/>
      <selection pane="bottomLeft" activeCell="I4" sqref="I4:I5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216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99" t="s">
        <v>215</v>
      </c>
    </row>
    <row r="2" spans="1:23">
      <c r="A2" s="2" t="s">
        <v>282</v>
      </c>
      <c r="B2" s="3" t="s">
        <v>283</v>
      </c>
      <c r="D2" s="14">
        <v>1.6674508389585667E-15</v>
      </c>
      <c r="E2" s="14">
        <v>7.6683658919325096E-8</v>
      </c>
      <c r="F2" s="14">
        <v>0</v>
      </c>
      <c r="G2" s="14">
        <v>0</v>
      </c>
      <c r="H2" s="14">
        <v>0</v>
      </c>
      <c r="I2" s="14">
        <v>4.9692856515754186E-4</v>
      </c>
      <c r="J2" s="14">
        <v>2.9947511818713643E-6</v>
      </c>
      <c r="K2" s="14">
        <v>0</v>
      </c>
      <c r="L2" s="21"/>
      <c r="M2" s="168"/>
    </row>
    <row r="3" spans="1:23">
      <c r="A3" s="2" t="s">
        <v>282</v>
      </c>
      <c r="B3" s="3" t="s">
        <v>283</v>
      </c>
      <c r="D3" s="14">
        <v>1.6674508389585666E-14</v>
      </c>
      <c r="E3" s="14">
        <v>7.6683658919325096E-7</v>
      </c>
      <c r="F3" s="14">
        <v>0</v>
      </c>
      <c r="G3" s="14">
        <v>0</v>
      </c>
      <c r="H3" s="14">
        <v>0</v>
      </c>
      <c r="I3" s="14">
        <v>4.969285651575419E-3</v>
      </c>
      <c r="J3" s="14">
        <v>2.9947511818713645E-5</v>
      </c>
      <c r="K3" s="14">
        <v>0</v>
      </c>
      <c r="L3" s="21"/>
      <c r="M3" s="99"/>
    </row>
    <row r="4" spans="1:23">
      <c r="A4" s="2" t="s">
        <v>284</v>
      </c>
      <c r="B4" s="3" t="s">
        <v>285</v>
      </c>
      <c r="D4" s="14">
        <v>3.5494398663771356E-7</v>
      </c>
      <c r="E4" s="14">
        <v>0.18901292596157795</v>
      </c>
      <c r="F4" s="14">
        <v>0</v>
      </c>
      <c r="G4" s="14">
        <v>0</v>
      </c>
      <c r="H4" s="14">
        <v>0</v>
      </c>
      <c r="I4" s="14">
        <v>1.0897959909399081E-2</v>
      </c>
      <c r="J4" s="14">
        <v>8.8759185036348516E-5</v>
      </c>
      <c r="K4" s="14">
        <v>3.7740115447731888E-18</v>
      </c>
      <c r="L4" s="21"/>
      <c r="M4" s="22"/>
    </row>
    <row r="5" spans="1:23">
      <c r="A5" s="2" t="s">
        <v>284</v>
      </c>
      <c r="B5" s="3" t="s">
        <v>285</v>
      </c>
      <c r="D5" s="14">
        <v>3.5494398663771353E-6</v>
      </c>
      <c r="E5" s="14">
        <v>1.8901292596157793</v>
      </c>
      <c r="F5" s="14">
        <v>0</v>
      </c>
      <c r="G5" s="14">
        <v>0</v>
      </c>
      <c r="H5" s="14">
        <v>0</v>
      </c>
      <c r="I5" s="14">
        <v>0.1089795990939908</v>
      </c>
      <c r="J5" s="14">
        <v>8.8759185036348489E-4</v>
      </c>
      <c r="K5" s="14">
        <v>-5.169878828456423E-18</v>
      </c>
      <c r="L5" s="21"/>
    </row>
    <row r="6" spans="1:23">
      <c r="L6" s="21"/>
      <c r="M6" s="12"/>
    </row>
    <row r="7" spans="1:23">
      <c r="L7" s="21"/>
      <c r="M7" s="12"/>
    </row>
    <row r="8" spans="1:23">
      <c r="L8" s="21"/>
      <c r="M8" s="12"/>
    </row>
    <row r="9" spans="1:23">
      <c r="L9" s="21"/>
      <c r="M9" s="12"/>
    </row>
    <row r="10" spans="1:23">
      <c r="L10" s="21"/>
      <c r="M10" s="12"/>
    </row>
    <row r="11" spans="1:23">
      <c r="L11" s="21"/>
      <c r="M11" s="12"/>
    </row>
    <row r="12" spans="1:23">
      <c r="L12" s="21"/>
      <c r="M12" s="12"/>
    </row>
    <row r="13" spans="1:23">
      <c r="L13" s="21"/>
      <c r="M13" s="12"/>
    </row>
    <row r="14" spans="1:23">
      <c r="L14" s="21"/>
      <c r="M14" s="12"/>
    </row>
    <row r="15" spans="1:23">
      <c r="L15" s="21"/>
      <c r="M15" s="12"/>
    </row>
    <row r="16" spans="1:23">
      <c r="L16" s="21"/>
      <c r="M16" s="12"/>
      <c r="U16" s="22"/>
      <c r="W16" s="22"/>
    </row>
    <row r="17" spans="12:13">
      <c r="L17" s="21"/>
      <c r="M17" s="12"/>
    </row>
    <row r="18" spans="12:13">
      <c r="L18" s="21"/>
      <c r="M18" s="12"/>
    </row>
    <row r="19" spans="12:13">
      <c r="L19" s="21"/>
      <c r="M19" s="12"/>
    </row>
    <row r="20" spans="12:13">
      <c r="L20" s="21"/>
      <c r="M20" s="12"/>
    </row>
    <row r="21" spans="12:13">
      <c r="L21" s="21"/>
      <c r="M21" s="12"/>
    </row>
    <row r="22" spans="12:13">
      <c r="L22" s="21"/>
      <c r="M22" s="12"/>
    </row>
    <row r="23" spans="12:13">
      <c r="L23" s="21"/>
    </row>
    <row r="24" spans="12:13">
      <c r="L24" s="21"/>
    </row>
    <row r="25" spans="12:13">
      <c r="L25" s="21"/>
    </row>
  </sheetData>
  <phoneticPr fontId="33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5" sqref="R5"/>
    </sheetView>
  </sheetViews>
  <sheetFormatPr defaultRowHeight="12.75"/>
  <cols>
    <col min="1" max="1" width="23" style="99" customWidth="1"/>
    <col min="2" max="3" width="9.140625" style="99"/>
    <col min="4" max="4" width="9.140625" style="100"/>
    <col min="5" max="8" width="9.140625" style="104"/>
    <col min="9" max="9" width="10.28515625" style="104" customWidth="1"/>
    <col min="10" max="10" width="10.140625" style="104" customWidth="1"/>
    <col min="11" max="11" width="9.140625" style="112"/>
    <col min="12" max="12" width="10.7109375" style="112" customWidth="1"/>
    <col min="13" max="14" width="9.140625" style="112"/>
    <col min="15" max="15" width="11" style="112" customWidth="1"/>
    <col min="16" max="16" width="11.140625" style="112" customWidth="1"/>
    <col min="17" max="17" width="16.42578125" style="108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4" bestFit="1" customWidth="1"/>
    <col min="23" max="16384" width="9.140625" style="99"/>
  </cols>
  <sheetData>
    <row r="1" spans="1:22" s="38" customFormat="1" ht="53.25">
      <c r="A1" s="32" t="s">
        <v>5</v>
      </c>
      <c r="B1" s="28" t="s">
        <v>6</v>
      </c>
      <c r="C1" s="28" t="s">
        <v>216</v>
      </c>
      <c r="D1" s="28" t="s">
        <v>166</v>
      </c>
      <c r="E1" s="113" t="s">
        <v>167</v>
      </c>
      <c r="F1" s="140" t="s">
        <v>217</v>
      </c>
      <c r="G1" s="140" t="s">
        <v>210</v>
      </c>
      <c r="H1" s="140" t="s">
        <v>218</v>
      </c>
      <c r="I1" s="140" t="s">
        <v>219</v>
      </c>
      <c r="J1" s="140" t="s">
        <v>220</v>
      </c>
      <c r="K1" s="141" t="s">
        <v>223</v>
      </c>
      <c r="L1" s="141" t="s">
        <v>226</v>
      </c>
      <c r="M1" s="141" t="s">
        <v>224</v>
      </c>
      <c r="N1" s="141" t="s">
        <v>225</v>
      </c>
      <c r="O1" s="141" t="s">
        <v>265</v>
      </c>
      <c r="P1" s="141" t="s">
        <v>266</v>
      </c>
      <c r="Q1" s="37" t="s">
        <v>221</v>
      </c>
      <c r="R1" s="37" t="s">
        <v>222</v>
      </c>
      <c r="S1" s="145"/>
      <c r="T1" s="37"/>
      <c r="U1" s="146"/>
      <c r="V1" s="147"/>
    </row>
    <row r="2" spans="1:22">
      <c r="A2" s="99" t="s">
        <v>282</v>
      </c>
      <c r="B2" s="99" t="s">
        <v>283</v>
      </c>
      <c r="D2" s="100" t="s">
        <v>175</v>
      </c>
      <c r="F2" s="104">
        <v>7.496977170771153</v>
      </c>
      <c r="G2" s="104">
        <v>-10.230851512313462</v>
      </c>
      <c r="H2" s="104">
        <v>7.8282199999999991</v>
      </c>
      <c r="I2" s="104">
        <v>5.5843421943977098</v>
      </c>
      <c r="J2" s="104">
        <v>5.1535116478240619</v>
      </c>
      <c r="K2" s="112">
        <v>0.25</v>
      </c>
      <c r="L2" s="112">
        <v>3.8300158175705778E-5</v>
      </c>
      <c r="M2" s="112">
        <v>73.077730170226744</v>
      </c>
      <c r="N2" s="112">
        <v>2581.6230568657188</v>
      </c>
      <c r="O2" s="112">
        <v>14.723634418396241</v>
      </c>
      <c r="P2" s="112">
        <v>5.4598973657682421</v>
      </c>
      <c r="Q2" s="108">
        <v>58.894537673584963</v>
      </c>
      <c r="R2" s="68">
        <v>21.839589463072972</v>
      </c>
    </row>
    <row r="3" spans="1:22">
      <c r="A3" s="99" t="s">
        <v>282</v>
      </c>
      <c r="B3" s="99" t="s">
        <v>283</v>
      </c>
      <c r="D3" s="100" t="s">
        <v>175</v>
      </c>
      <c r="F3" s="104">
        <v>7.496977170771153</v>
      </c>
      <c r="G3" s="104">
        <v>-10.230851512313462</v>
      </c>
      <c r="H3" s="104">
        <v>7.8282199999999991</v>
      </c>
      <c r="I3" s="104">
        <v>5.5843421943977098</v>
      </c>
      <c r="J3" s="104">
        <v>5.1535116478240619</v>
      </c>
      <c r="K3" s="112">
        <v>2.5</v>
      </c>
      <c r="L3" s="112">
        <v>3.8300158175705773E-4</v>
      </c>
      <c r="M3" s="112">
        <v>730.77730170226755</v>
      </c>
      <c r="N3" s="112">
        <v>25816.230568657189</v>
      </c>
      <c r="O3" s="112">
        <v>147.23634418396242</v>
      </c>
      <c r="P3" s="112">
        <v>54.598973657682428</v>
      </c>
      <c r="Q3" s="108">
        <v>58.894537673584956</v>
      </c>
      <c r="R3" s="68">
        <v>21.839589463072969</v>
      </c>
    </row>
    <row r="4" spans="1:22">
      <c r="A4" s="99" t="s">
        <v>284</v>
      </c>
      <c r="B4" s="99" t="s">
        <v>285</v>
      </c>
      <c r="D4" s="100" t="s">
        <v>281</v>
      </c>
      <c r="E4" s="104">
        <v>4.57</v>
      </c>
      <c r="F4" s="104">
        <v>0.88744105348308966</v>
      </c>
      <c r="G4" s="104">
        <v>-8.2945334063261118</v>
      </c>
      <c r="H4" s="104">
        <v>2.9325147487723653</v>
      </c>
      <c r="I4" s="104">
        <v>1.6028576182379415</v>
      </c>
      <c r="J4" s="104">
        <v>1.8407072189333609</v>
      </c>
      <c r="K4" s="112">
        <v>100</v>
      </c>
      <c r="L4" s="112">
        <v>94.509701887165306</v>
      </c>
      <c r="M4" s="112">
        <v>1602.6411631469236</v>
      </c>
      <c r="N4" s="112">
        <v>67650.730402459827</v>
      </c>
      <c r="O4" s="112">
        <v>3787.2077360422741</v>
      </c>
      <c r="P4" s="112">
        <v>6548.9055716756602</v>
      </c>
      <c r="Q4" s="108">
        <v>37.872077360422736</v>
      </c>
      <c r="R4" s="68">
        <v>65.489055716756596</v>
      </c>
      <c r="T4" s="142"/>
    </row>
    <row r="5" spans="1:22">
      <c r="A5" s="99" t="s">
        <v>284</v>
      </c>
      <c r="B5" s="99" t="s">
        <v>285</v>
      </c>
      <c r="D5" s="100" t="s">
        <v>281</v>
      </c>
      <c r="E5" s="104">
        <v>4.57</v>
      </c>
      <c r="F5" s="104">
        <v>0.88744105348308966</v>
      </c>
      <c r="G5" s="104">
        <v>-8.2945334063261118</v>
      </c>
      <c r="H5" s="104">
        <v>2.9325147487723653</v>
      </c>
      <c r="I5" s="104">
        <v>1.6028576182379415</v>
      </c>
      <c r="J5" s="104">
        <v>1.8407072189333609</v>
      </c>
      <c r="K5" s="112">
        <v>1000</v>
      </c>
      <c r="L5" s="112">
        <v>945.09701887165295</v>
      </c>
      <c r="M5" s="112">
        <v>16026.411631469235</v>
      </c>
      <c r="N5" s="112">
        <v>676507.30402459821</v>
      </c>
      <c r="O5" s="112">
        <v>37872.077360422736</v>
      </c>
      <c r="P5" s="112">
        <v>65489.0557167566</v>
      </c>
      <c r="Q5" s="108">
        <v>37.872077360422736</v>
      </c>
      <c r="R5" s="68">
        <v>65.489055716756596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Conceptual Representation</vt:lpstr>
      <vt:lpstr>Input Chemical Data</vt:lpstr>
      <vt:lpstr>Options for Generic Calcs</vt:lpstr>
      <vt:lpstr>Well Plate Characteristics</vt:lpstr>
      <vt:lpstr>QA-QC</vt:lpstr>
      <vt:lpstr>Input System Parameters</vt:lpstr>
      <vt:lpstr>Output - Partitioning</vt:lpstr>
      <vt:lpstr>Concentrations</vt:lpstr>
      <vt:lpstr>Mass Fractions</vt:lpstr>
      <vt:lpstr>Mass Balance</vt:lpstr>
      <vt:lpstr>IVIVE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2024-03-28T08:05:01Z</dcterms:modified>
</cp:coreProperties>
</file>