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New dataset from SOT poster\Truisi 2015\Results\"/>
    </mc:Choice>
  </mc:AlternateContent>
  <xr:revisionPtr revIDLastSave="0" documentId="13_ncr:1_{32341FF6-EDFC-4ACC-A708-10584F1E570F}" xr6:coauthVersionLast="47" xr6:coauthVersionMax="47" xr10:uidLastSave="{00000000-0000-0000-0000-000000000000}"/>
  <bookViews>
    <workbookView xWindow="-28920" yWindow="-120" windowWidth="29040" windowHeight="1764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0" i="4" l="1"/>
  <c r="R29" i="4"/>
  <c r="R30" i="4"/>
  <c r="R31" i="4"/>
  <c r="R28" i="4"/>
  <c r="O15" i="1"/>
  <c r="L15" i="1"/>
  <c r="N15" i="1"/>
  <c r="K27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Q29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48" i="4"/>
  <c r="J51" i="4"/>
  <c r="J43" i="4"/>
  <c r="Q54" i="4"/>
  <c r="Q51" i="4"/>
  <c r="Q38" i="4"/>
  <c r="Q36" i="4"/>
  <c r="Q34" i="4"/>
  <c r="Q46" i="4"/>
  <c r="Q45" i="4"/>
  <c r="Q49" i="4"/>
  <c r="J30" i="4" l="1"/>
  <c r="Q31" i="4"/>
  <c r="J31" i="4"/>
  <c r="J34" i="4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M31" i="4" l="1"/>
  <c r="S31" i="4"/>
  <c r="K29" i="4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S28" i="4" s="1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<sst xmlns="http://schemas.openxmlformats.org/spreadsheetml/2006/main" count="113" uniqueCount="88">
  <si>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</si>
  <si>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</si>
  <si>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</si>
  <si>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</si>
  <si>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</si>
  <si>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</si>
  <si>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</si>
  <si>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</si>
  <si>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</si>
  <si>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</si>
  <si>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</si>
  <si>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</si>
  <si>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</si>
  <si>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</si>
  <si>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</si>
  <si>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</si>
  <si>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</si>
  <si>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</si>
  <si>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</si>
  <si>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</si>
  <si>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</si>
  <si>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</si>
  <si>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</si>
  <si>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</si>
  <si>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</si>
  <si>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</si>
  <si>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</si>
  <si>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</si>
  <si>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</si>
  <si>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</si>
  <si>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</si>
  <si>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</si>
  <si>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</si>
  <si>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</si>
  <si>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</si>
  <si>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</si>
  <si>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</si>
  <si>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</si>
  <si>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</si>
  <si>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</si>
  <si>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</si>
  <si>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</si>
  <si>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</si>
  <si>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</si>
  <si>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</si>
  <si>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</si>
  <si>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</si>
  <si>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</si>
  <si>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</si>
  <si>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</si>
  <si>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</si>
  <si>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</si>
  <si>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</si>
  <si>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</si>
  <si>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</si>
  <si>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</si>
  <si>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</si>
  <si>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</si>
  <si>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</si>
  <si>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</si>
  <si>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</si>
  <si>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</si>
  <si>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</si>
  <si>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</si>
  <si>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</si>
  <si>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</si>
  <si>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</si>
  <si>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</si>
  <si>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</si>
  <si>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</si>
  <si>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</si>
  <si>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</si>
  <si>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</si>
  <si>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</si>
  <si>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</si>
  <si>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</si>
  <si>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</si>
  <si>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</si>
  <si>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</si>
  <si>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</si>
  <si>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</si>
  <si>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</si>
  <si>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</si>
  <si>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</si>
  <si>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</si>
  <si>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</si>
  <si>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15687-27-1</t>
  </si>
  <si>
    <t>ibuprofen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</si>
</sst>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00000"/>
    <numFmt numFmtId="166" formatCode="0.00000000000"/>
    <numFmt numFmtId="167" formatCode="0.0%"/>
    <numFmt numFmtId="168" formatCode="0.00_);[Red]\(0.00\)"/>
    <numFmt numFmtId="169" formatCode="0.00000_);[Red]\(0.00000\)"/>
    <numFmt numFmtId="170" formatCode="0.000000_);[Red]\(0.000000\)"/>
    <numFmt numFmtId="171" formatCode="0.0E+00"/>
  </numFmts>
  <fonts count="24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64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64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64" fontId="1" fillId="4" borderId="7" xfId="0" applyNumberFormat="1" applyFont="1" applyFill="1" applyBorder="1" applyAlignment="1" applyProtection="1">
      <alignment horizontal="center"/>
      <protection locked="0"/>
    </xf>
    <xf numFmtId="167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68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69" fontId="0" fillId="3" borderId="0" xfId="0" applyNumberFormat="1" applyFill="1"/>
    <xf numFmtId="170" fontId="0" fillId="3" borderId="0" xfId="0" applyNumberFormat="1" applyFill="1"/>
    <xf numFmtId="170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71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Normal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8" sqref="L18"/>
    </sheetView>
  </sheetViews>
  <sheetFormatPr defaultColWidth="10.85546875" defaultRowHeight="1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75" thickBo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8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 thickBot="1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 thickBot="1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 thickBot="1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 thickBot="1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v>2.97E-3</v>
      </c>
      <c r="M17" s="83">
        <v>3.2164000000000004E-4</v>
      </c>
      <c r="N17" s="83">
        <v>1.0846E-4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 thickBot="1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 thickBot="1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 thickBot="1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 thickBot="1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 thickBo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 thickBot="1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2.4*1000000</f>
        <v>2400000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v>2.3999999999999998E-3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 thickBo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thickBo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thickBo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thickBo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zoomScale="90" zoomScaleNormal="90" workbookViewId="0">
      <selection activeCell="C21" sqref="C21"/>
    </sheetView>
  </sheetViews>
  <sheetFormatPr defaultColWidth="11.42578125" defaultRowHeight="1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75" thickBot="1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>
      <c r="A2" s="7"/>
      <c r="B2" s="7"/>
      <c r="C2" s="7"/>
      <c r="D2" s="7"/>
      <c r="E2" s="7"/>
      <c r="F2" s="7"/>
      <c r="G2" s="173"/>
      <c r="H2" s="173"/>
      <c r="I2" s="118" t="s">
        <v>19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>
      <c r="A5" s="7"/>
      <c r="B5" s="7"/>
      <c r="C5" s="7"/>
      <c r="D5" s="7"/>
      <c r="E5" s="7"/>
      <c r="F5" s="7"/>
      <c r="G5" s="173"/>
      <c r="H5" s="173"/>
      <c r="I5" s="127" t="s">
        <v>38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>
      <c r="A6" s="7"/>
      <c r="B6" s="7"/>
      <c r="C6" s="7"/>
      <c r="D6" s="7"/>
      <c r="E6" s="7"/>
      <c r="F6" s="7"/>
      <c r="G6" s="173"/>
      <c r="H6" s="173"/>
      <c r="I6" s="50" t="s">
        <v>49</v>
      </c>
      <c r="J6" s="50" t="s">
        <v>50</v>
      </c>
      <c r="K6" s="50" t="s">
        <v>46</v>
      </c>
      <c r="L6" s="170" t="s">
        <v>39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>
      <c r="A7" s="7"/>
      <c r="B7" s="7"/>
      <c r="C7" s="7"/>
      <c r="D7" s="7"/>
      <c r="E7" s="7"/>
      <c r="F7" s="7"/>
      <c r="G7" s="173"/>
      <c r="H7" s="173"/>
      <c r="I7" s="51" t="s">
        <v>20</v>
      </c>
      <c r="J7" s="38">
        <f>SUM(J13,J19)</f>
        <v>2006.8001999999999</v>
      </c>
      <c r="K7" s="39">
        <f>J7/J7</f>
        <v>1</v>
      </c>
      <c r="L7" s="164" t="s">
        <v>68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2004.904</v>
      </c>
      <c r="K8" s="40">
        <f>J8/J7</f>
        <v>0.99905511271127045</v>
      </c>
      <c r="L8" s="164" t="s">
        <v>69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1.60328</v>
      </c>
      <c r="K9" s="40">
        <f>J9/J7</f>
        <v>7.9892357993586018E-4</v>
      </c>
      <c r="L9" s="164" t="s">
        <v>69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0.29292000000000001</v>
      </c>
      <c r="K10" s="40">
        <f>J10/J7</f>
        <v>1.4596370879373045E-4</v>
      </c>
      <c r="L10" s="164" t="s">
        <v>69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>
      <c r="A11" s="7"/>
      <c r="B11" s="154" t="s">
        <v>36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>
      <c r="A12" s="7"/>
      <c r="B12" s="157"/>
      <c r="C12" s="158"/>
      <c r="D12" s="158"/>
      <c r="E12" s="158"/>
      <c r="F12" s="159"/>
      <c r="G12" s="173"/>
      <c r="H12" s="173"/>
      <c r="I12" s="50" t="s">
        <v>51</v>
      </c>
      <c r="J12" s="50" t="s">
        <v>50</v>
      </c>
      <c r="K12" s="50" t="s">
        <v>46</v>
      </c>
      <c r="L12" s="170" t="s">
        <v>39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>
      <c r="A13" s="8"/>
      <c r="B13" s="143" t="s">
        <v>4</v>
      </c>
      <c r="C13" s="144"/>
      <c r="D13" s="133" t="s">
        <v>39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71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>
      <c r="A14" s="7"/>
      <c r="B14" s="4" t="s">
        <v>33</v>
      </c>
      <c r="C14" s="44">
        <v>2000</v>
      </c>
      <c r="D14" s="134" t="s">
        <v>17</v>
      </c>
      <c r="E14" s="134"/>
      <c r="F14" s="134"/>
      <c r="G14" s="173"/>
      <c r="H14" s="173"/>
      <c r="I14" s="52" t="s">
        <v>43</v>
      </c>
      <c r="J14" s="42">
        <f>C14-SUM(J15:J16)</f>
        <v>1998.9639999999999</v>
      </c>
      <c r="K14" s="40">
        <f>J14/J13</f>
        <v>0.99948199999999998</v>
      </c>
      <c r="L14" s="167" t="s">
        <v>70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>
      <c r="A15" s="7"/>
      <c r="B15" s="5" t="s">
        <v>14</v>
      </c>
      <c r="C15" s="44" t="s">
        <v>13</v>
      </c>
      <c r="D15" s="135" t="s">
        <v>60</v>
      </c>
      <c r="E15" s="135"/>
      <c r="F15" s="135"/>
      <c r="G15" s="173"/>
      <c r="H15" s="17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0.96</v>
      </c>
      <c r="K15" s="40">
        <f>J15/J13</f>
        <v>4.7999999999999996E-4</v>
      </c>
      <c r="L15" s="164" t="s">
        <v>69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>
      <c r="A16" s="7"/>
      <c r="B16" s="4" t="s">
        <v>34</v>
      </c>
      <c r="C16" s="45">
        <v>0.98</v>
      </c>
      <c r="D16" s="136" t="s">
        <v>40</v>
      </c>
      <c r="E16" s="137"/>
      <c r="F16" s="138"/>
      <c r="G16" s="173"/>
      <c r="H16" s="17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7.5999999999999998E-2</v>
      </c>
      <c r="K16" s="40">
        <f>J16/J13</f>
        <v>3.8000000000000002E-5</v>
      </c>
      <c r="L16" s="164" t="s">
        <v>69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>
      <c r="A17" s="7"/>
      <c r="B17" s="5" t="s">
        <v>15</v>
      </c>
      <c r="C17" s="44" t="s">
        <v>82</v>
      </c>
      <c r="D17" s="139" t="s">
        <v>61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>
      <c r="A18" s="7"/>
      <c r="B18" s="4" t="s">
        <v>35</v>
      </c>
      <c r="C18" s="45">
        <v>0.02</v>
      </c>
      <c r="D18" s="136" t="s">
        <v>41</v>
      </c>
      <c r="E18" s="137"/>
      <c r="F18" s="138"/>
      <c r="G18" s="173"/>
      <c r="H18" s="173"/>
      <c r="I18" s="50" t="s">
        <v>29</v>
      </c>
      <c r="J18" s="50" t="s">
        <v>50</v>
      </c>
      <c r="K18" s="50" t="s">
        <v>46</v>
      </c>
      <c r="L18" s="170" t="s">
        <v>39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6.8002000000000002</v>
      </c>
      <c r="K19" s="39">
        <f>J19/J19</f>
        <v>1</v>
      </c>
      <c r="L19" s="164" t="s">
        <v>55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>
      <c r="A20" s="7"/>
      <c r="B20" s="143" t="s">
        <v>7</v>
      </c>
      <c r="C20" s="144"/>
      <c r="D20" s="133" t="s">
        <v>39</v>
      </c>
      <c r="E20" s="133"/>
      <c r="F20" s="133"/>
      <c r="G20" s="173"/>
      <c r="H20" s="17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5.94</v>
      </c>
      <c r="K20" s="40">
        <f>J20/J19</f>
        <v>0.87350372047880942</v>
      </c>
      <c r="L20" s="164" t="s">
        <v>69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>
      <c r="A21" s="7"/>
      <c r="B21" s="4" t="s">
        <v>10</v>
      </c>
      <c r="C21" s="44" t="s">
        <v>85</v>
      </c>
      <c r="D21" s="139" t="s">
        <v>61</v>
      </c>
      <c r="E21" s="140"/>
      <c r="F21" s="141"/>
      <c r="G21" s="173"/>
      <c r="H21" s="17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0.64328000000000007</v>
      </c>
      <c r="K21" s="40">
        <f>J21/J19</f>
        <v>9.4597217728890334E-2</v>
      </c>
      <c r="L21" s="164" t="s">
        <v>69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>
      <c r="A22" s="7"/>
      <c r="B22" s="6" t="s">
        <v>18</v>
      </c>
      <c r="C22" s="46">
        <v>2000000</v>
      </c>
      <c r="D22" s="142" t="s">
        <v>67</v>
      </c>
      <c r="E22" s="142"/>
      <c r="F22" s="142"/>
      <c r="G22" s="173"/>
      <c r="H22" s="17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0.21692</v>
      </c>
      <c r="K22" s="40">
        <f>J22/J19</f>
        <v>3.1899061792300225E-2</v>
      </c>
      <c r="L22" s="164" t="s">
        <v>69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>
      <c r="A24" s="7"/>
      <c r="B24" s="154" t="s">
        <v>37</v>
      </c>
      <c r="C24" s="155"/>
      <c r="D24" s="155"/>
      <c r="E24" s="155"/>
      <c r="F24" s="156"/>
      <c r="G24" s="173"/>
      <c r="H24" s="173"/>
      <c r="I24" s="178" t="s">
        <v>42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>
      <c r="A26" s="7"/>
      <c r="B26" s="176" t="s">
        <v>11</v>
      </c>
      <c r="C26" s="176" t="s">
        <v>12</v>
      </c>
      <c r="D26" s="160" t="s">
        <v>47</v>
      </c>
      <c r="E26" s="160" t="s">
        <v>48</v>
      </c>
      <c r="F26" s="162" t="s">
        <v>66</v>
      </c>
      <c r="G26" s="173"/>
      <c r="H26" s="173"/>
      <c r="I26" s="187" t="s">
        <v>53</v>
      </c>
      <c r="J26" s="187" t="s">
        <v>54</v>
      </c>
      <c r="K26" s="174" t="s">
        <v>74</v>
      </c>
      <c r="L26" s="174" t="s">
        <v>52</v>
      </c>
      <c r="M26" s="174" t="s">
        <v>59</v>
      </c>
      <c r="N26" s="174" t="s">
        <v>62</v>
      </c>
      <c r="O26" s="174" t="s">
        <v>73</v>
      </c>
      <c r="P26" s="174" t="s">
        <v>64</v>
      </c>
      <c r="Q26" s="174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>
      <c r="A28" s="93"/>
      <c r="B28" s="47"/>
      <c r="C28" s="47"/>
      <c r="D28" s="48"/>
      <c r="E28" s="48"/>
      <c r="F28" s="103"/>
      <c r="G28" s="173"/>
      <c r="H28" s="173"/>
      <c r="I28" s="99" t="str">
        <f t="shared" ref="I28:I47" si="1">IF(D28=0,"",LOG($K$15*10^D28+$K$16*10^E28+$K$14))</f>
        <v/>
      </c>
      <c r="J28" s="99" t="str">
        <f t="shared" ref="J28:J47" si="2">IF(D28=0,"",LOG($K$21*10^D28+$K$22*10^E28+$K$20))</f>
        <v/>
      </c>
      <c r="K28" s="100" t="str">
        <f t="shared" ref="K28:K47" si="3">IF(D28=0,"",1/(1+10^D28*$J$15/$J$14+10^E28*$J$16/$J$14+10^J28*$J$19/$J$14))</f>
        <v/>
      </c>
      <c r="L28" s="100" t="str">
        <f t="shared" ref="L28:L47" si="4">IF(D28=0,"",1/(1+10^I28/10^J28*$J$13/$J$19))</f>
        <v/>
      </c>
      <c r="M28" s="100" t="str">
        <f t="shared" ref="M28:M47" si="5">IF(D28=0,"",1-L28)</f>
        <v/>
      </c>
      <c r="N28" s="100" t="str">
        <f t="shared" ref="N28:N47" si="6">IF(D28=0,"",1/(1/10^E28*$J$20/$J$22+10^D28/10^E28*$J$21/$J$22+10^I28/10^E28*$J$13/$J$22+1))</f>
        <v/>
      </c>
      <c r="O28" s="41" t="str">
        <f t="shared" ref="O28:O47" si="7">IF(D28=0,"",F28*K28*$J$7/$J$14)</f>
        <v/>
      </c>
      <c r="P28" s="41" t="str">
        <f t="shared" ref="P28:P47" si="8">IF(D28=0,"",O28*10^J28)</f>
        <v/>
      </c>
      <c r="Q28" s="41" t="str">
        <f t="shared" ref="Q28:Q47" si="9">IF(D28=0,"",F28*N28*$J$7/$J$22)</f>
        <v/>
      </c>
      <c r="R28" s="9">
        <f>F28*0.002*1000000</f>
        <v>0</v>
      </c>
      <c r="S28" s="11" t="e">
        <f>R28*L28</f>
        <v>#VALUE!</v>
      </c>
      <c r="T28" s="9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>
      <c r="A29" s="93"/>
      <c r="B29" s="47"/>
      <c r="C29" s="47"/>
      <c r="D29" s="48"/>
      <c r="E29" s="48"/>
      <c r="F29" s="103"/>
      <c r="G29" s="173"/>
      <c r="H29" s="173"/>
      <c r="I29" s="99" t="str">
        <f t="shared" si="1"/>
        <v/>
      </c>
      <c r="J29" s="99" t="str">
        <f t="shared" si="2"/>
        <v/>
      </c>
      <c r="K29" s="100" t="str">
        <f t="shared" si="3"/>
        <v/>
      </c>
      <c r="L29" s="100" t="str">
        <f t="shared" si="4"/>
        <v/>
      </c>
      <c r="M29" s="100" t="str">
        <f t="shared" si="5"/>
        <v/>
      </c>
      <c r="N29" s="100" t="str">
        <f t="shared" si="6"/>
        <v/>
      </c>
      <c r="O29" s="41" t="str">
        <f t="shared" si="7"/>
        <v/>
      </c>
      <c r="P29" s="41" t="str">
        <f t="shared" si="8"/>
        <v/>
      </c>
      <c r="Q29" s="41" t="str">
        <f t="shared" si="9"/>
        <v/>
      </c>
      <c r="R29" s="9">
        <f t="shared" ref="R29:R31" si="10">F29*0.002*1000000</f>
        <v>0</v>
      </c>
      <c r="S29" s="11" t="e">
        <f t="shared" ref="S29:S31" si="11">R29*L29</f>
        <v>#VALUE!</v>
      </c>
      <c r="T29" s="9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>
      <c r="A30" s="94"/>
      <c r="B30" s="47" t="s">
        <v>87</v>
      </c>
      <c r="C30" s="47" t="s">
        <v>86</v>
      </c>
      <c r="D30" s="95">
        <v>2.9091840000000002</v>
      </c>
      <c r="E30" s="95">
        <v>3.4102429999999995</v>
      </c>
      <c r="F30" s="103">
        <v>1.0000000000000001E-5</v>
      </c>
      <c r="G30" s="173"/>
      <c r="H30" s="173"/>
      <c r="I30" s="99">
        <f t="shared" si="1"/>
        <v>0.17220522092565899</v>
      </c>
      <c r="J30" s="99">
        <f t="shared" si="2"/>
        <v>2.2031955176839833</v>
      </c>
      <c r="K30" s="100">
        <f t="shared" si="3"/>
        <v>0.49247764975538028</v>
      </c>
      <c r="L30" s="100">
        <f t="shared" si="4"/>
        <v>0.26748458340006925</v>
      </c>
      <c r="M30" s="100">
        <f t="shared" si="5"/>
        <v>0.7325154165999308</v>
      </c>
      <c r="N30" s="100">
        <f t="shared" si="6"/>
        <v>0.13744348182308122</v>
      </c>
      <c r="O30" s="41">
        <f t="shared" si="7"/>
        <v>4.9440822647362697E-6</v>
      </c>
      <c r="P30" s="41">
        <f t="shared" si="8"/>
        <v>7.8937107065112154E-4</v>
      </c>
      <c r="Q30" s="41">
        <f t="shared" si="9"/>
        <v>1.2715360815565912E-2</v>
      </c>
      <c r="R30" s="9">
        <f t="shared" si="10"/>
        <v>0.02</v>
      </c>
      <c r="S30" s="11">
        <f>R30*L30</f>
        <v>5.3496916680013853E-3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>
      <c r="A31" s="94"/>
      <c r="B31" s="47" t="s">
        <v>87</v>
      </c>
      <c r="C31" s="47" t="s">
        <v>86</v>
      </c>
      <c r="D31" s="95">
        <v>2.9091840000000002</v>
      </c>
      <c r="E31" s="95">
        <v>3.4102429999999995</v>
      </c>
      <c r="F31" s="98">
        <v>1E-4</v>
      </c>
      <c r="G31" s="173"/>
      <c r="H31" s="173"/>
      <c r="I31" s="99">
        <f t="shared" si="1"/>
        <v>0.17220522092565899</v>
      </c>
      <c r="J31" s="99">
        <f t="shared" si="2"/>
        <v>2.2031955176839833</v>
      </c>
      <c r="K31" s="100">
        <f t="shared" si="3"/>
        <v>0.49247764975538028</v>
      </c>
      <c r="L31" s="100">
        <f t="shared" si="4"/>
        <v>0.26748458340006925</v>
      </c>
      <c r="M31" s="100">
        <f t="shared" si="5"/>
        <v>0.7325154165999308</v>
      </c>
      <c r="N31" s="100">
        <f t="shared" si="6"/>
        <v>0.13744348182308122</v>
      </c>
      <c r="O31" s="41">
        <f t="shared" si="7"/>
        <v>4.9440822647362687E-5</v>
      </c>
      <c r="P31" s="41">
        <f t="shared" si="8"/>
        <v>7.8937107065112141E-3</v>
      </c>
      <c r="Q31" s="41">
        <f t="shared" si="9"/>
        <v>0.1271536081556591</v>
      </c>
      <c r="R31" s="9">
        <f t="shared" si="10"/>
        <v>0.2</v>
      </c>
      <c r="S31" s="11">
        <f t="shared" si="11"/>
        <v>5.3496916680013856E-2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94"/>
      <c r="B32" s="47"/>
      <c r="C32" s="47"/>
      <c r="D32" s="48"/>
      <c r="E32" s="48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94"/>
      <c r="B33" s="101"/>
      <c r="C33" s="101"/>
      <c r="D33" s="102"/>
      <c r="E33" s="102"/>
      <c r="F33" s="98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93"/>
      <c r="B34" s="47"/>
      <c r="C34" s="47"/>
      <c r="D34" s="95"/>
      <c r="E34" s="95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93"/>
      <c r="B36" s="47"/>
      <c r="C36" s="47"/>
      <c r="D36" s="48"/>
      <c r="E36" s="48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93"/>
      <c r="B37" s="101"/>
      <c r="C37" s="101"/>
      <c r="D37" s="102"/>
      <c r="E37" s="102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93"/>
      <c r="B40" s="47"/>
      <c r="C40" s="47"/>
      <c r="D40" s="48"/>
      <c r="E40" s="48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93"/>
      <c r="B41" s="101"/>
      <c r="C41" s="101"/>
      <c r="D41" s="102"/>
      <c r="E41" s="102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2">IF(D48=0,"",LOG($K$15*10^D48+$K$16*10^E48+$K$14))</f>
        <v/>
      </c>
      <c r="J48" s="99" t="str">
        <f t="shared" ref="J48:J50" si="13">IF(D48=0,"",LOG($K$21*10^D48+$K$22*10^E48+$K$20))</f>
        <v/>
      </c>
      <c r="K48" s="100" t="str">
        <f t="shared" ref="K48:K50" si="14">IF(D48=0,"",1/(1+10^D48*$J$15/$J$14+10^E48*$J$16/$J$14+10^J48*$J$19/$J$14))</f>
        <v/>
      </c>
      <c r="L48" s="100" t="str">
        <f t="shared" ref="L48:L50" si="15">IF(D48=0,"",1/(1+10^I48/10^J48*$J$13/$J$19))</f>
        <v/>
      </c>
      <c r="M48" s="100" t="str">
        <f t="shared" ref="M48:M92" si="16">IF(D48=0,"",1-L48)</f>
        <v/>
      </c>
      <c r="N48" s="100" t="str">
        <f t="shared" ref="N48:N50" si="17">IF(D48=0,"",1/(1/10^E48*$J$20/$J$22+10^D48/10^E48*$J$21/$J$22+10^I48/10^E48*$J$13/$J$22+1))</f>
        <v/>
      </c>
      <c r="O48" s="41" t="str">
        <f t="shared" ref="O48:O92" si="18">IF(D48=0,"",F48*K48*$J$7/$J$14)</f>
        <v/>
      </c>
      <c r="P48" s="41" t="str">
        <f t="shared" ref="P48:P50" si="19">IF(D48=0,"",O48*10^J48)</f>
        <v/>
      </c>
      <c r="Q48" s="41" t="str">
        <f t="shared" ref="Q48:Q50" si="20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93"/>
      <c r="B49" s="47"/>
      <c r="C49" s="47"/>
      <c r="D49" s="95"/>
      <c r="E49" s="95"/>
      <c r="F49" s="96"/>
      <c r="G49" s="173"/>
      <c r="H49" s="173"/>
      <c r="I49" s="99" t="str">
        <f t="shared" si="12"/>
        <v/>
      </c>
      <c r="J49" s="99" t="str">
        <f t="shared" si="13"/>
        <v/>
      </c>
      <c r="K49" s="100" t="str">
        <f t="shared" si="14"/>
        <v/>
      </c>
      <c r="L49" s="100" t="str">
        <f t="shared" si="15"/>
        <v/>
      </c>
      <c r="M49" s="100" t="str">
        <f t="shared" si="16"/>
        <v/>
      </c>
      <c r="N49" s="100" t="str">
        <f t="shared" si="17"/>
        <v/>
      </c>
      <c r="O49" s="41" t="str">
        <f t="shared" si="18"/>
        <v/>
      </c>
      <c r="P49" s="41" t="str">
        <f t="shared" si="19"/>
        <v/>
      </c>
      <c r="Q49" s="41" t="str">
        <f t="shared" si="20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93"/>
      <c r="B50" s="47"/>
      <c r="C50" s="47"/>
      <c r="D50" s="95"/>
      <c r="E50" s="95"/>
      <c r="F50" s="96"/>
      <c r="G50" s="173"/>
      <c r="H50" s="173"/>
      <c r="I50" s="99" t="str">
        <f t="shared" si="12"/>
        <v/>
      </c>
      <c r="J50" s="99" t="str">
        <f t="shared" si="13"/>
        <v/>
      </c>
      <c r="K50" s="100" t="str">
        <f t="shared" si="14"/>
        <v/>
      </c>
      <c r="L50" s="100" t="str">
        <f t="shared" si="15"/>
        <v/>
      </c>
      <c r="M50" s="100" t="str">
        <f t="shared" si="16"/>
        <v/>
      </c>
      <c r="N50" s="100" t="str">
        <f t="shared" si="17"/>
        <v/>
      </c>
      <c r="O50" s="41" t="str">
        <f t="shared" si="18"/>
        <v/>
      </c>
      <c r="P50" s="41" t="str">
        <f t="shared" si="19"/>
        <v/>
      </c>
      <c r="Q50" s="41" t="str">
        <f t="shared" si="20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21">IF(D51=0,"",LOG($K$15*10^D51+$K$16*10^E51+$K$14))</f>
        <v/>
      </c>
      <c r="J51" s="99" t="str">
        <f t="shared" ref="J51:J70" si="22">IF(D51=0,"",LOG($K$21*10^D51+$K$22*10^E51+$K$20))</f>
        <v/>
      </c>
      <c r="K51" s="100" t="str">
        <f t="shared" ref="K51:K70" si="23">IF(D51=0,"",1/(1+10^D51*$J$15/$J$14+10^E51*$J$16/$J$14+10^J51*$J$19/$J$14))</f>
        <v/>
      </c>
      <c r="L51" s="100" t="str">
        <f t="shared" ref="L51:L70" si="24">IF(D51=0,"",1/(1+10^I51/10^J51*$J$13/$J$19))</f>
        <v/>
      </c>
      <c r="M51" s="100" t="str">
        <f t="shared" ref="M51:M70" si="25">IF(D51=0,"",1-L51)</f>
        <v/>
      </c>
      <c r="N51" s="100" t="str">
        <f t="shared" ref="N51:N70" si="26">IF(D51=0,"",1/(1/10^E51*$J$20/$J$22+10^D51/10^E51*$J$21/$J$22+10^I51/10^E51*$J$13/$J$22+1))</f>
        <v/>
      </c>
      <c r="O51" s="41" t="str">
        <f t="shared" ref="O51:O70" si="27">IF(D51=0,"",F51*K51*$J$7/$J$14)</f>
        <v/>
      </c>
      <c r="P51" s="41" t="str">
        <f t="shared" ref="P51:P70" si="28">IF(D51=0,"",O51*10^J51)</f>
        <v/>
      </c>
      <c r="Q51" s="41" t="str">
        <f t="shared" ref="Q51:Q70" si="29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7"/>
      <c r="B52" s="47"/>
      <c r="C52" s="47"/>
      <c r="D52" s="48"/>
      <c r="E52" s="48"/>
      <c r="F52" s="96"/>
      <c r="G52" s="173"/>
      <c r="H52" s="173"/>
      <c r="I52" s="99" t="str">
        <f t="shared" si="21"/>
        <v/>
      </c>
      <c r="J52" s="99" t="str">
        <f t="shared" si="22"/>
        <v/>
      </c>
      <c r="K52" s="100" t="str">
        <f t="shared" si="23"/>
        <v/>
      </c>
      <c r="L52" s="100" t="str">
        <f t="shared" si="24"/>
        <v/>
      </c>
      <c r="M52" s="100" t="str">
        <f t="shared" si="25"/>
        <v/>
      </c>
      <c r="N52" s="100" t="str">
        <f t="shared" si="26"/>
        <v/>
      </c>
      <c r="O52" s="41" t="str">
        <f t="shared" si="27"/>
        <v/>
      </c>
      <c r="P52" s="41" t="str">
        <f t="shared" si="28"/>
        <v/>
      </c>
      <c r="Q52" s="41" t="str">
        <f t="shared" si="29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7"/>
      <c r="B53" s="47"/>
      <c r="C53" s="47"/>
      <c r="D53" s="48"/>
      <c r="E53" s="48"/>
      <c r="F53" s="96"/>
      <c r="G53" s="173"/>
      <c r="H53" s="173"/>
      <c r="I53" s="99" t="str">
        <f t="shared" si="21"/>
        <v/>
      </c>
      <c r="J53" s="99" t="str">
        <f t="shared" si="22"/>
        <v/>
      </c>
      <c r="K53" s="100" t="str">
        <f t="shared" si="23"/>
        <v/>
      </c>
      <c r="L53" s="100" t="str">
        <f t="shared" si="24"/>
        <v/>
      </c>
      <c r="M53" s="100" t="str">
        <f t="shared" si="25"/>
        <v/>
      </c>
      <c r="N53" s="100" t="str">
        <f t="shared" si="26"/>
        <v/>
      </c>
      <c r="O53" s="41" t="str">
        <f t="shared" si="27"/>
        <v/>
      </c>
      <c r="P53" s="41" t="str">
        <f t="shared" si="28"/>
        <v/>
      </c>
      <c r="Q53" s="41" t="str">
        <f t="shared" si="29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7"/>
      <c r="B54" s="47"/>
      <c r="C54" s="47"/>
      <c r="D54" s="48"/>
      <c r="E54" s="48"/>
      <c r="F54" s="96"/>
      <c r="G54" s="173"/>
      <c r="H54" s="173"/>
      <c r="I54" s="99" t="str">
        <f t="shared" si="21"/>
        <v/>
      </c>
      <c r="J54" s="99" t="str">
        <f t="shared" si="22"/>
        <v/>
      </c>
      <c r="K54" s="100" t="str">
        <f t="shared" si="23"/>
        <v/>
      </c>
      <c r="L54" s="100" t="str">
        <f t="shared" si="24"/>
        <v/>
      </c>
      <c r="M54" s="100" t="str">
        <f t="shared" si="25"/>
        <v/>
      </c>
      <c r="N54" s="100" t="str">
        <f t="shared" si="26"/>
        <v/>
      </c>
      <c r="O54" s="41" t="str">
        <f t="shared" si="27"/>
        <v/>
      </c>
      <c r="P54" s="41" t="str">
        <f t="shared" si="28"/>
        <v/>
      </c>
      <c r="Q54" s="41" t="str">
        <f t="shared" si="29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7"/>
      <c r="B55" s="47"/>
      <c r="C55" s="47"/>
      <c r="D55" s="48"/>
      <c r="E55" s="48"/>
      <c r="F55" s="58"/>
      <c r="G55" s="173"/>
      <c r="H55" s="173"/>
      <c r="I55" s="55" t="str">
        <f t="shared" si="21"/>
        <v/>
      </c>
      <c r="J55" s="55" t="str">
        <f t="shared" si="22"/>
        <v/>
      </c>
      <c r="K55" s="56" t="str">
        <f t="shared" si="23"/>
        <v/>
      </c>
      <c r="L55" s="56" t="str">
        <f t="shared" si="24"/>
        <v/>
      </c>
      <c r="M55" s="56" t="str">
        <f t="shared" si="25"/>
        <v/>
      </c>
      <c r="N55" s="56" t="str">
        <f t="shared" si="26"/>
        <v/>
      </c>
      <c r="O55" s="57" t="str">
        <f t="shared" si="27"/>
        <v/>
      </c>
      <c r="P55" s="57" t="str">
        <f t="shared" si="28"/>
        <v/>
      </c>
      <c r="Q55" s="57" t="str">
        <f t="shared" si="29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7"/>
      <c r="B56" s="47"/>
      <c r="C56" s="47"/>
      <c r="D56" s="48"/>
      <c r="E56" s="48"/>
      <c r="F56" s="58"/>
      <c r="G56" s="173"/>
      <c r="H56" s="173"/>
      <c r="I56" s="55" t="str">
        <f t="shared" si="21"/>
        <v/>
      </c>
      <c r="J56" s="55" t="str">
        <f t="shared" si="22"/>
        <v/>
      </c>
      <c r="K56" s="56" t="str">
        <f t="shared" si="23"/>
        <v/>
      </c>
      <c r="L56" s="56" t="str">
        <f t="shared" si="24"/>
        <v/>
      </c>
      <c r="M56" s="56" t="str">
        <f t="shared" si="25"/>
        <v/>
      </c>
      <c r="N56" s="56" t="str">
        <f t="shared" si="26"/>
        <v/>
      </c>
      <c r="O56" s="57" t="str">
        <f t="shared" si="27"/>
        <v/>
      </c>
      <c r="P56" s="57" t="str">
        <f t="shared" si="28"/>
        <v/>
      </c>
      <c r="Q56" s="57" t="str">
        <f t="shared" si="29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7"/>
      <c r="B57" s="92"/>
      <c r="C57" s="92"/>
      <c r="D57" s="95"/>
      <c r="E57" s="95"/>
      <c r="F57" s="96"/>
      <c r="G57" s="173"/>
      <c r="H57" s="173"/>
      <c r="I57" s="55" t="str">
        <f t="shared" si="21"/>
        <v/>
      </c>
      <c r="J57" s="55" t="str">
        <f t="shared" si="22"/>
        <v/>
      </c>
      <c r="K57" s="56" t="str">
        <f t="shared" si="23"/>
        <v/>
      </c>
      <c r="L57" s="56" t="str">
        <f t="shared" si="24"/>
        <v/>
      </c>
      <c r="M57" s="56" t="str">
        <f t="shared" si="25"/>
        <v/>
      </c>
      <c r="N57" s="56" t="str">
        <f t="shared" si="26"/>
        <v/>
      </c>
      <c r="O57" s="57" t="str">
        <f t="shared" si="27"/>
        <v/>
      </c>
      <c r="P57" s="57" t="str">
        <f t="shared" si="28"/>
        <v/>
      </c>
      <c r="Q57" s="57" t="str">
        <f t="shared" si="29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7"/>
      <c r="B58" s="47"/>
      <c r="C58" s="47"/>
      <c r="D58" s="48"/>
      <c r="E58" s="48"/>
      <c r="F58" s="58"/>
      <c r="G58" s="173"/>
      <c r="H58" s="173"/>
      <c r="I58" s="55" t="str">
        <f t="shared" si="21"/>
        <v/>
      </c>
      <c r="J58" s="55" t="str">
        <f t="shared" si="22"/>
        <v/>
      </c>
      <c r="K58" s="56" t="str">
        <f t="shared" si="23"/>
        <v/>
      </c>
      <c r="L58" s="56" t="str">
        <f t="shared" si="24"/>
        <v/>
      </c>
      <c r="M58" s="56" t="str">
        <f t="shared" si="25"/>
        <v/>
      </c>
      <c r="N58" s="56" t="str">
        <f t="shared" si="26"/>
        <v/>
      </c>
      <c r="O58" s="57" t="str">
        <f t="shared" si="27"/>
        <v/>
      </c>
      <c r="P58" s="57" t="str">
        <f t="shared" si="28"/>
        <v/>
      </c>
      <c r="Q58" s="57" t="str">
        <f t="shared" si="29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7"/>
      <c r="B59" s="47"/>
      <c r="C59" s="47"/>
      <c r="D59" s="48"/>
      <c r="E59" s="48"/>
      <c r="F59" s="58"/>
      <c r="G59" s="173"/>
      <c r="H59" s="173"/>
      <c r="I59" s="55" t="str">
        <f t="shared" si="21"/>
        <v/>
      </c>
      <c r="J59" s="55" t="str">
        <f t="shared" si="22"/>
        <v/>
      </c>
      <c r="K59" s="56" t="str">
        <f t="shared" si="23"/>
        <v/>
      </c>
      <c r="L59" s="56" t="str">
        <f t="shared" si="24"/>
        <v/>
      </c>
      <c r="M59" s="56" t="str">
        <f t="shared" si="25"/>
        <v/>
      </c>
      <c r="N59" s="56" t="str">
        <f t="shared" si="26"/>
        <v/>
      </c>
      <c r="O59" s="57" t="str">
        <f t="shared" si="27"/>
        <v/>
      </c>
      <c r="P59" s="57" t="str">
        <f t="shared" si="28"/>
        <v/>
      </c>
      <c r="Q59" s="57" t="str">
        <f t="shared" si="29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7"/>
      <c r="B60" s="47"/>
      <c r="C60" s="47"/>
      <c r="D60" s="48"/>
      <c r="E60" s="48"/>
      <c r="F60" s="58"/>
      <c r="G60" s="173"/>
      <c r="H60" s="173"/>
      <c r="I60" s="55" t="str">
        <f t="shared" si="21"/>
        <v/>
      </c>
      <c r="J60" s="55" t="str">
        <f t="shared" si="22"/>
        <v/>
      </c>
      <c r="K60" s="56" t="str">
        <f t="shared" si="23"/>
        <v/>
      </c>
      <c r="L60" s="56" t="str">
        <f t="shared" si="24"/>
        <v/>
      </c>
      <c r="M60" s="56" t="str">
        <f t="shared" si="25"/>
        <v/>
      </c>
      <c r="N60" s="56" t="str">
        <f t="shared" si="26"/>
        <v/>
      </c>
      <c r="O60" s="57" t="str">
        <f t="shared" si="27"/>
        <v/>
      </c>
      <c r="P60" s="57" t="str">
        <f t="shared" si="28"/>
        <v/>
      </c>
      <c r="Q60" s="57" t="str">
        <f t="shared" si="29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7"/>
      <c r="B61" s="47"/>
      <c r="C61" s="47"/>
      <c r="D61" s="48"/>
      <c r="E61" s="48"/>
      <c r="F61" s="58"/>
      <c r="G61" s="173"/>
      <c r="H61" s="173"/>
      <c r="I61" s="55" t="str">
        <f t="shared" si="21"/>
        <v/>
      </c>
      <c r="J61" s="55" t="str">
        <f t="shared" si="22"/>
        <v/>
      </c>
      <c r="K61" s="56" t="str">
        <f t="shared" si="23"/>
        <v/>
      </c>
      <c r="L61" s="56" t="str">
        <f t="shared" si="24"/>
        <v/>
      </c>
      <c r="M61" s="56" t="str">
        <f t="shared" si="25"/>
        <v/>
      </c>
      <c r="N61" s="56" t="str">
        <f t="shared" si="26"/>
        <v/>
      </c>
      <c r="O61" s="57" t="str">
        <f t="shared" si="27"/>
        <v/>
      </c>
      <c r="P61" s="57" t="str">
        <f t="shared" si="28"/>
        <v/>
      </c>
      <c r="Q61" s="57" t="str">
        <f t="shared" si="29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7"/>
      <c r="B62" s="47"/>
      <c r="C62" s="47"/>
      <c r="D62" s="48"/>
      <c r="E62" s="48"/>
      <c r="F62" s="58"/>
      <c r="G62" s="173"/>
      <c r="H62" s="173"/>
      <c r="I62" s="55" t="str">
        <f t="shared" si="21"/>
        <v/>
      </c>
      <c r="J62" s="55" t="str">
        <f t="shared" si="22"/>
        <v/>
      </c>
      <c r="K62" s="56" t="str">
        <f t="shared" si="23"/>
        <v/>
      </c>
      <c r="L62" s="56" t="str">
        <f t="shared" si="24"/>
        <v/>
      </c>
      <c r="M62" s="56" t="str">
        <f t="shared" si="25"/>
        <v/>
      </c>
      <c r="N62" s="56" t="str">
        <f t="shared" si="26"/>
        <v/>
      </c>
      <c r="O62" s="57" t="str">
        <f t="shared" si="27"/>
        <v/>
      </c>
      <c r="P62" s="57" t="str">
        <f t="shared" si="28"/>
        <v/>
      </c>
      <c r="Q62" s="57" t="str">
        <f t="shared" si="29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7"/>
      <c r="B63" s="47"/>
      <c r="C63" s="47"/>
      <c r="D63" s="48"/>
      <c r="E63" s="48"/>
      <c r="F63" s="58"/>
      <c r="G63" s="173"/>
      <c r="H63" s="173"/>
      <c r="I63" s="55" t="str">
        <f t="shared" si="21"/>
        <v/>
      </c>
      <c r="J63" s="55" t="str">
        <f t="shared" si="22"/>
        <v/>
      </c>
      <c r="K63" s="56" t="str">
        <f t="shared" si="23"/>
        <v/>
      </c>
      <c r="L63" s="56" t="str">
        <f t="shared" si="24"/>
        <v/>
      </c>
      <c r="M63" s="56" t="str">
        <f t="shared" si="25"/>
        <v/>
      </c>
      <c r="N63" s="56" t="str">
        <f t="shared" si="26"/>
        <v/>
      </c>
      <c r="O63" s="57" t="str">
        <f t="shared" si="27"/>
        <v/>
      </c>
      <c r="P63" s="57" t="str">
        <f t="shared" si="28"/>
        <v/>
      </c>
      <c r="Q63" s="57" t="str">
        <f t="shared" si="29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7"/>
      <c r="B64" s="47"/>
      <c r="C64" s="47"/>
      <c r="D64" s="48"/>
      <c r="E64" s="48"/>
      <c r="F64" s="58"/>
      <c r="G64" s="173"/>
      <c r="H64" s="173"/>
      <c r="I64" s="55" t="str">
        <f t="shared" si="21"/>
        <v/>
      </c>
      <c r="J64" s="55" t="str">
        <f t="shared" si="22"/>
        <v/>
      </c>
      <c r="K64" s="56" t="str">
        <f t="shared" si="23"/>
        <v/>
      </c>
      <c r="L64" s="56" t="str">
        <f t="shared" si="24"/>
        <v/>
      </c>
      <c r="M64" s="56" t="str">
        <f t="shared" si="25"/>
        <v/>
      </c>
      <c r="N64" s="56" t="str">
        <f t="shared" si="26"/>
        <v/>
      </c>
      <c r="O64" s="57" t="str">
        <f t="shared" si="27"/>
        <v/>
      </c>
      <c r="P64" s="57" t="str">
        <f t="shared" si="28"/>
        <v/>
      </c>
      <c r="Q64" s="57" t="str">
        <f t="shared" si="29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7"/>
      <c r="B65" s="47"/>
      <c r="C65" s="47"/>
      <c r="D65" s="48"/>
      <c r="E65" s="48"/>
      <c r="F65" s="58"/>
      <c r="G65" s="173"/>
      <c r="H65" s="173"/>
      <c r="I65" s="55" t="str">
        <f t="shared" si="21"/>
        <v/>
      </c>
      <c r="J65" s="55" t="str">
        <f t="shared" si="22"/>
        <v/>
      </c>
      <c r="K65" s="56" t="str">
        <f t="shared" si="23"/>
        <v/>
      </c>
      <c r="L65" s="56" t="str">
        <f t="shared" si="24"/>
        <v/>
      </c>
      <c r="M65" s="56" t="str">
        <f t="shared" si="25"/>
        <v/>
      </c>
      <c r="N65" s="56" t="str">
        <f t="shared" si="26"/>
        <v/>
      </c>
      <c r="O65" s="57" t="str">
        <f t="shared" si="27"/>
        <v/>
      </c>
      <c r="P65" s="57" t="str">
        <f t="shared" si="28"/>
        <v/>
      </c>
      <c r="Q65" s="57" t="str">
        <f t="shared" si="29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7"/>
      <c r="B66" s="47"/>
      <c r="C66" s="47"/>
      <c r="D66" s="48"/>
      <c r="E66" s="48"/>
      <c r="F66" s="58"/>
      <c r="G66" s="173"/>
      <c r="H66" s="173"/>
      <c r="I66" s="55" t="str">
        <f t="shared" si="21"/>
        <v/>
      </c>
      <c r="J66" s="55" t="str">
        <f t="shared" si="22"/>
        <v/>
      </c>
      <c r="K66" s="56" t="str">
        <f t="shared" si="23"/>
        <v/>
      </c>
      <c r="L66" s="56" t="str">
        <f t="shared" si="24"/>
        <v/>
      </c>
      <c r="M66" s="56" t="str">
        <f t="shared" si="25"/>
        <v/>
      </c>
      <c r="N66" s="56" t="str">
        <f t="shared" si="26"/>
        <v/>
      </c>
      <c r="O66" s="57" t="str">
        <f t="shared" si="27"/>
        <v/>
      </c>
      <c r="P66" s="57" t="str">
        <f t="shared" si="28"/>
        <v/>
      </c>
      <c r="Q66" s="57" t="str">
        <f t="shared" si="29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7"/>
      <c r="B67" s="47"/>
      <c r="C67" s="47"/>
      <c r="D67" s="48"/>
      <c r="E67" s="48"/>
      <c r="F67" s="58"/>
      <c r="G67" s="173"/>
      <c r="H67" s="173"/>
      <c r="I67" s="55" t="str">
        <f t="shared" si="21"/>
        <v/>
      </c>
      <c r="J67" s="55" t="str">
        <f t="shared" si="22"/>
        <v/>
      </c>
      <c r="K67" s="56" t="str">
        <f t="shared" si="23"/>
        <v/>
      </c>
      <c r="L67" s="56" t="str">
        <f t="shared" si="24"/>
        <v/>
      </c>
      <c r="M67" s="56" t="str">
        <f t="shared" si="25"/>
        <v/>
      </c>
      <c r="N67" s="56" t="str">
        <f t="shared" si="26"/>
        <v/>
      </c>
      <c r="O67" s="57" t="str">
        <f t="shared" si="27"/>
        <v/>
      </c>
      <c r="P67" s="57" t="str">
        <f t="shared" si="28"/>
        <v/>
      </c>
      <c r="Q67" s="57" t="str">
        <f t="shared" si="29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7"/>
      <c r="B68" s="47"/>
      <c r="C68" s="47"/>
      <c r="D68" s="48"/>
      <c r="E68" s="48"/>
      <c r="F68" s="58"/>
      <c r="G68" s="173"/>
      <c r="H68" s="173"/>
      <c r="I68" s="55" t="str">
        <f t="shared" si="21"/>
        <v/>
      </c>
      <c r="J68" s="55" t="str">
        <f t="shared" si="22"/>
        <v/>
      </c>
      <c r="K68" s="56" t="str">
        <f t="shared" si="23"/>
        <v/>
      </c>
      <c r="L68" s="56" t="str">
        <f t="shared" si="24"/>
        <v/>
      </c>
      <c r="M68" s="56" t="str">
        <f t="shared" si="25"/>
        <v/>
      </c>
      <c r="N68" s="56" t="str">
        <f t="shared" si="26"/>
        <v/>
      </c>
      <c r="O68" s="57" t="str">
        <f t="shared" si="27"/>
        <v/>
      </c>
      <c r="P68" s="57" t="str">
        <f t="shared" si="28"/>
        <v/>
      </c>
      <c r="Q68" s="57" t="str">
        <f t="shared" si="29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7"/>
      <c r="B69" s="47"/>
      <c r="C69" s="47"/>
      <c r="D69" s="48"/>
      <c r="E69" s="48"/>
      <c r="F69" s="58"/>
      <c r="G69" s="173"/>
      <c r="H69" s="173"/>
      <c r="I69" s="55" t="str">
        <f t="shared" si="21"/>
        <v/>
      </c>
      <c r="J69" s="55" t="str">
        <f t="shared" si="22"/>
        <v/>
      </c>
      <c r="K69" s="56" t="str">
        <f t="shared" si="23"/>
        <v/>
      </c>
      <c r="L69" s="56" t="str">
        <f t="shared" si="24"/>
        <v/>
      </c>
      <c r="M69" s="56" t="str">
        <f t="shared" si="25"/>
        <v/>
      </c>
      <c r="N69" s="56" t="str">
        <f t="shared" si="26"/>
        <v/>
      </c>
      <c r="O69" s="57" t="str">
        <f t="shared" si="27"/>
        <v/>
      </c>
      <c r="P69" s="57" t="str">
        <f t="shared" si="28"/>
        <v/>
      </c>
      <c r="Q69" s="57" t="str">
        <f t="shared" si="29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7"/>
      <c r="B70" s="47"/>
      <c r="C70" s="47"/>
      <c r="D70" s="48"/>
      <c r="E70" s="48"/>
      <c r="F70" s="58"/>
      <c r="G70" s="173"/>
      <c r="H70" s="173"/>
      <c r="I70" s="55" t="str">
        <f t="shared" si="21"/>
        <v/>
      </c>
      <c r="J70" s="55" t="str">
        <f t="shared" si="22"/>
        <v/>
      </c>
      <c r="K70" s="56" t="str">
        <f t="shared" si="23"/>
        <v/>
      </c>
      <c r="L70" s="56" t="str">
        <f t="shared" si="24"/>
        <v/>
      </c>
      <c r="M70" s="56" t="str">
        <f t="shared" si="25"/>
        <v/>
      </c>
      <c r="N70" s="56" t="str">
        <f t="shared" si="26"/>
        <v/>
      </c>
      <c r="O70" s="57" t="str">
        <f t="shared" si="27"/>
        <v/>
      </c>
      <c r="P70" s="57" t="str">
        <f t="shared" si="28"/>
        <v/>
      </c>
      <c r="Q70" s="57" t="str">
        <f t="shared" si="29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30">IF(D71=0,"",LOG($K$15*10^D71+$K$16*10^E71+$K$14))</f>
        <v/>
      </c>
      <c r="J71" s="55" t="str">
        <f t="shared" ref="J71:J122" si="31">IF(D71=0,"",LOG($K$21*10^D71+$K$22*10^E71+$K$20))</f>
        <v/>
      </c>
      <c r="K71" s="56" t="str">
        <f t="shared" ref="K71:K122" si="32">IF(D71=0,"",1/(1+10^D71*$J$15/$J$14+10^E71*$J$16/$J$14+10^J71*$J$19/$J$14))</f>
        <v/>
      </c>
      <c r="L71" s="56" t="str">
        <f t="shared" ref="L71:L122" si="33">IF(D71=0,"",1/(1+10^I71/10^J71*$J$13/$J$19))</f>
        <v/>
      </c>
      <c r="M71" s="56" t="str">
        <f t="shared" si="16"/>
        <v/>
      </c>
      <c r="N71" s="56" t="str">
        <f t="shared" ref="N71:N122" si="34">IF(D71=0,"",1/(1/10^E71*$J$20/$J$22+10^D71/10^E71*$J$21/$J$22+10^I71/10^E71*$J$13/$J$22+1))</f>
        <v/>
      </c>
      <c r="O71" s="57" t="str">
        <f t="shared" si="18"/>
        <v/>
      </c>
      <c r="P71" s="57" t="str">
        <f t="shared" ref="P71:P122" si="35">IF(D71=0,"",O71*10^J71)</f>
        <v/>
      </c>
      <c r="Q71" s="57" t="str">
        <f t="shared" ref="Q71:Q122" si="36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7"/>
      <c r="B72" s="47"/>
      <c r="C72" s="47"/>
      <c r="D72" s="48"/>
      <c r="E72" s="48"/>
      <c r="F72" s="58"/>
      <c r="G72" s="173"/>
      <c r="H72" s="173"/>
      <c r="I72" s="55" t="str">
        <f t="shared" si="30"/>
        <v/>
      </c>
      <c r="J72" s="55" t="str">
        <f t="shared" si="31"/>
        <v/>
      </c>
      <c r="K72" s="56" t="str">
        <f t="shared" si="32"/>
        <v/>
      </c>
      <c r="L72" s="56" t="str">
        <f t="shared" si="33"/>
        <v/>
      </c>
      <c r="M72" s="56" t="str">
        <f t="shared" si="16"/>
        <v/>
      </c>
      <c r="N72" s="56" t="str">
        <f t="shared" si="34"/>
        <v/>
      </c>
      <c r="O72" s="57" t="str">
        <f t="shared" si="18"/>
        <v/>
      </c>
      <c r="P72" s="57" t="str">
        <f t="shared" si="35"/>
        <v/>
      </c>
      <c r="Q72" s="57" t="str">
        <f t="shared" si="36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7"/>
      <c r="B73" s="47"/>
      <c r="C73" s="47"/>
      <c r="D73" s="48"/>
      <c r="E73" s="48"/>
      <c r="F73" s="58"/>
      <c r="G73" s="173"/>
      <c r="H73" s="173"/>
      <c r="I73" s="55" t="str">
        <f t="shared" si="30"/>
        <v/>
      </c>
      <c r="J73" s="55" t="str">
        <f t="shared" si="31"/>
        <v/>
      </c>
      <c r="K73" s="56" t="str">
        <f t="shared" si="32"/>
        <v/>
      </c>
      <c r="L73" s="56" t="str">
        <f t="shared" si="33"/>
        <v/>
      </c>
      <c r="M73" s="56" t="str">
        <f t="shared" si="16"/>
        <v/>
      </c>
      <c r="N73" s="56" t="str">
        <f t="shared" si="34"/>
        <v/>
      </c>
      <c r="O73" s="57" t="str">
        <f t="shared" si="18"/>
        <v/>
      </c>
      <c r="P73" s="57" t="str">
        <f t="shared" si="35"/>
        <v/>
      </c>
      <c r="Q73" s="57" t="str">
        <f t="shared" si="36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7"/>
      <c r="B74" s="47"/>
      <c r="C74" s="47"/>
      <c r="D74" s="48"/>
      <c r="E74" s="48"/>
      <c r="F74" s="58"/>
      <c r="G74" s="173"/>
      <c r="H74" s="173"/>
      <c r="I74" s="55" t="str">
        <f t="shared" si="30"/>
        <v/>
      </c>
      <c r="J74" s="55" t="str">
        <f t="shared" si="31"/>
        <v/>
      </c>
      <c r="K74" s="56" t="str">
        <f t="shared" si="32"/>
        <v/>
      </c>
      <c r="L74" s="56" t="str">
        <f t="shared" si="33"/>
        <v/>
      </c>
      <c r="M74" s="56" t="str">
        <f t="shared" si="16"/>
        <v/>
      </c>
      <c r="N74" s="56" t="str">
        <f t="shared" si="34"/>
        <v/>
      </c>
      <c r="O74" s="57" t="str">
        <f t="shared" si="18"/>
        <v/>
      </c>
      <c r="P74" s="57" t="str">
        <f t="shared" si="35"/>
        <v/>
      </c>
      <c r="Q74" s="57" t="str">
        <f t="shared" si="36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7"/>
      <c r="B75" s="47"/>
      <c r="C75" s="47"/>
      <c r="D75" s="48"/>
      <c r="E75" s="48"/>
      <c r="F75" s="58"/>
      <c r="G75" s="173"/>
      <c r="H75" s="173"/>
      <c r="I75" s="55" t="str">
        <f t="shared" si="30"/>
        <v/>
      </c>
      <c r="J75" s="55" t="str">
        <f t="shared" si="31"/>
        <v/>
      </c>
      <c r="K75" s="56" t="str">
        <f t="shared" si="32"/>
        <v/>
      </c>
      <c r="L75" s="56" t="str">
        <f t="shared" si="33"/>
        <v/>
      </c>
      <c r="M75" s="56" t="str">
        <f t="shared" si="16"/>
        <v/>
      </c>
      <c r="N75" s="56" t="str">
        <f t="shared" si="34"/>
        <v/>
      </c>
      <c r="O75" s="57" t="str">
        <f t="shared" si="18"/>
        <v/>
      </c>
      <c r="P75" s="57" t="str">
        <f t="shared" si="35"/>
        <v/>
      </c>
      <c r="Q75" s="57" t="str">
        <f t="shared" si="36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7"/>
      <c r="B76" s="47"/>
      <c r="C76" s="47"/>
      <c r="D76" s="48"/>
      <c r="E76" s="48"/>
      <c r="F76" s="58"/>
      <c r="G76" s="173"/>
      <c r="H76" s="173"/>
      <c r="I76" s="55" t="str">
        <f t="shared" si="30"/>
        <v/>
      </c>
      <c r="J76" s="55" t="str">
        <f t="shared" si="31"/>
        <v/>
      </c>
      <c r="K76" s="56" t="str">
        <f t="shared" si="32"/>
        <v/>
      </c>
      <c r="L76" s="56" t="str">
        <f t="shared" si="33"/>
        <v/>
      </c>
      <c r="M76" s="56" t="str">
        <f t="shared" si="16"/>
        <v/>
      </c>
      <c r="N76" s="56" t="str">
        <f t="shared" si="34"/>
        <v/>
      </c>
      <c r="O76" s="57" t="str">
        <f t="shared" si="18"/>
        <v/>
      </c>
      <c r="P76" s="57" t="str">
        <f t="shared" si="35"/>
        <v/>
      </c>
      <c r="Q76" s="57" t="str">
        <f t="shared" si="36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7"/>
      <c r="B77" s="47"/>
      <c r="C77" s="47"/>
      <c r="D77" s="48"/>
      <c r="E77" s="48"/>
      <c r="F77" s="58"/>
      <c r="G77" s="173"/>
      <c r="H77" s="173"/>
      <c r="I77" s="55" t="str">
        <f t="shared" si="30"/>
        <v/>
      </c>
      <c r="J77" s="55" t="str">
        <f t="shared" si="31"/>
        <v/>
      </c>
      <c r="K77" s="56" t="str">
        <f t="shared" si="32"/>
        <v/>
      </c>
      <c r="L77" s="56" t="str">
        <f t="shared" si="33"/>
        <v/>
      </c>
      <c r="M77" s="56" t="str">
        <f t="shared" si="16"/>
        <v/>
      </c>
      <c r="N77" s="56" t="str">
        <f t="shared" si="34"/>
        <v/>
      </c>
      <c r="O77" s="57" t="str">
        <f t="shared" si="18"/>
        <v/>
      </c>
      <c r="P77" s="57" t="str">
        <f t="shared" si="35"/>
        <v/>
      </c>
      <c r="Q77" s="57" t="str">
        <f t="shared" si="36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7"/>
      <c r="B78" s="47"/>
      <c r="C78" s="47"/>
      <c r="D78" s="48"/>
      <c r="E78" s="48"/>
      <c r="F78" s="58"/>
      <c r="G78" s="7"/>
      <c r="H78" s="7"/>
      <c r="I78" s="55" t="str">
        <f t="shared" si="30"/>
        <v/>
      </c>
      <c r="J78" s="55" t="str">
        <f t="shared" si="31"/>
        <v/>
      </c>
      <c r="K78" s="56" t="str">
        <f t="shared" si="32"/>
        <v/>
      </c>
      <c r="L78" s="56" t="str">
        <f t="shared" si="33"/>
        <v/>
      </c>
      <c r="M78" s="56" t="str">
        <f t="shared" si="16"/>
        <v/>
      </c>
      <c r="N78" s="56" t="str">
        <f t="shared" si="34"/>
        <v/>
      </c>
      <c r="O78" s="57" t="str">
        <f t="shared" si="18"/>
        <v/>
      </c>
      <c r="P78" s="57" t="str">
        <f t="shared" si="35"/>
        <v/>
      </c>
      <c r="Q78" s="57" t="str">
        <f t="shared" si="36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7"/>
      <c r="B79" s="47"/>
      <c r="C79" s="47"/>
      <c r="D79" s="48"/>
      <c r="E79" s="48"/>
      <c r="F79" s="58"/>
      <c r="G79" s="7"/>
      <c r="H79" s="7"/>
      <c r="I79" s="55" t="str">
        <f t="shared" si="30"/>
        <v/>
      </c>
      <c r="J79" s="55" t="str">
        <f t="shared" si="31"/>
        <v/>
      </c>
      <c r="K79" s="56" t="str">
        <f t="shared" si="32"/>
        <v/>
      </c>
      <c r="L79" s="56" t="str">
        <f t="shared" si="33"/>
        <v/>
      </c>
      <c r="M79" s="56" t="str">
        <f t="shared" si="16"/>
        <v/>
      </c>
      <c r="N79" s="56" t="str">
        <f t="shared" si="34"/>
        <v/>
      </c>
      <c r="O79" s="57" t="str">
        <f t="shared" si="18"/>
        <v/>
      </c>
      <c r="P79" s="57" t="str">
        <f t="shared" si="35"/>
        <v/>
      </c>
      <c r="Q79" s="57" t="str">
        <f t="shared" si="36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7"/>
      <c r="B80" s="47"/>
      <c r="C80" s="47"/>
      <c r="D80" s="48"/>
      <c r="E80" s="48"/>
      <c r="F80" s="58"/>
      <c r="G80" s="7"/>
      <c r="H80" s="7"/>
      <c r="I80" s="55" t="str">
        <f t="shared" si="30"/>
        <v/>
      </c>
      <c r="J80" s="55" t="str">
        <f t="shared" si="31"/>
        <v/>
      </c>
      <c r="K80" s="56" t="str">
        <f t="shared" si="32"/>
        <v/>
      </c>
      <c r="L80" s="56" t="str">
        <f t="shared" si="33"/>
        <v/>
      </c>
      <c r="M80" s="56" t="str">
        <f t="shared" si="16"/>
        <v/>
      </c>
      <c r="N80" s="56" t="str">
        <f t="shared" si="34"/>
        <v/>
      </c>
      <c r="O80" s="57" t="str">
        <f t="shared" si="18"/>
        <v/>
      </c>
      <c r="P80" s="57" t="str">
        <f t="shared" si="35"/>
        <v/>
      </c>
      <c r="Q80" s="57" t="str">
        <f t="shared" si="36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7"/>
      <c r="B81" s="47"/>
      <c r="C81" s="47"/>
      <c r="D81" s="48"/>
      <c r="E81" s="48"/>
      <c r="F81" s="58"/>
      <c r="G81" s="7"/>
      <c r="H81" s="7"/>
      <c r="I81" s="55" t="str">
        <f t="shared" si="30"/>
        <v/>
      </c>
      <c r="J81" s="55" t="str">
        <f t="shared" si="31"/>
        <v/>
      </c>
      <c r="K81" s="56" t="str">
        <f t="shared" si="32"/>
        <v/>
      </c>
      <c r="L81" s="56" t="str">
        <f t="shared" si="33"/>
        <v/>
      </c>
      <c r="M81" s="56" t="str">
        <f t="shared" si="16"/>
        <v/>
      </c>
      <c r="N81" s="56" t="str">
        <f t="shared" si="34"/>
        <v/>
      </c>
      <c r="O81" s="57" t="str">
        <f t="shared" si="18"/>
        <v/>
      </c>
      <c r="P81" s="57" t="str">
        <f t="shared" si="35"/>
        <v/>
      </c>
      <c r="Q81" s="57" t="str">
        <f t="shared" si="36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7"/>
      <c r="B82" s="47"/>
      <c r="C82" s="47"/>
      <c r="D82" s="48"/>
      <c r="E82" s="48"/>
      <c r="F82" s="58"/>
      <c r="G82" s="7"/>
      <c r="H82" s="7"/>
      <c r="I82" s="55" t="str">
        <f t="shared" si="30"/>
        <v/>
      </c>
      <c r="J82" s="55" t="str">
        <f t="shared" si="31"/>
        <v/>
      </c>
      <c r="K82" s="56" t="str">
        <f t="shared" si="32"/>
        <v/>
      </c>
      <c r="L82" s="56" t="str">
        <f t="shared" si="33"/>
        <v/>
      </c>
      <c r="M82" s="56" t="str">
        <f t="shared" si="16"/>
        <v/>
      </c>
      <c r="N82" s="56" t="str">
        <f t="shared" si="34"/>
        <v/>
      </c>
      <c r="O82" s="57" t="str">
        <f t="shared" si="18"/>
        <v/>
      </c>
      <c r="P82" s="57" t="str">
        <f t="shared" si="35"/>
        <v/>
      </c>
      <c r="Q82" s="57" t="str">
        <f t="shared" si="36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7"/>
      <c r="B83" s="47"/>
      <c r="C83" s="47"/>
      <c r="D83" s="48"/>
      <c r="E83" s="48"/>
      <c r="F83" s="58"/>
      <c r="G83" s="7"/>
      <c r="H83" s="7"/>
      <c r="I83" s="55" t="str">
        <f t="shared" si="30"/>
        <v/>
      </c>
      <c r="J83" s="55" t="str">
        <f t="shared" si="31"/>
        <v/>
      </c>
      <c r="K83" s="56" t="str">
        <f t="shared" si="32"/>
        <v/>
      </c>
      <c r="L83" s="56" t="str">
        <f t="shared" si="33"/>
        <v/>
      </c>
      <c r="M83" s="56" t="str">
        <f t="shared" si="16"/>
        <v/>
      </c>
      <c r="N83" s="56" t="str">
        <f t="shared" si="34"/>
        <v/>
      </c>
      <c r="O83" s="57" t="str">
        <f t="shared" si="18"/>
        <v/>
      </c>
      <c r="P83" s="57" t="str">
        <f t="shared" si="35"/>
        <v/>
      </c>
      <c r="Q83" s="57" t="str">
        <f t="shared" si="36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7"/>
      <c r="B84" s="47"/>
      <c r="C84" s="47"/>
      <c r="D84" s="48"/>
      <c r="E84" s="48"/>
      <c r="F84" s="58"/>
      <c r="G84" s="7"/>
      <c r="H84" s="7"/>
      <c r="I84" s="55" t="str">
        <f t="shared" si="30"/>
        <v/>
      </c>
      <c r="J84" s="55" t="str">
        <f t="shared" si="31"/>
        <v/>
      </c>
      <c r="K84" s="56" t="str">
        <f t="shared" si="32"/>
        <v/>
      </c>
      <c r="L84" s="56" t="str">
        <f t="shared" si="33"/>
        <v/>
      </c>
      <c r="M84" s="56" t="str">
        <f t="shared" si="16"/>
        <v/>
      </c>
      <c r="N84" s="56" t="str">
        <f t="shared" si="34"/>
        <v/>
      </c>
      <c r="O84" s="57" t="str">
        <f t="shared" si="18"/>
        <v/>
      </c>
      <c r="P84" s="57" t="str">
        <f t="shared" si="35"/>
        <v/>
      </c>
      <c r="Q84" s="57" t="str">
        <f t="shared" si="36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7"/>
      <c r="B85" s="47"/>
      <c r="C85" s="47"/>
      <c r="D85" s="48"/>
      <c r="E85" s="48"/>
      <c r="F85" s="58"/>
      <c r="G85" s="7"/>
      <c r="H85" s="7"/>
      <c r="I85" s="55" t="str">
        <f t="shared" si="30"/>
        <v/>
      </c>
      <c r="J85" s="55" t="str">
        <f t="shared" si="31"/>
        <v/>
      </c>
      <c r="K85" s="56" t="str">
        <f t="shared" si="32"/>
        <v/>
      </c>
      <c r="L85" s="56" t="str">
        <f t="shared" si="33"/>
        <v/>
      </c>
      <c r="M85" s="56" t="str">
        <f t="shared" si="16"/>
        <v/>
      </c>
      <c r="N85" s="56" t="str">
        <f t="shared" si="34"/>
        <v/>
      </c>
      <c r="O85" s="57" t="str">
        <f t="shared" si="18"/>
        <v/>
      </c>
      <c r="P85" s="57" t="str">
        <f t="shared" si="35"/>
        <v/>
      </c>
      <c r="Q85" s="57" t="str">
        <f t="shared" si="36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7"/>
      <c r="B86" s="47"/>
      <c r="C86" s="47"/>
      <c r="D86" s="48"/>
      <c r="E86" s="48"/>
      <c r="F86" s="58"/>
      <c r="G86" s="7"/>
      <c r="H86" s="7"/>
      <c r="I86" s="55" t="str">
        <f t="shared" si="30"/>
        <v/>
      </c>
      <c r="J86" s="55" t="str">
        <f t="shared" si="31"/>
        <v/>
      </c>
      <c r="K86" s="56" t="str">
        <f t="shared" si="32"/>
        <v/>
      </c>
      <c r="L86" s="56" t="str">
        <f t="shared" si="33"/>
        <v/>
      </c>
      <c r="M86" s="56" t="str">
        <f t="shared" si="16"/>
        <v/>
      </c>
      <c r="N86" s="56" t="str">
        <f t="shared" si="34"/>
        <v/>
      </c>
      <c r="O86" s="57" t="str">
        <f t="shared" si="18"/>
        <v/>
      </c>
      <c r="P86" s="57" t="str">
        <f t="shared" si="35"/>
        <v/>
      </c>
      <c r="Q86" s="57" t="str">
        <f t="shared" si="36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7"/>
      <c r="B87" s="47"/>
      <c r="C87" s="47"/>
      <c r="D87" s="48"/>
      <c r="E87" s="48"/>
      <c r="F87" s="58"/>
      <c r="G87" s="7"/>
      <c r="H87" s="7"/>
      <c r="I87" s="55" t="str">
        <f t="shared" si="30"/>
        <v/>
      </c>
      <c r="J87" s="55" t="str">
        <f t="shared" si="31"/>
        <v/>
      </c>
      <c r="K87" s="56" t="str">
        <f t="shared" si="32"/>
        <v/>
      </c>
      <c r="L87" s="56" t="str">
        <f t="shared" si="33"/>
        <v/>
      </c>
      <c r="M87" s="56" t="str">
        <f t="shared" si="16"/>
        <v/>
      </c>
      <c r="N87" s="56" t="str">
        <f t="shared" si="34"/>
        <v/>
      </c>
      <c r="O87" s="57" t="str">
        <f t="shared" si="18"/>
        <v/>
      </c>
      <c r="P87" s="57" t="str">
        <f t="shared" si="35"/>
        <v/>
      </c>
      <c r="Q87" s="57" t="str">
        <f t="shared" si="36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7"/>
      <c r="B88" s="47"/>
      <c r="C88" s="47"/>
      <c r="D88" s="48"/>
      <c r="E88" s="48"/>
      <c r="F88" s="58"/>
      <c r="G88" s="7"/>
      <c r="H88" s="7"/>
      <c r="I88" s="55" t="str">
        <f t="shared" si="30"/>
        <v/>
      </c>
      <c r="J88" s="55" t="str">
        <f t="shared" si="31"/>
        <v/>
      </c>
      <c r="K88" s="56" t="str">
        <f t="shared" si="32"/>
        <v/>
      </c>
      <c r="L88" s="56" t="str">
        <f t="shared" si="33"/>
        <v/>
      </c>
      <c r="M88" s="56" t="str">
        <f t="shared" si="16"/>
        <v/>
      </c>
      <c r="N88" s="56" t="str">
        <f t="shared" si="34"/>
        <v/>
      </c>
      <c r="O88" s="57" t="str">
        <f t="shared" si="18"/>
        <v/>
      </c>
      <c r="P88" s="57" t="str">
        <f t="shared" si="35"/>
        <v/>
      </c>
      <c r="Q88" s="57" t="str">
        <f t="shared" si="36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7"/>
      <c r="B89" s="47"/>
      <c r="C89" s="47"/>
      <c r="D89" s="48"/>
      <c r="E89" s="48"/>
      <c r="F89" s="58"/>
      <c r="G89" s="7"/>
      <c r="H89" s="7"/>
      <c r="I89" s="55" t="str">
        <f t="shared" si="30"/>
        <v/>
      </c>
      <c r="J89" s="55" t="str">
        <f t="shared" si="31"/>
        <v/>
      </c>
      <c r="K89" s="56" t="str">
        <f t="shared" si="32"/>
        <v/>
      </c>
      <c r="L89" s="56" t="str">
        <f t="shared" si="33"/>
        <v/>
      </c>
      <c r="M89" s="56" t="str">
        <f t="shared" si="16"/>
        <v/>
      </c>
      <c r="N89" s="56" t="str">
        <f t="shared" si="34"/>
        <v/>
      </c>
      <c r="O89" s="57" t="str">
        <f t="shared" si="18"/>
        <v/>
      </c>
      <c r="P89" s="57" t="str">
        <f t="shared" si="35"/>
        <v/>
      </c>
      <c r="Q89" s="57" t="str">
        <f t="shared" si="36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7"/>
      <c r="B90" s="47"/>
      <c r="C90" s="47"/>
      <c r="D90" s="48"/>
      <c r="E90" s="48"/>
      <c r="F90" s="58"/>
      <c r="G90" s="7"/>
      <c r="H90" s="7"/>
      <c r="I90" s="55" t="str">
        <f t="shared" si="30"/>
        <v/>
      </c>
      <c r="J90" s="55" t="str">
        <f t="shared" si="31"/>
        <v/>
      </c>
      <c r="K90" s="56" t="str">
        <f t="shared" si="32"/>
        <v/>
      </c>
      <c r="L90" s="56" t="str">
        <f t="shared" si="33"/>
        <v/>
      </c>
      <c r="M90" s="56" t="str">
        <f t="shared" si="16"/>
        <v/>
      </c>
      <c r="N90" s="56" t="str">
        <f t="shared" si="34"/>
        <v/>
      </c>
      <c r="O90" s="57" t="str">
        <f t="shared" si="18"/>
        <v/>
      </c>
      <c r="P90" s="57" t="str">
        <f t="shared" si="35"/>
        <v/>
      </c>
      <c r="Q90" s="57" t="str">
        <f t="shared" si="36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7"/>
      <c r="B91" s="47"/>
      <c r="C91" s="47"/>
      <c r="D91" s="48"/>
      <c r="E91" s="48"/>
      <c r="F91" s="58"/>
      <c r="G91" s="7"/>
      <c r="H91" s="7"/>
      <c r="I91" s="55" t="str">
        <f t="shared" si="30"/>
        <v/>
      </c>
      <c r="J91" s="55" t="str">
        <f t="shared" si="31"/>
        <v/>
      </c>
      <c r="K91" s="56" t="str">
        <f t="shared" si="32"/>
        <v/>
      </c>
      <c r="L91" s="56" t="str">
        <f t="shared" si="33"/>
        <v/>
      </c>
      <c r="M91" s="56" t="str">
        <f t="shared" si="16"/>
        <v/>
      </c>
      <c r="N91" s="56" t="str">
        <f t="shared" si="34"/>
        <v/>
      </c>
      <c r="O91" s="57" t="str">
        <f t="shared" si="18"/>
        <v/>
      </c>
      <c r="P91" s="57" t="str">
        <f t="shared" si="35"/>
        <v/>
      </c>
      <c r="Q91" s="57" t="str">
        <f t="shared" si="36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7"/>
      <c r="B92" s="47"/>
      <c r="C92" s="47"/>
      <c r="D92" s="48"/>
      <c r="E92" s="48"/>
      <c r="F92" s="58"/>
      <c r="G92" s="7"/>
      <c r="H92" s="7"/>
      <c r="I92" s="55" t="str">
        <f t="shared" si="30"/>
        <v/>
      </c>
      <c r="J92" s="55" t="str">
        <f t="shared" si="31"/>
        <v/>
      </c>
      <c r="K92" s="56" t="str">
        <f t="shared" si="32"/>
        <v/>
      </c>
      <c r="L92" s="56" t="str">
        <f t="shared" si="33"/>
        <v/>
      </c>
      <c r="M92" s="56" t="str">
        <f t="shared" si="16"/>
        <v/>
      </c>
      <c r="N92" s="56" t="str">
        <f t="shared" si="34"/>
        <v/>
      </c>
      <c r="O92" s="57" t="str">
        <f t="shared" si="18"/>
        <v/>
      </c>
      <c r="P92" s="57" t="str">
        <f t="shared" si="35"/>
        <v/>
      </c>
      <c r="Q92" s="57" t="str">
        <f t="shared" si="36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7"/>
      <c r="B93" s="47"/>
      <c r="C93" s="47"/>
      <c r="D93" s="48"/>
      <c r="E93" s="48"/>
      <c r="F93" s="58"/>
      <c r="G93" s="7"/>
      <c r="H93" s="7"/>
      <c r="I93" s="55" t="str">
        <f t="shared" si="30"/>
        <v/>
      </c>
      <c r="J93" s="55" t="str">
        <f t="shared" si="31"/>
        <v/>
      </c>
      <c r="K93" s="56" t="str">
        <f t="shared" si="32"/>
        <v/>
      </c>
      <c r="L93" s="56" t="str">
        <f t="shared" si="33"/>
        <v/>
      </c>
      <c r="M93" s="56" t="str">
        <f t="shared" ref="M93:M127" si="37">IF(D93=0,"",1-L93)</f>
        <v/>
      </c>
      <c r="N93" s="56" t="str">
        <f t="shared" si="34"/>
        <v/>
      </c>
      <c r="O93" s="57" t="str">
        <f t="shared" ref="O93:O127" si="38">IF(D93=0,"",F93*K93*$J$7/$J$14)</f>
        <v/>
      </c>
      <c r="P93" s="57" t="str">
        <f t="shared" si="35"/>
        <v/>
      </c>
      <c r="Q93" s="57" t="str">
        <f t="shared" si="36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7"/>
      <c r="B94" s="47"/>
      <c r="C94" s="47"/>
      <c r="D94" s="48"/>
      <c r="E94" s="48"/>
      <c r="F94" s="58"/>
      <c r="G94" s="7"/>
      <c r="H94" s="7"/>
      <c r="I94" s="55" t="str">
        <f t="shared" si="30"/>
        <v/>
      </c>
      <c r="J94" s="55" t="str">
        <f t="shared" si="31"/>
        <v/>
      </c>
      <c r="K94" s="56" t="str">
        <f t="shared" si="32"/>
        <v/>
      </c>
      <c r="L94" s="56" t="str">
        <f t="shared" si="33"/>
        <v/>
      </c>
      <c r="M94" s="56" t="str">
        <f t="shared" si="37"/>
        <v/>
      </c>
      <c r="N94" s="56" t="str">
        <f t="shared" si="34"/>
        <v/>
      </c>
      <c r="O94" s="57" t="str">
        <f t="shared" si="38"/>
        <v/>
      </c>
      <c r="P94" s="57" t="str">
        <f t="shared" si="35"/>
        <v/>
      </c>
      <c r="Q94" s="57" t="str">
        <f t="shared" si="36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7"/>
      <c r="B95" s="47"/>
      <c r="C95" s="47"/>
      <c r="D95" s="48"/>
      <c r="E95" s="48"/>
      <c r="F95" s="58"/>
      <c r="G95" s="7"/>
      <c r="H95" s="7"/>
      <c r="I95" s="55" t="str">
        <f t="shared" si="30"/>
        <v/>
      </c>
      <c r="J95" s="55" t="str">
        <f t="shared" si="31"/>
        <v/>
      </c>
      <c r="K95" s="56" t="str">
        <f t="shared" si="32"/>
        <v/>
      </c>
      <c r="L95" s="56" t="str">
        <f t="shared" si="33"/>
        <v/>
      </c>
      <c r="M95" s="56" t="str">
        <f t="shared" si="37"/>
        <v/>
      </c>
      <c r="N95" s="56" t="str">
        <f t="shared" si="34"/>
        <v/>
      </c>
      <c r="O95" s="57" t="str">
        <f t="shared" si="38"/>
        <v/>
      </c>
      <c r="P95" s="57" t="str">
        <f t="shared" si="35"/>
        <v/>
      </c>
      <c r="Q95" s="57" t="str">
        <f t="shared" si="36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7"/>
      <c r="B96" s="47"/>
      <c r="C96" s="47"/>
      <c r="D96" s="48"/>
      <c r="E96" s="48"/>
      <c r="F96" s="58"/>
      <c r="G96" s="7"/>
      <c r="H96" s="7"/>
      <c r="I96" s="55" t="str">
        <f t="shared" si="30"/>
        <v/>
      </c>
      <c r="J96" s="55" t="str">
        <f t="shared" si="31"/>
        <v/>
      </c>
      <c r="K96" s="56" t="str">
        <f t="shared" si="32"/>
        <v/>
      </c>
      <c r="L96" s="56" t="str">
        <f t="shared" si="33"/>
        <v/>
      </c>
      <c r="M96" s="56" t="str">
        <f t="shared" si="37"/>
        <v/>
      </c>
      <c r="N96" s="56" t="str">
        <f t="shared" si="34"/>
        <v/>
      </c>
      <c r="O96" s="57" t="str">
        <f t="shared" si="38"/>
        <v/>
      </c>
      <c r="P96" s="57" t="str">
        <f t="shared" si="35"/>
        <v/>
      </c>
      <c r="Q96" s="57" t="str">
        <f t="shared" si="36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7"/>
      <c r="B97" s="47"/>
      <c r="C97" s="47"/>
      <c r="D97" s="48"/>
      <c r="E97" s="48"/>
      <c r="F97" s="58"/>
      <c r="G97" s="7"/>
      <c r="H97" s="7"/>
      <c r="I97" s="55" t="str">
        <f t="shared" si="30"/>
        <v/>
      </c>
      <c r="J97" s="55" t="str">
        <f t="shared" si="31"/>
        <v/>
      </c>
      <c r="K97" s="56" t="str">
        <f t="shared" si="32"/>
        <v/>
      </c>
      <c r="L97" s="56" t="str">
        <f t="shared" si="33"/>
        <v/>
      </c>
      <c r="M97" s="56" t="str">
        <f t="shared" si="37"/>
        <v/>
      </c>
      <c r="N97" s="56" t="str">
        <f t="shared" si="34"/>
        <v/>
      </c>
      <c r="O97" s="57" t="str">
        <f t="shared" si="38"/>
        <v/>
      </c>
      <c r="P97" s="57" t="str">
        <f t="shared" si="35"/>
        <v/>
      </c>
      <c r="Q97" s="57" t="str">
        <f t="shared" si="36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7"/>
      <c r="B98" s="47"/>
      <c r="C98" s="47"/>
      <c r="D98" s="48"/>
      <c r="E98" s="48"/>
      <c r="F98" s="58"/>
      <c r="G98" s="7"/>
      <c r="H98" s="7"/>
      <c r="I98" s="55" t="str">
        <f t="shared" si="30"/>
        <v/>
      </c>
      <c r="J98" s="55" t="str">
        <f t="shared" si="31"/>
        <v/>
      </c>
      <c r="K98" s="56" t="str">
        <f t="shared" si="32"/>
        <v/>
      </c>
      <c r="L98" s="56" t="str">
        <f t="shared" si="33"/>
        <v/>
      </c>
      <c r="M98" s="56" t="str">
        <f t="shared" si="37"/>
        <v/>
      </c>
      <c r="N98" s="56" t="str">
        <f t="shared" si="34"/>
        <v/>
      </c>
      <c r="O98" s="57" t="str">
        <f t="shared" si="38"/>
        <v/>
      </c>
      <c r="P98" s="57" t="str">
        <f t="shared" si="35"/>
        <v/>
      </c>
      <c r="Q98" s="57" t="str">
        <f t="shared" si="36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7"/>
      <c r="B99" s="47"/>
      <c r="C99" s="47"/>
      <c r="D99" s="48"/>
      <c r="E99" s="48"/>
      <c r="F99" s="58"/>
      <c r="G99" s="7"/>
      <c r="H99" s="7"/>
      <c r="I99" s="55" t="str">
        <f t="shared" si="30"/>
        <v/>
      </c>
      <c r="J99" s="55" t="str">
        <f t="shared" si="31"/>
        <v/>
      </c>
      <c r="K99" s="56" t="str">
        <f t="shared" si="32"/>
        <v/>
      </c>
      <c r="L99" s="56" t="str">
        <f t="shared" si="33"/>
        <v/>
      </c>
      <c r="M99" s="56" t="str">
        <f t="shared" si="37"/>
        <v/>
      </c>
      <c r="N99" s="56" t="str">
        <f t="shared" si="34"/>
        <v/>
      </c>
      <c r="O99" s="57" t="str">
        <f t="shared" si="38"/>
        <v/>
      </c>
      <c r="P99" s="57" t="str">
        <f t="shared" si="35"/>
        <v/>
      </c>
      <c r="Q99" s="57" t="str">
        <f t="shared" si="36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7"/>
      <c r="B100" s="47"/>
      <c r="C100" s="47"/>
      <c r="D100" s="48"/>
      <c r="E100" s="48"/>
      <c r="F100" s="58"/>
      <c r="G100" s="7"/>
      <c r="H100" s="7"/>
      <c r="I100" s="55" t="str">
        <f t="shared" si="30"/>
        <v/>
      </c>
      <c r="J100" s="55" t="str">
        <f t="shared" si="31"/>
        <v/>
      </c>
      <c r="K100" s="56" t="str">
        <f t="shared" si="32"/>
        <v/>
      </c>
      <c r="L100" s="56" t="str">
        <f t="shared" si="33"/>
        <v/>
      </c>
      <c r="M100" s="56" t="str">
        <f t="shared" si="37"/>
        <v/>
      </c>
      <c r="N100" s="56" t="str">
        <f t="shared" si="34"/>
        <v/>
      </c>
      <c r="O100" s="57" t="str">
        <f t="shared" si="38"/>
        <v/>
      </c>
      <c r="P100" s="57" t="str">
        <f t="shared" si="35"/>
        <v/>
      </c>
      <c r="Q100" s="57" t="str">
        <f t="shared" si="36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7"/>
      <c r="B101" s="47"/>
      <c r="C101" s="47"/>
      <c r="D101" s="48"/>
      <c r="E101" s="48"/>
      <c r="F101" s="58"/>
      <c r="G101" s="7"/>
      <c r="H101" s="7"/>
      <c r="I101" s="55" t="str">
        <f t="shared" si="30"/>
        <v/>
      </c>
      <c r="J101" s="55" t="str">
        <f t="shared" si="31"/>
        <v/>
      </c>
      <c r="K101" s="56" t="str">
        <f t="shared" si="32"/>
        <v/>
      </c>
      <c r="L101" s="56" t="str">
        <f t="shared" si="33"/>
        <v/>
      </c>
      <c r="M101" s="56" t="str">
        <f t="shared" si="37"/>
        <v/>
      </c>
      <c r="N101" s="56" t="str">
        <f t="shared" si="34"/>
        <v/>
      </c>
      <c r="O101" s="57" t="str">
        <f t="shared" si="38"/>
        <v/>
      </c>
      <c r="P101" s="57" t="str">
        <f t="shared" si="35"/>
        <v/>
      </c>
      <c r="Q101" s="57" t="str">
        <f t="shared" si="36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7"/>
      <c r="B102" s="47"/>
      <c r="C102" s="47"/>
      <c r="D102" s="48"/>
      <c r="E102" s="48"/>
      <c r="F102" s="58"/>
      <c r="G102" s="7"/>
      <c r="H102" s="7"/>
      <c r="I102" s="55" t="str">
        <f t="shared" si="30"/>
        <v/>
      </c>
      <c r="J102" s="55" t="str">
        <f t="shared" si="31"/>
        <v/>
      </c>
      <c r="K102" s="56" t="str">
        <f t="shared" si="32"/>
        <v/>
      </c>
      <c r="L102" s="56" t="str">
        <f t="shared" si="33"/>
        <v/>
      </c>
      <c r="M102" s="56" t="str">
        <f t="shared" si="37"/>
        <v/>
      </c>
      <c r="N102" s="56" t="str">
        <f t="shared" si="34"/>
        <v/>
      </c>
      <c r="O102" s="57" t="str">
        <f t="shared" si="38"/>
        <v/>
      </c>
      <c r="P102" s="57" t="str">
        <f t="shared" si="35"/>
        <v/>
      </c>
      <c r="Q102" s="57" t="str">
        <f t="shared" si="36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7"/>
      <c r="B103" s="47"/>
      <c r="C103" s="47"/>
      <c r="D103" s="48"/>
      <c r="E103" s="48"/>
      <c r="F103" s="58"/>
      <c r="G103" s="7"/>
      <c r="H103" s="7"/>
      <c r="I103" s="55" t="str">
        <f t="shared" si="30"/>
        <v/>
      </c>
      <c r="J103" s="55" t="str">
        <f t="shared" si="31"/>
        <v/>
      </c>
      <c r="K103" s="56" t="str">
        <f t="shared" si="32"/>
        <v/>
      </c>
      <c r="L103" s="56" t="str">
        <f t="shared" si="33"/>
        <v/>
      </c>
      <c r="M103" s="56" t="str">
        <f t="shared" si="37"/>
        <v/>
      </c>
      <c r="N103" s="56" t="str">
        <f t="shared" si="34"/>
        <v/>
      </c>
      <c r="O103" s="57" t="str">
        <f t="shared" si="38"/>
        <v/>
      </c>
      <c r="P103" s="57" t="str">
        <f t="shared" si="35"/>
        <v/>
      </c>
      <c r="Q103" s="57" t="str">
        <f t="shared" si="36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7"/>
      <c r="B104" s="47"/>
      <c r="C104" s="47"/>
      <c r="D104" s="48"/>
      <c r="E104" s="48"/>
      <c r="F104" s="58"/>
      <c r="G104" s="7"/>
      <c r="H104" s="7"/>
      <c r="I104" s="55" t="str">
        <f t="shared" si="30"/>
        <v/>
      </c>
      <c r="J104" s="55" t="str">
        <f t="shared" si="31"/>
        <v/>
      </c>
      <c r="K104" s="56" t="str">
        <f t="shared" si="32"/>
        <v/>
      </c>
      <c r="L104" s="56" t="str">
        <f t="shared" si="33"/>
        <v/>
      </c>
      <c r="M104" s="56" t="str">
        <f t="shared" si="37"/>
        <v/>
      </c>
      <c r="N104" s="56" t="str">
        <f t="shared" si="34"/>
        <v/>
      </c>
      <c r="O104" s="57" t="str">
        <f t="shared" si="38"/>
        <v/>
      </c>
      <c r="P104" s="57" t="str">
        <f t="shared" si="35"/>
        <v/>
      </c>
      <c r="Q104" s="57" t="str">
        <f t="shared" si="36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7"/>
      <c r="B105" s="47"/>
      <c r="C105" s="47"/>
      <c r="D105" s="48"/>
      <c r="E105" s="48"/>
      <c r="F105" s="58"/>
      <c r="G105" s="7"/>
      <c r="H105" s="7"/>
      <c r="I105" s="55" t="str">
        <f t="shared" si="30"/>
        <v/>
      </c>
      <c r="J105" s="55" t="str">
        <f t="shared" si="31"/>
        <v/>
      </c>
      <c r="K105" s="56" t="str">
        <f t="shared" si="32"/>
        <v/>
      </c>
      <c r="L105" s="56" t="str">
        <f t="shared" si="33"/>
        <v/>
      </c>
      <c r="M105" s="56" t="str">
        <f t="shared" si="37"/>
        <v/>
      </c>
      <c r="N105" s="56" t="str">
        <f t="shared" si="34"/>
        <v/>
      </c>
      <c r="O105" s="57" t="str">
        <f t="shared" si="38"/>
        <v/>
      </c>
      <c r="P105" s="57" t="str">
        <f t="shared" si="35"/>
        <v/>
      </c>
      <c r="Q105" s="57" t="str">
        <f t="shared" si="36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7"/>
      <c r="B106" s="47"/>
      <c r="C106" s="47"/>
      <c r="D106" s="48"/>
      <c r="E106" s="48"/>
      <c r="F106" s="58"/>
      <c r="G106" s="7"/>
      <c r="H106" s="7"/>
      <c r="I106" s="55" t="str">
        <f t="shared" si="30"/>
        <v/>
      </c>
      <c r="J106" s="55" t="str">
        <f t="shared" si="31"/>
        <v/>
      </c>
      <c r="K106" s="56" t="str">
        <f t="shared" si="32"/>
        <v/>
      </c>
      <c r="L106" s="56" t="str">
        <f t="shared" si="33"/>
        <v/>
      </c>
      <c r="M106" s="56" t="str">
        <f t="shared" si="37"/>
        <v/>
      </c>
      <c r="N106" s="56" t="str">
        <f t="shared" si="34"/>
        <v/>
      </c>
      <c r="O106" s="57" t="str">
        <f t="shared" si="38"/>
        <v/>
      </c>
      <c r="P106" s="57" t="str">
        <f t="shared" si="35"/>
        <v/>
      </c>
      <c r="Q106" s="57" t="str">
        <f t="shared" si="36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7"/>
      <c r="B107" s="47"/>
      <c r="C107" s="47"/>
      <c r="D107" s="48"/>
      <c r="E107" s="48"/>
      <c r="F107" s="58"/>
      <c r="G107" s="7"/>
      <c r="H107" s="7"/>
      <c r="I107" s="55" t="str">
        <f t="shared" si="30"/>
        <v/>
      </c>
      <c r="J107" s="55" t="str">
        <f t="shared" si="31"/>
        <v/>
      </c>
      <c r="K107" s="56" t="str">
        <f t="shared" si="32"/>
        <v/>
      </c>
      <c r="L107" s="56" t="str">
        <f t="shared" si="33"/>
        <v/>
      </c>
      <c r="M107" s="56" t="str">
        <f t="shared" si="37"/>
        <v/>
      </c>
      <c r="N107" s="56" t="str">
        <f t="shared" si="34"/>
        <v/>
      </c>
      <c r="O107" s="57" t="str">
        <f t="shared" si="38"/>
        <v/>
      </c>
      <c r="P107" s="57" t="str">
        <f t="shared" si="35"/>
        <v/>
      </c>
      <c r="Q107" s="57" t="str">
        <f t="shared" si="36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7"/>
      <c r="B108" s="47"/>
      <c r="C108" s="47"/>
      <c r="D108" s="48"/>
      <c r="E108" s="48"/>
      <c r="F108" s="58"/>
      <c r="G108" s="7"/>
      <c r="H108" s="7"/>
      <c r="I108" s="55" t="str">
        <f t="shared" si="30"/>
        <v/>
      </c>
      <c r="J108" s="55" t="str">
        <f t="shared" si="31"/>
        <v/>
      </c>
      <c r="K108" s="56" t="str">
        <f t="shared" si="32"/>
        <v/>
      </c>
      <c r="L108" s="56" t="str">
        <f t="shared" si="33"/>
        <v/>
      </c>
      <c r="M108" s="56" t="str">
        <f t="shared" si="37"/>
        <v/>
      </c>
      <c r="N108" s="56" t="str">
        <f t="shared" si="34"/>
        <v/>
      </c>
      <c r="O108" s="57" t="str">
        <f t="shared" si="38"/>
        <v/>
      </c>
      <c r="P108" s="57" t="str">
        <f t="shared" si="35"/>
        <v/>
      </c>
      <c r="Q108" s="57" t="str">
        <f t="shared" si="36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7"/>
      <c r="B109" s="47"/>
      <c r="C109" s="47"/>
      <c r="D109" s="48"/>
      <c r="E109" s="48"/>
      <c r="F109" s="58"/>
      <c r="G109" s="7"/>
      <c r="H109" s="7"/>
      <c r="I109" s="55" t="str">
        <f t="shared" si="30"/>
        <v/>
      </c>
      <c r="J109" s="55" t="str">
        <f t="shared" si="31"/>
        <v/>
      </c>
      <c r="K109" s="56" t="str">
        <f t="shared" si="32"/>
        <v/>
      </c>
      <c r="L109" s="56" t="str">
        <f t="shared" si="33"/>
        <v/>
      </c>
      <c r="M109" s="56" t="str">
        <f t="shared" si="37"/>
        <v/>
      </c>
      <c r="N109" s="56" t="str">
        <f t="shared" si="34"/>
        <v/>
      </c>
      <c r="O109" s="57" t="str">
        <f t="shared" si="38"/>
        <v/>
      </c>
      <c r="P109" s="57" t="str">
        <f t="shared" si="35"/>
        <v/>
      </c>
      <c r="Q109" s="57" t="str">
        <f t="shared" si="36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7"/>
      <c r="B110" s="47"/>
      <c r="C110" s="47"/>
      <c r="D110" s="48"/>
      <c r="E110" s="48"/>
      <c r="F110" s="58"/>
      <c r="G110" s="7"/>
      <c r="H110" s="7"/>
      <c r="I110" s="55" t="str">
        <f t="shared" si="30"/>
        <v/>
      </c>
      <c r="J110" s="55" t="str">
        <f t="shared" si="31"/>
        <v/>
      </c>
      <c r="K110" s="56" t="str">
        <f t="shared" si="32"/>
        <v/>
      </c>
      <c r="L110" s="56" t="str">
        <f t="shared" si="33"/>
        <v/>
      </c>
      <c r="M110" s="56" t="str">
        <f t="shared" si="37"/>
        <v/>
      </c>
      <c r="N110" s="56" t="str">
        <f t="shared" si="34"/>
        <v/>
      </c>
      <c r="O110" s="57" t="str">
        <f t="shared" si="38"/>
        <v/>
      </c>
      <c r="P110" s="57" t="str">
        <f t="shared" si="35"/>
        <v/>
      </c>
      <c r="Q110" s="57" t="str">
        <f t="shared" si="36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7"/>
      <c r="B111" s="47"/>
      <c r="C111" s="47"/>
      <c r="D111" s="48"/>
      <c r="E111" s="48"/>
      <c r="F111" s="58"/>
      <c r="G111" s="7"/>
      <c r="H111" s="7"/>
      <c r="I111" s="55" t="str">
        <f t="shared" si="30"/>
        <v/>
      </c>
      <c r="J111" s="55" t="str">
        <f t="shared" si="31"/>
        <v/>
      </c>
      <c r="K111" s="56" t="str">
        <f t="shared" si="32"/>
        <v/>
      </c>
      <c r="L111" s="56" t="str">
        <f t="shared" si="33"/>
        <v/>
      </c>
      <c r="M111" s="56" t="str">
        <f t="shared" si="37"/>
        <v/>
      </c>
      <c r="N111" s="56" t="str">
        <f t="shared" si="34"/>
        <v/>
      </c>
      <c r="O111" s="57" t="str">
        <f t="shared" si="38"/>
        <v/>
      </c>
      <c r="P111" s="57" t="str">
        <f t="shared" si="35"/>
        <v/>
      </c>
      <c r="Q111" s="57" t="str">
        <f t="shared" si="36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7"/>
      <c r="B112" s="47"/>
      <c r="C112" s="47"/>
      <c r="D112" s="48"/>
      <c r="E112" s="48"/>
      <c r="F112" s="58"/>
      <c r="G112" s="7"/>
      <c r="H112" s="7"/>
      <c r="I112" s="55" t="str">
        <f t="shared" si="30"/>
        <v/>
      </c>
      <c r="J112" s="55" t="str">
        <f t="shared" si="31"/>
        <v/>
      </c>
      <c r="K112" s="56" t="str">
        <f t="shared" si="32"/>
        <v/>
      </c>
      <c r="L112" s="56" t="str">
        <f t="shared" si="33"/>
        <v/>
      </c>
      <c r="M112" s="56" t="str">
        <f t="shared" si="37"/>
        <v/>
      </c>
      <c r="N112" s="56" t="str">
        <f t="shared" si="34"/>
        <v/>
      </c>
      <c r="O112" s="57" t="str">
        <f t="shared" si="38"/>
        <v/>
      </c>
      <c r="P112" s="57" t="str">
        <f t="shared" si="35"/>
        <v/>
      </c>
      <c r="Q112" s="57" t="str">
        <f t="shared" si="36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7"/>
      <c r="B113" s="47"/>
      <c r="C113" s="47"/>
      <c r="D113" s="48"/>
      <c r="E113" s="48"/>
      <c r="F113" s="58"/>
      <c r="G113" s="7"/>
      <c r="H113" s="7"/>
      <c r="I113" s="55" t="str">
        <f t="shared" si="30"/>
        <v/>
      </c>
      <c r="J113" s="55" t="str">
        <f t="shared" si="31"/>
        <v/>
      </c>
      <c r="K113" s="56" t="str">
        <f t="shared" si="32"/>
        <v/>
      </c>
      <c r="L113" s="56" t="str">
        <f t="shared" si="33"/>
        <v/>
      </c>
      <c r="M113" s="56" t="str">
        <f t="shared" si="37"/>
        <v/>
      </c>
      <c r="N113" s="56" t="str">
        <f t="shared" si="34"/>
        <v/>
      </c>
      <c r="O113" s="57" t="str">
        <f t="shared" si="38"/>
        <v/>
      </c>
      <c r="P113" s="57" t="str">
        <f t="shared" si="35"/>
        <v/>
      </c>
      <c r="Q113" s="57" t="str">
        <f t="shared" si="36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7"/>
      <c r="B114" s="47"/>
      <c r="C114" s="47"/>
      <c r="D114" s="48"/>
      <c r="E114" s="48"/>
      <c r="F114" s="58"/>
      <c r="G114" s="7"/>
      <c r="H114" s="7"/>
      <c r="I114" s="55" t="str">
        <f t="shared" si="30"/>
        <v/>
      </c>
      <c r="J114" s="55" t="str">
        <f t="shared" si="31"/>
        <v/>
      </c>
      <c r="K114" s="56" t="str">
        <f t="shared" si="32"/>
        <v/>
      </c>
      <c r="L114" s="56" t="str">
        <f t="shared" si="33"/>
        <v/>
      </c>
      <c r="M114" s="56" t="str">
        <f t="shared" si="37"/>
        <v/>
      </c>
      <c r="N114" s="56" t="str">
        <f t="shared" si="34"/>
        <v/>
      </c>
      <c r="O114" s="57" t="str">
        <f t="shared" si="38"/>
        <v/>
      </c>
      <c r="P114" s="57" t="str">
        <f t="shared" si="35"/>
        <v/>
      </c>
      <c r="Q114" s="57" t="str">
        <f t="shared" si="36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7"/>
      <c r="B115" s="47"/>
      <c r="C115" s="47"/>
      <c r="D115" s="48"/>
      <c r="E115" s="48"/>
      <c r="F115" s="58"/>
      <c r="G115" s="7"/>
      <c r="H115" s="7"/>
      <c r="I115" s="55" t="str">
        <f t="shared" si="30"/>
        <v/>
      </c>
      <c r="J115" s="55" t="str">
        <f t="shared" si="31"/>
        <v/>
      </c>
      <c r="K115" s="56" t="str">
        <f t="shared" si="32"/>
        <v/>
      </c>
      <c r="L115" s="56" t="str">
        <f t="shared" si="33"/>
        <v/>
      </c>
      <c r="M115" s="56" t="str">
        <f t="shared" si="37"/>
        <v/>
      </c>
      <c r="N115" s="56" t="str">
        <f t="shared" si="34"/>
        <v/>
      </c>
      <c r="O115" s="57" t="str">
        <f t="shared" si="38"/>
        <v/>
      </c>
      <c r="P115" s="57" t="str">
        <f t="shared" si="35"/>
        <v/>
      </c>
      <c r="Q115" s="57" t="str">
        <f t="shared" si="36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7"/>
      <c r="B116" s="47"/>
      <c r="C116" s="47"/>
      <c r="D116" s="48"/>
      <c r="E116" s="48"/>
      <c r="F116" s="58"/>
      <c r="G116" s="7"/>
      <c r="H116" s="7"/>
      <c r="I116" s="55" t="str">
        <f t="shared" si="30"/>
        <v/>
      </c>
      <c r="J116" s="55" t="str">
        <f t="shared" si="31"/>
        <v/>
      </c>
      <c r="K116" s="56" t="str">
        <f t="shared" si="32"/>
        <v/>
      </c>
      <c r="L116" s="56" t="str">
        <f t="shared" si="33"/>
        <v/>
      </c>
      <c r="M116" s="56" t="str">
        <f t="shared" si="37"/>
        <v/>
      </c>
      <c r="N116" s="56" t="str">
        <f t="shared" si="34"/>
        <v/>
      </c>
      <c r="O116" s="57" t="str">
        <f t="shared" si="38"/>
        <v/>
      </c>
      <c r="P116" s="57" t="str">
        <f t="shared" si="35"/>
        <v/>
      </c>
      <c r="Q116" s="57" t="str">
        <f t="shared" si="36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7"/>
      <c r="B117" s="47"/>
      <c r="C117" s="47"/>
      <c r="D117" s="48"/>
      <c r="E117" s="48"/>
      <c r="F117" s="58"/>
      <c r="G117" s="7"/>
      <c r="H117" s="7"/>
      <c r="I117" s="55" t="str">
        <f t="shared" si="30"/>
        <v/>
      </c>
      <c r="J117" s="55" t="str">
        <f t="shared" si="31"/>
        <v/>
      </c>
      <c r="K117" s="56" t="str">
        <f t="shared" si="32"/>
        <v/>
      </c>
      <c r="L117" s="56" t="str">
        <f t="shared" si="33"/>
        <v/>
      </c>
      <c r="M117" s="56" t="str">
        <f t="shared" si="37"/>
        <v/>
      </c>
      <c r="N117" s="56" t="str">
        <f t="shared" si="34"/>
        <v/>
      </c>
      <c r="O117" s="57" t="str">
        <f t="shared" si="38"/>
        <v/>
      </c>
      <c r="P117" s="57" t="str">
        <f t="shared" si="35"/>
        <v/>
      </c>
      <c r="Q117" s="57" t="str">
        <f t="shared" si="36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7"/>
      <c r="B118" s="47"/>
      <c r="C118" s="47"/>
      <c r="D118" s="48"/>
      <c r="E118" s="48"/>
      <c r="F118" s="58"/>
      <c r="G118" s="7"/>
      <c r="H118" s="7"/>
      <c r="I118" s="55" t="str">
        <f t="shared" si="30"/>
        <v/>
      </c>
      <c r="J118" s="55" t="str">
        <f t="shared" si="31"/>
        <v/>
      </c>
      <c r="K118" s="56" t="str">
        <f t="shared" si="32"/>
        <v/>
      </c>
      <c r="L118" s="56" t="str">
        <f t="shared" si="33"/>
        <v/>
      </c>
      <c r="M118" s="56" t="str">
        <f t="shared" si="37"/>
        <v/>
      </c>
      <c r="N118" s="56" t="str">
        <f t="shared" si="34"/>
        <v/>
      </c>
      <c r="O118" s="57" t="str">
        <f t="shared" si="38"/>
        <v/>
      </c>
      <c r="P118" s="57" t="str">
        <f t="shared" si="35"/>
        <v/>
      </c>
      <c r="Q118" s="57" t="str">
        <f t="shared" si="36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7"/>
      <c r="B119" s="47"/>
      <c r="C119" s="47"/>
      <c r="D119" s="48"/>
      <c r="E119" s="48"/>
      <c r="F119" s="58"/>
      <c r="G119" s="7"/>
      <c r="H119" s="7"/>
      <c r="I119" s="55" t="str">
        <f t="shared" si="30"/>
        <v/>
      </c>
      <c r="J119" s="55" t="str">
        <f t="shared" si="31"/>
        <v/>
      </c>
      <c r="K119" s="56" t="str">
        <f t="shared" si="32"/>
        <v/>
      </c>
      <c r="L119" s="56" t="str">
        <f t="shared" si="33"/>
        <v/>
      </c>
      <c r="M119" s="56" t="str">
        <f t="shared" si="37"/>
        <v/>
      </c>
      <c r="N119" s="56" t="str">
        <f t="shared" si="34"/>
        <v/>
      </c>
      <c r="O119" s="57" t="str">
        <f t="shared" si="38"/>
        <v/>
      </c>
      <c r="P119" s="57" t="str">
        <f t="shared" si="35"/>
        <v/>
      </c>
      <c r="Q119" s="57" t="str">
        <f t="shared" si="36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7"/>
      <c r="B120" s="47"/>
      <c r="C120" s="47"/>
      <c r="D120" s="48"/>
      <c r="E120" s="48"/>
      <c r="F120" s="58"/>
      <c r="G120" s="7"/>
      <c r="H120" s="7"/>
      <c r="I120" s="55" t="str">
        <f t="shared" si="30"/>
        <v/>
      </c>
      <c r="J120" s="55" t="str">
        <f t="shared" si="31"/>
        <v/>
      </c>
      <c r="K120" s="56" t="str">
        <f t="shared" si="32"/>
        <v/>
      </c>
      <c r="L120" s="56" t="str">
        <f t="shared" si="33"/>
        <v/>
      </c>
      <c r="M120" s="56" t="str">
        <f t="shared" si="37"/>
        <v/>
      </c>
      <c r="N120" s="56" t="str">
        <f t="shared" si="34"/>
        <v/>
      </c>
      <c r="O120" s="57" t="str">
        <f t="shared" si="38"/>
        <v/>
      </c>
      <c r="P120" s="57" t="str">
        <f t="shared" si="35"/>
        <v/>
      </c>
      <c r="Q120" s="57" t="str">
        <f t="shared" si="36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7"/>
      <c r="B121" s="47"/>
      <c r="C121" s="47"/>
      <c r="D121" s="48"/>
      <c r="E121" s="48"/>
      <c r="F121" s="58"/>
      <c r="G121" s="7"/>
      <c r="H121" s="7"/>
      <c r="I121" s="55" t="str">
        <f t="shared" si="30"/>
        <v/>
      </c>
      <c r="J121" s="55" t="str">
        <f t="shared" si="31"/>
        <v/>
      </c>
      <c r="K121" s="56" t="str">
        <f t="shared" si="32"/>
        <v/>
      </c>
      <c r="L121" s="56" t="str">
        <f t="shared" si="33"/>
        <v/>
      </c>
      <c r="M121" s="56" t="str">
        <f t="shared" si="37"/>
        <v/>
      </c>
      <c r="N121" s="56" t="str">
        <f t="shared" si="34"/>
        <v/>
      </c>
      <c r="O121" s="57" t="str">
        <f t="shared" si="38"/>
        <v/>
      </c>
      <c r="P121" s="57" t="str">
        <f t="shared" si="35"/>
        <v/>
      </c>
      <c r="Q121" s="57" t="str">
        <f t="shared" si="36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7"/>
      <c r="B122" s="47"/>
      <c r="C122" s="47"/>
      <c r="D122" s="48"/>
      <c r="E122" s="48"/>
      <c r="F122" s="58"/>
      <c r="G122" s="7"/>
      <c r="H122" s="7"/>
      <c r="I122" s="55" t="str">
        <f t="shared" si="30"/>
        <v/>
      </c>
      <c r="J122" s="55" t="str">
        <f t="shared" si="31"/>
        <v/>
      </c>
      <c r="K122" s="56" t="str">
        <f t="shared" si="32"/>
        <v/>
      </c>
      <c r="L122" s="56" t="str">
        <f t="shared" si="33"/>
        <v/>
      </c>
      <c r="M122" s="56" t="str">
        <f t="shared" si="37"/>
        <v/>
      </c>
      <c r="N122" s="56" t="str">
        <f t="shared" si="34"/>
        <v/>
      </c>
      <c r="O122" s="57" t="str">
        <f t="shared" si="38"/>
        <v/>
      </c>
      <c r="P122" s="57" t="str">
        <f t="shared" si="35"/>
        <v/>
      </c>
      <c r="Q122" s="57" t="str">
        <f t="shared" si="36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9">IF(D123=0,"",LOG($K$15*10^D123+$K$16*10^E123+$K$14))</f>
        <v/>
      </c>
      <c r="J123" s="55" t="str">
        <f t="shared" ref="J123:J127" si="40">IF(D123=0,"",LOG($K$21*10^D123+$K$22*10^E123+$K$20))</f>
        <v/>
      </c>
      <c r="K123" s="56" t="str">
        <f t="shared" ref="K123:K127" si="41">IF(D123=0,"",1/(1+10^D123*$J$15/$J$14+10^E123*$J$16/$J$14+10^J123*$J$19/$J$14))</f>
        <v/>
      </c>
      <c r="L123" s="56" t="str">
        <f t="shared" ref="L123:L127" si="42">IF(D123=0,"",1/(1+10^I123/10^J123*$J$13/$J$19))</f>
        <v/>
      </c>
      <c r="M123" s="56" t="str">
        <f t="shared" si="37"/>
        <v/>
      </c>
      <c r="N123" s="56" t="str">
        <f t="shared" ref="N123:N127" si="43">IF(D123=0,"",1/(1/10^E123*$J$20/$J$22+10^D123/10^E123*$J$21/$J$22+10^I123/10^E123*$J$13/$J$22+1))</f>
        <v/>
      </c>
      <c r="O123" s="57" t="str">
        <f t="shared" si="38"/>
        <v/>
      </c>
      <c r="P123" s="57" t="str">
        <f t="shared" ref="P123:P127" si="44">IF(D123=0,"",O123*10^J123)</f>
        <v/>
      </c>
      <c r="Q123" s="57" t="str">
        <f t="shared" ref="Q123:Q127" si="45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7"/>
      <c r="B124" s="47"/>
      <c r="C124" s="47"/>
      <c r="D124" s="48"/>
      <c r="E124" s="48"/>
      <c r="F124" s="58"/>
      <c r="G124" s="7"/>
      <c r="H124" s="7"/>
      <c r="I124" s="55" t="str">
        <f t="shared" si="39"/>
        <v/>
      </c>
      <c r="J124" s="55" t="str">
        <f t="shared" si="40"/>
        <v/>
      </c>
      <c r="K124" s="56" t="str">
        <f t="shared" si="41"/>
        <v/>
      </c>
      <c r="L124" s="56" t="str">
        <f t="shared" si="42"/>
        <v/>
      </c>
      <c r="M124" s="56" t="str">
        <f t="shared" si="37"/>
        <v/>
      </c>
      <c r="N124" s="56" t="str">
        <f t="shared" si="43"/>
        <v/>
      </c>
      <c r="O124" s="57" t="str">
        <f t="shared" si="38"/>
        <v/>
      </c>
      <c r="P124" s="57" t="str">
        <f t="shared" si="44"/>
        <v/>
      </c>
      <c r="Q124" s="57" t="str">
        <f t="shared" si="45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7"/>
      <c r="B125" s="47"/>
      <c r="C125" s="47"/>
      <c r="D125" s="48"/>
      <c r="E125" s="48"/>
      <c r="F125" s="58"/>
      <c r="G125" s="7"/>
      <c r="H125" s="7"/>
      <c r="I125" s="55" t="str">
        <f t="shared" si="39"/>
        <v/>
      </c>
      <c r="J125" s="55" t="str">
        <f t="shared" si="40"/>
        <v/>
      </c>
      <c r="K125" s="56" t="str">
        <f t="shared" si="41"/>
        <v/>
      </c>
      <c r="L125" s="56" t="str">
        <f t="shared" si="42"/>
        <v/>
      </c>
      <c r="M125" s="56" t="str">
        <f t="shared" si="37"/>
        <v/>
      </c>
      <c r="N125" s="56" t="str">
        <f t="shared" si="43"/>
        <v/>
      </c>
      <c r="O125" s="57" t="str">
        <f t="shared" si="38"/>
        <v/>
      </c>
      <c r="P125" s="57" t="str">
        <f t="shared" si="44"/>
        <v/>
      </c>
      <c r="Q125" s="57" t="str">
        <f t="shared" si="45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7"/>
      <c r="B126" s="47"/>
      <c r="C126" s="47"/>
      <c r="D126" s="48"/>
      <c r="E126" s="48"/>
      <c r="F126" s="58"/>
      <c r="G126" s="7"/>
      <c r="H126" s="7"/>
      <c r="I126" s="55" t="str">
        <f t="shared" si="39"/>
        <v/>
      </c>
      <c r="J126" s="55" t="str">
        <f t="shared" si="40"/>
        <v/>
      </c>
      <c r="K126" s="56" t="str">
        <f t="shared" si="41"/>
        <v/>
      </c>
      <c r="L126" s="56" t="str">
        <f t="shared" si="42"/>
        <v/>
      </c>
      <c r="M126" s="56" t="str">
        <f t="shared" si="37"/>
        <v/>
      </c>
      <c r="N126" s="56" t="str">
        <f t="shared" si="43"/>
        <v/>
      </c>
      <c r="O126" s="57" t="str">
        <f t="shared" si="38"/>
        <v/>
      </c>
      <c r="P126" s="57" t="str">
        <f t="shared" si="44"/>
        <v/>
      </c>
      <c r="Q126" s="57" t="str">
        <f t="shared" si="45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7"/>
      <c r="B127" s="47"/>
      <c r="C127" s="47"/>
      <c r="D127" s="48"/>
      <c r="E127" s="48"/>
      <c r="F127" s="58"/>
      <c r="G127" s="7"/>
      <c r="H127" s="7"/>
      <c r="I127" s="55" t="str">
        <f t="shared" si="39"/>
        <v/>
      </c>
      <c r="J127" s="55" t="str">
        <f t="shared" si="40"/>
        <v/>
      </c>
      <c r="K127" s="56" t="str">
        <f t="shared" si="41"/>
        <v/>
      </c>
      <c r="L127" s="56" t="str">
        <f t="shared" si="42"/>
        <v/>
      </c>
      <c r="M127" s="56" t="str">
        <f t="shared" si="37"/>
        <v/>
      </c>
      <c r="N127" s="56" t="str">
        <f t="shared" si="43"/>
        <v/>
      </c>
      <c r="O127" s="57" t="str">
        <f t="shared" si="38"/>
        <v/>
      </c>
      <c r="P127" s="57" t="str">
        <f t="shared" si="44"/>
        <v/>
      </c>
      <c r="Q127" s="57" t="str">
        <f t="shared" si="45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Lin, Hsing-Chieh</cp:lastModifiedBy>
  <dcterms:created xsi:type="dcterms:W3CDTF">2016-11-02T11:21:18Z</dcterms:created>
  <dcterms:modified xsi:type="dcterms:W3CDTF">2024-03-29T20:58:54Z</dcterms:modified>
</cp:coreProperties>
</file>