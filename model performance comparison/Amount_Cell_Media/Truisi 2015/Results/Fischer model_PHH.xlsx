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Truisi 2015\Results\"/>
    </mc:Choice>
  </mc:AlternateContent>
  <xr:revisionPtr revIDLastSave="0" documentId="13_ncr:1_{16BF2076-9DE8-4FD7-B6D0-715DBE012EAC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0" i="4" l="1"/>
  <c r="S30" i="4"/>
  <c r="T29" i="4"/>
  <c r="S29" i="4"/>
  <c r="T28" i="4"/>
  <c r="S28" i="4"/>
  <c r="R29" i="4" l="1"/>
  <c r="R30" i="4"/>
  <c r="R31" i="4"/>
  <c r="R28" i="4"/>
  <c r="O15" i="1"/>
  <c r="L15" i="1"/>
  <c r="N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J30" i="4" s="1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S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M31" i="4" l="1"/>
  <c r="T31" i="4" s="1"/>
  <c r="K29" i="4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<sst xmlns="http://schemas.openxmlformats.org/spreadsheetml/2006/main" count="117" uniqueCount="90">
  <si>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</si>
  <si>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</si>
  <si>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</si>
  <si>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</si>
  <si>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</si>
  <si>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</si>
  <si>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</si>
  <si>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</si>
  <si>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</si>
  <si>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</si>
  <si>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</si>
  <si>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</si>
  <si>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</si>
  <si>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</si>
  <si>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</si>
  <si>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</si>
  <si>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</si>
  <si>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</si>
  <si>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</si>
  <si>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</si>
  <si>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</si>
  <si>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</si>
  <si>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</si>
  <si>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</si>
  <si>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</si>
  <si>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</si>
  <si>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</si>
  <si>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</si>
  <si>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</si>
  <si>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</si>
  <si>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</si>
  <si>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</si>
  <si>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</si>
  <si>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</si>
  <si>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</si>
  <si>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</si>
  <si>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</si>
  <si>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</si>
  <si>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</si>
  <si>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</si>
  <si>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</si>
  <si>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</si>
  <si>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</si>
  <si>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</si>
  <si>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</si>
  <si>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</si>
  <si>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</si>
  <si>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</si>
  <si>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</si>
  <si>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</si>
  <si>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</si>
  <si>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</si>
  <si>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</si>
  <si>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</si>
  <si>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</si>
  <si>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</si>
  <si>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</si>
  <si>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</si>
  <si>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</si>
  <si>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</si>
  <si>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</si>
  <si>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</si>
  <si>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</si>
  <si>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</si>
  <si>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</si>
  <si>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</si>
  <si>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</si>
  <si>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</si>
  <si>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</si>
  <si>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</si>
  <si>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</si>
  <si>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</si>
  <si>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</si>
  <si>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</si>
  <si>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</si>
  <si>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</si>
  <si>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</si>
  <si>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</si>
  <si>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</si>
  <si>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</si>
  <si>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</si>
  <si>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</si>
  <si>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</si>
  <si>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</si>
  <si>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</si>
  <si>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</si>
  <si>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1951-25-3</t>
  </si>
  <si>
    <t>15687-27-1</t>
  </si>
  <si>
    <t>amiodarone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</si>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</sst>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v>2.9580000000000001E-3</v>
      </c>
      <c r="M17" s="83">
        <v>3.2164000000000004E-4</v>
      </c>
      <c r="N17" s="83"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4" zoomScale="90" zoomScaleNormal="90" workbookViewId="0">
      <selection activeCell="T30" sqref="T30:T31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2006.7762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2005.9159999999999</v>
      </c>
      <c r="K8" s="40">
        <f>J8/J7</f>
        <v>0.99957135230126803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0.64328000000000007</v>
      </c>
      <c r="K9" s="40">
        <f>J9/J7</f>
        <v>3.2055393122561453E-4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0.21692</v>
      </c>
      <c r="K10" s="40">
        <f>J10/J7</f>
        <v>1.0809376750631187E-4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2000</v>
      </c>
      <c r="K14" s="40">
        <f>J14/J13</f>
        <v>1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6.7762000000000002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5.9160000000000004</v>
      </c>
      <c r="K20" s="40">
        <f>J20/J19</f>
        <v>0.87305569493226298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0.64328000000000007</v>
      </c>
      <c r="K21" s="40">
        <f>J21/J19</f>
        <v>9.4932262920220778E-2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2000000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0.21692</v>
      </c>
      <c r="K22" s="40">
        <f>J22/J19</f>
        <v>3.2012042147516309E-2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88</v>
      </c>
      <c r="C28" s="47" t="s">
        <v>86</v>
      </c>
      <c r="D28" s="48">
        <v>7.0428240000000013</v>
      </c>
      <c r="E28" s="48">
        <v>8.8261279999999989</v>
      </c>
      <c r="F28" s="103">
        <v>2.4999999999999999E-7</v>
      </c>
      <c r="G28" s="173"/>
      <c r="H28" s="173"/>
      <c r="I28" s="99">
        <f t="shared" ref="I28:I47" si="1">IF(D28=0,"",LOG($K$15*10^D28+$K$16*10^E28+$K$14))</f>
        <v>0</v>
      </c>
      <c r="J28" s="99">
        <f t="shared" ref="J28:J47" si="2">IF(D28=0,"",LOG($K$21*10^D28+$K$22*10^E28+$K$20))</f>
        <v>7.3521516072206401</v>
      </c>
      <c r="K28" s="100">
        <f t="shared" ref="K28:K47" si="3">IF(D28=0,"",1/(1+10^D28*$J$15/$J$14+10^E28*$J$16/$J$14+10^J28*$J$19/$J$14))</f>
        <v>1.3118569345468517E-5</v>
      </c>
      <c r="L28" s="100">
        <f t="shared" ref="L28:L47" si="4">IF(D28=0,"",1/(1+10^I28/10^J28*$J$13/$J$19))</f>
        <v>0.99998688143065462</v>
      </c>
      <c r="M28" s="100">
        <f t="shared" ref="M28:M47" si="5">IF(D28=0,"",1-L28)</f>
        <v>1.3118569345382802E-5</v>
      </c>
      <c r="N28" s="100">
        <f t="shared" ref="N28:N47" si="6">IF(D28=0,"",1/(1/10^E28*$J$20/$J$22+10^D28/10^E28*$J$21/$J$22+10^I28/10^E28*$J$13/$J$22+1))</f>
        <v>0.95341959937191911</v>
      </c>
      <c r="O28" s="41">
        <f t="shared" ref="O28:O47" si="7">IF(D28=0,"",F28*K28*$J$7/$J$14)</f>
        <v>3.2907540925669746E-12</v>
      </c>
      <c r="P28" s="41">
        <f t="shared" ref="P28:P47" si="8">IF(D28=0,"",O28*10^J28)</f>
        <v>7.4036697336532994E-5</v>
      </c>
      <c r="Q28" s="41">
        <f t="shared" ref="Q28:Q47" si="9">IF(D28=0,"",F28*N28*$J$7/$J$22)</f>
        <v>2.2050753280392567E-3</v>
      </c>
      <c r="R28" s="9">
        <f>F28*0.002*1000000</f>
        <v>5.0000000000000001E-4</v>
      </c>
      <c r="S28" s="11">
        <f>R28*L28</f>
        <v>4.9999344071532731E-4</v>
      </c>
      <c r="T28" s="9">
        <f>R28*M28</f>
        <v>6.5592846726914013E-9</v>
      </c>
      <c r="U28" s="9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88</v>
      </c>
      <c r="C29" s="47" t="s">
        <v>86</v>
      </c>
      <c r="D29" s="48">
        <v>7.0428240000000013</v>
      </c>
      <c r="E29" s="48">
        <v>8.8261279999999989</v>
      </c>
      <c r="F29" s="103">
        <v>2.5000000000000002E-6</v>
      </c>
      <c r="G29" s="173"/>
      <c r="H29" s="173"/>
      <c r="I29" s="99">
        <f t="shared" si="1"/>
        <v>0</v>
      </c>
      <c r="J29" s="99">
        <f t="shared" si="2"/>
        <v>7.3521516072206401</v>
      </c>
      <c r="K29" s="100">
        <f t="shared" si="3"/>
        <v>1.3118569345468517E-5</v>
      </c>
      <c r="L29" s="100">
        <f t="shared" si="4"/>
        <v>0.99998688143065462</v>
      </c>
      <c r="M29" s="100">
        <f t="shared" si="5"/>
        <v>1.3118569345382802E-5</v>
      </c>
      <c r="N29" s="100">
        <f t="shared" si="6"/>
        <v>0.95341959937191911</v>
      </c>
      <c r="O29" s="41">
        <f t="shared" si="7"/>
        <v>3.2907540925669752E-11</v>
      </c>
      <c r="P29" s="41">
        <f t="shared" si="8"/>
        <v>7.4036697336533007E-4</v>
      </c>
      <c r="Q29" s="41">
        <f t="shared" si="9"/>
        <v>2.2050753280392566E-2</v>
      </c>
      <c r="R29" s="9">
        <f t="shared" ref="R29:R31" si="10">F29*0.002*1000000</f>
        <v>5.0000000000000001E-3</v>
      </c>
      <c r="S29" s="11">
        <f t="shared" ref="S29" si="11">R29*L29</f>
        <v>4.9999344071532731E-3</v>
      </c>
      <c r="T29" s="9">
        <f>R29*M29</f>
        <v>6.5592846726914008E-8</v>
      </c>
      <c r="U29" s="9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 t="s">
        <v>89</v>
      </c>
      <c r="C30" s="47" t="s">
        <v>87</v>
      </c>
      <c r="D30" s="95">
        <v>1.6452318246143236</v>
      </c>
      <c r="E30" s="95">
        <v>1.8629354124795308</v>
      </c>
      <c r="F30" s="103">
        <v>9.9999999999999991E-5</v>
      </c>
      <c r="G30" s="173"/>
      <c r="H30" s="173"/>
      <c r="I30" s="99">
        <f t="shared" si="1"/>
        <v>0</v>
      </c>
      <c r="J30" s="99">
        <f t="shared" si="2"/>
        <v>0.8693500964236418</v>
      </c>
      <c r="K30" s="100">
        <f t="shared" si="3"/>
        <v>0.97553478282274741</v>
      </c>
      <c r="L30" s="100">
        <f t="shared" si="4"/>
        <v>2.4465217177252644E-2</v>
      </c>
      <c r="M30" s="100">
        <f t="shared" si="5"/>
        <v>0.9755347828227473</v>
      </c>
      <c r="N30" s="100">
        <f t="shared" si="6"/>
        <v>7.7169870492751671E-3</v>
      </c>
      <c r="O30" s="41">
        <f t="shared" si="7"/>
        <v>9.7883999222042915E-5</v>
      </c>
      <c r="P30" s="41">
        <f t="shared" si="8"/>
        <v>7.2453905668577951E-4</v>
      </c>
      <c r="Q30" s="41">
        <f t="shared" si="9"/>
        <v>7.139160034203223E-3</v>
      </c>
      <c r="R30" s="9">
        <f t="shared" si="10"/>
        <v>0.19999999999999998</v>
      </c>
      <c r="S30" s="11">
        <f>R30*L30</f>
        <v>4.8930434354505286E-3</v>
      </c>
      <c r="T30" s="9">
        <f>R30*M30</f>
        <v>0.19510695656454943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 t="s">
        <v>89</v>
      </c>
      <c r="C31" s="47" t="s">
        <v>87</v>
      </c>
      <c r="D31" s="95">
        <v>1.6452318246143236</v>
      </c>
      <c r="E31" s="95">
        <v>1.8629354124795308</v>
      </c>
      <c r="F31" s="98">
        <v>1E-3</v>
      </c>
      <c r="G31" s="173"/>
      <c r="H31" s="173"/>
      <c r="I31" s="99">
        <f t="shared" si="1"/>
        <v>0</v>
      </c>
      <c r="J31" s="99">
        <f t="shared" si="2"/>
        <v>0.8693500964236418</v>
      </c>
      <c r="K31" s="100">
        <f t="shared" si="3"/>
        <v>0.97553478282274741</v>
      </c>
      <c r="L31" s="100">
        <f t="shared" si="4"/>
        <v>2.4465217177252644E-2</v>
      </c>
      <c r="M31" s="100">
        <f t="shared" si="5"/>
        <v>0.9755347828227473</v>
      </c>
      <c r="N31" s="100">
        <f t="shared" si="6"/>
        <v>7.7169870492751671E-3</v>
      </c>
      <c r="O31" s="41">
        <f t="shared" si="7"/>
        <v>9.7883999222042909E-4</v>
      </c>
      <c r="P31" s="41">
        <f t="shared" si="8"/>
        <v>7.2453905668577951E-3</v>
      </c>
      <c r="Q31" s="41">
        <f t="shared" si="9"/>
        <v>7.1391600342032249E-2</v>
      </c>
      <c r="R31" s="9">
        <f t="shared" si="10"/>
        <v>2</v>
      </c>
      <c r="S31" s="11">
        <f t="shared" ref="S31" si="12">R31*L31</f>
        <v>4.8930434354505288E-2</v>
      </c>
      <c r="T31" s="9">
        <f>R31*M31</f>
        <v>1.9510695656454946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3">IF(D48=0,"",LOG($K$15*10^D48+$K$16*10^E48+$K$14))</f>
        <v/>
      </c>
      <c r="J48" s="99" t="str">
        <f t="shared" ref="J48:J50" si="14">IF(D48=0,"",LOG($K$21*10^D48+$K$22*10^E48+$K$20))</f>
        <v/>
      </c>
      <c r="K48" s="100" t="str">
        <f t="shared" ref="K48:K50" si="15">IF(D48=0,"",1/(1+10^D48*$J$15/$J$14+10^E48*$J$16/$J$14+10^J48*$J$19/$J$14))</f>
        <v/>
      </c>
      <c r="L48" s="100" t="str">
        <f t="shared" ref="L48:L50" si="16">IF(D48=0,"",1/(1+10^I48/10^J48*$J$13/$J$19))</f>
        <v/>
      </c>
      <c r="M48" s="100" t="str">
        <f t="shared" ref="M48:M92" si="17">IF(D48=0,"",1-L48)</f>
        <v/>
      </c>
      <c r="N48" s="100" t="str">
        <f t="shared" ref="N48:N50" si="18">IF(D48=0,"",1/(1/10^E48*$J$20/$J$22+10^D48/10^E48*$J$21/$J$22+10^I48/10^E48*$J$13/$J$22+1))</f>
        <v/>
      </c>
      <c r="O48" s="41" t="str">
        <f t="shared" ref="O48:O92" si="19">IF(D48=0,"",F48*K48*$J$7/$J$14)</f>
        <v/>
      </c>
      <c r="P48" s="41" t="str">
        <f t="shared" ref="P48:P50" si="20">IF(D48=0,"",O48*10^J48)</f>
        <v/>
      </c>
      <c r="Q48" s="41" t="str">
        <f t="shared" ref="Q48:Q50" si="21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3"/>
        <v/>
      </c>
      <c r="J49" s="99" t="str">
        <f t="shared" si="14"/>
        <v/>
      </c>
      <c r="K49" s="100" t="str">
        <f t="shared" si="15"/>
        <v/>
      </c>
      <c r="L49" s="100" t="str">
        <f t="shared" si="16"/>
        <v/>
      </c>
      <c r="M49" s="100" t="str">
        <f t="shared" si="17"/>
        <v/>
      </c>
      <c r="N49" s="100" t="str">
        <f t="shared" si="18"/>
        <v/>
      </c>
      <c r="O49" s="41" t="str">
        <f t="shared" si="19"/>
        <v/>
      </c>
      <c r="P49" s="41" t="str">
        <f t="shared" si="20"/>
        <v/>
      </c>
      <c r="Q49" s="41" t="str">
        <f t="shared" si="21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3"/>
        <v/>
      </c>
      <c r="J50" s="99" t="str">
        <f t="shared" si="14"/>
        <v/>
      </c>
      <c r="K50" s="100" t="str">
        <f t="shared" si="15"/>
        <v/>
      </c>
      <c r="L50" s="100" t="str">
        <f t="shared" si="16"/>
        <v/>
      </c>
      <c r="M50" s="100" t="str">
        <f t="shared" si="17"/>
        <v/>
      </c>
      <c r="N50" s="100" t="str">
        <f t="shared" si="18"/>
        <v/>
      </c>
      <c r="O50" s="41" t="str">
        <f t="shared" si="19"/>
        <v/>
      </c>
      <c r="P50" s="41" t="str">
        <f t="shared" si="20"/>
        <v/>
      </c>
      <c r="Q50" s="41" t="str">
        <f t="shared" si="21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22">IF(D51=0,"",LOG($K$15*10^D51+$K$16*10^E51+$K$14))</f>
        <v/>
      </c>
      <c r="J51" s="99" t="str">
        <f t="shared" ref="J51:J70" si="23">IF(D51=0,"",LOG($K$21*10^D51+$K$22*10^E51+$K$20))</f>
        <v/>
      </c>
      <c r="K51" s="100" t="str">
        <f t="shared" ref="K51:K70" si="24">IF(D51=0,"",1/(1+10^D51*$J$15/$J$14+10^E51*$J$16/$J$14+10^J51*$J$19/$J$14))</f>
        <v/>
      </c>
      <c r="L51" s="100" t="str">
        <f t="shared" ref="L51:L70" si="25">IF(D51=0,"",1/(1+10^I51/10^J51*$J$13/$J$19))</f>
        <v/>
      </c>
      <c r="M51" s="100" t="str">
        <f t="shared" ref="M51:M70" si="26">IF(D51=0,"",1-L51)</f>
        <v/>
      </c>
      <c r="N51" s="100" t="str">
        <f t="shared" ref="N51:N70" si="27">IF(D51=0,"",1/(1/10^E51*$J$20/$J$22+10^D51/10^E51*$J$21/$J$22+10^I51/10^E51*$J$13/$J$22+1))</f>
        <v/>
      </c>
      <c r="O51" s="41" t="str">
        <f t="shared" ref="O51:O70" si="28">IF(D51=0,"",F51*K51*$J$7/$J$14)</f>
        <v/>
      </c>
      <c r="P51" s="41" t="str">
        <f t="shared" ref="P51:P70" si="29">IF(D51=0,"",O51*10^J51)</f>
        <v/>
      </c>
      <c r="Q51" s="41" t="str">
        <f t="shared" ref="Q51:Q70" si="30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22"/>
        <v/>
      </c>
      <c r="J52" s="99" t="str">
        <f t="shared" si="23"/>
        <v/>
      </c>
      <c r="K52" s="100" t="str">
        <f t="shared" si="24"/>
        <v/>
      </c>
      <c r="L52" s="100" t="str">
        <f t="shared" si="25"/>
        <v/>
      </c>
      <c r="M52" s="100" t="str">
        <f t="shared" si="26"/>
        <v/>
      </c>
      <c r="N52" s="100" t="str">
        <f t="shared" si="27"/>
        <v/>
      </c>
      <c r="O52" s="41" t="str">
        <f t="shared" si="28"/>
        <v/>
      </c>
      <c r="P52" s="41" t="str">
        <f t="shared" si="29"/>
        <v/>
      </c>
      <c r="Q52" s="41" t="str">
        <f t="shared" si="30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22"/>
        <v/>
      </c>
      <c r="J53" s="99" t="str">
        <f t="shared" si="23"/>
        <v/>
      </c>
      <c r="K53" s="100" t="str">
        <f t="shared" si="24"/>
        <v/>
      </c>
      <c r="L53" s="100" t="str">
        <f t="shared" si="25"/>
        <v/>
      </c>
      <c r="M53" s="100" t="str">
        <f t="shared" si="26"/>
        <v/>
      </c>
      <c r="N53" s="100" t="str">
        <f t="shared" si="27"/>
        <v/>
      </c>
      <c r="O53" s="41" t="str">
        <f t="shared" si="28"/>
        <v/>
      </c>
      <c r="P53" s="41" t="str">
        <f t="shared" si="29"/>
        <v/>
      </c>
      <c r="Q53" s="41" t="str">
        <f t="shared" si="30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22"/>
        <v/>
      </c>
      <c r="J54" s="99" t="str">
        <f t="shared" si="23"/>
        <v/>
      </c>
      <c r="K54" s="100" t="str">
        <f t="shared" si="24"/>
        <v/>
      </c>
      <c r="L54" s="100" t="str">
        <f t="shared" si="25"/>
        <v/>
      </c>
      <c r="M54" s="100" t="str">
        <f t="shared" si="26"/>
        <v/>
      </c>
      <c r="N54" s="100" t="str">
        <f t="shared" si="27"/>
        <v/>
      </c>
      <c r="O54" s="41" t="str">
        <f t="shared" si="28"/>
        <v/>
      </c>
      <c r="P54" s="41" t="str">
        <f t="shared" si="29"/>
        <v/>
      </c>
      <c r="Q54" s="41" t="str">
        <f t="shared" si="30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22"/>
        <v/>
      </c>
      <c r="J55" s="55" t="str">
        <f t="shared" si="23"/>
        <v/>
      </c>
      <c r="K55" s="56" t="str">
        <f t="shared" si="24"/>
        <v/>
      </c>
      <c r="L55" s="56" t="str">
        <f t="shared" si="25"/>
        <v/>
      </c>
      <c r="M55" s="56" t="str">
        <f t="shared" si="26"/>
        <v/>
      </c>
      <c r="N55" s="56" t="str">
        <f t="shared" si="27"/>
        <v/>
      </c>
      <c r="O55" s="57" t="str">
        <f t="shared" si="28"/>
        <v/>
      </c>
      <c r="P55" s="57" t="str">
        <f t="shared" si="29"/>
        <v/>
      </c>
      <c r="Q55" s="57" t="str">
        <f t="shared" si="30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22"/>
        <v/>
      </c>
      <c r="J56" s="55" t="str">
        <f t="shared" si="23"/>
        <v/>
      </c>
      <c r="K56" s="56" t="str">
        <f t="shared" si="24"/>
        <v/>
      </c>
      <c r="L56" s="56" t="str">
        <f t="shared" si="25"/>
        <v/>
      </c>
      <c r="M56" s="56" t="str">
        <f t="shared" si="26"/>
        <v/>
      </c>
      <c r="N56" s="56" t="str">
        <f t="shared" si="27"/>
        <v/>
      </c>
      <c r="O56" s="57" t="str">
        <f t="shared" si="28"/>
        <v/>
      </c>
      <c r="P56" s="57" t="str">
        <f t="shared" si="29"/>
        <v/>
      </c>
      <c r="Q56" s="57" t="str">
        <f t="shared" si="30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22"/>
        <v/>
      </c>
      <c r="J57" s="55" t="str">
        <f t="shared" si="23"/>
        <v/>
      </c>
      <c r="K57" s="56" t="str">
        <f t="shared" si="24"/>
        <v/>
      </c>
      <c r="L57" s="56" t="str">
        <f t="shared" si="25"/>
        <v/>
      </c>
      <c r="M57" s="56" t="str">
        <f t="shared" si="26"/>
        <v/>
      </c>
      <c r="N57" s="56" t="str">
        <f t="shared" si="27"/>
        <v/>
      </c>
      <c r="O57" s="57" t="str">
        <f t="shared" si="28"/>
        <v/>
      </c>
      <c r="P57" s="57" t="str">
        <f t="shared" si="29"/>
        <v/>
      </c>
      <c r="Q57" s="57" t="str">
        <f t="shared" si="30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22"/>
        <v/>
      </c>
      <c r="J58" s="55" t="str">
        <f t="shared" si="23"/>
        <v/>
      </c>
      <c r="K58" s="56" t="str">
        <f t="shared" si="24"/>
        <v/>
      </c>
      <c r="L58" s="56" t="str">
        <f t="shared" si="25"/>
        <v/>
      </c>
      <c r="M58" s="56" t="str">
        <f t="shared" si="26"/>
        <v/>
      </c>
      <c r="N58" s="56" t="str">
        <f t="shared" si="27"/>
        <v/>
      </c>
      <c r="O58" s="57" t="str">
        <f t="shared" si="28"/>
        <v/>
      </c>
      <c r="P58" s="57" t="str">
        <f t="shared" si="29"/>
        <v/>
      </c>
      <c r="Q58" s="57" t="str">
        <f t="shared" si="30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22"/>
        <v/>
      </c>
      <c r="J59" s="55" t="str">
        <f t="shared" si="23"/>
        <v/>
      </c>
      <c r="K59" s="56" t="str">
        <f t="shared" si="24"/>
        <v/>
      </c>
      <c r="L59" s="56" t="str">
        <f t="shared" si="25"/>
        <v/>
      </c>
      <c r="M59" s="56" t="str">
        <f t="shared" si="26"/>
        <v/>
      </c>
      <c r="N59" s="56" t="str">
        <f t="shared" si="27"/>
        <v/>
      </c>
      <c r="O59" s="57" t="str">
        <f t="shared" si="28"/>
        <v/>
      </c>
      <c r="P59" s="57" t="str">
        <f t="shared" si="29"/>
        <v/>
      </c>
      <c r="Q59" s="57" t="str">
        <f t="shared" si="30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22"/>
        <v/>
      </c>
      <c r="J60" s="55" t="str">
        <f t="shared" si="23"/>
        <v/>
      </c>
      <c r="K60" s="56" t="str">
        <f t="shared" si="24"/>
        <v/>
      </c>
      <c r="L60" s="56" t="str">
        <f t="shared" si="25"/>
        <v/>
      </c>
      <c r="M60" s="56" t="str">
        <f t="shared" si="26"/>
        <v/>
      </c>
      <c r="N60" s="56" t="str">
        <f t="shared" si="27"/>
        <v/>
      </c>
      <c r="O60" s="57" t="str">
        <f t="shared" si="28"/>
        <v/>
      </c>
      <c r="P60" s="57" t="str">
        <f t="shared" si="29"/>
        <v/>
      </c>
      <c r="Q60" s="57" t="str">
        <f t="shared" si="30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22"/>
        <v/>
      </c>
      <c r="J61" s="55" t="str">
        <f t="shared" si="23"/>
        <v/>
      </c>
      <c r="K61" s="56" t="str">
        <f t="shared" si="24"/>
        <v/>
      </c>
      <c r="L61" s="56" t="str">
        <f t="shared" si="25"/>
        <v/>
      </c>
      <c r="M61" s="56" t="str">
        <f t="shared" si="26"/>
        <v/>
      </c>
      <c r="N61" s="56" t="str">
        <f t="shared" si="27"/>
        <v/>
      </c>
      <c r="O61" s="57" t="str">
        <f t="shared" si="28"/>
        <v/>
      </c>
      <c r="P61" s="57" t="str">
        <f t="shared" si="29"/>
        <v/>
      </c>
      <c r="Q61" s="57" t="str">
        <f t="shared" si="30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22"/>
        <v/>
      </c>
      <c r="J62" s="55" t="str">
        <f t="shared" si="23"/>
        <v/>
      </c>
      <c r="K62" s="56" t="str">
        <f t="shared" si="24"/>
        <v/>
      </c>
      <c r="L62" s="56" t="str">
        <f t="shared" si="25"/>
        <v/>
      </c>
      <c r="M62" s="56" t="str">
        <f t="shared" si="26"/>
        <v/>
      </c>
      <c r="N62" s="56" t="str">
        <f t="shared" si="27"/>
        <v/>
      </c>
      <c r="O62" s="57" t="str">
        <f t="shared" si="28"/>
        <v/>
      </c>
      <c r="P62" s="57" t="str">
        <f t="shared" si="29"/>
        <v/>
      </c>
      <c r="Q62" s="57" t="str">
        <f t="shared" si="30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22"/>
        <v/>
      </c>
      <c r="J63" s="55" t="str">
        <f t="shared" si="23"/>
        <v/>
      </c>
      <c r="K63" s="56" t="str">
        <f t="shared" si="24"/>
        <v/>
      </c>
      <c r="L63" s="56" t="str">
        <f t="shared" si="25"/>
        <v/>
      </c>
      <c r="M63" s="56" t="str">
        <f t="shared" si="26"/>
        <v/>
      </c>
      <c r="N63" s="56" t="str">
        <f t="shared" si="27"/>
        <v/>
      </c>
      <c r="O63" s="57" t="str">
        <f t="shared" si="28"/>
        <v/>
      </c>
      <c r="P63" s="57" t="str">
        <f t="shared" si="29"/>
        <v/>
      </c>
      <c r="Q63" s="57" t="str">
        <f t="shared" si="30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22"/>
        <v/>
      </c>
      <c r="J64" s="55" t="str">
        <f t="shared" si="23"/>
        <v/>
      </c>
      <c r="K64" s="56" t="str">
        <f t="shared" si="24"/>
        <v/>
      </c>
      <c r="L64" s="56" t="str">
        <f t="shared" si="25"/>
        <v/>
      </c>
      <c r="M64" s="56" t="str">
        <f t="shared" si="26"/>
        <v/>
      </c>
      <c r="N64" s="56" t="str">
        <f t="shared" si="27"/>
        <v/>
      </c>
      <c r="O64" s="57" t="str">
        <f t="shared" si="28"/>
        <v/>
      </c>
      <c r="P64" s="57" t="str">
        <f t="shared" si="29"/>
        <v/>
      </c>
      <c r="Q64" s="57" t="str">
        <f t="shared" si="30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22"/>
        <v/>
      </c>
      <c r="J65" s="55" t="str">
        <f t="shared" si="23"/>
        <v/>
      </c>
      <c r="K65" s="56" t="str">
        <f t="shared" si="24"/>
        <v/>
      </c>
      <c r="L65" s="56" t="str">
        <f t="shared" si="25"/>
        <v/>
      </c>
      <c r="M65" s="56" t="str">
        <f t="shared" si="26"/>
        <v/>
      </c>
      <c r="N65" s="56" t="str">
        <f t="shared" si="27"/>
        <v/>
      </c>
      <c r="O65" s="57" t="str">
        <f t="shared" si="28"/>
        <v/>
      </c>
      <c r="P65" s="57" t="str">
        <f t="shared" si="29"/>
        <v/>
      </c>
      <c r="Q65" s="57" t="str">
        <f t="shared" si="30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22"/>
        <v/>
      </c>
      <c r="J66" s="55" t="str">
        <f t="shared" si="23"/>
        <v/>
      </c>
      <c r="K66" s="56" t="str">
        <f t="shared" si="24"/>
        <v/>
      </c>
      <c r="L66" s="56" t="str">
        <f t="shared" si="25"/>
        <v/>
      </c>
      <c r="M66" s="56" t="str">
        <f t="shared" si="26"/>
        <v/>
      </c>
      <c r="N66" s="56" t="str">
        <f t="shared" si="27"/>
        <v/>
      </c>
      <c r="O66" s="57" t="str">
        <f t="shared" si="28"/>
        <v/>
      </c>
      <c r="P66" s="57" t="str">
        <f t="shared" si="29"/>
        <v/>
      </c>
      <c r="Q66" s="57" t="str">
        <f t="shared" si="30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22"/>
        <v/>
      </c>
      <c r="J67" s="55" t="str">
        <f t="shared" si="23"/>
        <v/>
      </c>
      <c r="K67" s="56" t="str">
        <f t="shared" si="24"/>
        <v/>
      </c>
      <c r="L67" s="56" t="str">
        <f t="shared" si="25"/>
        <v/>
      </c>
      <c r="M67" s="56" t="str">
        <f t="shared" si="26"/>
        <v/>
      </c>
      <c r="N67" s="56" t="str">
        <f t="shared" si="27"/>
        <v/>
      </c>
      <c r="O67" s="57" t="str">
        <f t="shared" si="28"/>
        <v/>
      </c>
      <c r="P67" s="57" t="str">
        <f t="shared" si="29"/>
        <v/>
      </c>
      <c r="Q67" s="57" t="str">
        <f t="shared" si="30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22"/>
        <v/>
      </c>
      <c r="J68" s="55" t="str">
        <f t="shared" si="23"/>
        <v/>
      </c>
      <c r="K68" s="56" t="str">
        <f t="shared" si="24"/>
        <v/>
      </c>
      <c r="L68" s="56" t="str">
        <f t="shared" si="25"/>
        <v/>
      </c>
      <c r="M68" s="56" t="str">
        <f t="shared" si="26"/>
        <v/>
      </c>
      <c r="N68" s="56" t="str">
        <f t="shared" si="27"/>
        <v/>
      </c>
      <c r="O68" s="57" t="str">
        <f t="shared" si="28"/>
        <v/>
      </c>
      <c r="P68" s="57" t="str">
        <f t="shared" si="29"/>
        <v/>
      </c>
      <c r="Q68" s="57" t="str">
        <f t="shared" si="30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22"/>
        <v/>
      </c>
      <c r="J69" s="55" t="str">
        <f t="shared" si="23"/>
        <v/>
      </c>
      <c r="K69" s="56" t="str">
        <f t="shared" si="24"/>
        <v/>
      </c>
      <c r="L69" s="56" t="str">
        <f t="shared" si="25"/>
        <v/>
      </c>
      <c r="M69" s="56" t="str">
        <f t="shared" si="26"/>
        <v/>
      </c>
      <c r="N69" s="56" t="str">
        <f t="shared" si="27"/>
        <v/>
      </c>
      <c r="O69" s="57" t="str">
        <f t="shared" si="28"/>
        <v/>
      </c>
      <c r="P69" s="57" t="str">
        <f t="shared" si="29"/>
        <v/>
      </c>
      <c r="Q69" s="57" t="str">
        <f t="shared" si="30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22"/>
        <v/>
      </c>
      <c r="J70" s="55" t="str">
        <f t="shared" si="23"/>
        <v/>
      </c>
      <c r="K70" s="56" t="str">
        <f t="shared" si="24"/>
        <v/>
      </c>
      <c r="L70" s="56" t="str">
        <f t="shared" si="25"/>
        <v/>
      </c>
      <c r="M70" s="56" t="str">
        <f t="shared" si="26"/>
        <v/>
      </c>
      <c r="N70" s="56" t="str">
        <f t="shared" si="27"/>
        <v/>
      </c>
      <c r="O70" s="57" t="str">
        <f t="shared" si="28"/>
        <v/>
      </c>
      <c r="P70" s="57" t="str">
        <f t="shared" si="29"/>
        <v/>
      </c>
      <c r="Q70" s="57" t="str">
        <f t="shared" si="30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31">IF(D71=0,"",LOG($K$15*10^D71+$K$16*10^E71+$K$14))</f>
        <v/>
      </c>
      <c r="J71" s="55" t="str">
        <f t="shared" ref="J71:J122" si="32">IF(D71=0,"",LOG($K$21*10^D71+$K$22*10^E71+$K$20))</f>
        <v/>
      </c>
      <c r="K71" s="56" t="str">
        <f t="shared" ref="K71:K122" si="33">IF(D71=0,"",1/(1+10^D71*$J$15/$J$14+10^E71*$J$16/$J$14+10^J71*$J$19/$J$14))</f>
        <v/>
      </c>
      <c r="L71" s="56" t="str">
        <f t="shared" ref="L71:L122" si="34">IF(D71=0,"",1/(1+10^I71/10^J71*$J$13/$J$19))</f>
        <v/>
      </c>
      <c r="M71" s="56" t="str">
        <f t="shared" si="17"/>
        <v/>
      </c>
      <c r="N71" s="56" t="str">
        <f t="shared" ref="N71:N122" si="35">IF(D71=0,"",1/(1/10^E71*$J$20/$J$22+10^D71/10^E71*$J$21/$J$22+10^I71/10^E71*$J$13/$J$22+1))</f>
        <v/>
      </c>
      <c r="O71" s="57" t="str">
        <f t="shared" si="19"/>
        <v/>
      </c>
      <c r="P71" s="57" t="str">
        <f t="shared" ref="P71:P122" si="36">IF(D71=0,"",O71*10^J71)</f>
        <v/>
      </c>
      <c r="Q71" s="57" t="str">
        <f t="shared" ref="Q71:Q122" si="37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31"/>
        <v/>
      </c>
      <c r="J72" s="55" t="str">
        <f t="shared" si="32"/>
        <v/>
      </c>
      <c r="K72" s="56" t="str">
        <f t="shared" si="33"/>
        <v/>
      </c>
      <c r="L72" s="56" t="str">
        <f t="shared" si="34"/>
        <v/>
      </c>
      <c r="M72" s="56" t="str">
        <f t="shared" si="17"/>
        <v/>
      </c>
      <c r="N72" s="56" t="str">
        <f t="shared" si="35"/>
        <v/>
      </c>
      <c r="O72" s="57" t="str">
        <f t="shared" si="19"/>
        <v/>
      </c>
      <c r="P72" s="57" t="str">
        <f t="shared" si="36"/>
        <v/>
      </c>
      <c r="Q72" s="57" t="str">
        <f t="shared" si="37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31"/>
        <v/>
      </c>
      <c r="J73" s="55" t="str">
        <f t="shared" si="32"/>
        <v/>
      </c>
      <c r="K73" s="56" t="str">
        <f t="shared" si="33"/>
        <v/>
      </c>
      <c r="L73" s="56" t="str">
        <f t="shared" si="34"/>
        <v/>
      </c>
      <c r="M73" s="56" t="str">
        <f t="shared" si="17"/>
        <v/>
      </c>
      <c r="N73" s="56" t="str">
        <f t="shared" si="35"/>
        <v/>
      </c>
      <c r="O73" s="57" t="str">
        <f t="shared" si="19"/>
        <v/>
      </c>
      <c r="P73" s="57" t="str">
        <f t="shared" si="36"/>
        <v/>
      </c>
      <c r="Q73" s="57" t="str">
        <f t="shared" si="37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31"/>
        <v/>
      </c>
      <c r="J74" s="55" t="str">
        <f t="shared" si="32"/>
        <v/>
      </c>
      <c r="K74" s="56" t="str">
        <f t="shared" si="33"/>
        <v/>
      </c>
      <c r="L74" s="56" t="str">
        <f t="shared" si="34"/>
        <v/>
      </c>
      <c r="M74" s="56" t="str">
        <f t="shared" si="17"/>
        <v/>
      </c>
      <c r="N74" s="56" t="str">
        <f t="shared" si="35"/>
        <v/>
      </c>
      <c r="O74" s="57" t="str">
        <f t="shared" si="19"/>
        <v/>
      </c>
      <c r="P74" s="57" t="str">
        <f t="shared" si="36"/>
        <v/>
      </c>
      <c r="Q74" s="57" t="str">
        <f t="shared" si="37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31"/>
        <v/>
      </c>
      <c r="J75" s="55" t="str">
        <f t="shared" si="32"/>
        <v/>
      </c>
      <c r="K75" s="56" t="str">
        <f t="shared" si="33"/>
        <v/>
      </c>
      <c r="L75" s="56" t="str">
        <f t="shared" si="34"/>
        <v/>
      </c>
      <c r="M75" s="56" t="str">
        <f t="shared" si="17"/>
        <v/>
      </c>
      <c r="N75" s="56" t="str">
        <f t="shared" si="35"/>
        <v/>
      </c>
      <c r="O75" s="57" t="str">
        <f t="shared" si="19"/>
        <v/>
      </c>
      <c r="P75" s="57" t="str">
        <f t="shared" si="36"/>
        <v/>
      </c>
      <c r="Q75" s="57" t="str">
        <f t="shared" si="37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31"/>
        <v/>
      </c>
      <c r="J76" s="55" t="str">
        <f t="shared" si="32"/>
        <v/>
      </c>
      <c r="K76" s="56" t="str">
        <f t="shared" si="33"/>
        <v/>
      </c>
      <c r="L76" s="56" t="str">
        <f t="shared" si="34"/>
        <v/>
      </c>
      <c r="M76" s="56" t="str">
        <f t="shared" si="17"/>
        <v/>
      </c>
      <c r="N76" s="56" t="str">
        <f t="shared" si="35"/>
        <v/>
      </c>
      <c r="O76" s="57" t="str">
        <f t="shared" si="19"/>
        <v/>
      </c>
      <c r="P76" s="57" t="str">
        <f t="shared" si="36"/>
        <v/>
      </c>
      <c r="Q76" s="57" t="str">
        <f t="shared" si="37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31"/>
        <v/>
      </c>
      <c r="J77" s="55" t="str">
        <f t="shared" si="32"/>
        <v/>
      </c>
      <c r="K77" s="56" t="str">
        <f t="shared" si="33"/>
        <v/>
      </c>
      <c r="L77" s="56" t="str">
        <f t="shared" si="34"/>
        <v/>
      </c>
      <c r="M77" s="56" t="str">
        <f t="shared" si="17"/>
        <v/>
      </c>
      <c r="N77" s="56" t="str">
        <f t="shared" si="35"/>
        <v/>
      </c>
      <c r="O77" s="57" t="str">
        <f t="shared" si="19"/>
        <v/>
      </c>
      <c r="P77" s="57" t="str">
        <f t="shared" si="36"/>
        <v/>
      </c>
      <c r="Q77" s="57" t="str">
        <f t="shared" si="37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1"/>
        <v/>
      </c>
      <c r="J78" s="55" t="str">
        <f t="shared" si="32"/>
        <v/>
      </c>
      <c r="K78" s="56" t="str">
        <f t="shared" si="33"/>
        <v/>
      </c>
      <c r="L78" s="56" t="str">
        <f t="shared" si="34"/>
        <v/>
      </c>
      <c r="M78" s="56" t="str">
        <f t="shared" si="17"/>
        <v/>
      </c>
      <c r="N78" s="56" t="str">
        <f t="shared" si="35"/>
        <v/>
      </c>
      <c r="O78" s="57" t="str">
        <f t="shared" si="19"/>
        <v/>
      </c>
      <c r="P78" s="57" t="str">
        <f t="shared" si="36"/>
        <v/>
      </c>
      <c r="Q78" s="57" t="str">
        <f t="shared" si="37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1"/>
        <v/>
      </c>
      <c r="J79" s="55" t="str">
        <f t="shared" si="32"/>
        <v/>
      </c>
      <c r="K79" s="56" t="str">
        <f t="shared" si="33"/>
        <v/>
      </c>
      <c r="L79" s="56" t="str">
        <f t="shared" si="34"/>
        <v/>
      </c>
      <c r="M79" s="56" t="str">
        <f t="shared" si="17"/>
        <v/>
      </c>
      <c r="N79" s="56" t="str">
        <f t="shared" si="35"/>
        <v/>
      </c>
      <c r="O79" s="57" t="str">
        <f t="shared" si="19"/>
        <v/>
      </c>
      <c r="P79" s="57" t="str">
        <f t="shared" si="36"/>
        <v/>
      </c>
      <c r="Q79" s="57" t="str">
        <f t="shared" si="37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1"/>
        <v/>
      </c>
      <c r="J80" s="55" t="str">
        <f t="shared" si="32"/>
        <v/>
      </c>
      <c r="K80" s="56" t="str">
        <f t="shared" si="33"/>
        <v/>
      </c>
      <c r="L80" s="56" t="str">
        <f t="shared" si="34"/>
        <v/>
      </c>
      <c r="M80" s="56" t="str">
        <f t="shared" si="17"/>
        <v/>
      </c>
      <c r="N80" s="56" t="str">
        <f t="shared" si="35"/>
        <v/>
      </c>
      <c r="O80" s="57" t="str">
        <f t="shared" si="19"/>
        <v/>
      </c>
      <c r="P80" s="57" t="str">
        <f t="shared" si="36"/>
        <v/>
      </c>
      <c r="Q80" s="57" t="str">
        <f t="shared" si="37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1"/>
        <v/>
      </c>
      <c r="J81" s="55" t="str">
        <f t="shared" si="32"/>
        <v/>
      </c>
      <c r="K81" s="56" t="str">
        <f t="shared" si="33"/>
        <v/>
      </c>
      <c r="L81" s="56" t="str">
        <f t="shared" si="34"/>
        <v/>
      </c>
      <c r="M81" s="56" t="str">
        <f t="shared" si="17"/>
        <v/>
      </c>
      <c r="N81" s="56" t="str">
        <f t="shared" si="35"/>
        <v/>
      </c>
      <c r="O81" s="57" t="str">
        <f t="shared" si="19"/>
        <v/>
      </c>
      <c r="P81" s="57" t="str">
        <f t="shared" si="36"/>
        <v/>
      </c>
      <c r="Q81" s="57" t="str">
        <f t="shared" si="37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1"/>
        <v/>
      </c>
      <c r="J82" s="55" t="str">
        <f t="shared" si="32"/>
        <v/>
      </c>
      <c r="K82" s="56" t="str">
        <f t="shared" si="33"/>
        <v/>
      </c>
      <c r="L82" s="56" t="str">
        <f t="shared" si="34"/>
        <v/>
      </c>
      <c r="M82" s="56" t="str">
        <f t="shared" si="17"/>
        <v/>
      </c>
      <c r="N82" s="56" t="str">
        <f t="shared" si="35"/>
        <v/>
      </c>
      <c r="O82" s="57" t="str">
        <f t="shared" si="19"/>
        <v/>
      </c>
      <c r="P82" s="57" t="str">
        <f t="shared" si="36"/>
        <v/>
      </c>
      <c r="Q82" s="57" t="str">
        <f t="shared" si="37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1"/>
        <v/>
      </c>
      <c r="J83" s="55" t="str">
        <f t="shared" si="32"/>
        <v/>
      </c>
      <c r="K83" s="56" t="str">
        <f t="shared" si="33"/>
        <v/>
      </c>
      <c r="L83" s="56" t="str">
        <f t="shared" si="34"/>
        <v/>
      </c>
      <c r="M83" s="56" t="str">
        <f t="shared" si="17"/>
        <v/>
      </c>
      <c r="N83" s="56" t="str">
        <f t="shared" si="35"/>
        <v/>
      </c>
      <c r="O83" s="57" t="str">
        <f t="shared" si="19"/>
        <v/>
      </c>
      <c r="P83" s="57" t="str">
        <f t="shared" si="36"/>
        <v/>
      </c>
      <c r="Q83" s="57" t="str">
        <f t="shared" si="37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1"/>
        <v/>
      </c>
      <c r="J84" s="55" t="str">
        <f t="shared" si="32"/>
        <v/>
      </c>
      <c r="K84" s="56" t="str">
        <f t="shared" si="33"/>
        <v/>
      </c>
      <c r="L84" s="56" t="str">
        <f t="shared" si="34"/>
        <v/>
      </c>
      <c r="M84" s="56" t="str">
        <f t="shared" si="17"/>
        <v/>
      </c>
      <c r="N84" s="56" t="str">
        <f t="shared" si="35"/>
        <v/>
      </c>
      <c r="O84" s="57" t="str">
        <f t="shared" si="19"/>
        <v/>
      </c>
      <c r="P84" s="57" t="str">
        <f t="shared" si="36"/>
        <v/>
      </c>
      <c r="Q84" s="57" t="str">
        <f t="shared" si="37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1"/>
        <v/>
      </c>
      <c r="J85" s="55" t="str">
        <f t="shared" si="32"/>
        <v/>
      </c>
      <c r="K85" s="56" t="str">
        <f t="shared" si="33"/>
        <v/>
      </c>
      <c r="L85" s="56" t="str">
        <f t="shared" si="34"/>
        <v/>
      </c>
      <c r="M85" s="56" t="str">
        <f t="shared" si="17"/>
        <v/>
      </c>
      <c r="N85" s="56" t="str">
        <f t="shared" si="35"/>
        <v/>
      </c>
      <c r="O85" s="57" t="str">
        <f t="shared" si="19"/>
        <v/>
      </c>
      <c r="P85" s="57" t="str">
        <f t="shared" si="36"/>
        <v/>
      </c>
      <c r="Q85" s="57" t="str">
        <f t="shared" si="37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1"/>
        <v/>
      </c>
      <c r="J86" s="55" t="str">
        <f t="shared" si="32"/>
        <v/>
      </c>
      <c r="K86" s="56" t="str">
        <f t="shared" si="33"/>
        <v/>
      </c>
      <c r="L86" s="56" t="str">
        <f t="shared" si="34"/>
        <v/>
      </c>
      <c r="M86" s="56" t="str">
        <f t="shared" si="17"/>
        <v/>
      </c>
      <c r="N86" s="56" t="str">
        <f t="shared" si="35"/>
        <v/>
      </c>
      <c r="O86" s="57" t="str">
        <f t="shared" si="19"/>
        <v/>
      </c>
      <c r="P86" s="57" t="str">
        <f t="shared" si="36"/>
        <v/>
      </c>
      <c r="Q86" s="57" t="str">
        <f t="shared" si="37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1"/>
        <v/>
      </c>
      <c r="J87" s="55" t="str">
        <f t="shared" si="32"/>
        <v/>
      </c>
      <c r="K87" s="56" t="str">
        <f t="shared" si="33"/>
        <v/>
      </c>
      <c r="L87" s="56" t="str">
        <f t="shared" si="34"/>
        <v/>
      </c>
      <c r="M87" s="56" t="str">
        <f t="shared" si="17"/>
        <v/>
      </c>
      <c r="N87" s="56" t="str">
        <f t="shared" si="35"/>
        <v/>
      </c>
      <c r="O87" s="57" t="str">
        <f t="shared" si="19"/>
        <v/>
      </c>
      <c r="P87" s="57" t="str">
        <f t="shared" si="36"/>
        <v/>
      </c>
      <c r="Q87" s="57" t="str">
        <f t="shared" si="37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1"/>
        <v/>
      </c>
      <c r="J88" s="55" t="str">
        <f t="shared" si="32"/>
        <v/>
      </c>
      <c r="K88" s="56" t="str">
        <f t="shared" si="33"/>
        <v/>
      </c>
      <c r="L88" s="56" t="str">
        <f t="shared" si="34"/>
        <v/>
      </c>
      <c r="M88" s="56" t="str">
        <f t="shared" si="17"/>
        <v/>
      </c>
      <c r="N88" s="56" t="str">
        <f t="shared" si="35"/>
        <v/>
      </c>
      <c r="O88" s="57" t="str">
        <f t="shared" si="19"/>
        <v/>
      </c>
      <c r="P88" s="57" t="str">
        <f t="shared" si="36"/>
        <v/>
      </c>
      <c r="Q88" s="57" t="str">
        <f t="shared" si="37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1"/>
        <v/>
      </c>
      <c r="J89" s="55" t="str">
        <f t="shared" si="32"/>
        <v/>
      </c>
      <c r="K89" s="56" t="str">
        <f t="shared" si="33"/>
        <v/>
      </c>
      <c r="L89" s="56" t="str">
        <f t="shared" si="34"/>
        <v/>
      </c>
      <c r="M89" s="56" t="str">
        <f t="shared" si="17"/>
        <v/>
      </c>
      <c r="N89" s="56" t="str">
        <f t="shared" si="35"/>
        <v/>
      </c>
      <c r="O89" s="57" t="str">
        <f t="shared" si="19"/>
        <v/>
      </c>
      <c r="P89" s="57" t="str">
        <f t="shared" si="36"/>
        <v/>
      </c>
      <c r="Q89" s="57" t="str">
        <f t="shared" si="37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1"/>
        <v/>
      </c>
      <c r="J90" s="55" t="str">
        <f t="shared" si="32"/>
        <v/>
      </c>
      <c r="K90" s="56" t="str">
        <f t="shared" si="33"/>
        <v/>
      </c>
      <c r="L90" s="56" t="str">
        <f t="shared" si="34"/>
        <v/>
      </c>
      <c r="M90" s="56" t="str">
        <f t="shared" si="17"/>
        <v/>
      </c>
      <c r="N90" s="56" t="str">
        <f t="shared" si="35"/>
        <v/>
      </c>
      <c r="O90" s="57" t="str">
        <f t="shared" si="19"/>
        <v/>
      </c>
      <c r="P90" s="57" t="str">
        <f t="shared" si="36"/>
        <v/>
      </c>
      <c r="Q90" s="57" t="str">
        <f t="shared" si="37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1"/>
        <v/>
      </c>
      <c r="J91" s="55" t="str">
        <f t="shared" si="32"/>
        <v/>
      </c>
      <c r="K91" s="56" t="str">
        <f t="shared" si="33"/>
        <v/>
      </c>
      <c r="L91" s="56" t="str">
        <f t="shared" si="34"/>
        <v/>
      </c>
      <c r="M91" s="56" t="str">
        <f t="shared" si="17"/>
        <v/>
      </c>
      <c r="N91" s="56" t="str">
        <f t="shared" si="35"/>
        <v/>
      </c>
      <c r="O91" s="57" t="str">
        <f t="shared" si="19"/>
        <v/>
      </c>
      <c r="P91" s="57" t="str">
        <f t="shared" si="36"/>
        <v/>
      </c>
      <c r="Q91" s="57" t="str">
        <f t="shared" si="37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1"/>
        <v/>
      </c>
      <c r="J92" s="55" t="str">
        <f t="shared" si="32"/>
        <v/>
      </c>
      <c r="K92" s="56" t="str">
        <f t="shared" si="33"/>
        <v/>
      </c>
      <c r="L92" s="56" t="str">
        <f t="shared" si="34"/>
        <v/>
      </c>
      <c r="M92" s="56" t="str">
        <f t="shared" si="17"/>
        <v/>
      </c>
      <c r="N92" s="56" t="str">
        <f t="shared" si="35"/>
        <v/>
      </c>
      <c r="O92" s="57" t="str">
        <f t="shared" si="19"/>
        <v/>
      </c>
      <c r="P92" s="57" t="str">
        <f t="shared" si="36"/>
        <v/>
      </c>
      <c r="Q92" s="57" t="str">
        <f t="shared" si="37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1"/>
        <v/>
      </c>
      <c r="J93" s="55" t="str">
        <f t="shared" si="32"/>
        <v/>
      </c>
      <c r="K93" s="56" t="str">
        <f t="shared" si="33"/>
        <v/>
      </c>
      <c r="L93" s="56" t="str">
        <f t="shared" si="34"/>
        <v/>
      </c>
      <c r="M93" s="56" t="str">
        <f t="shared" ref="M93:M127" si="38">IF(D93=0,"",1-L93)</f>
        <v/>
      </c>
      <c r="N93" s="56" t="str">
        <f t="shared" si="35"/>
        <v/>
      </c>
      <c r="O93" s="57" t="str">
        <f t="shared" ref="O93:O127" si="39">IF(D93=0,"",F93*K93*$J$7/$J$14)</f>
        <v/>
      </c>
      <c r="P93" s="57" t="str">
        <f t="shared" si="36"/>
        <v/>
      </c>
      <c r="Q93" s="57" t="str">
        <f t="shared" si="37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1"/>
        <v/>
      </c>
      <c r="J94" s="55" t="str">
        <f t="shared" si="32"/>
        <v/>
      </c>
      <c r="K94" s="56" t="str">
        <f t="shared" si="33"/>
        <v/>
      </c>
      <c r="L94" s="56" t="str">
        <f t="shared" si="34"/>
        <v/>
      </c>
      <c r="M94" s="56" t="str">
        <f t="shared" si="38"/>
        <v/>
      </c>
      <c r="N94" s="56" t="str">
        <f t="shared" si="35"/>
        <v/>
      </c>
      <c r="O94" s="57" t="str">
        <f t="shared" si="39"/>
        <v/>
      </c>
      <c r="P94" s="57" t="str">
        <f t="shared" si="36"/>
        <v/>
      </c>
      <c r="Q94" s="57" t="str">
        <f t="shared" si="37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1"/>
        <v/>
      </c>
      <c r="J95" s="55" t="str">
        <f t="shared" si="32"/>
        <v/>
      </c>
      <c r="K95" s="56" t="str">
        <f t="shared" si="33"/>
        <v/>
      </c>
      <c r="L95" s="56" t="str">
        <f t="shared" si="34"/>
        <v/>
      </c>
      <c r="M95" s="56" t="str">
        <f t="shared" si="38"/>
        <v/>
      </c>
      <c r="N95" s="56" t="str">
        <f t="shared" si="35"/>
        <v/>
      </c>
      <c r="O95" s="57" t="str">
        <f t="shared" si="39"/>
        <v/>
      </c>
      <c r="P95" s="57" t="str">
        <f t="shared" si="36"/>
        <v/>
      </c>
      <c r="Q95" s="57" t="str">
        <f t="shared" si="37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1"/>
        <v/>
      </c>
      <c r="J96" s="55" t="str">
        <f t="shared" si="32"/>
        <v/>
      </c>
      <c r="K96" s="56" t="str">
        <f t="shared" si="33"/>
        <v/>
      </c>
      <c r="L96" s="56" t="str">
        <f t="shared" si="34"/>
        <v/>
      </c>
      <c r="M96" s="56" t="str">
        <f t="shared" si="38"/>
        <v/>
      </c>
      <c r="N96" s="56" t="str">
        <f t="shared" si="35"/>
        <v/>
      </c>
      <c r="O96" s="57" t="str">
        <f t="shared" si="39"/>
        <v/>
      </c>
      <c r="P96" s="57" t="str">
        <f t="shared" si="36"/>
        <v/>
      </c>
      <c r="Q96" s="57" t="str">
        <f t="shared" si="37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1"/>
        <v/>
      </c>
      <c r="J97" s="55" t="str">
        <f t="shared" si="32"/>
        <v/>
      </c>
      <c r="K97" s="56" t="str">
        <f t="shared" si="33"/>
        <v/>
      </c>
      <c r="L97" s="56" t="str">
        <f t="shared" si="34"/>
        <v/>
      </c>
      <c r="M97" s="56" t="str">
        <f t="shared" si="38"/>
        <v/>
      </c>
      <c r="N97" s="56" t="str">
        <f t="shared" si="35"/>
        <v/>
      </c>
      <c r="O97" s="57" t="str">
        <f t="shared" si="39"/>
        <v/>
      </c>
      <c r="P97" s="57" t="str">
        <f t="shared" si="36"/>
        <v/>
      </c>
      <c r="Q97" s="57" t="str">
        <f t="shared" si="37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1"/>
        <v/>
      </c>
      <c r="J98" s="55" t="str">
        <f t="shared" si="32"/>
        <v/>
      </c>
      <c r="K98" s="56" t="str">
        <f t="shared" si="33"/>
        <v/>
      </c>
      <c r="L98" s="56" t="str">
        <f t="shared" si="34"/>
        <v/>
      </c>
      <c r="M98" s="56" t="str">
        <f t="shared" si="38"/>
        <v/>
      </c>
      <c r="N98" s="56" t="str">
        <f t="shared" si="35"/>
        <v/>
      </c>
      <c r="O98" s="57" t="str">
        <f t="shared" si="39"/>
        <v/>
      </c>
      <c r="P98" s="57" t="str">
        <f t="shared" si="36"/>
        <v/>
      </c>
      <c r="Q98" s="57" t="str">
        <f t="shared" si="37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1"/>
        <v/>
      </c>
      <c r="J99" s="55" t="str">
        <f t="shared" si="32"/>
        <v/>
      </c>
      <c r="K99" s="56" t="str">
        <f t="shared" si="33"/>
        <v/>
      </c>
      <c r="L99" s="56" t="str">
        <f t="shared" si="34"/>
        <v/>
      </c>
      <c r="M99" s="56" t="str">
        <f t="shared" si="38"/>
        <v/>
      </c>
      <c r="N99" s="56" t="str">
        <f t="shared" si="35"/>
        <v/>
      </c>
      <c r="O99" s="57" t="str">
        <f t="shared" si="39"/>
        <v/>
      </c>
      <c r="P99" s="57" t="str">
        <f t="shared" si="36"/>
        <v/>
      </c>
      <c r="Q99" s="57" t="str">
        <f t="shared" si="37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1"/>
        <v/>
      </c>
      <c r="J100" s="55" t="str">
        <f t="shared" si="32"/>
        <v/>
      </c>
      <c r="K100" s="56" t="str">
        <f t="shared" si="33"/>
        <v/>
      </c>
      <c r="L100" s="56" t="str">
        <f t="shared" si="34"/>
        <v/>
      </c>
      <c r="M100" s="56" t="str">
        <f t="shared" si="38"/>
        <v/>
      </c>
      <c r="N100" s="56" t="str">
        <f t="shared" si="35"/>
        <v/>
      </c>
      <c r="O100" s="57" t="str">
        <f t="shared" si="39"/>
        <v/>
      </c>
      <c r="P100" s="57" t="str">
        <f t="shared" si="36"/>
        <v/>
      </c>
      <c r="Q100" s="57" t="str">
        <f t="shared" si="37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1"/>
        <v/>
      </c>
      <c r="J101" s="55" t="str">
        <f t="shared" si="32"/>
        <v/>
      </c>
      <c r="K101" s="56" t="str">
        <f t="shared" si="33"/>
        <v/>
      </c>
      <c r="L101" s="56" t="str">
        <f t="shared" si="34"/>
        <v/>
      </c>
      <c r="M101" s="56" t="str">
        <f t="shared" si="38"/>
        <v/>
      </c>
      <c r="N101" s="56" t="str">
        <f t="shared" si="35"/>
        <v/>
      </c>
      <c r="O101" s="57" t="str">
        <f t="shared" si="39"/>
        <v/>
      </c>
      <c r="P101" s="57" t="str">
        <f t="shared" si="36"/>
        <v/>
      </c>
      <c r="Q101" s="57" t="str">
        <f t="shared" si="37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1"/>
        <v/>
      </c>
      <c r="J102" s="55" t="str">
        <f t="shared" si="32"/>
        <v/>
      </c>
      <c r="K102" s="56" t="str">
        <f t="shared" si="33"/>
        <v/>
      </c>
      <c r="L102" s="56" t="str">
        <f t="shared" si="34"/>
        <v/>
      </c>
      <c r="M102" s="56" t="str">
        <f t="shared" si="38"/>
        <v/>
      </c>
      <c r="N102" s="56" t="str">
        <f t="shared" si="35"/>
        <v/>
      </c>
      <c r="O102" s="57" t="str">
        <f t="shared" si="39"/>
        <v/>
      </c>
      <c r="P102" s="57" t="str">
        <f t="shared" si="36"/>
        <v/>
      </c>
      <c r="Q102" s="57" t="str">
        <f t="shared" si="37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1"/>
        <v/>
      </c>
      <c r="J103" s="55" t="str">
        <f t="shared" si="32"/>
        <v/>
      </c>
      <c r="K103" s="56" t="str">
        <f t="shared" si="33"/>
        <v/>
      </c>
      <c r="L103" s="56" t="str">
        <f t="shared" si="34"/>
        <v/>
      </c>
      <c r="M103" s="56" t="str">
        <f t="shared" si="38"/>
        <v/>
      </c>
      <c r="N103" s="56" t="str">
        <f t="shared" si="35"/>
        <v/>
      </c>
      <c r="O103" s="57" t="str">
        <f t="shared" si="39"/>
        <v/>
      </c>
      <c r="P103" s="57" t="str">
        <f t="shared" si="36"/>
        <v/>
      </c>
      <c r="Q103" s="57" t="str">
        <f t="shared" si="37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1"/>
        <v/>
      </c>
      <c r="J104" s="55" t="str">
        <f t="shared" si="32"/>
        <v/>
      </c>
      <c r="K104" s="56" t="str">
        <f t="shared" si="33"/>
        <v/>
      </c>
      <c r="L104" s="56" t="str">
        <f t="shared" si="34"/>
        <v/>
      </c>
      <c r="M104" s="56" t="str">
        <f t="shared" si="38"/>
        <v/>
      </c>
      <c r="N104" s="56" t="str">
        <f t="shared" si="35"/>
        <v/>
      </c>
      <c r="O104" s="57" t="str">
        <f t="shared" si="39"/>
        <v/>
      </c>
      <c r="P104" s="57" t="str">
        <f t="shared" si="36"/>
        <v/>
      </c>
      <c r="Q104" s="57" t="str">
        <f t="shared" si="37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1"/>
        <v/>
      </c>
      <c r="J105" s="55" t="str">
        <f t="shared" si="32"/>
        <v/>
      </c>
      <c r="K105" s="56" t="str">
        <f t="shared" si="33"/>
        <v/>
      </c>
      <c r="L105" s="56" t="str">
        <f t="shared" si="34"/>
        <v/>
      </c>
      <c r="M105" s="56" t="str">
        <f t="shared" si="38"/>
        <v/>
      </c>
      <c r="N105" s="56" t="str">
        <f t="shared" si="35"/>
        <v/>
      </c>
      <c r="O105" s="57" t="str">
        <f t="shared" si="39"/>
        <v/>
      </c>
      <c r="P105" s="57" t="str">
        <f t="shared" si="36"/>
        <v/>
      </c>
      <c r="Q105" s="57" t="str">
        <f t="shared" si="37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1"/>
        <v/>
      </c>
      <c r="J106" s="55" t="str">
        <f t="shared" si="32"/>
        <v/>
      </c>
      <c r="K106" s="56" t="str">
        <f t="shared" si="33"/>
        <v/>
      </c>
      <c r="L106" s="56" t="str">
        <f t="shared" si="34"/>
        <v/>
      </c>
      <c r="M106" s="56" t="str">
        <f t="shared" si="38"/>
        <v/>
      </c>
      <c r="N106" s="56" t="str">
        <f t="shared" si="35"/>
        <v/>
      </c>
      <c r="O106" s="57" t="str">
        <f t="shared" si="39"/>
        <v/>
      </c>
      <c r="P106" s="57" t="str">
        <f t="shared" si="36"/>
        <v/>
      </c>
      <c r="Q106" s="57" t="str">
        <f t="shared" si="37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1"/>
        <v/>
      </c>
      <c r="J107" s="55" t="str">
        <f t="shared" si="32"/>
        <v/>
      </c>
      <c r="K107" s="56" t="str">
        <f t="shared" si="33"/>
        <v/>
      </c>
      <c r="L107" s="56" t="str">
        <f t="shared" si="34"/>
        <v/>
      </c>
      <c r="M107" s="56" t="str">
        <f t="shared" si="38"/>
        <v/>
      </c>
      <c r="N107" s="56" t="str">
        <f t="shared" si="35"/>
        <v/>
      </c>
      <c r="O107" s="57" t="str">
        <f t="shared" si="39"/>
        <v/>
      </c>
      <c r="P107" s="57" t="str">
        <f t="shared" si="36"/>
        <v/>
      </c>
      <c r="Q107" s="57" t="str">
        <f t="shared" si="37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1"/>
        <v/>
      </c>
      <c r="J108" s="55" t="str">
        <f t="shared" si="32"/>
        <v/>
      </c>
      <c r="K108" s="56" t="str">
        <f t="shared" si="33"/>
        <v/>
      </c>
      <c r="L108" s="56" t="str">
        <f t="shared" si="34"/>
        <v/>
      </c>
      <c r="M108" s="56" t="str">
        <f t="shared" si="38"/>
        <v/>
      </c>
      <c r="N108" s="56" t="str">
        <f t="shared" si="35"/>
        <v/>
      </c>
      <c r="O108" s="57" t="str">
        <f t="shared" si="39"/>
        <v/>
      </c>
      <c r="P108" s="57" t="str">
        <f t="shared" si="36"/>
        <v/>
      </c>
      <c r="Q108" s="57" t="str">
        <f t="shared" si="37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1"/>
        <v/>
      </c>
      <c r="J109" s="55" t="str">
        <f t="shared" si="32"/>
        <v/>
      </c>
      <c r="K109" s="56" t="str">
        <f t="shared" si="33"/>
        <v/>
      </c>
      <c r="L109" s="56" t="str">
        <f t="shared" si="34"/>
        <v/>
      </c>
      <c r="M109" s="56" t="str">
        <f t="shared" si="38"/>
        <v/>
      </c>
      <c r="N109" s="56" t="str">
        <f t="shared" si="35"/>
        <v/>
      </c>
      <c r="O109" s="57" t="str">
        <f t="shared" si="39"/>
        <v/>
      </c>
      <c r="P109" s="57" t="str">
        <f t="shared" si="36"/>
        <v/>
      </c>
      <c r="Q109" s="57" t="str">
        <f t="shared" si="37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1"/>
        <v/>
      </c>
      <c r="J110" s="55" t="str">
        <f t="shared" si="32"/>
        <v/>
      </c>
      <c r="K110" s="56" t="str">
        <f t="shared" si="33"/>
        <v/>
      </c>
      <c r="L110" s="56" t="str">
        <f t="shared" si="34"/>
        <v/>
      </c>
      <c r="M110" s="56" t="str">
        <f t="shared" si="38"/>
        <v/>
      </c>
      <c r="N110" s="56" t="str">
        <f t="shared" si="35"/>
        <v/>
      </c>
      <c r="O110" s="57" t="str">
        <f t="shared" si="39"/>
        <v/>
      </c>
      <c r="P110" s="57" t="str">
        <f t="shared" si="36"/>
        <v/>
      </c>
      <c r="Q110" s="57" t="str">
        <f t="shared" si="37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1"/>
        <v/>
      </c>
      <c r="J111" s="55" t="str">
        <f t="shared" si="32"/>
        <v/>
      </c>
      <c r="K111" s="56" t="str">
        <f t="shared" si="33"/>
        <v/>
      </c>
      <c r="L111" s="56" t="str">
        <f t="shared" si="34"/>
        <v/>
      </c>
      <c r="M111" s="56" t="str">
        <f t="shared" si="38"/>
        <v/>
      </c>
      <c r="N111" s="56" t="str">
        <f t="shared" si="35"/>
        <v/>
      </c>
      <c r="O111" s="57" t="str">
        <f t="shared" si="39"/>
        <v/>
      </c>
      <c r="P111" s="57" t="str">
        <f t="shared" si="36"/>
        <v/>
      </c>
      <c r="Q111" s="57" t="str">
        <f t="shared" si="37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1"/>
        <v/>
      </c>
      <c r="J112" s="55" t="str">
        <f t="shared" si="32"/>
        <v/>
      </c>
      <c r="K112" s="56" t="str">
        <f t="shared" si="33"/>
        <v/>
      </c>
      <c r="L112" s="56" t="str">
        <f t="shared" si="34"/>
        <v/>
      </c>
      <c r="M112" s="56" t="str">
        <f t="shared" si="38"/>
        <v/>
      </c>
      <c r="N112" s="56" t="str">
        <f t="shared" si="35"/>
        <v/>
      </c>
      <c r="O112" s="57" t="str">
        <f t="shared" si="39"/>
        <v/>
      </c>
      <c r="P112" s="57" t="str">
        <f t="shared" si="36"/>
        <v/>
      </c>
      <c r="Q112" s="57" t="str">
        <f t="shared" si="37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1"/>
        <v/>
      </c>
      <c r="J113" s="55" t="str">
        <f t="shared" si="32"/>
        <v/>
      </c>
      <c r="K113" s="56" t="str">
        <f t="shared" si="33"/>
        <v/>
      </c>
      <c r="L113" s="56" t="str">
        <f t="shared" si="34"/>
        <v/>
      </c>
      <c r="M113" s="56" t="str">
        <f t="shared" si="38"/>
        <v/>
      </c>
      <c r="N113" s="56" t="str">
        <f t="shared" si="35"/>
        <v/>
      </c>
      <c r="O113" s="57" t="str">
        <f t="shared" si="39"/>
        <v/>
      </c>
      <c r="P113" s="57" t="str">
        <f t="shared" si="36"/>
        <v/>
      </c>
      <c r="Q113" s="57" t="str">
        <f t="shared" si="37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1"/>
        <v/>
      </c>
      <c r="J114" s="55" t="str">
        <f t="shared" si="32"/>
        <v/>
      </c>
      <c r="K114" s="56" t="str">
        <f t="shared" si="33"/>
        <v/>
      </c>
      <c r="L114" s="56" t="str">
        <f t="shared" si="34"/>
        <v/>
      </c>
      <c r="M114" s="56" t="str">
        <f t="shared" si="38"/>
        <v/>
      </c>
      <c r="N114" s="56" t="str">
        <f t="shared" si="35"/>
        <v/>
      </c>
      <c r="O114" s="57" t="str">
        <f t="shared" si="39"/>
        <v/>
      </c>
      <c r="P114" s="57" t="str">
        <f t="shared" si="36"/>
        <v/>
      </c>
      <c r="Q114" s="57" t="str">
        <f t="shared" si="37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1"/>
        <v/>
      </c>
      <c r="J115" s="55" t="str">
        <f t="shared" si="32"/>
        <v/>
      </c>
      <c r="K115" s="56" t="str">
        <f t="shared" si="33"/>
        <v/>
      </c>
      <c r="L115" s="56" t="str">
        <f t="shared" si="34"/>
        <v/>
      </c>
      <c r="M115" s="56" t="str">
        <f t="shared" si="38"/>
        <v/>
      </c>
      <c r="N115" s="56" t="str">
        <f t="shared" si="35"/>
        <v/>
      </c>
      <c r="O115" s="57" t="str">
        <f t="shared" si="39"/>
        <v/>
      </c>
      <c r="P115" s="57" t="str">
        <f t="shared" si="36"/>
        <v/>
      </c>
      <c r="Q115" s="57" t="str">
        <f t="shared" si="37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1"/>
        <v/>
      </c>
      <c r="J116" s="55" t="str">
        <f t="shared" si="32"/>
        <v/>
      </c>
      <c r="K116" s="56" t="str">
        <f t="shared" si="33"/>
        <v/>
      </c>
      <c r="L116" s="56" t="str">
        <f t="shared" si="34"/>
        <v/>
      </c>
      <c r="M116" s="56" t="str">
        <f t="shared" si="38"/>
        <v/>
      </c>
      <c r="N116" s="56" t="str">
        <f t="shared" si="35"/>
        <v/>
      </c>
      <c r="O116" s="57" t="str">
        <f t="shared" si="39"/>
        <v/>
      </c>
      <c r="P116" s="57" t="str">
        <f t="shared" si="36"/>
        <v/>
      </c>
      <c r="Q116" s="57" t="str">
        <f t="shared" si="37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1"/>
        <v/>
      </c>
      <c r="J117" s="55" t="str">
        <f t="shared" si="32"/>
        <v/>
      </c>
      <c r="K117" s="56" t="str">
        <f t="shared" si="33"/>
        <v/>
      </c>
      <c r="L117" s="56" t="str">
        <f t="shared" si="34"/>
        <v/>
      </c>
      <c r="M117" s="56" t="str">
        <f t="shared" si="38"/>
        <v/>
      </c>
      <c r="N117" s="56" t="str">
        <f t="shared" si="35"/>
        <v/>
      </c>
      <c r="O117" s="57" t="str">
        <f t="shared" si="39"/>
        <v/>
      </c>
      <c r="P117" s="57" t="str">
        <f t="shared" si="36"/>
        <v/>
      </c>
      <c r="Q117" s="57" t="str">
        <f t="shared" si="37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1"/>
        <v/>
      </c>
      <c r="J118" s="55" t="str">
        <f t="shared" si="32"/>
        <v/>
      </c>
      <c r="K118" s="56" t="str">
        <f t="shared" si="33"/>
        <v/>
      </c>
      <c r="L118" s="56" t="str">
        <f t="shared" si="34"/>
        <v/>
      </c>
      <c r="M118" s="56" t="str">
        <f t="shared" si="38"/>
        <v/>
      </c>
      <c r="N118" s="56" t="str">
        <f t="shared" si="35"/>
        <v/>
      </c>
      <c r="O118" s="57" t="str">
        <f t="shared" si="39"/>
        <v/>
      </c>
      <c r="P118" s="57" t="str">
        <f t="shared" si="36"/>
        <v/>
      </c>
      <c r="Q118" s="57" t="str">
        <f t="shared" si="37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1"/>
        <v/>
      </c>
      <c r="J119" s="55" t="str">
        <f t="shared" si="32"/>
        <v/>
      </c>
      <c r="K119" s="56" t="str">
        <f t="shared" si="33"/>
        <v/>
      </c>
      <c r="L119" s="56" t="str">
        <f t="shared" si="34"/>
        <v/>
      </c>
      <c r="M119" s="56" t="str">
        <f t="shared" si="38"/>
        <v/>
      </c>
      <c r="N119" s="56" t="str">
        <f t="shared" si="35"/>
        <v/>
      </c>
      <c r="O119" s="57" t="str">
        <f t="shared" si="39"/>
        <v/>
      </c>
      <c r="P119" s="57" t="str">
        <f t="shared" si="36"/>
        <v/>
      </c>
      <c r="Q119" s="57" t="str">
        <f t="shared" si="37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1"/>
        <v/>
      </c>
      <c r="J120" s="55" t="str">
        <f t="shared" si="32"/>
        <v/>
      </c>
      <c r="K120" s="56" t="str">
        <f t="shared" si="33"/>
        <v/>
      </c>
      <c r="L120" s="56" t="str">
        <f t="shared" si="34"/>
        <v/>
      </c>
      <c r="M120" s="56" t="str">
        <f t="shared" si="38"/>
        <v/>
      </c>
      <c r="N120" s="56" t="str">
        <f t="shared" si="35"/>
        <v/>
      </c>
      <c r="O120" s="57" t="str">
        <f t="shared" si="39"/>
        <v/>
      </c>
      <c r="P120" s="57" t="str">
        <f t="shared" si="36"/>
        <v/>
      </c>
      <c r="Q120" s="57" t="str">
        <f t="shared" si="37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1"/>
        <v/>
      </c>
      <c r="J121" s="55" t="str">
        <f t="shared" si="32"/>
        <v/>
      </c>
      <c r="K121" s="56" t="str">
        <f t="shared" si="33"/>
        <v/>
      </c>
      <c r="L121" s="56" t="str">
        <f t="shared" si="34"/>
        <v/>
      </c>
      <c r="M121" s="56" t="str">
        <f t="shared" si="38"/>
        <v/>
      </c>
      <c r="N121" s="56" t="str">
        <f t="shared" si="35"/>
        <v/>
      </c>
      <c r="O121" s="57" t="str">
        <f t="shared" si="39"/>
        <v/>
      </c>
      <c r="P121" s="57" t="str">
        <f t="shared" si="36"/>
        <v/>
      </c>
      <c r="Q121" s="57" t="str">
        <f t="shared" si="37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1"/>
        <v/>
      </c>
      <c r="J122" s="55" t="str">
        <f t="shared" si="32"/>
        <v/>
      </c>
      <c r="K122" s="56" t="str">
        <f t="shared" si="33"/>
        <v/>
      </c>
      <c r="L122" s="56" t="str">
        <f t="shared" si="34"/>
        <v/>
      </c>
      <c r="M122" s="56" t="str">
        <f t="shared" si="38"/>
        <v/>
      </c>
      <c r="N122" s="56" t="str">
        <f t="shared" si="35"/>
        <v/>
      </c>
      <c r="O122" s="57" t="str">
        <f t="shared" si="39"/>
        <v/>
      </c>
      <c r="P122" s="57" t="str">
        <f t="shared" si="36"/>
        <v/>
      </c>
      <c r="Q122" s="57" t="str">
        <f t="shared" si="37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40">IF(D123=0,"",LOG($K$15*10^D123+$K$16*10^E123+$K$14))</f>
        <v/>
      </c>
      <c r="J123" s="55" t="str">
        <f t="shared" ref="J123:J127" si="41">IF(D123=0,"",LOG($K$21*10^D123+$K$22*10^E123+$K$20))</f>
        <v/>
      </c>
      <c r="K123" s="56" t="str">
        <f t="shared" ref="K123:K127" si="42">IF(D123=0,"",1/(1+10^D123*$J$15/$J$14+10^E123*$J$16/$J$14+10^J123*$J$19/$J$14))</f>
        <v/>
      </c>
      <c r="L123" s="56" t="str">
        <f t="shared" ref="L123:L127" si="43">IF(D123=0,"",1/(1+10^I123/10^J123*$J$13/$J$19))</f>
        <v/>
      </c>
      <c r="M123" s="56" t="str">
        <f t="shared" si="38"/>
        <v/>
      </c>
      <c r="N123" s="56" t="str">
        <f t="shared" ref="N123:N127" si="44">IF(D123=0,"",1/(1/10^E123*$J$20/$J$22+10^D123/10^E123*$J$21/$J$22+10^I123/10^E123*$J$13/$J$22+1))</f>
        <v/>
      </c>
      <c r="O123" s="57" t="str">
        <f t="shared" si="39"/>
        <v/>
      </c>
      <c r="P123" s="57" t="str">
        <f t="shared" ref="P123:P127" si="45">IF(D123=0,"",O123*10^J123)</f>
        <v/>
      </c>
      <c r="Q123" s="57" t="str">
        <f t="shared" ref="Q123:Q127" si="46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40"/>
        <v/>
      </c>
      <c r="J124" s="55" t="str">
        <f t="shared" si="41"/>
        <v/>
      </c>
      <c r="K124" s="56" t="str">
        <f t="shared" si="42"/>
        <v/>
      </c>
      <c r="L124" s="56" t="str">
        <f t="shared" si="43"/>
        <v/>
      </c>
      <c r="M124" s="56" t="str">
        <f t="shared" si="38"/>
        <v/>
      </c>
      <c r="N124" s="56" t="str">
        <f t="shared" si="44"/>
        <v/>
      </c>
      <c r="O124" s="57" t="str">
        <f t="shared" si="39"/>
        <v/>
      </c>
      <c r="P124" s="57" t="str">
        <f t="shared" si="45"/>
        <v/>
      </c>
      <c r="Q124" s="57" t="str">
        <f t="shared" si="46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40"/>
        <v/>
      </c>
      <c r="J125" s="55" t="str">
        <f t="shared" si="41"/>
        <v/>
      </c>
      <c r="K125" s="56" t="str">
        <f t="shared" si="42"/>
        <v/>
      </c>
      <c r="L125" s="56" t="str">
        <f t="shared" si="43"/>
        <v/>
      </c>
      <c r="M125" s="56" t="str">
        <f t="shared" si="38"/>
        <v/>
      </c>
      <c r="N125" s="56" t="str">
        <f t="shared" si="44"/>
        <v/>
      </c>
      <c r="O125" s="57" t="str">
        <f t="shared" si="39"/>
        <v/>
      </c>
      <c r="P125" s="57" t="str">
        <f t="shared" si="45"/>
        <v/>
      </c>
      <c r="Q125" s="57" t="str">
        <f t="shared" si="46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40"/>
        <v/>
      </c>
      <c r="J126" s="55" t="str">
        <f t="shared" si="41"/>
        <v/>
      </c>
      <c r="K126" s="56" t="str">
        <f t="shared" si="42"/>
        <v/>
      </c>
      <c r="L126" s="56" t="str">
        <f t="shared" si="43"/>
        <v/>
      </c>
      <c r="M126" s="56" t="str">
        <f t="shared" si="38"/>
        <v/>
      </c>
      <c r="N126" s="56" t="str">
        <f t="shared" si="44"/>
        <v/>
      </c>
      <c r="O126" s="57" t="str">
        <f t="shared" si="39"/>
        <v/>
      </c>
      <c r="P126" s="57" t="str">
        <f t="shared" si="45"/>
        <v/>
      </c>
      <c r="Q126" s="57" t="str">
        <f t="shared" si="46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40"/>
        <v/>
      </c>
      <c r="J127" s="55" t="str">
        <f t="shared" si="41"/>
        <v/>
      </c>
      <c r="K127" s="56" t="str">
        <f t="shared" si="42"/>
        <v/>
      </c>
      <c r="L127" s="56" t="str">
        <f t="shared" si="43"/>
        <v/>
      </c>
      <c r="M127" s="56" t="str">
        <f t="shared" si="38"/>
        <v/>
      </c>
      <c r="N127" s="56" t="str">
        <f t="shared" si="44"/>
        <v/>
      </c>
      <c r="O127" s="57" t="str">
        <f t="shared" si="39"/>
        <v/>
      </c>
      <c r="P127" s="57" t="str">
        <f t="shared" si="45"/>
        <v/>
      </c>
      <c r="Q127" s="57" t="str">
        <f t="shared" si="46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2025-02-04T03:39:02Z</dcterms:modified>
</cp:coreProperties>
</file>