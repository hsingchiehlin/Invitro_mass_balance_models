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Truisi 2015\Results\"/>
    </mc:Choice>
  </mc:AlternateContent>
  <xr:revisionPtr revIDLastSave="0" documentId="13_ncr:1_{D6E5EC5D-4DB2-42D0-898C-B79B8DDF6292}" xr6:coauthVersionLast="47" xr6:coauthVersionMax="47" xr10:uidLastSave="{00000000-0000-0000-0000-000000000000}"/>
  <bookViews>
    <workbookView xWindow="8918" yWindow="1567" windowWidth="14497" windowHeight="8190" tabRatio="841" firstSheet="6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2" l="1"/>
  <c r="L2" i="12"/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<sst xmlns="http://schemas.openxmlformats.org/spreadsheetml/2006/main" count="398" uniqueCount="282">
  <si>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</si>
  <si>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</si>
  <si>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</si>
  <si>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</si>
  <si>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</si>
  <si>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</si>
  <si>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</si>
  <si>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</si>
  <si>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</si>
  <si>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</si>
  <si>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</si>
  <si>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</si>
  <si>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</si>
  <si>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</si>
  <si>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</si>
  <si>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</si>
  <si>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</si>
  <si>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</si>
  <si>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</si>
  <si>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</si>
  <si>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</si>
  <si>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</si>
  <si>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</si>
  <si>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</si>
  <si>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</si>
  <si>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</si>
  <si>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</si>
  <si>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</si>
  <si>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</si>
  <si>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</si>
  <si>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</si>
  <si>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</si>
  <si>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</si>
  <si>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</si>
  <si>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</si>
  <si>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</si>
  <si>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</si>
  <si>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</si>
  <si>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</si>
  <si>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</si>
  <si>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</si>
  <si>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</si>
  <si>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</si>
  <si>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</si>
  <si>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</si>
  <si>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</si>
  <si>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</si>
  <si>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</si>
  <si>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</si>
  <si>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</si>
  <si>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</si>
  <si>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</si>
  <si>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</si>
  <si>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</si>
  <si>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</si>
  <si>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</si>
  <si>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</si>
  <si>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</si>
  <si>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</si>
  <si>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</si>
  <si>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</si>
  <si>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</si>
  <si>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</si>
  <si>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</si>
  <si>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</si>
  <si>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</si>
  <si>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</si>
  <si>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</si>
  <si>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</si>
  <si>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</si>
  <si>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</si>
  <si>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</si>
  <si>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</si>
  <si>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</si>
  <si>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</si>
  <si>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</si>
  <si>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</si>
  <si>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</si>
  <si>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</si>
  <si>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</si>
  <si>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</si>
  <si>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</si>
  <si>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</si>
  <si>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</si>
  <si>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</si>
  <si>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</si>
  <si>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</si>
  <si>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</si>
  <si>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</si>
  <si>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</si>
  <si>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</si>
  <si>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</si>
  <si>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</si>
  <si>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</si>
  <si>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</si>
  <si>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</si>
  <si>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</si>
  <si>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</si>
  <si>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</si>
  <si>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</si>
  <si>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</si>
  <si>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</si>
  <si>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</si>
  <si>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</si>
  <si>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</si>
  <si>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</si>
  <si>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</si>
  <si>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</si>
  <si>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</si>
  <si>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</si>
  <si>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</si>
  <si>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</si>
  <si>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</si>
  <si>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</si>
  <si>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</si>
  <si>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</si>
  <si>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</si>
  <si>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</si>
  <si>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</si>
  <si>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</si>
  <si>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</si>
  <si>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</si>
  <si>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</si>
  <si>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</si>
  <si>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</si>
  <si>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</si>
  <si>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</si>
  <si>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</si>
  <si>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</si>
  <si>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</si>
  <si>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</si>
  <si>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</si>
  <si>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</si>
  <si>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</si>
  <si>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</si>
  <si>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</si>
  <si>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</si>
  <si>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</si>
  <si>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</si>
  <si>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</si>
  <si>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</si>
  <si>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</si>
  <si>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</si>
  <si>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</si>
  <si>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</si>
  <si>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</si>
  <si>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</si>
  <si>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</si>
  <si>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</si>
  <si>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</si>
  <si>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</si>
  <si>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</si>
  <si>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</si>
  <si>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</si>
  <si>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</si>
  <si>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</si>
  <si>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</si>
  <si>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</si>
  <si>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</si>
  <si>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</si>
  <si>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</si>
  <si>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</si>
  <si>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</si>
  <si>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</si>
  <si>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</si>
  <si>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</si>
  <si>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</si>
  <si>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</si>
  <si>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</si>
  <si>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</si>
  <si>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</si>
  <si>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</si>
  <si>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</si>
  <si>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</si>
  <si>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</si>
  <si>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</si>
  <si>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</si>
  <si>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</si>
  <si>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</si>
  <si>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</si>
  <si>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</si>
  <si>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</si>
  <si>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</si>
  <si>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</si>
  <si>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</si>
  <si>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</si>
  <si>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</si>
  <si>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</si>
  <si>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</si>
  <si>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</si>
  <si>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</si>
  <si>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</si>
  <si>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</si>
  <si>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</si>
  <si>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</si>
  <si>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</si>
  <si>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</si>
  <si>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</si>
  <si>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</si>
  <si>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</si>
  <si>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</si>
  <si>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</si>
  <si>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</si>
  <si>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</si>
  <si>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</si>
  <si>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</si>
  <si>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</si>
  <si>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</si>
  <si>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</si>
  <si>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</si>
  <si>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</si>
  <si>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</si>
  <si>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</si>
  <si>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</si>
  <si>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</si>
  <si>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</si>
  <si>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</si>
  <si>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</si>
  <si>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</si>
  <si>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</si>
  <si>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</si>
  <si>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</si>
  <si>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</si>
  <si>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</si>
  <si>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</si>
  <si>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</si>
  <si>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</si>
  <si>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</si>
  <si>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</si>
  <si>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</si>
  <si>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</si>
  <si>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</si>
  <si>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</si>
  <si>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</si>
  <si>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</si>
  <si>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</si>
  <si>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</si>
  <si>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</si>
  <si>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</si>
  <si>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</si>
  <si>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</si>
  <si>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</si>
  <si>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</si>
  <si>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</si>
  <si>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</si>
  <si>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</si>
  <si>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</si>
  <si>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</si>
  <si>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</si>
  <si>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</si>
  <si>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</si>
  <si>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</si>
  <si>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</si>
  <si>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</si>
  <si>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</si>
  <si>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</si>
  <si>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</si>
  <si>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</si>
  <si>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</si>
  <si>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</si>
  <si>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</si>
  <si>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</si>
  <si>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</si>
  <si>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</si>
  <si>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</si>
  <si>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</si>
  <si>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</si>
  <si>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</si>
  <si>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</si>
  <si>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</si>
  <si>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</si>
  <si>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</si>
  <si>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</si>
  <si>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</si>
  <si>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</si>
  <si>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</si>
  <si>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ibuprofen</t>
    <phoneticPr fontId="1" type="noConversion"/>
  </si>
  <si>
    <t>15687-27-1</t>
    <phoneticPr fontId="1" type="noConversion"/>
  </si>
  <si>
    <t>A</t>
  </si>
  <si>
    <t>ibuprofen</t>
  </si>
  <si>
    <t>15687-27-1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</si>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</sst>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231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237</v>
      </c>
    </row>
    <row r="14" spans="1:15" ht="17.25">
      <c r="M14" s="1" t="s">
        <v>238</v>
      </c>
      <c r="N14" s="1" t="s">
        <v>242</v>
      </c>
    </row>
    <row r="15" spans="1:15" ht="17.25">
      <c r="M15" s="1" t="s">
        <v>239</v>
      </c>
      <c r="N15" s="1" t="s">
        <v>243</v>
      </c>
    </row>
    <row r="16" spans="1:15" ht="17.25">
      <c r="M16" s="1" t="s">
        <v>240</v>
      </c>
      <c r="N16" s="1" t="s">
        <v>244</v>
      </c>
    </row>
    <row r="17" spans="13:14" ht="17.25">
      <c r="M17" s="1" t="s">
        <v>241</v>
      </c>
      <c r="N17" s="1" t="s">
        <v>245</v>
      </c>
    </row>
    <row r="18" spans="13:14" ht="17.25">
      <c r="M18" s="1" t="s">
        <v>248</v>
      </c>
      <c r="N18" s="1" t="s">
        <v>246</v>
      </c>
    </row>
    <row r="19" spans="13:14" ht="17.25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9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276</v>
      </c>
      <c r="B2" s="169" t="s">
        <v>277</v>
      </c>
      <c r="C2" s="124"/>
      <c r="D2" s="170">
        <v>206.28</v>
      </c>
      <c r="E2" s="170">
        <v>87.4</v>
      </c>
      <c r="F2" s="100"/>
      <c r="G2" s="101" t="s">
        <v>278</v>
      </c>
      <c r="H2" s="170">
        <v>5.4</v>
      </c>
      <c r="I2" s="170">
        <v>3.73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-5.91</v>
      </c>
      <c r="U2" s="100"/>
      <c r="V2" s="170">
        <v>0.26319999999999999</v>
      </c>
      <c r="W2" s="112"/>
      <c r="X2" s="104"/>
      <c r="Y2" s="100"/>
      <c r="Z2" s="112">
        <v>10</v>
      </c>
      <c r="AA2" s="109"/>
    </row>
    <row r="3" spans="1:27" s="99" customFormat="1" ht="16.149999999999999">
      <c r="A3" s="169" t="s">
        <v>276</v>
      </c>
      <c r="B3" s="169" t="s">
        <v>277</v>
      </c>
      <c r="C3" s="124"/>
      <c r="D3" s="170">
        <v>206.28</v>
      </c>
      <c r="E3" s="170">
        <v>87.4</v>
      </c>
      <c r="F3" s="100"/>
      <c r="G3" s="101" t="s">
        <v>278</v>
      </c>
      <c r="H3" s="170">
        <v>5.4</v>
      </c>
      <c r="I3" s="170">
        <v>3.73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-5.91</v>
      </c>
      <c r="U3" s="100"/>
      <c r="V3" s="170">
        <v>0.26319999999999999</v>
      </c>
      <c r="W3" s="112"/>
      <c r="X3" s="104"/>
      <c r="Y3" s="100"/>
      <c r="Z3" s="112">
        <v>100</v>
      </c>
    </row>
    <row r="4" spans="1:27" s="99" customFormat="1" ht="16.149999999999999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  <c r="AA4" s="24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6.149999999999999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6.149999999999999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6.149999999999999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  <c r="AA9" s="15"/>
    </row>
    <row r="10" spans="1:27" s="99" customFormat="1" ht="16.149999999999999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  <c r="AA10" s="18"/>
    </row>
    <row r="11" spans="1:27" s="99" customFormat="1">
      <c r="B11" s="100"/>
      <c r="C11" s="124"/>
      <c r="D11" s="101"/>
      <c r="E11" s="101"/>
      <c r="F11" s="101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0"/>
      <c r="Y11" s="100"/>
      <c r="Z11" s="112"/>
      <c r="AA11" s="98"/>
    </row>
    <row r="12" spans="1:27" s="99" customFormat="1">
      <c r="B12" s="100"/>
      <c r="C12" s="124"/>
      <c r="D12" s="101"/>
      <c r="E12" s="101"/>
      <c r="F12" s="100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5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4"/>
      <c r="D16" s="101"/>
      <c r="E16" s="101"/>
      <c r="F16" s="100"/>
      <c r="G16" s="101"/>
      <c r="H16" s="104"/>
      <c r="I16" s="104"/>
      <c r="J16" s="100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  <c r="AA16" s="109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  <c r="AD17" s="109"/>
    </row>
    <row r="18" spans="2:30" s="99" customFormat="1">
      <c r="B18" s="100"/>
      <c r="C18" s="125"/>
      <c r="D18" s="101"/>
      <c r="E18" s="101"/>
      <c r="F18" s="100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27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8"/>
    </row>
    <row r="23" spans="2:30" s="99" customFormat="1">
      <c r="B23" s="100"/>
      <c r="C23" s="124"/>
      <c r="D23" s="101"/>
      <c r="E23" s="101"/>
      <c r="F23" s="101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09"/>
      <c r="AD23" s="109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09"/>
    </row>
    <row r="25" spans="2:30" s="99" customFormat="1" ht="13.15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24"/>
    </row>
    <row r="26" spans="2:30" s="99" customFormat="1">
      <c r="B26" s="100"/>
      <c r="C26" s="124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4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1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34"/>
      <c r="AA39" s="100"/>
      <c r="AB39" s="100"/>
      <c r="AC39" s="101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34"/>
      <c r="AA40" s="100"/>
      <c r="AB40" s="100"/>
      <c r="AC40" s="101"/>
    </row>
    <row r="41" spans="1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0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5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>
      <c r="A46" s="99"/>
      <c r="B46" s="100"/>
      <c r="C46" s="100"/>
      <c r="D46" s="101"/>
      <c r="H46" s="3"/>
      <c r="I46" s="104"/>
      <c r="T46" s="104"/>
      <c r="U46" s="100"/>
      <c r="V46" s="112"/>
      <c r="AA46" s="11"/>
    </row>
    <row r="47" spans="1:29">
      <c r="A47" s="99"/>
      <c r="B47" s="100"/>
      <c r="C47" s="100"/>
      <c r="D47" s="101"/>
      <c r="H47" s="3"/>
      <c r="I47" s="104"/>
      <c r="T47" s="104"/>
      <c r="U47" s="100"/>
      <c r="V47" s="112"/>
      <c r="AA47" s="1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E50" s="2"/>
      <c r="F50" s="2"/>
      <c r="G50" s="2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E51" s="2"/>
      <c r="F51" s="2"/>
      <c r="G51" s="2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100"/>
      <c r="F53" s="100"/>
      <c r="G53" s="101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100"/>
      <c r="F54" s="100"/>
      <c r="G54" s="101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1"/>
      <c r="F69" s="101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1"/>
      <c r="F73" s="101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Y284" s="9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</sheetData>
  <sortState xmlns:xlrd2="http://schemas.microsoft.com/office/spreadsheetml/2017/richdata2" ref="A2:AD1299">
    <sortCondition ref="T2:T1299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181</v>
      </c>
    </row>
    <row r="6" spans="1:10">
      <c r="A6" s="58"/>
    </row>
    <row r="7" spans="1:10" ht="15.4">
      <c r="A7" s="114" t="s">
        <v>213</v>
      </c>
      <c r="H7" s="115" t="s">
        <v>176</v>
      </c>
    </row>
    <row r="8" spans="1:10">
      <c r="A8" s="11" t="b">
        <v>1</v>
      </c>
    </row>
    <row r="9" spans="1:10" ht="13.15">
      <c r="A9" s="11"/>
      <c r="H9" s="102" t="s">
        <v>177</v>
      </c>
      <c r="I9" s="103" t="s">
        <v>178</v>
      </c>
      <c r="J9" s="103" t="s">
        <v>179</v>
      </c>
    </row>
    <row r="10" spans="1:10" ht="1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">
      <c r="D12" s="11" t="s">
        <v>53</v>
      </c>
      <c r="H12" s="99" t="s">
        <v>183</v>
      </c>
      <c r="I12" s="3">
        <v>1</v>
      </c>
      <c r="J12" s="3">
        <v>1</v>
      </c>
    </row>
    <row r="13" spans="1:10" ht="15">
      <c r="D13" s="2" t="s">
        <v>42</v>
      </c>
      <c r="H13" s="99" t="s">
        <v>184</v>
      </c>
      <c r="I13" s="3">
        <v>0</v>
      </c>
      <c r="J13" s="3">
        <v>1</v>
      </c>
    </row>
    <row r="14" spans="1:10" ht="15">
      <c r="D14" s="11" t="s">
        <v>54</v>
      </c>
      <c r="H14" s="99" t="s">
        <v>180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198</v>
      </c>
    </row>
    <row r="17" spans="1:11">
      <c r="A17" s="2" t="s">
        <v>50</v>
      </c>
    </row>
    <row r="18" spans="1:11" ht="13.15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2000000</v>
      </c>
      <c r="I5" s="49">
        <f>H5*$K$5/1000000</f>
        <v>6.8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275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226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279</v>
      </c>
      <c r="B2" s="66" t="s">
        <v>280</v>
      </c>
      <c r="D2" s="66" t="s">
        <v>278</v>
      </c>
      <c r="E2" s="128">
        <v>5.4</v>
      </c>
      <c r="F2" s="67" t="s">
        <v>229</v>
      </c>
      <c r="G2" s="67" t="s">
        <v>229</v>
      </c>
      <c r="H2" s="67" t="s">
        <v>229</v>
      </c>
      <c r="I2" s="68">
        <v>1.0914253385416208E-2</v>
      </c>
      <c r="J2" s="67" t="s">
        <v>281</v>
      </c>
      <c r="K2" s="68">
        <v>9.9946129117082075E-2</v>
      </c>
      <c r="L2" s="67" t="s">
        <v>229</v>
      </c>
      <c r="M2" s="68">
        <v>4.1349678781120831</v>
      </c>
      <c r="N2" s="67" t="s">
        <v>229</v>
      </c>
      <c r="P2" s="106" t="s">
        <v>186</v>
      </c>
    </row>
    <row r="3" spans="1:17">
      <c r="A3" s="65" t="s">
        <v>279</v>
      </c>
      <c r="B3" s="66" t="s">
        <v>280</v>
      </c>
      <c r="D3" s="66" t="s">
        <v>278</v>
      </c>
      <c r="E3" s="128">
        <v>5.4</v>
      </c>
      <c r="F3" s="67" t="s">
        <v>229</v>
      </c>
      <c r="G3" s="67" t="s">
        <v>229</v>
      </c>
      <c r="H3" s="67" t="s">
        <v>229</v>
      </c>
      <c r="I3" s="68">
        <v>0.1091425338541621</v>
      </c>
      <c r="J3" s="67" t="s">
        <v>281</v>
      </c>
      <c r="K3" s="68">
        <v>0.99946129117082083</v>
      </c>
      <c r="L3" s="67" t="s">
        <v>229</v>
      </c>
      <c r="M3" s="68">
        <v>41.349678781120836</v>
      </c>
      <c r="N3" s="67" t="s">
        <v>281</v>
      </c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7.25">
      <c r="P8" s="106" t="s">
        <v>191</v>
      </c>
    </row>
    <row r="9" spans="1:17" ht="17.25">
      <c r="P9" s="106" t="s">
        <v>192</v>
      </c>
    </row>
    <row r="11" spans="1:17" ht="13.15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2</v>
      </c>
    </row>
    <row r="14" spans="1:17" ht="15">
      <c r="P14" s="106" t="s">
        <v>227</v>
      </c>
      <c r="Q14" s="100">
        <f>COUNTIF(N2:N50000,"Yes")</f>
        <v>1</v>
      </c>
    </row>
    <row r="15" spans="1:17" ht="15">
      <c r="P15" s="106" t="s">
        <v>228</v>
      </c>
      <c r="Q15" s="100">
        <f>COUNTIF(M2:M50000,"&gt;=60")</f>
        <v>0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0.70367999999999997</v>
      </c>
      <c r="C9" s="75" t="s">
        <v>99</v>
      </c>
      <c r="F9" s="99" t="s">
        <v>273</v>
      </c>
      <c r="G9" s="162">
        <v>9.5700000000000004E-3</v>
      </c>
      <c r="H9" s="75" t="s">
        <v>55</v>
      </c>
      <c r="I9" s="76"/>
      <c r="J9" s="76" t="s">
        <v>156</v>
      </c>
      <c r="K9" s="165">
        <v>0.02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7.5999999999999998E-2</v>
      </c>
      <c r="C10" s="75" t="s">
        <v>99</v>
      </c>
      <c r="F10" s="99" t="s">
        <v>274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6.8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6.8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272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3.3999999999999998E-3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1.0845999999999999E-4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3.8000000000000002E-5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3.5183999999999997E-4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266</v>
      </c>
      <c r="G28" s="75"/>
      <c r="H28" s="75"/>
      <c r="L28" s="76"/>
    </row>
    <row r="29" spans="1:13">
      <c r="B29" s="99"/>
      <c r="C29" s="152"/>
      <c r="F29" s="157" t="s">
        <v>268</v>
      </c>
      <c r="G29" s="158" t="s">
        <v>269</v>
      </c>
      <c r="H29" s="158" t="s">
        <v>270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 ht="16.149999999999999">
      <c r="A2" s="169" t="s">
        <v>279</v>
      </c>
      <c r="B2" s="169" t="s">
        <v>280</v>
      </c>
      <c r="D2" s="104" t="s">
        <v>278</v>
      </c>
      <c r="E2" s="104">
        <v>5.4</v>
      </c>
      <c r="F2" s="104">
        <v>3.6339371707711541</v>
      </c>
      <c r="G2" s="104">
        <v>0.13393717077115466</v>
      </c>
      <c r="H2" s="104">
        <v>1.6431367190965502</v>
      </c>
      <c r="I2" s="104">
        <v>3.6339371707711541</v>
      </c>
      <c r="J2" s="104">
        <v>0.13393717077115466</v>
      </c>
      <c r="K2" s="104">
        <v>1.6431367190965502</v>
      </c>
      <c r="L2" s="104">
        <v>3.9267799999999999</v>
      </c>
      <c r="M2" s="104">
        <v>2.9267799999999995</v>
      </c>
      <c r="N2" s="104">
        <v>2.9638513113755822</v>
      </c>
      <c r="O2" s="104">
        <v>3.3678799999999995</v>
      </c>
      <c r="P2" s="104">
        <v>3.3678799999999995</v>
      </c>
      <c r="Q2" s="104">
        <v>3.3678799999999995</v>
      </c>
      <c r="R2" s="104">
        <v>-5.463891512313463</v>
      </c>
      <c r="S2" s="104">
        <v>-7.4682128860961061</v>
      </c>
      <c r="T2" s="104">
        <v>-2.6422628292288444</v>
      </c>
      <c r="U2" s="104">
        <v>-6.1422628292288444</v>
      </c>
      <c r="V2" s="104">
        <v>-4.6330632809034498</v>
      </c>
      <c r="W2" s="109">
        <v>33.164242948066153</v>
      </c>
    </row>
    <row r="3" spans="1:23">
      <c r="A3" s="99" t="s">
        <v>279</v>
      </c>
      <c r="B3" s="99" t="s">
        <v>280</v>
      </c>
      <c r="D3" s="104" t="s">
        <v>278</v>
      </c>
      <c r="E3" s="104">
        <v>5.4</v>
      </c>
      <c r="F3" s="104">
        <v>3.6339371707711541</v>
      </c>
      <c r="G3" s="104">
        <v>0.13393717077115466</v>
      </c>
      <c r="H3" s="104">
        <v>1.6431367190965502</v>
      </c>
      <c r="I3" s="104">
        <v>3.6339371707711541</v>
      </c>
      <c r="J3" s="104">
        <v>0.13393717077115466</v>
      </c>
      <c r="K3" s="104">
        <v>1.6431367190965502</v>
      </c>
      <c r="L3" s="104">
        <v>3.9267799999999999</v>
      </c>
      <c r="M3" s="104">
        <v>2.9267799999999995</v>
      </c>
      <c r="N3" s="104">
        <v>2.9638513113755822</v>
      </c>
      <c r="O3" s="104">
        <v>3.3678799999999995</v>
      </c>
      <c r="P3" s="104">
        <v>3.3678799999999995</v>
      </c>
      <c r="Q3" s="104">
        <v>3.3678799999999995</v>
      </c>
      <c r="R3" s="104">
        <v>-5.463891512313463</v>
      </c>
      <c r="S3" s="104">
        <v>-7.4682128860961061</v>
      </c>
      <c r="T3" s="104">
        <v>-2.6422628292288444</v>
      </c>
      <c r="U3" s="104">
        <v>-6.1422628292288444</v>
      </c>
      <c r="V3" s="104">
        <v>-4.6330632809034498</v>
      </c>
      <c r="W3" s="109">
        <v>33.164242948066153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6" t="s">
        <v>259</v>
      </c>
      <c r="L1" s="156" t="s">
        <v>260</v>
      </c>
      <c r="M1" s="155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279</v>
      </c>
      <c r="B2" s="16" t="s">
        <v>280</v>
      </c>
      <c r="D2" s="14">
        <v>10</v>
      </c>
      <c r="E2" s="14">
        <v>9.6459520441668722</v>
      </c>
      <c r="F2" s="14">
        <v>5.2939873486561355</v>
      </c>
      <c r="G2" s="14">
        <v>1.8012334895415934E-7</v>
      </c>
      <c r="H2" s="14">
        <v>12349.884589632742</v>
      </c>
      <c r="I2" s="14">
        <v>232.76604006188833</v>
      </c>
      <c r="J2" s="14">
        <v>0</v>
      </c>
      <c r="K2" s="14">
        <v>1.8889353792162866</v>
      </c>
      <c r="L2" s="14">
        <v>0.52939873486561351</v>
      </c>
      <c r="M2" s="14">
        <v>0.43437166195723587</v>
      </c>
      <c r="N2" s="14">
        <v>99.94612911708208</v>
      </c>
      <c r="O2" s="14">
        <v>20616.88751427169</v>
      </c>
      <c r="P2" s="8">
        <v>9.9946129117082076</v>
      </c>
      <c r="Q2" s="54">
        <v>0.12323089940465078</v>
      </c>
      <c r="S2" s="99"/>
    </row>
    <row r="3" spans="1:20">
      <c r="A3" s="2" t="s">
        <v>279</v>
      </c>
      <c r="B3" s="16" t="s">
        <v>280</v>
      </c>
      <c r="D3" s="14">
        <v>100</v>
      </c>
      <c r="E3" s="14">
        <v>96.459520441668715</v>
      </c>
      <c r="F3" s="14">
        <v>52.939873486561353</v>
      </c>
      <c r="G3" s="14">
        <v>1.8012334895415935E-6</v>
      </c>
      <c r="H3" s="14">
        <v>123498.84589632743</v>
      </c>
      <c r="I3" s="14">
        <v>2327.6604006188836</v>
      </c>
      <c r="J3" s="14">
        <v>0</v>
      </c>
      <c r="K3" s="14">
        <v>1.8889353792162866</v>
      </c>
      <c r="L3" s="14">
        <v>0.52939873486561351</v>
      </c>
      <c r="M3" s="14">
        <v>0.43437166195723592</v>
      </c>
      <c r="N3" s="14">
        <v>999.4612911708208</v>
      </c>
      <c r="O3" s="14">
        <v>206168.87514271692</v>
      </c>
      <c r="P3" s="8">
        <v>9.9946129117082076</v>
      </c>
      <c r="Q3" s="54">
        <v>1.232308994046508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279</v>
      </c>
      <c r="B2" s="3" t="s">
        <v>280</v>
      </c>
      <c r="D2" s="20">
        <v>6.6645639113038948E-6</v>
      </c>
      <c r="E2" s="20">
        <v>0.964595204416687</v>
      </c>
      <c r="F2" s="20">
        <v>0.43451833940163836</v>
      </c>
      <c r="G2" s="20">
        <v>8.8451095223517561E-4</v>
      </c>
      <c r="H2" s="20">
        <v>0</v>
      </c>
      <c r="I2" s="20">
        <v>0.52919235406281351</v>
      </c>
      <c r="J2" s="20">
        <v>3.3981683899807907E-2</v>
      </c>
      <c r="K2" s="20">
        <v>1.4164471195936873E-3</v>
      </c>
      <c r="L2" s="20">
        <v>1.906392817993306E-17</v>
      </c>
      <c r="N2" s="99"/>
    </row>
    <row r="3" spans="1:14">
      <c r="A3" s="2" t="s">
        <v>279</v>
      </c>
      <c r="B3" s="3" t="s">
        <v>280</v>
      </c>
      <c r="D3" s="20">
        <v>6.6645639113038957E-6</v>
      </c>
      <c r="E3" s="20">
        <v>0.96459520441668711</v>
      </c>
      <c r="F3" s="20">
        <v>0.43451833940163842</v>
      </c>
      <c r="G3" s="20">
        <v>8.8451095223517561E-4</v>
      </c>
      <c r="H3" s="20">
        <v>0</v>
      </c>
      <c r="I3" s="20">
        <v>0.52919235406281351</v>
      </c>
      <c r="J3" s="20">
        <v>3.3981683899807907E-2</v>
      </c>
      <c r="K3" s="20">
        <v>1.4164471195936873E-3</v>
      </c>
      <c r="L3" s="20">
        <v>1.861156378244312E-17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1.42578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279</v>
      </c>
      <c r="B2" s="3" t="s">
        <v>280</v>
      </c>
      <c r="D2" s="14">
        <v>1.3329127822607791E-7</v>
      </c>
      <c r="E2" s="14">
        <v>1.0583847081256271E-2</v>
      </c>
      <c r="F2" s="14">
        <v>8.6903667880327672E-3</v>
      </c>
      <c r="G2" s="14">
        <v>1.7690219044703513E-5</v>
      </c>
      <c r="H2" s="14">
        <v>0</v>
      </c>
      <c r="I2" s="14">
        <v>6.7963367799615815E-4</v>
      </c>
      <c r="J2" s="14">
        <v>2.8328942391873746E-5</v>
      </c>
      <c r="K2" s="14">
        <v>3.8127856359866119E-19</v>
      </c>
      <c r="L2" s="21">
        <f>SUM(E2:H2)</f>
        <v>1.9291904088333742E-2</v>
      </c>
      <c r="M2" s="168"/>
    </row>
    <row r="3" spans="1:23">
      <c r="A3" s="2" t="s">
        <v>279</v>
      </c>
      <c r="B3" s="3" t="s">
        <v>280</v>
      </c>
      <c r="D3" s="14">
        <v>1.3329127822607792E-6</v>
      </c>
      <c r="E3" s="14">
        <v>0.10583847081256272</v>
      </c>
      <c r="F3" s="14">
        <v>8.690366788032769E-2</v>
      </c>
      <c r="G3" s="14">
        <v>1.7690219044703514E-4</v>
      </c>
      <c r="H3" s="14">
        <v>0</v>
      </c>
      <c r="I3" s="14">
        <v>6.7963367799615815E-3</v>
      </c>
      <c r="J3" s="14">
        <v>2.8328942391873751E-4</v>
      </c>
      <c r="K3" s="14">
        <v>3.7223127564886245E-18</v>
      </c>
      <c r="L3" s="21">
        <f>SUM(E3:H3)</f>
        <v>0.19291904088333744</v>
      </c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0" t="s">
        <v>216</v>
      </c>
      <c r="G1" s="140" t="s">
        <v>209</v>
      </c>
      <c r="H1" s="140" t="s">
        <v>217</v>
      </c>
      <c r="I1" s="140" t="s">
        <v>218</v>
      </c>
      <c r="J1" s="140" t="s">
        <v>219</v>
      </c>
      <c r="K1" s="141" t="s">
        <v>222</v>
      </c>
      <c r="L1" s="141" t="s">
        <v>225</v>
      </c>
      <c r="M1" s="141" t="s">
        <v>223</v>
      </c>
      <c r="N1" s="141" t="s">
        <v>224</v>
      </c>
      <c r="O1" s="141" t="s">
        <v>264</v>
      </c>
      <c r="P1" s="141" t="s">
        <v>265</v>
      </c>
      <c r="Q1" s="37" t="s">
        <v>220</v>
      </c>
      <c r="R1" s="37" t="s">
        <v>221</v>
      </c>
      <c r="S1" s="145"/>
      <c r="T1" s="37"/>
      <c r="U1" s="146"/>
      <c r="V1" s="147"/>
    </row>
    <row r="2" spans="1:22">
      <c r="A2" s="99" t="s">
        <v>279</v>
      </c>
      <c r="B2" s="99" t="s">
        <v>280</v>
      </c>
      <c r="D2" s="100" t="s">
        <v>278</v>
      </c>
      <c r="E2" s="104">
        <v>5.4</v>
      </c>
      <c r="F2" s="104">
        <v>1.6431367190965502</v>
      </c>
      <c r="G2" s="104">
        <v>-7.4682128860961061</v>
      </c>
      <c r="H2" s="104">
        <v>2.9638513113755822</v>
      </c>
      <c r="I2" s="104">
        <v>1.6065690659269836</v>
      </c>
      <c r="J2" s="104">
        <v>1.8411474861463284</v>
      </c>
      <c r="K2" s="112">
        <v>10</v>
      </c>
      <c r="L2" s="112">
        <v>5.2934439002621287</v>
      </c>
      <c r="M2" s="112">
        <v>99.94612911708208</v>
      </c>
      <c r="N2" s="112">
        <v>4134.9678781120838</v>
      </c>
      <c r="O2" s="112">
        <v>213.96954592204446</v>
      </c>
      <c r="P2" s="112">
        <v>367.22343211314109</v>
      </c>
      <c r="Q2" s="108">
        <v>21.396954592204445</v>
      </c>
      <c r="R2" s="68">
        <v>36.722343211314104</v>
      </c>
    </row>
    <row r="3" spans="1:22">
      <c r="A3" s="99" t="s">
        <v>279</v>
      </c>
      <c r="B3" s="99" t="s">
        <v>280</v>
      </c>
      <c r="D3" s="100" t="s">
        <v>278</v>
      </c>
      <c r="E3" s="104">
        <v>5.4</v>
      </c>
      <c r="F3" s="104">
        <v>1.6431367190965502</v>
      </c>
      <c r="G3" s="104">
        <v>-7.4682128860961061</v>
      </c>
      <c r="H3" s="104">
        <v>2.9638513113755822</v>
      </c>
      <c r="I3" s="104">
        <v>1.6065690659269836</v>
      </c>
      <c r="J3" s="104">
        <v>1.8411474861463284</v>
      </c>
      <c r="K3" s="112">
        <v>100</v>
      </c>
      <c r="L3" s="112">
        <v>52.934439002621289</v>
      </c>
      <c r="M3" s="112">
        <v>999.4612911708208</v>
      </c>
      <c r="N3" s="112">
        <v>41349.678781120834</v>
      </c>
      <c r="O3" s="112">
        <v>2139.6954592204447</v>
      </c>
      <c r="P3" s="112">
        <v>3672.2343211314114</v>
      </c>
      <c r="Q3" s="108">
        <v>21.396954592204448</v>
      </c>
      <c r="R3" s="68">
        <v>36.722343211314111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2025-01-18T04:36:15Z</dcterms:modified>
</cp:coreProperties>
</file>