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Truisi 2015\Results\"/>
    </mc:Choice>
  </mc:AlternateContent>
  <xr:revisionPtr revIDLastSave="0" documentId="13_ncr:1_{65A9E50C-0191-4552-BD3F-181B34913EA7}" xr6:coauthVersionLast="47" xr6:coauthVersionMax="47" xr10:uidLastSave="{00000000-0000-0000-0000-000000000000}"/>
  <bookViews>
    <workbookView xWindow="9000" yWindow="2183" windowWidth="12083" windowHeight="8872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2" l="1"/>
  <c r="L2" i="12"/>
  <c r="I6" i="18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<sst xmlns="http://schemas.openxmlformats.org/spreadsheetml/2006/main" count="398" uniqueCount="282">
  <si>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</si>
  <si>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</si>
  <si>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</si>
  <si>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</si>
  <si>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</si>
  <si>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</si>
  <si>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</si>
  <si>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</si>
  <si>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</si>
  <si>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</si>
  <si>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</si>
  <si>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</si>
  <si>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</si>
  <si>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</si>
  <si>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</si>
  <si>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</si>
  <si>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</si>
  <si>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</si>
  <si>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</si>
  <si>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</si>
  <si>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</si>
  <si>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</si>
  <si>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</si>
  <si>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</si>
  <si>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</si>
  <si>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</si>
  <si>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</si>
  <si>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</si>
  <si>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</si>
  <si>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</si>
  <si>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</si>
  <si>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</si>
  <si>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</si>
  <si>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</si>
  <si>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</si>
  <si>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</si>
  <si>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</si>
  <si>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</si>
  <si>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</si>
  <si>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</si>
  <si>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</si>
  <si>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</si>
  <si>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</si>
  <si>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</si>
  <si>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</si>
  <si>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</si>
  <si>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</si>
  <si>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</si>
  <si>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</si>
  <si>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</si>
  <si>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</si>
  <si>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</si>
  <si>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</si>
  <si>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</si>
  <si>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</si>
  <si>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</si>
  <si>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</si>
  <si>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</si>
  <si>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</si>
  <si>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</si>
  <si>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</si>
  <si>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</si>
  <si>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</si>
  <si>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</si>
  <si>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</si>
  <si>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</si>
  <si>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</si>
  <si>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</si>
  <si>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</si>
  <si>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</si>
  <si>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</si>
  <si>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</si>
  <si>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</si>
  <si>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</si>
  <si>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</si>
  <si>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</si>
  <si>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</si>
  <si>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</si>
  <si>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</si>
  <si>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</si>
  <si>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</si>
  <si>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</si>
  <si>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</si>
  <si>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</si>
  <si>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</si>
  <si>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</si>
  <si>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</si>
  <si>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</si>
  <si>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</si>
  <si>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</si>
  <si>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</si>
  <si>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</si>
  <si>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</si>
  <si>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</si>
  <si>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</si>
  <si>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</si>
  <si>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</si>
  <si>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</si>
  <si>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</si>
  <si>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</si>
  <si>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</si>
  <si>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</si>
  <si>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</si>
  <si>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</si>
  <si>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</si>
  <si>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</si>
  <si>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</si>
  <si>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</si>
  <si>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</si>
  <si>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</si>
  <si>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</si>
  <si>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</si>
  <si>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</si>
  <si>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</si>
  <si>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</si>
  <si>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</si>
  <si>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</si>
  <si>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</si>
  <si>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</si>
  <si>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</si>
  <si>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</si>
  <si>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</si>
  <si>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</si>
  <si>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</si>
  <si>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</si>
  <si>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</si>
  <si>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</si>
  <si>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</si>
  <si>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</si>
  <si>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</si>
  <si>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</si>
  <si>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</si>
  <si>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</si>
  <si>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</si>
  <si>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</si>
  <si>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</si>
  <si>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</si>
  <si>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</si>
  <si>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</si>
  <si>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</si>
  <si>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</si>
  <si>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</si>
  <si>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</si>
  <si>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</si>
  <si>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</si>
  <si>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</si>
  <si>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</si>
  <si>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</si>
  <si>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</si>
  <si>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</si>
  <si>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</si>
  <si>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</si>
  <si>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</si>
  <si>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</si>
  <si>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</si>
  <si>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</si>
  <si>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</si>
  <si>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</si>
  <si>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</si>
  <si>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</si>
  <si>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</si>
  <si>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</si>
  <si>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</si>
  <si>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</si>
  <si>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</si>
  <si>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</si>
  <si>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</si>
  <si>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</si>
  <si>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</si>
  <si>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</si>
  <si>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</si>
  <si>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</si>
  <si>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</si>
  <si>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</si>
  <si>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</si>
  <si>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</si>
  <si>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</si>
  <si>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</si>
  <si>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</si>
  <si>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</si>
  <si>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</si>
  <si>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</si>
  <si>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</si>
  <si>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</si>
  <si>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</si>
  <si>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</si>
  <si>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</si>
  <si>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</si>
  <si>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</si>
  <si>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</si>
  <si>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</si>
  <si>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</si>
  <si>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</si>
  <si>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</si>
  <si>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</si>
  <si>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</si>
  <si>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</si>
  <si>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</si>
  <si>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</si>
  <si>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</si>
  <si>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</si>
  <si>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</si>
  <si>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</si>
  <si>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</si>
  <si>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</si>
  <si>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</si>
  <si>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</si>
  <si>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</si>
  <si>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</si>
  <si>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</si>
  <si>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</si>
  <si>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</si>
  <si>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</si>
  <si>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</si>
  <si>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</si>
  <si>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</si>
  <si>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</si>
  <si>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</si>
  <si>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</si>
  <si>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</si>
  <si>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</si>
  <si>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</si>
  <si>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</si>
  <si>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</si>
  <si>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</si>
  <si>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</si>
  <si>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</si>
  <si>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</si>
  <si>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</si>
  <si>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</si>
  <si>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</si>
  <si>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</si>
  <si>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</si>
  <si>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</si>
  <si>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</si>
  <si>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</si>
  <si>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</si>
  <si>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</si>
  <si>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</si>
  <si>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</si>
  <si>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</si>
  <si>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</si>
  <si>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</si>
  <si>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</si>
  <si>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</si>
  <si>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</si>
  <si>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</si>
  <si>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</si>
  <si>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</si>
  <si>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</si>
  <si>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</si>
  <si>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</si>
  <si>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</si>
  <si>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</si>
  <si>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</si>
  <si>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</si>
  <si>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</si>
  <si>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</si>
  <si>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</si>
  <si>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</si>
  <si>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</si>
  <si>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</si>
  <si>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</si>
  <si>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</si>
  <si>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</si>
  <si>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</si>
  <si>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</si>
  <si>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</si>
  <si>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</si>
  <si>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</si>
  <si>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</si>
  <si>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</si>
  <si>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</si>
  <si>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</si>
  <si>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</si>
  <si>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ibuprofen</t>
    <phoneticPr fontId="1" type="noConversion"/>
  </si>
  <si>
    <t>15687-27-1</t>
    <phoneticPr fontId="1" type="noConversion"/>
  </si>
  <si>
    <t>A</t>
  </si>
  <si>
    <t>ibuprofen</t>
  </si>
  <si>
    <t>15687-27-1</t>
  </si>
  <si>
    <t>Yes</t>
  </si>
  <si>
    <t>1200 - 2900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</si>
</sst>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6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78" fontId="18" fillId="0" borderId="0" xfId="0" applyNumberFormat="1" applyFont="1" applyAlignment="1">
      <alignment horizontal="center"/>
    </xf>
    <xf numFmtId="177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80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77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77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77" fontId="21" fillId="4" borderId="2" xfId="0" applyNumberFormat="1" applyFont="1" applyFill="1" applyBorder="1" applyAlignment="1">
      <alignment horizontal="center"/>
    </xf>
    <xf numFmtId="177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77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77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77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82" fontId="1" fillId="0" borderId="0" xfId="0" applyNumberFormat="1" applyFont="1"/>
    <xf numFmtId="0" fontId="31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80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77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47625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230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236</v>
      </c>
    </row>
    <row r="14" spans="1:15" ht="17.25">
      <c r="M14" s="1" t="s">
        <v>237</v>
      </c>
      <c r="N14" s="1" t="s">
        <v>241</v>
      </c>
    </row>
    <row r="15" spans="1:15" ht="17.25">
      <c r="M15" s="1" t="s">
        <v>238</v>
      </c>
      <c r="N15" s="1" t="s">
        <v>242</v>
      </c>
    </row>
    <row r="16" spans="1:15" ht="17.25">
      <c r="M16" s="1" t="s">
        <v>239</v>
      </c>
      <c r="N16" s="1" t="s">
        <v>243</v>
      </c>
    </row>
    <row r="17" spans="13:14" ht="17.25">
      <c r="M17" s="1" t="s">
        <v>240</v>
      </c>
      <c r="N17" s="1" t="s">
        <v>244</v>
      </c>
    </row>
    <row r="18" spans="13:14" ht="17.25">
      <c r="M18" s="1" t="s">
        <v>247</v>
      </c>
      <c r="N18" s="1" t="s">
        <v>245</v>
      </c>
    </row>
    <row r="19" spans="13:14" ht="17.25">
      <c r="M19" s="1" t="s">
        <v>248</v>
      </c>
      <c r="N19" s="1" t="s">
        <v>246</v>
      </c>
    </row>
    <row r="20" spans="13:14">
      <c r="M20" s="1" t="s">
        <v>250</v>
      </c>
      <c r="N20" s="1" t="s">
        <v>251</v>
      </c>
    </row>
    <row r="21" spans="13:14">
      <c r="M21" s="1" t="s">
        <v>166</v>
      </c>
      <c r="N21" s="1" t="s">
        <v>249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99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214</v>
      </c>
      <c r="D1" s="118" t="s">
        <v>7</v>
      </c>
      <c r="E1" s="118" t="s">
        <v>18</v>
      </c>
      <c r="F1" s="29" t="s">
        <v>147</v>
      </c>
      <c r="G1" s="123" t="s">
        <v>165</v>
      </c>
      <c r="H1" s="123" t="s">
        <v>166</v>
      </c>
      <c r="I1" s="119" t="s">
        <v>167</v>
      </c>
      <c r="J1" s="30" t="s">
        <v>168</v>
      </c>
      <c r="K1" s="31" t="s">
        <v>79</v>
      </c>
      <c r="L1" s="30" t="s">
        <v>233</v>
      </c>
      <c r="M1" s="30" t="s">
        <v>232</v>
      </c>
      <c r="N1" s="31" t="s">
        <v>231</v>
      </c>
      <c r="O1" s="30" t="s">
        <v>169</v>
      </c>
      <c r="P1" s="30" t="s">
        <v>170</v>
      </c>
      <c r="Q1" s="31" t="s">
        <v>78</v>
      </c>
      <c r="R1" s="31" t="s">
        <v>171</v>
      </c>
      <c r="S1" s="31" t="s">
        <v>172</v>
      </c>
      <c r="T1" s="119" t="s">
        <v>163</v>
      </c>
      <c r="U1" s="31" t="s">
        <v>77</v>
      </c>
      <c r="V1" s="120" t="s">
        <v>164</v>
      </c>
      <c r="W1" s="122" t="s">
        <v>173</v>
      </c>
      <c r="X1" s="122" t="s">
        <v>174</v>
      </c>
      <c r="Y1" s="121" t="s">
        <v>51</v>
      </c>
      <c r="Z1" s="120" t="s">
        <v>132</v>
      </c>
      <c r="AA1" s="6"/>
    </row>
    <row r="2" spans="1:27" s="99" customFormat="1" ht="16.149999999999999">
      <c r="A2" s="169" t="s">
        <v>275</v>
      </c>
      <c r="B2" s="169" t="s">
        <v>276</v>
      </c>
      <c r="C2" s="124"/>
      <c r="D2" s="170">
        <v>206.28</v>
      </c>
      <c r="E2" s="170">
        <v>87.4</v>
      </c>
      <c r="F2" s="100"/>
      <c r="G2" s="101" t="s">
        <v>277</v>
      </c>
      <c r="H2" s="170">
        <v>5.4</v>
      </c>
      <c r="I2" s="170">
        <v>3.73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-5.91</v>
      </c>
      <c r="U2" s="100"/>
      <c r="V2" s="170">
        <v>0.26319999999999999</v>
      </c>
      <c r="W2" s="112"/>
      <c r="X2" s="104"/>
      <c r="Y2" s="100"/>
      <c r="Z2" s="112">
        <v>10</v>
      </c>
      <c r="AA2" s="109"/>
    </row>
    <row r="3" spans="1:27" s="99" customFormat="1" ht="16.149999999999999">
      <c r="A3" s="169" t="s">
        <v>275</v>
      </c>
      <c r="B3" s="169" t="s">
        <v>276</v>
      </c>
      <c r="C3" s="124"/>
      <c r="D3" s="170">
        <v>206.28</v>
      </c>
      <c r="E3" s="170">
        <v>87.4</v>
      </c>
      <c r="F3" s="100"/>
      <c r="G3" s="101" t="s">
        <v>277</v>
      </c>
      <c r="H3" s="170">
        <v>5.4</v>
      </c>
      <c r="I3" s="170">
        <v>3.73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-5.91</v>
      </c>
      <c r="U3" s="100"/>
      <c r="V3" s="170">
        <v>0.26319999999999999</v>
      </c>
      <c r="W3" s="112"/>
      <c r="X3" s="104"/>
      <c r="Y3" s="100"/>
      <c r="Z3" s="112">
        <v>100</v>
      </c>
    </row>
    <row r="4" spans="1:27" s="99" customFormat="1" ht="16.149999999999999">
      <c r="A4" s="169"/>
      <c r="B4" s="169"/>
      <c r="C4" s="124"/>
      <c r="D4" s="170"/>
      <c r="E4" s="170"/>
      <c r="F4" s="101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0"/>
      <c r="Y4" s="100"/>
      <c r="Z4" s="112"/>
      <c r="AA4" s="24"/>
    </row>
    <row r="5" spans="1:27" s="99" customFormat="1" ht="16.149999999999999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  <c r="AA5" s="109"/>
    </row>
    <row r="6" spans="1:27" s="99" customFormat="1" ht="16.149999999999999">
      <c r="A6" s="169"/>
      <c r="B6" s="169"/>
      <c r="C6" s="124"/>
      <c r="D6" s="170"/>
      <c r="E6" s="170"/>
      <c r="F6" s="100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4"/>
      <c r="Y6" s="100"/>
      <c r="Z6" s="112"/>
    </row>
    <row r="7" spans="1:27" s="99" customFormat="1" ht="16.149999999999999">
      <c r="A7" s="169"/>
      <c r="B7" s="169"/>
      <c r="C7" s="124"/>
      <c r="D7" s="170"/>
      <c r="E7" s="170"/>
      <c r="F7" s="101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0"/>
      <c r="Y7" s="100"/>
      <c r="Z7" s="112"/>
    </row>
    <row r="8" spans="1:27" s="99" customFormat="1" ht="16.149999999999999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6.149999999999999">
      <c r="A9" s="169"/>
      <c r="B9" s="169"/>
      <c r="C9" s="124"/>
      <c r="D9" s="170"/>
      <c r="E9" s="170"/>
      <c r="F9" s="100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4"/>
      <c r="Y9" s="100"/>
      <c r="Z9" s="112"/>
      <c r="AA9" s="15"/>
    </row>
    <row r="10" spans="1:27" s="99" customFormat="1" ht="16.149999999999999">
      <c r="A10" s="169"/>
      <c r="B10" s="169"/>
      <c r="C10" s="124"/>
      <c r="D10" s="170"/>
      <c r="E10" s="170"/>
      <c r="F10" s="101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0"/>
      <c r="Y10" s="100"/>
      <c r="Z10" s="112"/>
      <c r="AA10" s="18"/>
    </row>
    <row r="11" spans="1:27" s="99" customFormat="1">
      <c r="B11" s="100"/>
      <c r="C11" s="124"/>
      <c r="D11" s="101"/>
      <c r="E11" s="101"/>
      <c r="F11" s="101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0"/>
      <c r="Y11" s="100"/>
      <c r="Z11" s="112"/>
      <c r="AA11" s="98"/>
    </row>
    <row r="12" spans="1:27" s="99" customFormat="1">
      <c r="B12" s="100"/>
      <c r="C12" s="124"/>
      <c r="D12" s="101"/>
      <c r="E12" s="101"/>
      <c r="F12" s="100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4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5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4"/>
      <c r="D16" s="101"/>
      <c r="E16" s="101"/>
      <c r="F16" s="100"/>
      <c r="G16" s="101"/>
      <c r="H16" s="104"/>
      <c r="I16" s="104"/>
      <c r="J16" s="100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  <c r="AA16" s="109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  <c r="AD17" s="109"/>
    </row>
    <row r="18" spans="2:30" s="99" customFormat="1">
      <c r="B18" s="100"/>
      <c r="C18" s="125"/>
      <c r="D18" s="101"/>
      <c r="E18" s="101"/>
      <c r="F18" s="100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27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8"/>
    </row>
    <row r="23" spans="2:30" s="99" customFormat="1">
      <c r="B23" s="100"/>
      <c r="C23" s="124"/>
      <c r="D23" s="101"/>
      <c r="E23" s="101"/>
      <c r="F23" s="101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09"/>
      <c r="AD23" s="109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09"/>
    </row>
    <row r="25" spans="2:30" s="99" customFormat="1" ht="13.15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24"/>
    </row>
    <row r="26" spans="2:30" s="99" customFormat="1">
      <c r="B26" s="100"/>
      <c r="C26" s="124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>
      <c r="B27" s="100"/>
      <c r="C27" s="124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1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34"/>
      <c r="AA39" s="100"/>
      <c r="AB39" s="100"/>
      <c r="AC39" s="101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34"/>
      <c r="AA40" s="100"/>
      <c r="AB40" s="100"/>
      <c r="AC40" s="101"/>
    </row>
    <row r="41" spans="1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0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5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>
      <c r="A46" s="99"/>
      <c r="B46" s="100"/>
      <c r="C46" s="100"/>
      <c r="D46" s="101"/>
      <c r="H46" s="3"/>
      <c r="I46" s="104"/>
      <c r="T46" s="104"/>
      <c r="U46" s="100"/>
      <c r="V46" s="112"/>
      <c r="AA46" s="11"/>
    </row>
    <row r="47" spans="1:29">
      <c r="A47" s="99"/>
      <c r="B47" s="100"/>
      <c r="C47" s="100"/>
      <c r="D47" s="101"/>
      <c r="H47" s="3"/>
      <c r="I47" s="104"/>
      <c r="T47" s="104"/>
      <c r="U47" s="100"/>
      <c r="V47" s="112"/>
      <c r="AA47" s="1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E50" s="2"/>
      <c r="F50" s="2"/>
      <c r="G50" s="2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E51" s="2"/>
      <c r="F51" s="2"/>
      <c r="G51" s="2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100"/>
      <c r="F53" s="100"/>
      <c r="G53" s="101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100"/>
      <c r="F54" s="100"/>
      <c r="G54" s="101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1"/>
      <c r="F69" s="101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1"/>
      <c r="F73" s="101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Y284" s="9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A1188" s="11"/>
    </row>
    <row r="1189" spans="1:27"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</sheetData>
  <sortState xmlns:xlrd2="http://schemas.microsoft.com/office/spreadsheetml/2017/richdata2" ref="A2:AD1299">
    <sortCondition ref="T2:T1299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138</v>
      </c>
    </row>
    <row r="3" spans="1:10" ht="15">
      <c r="A3" s="57" t="s">
        <v>148</v>
      </c>
    </row>
    <row r="4" spans="1:10" ht="15">
      <c r="A4" s="98" t="s">
        <v>158</v>
      </c>
    </row>
    <row r="5" spans="1:10" ht="15">
      <c r="A5" s="98" t="s">
        <v>180</v>
      </c>
    </row>
    <row r="6" spans="1:10">
      <c r="A6" s="58"/>
    </row>
    <row r="7" spans="1:10" ht="15.4">
      <c r="A7" s="114" t="s">
        <v>212</v>
      </c>
      <c r="H7" s="115" t="s">
        <v>175</v>
      </c>
    </row>
    <row r="8" spans="1:10">
      <c r="A8" s="11" t="b">
        <v>1</v>
      </c>
    </row>
    <row r="9" spans="1:10" ht="13.15">
      <c r="A9" s="11"/>
      <c r="H9" s="102" t="s">
        <v>176</v>
      </c>
      <c r="I9" s="103" t="s">
        <v>177</v>
      </c>
      <c r="J9" s="103" t="s">
        <v>178</v>
      </c>
    </row>
    <row r="10" spans="1:10" ht="15">
      <c r="A10" s="18" t="s">
        <v>43</v>
      </c>
      <c r="D10" s="17" t="s">
        <v>44</v>
      </c>
      <c r="H10" s="99" t="s">
        <v>181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234</v>
      </c>
      <c r="I11" s="3">
        <v>3.5</v>
      </c>
      <c r="J11" s="3">
        <v>3.5</v>
      </c>
    </row>
    <row r="12" spans="1:10" ht="15">
      <c r="D12" s="11" t="s">
        <v>53</v>
      </c>
      <c r="H12" s="99" t="s">
        <v>182</v>
      </c>
      <c r="I12" s="3">
        <v>1</v>
      </c>
      <c r="J12" s="3">
        <v>1</v>
      </c>
    </row>
    <row r="13" spans="1:10" ht="15">
      <c r="D13" s="2" t="s">
        <v>42</v>
      </c>
      <c r="H13" s="99" t="s">
        <v>183</v>
      </c>
      <c r="I13" s="3">
        <v>0</v>
      </c>
      <c r="J13" s="3">
        <v>1</v>
      </c>
    </row>
    <row r="14" spans="1:10" ht="15">
      <c r="D14" s="11" t="s">
        <v>54</v>
      </c>
      <c r="H14" s="99" t="s">
        <v>179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197</v>
      </c>
    </row>
    <row r="17" spans="1:11">
      <c r="A17" s="2" t="s">
        <v>50</v>
      </c>
    </row>
    <row r="18" spans="1:11" ht="13.15">
      <c r="A18" s="11" t="s">
        <v>48</v>
      </c>
      <c r="H18" s="102" t="s">
        <v>176</v>
      </c>
      <c r="I18" s="103" t="s">
        <v>177</v>
      </c>
      <c r="J18" s="103" t="s">
        <v>178</v>
      </c>
    </row>
    <row r="19" spans="1:11">
      <c r="H19" s="99" t="s">
        <v>198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199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200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204</v>
      </c>
      <c r="I26" s="111"/>
    </row>
    <row r="27" spans="1:11">
      <c r="A27" s="11"/>
      <c r="H27" s="99" t="s">
        <v>162</v>
      </c>
      <c r="I27" s="100">
        <v>5.0999999999999996</v>
      </c>
    </row>
    <row r="28" spans="1:11" ht="13.9">
      <c r="A28" s="117" t="s">
        <v>161</v>
      </c>
      <c r="H28" s="99" t="s">
        <v>201</v>
      </c>
      <c r="I28" s="3">
        <v>6.7999999999999996E-3</v>
      </c>
      <c r="K28" s="3"/>
    </row>
    <row r="29" spans="1:11">
      <c r="A29" s="11" t="b">
        <v>0</v>
      </c>
      <c r="H29" s="99" t="s">
        <v>202</v>
      </c>
      <c r="I29" s="3">
        <v>500</v>
      </c>
      <c r="J29" s="99" t="s">
        <v>203</v>
      </c>
    </row>
    <row r="31" spans="1:11">
      <c r="A31" s="18" t="s">
        <v>43</v>
      </c>
      <c r="B31" s="99" t="s">
        <v>159</v>
      </c>
    </row>
    <row r="33" spans="1:2">
      <c r="A33" s="18" t="s">
        <v>44</v>
      </c>
      <c r="B33" s="99" t="s">
        <v>160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128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108</v>
      </c>
      <c r="C4" s="28" t="s">
        <v>92</v>
      </c>
      <c r="D4" s="28" t="s">
        <v>93</v>
      </c>
      <c r="E4" s="28" t="s">
        <v>94</v>
      </c>
      <c r="F4" s="28" t="s">
        <v>133</v>
      </c>
      <c r="G4" s="28" t="s">
        <v>95</v>
      </c>
      <c r="H4" s="28" t="s">
        <v>120</v>
      </c>
      <c r="I4" s="28" t="s">
        <v>117</v>
      </c>
      <c r="K4" s="6" t="s">
        <v>118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100" t="s">
        <v>281</v>
      </c>
      <c r="G5" s="160">
        <v>1500</v>
      </c>
      <c r="H5" s="160">
        <v>1500000</v>
      </c>
      <c r="I5" s="49">
        <f>H5*$K$5/1000000</f>
        <v>10.35</v>
      </c>
      <c r="K5" s="131">
        <v>6.9</v>
      </c>
      <c r="L5" s="26" t="s">
        <v>119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274</v>
      </c>
      <c r="G6" s="172">
        <v>1000</v>
      </c>
      <c r="H6" s="172">
        <v>100000</v>
      </c>
      <c r="I6" s="49">
        <f>H6*$K$5/1000000</f>
        <v>0.69</v>
      </c>
      <c r="K6" s="26" t="s">
        <v>122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101</v>
      </c>
      <c r="G7" s="51">
        <v>475</v>
      </c>
      <c r="H7" s="51">
        <v>190000</v>
      </c>
      <c r="I7" s="49">
        <f t="shared" ref="I7:I16" si="0">H7*$K$5/1000000</f>
        <v>1.3109999999999999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102</v>
      </c>
      <c r="G8" s="51">
        <v>240</v>
      </c>
      <c r="H8" s="51">
        <v>95000</v>
      </c>
      <c r="I8" s="49">
        <f t="shared" si="0"/>
        <v>0.65549999999999997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103</v>
      </c>
      <c r="G9" s="51">
        <v>150</v>
      </c>
      <c r="H9" s="51">
        <v>20000</v>
      </c>
      <c r="I9" s="49">
        <f t="shared" si="0"/>
        <v>0.13800000000000001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104</v>
      </c>
      <c r="G10" s="51">
        <v>75</v>
      </c>
      <c r="H10" s="51">
        <v>16000</v>
      </c>
      <c r="I10" s="49">
        <f t="shared" si="0"/>
        <v>0.1104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105</v>
      </c>
      <c r="G11" s="51">
        <v>40</v>
      </c>
      <c r="H11" s="51">
        <v>5600</v>
      </c>
      <c r="I11" s="49">
        <f t="shared" si="0"/>
        <v>3.8640000000000001E-2</v>
      </c>
      <c r="K11" s="5"/>
      <c r="L11" s="26" t="s">
        <v>109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2.1389999999999999E-2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1.38E-2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1.5869999999999999E-2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106</v>
      </c>
      <c r="G15" s="51">
        <v>1</v>
      </c>
      <c r="H15" s="51">
        <v>1200</v>
      </c>
      <c r="I15" s="49">
        <f t="shared" si="0"/>
        <v>8.2799999999999992E-3</v>
      </c>
    </row>
    <row r="16" spans="1:17" ht="13.15" thickBot="1">
      <c r="A16" s="99" t="s">
        <v>225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101</v>
      </c>
      <c r="G16" s="150">
        <v>1000</v>
      </c>
      <c r="H16" s="150">
        <v>20000</v>
      </c>
      <c r="I16" s="151">
        <f t="shared" si="0"/>
        <v>0.13800000000000001</v>
      </c>
    </row>
    <row r="18" spans="1:8">
      <c r="A18" s="26" t="s">
        <v>107</v>
      </c>
      <c r="H18" s="26" t="s">
        <v>121</v>
      </c>
    </row>
    <row r="19" spans="1:8">
      <c r="H19" s="26" t="s">
        <v>137</v>
      </c>
    </row>
    <row r="20" spans="1:8">
      <c r="A20" s="55" t="s">
        <v>142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130</v>
      </c>
      <c r="B1" s="75"/>
      <c r="F1" s="74" t="s">
        <v>129</v>
      </c>
      <c r="I1" s="76"/>
    </row>
    <row r="2" spans="1:13" ht="13.15" thickBot="1">
      <c r="B2" s="75"/>
      <c r="I2" s="76"/>
    </row>
    <row r="3" spans="1:13" ht="13.5" thickBot="1">
      <c r="A3" s="74" t="s">
        <v>110</v>
      </c>
      <c r="B3" s="159" t="s">
        <v>81</v>
      </c>
      <c r="C3" s="77" t="s">
        <v>127</v>
      </c>
      <c r="F3" s="74" t="s">
        <v>0</v>
      </c>
      <c r="I3" s="76"/>
      <c r="J3" s="76" t="s">
        <v>1</v>
      </c>
    </row>
    <row r="4" spans="1:13" ht="13.15" thickBot="1">
      <c r="A4" s="76" t="s">
        <v>115</v>
      </c>
      <c r="B4" s="78">
        <f>VLOOKUP($B$3,'Well Plate Characteristics'!A5:G16,2,)</f>
        <v>1</v>
      </c>
      <c r="F4" s="76" t="s">
        <v>144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109</v>
      </c>
    </row>
    <row r="6" spans="1:13" ht="13.15" thickBot="1">
      <c r="A6" s="76" t="s">
        <v>111</v>
      </c>
      <c r="B6" s="84">
        <f>VLOOKUP($B$3,'Well Plate Characteristics'!A5:G16,7,)</f>
        <v>1500</v>
      </c>
      <c r="C6" s="75" t="s">
        <v>99</v>
      </c>
      <c r="F6" s="76" t="s">
        <v>131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112</v>
      </c>
      <c r="B8" s="87">
        <f>(B5-B6)*50</f>
        <v>765000</v>
      </c>
      <c r="C8" s="75" t="s">
        <v>99</v>
      </c>
      <c r="D8" s="76" t="s">
        <v>116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2">
        <f>K9*B6*K16/(1/0.733)/1000</f>
        <v>0</v>
      </c>
      <c r="C9" s="75" t="s">
        <v>99</v>
      </c>
      <c r="F9" s="99" t="s">
        <v>272</v>
      </c>
      <c r="G9" s="162">
        <v>5.0000000000000001E-3</v>
      </c>
      <c r="H9" s="75" t="s">
        <v>55</v>
      </c>
      <c r="I9" s="76"/>
      <c r="J9" s="76" t="s">
        <v>155</v>
      </c>
      <c r="K9" s="165">
        <v>0</v>
      </c>
      <c r="L9" s="76" t="s">
        <v>26</v>
      </c>
      <c r="M9" s="77" t="s">
        <v>145</v>
      </c>
    </row>
    <row r="10" spans="1:13" ht="17.25">
      <c r="A10" s="76" t="s">
        <v>113</v>
      </c>
      <c r="B10" s="132">
        <f>K9*B6*K17/1000</f>
        <v>0</v>
      </c>
      <c r="C10" s="75" t="s">
        <v>99</v>
      </c>
      <c r="F10" s="99" t="s">
        <v>273</v>
      </c>
      <c r="G10" s="163">
        <v>2.5000000000000001E-2</v>
      </c>
      <c r="H10" s="75" t="s">
        <v>55</v>
      </c>
      <c r="I10" s="76"/>
      <c r="J10" s="76" t="s">
        <v>156</v>
      </c>
      <c r="K10" s="82">
        <v>0</v>
      </c>
      <c r="L10" s="76" t="s">
        <v>4</v>
      </c>
      <c r="M10" s="77" t="s">
        <v>146</v>
      </c>
    </row>
    <row r="11" spans="1:13" ht="13.15" thickBot="1">
      <c r="A11" s="76" t="s">
        <v>20</v>
      </c>
      <c r="B11" s="132">
        <f>K10*B6/1000/1000/K11</f>
        <v>0</v>
      </c>
      <c r="C11" s="75" t="s">
        <v>99</v>
      </c>
      <c r="F11" s="76" t="s">
        <v>143</v>
      </c>
      <c r="G11" s="164">
        <v>0.1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3">
        <f>G13/1000000/G12*1000000</f>
        <v>10.35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114</v>
      </c>
      <c r="D13" s="76"/>
      <c r="E13" s="76"/>
      <c r="F13" s="76" t="s">
        <v>19</v>
      </c>
      <c r="G13" s="89">
        <f>VLOOKUP($B$3,'Well Plate Characteristics'!A5:I16,9,)</f>
        <v>10.35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162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157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271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6.8999999999999999E-3</v>
      </c>
      <c r="K21" s="76" t="s">
        <v>123</v>
      </c>
      <c r="M21" s="75"/>
    </row>
    <row r="22" spans="1:13" ht="13.15" thickBot="1">
      <c r="A22" s="75"/>
      <c r="C22" s="76"/>
      <c r="F22" s="99" t="s">
        <v>162</v>
      </c>
      <c r="G22" s="87">
        <v>7.4</v>
      </c>
      <c r="J22" s="92">
        <f>B12*(G9+G10)/B6</f>
        <v>2.0699999999999999E-4</v>
      </c>
      <c r="K22" s="77" t="s">
        <v>124</v>
      </c>
      <c r="L22" s="93"/>
    </row>
    <row r="23" spans="1:13" ht="13.15">
      <c r="A23" s="74" t="s">
        <v>140</v>
      </c>
      <c r="B23" s="75"/>
      <c r="C23" s="93"/>
      <c r="D23" s="76"/>
      <c r="E23" s="76"/>
      <c r="F23" s="74" t="s">
        <v>134</v>
      </c>
      <c r="J23" s="92">
        <f>B10/B6</f>
        <v>0</v>
      </c>
      <c r="K23" s="76" t="s">
        <v>125</v>
      </c>
    </row>
    <row r="24" spans="1:13" ht="13.15" thickBot="1">
      <c r="A24" s="76" t="s">
        <v>141</v>
      </c>
      <c r="B24" s="93"/>
      <c r="C24" s="93"/>
      <c r="D24" s="76"/>
      <c r="E24" s="76"/>
      <c r="F24" s="76" t="s">
        <v>136</v>
      </c>
      <c r="G24" s="75" t="b">
        <v>0</v>
      </c>
      <c r="I24" s="76"/>
      <c r="J24" s="94">
        <f>B9/B6</f>
        <v>0</v>
      </c>
      <c r="K24" s="76" t="s">
        <v>126</v>
      </c>
    </row>
    <row r="25" spans="1:13">
      <c r="C25" s="93"/>
      <c r="F25" s="76" t="s">
        <v>135</v>
      </c>
    </row>
    <row r="26" spans="1:13">
      <c r="B26" s="75"/>
      <c r="F26" s="95" t="s">
        <v>150</v>
      </c>
      <c r="G26" s="76" t="b">
        <v>0</v>
      </c>
    </row>
    <row r="27" spans="1:13" ht="13.15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265</v>
      </c>
      <c r="G28" s="75"/>
      <c r="H28" s="75"/>
      <c r="L28" s="76"/>
    </row>
    <row r="29" spans="1:13">
      <c r="B29" s="99"/>
      <c r="C29" s="152"/>
      <c r="F29" s="157" t="s">
        <v>267</v>
      </c>
      <c r="G29" s="158" t="s">
        <v>268</v>
      </c>
      <c r="H29" s="158" t="s">
        <v>269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266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270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214</v>
      </c>
      <c r="D1" s="29" t="s">
        <v>165</v>
      </c>
      <c r="E1" s="30" t="s">
        <v>166</v>
      </c>
      <c r="F1" s="61" t="s">
        <v>151</v>
      </c>
      <c r="G1" s="62" t="s">
        <v>152</v>
      </c>
      <c r="H1" s="105" t="s">
        <v>184</v>
      </c>
      <c r="I1" s="63" t="s">
        <v>60</v>
      </c>
      <c r="J1" s="64" t="s">
        <v>149</v>
      </c>
      <c r="K1" s="63" t="s">
        <v>153</v>
      </c>
      <c r="L1" s="64" t="s">
        <v>149</v>
      </c>
      <c r="M1" s="63" t="s">
        <v>154</v>
      </c>
      <c r="N1" s="64" t="s">
        <v>149</v>
      </c>
      <c r="O1" s="64"/>
      <c r="P1" s="6" t="s">
        <v>17</v>
      </c>
    </row>
    <row r="2" spans="1:17">
      <c r="A2" s="65" t="s">
        <v>278</v>
      </c>
      <c r="B2" s="66" t="s">
        <v>279</v>
      </c>
      <c r="D2" s="66" t="s">
        <v>277</v>
      </c>
      <c r="E2" s="128">
        <v>5.4</v>
      </c>
      <c r="F2" s="67" t="s">
        <v>228</v>
      </c>
      <c r="G2" s="67" t="s">
        <v>228</v>
      </c>
      <c r="H2" s="67" t="s">
        <v>228</v>
      </c>
      <c r="I2" s="68">
        <v>1.7991267737492028E-2</v>
      </c>
      <c r="J2" s="67" t="s">
        <v>280</v>
      </c>
      <c r="K2" s="68">
        <v>0.18112866420443843</v>
      </c>
      <c r="L2" s="67" t="s">
        <v>228</v>
      </c>
      <c r="M2" s="68">
        <v>6.8161615416084507</v>
      </c>
      <c r="N2" s="67" t="s">
        <v>228</v>
      </c>
      <c r="P2" s="106" t="s">
        <v>185</v>
      </c>
    </row>
    <row r="3" spans="1:17">
      <c r="A3" s="65" t="s">
        <v>278</v>
      </c>
      <c r="B3" s="66" t="s">
        <v>279</v>
      </c>
      <c r="D3" s="66" t="s">
        <v>277</v>
      </c>
      <c r="E3" s="128">
        <v>5.4</v>
      </c>
      <c r="F3" s="67" t="s">
        <v>228</v>
      </c>
      <c r="G3" s="67" t="s">
        <v>228</v>
      </c>
      <c r="H3" s="67" t="s">
        <v>228</v>
      </c>
      <c r="I3" s="68">
        <v>0.17991267737492031</v>
      </c>
      <c r="J3" s="67" t="s">
        <v>280</v>
      </c>
      <c r="K3" s="68">
        <v>1.8112866420443845</v>
      </c>
      <c r="L3" s="67" t="s">
        <v>280</v>
      </c>
      <c r="M3" s="68">
        <v>68.161615416084516</v>
      </c>
      <c r="N3" s="67" t="s">
        <v>280</v>
      </c>
      <c r="P3" s="106" t="s">
        <v>186</v>
      </c>
    </row>
    <row r="5" spans="1:17">
      <c r="P5" s="106" t="s">
        <v>187</v>
      </c>
    </row>
    <row r="6" spans="1:17">
      <c r="P6" s="106" t="s">
        <v>188</v>
      </c>
    </row>
    <row r="7" spans="1:17">
      <c r="P7" s="106" t="s">
        <v>189</v>
      </c>
    </row>
    <row r="8" spans="1:17" ht="17.25">
      <c r="P8" s="106" t="s">
        <v>190</v>
      </c>
    </row>
    <row r="9" spans="1:17" ht="17.25">
      <c r="P9" s="106" t="s">
        <v>191</v>
      </c>
    </row>
    <row r="11" spans="1:17" ht="13.15">
      <c r="P11" s="15" t="s">
        <v>192</v>
      </c>
    </row>
    <row r="12" spans="1:17">
      <c r="P12" s="106" t="s">
        <v>193</v>
      </c>
      <c r="Q12" s="100">
        <f>COUNTIF(F2:F50000,"Yes")</f>
        <v>0</v>
      </c>
    </row>
    <row r="13" spans="1:17">
      <c r="P13" s="106" t="s">
        <v>189</v>
      </c>
      <c r="Q13" s="100">
        <f>COUNTIF(J2:J50000,"Yes")</f>
        <v>2</v>
      </c>
    </row>
    <row r="14" spans="1:17" ht="15">
      <c r="P14" s="106" t="s">
        <v>226</v>
      </c>
      <c r="Q14" s="100">
        <f>COUNTIF(N2:N50000,"Yes")</f>
        <v>1</v>
      </c>
    </row>
    <row r="15" spans="1:17" ht="15">
      <c r="P15" s="106" t="s">
        <v>227</v>
      </c>
      <c r="Q15" s="100">
        <f>COUNTIF(M2:M50000,"&gt;=60")</f>
        <v>1</v>
      </c>
    </row>
    <row r="16" spans="1:17">
      <c r="P16" s="106" t="s">
        <v>194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195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214</v>
      </c>
      <c r="D1" s="30" t="s">
        <v>165</v>
      </c>
      <c r="E1" s="30" t="s">
        <v>166</v>
      </c>
      <c r="F1" s="105" t="s">
        <v>167</v>
      </c>
      <c r="G1" s="105" t="s">
        <v>168</v>
      </c>
      <c r="H1" s="113" t="s">
        <v>205</v>
      </c>
      <c r="I1" s="105" t="s">
        <v>233</v>
      </c>
      <c r="J1" s="105" t="s">
        <v>232</v>
      </c>
      <c r="K1" s="113" t="s">
        <v>235</v>
      </c>
      <c r="L1" s="105" t="s">
        <v>169</v>
      </c>
      <c r="M1" s="105" t="s">
        <v>170</v>
      </c>
      <c r="N1" s="113" t="s">
        <v>206</v>
      </c>
      <c r="O1" s="105" t="s">
        <v>171</v>
      </c>
      <c r="P1" s="105" t="s">
        <v>172</v>
      </c>
      <c r="Q1" s="113" t="s">
        <v>207</v>
      </c>
      <c r="R1" s="105" t="s">
        <v>163</v>
      </c>
      <c r="S1" s="105" t="s">
        <v>208</v>
      </c>
      <c r="T1" s="113" t="s">
        <v>209</v>
      </c>
      <c r="U1" s="113" t="s">
        <v>210</v>
      </c>
      <c r="V1" s="113" t="s">
        <v>211</v>
      </c>
      <c r="W1" s="38" t="s">
        <v>196</v>
      </c>
    </row>
    <row r="2" spans="1:23" ht="16.149999999999999">
      <c r="A2" s="169" t="s">
        <v>278</v>
      </c>
      <c r="B2" s="169" t="s">
        <v>279</v>
      </c>
      <c r="D2" s="104" t="s">
        <v>277</v>
      </c>
      <c r="E2" s="104">
        <v>5.4</v>
      </c>
      <c r="F2" s="104">
        <v>3.6339371707711541</v>
      </c>
      <c r="G2" s="104">
        <v>0.13393717077115466</v>
      </c>
      <c r="H2" s="104">
        <v>1.6431367190965502</v>
      </c>
      <c r="I2" s="104">
        <v>3.6339371707711541</v>
      </c>
      <c r="J2" s="104">
        <v>0.13393717077115466</v>
      </c>
      <c r="K2" s="104">
        <v>1.6431367190965502</v>
      </c>
      <c r="L2" s="104">
        <v>3.9267799999999999</v>
      </c>
      <c r="M2" s="104">
        <v>2.9267799999999995</v>
      </c>
      <c r="N2" s="104">
        <v>2.9638513113755822</v>
      </c>
      <c r="O2" s="104">
        <v>3.3678799999999995</v>
      </c>
      <c r="P2" s="104">
        <v>3.3678799999999995</v>
      </c>
      <c r="Q2" s="104">
        <v>3.3678799999999995</v>
      </c>
      <c r="R2" s="104">
        <v>-5.463891512313463</v>
      </c>
      <c r="S2" s="104">
        <v>-7.4682128860961061</v>
      </c>
      <c r="T2" s="104">
        <v>-2.6422628292288444</v>
      </c>
      <c r="U2" s="104">
        <v>-6.1422628292288444</v>
      </c>
      <c r="V2" s="104">
        <v>-4.6330632809034498</v>
      </c>
      <c r="W2" s="109">
        <v>33.164242948066153</v>
      </c>
    </row>
    <row r="3" spans="1:23">
      <c r="A3" s="99" t="s">
        <v>278</v>
      </c>
      <c r="B3" s="99" t="s">
        <v>279</v>
      </c>
      <c r="D3" s="104" t="s">
        <v>277</v>
      </c>
      <c r="E3" s="104">
        <v>5.4</v>
      </c>
      <c r="F3" s="104">
        <v>3.6339371707711541</v>
      </c>
      <c r="G3" s="104">
        <v>0.13393717077115466</v>
      </c>
      <c r="H3" s="104">
        <v>1.6431367190965502</v>
      </c>
      <c r="I3" s="104">
        <v>3.6339371707711541</v>
      </c>
      <c r="J3" s="104">
        <v>0.13393717077115466</v>
      </c>
      <c r="K3" s="104">
        <v>1.6431367190965502</v>
      </c>
      <c r="L3" s="104">
        <v>3.9267799999999999</v>
      </c>
      <c r="M3" s="104">
        <v>2.9267799999999995</v>
      </c>
      <c r="N3" s="104">
        <v>2.9638513113755822</v>
      </c>
      <c r="O3" s="104">
        <v>3.3678799999999995</v>
      </c>
      <c r="P3" s="104">
        <v>3.3678799999999995</v>
      </c>
      <c r="Q3" s="104">
        <v>3.3678799999999995</v>
      </c>
      <c r="R3" s="104">
        <v>-5.463891512313463</v>
      </c>
      <c r="S3" s="104">
        <v>-7.4682128860961061</v>
      </c>
      <c r="T3" s="104">
        <v>-2.6422628292288444</v>
      </c>
      <c r="U3" s="104">
        <v>-6.1422628292288444</v>
      </c>
      <c r="V3" s="104">
        <v>-4.6330632809034498</v>
      </c>
      <c r="W3" s="109">
        <v>33.164242948066153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214</v>
      </c>
      <c r="D1" s="37" t="s">
        <v>260</v>
      </c>
      <c r="E1" s="42" t="s">
        <v>261</v>
      </c>
      <c r="F1" s="39" t="s">
        <v>257</v>
      </c>
      <c r="G1" s="37" t="s">
        <v>253</v>
      </c>
      <c r="H1" s="39" t="s">
        <v>254</v>
      </c>
      <c r="I1" s="39" t="s">
        <v>255</v>
      </c>
      <c r="J1" s="39" t="s">
        <v>256</v>
      </c>
      <c r="K1" s="156" t="s">
        <v>258</v>
      </c>
      <c r="L1" s="156" t="s">
        <v>259</v>
      </c>
      <c r="M1" s="155" t="s">
        <v>229</v>
      </c>
      <c r="N1" s="43" t="s">
        <v>262</v>
      </c>
      <c r="O1" s="43" t="str">
        <f>"---&gt;ng/g"</f>
        <v>---&gt;ng/g</v>
      </c>
      <c r="P1" s="110" t="s">
        <v>32</v>
      </c>
      <c r="Q1" s="56" t="s">
        <v>139</v>
      </c>
      <c r="R1" s="37"/>
      <c r="S1" s="6" t="s">
        <v>17</v>
      </c>
      <c r="T1" s="99" t="s">
        <v>252</v>
      </c>
    </row>
    <row r="2" spans="1:20">
      <c r="A2" s="2" t="s">
        <v>278</v>
      </c>
      <c r="B2" s="16" t="s">
        <v>279</v>
      </c>
      <c r="D2" s="14">
        <v>10</v>
      </c>
      <c r="E2" s="14">
        <v>8.7267117983385507</v>
      </c>
      <c r="F2" s="14">
        <v>8.7267117983385507</v>
      </c>
      <c r="G2" s="14">
        <v>2.9691883469905401E-7</v>
      </c>
      <c r="H2" s="14">
        <v>0</v>
      </c>
      <c r="I2" s="14">
        <v>0</v>
      </c>
      <c r="J2" s="14">
        <v>0</v>
      </c>
      <c r="K2" s="14">
        <v>1.1459069843355967</v>
      </c>
      <c r="L2" s="14">
        <v>0.872671179833855</v>
      </c>
      <c r="M2" s="14">
        <v>0.71602670305367799</v>
      </c>
      <c r="N2" s="14">
        <v>181.12866420443842</v>
      </c>
      <c r="O2" s="14">
        <v>37363.220852091559</v>
      </c>
      <c r="P2" s="8">
        <v>18.11286642044384</v>
      </c>
      <c r="Q2" s="54">
        <v>0.20313621339261881</v>
      </c>
      <c r="S2" s="99"/>
    </row>
    <row r="3" spans="1:20">
      <c r="A3" s="2" t="s">
        <v>278</v>
      </c>
      <c r="B3" s="16" t="s">
        <v>279</v>
      </c>
      <c r="D3" s="14">
        <v>100</v>
      </c>
      <c r="E3" s="14">
        <v>87.267117983385518</v>
      </c>
      <c r="F3" s="14">
        <v>87.267117983385518</v>
      </c>
      <c r="G3" s="14">
        <v>2.9691883469905404E-6</v>
      </c>
      <c r="H3" s="14">
        <v>0</v>
      </c>
      <c r="I3" s="14">
        <v>0</v>
      </c>
      <c r="J3" s="14">
        <v>0</v>
      </c>
      <c r="K3" s="14">
        <v>1.1459069843355967</v>
      </c>
      <c r="L3" s="14">
        <v>0.87267117983385512</v>
      </c>
      <c r="M3" s="14">
        <v>0.7160267030536781</v>
      </c>
      <c r="N3" s="14">
        <v>1811.2866420443845</v>
      </c>
      <c r="O3" s="14">
        <v>373632.20852091565</v>
      </c>
      <c r="P3" s="8">
        <v>18.112866420443844</v>
      </c>
      <c r="Q3" s="54">
        <v>2.0313621339261885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214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278</v>
      </c>
      <c r="B2" s="3" t="s">
        <v>279</v>
      </c>
      <c r="D2" s="20">
        <v>1.5142860569651752E-5</v>
      </c>
      <c r="E2" s="20">
        <v>0.87267117983385489</v>
      </c>
      <c r="F2" s="20">
        <v>0</v>
      </c>
      <c r="G2" s="20">
        <v>0</v>
      </c>
      <c r="H2" s="20">
        <v>0</v>
      </c>
      <c r="I2" s="20">
        <v>0.87267117983385489</v>
      </c>
      <c r="J2" s="20">
        <v>0.12497877830106249</v>
      </c>
      <c r="K2" s="20">
        <v>2.3348990045128602E-3</v>
      </c>
      <c r="L2" s="20">
        <v>5.4068316080940086E-17</v>
      </c>
      <c r="N2" s="99"/>
    </row>
    <row r="3" spans="1:14">
      <c r="A3" s="2" t="s">
        <v>278</v>
      </c>
      <c r="B3" s="3" t="s">
        <v>279</v>
      </c>
      <c r="D3" s="20">
        <v>1.5142860569651754E-5</v>
      </c>
      <c r="E3" s="20">
        <v>0.87267117983385512</v>
      </c>
      <c r="F3" s="20">
        <v>0</v>
      </c>
      <c r="G3" s="20">
        <v>0</v>
      </c>
      <c r="H3" s="20">
        <v>0</v>
      </c>
      <c r="I3" s="20">
        <v>0.87267117983385512</v>
      </c>
      <c r="J3" s="20">
        <v>0.12497877830106251</v>
      </c>
      <c r="K3" s="20">
        <v>2.3348990045128607E-3</v>
      </c>
      <c r="L3" s="20">
        <v>-1.5027114461380002E-16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topLeftCell="G1" workbookViewId="0">
      <pane ySplit="1" topLeftCell="A2" activePane="bottomLeft" state="frozen"/>
      <selection pane="bottomLeft" activeCell="I2" sqref="I2:I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1.42578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214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213</v>
      </c>
    </row>
    <row r="2" spans="1:23">
      <c r="A2" s="2" t="s">
        <v>278</v>
      </c>
      <c r="B2" s="3" t="s">
        <v>279</v>
      </c>
      <c r="D2" s="14">
        <v>2.2714290854477633E-7</v>
      </c>
      <c r="E2" s="14">
        <v>1.3090067697507826E-2</v>
      </c>
      <c r="F2" s="14">
        <v>0</v>
      </c>
      <c r="G2" s="14">
        <v>0</v>
      </c>
      <c r="H2" s="14">
        <v>0</v>
      </c>
      <c r="I2" s="14">
        <v>1.8746816745159377E-3</v>
      </c>
      <c r="J2" s="14">
        <v>3.5023485067692908E-5</v>
      </c>
      <c r="K2" s="14">
        <v>8.1102474121410135E-19</v>
      </c>
      <c r="L2" s="21">
        <f>SUM(E2:H2)</f>
        <v>1.3090067697507826E-2</v>
      </c>
      <c r="M2" s="168"/>
    </row>
    <row r="3" spans="1:23">
      <c r="A3" s="2" t="s">
        <v>278</v>
      </c>
      <c r="B3" s="3" t="s">
        <v>279</v>
      </c>
      <c r="D3" s="14">
        <v>2.2714290854477631E-6</v>
      </c>
      <c r="E3" s="14">
        <v>0.13090067697507829</v>
      </c>
      <c r="F3" s="14">
        <v>0</v>
      </c>
      <c r="G3" s="14">
        <v>0</v>
      </c>
      <c r="H3" s="14">
        <v>0</v>
      </c>
      <c r="I3" s="14">
        <v>1.8746816745159378E-2</v>
      </c>
      <c r="J3" s="14">
        <v>3.5023485067692912E-4</v>
      </c>
      <c r="K3" s="14">
        <v>-2.2540671692070004E-17</v>
      </c>
      <c r="L3" s="21">
        <f>SUM(E3:H3)</f>
        <v>0.13090067697507829</v>
      </c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214</v>
      </c>
      <c r="D1" s="28" t="s">
        <v>165</v>
      </c>
      <c r="E1" s="113" t="s">
        <v>166</v>
      </c>
      <c r="F1" s="140" t="s">
        <v>215</v>
      </c>
      <c r="G1" s="140" t="s">
        <v>208</v>
      </c>
      <c r="H1" s="140" t="s">
        <v>216</v>
      </c>
      <c r="I1" s="140" t="s">
        <v>217</v>
      </c>
      <c r="J1" s="140" t="s">
        <v>218</v>
      </c>
      <c r="K1" s="141" t="s">
        <v>221</v>
      </c>
      <c r="L1" s="141" t="s">
        <v>224</v>
      </c>
      <c r="M1" s="141" t="s">
        <v>222</v>
      </c>
      <c r="N1" s="141" t="s">
        <v>223</v>
      </c>
      <c r="O1" s="141" t="s">
        <v>263</v>
      </c>
      <c r="P1" s="141" t="s">
        <v>264</v>
      </c>
      <c r="Q1" s="37" t="s">
        <v>219</v>
      </c>
      <c r="R1" s="37" t="s">
        <v>220</v>
      </c>
      <c r="S1" s="145"/>
      <c r="T1" s="37"/>
      <c r="U1" s="146"/>
      <c r="V1" s="147"/>
    </row>
    <row r="2" spans="1:22">
      <c r="A2" s="99" t="s">
        <v>278</v>
      </c>
      <c r="B2" s="99" t="s">
        <v>279</v>
      </c>
      <c r="D2" s="100" t="s">
        <v>277</v>
      </c>
      <c r="E2" s="104">
        <v>5.4</v>
      </c>
      <c r="F2" s="104">
        <v>1.6431367190965502</v>
      </c>
      <c r="G2" s="104">
        <v>-7.4682128860961061</v>
      </c>
      <c r="H2" s="104">
        <v>2.9638513113755822</v>
      </c>
      <c r="I2" s="104">
        <v>1.6065690659269836</v>
      </c>
      <c r="J2" s="104">
        <v>1.8411474861463284</v>
      </c>
      <c r="K2" s="112">
        <v>10</v>
      </c>
      <c r="L2" s="112">
        <v>8.7204995962018721</v>
      </c>
      <c r="M2" s="112">
        <v>181.12866420443842</v>
      </c>
      <c r="N2" s="112">
        <v>6816.1615416084505</v>
      </c>
      <c r="O2" s="112">
        <v>352.71156463134434</v>
      </c>
      <c r="P2" s="112">
        <v>605.33825387051911</v>
      </c>
      <c r="Q2" s="108">
        <v>35.271156463134432</v>
      </c>
      <c r="R2" s="68">
        <v>60.533825387051913</v>
      </c>
    </row>
    <row r="3" spans="1:22">
      <c r="A3" s="99" t="s">
        <v>278</v>
      </c>
      <c r="B3" s="99" t="s">
        <v>279</v>
      </c>
      <c r="D3" s="100" t="s">
        <v>277</v>
      </c>
      <c r="E3" s="104">
        <v>5.4</v>
      </c>
      <c r="F3" s="104">
        <v>1.6431367190965502</v>
      </c>
      <c r="G3" s="104">
        <v>-7.4682128860961061</v>
      </c>
      <c r="H3" s="104">
        <v>2.9638513113755822</v>
      </c>
      <c r="I3" s="104">
        <v>1.6065690659269836</v>
      </c>
      <c r="J3" s="104">
        <v>1.8411474861463284</v>
      </c>
      <c r="K3" s="112">
        <v>100</v>
      </c>
      <c r="L3" s="112">
        <v>87.204995962018728</v>
      </c>
      <c r="M3" s="112">
        <v>1811.2866420443845</v>
      </c>
      <c r="N3" s="112">
        <v>68161.615416084518</v>
      </c>
      <c r="O3" s="112">
        <v>3527.1156463134439</v>
      </c>
      <c r="P3" s="112">
        <v>6053.382538705192</v>
      </c>
      <c r="Q3" s="108">
        <v>35.271156463134439</v>
      </c>
      <c r="R3" s="68">
        <v>60.53382538705192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2025-01-18T04:36:07Z</dcterms:modified>
</cp:coreProperties>
</file>