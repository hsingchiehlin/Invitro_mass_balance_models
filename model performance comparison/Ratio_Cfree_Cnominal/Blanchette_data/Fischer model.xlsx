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Validation_Alex\"/>
    </mc:Choice>
  </mc:AlternateContent>
  <xr:revisionPtr revIDLastSave="0" documentId="13_ncr:1_{D71ED373-B004-4632-953F-0B0F684DFD4B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0" i="4" l="1"/>
  <c r="R33" i="4"/>
  <c r="R34" i="4"/>
  <c r="R35" i="4"/>
  <c r="R36" i="4"/>
  <c r="R32" i="4"/>
  <c r="R31" i="4"/>
  <c r="J21" i="4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J10" i="4"/>
  <c r="J9" i="4"/>
  <c r="J19" i="4"/>
  <c r="J8" i="4" l="1"/>
  <c r="K14" i="4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J36" i="4"/>
  <c r="K36" i="4" s="1"/>
  <c r="O36" i="4" s="1"/>
  <c r="P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P37" i="4" s="1"/>
  <c r="J51" i="4"/>
  <c r="K51" i="4" s="1"/>
  <c r="O51" i="4" s="1"/>
  <c r="P51" i="4" s="1"/>
  <c r="J39" i="4"/>
  <c r="K39" i="4" s="1"/>
  <c r="O39" i="4" s="1"/>
  <c r="J38" i="4"/>
  <c r="K38" i="4" s="1"/>
  <c r="O38" i="4" s="1"/>
  <c r="P38" i="4" s="1"/>
  <c r="J56" i="4"/>
  <c r="K56" i="4" s="1"/>
  <c r="O56" i="4" s="1"/>
  <c r="P56" i="4" s="1"/>
  <c r="J46" i="4"/>
  <c r="K46" i="4" s="1"/>
  <c r="O46" i="4" s="1"/>
  <c r="P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P47" i="4" s="1"/>
  <c r="J40" i="4"/>
  <c r="K40" i="4" s="1"/>
  <c r="O40" i="4" s="1"/>
  <c r="P40" i="4" s="1"/>
  <c r="J54" i="4"/>
  <c r="K54" i="4" s="1"/>
  <c r="O54" i="4" s="1"/>
  <c r="P54" i="4" s="1"/>
  <c r="J43" i="4"/>
  <c r="K43" i="4" s="1"/>
  <c r="O43" i="4" s="1"/>
  <c r="P43" i="4" s="1"/>
  <c r="J57" i="4"/>
  <c r="K57" i="4" s="1"/>
  <c r="O57" i="4" s="1"/>
  <c r="P57" i="4" s="1"/>
  <c r="J53" i="4"/>
  <c r="K53" i="4" s="1"/>
  <c r="O53" i="4" s="1"/>
  <c r="P53" i="4" s="1"/>
  <c r="J49" i="4"/>
  <c r="K49" i="4" s="1"/>
  <c r="O49" i="4" s="1"/>
  <c r="P49" i="4" s="1"/>
  <c r="J41" i="4"/>
  <c r="K41" i="4" s="1"/>
  <c r="O41" i="4" s="1"/>
  <c r="P41" i="4" s="1"/>
  <c r="J59" i="4"/>
  <c r="K59" i="4" s="1"/>
  <c r="O59" i="4" s="1"/>
  <c r="P59" i="4" s="1"/>
  <c r="J50" i="4"/>
  <c r="K50" i="4" s="1"/>
  <c r="O50" i="4" s="1"/>
  <c r="P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I28" i="4"/>
  <c r="N28" i="4" s="1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P39" i="4" l="1"/>
  <c r="R39" i="4"/>
  <c r="P42" i="4"/>
  <c r="L66" i="4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O28" i="4" s="1"/>
  <c r="R28" i="4" s="1"/>
  <c r="L28" i="4"/>
  <c r="M28" i="4" s="1"/>
  <c r="L32" i="4"/>
  <c r="M32" i="4" s="1"/>
  <c r="K32" i="4"/>
  <c r="O32" i="4" s="1"/>
  <c r="P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L29" i="4"/>
  <c r="M29" i="4" s="1"/>
  <c r="P29" i="4" l="1"/>
  <c r="R29" i="4"/>
  <c r="P28" i="4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<sst xmlns="http://schemas.openxmlformats.org/spreadsheetml/2006/main" count="129" uniqueCount="105">
  <si>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</si>
  <si>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</si>
  <si>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</si>
  <si>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</si>
  <si>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</si>
  <si>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</si>
  <si>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</si>
  <si>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</si>
  <si>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</si>
  <si>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</si>
  <si>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</si>
  <si>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</si>
  <si>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</si>
  <si>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</si>
  <si>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</si>
  <si>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</si>
  <si>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</si>
  <si>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</si>
  <si>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</si>
  <si>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</si>
  <si>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</si>
  <si>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</si>
  <si>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</si>
  <si>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</si>
  <si>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</si>
  <si>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</si>
  <si>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</si>
  <si>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</si>
  <si>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</si>
  <si>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</si>
  <si>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</si>
  <si>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</si>
  <si>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</si>
  <si>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</si>
  <si>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</si>
  <si>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</si>
  <si>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</si>
  <si>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</si>
  <si>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</si>
  <si>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</si>
  <si>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</si>
  <si>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</si>
  <si>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</si>
  <si>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</si>
  <si>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</si>
  <si>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</si>
  <si>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</si>
  <si>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</si>
  <si>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</si>
  <si>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</si>
  <si>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</si>
  <si>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</si>
  <si>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</si>
  <si>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</si>
  <si>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</si>
  <si>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</si>
  <si>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</si>
  <si>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</si>
  <si>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</si>
  <si>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</si>
  <si>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</si>
  <si>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</si>
  <si>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</si>
  <si>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</si>
  <si>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</si>
  <si>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</si>
  <si>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</si>
  <si>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</si>
  <si>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</si>
  <si>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</si>
  <si>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</si>
  <si>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</si>
  <si>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</si>
  <si>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</si>
  <si>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</si>
  <si>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</si>
  <si>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</si>
  <si>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</si>
  <si>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</si>
  <si>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Cisapride</t>
  </si>
  <si>
    <t>81098-60-4</t>
  </si>
  <si>
    <t>Citalopram hydrobromide</t>
  </si>
  <si>
    <t>59729-33-8</t>
  </si>
  <si>
    <t>Disopyramide phosphate</t>
  </si>
  <si>
    <t>22059-60-5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</si>
  <si>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</si>
  <si>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</si>
  <si>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</si>
  <si>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</si>
  <si>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</si>
  <si>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</si>
  <si>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</si>
  <si>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</si>
  <si>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</si>
  <si>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</si>
  <si>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</si>
  <si>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</si>
  <si>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Vernakalant</t>
  </si>
  <si>
    <t>748810-28-8</t>
  </si>
  <si>
    <t>Cabazitaxel</t>
  </si>
  <si>
    <t>183133-96-2</t>
  </si>
  <si>
    <t>Lamotrigine</t>
  </si>
  <si>
    <t>84057-84-1</t>
  </si>
  <si>
    <t>Mifepristone</t>
  </si>
  <si>
    <t>84371-65-3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</si>
</sst>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00000"/>
    <numFmt numFmtId="178" formatCode="0.00000000000"/>
    <numFmt numFmtId="179" formatCode="0.0%"/>
  </numFmts>
  <fonts count="21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72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2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20" fillId="2" borderId="7" xfId="0" applyNumberFormat="1" applyFont="1" applyFill="1" applyBorder="1" applyAlignment="1" applyProtection="1">
      <alignment horizontal="center" vertical="center"/>
      <protection hidden="1"/>
    </xf>
    <xf numFmtId="11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7" borderId="7" xfId="0" applyNumberFormat="1" applyFont="1" applyFill="1" applyBorder="1" applyAlignment="1" applyProtection="1">
      <alignment horizontal="center" vertical="center"/>
      <protection hidden="1"/>
    </xf>
    <xf numFmtId="0" fontId="4" fillId="8" borderId="7" xfId="0" applyFont="1" applyFill="1" applyBorder="1" applyAlignment="1" applyProtection="1">
      <alignment horizontal="left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zoomScale="90" zoomScaleNormal="90" workbookViewId="0">
      <selection activeCell="K7" sqref="K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97" t="s">
        <v>59</v>
      </c>
      <c r="C2" s="98"/>
      <c r="D2" s="98"/>
      <c r="E2" s="98"/>
      <c r="F2" s="98"/>
      <c r="G2" s="98"/>
      <c r="H2" s="99"/>
      <c r="I2" s="7"/>
      <c r="J2" s="88" t="s">
        <v>58</v>
      </c>
      <c r="K2" s="89"/>
      <c r="L2" s="89"/>
      <c r="M2" s="89"/>
      <c r="N2" s="89"/>
      <c r="O2" s="90"/>
      <c r="P2" s="7"/>
      <c r="Q2" s="88" t="s">
        <v>60</v>
      </c>
      <c r="R2" s="89"/>
      <c r="S2" s="89"/>
      <c r="T2" s="89"/>
      <c r="U2" s="89"/>
      <c r="V2" s="90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91"/>
      <c r="K3" s="92"/>
      <c r="L3" s="92"/>
      <c r="M3" s="92"/>
      <c r="N3" s="92"/>
      <c r="O3" s="93"/>
      <c r="P3" s="7"/>
      <c r="Q3" s="91"/>
      <c r="R3" s="92"/>
      <c r="S3" s="92"/>
      <c r="T3" s="92"/>
      <c r="U3" s="92"/>
      <c r="V3" s="93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94"/>
      <c r="K4" s="95"/>
      <c r="L4" s="95"/>
      <c r="M4" s="95"/>
      <c r="N4" s="95"/>
      <c r="O4" s="96"/>
      <c r="P4" s="7"/>
      <c r="Q4" s="94"/>
      <c r="R4" s="95"/>
      <c r="S4" s="95"/>
      <c r="T4" s="95"/>
      <c r="U4" s="95"/>
      <c r="V4" s="96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32" t="s">
        <v>14</v>
      </c>
      <c r="L7" s="33">
        <v>0</v>
      </c>
      <c r="M7" s="34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32" t="s">
        <v>17</v>
      </c>
      <c r="L10" s="33">
        <v>52.76</v>
      </c>
      <c r="M10" s="33">
        <v>1.57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59">
        <v>2.6539699999999999E-3</v>
      </c>
      <c r="M17" s="59">
        <v>2.8729E-4</v>
      </c>
      <c r="N17" s="59">
        <v>9.6910000000000006E-5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7"/>
      <c r="M23" s="7"/>
      <c r="N23" s="7"/>
      <c r="O23" s="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D26" zoomScale="90" zoomScaleNormal="90" workbookViewId="0">
      <selection activeCell="R28" sqref="R28:R40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25"/>
      <c r="H1" s="12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25"/>
      <c r="H2" s="125"/>
      <c r="I2" s="138" t="s">
        <v>20</v>
      </c>
      <c r="J2" s="139"/>
      <c r="K2" s="139"/>
      <c r="L2" s="139"/>
      <c r="M2" s="139"/>
      <c r="N2" s="139"/>
      <c r="O2" s="139"/>
      <c r="P2" s="139"/>
      <c r="Q2" s="14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25"/>
      <c r="H3" s="125"/>
      <c r="I3" s="141"/>
      <c r="J3" s="142"/>
      <c r="K3" s="142"/>
      <c r="L3" s="142"/>
      <c r="M3" s="142"/>
      <c r="N3" s="142"/>
      <c r="O3" s="142"/>
      <c r="P3" s="142"/>
      <c r="Q3" s="14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25"/>
      <c r="H4" s="125"/>
      <c r="I4" s="144"/>
      <c r="J4" s="145"/>
      <c r="K4" s="145"/>
      <c r="L4" s="145"/>
      <c r="M4" s="145"/>
      <c r="N4" s="145"/>
      <c r="O4" s="145"/>
      <c r="P4" s="145"/>
      <c r="Q4" s="14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25"/>
      <c r="H5" s="125"/>
      <c r="I5" s="147" t="s">
        <v>40</v>
      </c>
      <c r="J5" s="148"/>
      <c r="K5" s="148"/>
      <c r="L5" s="148"/>
      <c r="M5" s="148"/>
      <c r="N5" s="148"/>
      <c r="O5" s="148"/>
      <c r="P5" s="148"/>
      <c r="Q5" s="14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25"/>
      <c r="H6" s="125"/>
      <c r="I6" s="50" t="s">
        <v>51</v>
      </c>
      <c r="J6" s="50" t="s">
        <v>52</v>
      </c>
      <c r="K6" s="50" t="s">
        <v>48</v>
      </c>
      <c r="L6" s="117" t="s">
        <v>41</v>
      </c>
      <c r="M6" s="118"/>
      <c r="N6" s="118"/>
      <c r="O6" s="118"/>
      <c r="P6" s="118"/>
      <c r="Q6" s="11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25"/>
      <c r="H7" s="125"/>
      <c r="I7" s="51" t="s">
        <v>21</v>
      </c>
      <c r="J7" s="38">
        <f>SUM(J13,J19)</f>
        <v>300</v>
      </c>
      <c r="K7" s="39">
        <f>J7/J7</f>
        <v>1</v>
      </c>
      <c r="L7" s="100" t="s">
        <v>70</v>
      </c>
      <c r="M7" s="101"/>
      <c r="N7" s="101"/>
      <c r="O7" s="101"/>
      <c r="P7" s="101"/>
      <c r="Q7" s="10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63" t="s">
        <v>3</v>
      </c>
      <c r="C8" s="164"/>
      <c r="D8" s="164"/>
      <c r="E8" s="164"/>
      <c r="F8" s="165"/>
      <c r="G8" s="125"/>
      <c r="H8" s="125"/>
      <c r="I8" s="52" t="s">
        <v>6</v>
      </c>
      <c r="J8" s="38">
        <f>SUM(J14,J20)</f>
        <v>299.18504999999999</v>
      </c>
      <c r="K8" s="40">
        <f>J8/J7</f>
        <v>0.99728349999999999</v>
      </c>
      <c r="L8" s="100" t="s">
        <v>71</v>
      </c>
      <c r="M8" s="101"/>
      <c r="N8" s="101"/>
      <c r="O8" s="101"/>
      <c r="P8" s="101"/>
      <c r="Q8" s="10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66"/>
      <c r="C9" s="167"/>
      <c r="D9" s="167"/>
      <c r="E9" s="167"/>
      <c r="F9" s="168"/>
      <c r="G9" s="125"/>
      <c r="H9" s="125"/>
      <c r="I9" s="51" t="s">
        <v>8</v>
      </c>
      <c r="J9" s="41">
        <f t="shared" ref="J9:J10" si="0">SUM(J15,J21)</f>
        <v>0.79139999999999999</v>
      </c>
      <c r="K9" s="40">
        <f>J9/J7</f>
        <v>2.6380000000000002E-3</v>
      </c>
      <c r="L9" s="100" t="s">
        <v>71</v>
      </c>
      <c r="M9" s="101"/>
      <c r="N9" s="101"/>
      <c r="O9" s="101"/>
      <c r="P9" s="101"/>
      <c r="Q9" s="102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69"/>
      <c r="C10" s="170"/>
      <c r="D10" s="170"/>
      <c r="E10" s="170"/>
      <c r="F10" s="171"/>
      <c r="G10" s="125"/>
      <c r="H10" s="125"/>
      <c r="I10" s="52" t="s">
        <v>9</v>
      </c>
      <c r="J10" s="41">
        <f t="shared" si="0"/>
        <v>2.3550000000000005E-2</v>
      </c>
      <c r="K10" s="40">
        <f>J10/J7</f>
        <v>7.8500000000000011E-5</v>
      </c>
      <c r="L10" s="100" t="s">
        <v>71</v>
      </c>
      <c r="M10" s="101"/>
      <c r="N10" s="101"/>
      <c r="O10" s="101"/>
      <c r="P10" s="101"/>
      <c r="Q10" s="102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28" t="s">
        <v>38</v>
      </c>
      <c r="C11" s="129"/>
      <c r="D11" s="129"/>
      <c r="E11" s="129"/>
      <c r="F11" s="130"/>
      <c r="G11" s="125"/>
      <c r="H11" s="125"/>
      <c r="I11" s="116"/>
      <c r="J11" s="116"/>
      <c r="K11" s="116"/>
      <c r="L11" s="116"/>
      <c r="M11" s="116"/>
      <c r="N11" s="116"/>
      <c r="O11" s="116"/>
      <c r="P11" s="116"/>
      <c r="Q11" s="11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31"/>
      <c r="C12" s="132"/>
      <c r="D12" s="132"/>
      <c r="E12" s="132"/>
      <c r="F12" s="133"/>
      <c r="G12" s="125"/>
      <c r="H12" s="125"/>
      <c r="I12" s="50" t="s">
        <v>53</v>
      </c>
      <c r="J12" s="50" t="s">
        <v>52</v>
      </c>
      <c r="K12" s="50" t="s">
        <v>48</v>
      </c>
      <c r="L12" s="117" t="s">
        <v>41</v>
      </c>
      <c r="M12" s="118"/>
      <c r="N12" s="118"/>
      <c r="O12" s="118"/>
      <c r="P12" s="118"/>
      <c r="Q12" s="11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20" t="s">
        <v>4</v>
      </c>
      <c r="C13" s="121"/>
      <c r="D13" s="153" t="s">
        <v>41</v>
      </c>
      <c r="E13" s="153"/>
      <c r="F13" s="153"/>
      <c r="G13" s="125"/>
      <c r="H13" s="125"/>
      <c r="I13" s="51" t="s">
        <v>5</v>
      </c>
      <c r="J13" s="42">
        <f>SUM(J14:J16)</f>
        <v>300</v>
      </c>
      <c r="K13" s="39">
        <f>J13/J13</f>
        <v>1</v>
      </c>
      <c r="L13" s="100" t="s">
        <v>73</v>
      </c>
      <c r="M13" s="101"/>
      <c r="N13" s="101"/>
      <c r="O13" s="101"/>
      <c r="P13" s="101"/>
      <c r="Q13" s="102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300</v>
      </c>
      <c r="D14" s="154" t="s">
        <v>18</v>
      </c>
      <c r="E14" s="154"/>
      <c r="F14" s="154"/>
      <c r="G14" s="125"/>
      <c r="H14" s="125"/>
      <c r="I14" s="52" t="s">
        <v>45</v>
      </c>
      <c r="J14" s="42">
        <f>C14-SUM(J15:J16)</f>
        <v>299.18504999999999</v>
      </c>
      <c r="K14" s="40">
        <f>J14/J13</f>
        <v>0.99728349999999999</v>
      </c>
      <c r="L14" s="122" t="s">
        <v>72</v>
      </c>
      <c r="M14" s="123"/>
      <c r="N14" s="123"/>
      <c r="O14" s="123"/>
      <c r="P14" s="123"/>
      <c r="Q14" s="12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32" t="s">
        <v>14</v>
      </c>
      <c r="D15" s="155" t="s">
        <v>62</v>
      </c>
      <c r="E15" s="155"/>
      <c r="F15" s="155"/>
      <c r="G15" s="125"/>
      <c r="H15" s="125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0.79139999999999999</v>
      </c>
      <c r="K15" s="40">
        <f>J15/J13</f>
        <v>2.6380000000000002E-3</v>
      </c>
      <c r="L15" s="100" t="s">
        <v>71</v>
      </c>
      <c r="M15" s="101"/>
      <c r="N15" s="101"/>
      <c r="O15" s="101"/>
      <c r="P15" s="101"/>
      <c r="Q15" s="102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v>0.95</v>
      </c>
      <c r="D16" s="156" t="s">
        <v>42</v>
      </c>
      <c r="E16" s="157"/>
      <c r="F16" s="158"/>
      <c r="G16" s="125"/>
      <c r="H16" s="125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2.3550000000000005E-2</v>
      </c>
      <c r="K16" s="40">
        <f>J16/J13</f>
        <v>7.8500000000000011E-5</v>
      </c>
      <c r="L16" s="100" t="s">
        <v>71</v>
      </c>
      <c r="M16" s="101"/>
      <c r="N16" s="101"/>
      <c r="O16" s="101"/>
      <c r="P16" s="101"/>
      <c r="Q16" s="102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59" t="s">
        <v>63</v>
      </c>
      <c r="E17" s="160"/>
      <c r="F17" s="161"/>
      <c r="G17" s="125"/>
      <c r="H17" s="125"/>
      <c r="I17" s="122"/>
      <c r="J17" s="123"/>
      <c r="K17" s="123"/>
      <c r="L17" s="123"/>
      <c r="M17" s="123"/>
      <c r="N17" s="123"/>
      <c r="O17" s="123"/>
      <c r="P17" s="123"/>
      <c r="Q17" s="12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0.05</v>
      </c>
      <c r="D18" s="156" t="s">
        <v>43</v>
      </c>
      <c r="E18" s="157"/>
      <c r="F18" s="158"/>
      <c r="G18" s="125"/>
      <c r="H18" s="125"/>
      <c r="I18" s="50" t="s">
        <v>31</v>
      </c>
      <c r="J18" s="50" t="s">
        <v>52</v>
      </c>
      <c r="K18" s="50" t="s">
        <v>48</v>
      </c>
      <c r="L18" s="117" t="s">
        <v>41</v>
      </c>
      <c r="M18" s="118"/>
      <c r="N18" s="118"/>
      <c r="O18" s="118"/>
      <c r="P18" s="118"/>
      <c r="Q18" s="11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55"/>
      <c r="C19" s="155"/>
      <c r="D19" s="155"/>
      <c r="E19" s="155"/>
      <c r="F19" s="155"/>
      <c r="G19" s="125"/>
      <c r="H19" s="125"/>
      <c r="I19" s="51" t="s">
        <v>5</v>
      </c>
      <c r="J19" s="42">
        <f>SUM(J20:J22)</f>
        <v>3.0381700000000004E-36</v>
      </c>
      <c r="K19" s="39">
        <f>J19/J19</f>
        <v>1</v>
      </c>
      <c r="L19" s="100" t="s">
        <v>57</v>
      </c>
      <c r="M19" s="101"/>
      <c r="N19" s="101"/>
      <c r="O19" s="101"/>
      <c r="P19" s="101"/>
      <c r="Q19" s="102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20" t="s">
        <v>7</v>
      </c>
      <c r="C20" s="121"/>
      <c r="D20" s="153" t="s">
        <v>41</v>
      </c>
      <c r="E20" s="153"/>
      <c r="F20" s="153"/>
      <c r="G20" s="125"/>
      <c r="H20" s="125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2.6539700000000002E-36</v>
      </c>
      <c r="K20" s="40">
        <f>J20/J19</f>
        <v>0.87354229684316542</v>
      </c>
      <c r="L20" s="100" t="s">
        <v>71</v>
      </c>
      <c r="M20" s="101"/>
      <c r="N20" s="101"/>
      <c r="O20" s="101"/>
      <c r="P20" s="101"/>
      <c r="Q20" s="102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77</v>
      </c>
      <c r="D21" s="159" t="s">
        <v>63</v>
      </c>
      <c r="E21" s="160"/>
      <c r="F21" s="161"/>
      <c r="G21" s="125"/>
      <c r="H21" s="125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2.8729000000000005E-37</v>
      </c>
      <c r="K21" s="40">
        <f>J21/J19</f>
        <v>9.4560212233021856E-2</v>
      </c>
      <c r="L21" s="100" t="s">
        <v>71</v>
      </c>
      <c r="M21" s="101"/>
      <c r="N21" s="101"/>
      <c r="O21" s="101"/>
      <c r="P21" s="101"/>
      <c r="Q21" s="102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1.0000000000000001E-30</v>
      </c>
      <c r="D22" s="162" t="s">
        <v>69</v>
      </c>
      <c r="E22" s="162"/>
      <c r="F22" s="162"/>
      <c r="G22" s="125"/>
      <c r="H22" s="125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9.6910000000000015E-38</v>
      </c>
      <c r="K22" s="40">
        <f>J22/J19</f>
        <v>3.1897490923812694E-2</v>
      </c>
      <c r="L22" s="100" t="s">
        <v>71</v>
      </c>
      <c r="M22" s="101"/>
      <c r="N22" s="101"/>
      <c r="O22" s="101"/>
      <c r="P22" s="101"/>
      <c r="Q22" s="10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50"/>
      <c r="C23" s="151"/>
      <c r="D23" s="151"/>
      <c r="E23" s="151"/>
      <c r="F23" s="152"/>
      <c r="G23" s="125"/>
      <c r="H23" s="125"/>
      <c r="I23" s="111"/>
      <c r="J23" s="112"/>
      <c r="K23" s="112"/>
      <c r="L23" s="112"/>
      <c r="M23" s="112"/>
      <c r="N23" s="112"/>
      <c r="O23" s="112"/>
      <c r="P23" s="112"/>
      <c r="Q23" s="11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28" t="s">
        <v>39</v>
      </c>
      <c r="C24" s="129"/>
      <c r="D24" s="129"/>
      <c r="E24" s="129"/>
      <c r="F24" s="130"/>
      <c r="G24" s="125"/>
      <c r="H24" s="125"/>
      <c r="I24" s="105" t="s">
        <v>44</v>
      </c>
      <c r="J24" s="106"/>
      <c r="K24" s="106"/>
      <c r="L24" s="106"/>
      <c r="M24" s="106"/>
      <c r="N24" s="106"/>
      <c r="O24" s="106"/>
      <c r="P24" s="106"/>
      <c r="Q24" s="10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31"/>
      <c r="C25" s="132"/>
      <c r="D25" s="132"/>
      <c r="E25" s="132"/>
      <c r="F25" s="133"/>
      <c r="G25" s="125"/>
      <c r="H25" s="125"/>
      <c r="I25" s="108"/>
      <c r="J25" s="109"/>
      <c r="K25" s="109"/>
      <c r="L25" s="109"/>
      <c r="M25" s="109"/>
      <c r="N25" s="109"/>
      <c r="O25" s="109"/>
      <c r="P25" s="109"/>
      <c r="Q25" s="11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26" t="s">
        <v>11</v>
      </c>
      <c r="C26" s="126" t="s">
        <v>12</v>
      </c>
      <c r="D26" s="134" t="s">
        <v>49</v>
      </c>
      <c r="E26" s="134" t="s">
        <v>50</v>
      </c>
      <c r="F26" s="136" t="s">
        <v>68</v>
      </c>
      <c r="G26" s="125"/>
      <c r="H26" s="125"/>
      <c r="I26" s="114" t="s">
        <v>55</v>
      </c>
      <c r="J26" s="114" t="s">
        <v>56</v>
      </c>
      <c r="K26" s="103" t="s">
        <v>76</v>
      </c>
      <c r="L26" s="103" t="s">
        <v>54</v>
      </c>
      <c r="M26" s="103" t="s">
        <v>61</v>
      </c>
      <c r="N26" s="103" t="s">
        <v>64</v>
      </c>
      <c r="O26" s="103" t="s">
        <v>75</v>
      </c>
      <c r="P26" s="103" t="s">
        <v>66</v>
      </c>
      <c r="Q26" s="103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27"/>
      <c r="C27" s="127"/>
      <c r="D27" s="135"/>
      <c r="E27" s="135"/>
      <c r="F27" s="137"/>
      <c r="G27" s="125"/>
      <c r="H27" s="125"/>
      <c r="I27" s="115"/>
      <c r="J27" s="115"/>
      <c r="K27" s="104"/>
      <c r="L27" s="104"/>
      <c r="M27" s="104"/>
      <c r="N27" s="104"/>
      <c r="O27" s="104"/>
      <c r="P27" s="104"/>
      <c r="Q27" s="104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47" t="s">
        <v>79</v>
      </c>
      <c r="C28" s="47" t="s">
        <v>80</v>
      </c>
      <c r="D28" s="48">
        <v>2.5105662711924017</v>
      </c>
      <c r="E28" s="48">
        <v>3.0939041322596146</v>
      </c>
      <c r="F28" s="58">
        <v>1.0000000000000001E-5</v>
      </c>
      <c r="G28" s="125"/>
      <c r="H28" s="125"/>
      <c r="I28" s="55">
        <f t="shared" ref="I28:I47" si="1">IF(D28=0,"",LOG($K$15*10^D28+$K$16*10^E28+$K$14))</f>
        <v>0.28992001741227408</v>
      </c>
      <c r="J28" s="55">
        <f t="shared" ref="J28:J47" si="2">IF(D28=0,"",LOG($K$21*10^D28+$K$22*10^E28+$K$20))</f>
        <v>1.8519270292182701</v>
      </c>
      <c r="K28" s="56">
        <f t="shared" ref="K28:K47" si="3">IF(D28=0,"",1/(1+10^D28*$J$15/$J$14+10^E28*$J$16/$J$14+10^J28*$J$19/$J$14))</f>
        <v>0.5115624001331962</v>
      </c>
      <c r="L28" s="56">
        <f t="shared" ref="L28:L47" si="4">IF(D28=0,"",1/(1+10^I28/10^J28*$J$13/$J$19))</f>
        <v>3.6940079700813165E-37</v>
      </c>
      <c r="M28" s="56">
        <f t="shared" ref="M28:M47" si="5">IF(D28=0,"",1-L28)</f>
        <v>1</v>
      </c>
      <c r="N28" s="56">
        <f t="shared" ref="N28:N47" si="6">IF(D28=0,"",1/(1/10^E28*$J$20/$J$22+10^D28/10^E28*$J$21/$J$22+10^I28/10^E28*$J$13/$J$22+1))</f>
        <v>2.0569865581062382E-37</v>
      </c>
      <c r="O28" s="57">
        <f t="shared" ref="O28:O47" si="7">IF(D28=0,"",F28*K28*$J$7/$J$14)</f>
        <v>5.1295584468528379E-6</v>
      </c>
      <c r="P28" s="57">
        <f t="shared" ref="P28:P47" si="8">IF(D28=0,"",O28*10^J28)</f>
        <v>3.6475983602773872E-4</v>
      </c>
      <c r="Q28" s="57">
        <f t="shared" ref="Q28:Q47" si="9">IF(D28=0,"",F28*N28*$J$7/$J$22)</f>
        <v>6.3677222931779118E-3</v>
      </c>
      <c r="R28" s="9">
        <f>O28/F28</f>
        <v>0.51295584468528377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87" t="s">
        <v>81</v>
      </c>
      <c r="C29" s="47" t="s">
        <v>82</v>
      </c>
      <c r="D29" s="48">
        <v>1.93</v>
      </c>
      <c r="E29" s="48">
        <v>1.25</v>
      </c>
      <c r="F29" s="58">
        <v>1.0000000000000001E-5</v>
      </c>
      <c r="G29" s="125"/>
      <c r="H29" s="125"/>
      <c r="I29" s="55">
        <f t="shared" si="1"/>
        <v>8.7500903506949668E-2</v>
      </c>
      <c r="J29" s="55">
        <f t="shared" si="2"/>
        <v>0.97722722775789894</v>
      </c>
      <c r="K29" s="56">
        <f t="shared" si="3"/>
        <v>0.81530054045673539</v>
      </c>
      <c r="L29" s="56">
        <f t="shared" si="4"/>
        <v>7.8562833853240075E-38</v>
      </c>
      <c r="M29" s="56">
        <f t="shared" si="5"/>
        <v>1</v>
      </c>
      <c r="N29" s="56">
        <f t="shared" si="6"/>
        <v>4.6961983903189872E-39</v>
      </c>
      <c r="O29" s="57">
        <f t="shared" si="7"/>
        <v>8.1752133716915537E-6</v>
      </c>
      <c r="P29" s="57">
        <f t="shared" si="8"/>
        <v>7.7575810951895441E-5</v>
      </c>
      <c r="Q29" s="57">
        <f t="shared" si="9"/>
        <v>1.4537813611553981E-4</v>
      </c>
      <c r="R29" s="9">
        <f>O29/F29</f>
        <v>0.81752133716915532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87" t="s">
        <v>83</v>
      </c>
      <c r="C30" s="47" t="s">
        <v>84</v>
      </c>
      <c r="D30" s="48"/>
      <c r="E30" s="48"/>
      <c r="F30" s="58"/>
      <c r="G30" s="125"/>
      <c r="H30" s="125"/>
      <c r="I30" s="55" t="str">
        <f t="shared" si="1"/>
        <v/>
      </c>
      <c r="J30" s="55" t="str">
        <f t="shared" si="2"/>
        <v/>
      </c>
      <c r="K30" s="86" t="str">
        <f t="shared" si="3"/>
        <v/>
      </c>
      <c r="L30" s="56" t="str">
        <f t="shared" si="4"/>
        <v/>
      </c>
      <c r="M30" s="56" t="str">
        <f t="shared" si="5"/>
        <v/>
      </c>
      <c r="N30" s="56" t="str">
        <f t="shared" si="6"/>
        <v/>
      </c>
      <c r="O30" s="57" t="str">
        <f t="shared" si="7"/>
        <v/>
      </c>
      <c r="P30" s="57" t="str">
        <f t="shared" si="8"/>
        <v/>
      </c>
      <c r="Q30" s="57" t="str">
        <f t="shared" si="9"/>
        <v/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7"/>
      <c r="B31" s="47" t="s">
        <v>85</v>
      </c>
      <c r="C31" s="47" t="s">
        <v>86</v>
      </c>
      <c r="D31" s="48">
        <v>1.25894119353766</v>
      </c>
      <c r="E31" s="48">
        <v>1.3134233879901926</v>
      </c>
      <c r="F31" s="58">
        <v>1.0000000000000001E-5</v>
      </c>
      <c r="G31" s="125"/>
      <c r="H31" s="125"/>
      <c r="I31" s="55">
        <f t="shared" si="1"/>
        <v>1.9857808871006338E-2</v>
      </c>
      <c r="J31" s="55">
        <f t="shared" si="2"/>
        <v>0.51141305985778873</v>
      </c>
      <c r="K31" s="56">
        <f t="shared" si="3"/>
        <v>0.95271022176530396</v>
      </c>
      <c r="L31" s="56">
        <f t="shared" si="4"/>
        <v>3.1408418375310571E-38</v>
      </c>
      <c r="M31" s="56">
        <f t="shared" si="5"/>
        <v>1</v>
      </c>
      <c r="N31" s="56">
        <f t="shared" si="6"/>
        <v>6.3505730782789185E-39</v>
      </c>
      <c r="O31" s="57">
        <f t="shared" si="7"/>
        <v>9.5530530863621425E-6</v>
      </c>
      <c r="P31" s="57">
        <f t="shared" si="8"/>
        <v>3.1013819215492124E-5</v>
      </c>
      <c r="Q31" s="57">
        <f t="shared" si="9"/>
        <v>1.9659188148629403E-4</v>
      </c>
      <c r="R31" s="9">
        <f>O31/F31</f>
        <v>0.95530530863621421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47" t="s">
        <v>87</v>
      </c>
      <c r="C32" s="47" t="s">
        <v>88</v>
      </c>
      <c r="D32" s="48">
        <v>0.21626245461153099</v>
      </c>
      <c r="E32" s="48">
        <v>-0.16982383217232916</v>
      </c>
      <c r="F32" s="58">
        <v>1.0000000000000001E-5</v>
      </c>
      <c r="G32" s="125"/>
      <c r="H32" s="125"/>
      <c r="I32" s="55">
        <f t="shared" si="1"/>
        <v>7.2773171708672368E-4</v>
      </c>
      <c r="J32" s="55">
        <f t="shared" si="2"/>
        <v>2.1479778898085042E-2</v>
      </c>
      <c r="K32" s="56">
        <f t="shared" si="3"/>
        <v>0.99561378706813286</v>
      </c>
      <c r="L32" s="56">
        <f t="shared" si="4"/>
        <v>1.062289438125356E-38</v>
      </c>
      <c r="M32" s="56">
        <f t="shared" si="5"/>
        <v>1</v>
      </c>
      <c r="N32" s="56">
        <f t="shared" si="6"/>
        <v>2.1812014361373285E-40</v>
      </c>
      <c r="O32" s="57">
        <f t="shared" si="7"/>
        <v>9.9832573893795793E-6</v>
      </c>
      <c r="P32" s="57">
        <f t="shared" si="8"/>
        <v>1.0489433818305322E-5</v>
      </c>
      <c r="Q32" s="57">
        <f t="shared" si="9"/>
        <v>6.7522487962150294E-6</v>
      </c>
      <c r="R32" s="9">
        <f>O32/F32</f>
        <v>0.99832573893795784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47" t="s">
        <v>89</v>
      </c>
      <c r="C33" s="47" t="s">
        <v>90</v>
      </c>
      <c r="D33" s="48">
        <v>-2.4693681101840836E-2</v>
      </c>
      <c r="E33" s="48">
        <v>-0.51259241959557644</v>
      </c>
      <c r="F33" s="58">
        <v>1.0000000000000001E-5</v>
      </c>
      <c r="G33" s="125"/>
      <c r="H33" s="125"/>
      <c r="I33" s="55">
        <f t="shared" si="1"/>
        <v>-8.6952626805686812E-5</v>
      </c>
      <c r="J33" s="55">
        <f t="shared" si="2"/>
        <v>-1.203247748179569E-2</v>
      </c>
      <c r="K33" s="56">
        <f t="shared" si="3"/>
        <v>0.99748319192607271</v>
      </c>
      <c r="L33" s="56">
        <f t="shared" si="4"/>
        <v>9.8524738638629817E-39</v>
      </c>
      <c r="M33" s="56">
        <f t="shared" si="5"/>
        <v>1</v>
      </c>
      <c r="N33" s="56">
        <f t="shared" si="6"/>
        <v>9.9252595340529365E-41</v>
      </c>
      <c r="O33" s="57">
        <f t="shared" si="7"/>
        <v>1.000200235866805E-5</v>
      </c>
      <c r="P33" s="57">
        <f t="shared" si="8"/>
        <v>9.7286924667115222E-6</v>
      </c>
      <c r="Q33" s="57">
        <f t="shared" si="9"/>
        <v>3.0725186876647205E-6</v>
      </c>
      <c r="R33" s="9">
        <f t="shared" ref="R33:R36" si="10">O33/F33</f>
        <v>1.000200235866805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47" t="s">
        <v>91</v>
      </c>
      <c r="C34" s="47" t="s">
        <v>92</v>
      </c>
      <c r="D34" s="48">
        <v>1.358312346903767</v>
      </c>
      <c r="E34" s="48">
        <v>1.454782352637753</v>
      </c>
      <c r="F34" s="58">
        <v>1.0000000000000001E-5</v>
      </c>
      <c r="G34" s="125"/>
      <c r="H34" s="125"/>
      <c r="I34" s="55">
        <f t="shared" si="1"/>
        <v>2.5190774901419265E-2</v>
      </c>
      <c r="J34" s="55">
        <f t="shared" si="2"/>
        <v>0.59553343681719029</v>
      </c>
      <c r="K34" s="56">
        <f t="shared" si="3"/>
        <v>0.94108284951846999</v>
      </c>
      <c r="L34" s="56">
        <f t="shared" si="4"/>
        <v>3.7655938693367216E-38</v>
      </c>
      <c r="M34" s="56">
        <f t="shared" si="5"/>
        <v>1</v>
      </c>
      <c r="N34" s="56">
        <f t="shared" si="6"/>
        <v>8.6863818444590558E-39</v>
      </c>
      <c r="O34" s="57">
        <f t="shared" si="7"/>
        <v>9.4364626459624565E-6</v>
      </c>
      <c r="P34" s="57">
        <f t="shared" si="8"/>
        <v>3.7182848912372131E-5</v>
      </c>
      <c r="Q34" s="57">
        <f t="shared" si="9"/>
        <v>2.6890048017105735E-4</v>
      </c>
      <c r="R34" s="9">
        <f t="shared" si="10"/>
        <v>0.94364626459624557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7"/>
      <c r="B35" s="47" t="s">
        <v>93</v>
      </c>
      <c r="C35" s="47" t="s">
        <v>94</v>
      </c>
      <c r="D35" s="48">
        <v>-1.2091799453325114E-2</v>
      </c>
      <c r="E35" s="48">
        <v>-0.49466579922233578</v>
      </c>
      <c r="F35" s="58">
        <v>1.0000000000000001E-5</v>
      </c>
      <c r="G35" s="125"/>
      <c r="H35" s="125"/>
      <c r="I35" s="55">
        <f t="shared" si="1"/>
        <v>-5.4639646775795054E-5</v>
      </c>
      <c r="J35" s="55">
        <f t="shared" si="2"/>
        <v>-1.0675875568269757E-2</v>
      </c>
      <c r="K35" s="56">
        <f t="shared" si="3"/>
        <v>0.99740897855988575</v>
      </c>
      <c r="L35" s="56">
        <f t="shared" si="4"/>
        <v>9.8825627452811713E-39</v>
      </c>
      <c r="M35" s="56">
        <f t="shared" si="5"/>
        <v>1</v>
      </c>
      <c r="N35" s="56">
        <f t="shared" si="6"/>
        <v>1.0342753620423246E-40</v>
      </c>
      <c r="O35" s="57">
        <f t="shared" si="7"/>
        <v>1.000125820350869E-5</v>
      </c>
      <c r="P35" s="57">
        <f t="shared" si="8"/>
        <v>9.7584033269512612E-6</v>
      </c>
      <c r="Q35" s="57">
        <f t="shared" si="9"/>
        <v>3.2017604851170918E-6</v>
      </c>
      <c r="R35" s="9">
        <f t="shared" si="10"/>
        <v>1.0001258203508689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47" t="s">
        <v>95</v>
      </c>
      <c r="C36" s="47" t="s">
        <v>96</v>
      </c>
      <c r="D36" s="48">
        <v>-0.5582197001134892</v>
      </c>
      <c r="E36" s="48">
        <v>-1.2715519677670764</v>
      </c>
      <c r="F36" s="58">
        <v>1.0000000000000001E-5</v>
      </c>
      <c r="G36" s="125"/>
      <c r="H36" s="125"/>
      <c r="I36" s="55">
        <f t="shared" si="1"/>
        <v>-8.6195187521626113E-4</v>
      </c>
      <c r="J36" s="55">
        <f t="shared" si="2"/>
        <v>-4.5082345407002629E-2</v>
      </c>
      <c r="K36" s="86">
        <f t="shared" si="3"/>
        <v>0.99926479155523074</v>
      </c>
      <c r="L36" s="56">
        <f t="shared" si="4"/>
        <v>9.1468261096284242E-39</v>
      </c>
      <c r="M36" s="56">
        <f t="shared" si="5"/>
        <v>1</v>
      </c>
      <c r="N36" s="56">
        <f t="shared" si="6"/>
        <v>1.7320376290252271E-41</v>
      </c>
      <c r="O36" s="57">
        <f t="shared" si="7"/>
        <v>1.0019866883942539E-5</v>
      </c>
      <c r="P36" s="57">
        <f t="shared" si="8"/>
        <v>9.0319101067041248E-6</v>
      </c>
      <c r="Q36" s="57">
        <f t="shared" si="9"/>
        <v>5.3617922681618832E-7</v>
      </c>
      <c r="R36" s="9">
        <f t="shared" si="10"/>
        <v>1.0019866883942539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47" t="s">
        <v>97</v>
      </c>
      <c r="C37" s="47" t="s">
        <v>98</v>
      </c>
      <c r="D37" s="48"/>
      <c r="E37" s="48"/>
      <c r="F37" s="58"/>
      <c r="G37" s="125"/>
      <c r="H37" s="125"/>
      <c r="I37" s="55" t="str">
        <f t="shared" si="1"/>
        <v/>
      </c>
      <c r="J37" s="55" t="str">
        <f t="shared" si="2"/>
        <v/>
      </c>
      <c r="K37" s="56" t="str">
        <f t="shared" si="3"/>
        <v/>
      </c>
      <c r="L37" s="56" t="str">
        <f t="shared" si="4"/>
        <v/>
      </c>
      <c r="M37" s="56" t="str">
        <f t="shared" si="5"/>
        <v/>
      </c>
      <c r="N37" s="56" t="str">
        <f t="shared" si="6"/>
        <v/>
      </c>
      <c r="O37" s="57" t="str">
        <f t="shared" si="7"/>
        <v/>
      </c>
      <c r="P37" s="57" t="str">
        <f t="shared" si="8"/>
        <v/>
      </c>
      <c r="Q37" s="57" t="str">
        <f t="shared" si="9"/>
        <v/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47" t="s">
        <v>99</v>
      </c>
      <c r="C38" s="47" t="s">
        <v>100</v>
      </c>
      <c r="D38" s="48"/>
      <c r="E38" s="48"/>
      <c r="F38" s="58"/>
      <c r="G38" s="125"/>
      <c r="H38" s="125"/>
      <c r="I38" s="55" t="str">
        <f t="shared" si="1"/>
        <v/>
      </c>
      <c r="J38" s="55" t="str">
        <f t="shared" si="2"/>
        <v/>
      </c>
      <c r="K38" s="56" t="str">
        <f t="shared" si="3"/>
        <v/>
      </c>
      <c r="L38" s="56" t="str">
        <f t="shared" si="4"/>
        <v/>
      </c>
      <c r="M38" s="56" t="str">
        <f t="shared" si="5"/>
        <v/>
      </c>
      <c r="N38" s="56" t="str">
        <f t="shared" si="6"/>
        <v/>
      </c>
      <c r="O38" s="57" t="str">
        <f t="shared" si="7"/>
        <v/>
      </c>
      <c r="P38" s="57" t="str">
        <f t="shared" si="8"/>
        <v/>
      </c>
      <c r="Q38" s="57" t="str">
        <f t="shared" si="9"/>
        <v/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7"/>
      <c r="B39" s="47" t="s">
        <v>101</v>
      </c>
      <c r="C39" s="47" t="s">
        <v>102</v>
      </c>
      <c r="D39" s="48">
        <v>2.31</v>
      </c>
      <c r="E39" s="48">
        <v>2.58</v>
      </c>
      <c r="F39" s="58">
        <v>1.0000000000000001E-5</v>
      </c>
      <c r="G39" s="125"/>
      <c r="H39" s="125"/>
      <c r="I39" s="55">
        <f t="shared" si="1"/>
        <v>0.19471932417896193</v>
      </c>
      <c r="J39" s="55">
        <f t="shared" si="2"/>
        <v>1.5093013023685768</v>
      </c>
      <c r="K39" s="56">
        <f t="shared" si="3"/>
        <v>0.63694115274454166</v>
      </c>
      <c r="L39" s="56">
        <f t="shared" si="4"/>
        <v>2.0896463587309698E-37</v>
      </c>
      <c r="M39" s="56">
        <f t="shared" si="5"/>
        <v>1</v>
      </c>
      <c r="N39" s="56">
        <f t="shared" si="6"/>
        <v>7.8438271477114766E-38</v>
      </c>
      <c r="O39" s="57">
        <f t="shared" si="7"/>
        <v>6.3867611641478248E-6</v>
      </c>
      <c r="P39" s="57">
        <f t="shared" si="8"/>
        <v>2.0633931202641425E-4</v>
      </c>
      <c r="Q39" s="57">
        <f t="shared" si="9"/>
        <v>2.4281788714409685E-3</v>
      </c>
      <c r="R39" s="9">
        <f>O39/F39</f>
        <v>0.63867611641478239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47" t="s">
        <v>103</v>
      </c>
      <c r="C40" s="47" t="s">
        <v>104</v>
      </c>
      <c r="D40" s="48">
        <v>3.8826699877244018</v>
      </c>
      <c r="E40" s="48">
        <v>5.0457699825375304</v>
      </c>
      <c r="F40" s="58">
        <v>1.0000000000000001E-5</v>
      </c>
      <c r="G40" s="125"/>
      <c r="H40" s="125"/>
      <c r="I40" s="55">
        <f t="shared" si="1"/>
        <v>1.4750089117412812</v>
      </c>
      <c r="J40" s="55">
        <f t="shared" si="2"/>
        <v>3.6301101483539289</v>
      </c>
      <c r="K40" s="56">
        <f t="shared" si="3"/>
        <v>3.3404865077947224E-2</v>
      </c>
      <c r="L40" s="56">
        <f t="shared" si="4"/>
        <v>1.4474116135300587E-36</v>
      </c>
      <c r="M40" s="56">
        <f t="shared" si="5"/>
        <v>1</v>
      </c>
      <c r="N40" s="56">
        <f t="shared" si="6"/>
        <v>1.2022877154041599E-36</v>
      </c>
      <c r="O40" s="57">
        <f t="shared" si="7"/>
        <v>3.3495856572325953E-7</v>
      </c>
      <c r="P40" s="57">
        <f t="shared" si="8"/>
        <v>1.4292270809698525E-3</v>
      </c>
      <c r="Q40" s="57">
        <f t="shared" si="9"/>
        <v>3.7218688950701469E-2</v>
      </c>
      <c r="R40" s="9">
        <f t="shared" ref="R40" si="11">O40/F40</f>
        <v>3.3495856572325948E-2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47"/>
      <c r="C41" s="47"/>
      <c r="D41" s="48"/>
      <c r="E41" s="48"/>
      <c r="F41" s="58"/>
      <c r="G41" s="125"/>
      <c r="H41" s="125"/>
      <c r="I41" s="55" t="str">
        <f t="shared" si="1"/>
        <v/>
      </c>
      <c r="J41" s="55" t="str">
        <f t="shared" si="2"/>
        <v/>
      </c>
      <c r="K41" s="56" t="str">
        <f t="shared" si="3"/>
        <v/>
      </c>
      <c r="L41" s="56" t="str">
        <f t="shared" si="4"/>
        <v/>
      </c>
      <c r="M41" s="56" t="str">
        <f t="shared" si="5"/>
        <v/>
      </c>
      <c r="N41" s="56" t="str">
        <f t="shared" si="6"/>
        <v/>
      </c>
      <c r="O41" s="57" t="str">
        <f t="shared" si="7"/>
        <v/>
      </c>
      <c r="P41" s="57" t="str">
        <f t="shared" si="8"/>
        <v/>
      </c>
      <c r="Q41" s="57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7"/>
      <c r="B42" s="47"/>
      <c r="C42" s="47"/>
      <c r="D42" s="48"/>
      <c r="E42" s="48"/>
      <c r="F42" s="58"/>
      <c r="G42" s="125"/>
      <c r="H42" s="125"/>
      <c r="I42" s="55" t="str">
        <f t="shared" si="1"/>
        <v/>
      </c>
      <c r="J42" s="55" t="str">
        <f t="shared" si="2"/>
        <v/>
      </c>
      <c r="K42" s="56" t="str">
        <f t="shared" si="3"/>
        <v/>
      </c>
      <c r="L42" s="56" t="str">
        <f t="shared" si="4"/>
        <v/>
      </c>
      <c r="M42" s="56" t="str">
        <f t="shared" si="5"/>
        <v/>
      </c>
      <c r="N42" s="56" t="str">
        <f t="shared" si="6"/>
        <v/>
      </c>
      <c r="O42" s="57" t="str">
        <f t="shared" si="7"/>
        <v/>
      </c>
      <c r="P42" s="57" t="str">
        <f t="shared" si="8"/>
        <v/>
      </c>
      <c r="Q42" s="57" t="str">
        <f t="shared" si="9"/>
        <v/>
      </c>
      <c r="R42" s="9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87"/>
      <c r="C43" s="47"/>
      <c r="D43" s="48"/>
      <c r="E43" s="48"/>
      <c r="F43" s="58"/>
      <c r="G43" s="125"/>
      <c r="H43" s="125"/>
      <c r="I43" s="55" t="str">
        <f t="shared" si="1"/>
        <v/>
      </c>
      <c r="J43" s="55" t="str">
        <f t="shared" si="2"/>
        <v/>
      </c>
      <c r="K43" s="56" t="str">
        <f t="shared" si="3"/>
        <v/>
      </c>
      <c r="L43" s="56" t="str">
        <f t="shared" si="4"/>
        <v/>
      </c>
      <c r="M43" s="56" t="str">
        <f t="shared" si="5"/>
        <v/>
      </c>
      <c r="N43" s="56" t="str">
        <f t="shared" si="6"/>
        <v/>
      </c>
      <c r="O43" s="57" t="str">
        <f t="shared" si="7"/>
        <v/>
      </c>
      <c r="P43" s="57" t="str">
        <f t="shared" si="8"/>
        <v/>
      </c>
      <c r="Q43" s="57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87"/>
      <c r="C44" s="47"/>
      <c r="D44" s="48"/>
      <c r="E44" s="48"/>
      <c r="F44" s="58"/>
      <c r="G44" s="125"/>
      <c r="H44" s="125"/>
      <c r="I44" s="55" t="str">
        <f t="shared" si="1"/>
        <v/>
      </c>
      <c r="J44" s="55" t="str">
        <f t="shared" si="2"/>
        <v/>
      </c>
      <c r="K44" s="56" t="str">
        <f t="shared" si="3"/>
        <v/>
      </c>
      <c r="L44" s="56" t="str">
        <f t="shared" si="4"/>
        <v/>
      </c>
      <c r="M44" s="56" t="str">
        <f t="shared" si="5"/>
        <v/>
      </c>
      <c r="N44" s="56" t="str">
        <f t="shared" si="6"/>
        <v/>
      </c>
      <c r="O44" s="57" t="str">
        <f t="shared" si="7"/>
        <v/>
      </c>
      <c r="P44" s="57" t="str">
        <f t="shared" si="8"/>
        <v/>
      </c>
      <c r="Q44" s="57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47"/>
      <c r="C45" s="47"/>
      <c r="D45" s="48"/>
      <c r="E45" s="48"/>
      <c r="F45" s="58"/>
      <c r="G45" s="125"/>
      <c r="H45" s="125"/>
      <c r="I45" s="55" t="str">
        <f t="shared" si="1"/>
        <v/>
      </c>
      <c r="J45" s="55" t="str">
        <f t="shared" si="2"/>
        <v/>
      </c>
      <c r="K45" s="56" t="str">
        <f t="shared" si="3"/>
        <v/>
      </c>
      <c r="L45" s="56" t="str">
        <f t="shared" si="4"/>
        <v/>
      </c>
      <c r="M45" s="56" t="str">
        <f t="shared" si="5"/>
        <v/>
      </c>
      <c r="N45" s="56" t="str">
        <f t="shared" si="6"/>
        <v/>
      </c>
      <c r="O45" s="57" t="str">
        <f t="shared" si="7"/>
        <v/>
      </c>
      <c r="P45" s="57" t="str">
        <f t="shared" si="8"/>
        <v/>
      </c>
      <c r="Q45" s="57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7"/>
      <c r="B46" s="47"/>
      <c r="C46" s="47"/>
      <c r="D46" s="48"/>
      <c r="E46" s="48"/>
      <c r="F46" s="58"/>
      <c r="G46" s="125"/>
      <c r="H46" s="125"/>
      <c r="I46" s="55" t="str">
        <f t="shared" si="1"/>
        <v/>
      </c>
      <c r="J46" s="55" t="str">
        <f t="shared" si="2"/>
        <v/>
      </c>
      <c r="K46" s="56" t="str">
        <f t="shared" si="3"/>
        <v/>
      </c>
      <c r="L46" s="56" t="str">
        <f t="shared" si="4"/>
        <v/>
      </c>
      <c r="M46" s="56" t="str">
        <f t="shared" si="5"/>
        <v/>
      </c>
      <c r="N46" s="56" t="str">
        <f t="shared" si="6"/>
        <v/>
      </c>
      <c r="O46" s="57" t="str">
        <f t="shared" si="7"/>
        <v/>
      </c>
      <c r="P46" s="57" t="str">
        <f t="shared" si="8"/>
        <v/>
      </c>
      <c r="Q46" s="57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47"/>
      <c r="C47" s="47"/>
      <c r="D47" s="48"/>
      <c r="E47" s="48"/>
      <c r="F47" s="58"/>
      <c r="G47" s="125"/>
      <c r="H47" s="125"/>
      <c r="I47" s="55" t="str">
        <f t="shared" si="1"/>
        <v/>
      </c>
      <c r="J47" s="55" t="str">
        <f t="shared" si="2"/>
        <v/>
      </c>
      <c r="K47" s="56" t="str">
        <f t="shared" si="3"/>
        <v/>
      </c>
      <c r="L47" s="56" t="str">
        <f t="shared" si="4"/>
        <v/>
      </c>
      <c r="M47" s="56" t="str">
        <f t="shared" si="5"/>
        <v/>
      </c>
      <c r="N47" s="56" t="str">
        <f t="shared" si="6"/>
        <v/>
      </c>
      <c r="O47" s="57" t="str">
        <f t="shared" si="7"/>
        <v/>
      </c>
      <c r="P47" s="57" t="str">
        <f t="shared" si="8"/>
        <v/>
      </c>
      <c r="Q47" s="57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47"/>
      <c r="C48" s="47"/>
      <c r="D48" s="48"/>
      <c r="E48" s="48"/>
      <c r="F48" s="58"/>
      <c r="G48" s="125"/>
      <c r="H48" s="125"/>
      <c r="I48" s="83" t="str">
        <f t="shared" ref="I48:I50" si="12">IF(D48=0,"",LOG($K$15*10^D48+$K$16*10^E48+$K$14))</f>
        <v/>
      </c>
      <c r="J48" s="83" t="str">
        <f t="shared" ref="J48:J50" si="13">IF(D48=0,"",LOG($K$21*10^D48+$K$22*10^E48+$K$20))</f>
        <v/>
      </c>
      <c r="K48" s="84" t="str">
        <f t="shared" ref="K48:K50" si="14">IF(D48=0,"",1/(1+10^D48*$J$15/$J$14+10^E48*$J$16/$J$14+10^J48*$J$19/$J$14))</f>
        <v/>
      </c>
      <c r="L48" s="84" t="str">
        <f t="shared" ref="L48:L50" si="15">IF(D48=0,"",1/(1+10^I48/10^J48*$J$13/$J$19))</f>
        <v/>
      </c>
      <c r="M48" s="84" t="str">
        <f t="shared" ref="M48:M92" si="16">IF(D48=0,"",1-L48)</f>
        <v/>
      </c>
      <c r="N48" s="84" t="str">
        <f t="shared" ref="N48:N50" si="17">IF(D48=0,"",1/(1/10^E48*$J$20/$J$22+10^D48/10^E48*$J$21/$J$22+10^I48/10^E48*$J$13/$J$22+1))</f>
        <v/>
      </c>
      <c r="O48" s="85" t="str">
        <f t="shared" ref="O48:O92" si="18">IF(D48=0,"",F48*K48*$J$7/$J$14)</f>
        <v/>
      </c>
      <c r="P48" s="85" t="str">
        <f t="shared" ref="P48:P50" si="19">IF(D48=0,"",O48*10^J48)</f>
        <v/>
      </c>
      <c r="Q48" s="85" t="str">
        <f t="shared" ref="Q48:Q50" si="20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47"/>
      <c r="C49" s="47"/>
      <c r="D49" s="48"/>
      <c r="E49" s="48"/>
      <c r="F49" s="58"/>
      <c r="G49" s="125"/>
      <c r="H49" s="125"/>
      <c r="I49" s="55" t="str">
        <f t="shared" si="12"/>
        <v/>
      </c>
      <c r="J49" s="55" t="str">
        <f t="shared" si="13"/>
        <v/>
      </c>
      <c r="K49" s="56" t="str">
        <f t="shared" si="14"/>
        <v/>
      </c>
      <c r="L49" s="56" t="str">
        <f t="shared" si="15"/>
        <v/>
      </c>
      <c r="M49" s="56" t="str">
        <f t="shared" si="16"/>
        <v/>
      </c>
      <c r="N49" s="56" t="str">
        <f t="shared" si="17"/>
        <v/>
      </c>
      <c r="O49" s="57" t="str">
        <f t="shared" si="18"/>
        <v/>
      </c>
      <c r="P49" s="57" t="str">
        <f t="shared" si="19"/>
        <v/>
      </c>
      <c r="Q49" s="57" t="str">
        <f t="shared" si="20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47"/>
      <c r="C50" s="47"/>
      <c r="D50" s="48"/>
      <c r="E50" s="48"/>
      <c r="F50" s="58"/>
      <c r="G50" s="125"/>
      <c r="H50" s="125"/>
      <c r="I50" s="55" t="str">
        <f t="shared" si="12"/>
        <v/>
      </c>
      <c r="J50" s="55" t="str">
        <f t="shared" si="13"/>
        <v/>
      </c>
      <c r="K50" s="56" t="str">
        <f t="shared" si="14"/>
        <v/>
      </c>
      <c r="L50" s="56" t="str">
        <f t="shared" si="15"/>
        <v/>
      </c>
      <c r="M50" s="56" t="str">
        <f t="shared" si="16"/>
        <v/>
      </c>
      <c r="N50" s="56" t="str">
        <f t="shared" si="17"/>
        <v/>
      </c>
      <c r="O50" s="57" t="str">
        <f t="shared" si="18"/>
        <v/>
      </c>
      <c r="P50" s="57" t="str">
        <f t="shared" si="19"/>
        <v/>
      </c>
      <c r="Q50" s="57" t="str">
        <f t="shared" si="20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47"/>
      <c r="C51" s="47"/>
      <c r="D51" s="48"/>
      <c r="E51" s="48"/>
      <c r="F51" s="58"/>
      <c r="G51" s="125"/>
      <c r="H51" s="125"/>
      <c r="I51" s="55" t="str">
        <f t="shared" ref="I51:I70" si="21">IF(D51=0,"",LOG($K$15*10^D51+$K$16*10^E51+$K$14))</f>
        <v/>
      </c>
      <c r="J51" s="55" t="str">
        <f t="shared" ref="J51:J70" si="22">IF(D51=0,"",LOG($K$21*10^D51+$K$22*10^E51+$K$20))</f>
        <v/>
      </c>
      <c r="K51" s="56" t="str">
        <f t="shared" ref="K51:K70" si="23">IF(D51=0,"",1/(1+10^D51*$J$15/$J$14+10^E51*$J$16/$J$14+10^J51*$J$19/$J$14))</f>
        <v/>
      </c>
      <c r="L51" s="56" t="str">
        <f t="shared" ref="L51:L70" si="24">IF(D51=0,"",1/(1+10^I51/10^J51*$J$13/$J$19))</f>
        <v/>
      </c>
      <c r="M51" s="56" t="str">
        <f t="shared" ref="M51:M70" si="25">IF(D51=0,"",1-L51)</f>
        <v/>
      </c>
      <c r="N51" s="56" t="str">
        <f t="shared" ref="N51:N70" si="26">IF(D51=0,"",1/(1/10^E51*$J$20/$J$22+10^D51/10^E51*$J$21/$J$22+10^I51/10^E51*$J$13/$J$22+1))</f>
        <v/>
      </c>
      <c r="O51" s="57" t="str">
        <f t="shared" ref="O51:O70" si="27">IF(D51=0,"",F51*K51*$J$7/$J$14)</f>
        <v/>
      </c>
      <c r="P51" s="57" t="str">
        <f t="shared" ref="P51:P70" si="28">IF(D51=0,"",O51*10^J51)</f>
        <v/>
      </c>
      <c r="Q51" s="57" t="str">
        <f t="shared" ref="Q51:Q70" si="29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58"/>
      <c r="G52" s="125"/>
      <c r="H52" s="125"/>
      <c r="I52" s="55" t="str">
        <f t="shared" si="21"/>
        <v/>
      </c>
      <c r="J52" s="55" t="str">
        <f t="shared" si="22"/>
        <v/>
      </c>
      <c r="K52" s="56" t="str">
        <f t="shared" si="23"/>
        <v/>
      </c>
      <c r="L52" s="56" t="str">
        <f t="shared" si="24"/>
        <v/>
      </c>
      <c r="M52" s="56" t="str">
        <f t="shared" si="25"/>
        <v/>
      </c>
      <c r="N52" s="56" t="str">
        <f t="shared" si="26"/>
        <v/>
      </c>
      <c r="O52" s="57" t="str">
        <f t="shared" si="27"/>
        <v/>
      </c>
      <c r="P52" s="57" t="str">
        <f t="shared" si="28"/>
        <v/>
      </c>
      <c r="Q52" s="57" t="str">
        <f t="shared" si="29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58"/>
      <c r="G53" s="125"/>
      <c r="H53" s="125"/>
      <c r="I53" s="55" t="str">
        <f t="shared" si="21"/>
        <v/>
      </c>
      <c r="J53" s="55" t="str">
        <f t="shared" si="22"/>
        <v/>
      </c>
      <c r="K53" s="56" t="str">
        <f t="shared" si="23"/>
        <v/>
      </c>
      <c r="L53" s="56" t="str">
        <f t="shared" si="24"/>
        <v/>
      </c>
      <c r="M53" s="56" t="str">
        <f t="shared" si="25"/>
        <v/>
      </c>
      <c r="N53" s="56" t="str">
        <f t="shared" si="26"/>
        <v/>
      </c>
      <c r="O53" s="57" t="str">
        <f t="shared" si="27"/>
        <v/>
      </c>
      <c r="P53" s="57" t="str">
        <f t="shared" si="28"/>
        <v/>
      </c>
      <c r="Q53" s="57" t="str">
        <f t="shared" si="29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58"/>
      <c r="G54" s="125"/>
      <c r="H54" s="125"/>
      <c r="I54" s="55" t="str">
        <f t="shared" si="21"/>
        <v/>
      </c>
      <c r="J54" s="55" t="str">
        <f t="shared" si="22"/>
        <v/>
      </c>
      <c r="K54" s="56" t="str">
        <f t="shared" si="23"/>
        <v/>
      </c>
      <c r="L54" s="56" t="str">
        <f t="shared" si="24"/>
        <v/>
      </c>
      <c r="M54" s="56" t="str">
        <f t="shared" si="25"/>
        <v/>
      </c>
      <c r="N54" s="56" t="str">
        <f t="shared" si="26"/>
        <v/>
      </c>
      <c r="O54" s="57" t="str">
        <f t="shared" si="27"/>
        <v/>
      </c>
      <c r="P54" s="57" t="str">
        <f t="shared" si="28"/>
        <v/>
      </c>
      <c r="Q54" s="57" t="str">
        <f t="shared" si="29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25"/>
      <c r="H55" s="125"/>
      <c r="I55" s="55" t="str">
        <f t="shared" si="21"/>
        <v/>
      </c>
      <c r="J55" s="55" t="str">
        <f t="shared" si="22"/>
        <v/>
      </c>
      <c r="K55" s="56" t="str">
        <f t="shared" si="23"/>
        <v/>
      </c>
      <c r="L55" s="56" t="str">
        <f t="shared" si="24"/>
        <v/>
      </c>
      <c r="M55" s="56" t="str">
        <f t="shared" si="25"/>
        <v/>
      </c>
      <c r="N55" s="56" t="str">
        <f t="shared" si="26"/>
        <v/>
      </c>
      <c r="O55" s="57" t="str">
        <f t="shared" si="27"/>
        <v/>
      </c>
      <c r="P55" s="57" t="str">
        <f t="shared" si="28"/>
        <v/>
      </c>
      <c r="Q55" s="57" t="str">
        <f t="shared" si="29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25"/>
      <c r="H56" s="125"/>
      <c r="I56" s="55" t="str">
        <f t="shared" si="21"/>
        <v/>
      </c>
      <c r="J56" s="55" t="str">
        <f t="shared" si="22"/>
        <v/>
      </c>
      <c r="K56" s="56" t="str">
        <f t="shared" si="23"/>
        <v/>
      </c>
      <c r="L56" s="56" t="str">
        <f t="shared" si="24"/>
        <v/>
      </c>
      <c r="M56" s="56" t="str">
        <f t="shared" si="25"/>
        <v/>
      </c>
      <c r="N56" s="56" t="str">
        <f t="shared" si="26"/>
        <v/>
      </c>
      <c r="O56" s="57" t="str">
        <f t="shared" si="27"/>
        <v/>
      </c>
      <c r="P56" s="57" t="str">
        <f t="shared" si="28"/>
        <v/>
      </c>
      <c r="Q56" s="57" t="str">
        <f t="shared" si="29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47"/>
      <c r="C57" s="47"/>
      <c r="D57" s="48"/>
      <c r="E57" s="48"/>
      <c r="F57" s="58"/>
      <c r="G57" s="125"/>
      <c r="H57" s="125"/>
      <c r="I57" s="55" t="str">
        <f t="shared" si="21"/>
        <v/>
      </c>
      <c r="J57" s="55" t="str">
        <f t="shared" si="22"/>
        <v/>
      </c>
      <c r="K57" s="56" t="str">
        <f t="shared" si="23"/>
        <v/>
      </c>
      <c r="L57" s="56" t="str">
        <f t="shared" si="24"/>
        <v/>
      </c>
      <c r="M57" s="56" t="str">
        <f t="shared" si="25"/>
        <v/>
      </c>
      <c r="N57" s="56" t="str">
        <f t="shared" si="26"/>
        <v/>
      </c>
      <c r="O57" s="57" t="str">
        <f t="shared" si="27"/>
        <v/>
      </c>
      <c r="P57" s="57" t="str">
        <f t="shared" si="28"/>
        <v/>
      </c>
      <c r="Q57" s="57" t="str">
        <f t="shared" si="29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25"/>
      <c r="H58" s="125"/>
      <c r="I58" s="55" t="str">
        <f t="shared" si="21"/>
        <v/>
      </c>
      <c r="J58" s="55" t="str">
        <f t="shared" si="22"/>
        <v/>
      </c>
      <c r="K58" s="56" t="str">
        <f t="shared" si="23"/>
        <v/>
      </c>
      <c r="L58" s="56" t="str">
        <f t="shared" si="24"/>
        <v/>
      </c>
      <c r="M58" s="56" t="str">
        <f t="shared" si="25"/>
        <v/>
      </c>
      <c r="N58" s="56" t="str">
        <f t="shared" si="26"/>
        <v/>
      </c>
      <c r="O58" s="57" t="str">
        <f t="shared" si="27"/>
        <v/>
      </c>
      <c r="P58" s="57" t="str">
        <f t="shared" si="28"/>
        <v/>
      </c>
      <c r="Q58" s="57" t="str">
        <f t="shared" si="29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25"/>
      <c r="H59" s="125"/>
      <c r="I59" s="55" t="str">
        <f t="shared" si="21"/>
        <v/>
      </c>
      <c r="J59" s="55" t="str">
        <f t="shared" si="22"/>
        <v/>
      </c>
      <c r="K59" s="56" t="str">
        <f t="shared" si="23"/>
        <v/>
      </c>
      <c r="L59" s="56" t="str">
        <f t="shared" si="24"/>
        <v/>
      </c>
      <c r="M59" s="56" t="str">
        <f t="shared" si="25"/>
        <v/>
      </c>
      <c r="N59" s="56" t="str">
        <f t="shared" si="26"/>
        <v/>
      </c>
      <c r="O59" s="57" t="str">
        <f t="shared" si="27"/>
        <v/>
      </c>
      <c r="P59" s="57" t="str">
        <f t="shared" si="28"/>
        <v/>
      </c>
      <c r="Q59" s="57" t="str">
        <f t="shared" si="29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25"/>
      <c r="H60" s="125"/>
      <c r="I60" s="55" t="str">
        <f t="shared" si="21"/>
        <v/>
      </c>
      <c r="J60" s="55" t="str">
        <f t="shared" si="22"/>
        <v/>
      </c>
      <c r="K60" s="56" t="str">
        <f t="shared" si="23"/>
        <v/>
      </c>
      <c r="L60" s="56" t="str">
        <f t="shared" si="24"/>
        <v/>
      </c>
      <c r="M60" s="56" t="str">
        <f t="shared" si="25"/>
        <v/>
      </c>
      <c r="N60" s="56" t="str">
        <f t="shared" si="26"/>
        <v/>
      </c>
      <c r="O60" s="57" t="str">
        <f t="shared" si="27"/>
        <v/>
      </c>
      <c r="P60" s="57" t="str">
        <f t="shared" si="28"/>
        <v/>
      </c>
      <c r="Q60" s="57" t="str">
        <f t="shared" si="29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25"/>
      <c r="H61" s="125"/>
      <c r="I61" s="55" t="str">
        <f t="shared" si="21"/>
        <v/>
      </c>
      <c r="J61" s="55" t="str">
        <f t="shared" si="22"/>
        <v/>
      </c>
      <c r="K61" s="56" t="str">
        <f t="shared" si="23"/>
        <v/>
      </c>
      <c r="L61" s="56" t="str">
        <f t="shared" si="24"/>
        <v/>
      </c>
      <c r="M61" s="56" t="str">
        <f t="shared" si="25"/>
        <v/>
      </c>
      <c r="N61" s="56" t="str">
        <f t="shared" si="26"/>
        <v/>
      </c>
      <c r="O61" s="57" t="str">
        <f t="shared" si="27"/>
        <v/>
      </c>
      <c r="P61" s="57" t="str">
        <f t="shared" si="28"/>
        <v/>
      </c>
      <c r="Q61" s="57" t="str">
        <f t="shared" si="29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25"/>
      <c r="H62" s="125"/>
      <c r="I62" s="55" t="str">
        <f t="shared" si="21"/>
        <v/>
      </c>
      <c r="J62" s="55" t="str">
        <f t="shared" si="22"/>
        <v/>
      </c>
      <c r="K62" s="56" t="str">
        <f t="shared" si="23"/>
        <v/>
      </c>
      <c r="L62" s="56" t="str">
        <f t="shared" si="24"/>
        <v/>
      </c>
      <c r="M62" s="56" t="str">
        <f t="shared" si="25"/>
        <v/>
      </c>
      <c r="N62" s="56" t="str">
        <f t="shared" si="26"/>
        <v/>
      </c>
      <c r="O62" s="57" t="str">
        <f t="shared" si="27"/>
        <v/>
      </c>
      <c r="P62" s="57" t="str">
        <f t="shared" si="28"/>
        <v/>
      </c>
      <c r="Q62" s="57" t="str">
        <f t="shared" si="29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25"/>
      <c r="H63" s="125"/>
      <c r="I63" s="55" t="str">
        <f t="shared" si="21"/>
        <v/>
      </c>
      <c r="J63" s="55" t="str">
        <f t="shared" si="22"/>
        <v/>
      </c>
      <c r="K63" s="56" t="str">
        <f t="shared" si="23"/>
        <v/>
      </c>
      <c r="L63" s="56" t="str">
        <f t="shared" si="24"/>
        <v/>
      </c>
      <c r="M63" s="56" t="str">
        <f t="shared" si="25"/>
        <v/>
      </c>
      <c r="N63" s="56" t="str">
        <f t="shared" si="26"/>
        <v/>
      </c>
      <c r="O63" s="57" t="str">
        <f t="shared" si="27"/>
        <v/>
      </c>
      <c r="P63" s="57" t="str">
        <f t="shared" si="28"/>
        <v/>
      </c>
      <c r="Q63" s="57" t="str">
        <f t="shared" si="29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25"/>
      <c r="H64" s="125"/>
      <c r="I64" s="55" t="str">
        <f t="shared" si="21"/>
        <v/>
      </c>
      <c r="J64" s="55" t="str">
        <f t="shared" si="22"/>
        <v/>
      </c>
      <c r="K64" s="56" t="str">
        <f t="shared" si="23"/>
        <v/>
      </c>
      <c r="L64" s="56" t="str">
        <f t="shared" si="24"/>
        <v/>
      </c>
      <c r="M64" s="56" t="str">
        <f t="shared" si="25"/>
        <v/>
      </c>
      <c r="N64" s="56" t="str">
        <f t="shared" si="26"/>
        <v/>
      </c>
      <c r="O64" s="57" t="str">
        <f t="shared" si="27"/>
        <v/>
      </c>
      <c r="P64" s="57" t="str">
        <f t="shared" si="28"/>
        <v/>
      </c>
      <c r="Q64" s="57" t="str">
        <f t="shared" si="29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25"/>
      <c r="H65" s="125"/>
      <c r="I65" s="55" t="str">
        <f t="shared" si="21"/>
        <v/>
      </c>
      <c r="J65" s="55" t="str">
        <f t="shared" si="22"/>
        <v/>
      </c>
      <c r="K65" s="56" t="str">
        <f t="shared" si="23"/>
        <v/>
      </c>
      <c r="L65" s="56" t="str">
        <f t="shared" si="24"/>
        <v/>
      </c>
      <c r="M65" s="56" t="str">
        <f t="shared" si="25"/>
        <v/>
      </c>
      <c r="N65" s="56" t="str">
        <f t="shared" si="26"/>
        <v/>
      </c>
      <c r="O65" s="57" t="str">
        <f t="shared" si="27"/>
        <v/>
      </c>
      <c r="P65" s="57" t="str">
        <f t="shared" si="28"/>
        <v/>
      </c>
      <c r="Q65" s="57" t="str">
        <f t="shared" si="29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25"/>
      <c r="H66" s="125"/>
      <c r="I66" s="55" t="str">
        <f t="shared" si="21"/>
        <v/>
      </c>
      <c r="J66" s="55" t="str">
        <f t="shared" si="22"/>
        <v/>
      </c>
      <c r="K66" s="56" t="str">
        <f t="shared" si="23"/>
        <v/>
      </c>
      <c r="L66" s="56" t="str">
        <f t="shared" si="24"/>
        <v/>
      </c>
      <c r="M66" s="56" t="str">
        <f t="shared" si="25"/>
        <v/>
      </c>
      <c r="N66" s="56" t="str">
        <f t="shared" si="26"/>
        <v/>
      </c>
      <c r="O66" s="57" t="str">
        <f t="shared" si="27"/>
        <v/>
      </c>
      <c r="P66" s="57" t="str">
        <f t="shared" si="28"/>
        <v/>
      </c>
      <c r="Q66" s="57" t="str">
        <f t="shared" si="29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25"/>
      <c r="H67" s="125"/>
      <c r="I67" s="55" t="str">
        <f t="shared" si="21"/>
        <v/>
      </c>
      <c r="J67" s="55" t="str">
        <f t="shared" si="22"/>
        <v/>
      </c>
      <c r="K67" s="56" t="str">
        <f t="shared" si="23"/>
        <v/>
      </c>
      <c r="L67" s="56" t="str">
        <f t="shared" si="24"/>
        <v/>
      </c>
      <c r="M67" s="56" t="str">
        <f t="shared" si="25"/>
        <v/>
      </c>
      <c r="N67" s="56" t="str">
        <f t="shared" si="26"/>
        <v/>
      </c>
      <c r="O67" s="57" t="str">
        <f t="shared" si="27"/>
        <v/>
      </c>
      <c r="P67" s="57" t="str">
        <f t="shared" si="28"/>
        <v/>
      </c>
      <c r="Q67" s="57" t="str">
        <f t="shared" si="29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25"/>
      <c r="H68" s="125"/>
      <c r="I68" s="55" t="str">
        <f t="shared" si="21"/>
        <v/>
      </c>
      <c r="J68" s="55" t="str">
        <f t="shared" si="22"/>
        <v/>
      </c>
      <c r="K68" s="56" t="str">
        <f t="shared" si="23"/>
        <v/>
      </c>
      <c r="L68" s="56" t="str">
        <f t="shared" si="24"/>
        <v/>
      </c>
      <c r="M68" s="56" t="str">
        <f t="shared" si="25"/>
        <v/>
      </c>
      <c r="N68" s="56" t="str">
        <f t="shared" si="26"/>
        <v/>
      </c>
      <c r="O68" s="57" t="str">
        <f t="shared" si="27"/>
        <v/>
      </c>
      <c r="P68" s="57" t="str">
        <f t="shared" si="28"/>
        <v/>
      </c>
      <c r="Q68" s="57" t="str">
        <f t="shared" si="29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25"/>
      <c r="H69" s="125"/>
      <c r="I69" s="55" t="str">
        <f t="shared" si="21"/>
        <v/>
      </c>
      <c r="J69" s="55" t="str">
        <f t="shared" si="22"/>
        <v/>
      </c>
      <c r="K69" s="56" t="str">
        <f t="shared" si="23"/>
        <v/>
      </c>
      <c r="L69" s="56" t="str">
        <f t="shared" si="24"/>
        <v/>
      </c>
      <c r="M69" s="56" t="str">
        <f t="shared" si="25"/>
        <v/>
      </c>
      <c r="N69" s="56" t="str">
        <f t="shared" si="26"/>
        <v/>
      </c>
      <c r="O69" s="57" t="str">
        <f t="shared" si="27"/>
        <v/>
      </c>
      <c r="P69" s="57" t="str">
        <f t="shared" si="28"/>
        <v/>
      </c>
      <c r="Q69" s="57" t="str">
        <f t="shared" si="29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25"/>
      <c r="H70" s="125"/>
      <c r="I70" s="55" t="str">
        <f t="shared" si="21"/>
        <v/>
      </c>
      <c r="J70" s="55" t="str">
        <f t="shared" si="22"/>
        <v/>
      </c>
      <c r="K70" s="56" t="str">
        <f t="shared" si="23"/>
        <v/>
      </c>
      <c r="L70" s="56" t="str">
        <f t="shared" si="24"/>
        <v/>
      </c>
      <c r="M70" s="56" t="str">
        <f t="shared" si="25"/>
        <v/>
      </c>
      <c r="N70" s="56" t="str">
        <f t="shared" si="26"/>
        <v/>
      </c>
      <c r="O70" s="57" t="str">
        <f t="shared" si="27"/>
        <v/>
      </c>
      <c r="P70" s="57" t="str">
        <f t="shared" si="28"/>
        <v/>
      </c>
      <c r="Q70" s="57" t="str">
        <f t="shared" si="29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25"/>
      <c r="H71" s="125"/>
      <c r="I71" s="55" t="str">
        <f t="shared" ref="I71:I122" si="30">IF(D71=0,"",LOG($K$15*10^D71+$K$16*10^E71+$K$14))</f>
        <v/>
      </c>
      <c r="J71" s="55" t="str">
        <f t="shared" ref="J71:J122" si="31">IF(D71=0,"",LOG($K$21*10^D71+$K$22*10^E71+$K$20))</f>
        <v/>
      </c>
      <c r="K71" s="56" t="str">
        <f t="shared" ref="K71:K122" si="32">IF(D71=0,"",1/(1+10^D71*$J$15/$J$14+10^E71*$J$16/$J$14+10^J71*$J$19/$J$14))</f>
        <v/>
      </c>
      <c r="L71" s="56" t="str">
        <f t="shared" ref="L71:L122" si="33">IF(D71=0,"",1/(1+10^I71/10^J71*$J$13/$J$19))</f>
        <v/>
      </c>
      <c r="M71" s="56" t="str">
        <f t="shared" si="16"/>
        <v/>
      </c>
      <c r="N71" s="56" t="str">
        <f t="shared" ref="N71:N122" si="34">IF(D71=0,"",1/(1/10^E71*$J$20/$J$22+10^D71/10^E71*$J$21/$J$22+10^I71/10^E71*$J$13/$J$22+1))</f>
        <v/>
      </c>
      <c r="O71" s="57" t="str">
        <f t="shared" si="18"/>
        <v/>
      </c>
      <c r="P71" s="57" t="str">
        <f t="shared" ref="P71:P122" si="35">IF(D71=0,"",O71*10^J71)</f>
        <v/>
      </c>
      <c r="Q71" s="57" t="str">
        <f t="shared" ref="Q71:Q122" si="36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25"/>
      <c r="H72" s="125"/>
      <c r="I72" s="55" t="str">
        <f t="shared" si="30"/>
        <v/>
      </c>
      <c r="J72" s="55" t="str">
        <f t="shared" si="31"/>
        <v/>
      </c>
      <c r="K72" s="56" t="str">
        <f t="shared" si="32"/>
        <v/>
      </c>
      <c r="L72" s="56" t="str">
        <f t="shared" si="33"/>
        <v/>
      </c>
      <c r="M72" s="56" t="str">
        <f t="shared" si="16"/>
        <v/>
      </c>
      <c r="N72" s="56" t="str">
        <f t="shared" si="34"/>
        <v/>
      </c>
      <c r="O72" s="57" t="str">
        <f t="shared" si="18"/>
        <v/>
      </c>
      <c r="P72" s="57" t="str">
        <f t="shared" si="35"/>
        <v/>
      </c>
      <c r="Q72" s="57" t="str">
        <f t="shared" si="36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25"/>
      <c r="H73" s="125"/>
      <c r="I73" s="55" t="str">
        <f t="shared" si="30"/>
        <v/>
      </c>
      <c r="J73" s="55" t="str">
        <f t="shared" si="31"/>
        <v/>
      </c>
      <c r="K73" s="56" t="str">
        <f t="shared" si="32"/>
        <v/>
      </c>
      <c r="L73" s="56" t="str">
        <f t="shared" si="33"/>
        <v/>
      </c>
      <c r="M73" s="56" t="str">
        <f t="shared" si="16"/>
        <v/>
      </c>
      <c r="N73" s="56" t="str">
        <f t="shared" si="34"/>
        <v/>
      </c>
      <c r="O73" s="57" t="str">
        <f t="shared" si="18"/>
        <v/>
      </c>
      <c r="P73" s="57" t="str">
        <f t="shared" si="35"/>
        <v/>
      </c>
      <c r="Q73" s="57" t="str">
        <f t="shared" si="36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25"/>
      <c r="H74" s="125"/>
      <c r="I74" s="55" t="str">
        <f t="shared" si="30"/>
        <v/>
      </c>
      <c r="J74" s="55" t="str">
        <f t="shared" si="31"/>
        <v/>
      </c>
      <c r="K74" s="56" t="str">
        <f t="shared" si="32"/>
        <v/>
      </c>
      <c r="L74" s="56" t="str">
        <f t="shared" si="33"/>
        <v/>
      </c>
      <c r="M74" s="56" t="str">
        <f t="shared" si="16"/>
        <v/>
      </c>
      <c r="N74" s="56" t="str">
        <f t="shared" si="34"/>
        <v/>
      </c>
      <c r="O74" s="57" t="str">
        <f t="shared" si="18"/>
        <v/>
      </c>
      <c r="P74" s="57" t="str">
        <f t="shared" si="35"/>
        <v/>
      </c>
      <c r="Q74" s="57" t="str">
        <f t="shared" si="36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25"/>
      <c r="H75" s="125"/>
      <c r="I75" s="55" t="str">
        <f t="shared" si="30"/>
        <v/>
      </c>
      <c r="J75" s="55" t="str">
        <f t="shared" si="31"/>
        <v/>
      </c>
      <c r="K75" s="56" t="str">
        <f t="shared" si="32"/>
        <v/>
      </c>
      <c r="L75" s="56" t="str">
        <f t="shared" si="33"/>
        <v/>
      </c>
      <c r="M75" s="56" t="str">
        <f t="shared" si="16"/>
        <v/>
      </c>
      <c r="N75" s="56" t="str">
        <f t="shared" si="34"/>
        <v/>
      </c>
      <c r="O75" s="57" t="str">
        <f t="shared" si="18"/>
        <v/>
      </c>
      <c r="P75" s="57" t="str">
        <f t="shared" si="35"/>
        <v/>
      </c>
      <c r="Q75" s="57" t="str">
        <f t="shared" si="36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25"/>
      <c r="H76" s="125"/>
      <c r="I76" s="55" t="str">
        <f t="shared" si="30"/>
        <v/>
      </c>
      <c r="J76" s="55" t="str">
        <f t="shared" si="31"/>
        <v/>
      </c>
      <c r="K76" s="56" t="str">
        <f t="shared" si="32"/>
        <v/>
      </c>
      <c r="L76" s="56" t="str">
        <f t="shared" si="33"/>
        <v/>
      </c>
      <c r="M76" s="56" t="str">
        <f t="shared" si="16"/>
        <v/>
      </c>
      <c r="N76" s="56" t="str">
        <f t="shared" si="34"/>
        <v/>
      </c>
      <c r="O76" s="57" t="str">
        <f t="shared" si="18"/>
        <v/>
      </c>
      <c r="P76" s="57" t="str">
        <f t="shared" si="35"/>
        <v/>
      </c>
      <c r="Q76" s="57" t="str">
        <f t="shared" si="36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25"/>
      <c r="H77" s="125"/>
      <c r="I77" s="55" t="str">
        <f t="shared" si="30"/>
        <v/>
      </c>
      <c r="J77" s="55" t="str">
        <f t="shared" si="31"/>
        <v/>
      </c>
      <c r="K77" s="56" t="str">
        <f t="shared" si="32"/>
        <v/>
      </c>
      <c r="L77" s="56" t="str">
        <f t="shared" si="33"/>
        <v/>
      </c>
      <c r="M77" s="56" t="str">
        <f t="shared" si="16"/>
        <v/>
      </c>
      <c r="N77" s="56" t="str">
        <f t="shared" si="34"/>
        <v/>
      </c>
      <c r="O77" s="57" t="str">
        <f t="shared" si="18"/>
        <v/>
      </c>
      <c r="P77" s="57" t="str">
        <f t="shared" si="35"/>
        <v/>
      </c>
      <c r="Q77" s="57" t="str">
        <f t="shared" si="36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30"/>
        <v/>
      </c>
      <c r="J78" s="55" t="str">
        <f t="shared" si="31"/>
        <v/>
      </c>
      <c r="K78" s="56" t="str">
        <f t="shared" si="32"/>
        <v/>
      </c>
      <c r="L78" s="56" t="str">
        <f t="shared" si="33"/>
        <v/>
      </c>
      <c r="M78" s="56" t="str">
        <f t="shared" si="16"/>
        <v/>
      </c>
      <c r="N78" s="56" t="str">
        <f t="shared" si="34"/>
        <v/>
      </c>
      <c r="O78" s="57" t="str">
        <f t="shared" si="18"/>
        <v/>
      </c>
      <c r="P78" s="57" t="str">
        <f t="shared" si="35"/>
        <v/>
      </c>
      <c r="Q78" s="57" t="str">
        <f t="shared" si="36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30"/>
        <v/>
      </c>
      <c r="J79" s="55" t="str">
        <f t="shared" si="31"/>
        <v/>
      </c>
      <c r="K79" s="56" t="str">
        <f t="shared" si="32"/>
        <v/>
      </c>
      <c r="L79" s="56" t="str">
        <f t="shared" si="33"/>
        <v/>
      </c>
      <c r="M79" s="56" t="str">
        <f t="shared" si="16"/>
        <v/>
      </c>
      <c r="N79" s="56" t="str">
        <f t="shared" si="34"/>
        <v/>
      </c>
      <c r="O79" s="57" t="str">
        <f t="shared" si="18"/>
        <v/>
      </c>
      <c r="P79" s="57" t="str">
        <f t="shared" si="35"/>
        <v/>
      </c>
      <c r="Q79" s="57" t="str">
        <f t="shared" si="36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30"/>
        <v/>
      </c>
      <c r="J80" s="55" t="str">
        <f t="shared" si="31"/>
        <v/>
      </c>
      <c r="K80" s="56" t="str">
        <f t="shared" si="32"/>
        <v/>
      </c>
      <c r="L80" s="56" t="str">
        <f t="shared" si="33"/>
        <v/>
      </c>
      <c r="M80" s="56" t="str">
        <f t="shared" si="16"/>
        <v/>
      </c>
      <c r="N80" s="56" t="str">
        <f t="shared" si="34"/>
        <v/>
      </c>
      <c r="O80" s="57" t="str">
        <f t="shared" si="18"/>
        <v/>
      </c>
      <c r="P80" s="57" t="str">
        <f t="shared" si="35"/>
        <v/>
      </c>
      <c r="Q80" s="57" t="str">
        <f t="shared" si="36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30"/>
        <v/>
      </c>
      <c r="J81" s="55" t="str">
        <f t="shared" si="31"/>
        <v/>
      </c>
      <c r="K81" s="56" t="str">
        <f t="shared" si="32"/>
        <v/>
      </c>
      <c r="L81" s="56" t="str">
        <f t="shared" si="33"/>
        <v/>
      </c>
      <c r="M81" s="56" t="str">
        <f t="shared" si="16"/>
        <v/>
      </c>
      <c r="N81" s="56" t="str">
        <f t="shared" si="34"/>
        <v/>
      </c>
      <c r="O81" s="57" t="str">
        <f t="shared" si="18"/>
        <v/>
      </c>
      <c r="P81" s="57" t="str">
        <f t="shared" si="35"/>
        <v/>
      </c>
      <c r="Q81" s="57" t="str">
        <f t="shared" si="36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30"/>
        <v/>
      </c>
      <c r="J82" s="55" t="str">
        <f t="shared" si="31"/>
        <v/>
      </c>
      <c r="K82" s="56" t="str">
        <f t="shared" si="32"/>
        <v/>
      </c>
      <c r="L82" s="56" t="str">
        <f t="shared" si="33"/>
        <v/>
      </c>
      <c r="M82" s="56" t="str">
        <f t="shared" si="16"/>
        <v/>
      </c>
      <c r="N82" s="56" t="str">
        <f t="shared" si="34"/>
        <v/>
      </c>
      <c r="O82" s="57" t="str">
        <f t="shared" si="18"/>
        <v/>
      </c>
      <c r="P82" s="57" t="str">
        <f t="shared" si="35"/>
        <v/>
      </c>
      <c r="Q82" s="57" t="str">
        <f t="shared" si="36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30"/>
        <v/>
      </c>
      <c r="J83" s="55" t="str">
        <f t="shared" si="31"/>
        <v/>
      </c>
      <c r="K83" s="56" t="str">
        <f t="shared" si="32"/>
        <v/>
      </c>
      <c r="L83" s="56" t="str">
        <f t="shared" si="33"/>
        <v/>
      </c>
      <c r="M83" s="56" t="str">
        <f t="shared" si="16"/>
        <v/>
      </c>
      <c r="N83" s="56" t="str">
        <f t="shared" si="34"/>
        <v/>
      </c>
      <c r="O83" s="57" t="str">
        <f t="shared" si="18"/>
        <v/>
      </c>
      <c r="P83" s="57" t="str">
        <f t="shared" si="35"/>
        <v/>
      </c>
      <c r="Q83" s="57" t="str">
        <f t="shared" si="36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30"/>
        <v/>
      </c>
      <c r="J84" s="55" t="str">
        <f t="shared" si="31"/>
        <v/>
      </c>
      <c r="K84" s="56" t="str">
        <f t="shared" si="32"/>
        <v/>
      </c>
      <c r="L84" s="56" t="str">
        <f t="shared" si="33"/>
        <v/>
      </c>
      <c r="M84" s="56" t="str">
        <f t="shared" si="16"/>
        <v/>
      </c>
      <c r="N84" s="56" t="str">
        <f t="shared" si="34"/>
        <v/>
      </c>
      <c r="O84" s="57" t="str">
        <f t="shared" si="18"/>
        <v/>
      </c>
      <c r="P84" s="57" t="str">
        <f t="shared" si="35"/>
        <v/>
      </c>
      <c r="Q84" s="57" t="str">
        <f t="shared" si="36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30"/>
        <v/>
      </c>
      <c r="J85" s="55" t="str">
        <f t="shared" si="31"/>
        <v/>
      </c>
      <c r="K85" s="56" t="str">
        <f t="shared" si="32"/>
        <v/>
      </c>
      <c r="L85" s="56" t="str">
        <f t="shared" si="33"/>
        <v/>
      </c>
      <c r="M85" s="56" t="str">
        <f t="shared" si="16"/>
        <v/>
      </c>
      <c r="N85" s="56" t="str">
        <f t="shared" si="34"/>
        <v/>
      </c>
      <c r="O85" s="57" t="str">
        <f t="shared" si="18"/>
        <v/>
      </c>
      <c r="P85" s="57" t="str">
        <f t="shared" si="35"/>
        <v/>
      </c>
      <c r="Q85" s="57" t="str">
        <f t="shared" si="36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30"/>
        <v/>
      </c>
      <c r="J86" s="55" t="str">
        <f t="shared" si="31"/>
        <v/>
      </c>
      <c r="K86" s="56" t="str">
        <f t="shared" si="32"/>
        <v/>
      </c>
      <c r="L86" s="56" t="str">
        <f t="shared" si="33"/>
        <v/>
      </c>
      <c r="M86" s="56" t="str">
        <f t="shared" si="16"/>
        <v/>
      </c>
      <c r="N86" s="56" t="str">
        <f t="shared" si="34"/>
        <v/>
      </c>
      <c r="O86" s="57" t="str">
        <f t="shared" si="18"/>
        <v/>
      </c>
      <c r="P86" s="57" t="str">
        <f t="shared" si="35"/>
        <v/>
      </c>
      <c r="Q86" s="57" t="str">
        <f t="shared" si="36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30"/>
        <v/>
      </c>
      <c r="J87" s="55" t="str">
        <f t="shared" si="31"/>
        <v/>
      </c>
      <c r="K87" s="56" t="str">
        <f t="shared" si="32"/>
        <v/>
      </c>
      <c r="L87" s="56" t="str">
        <f t="shared" si="33"/>
        <v/>
      </c>
      <c r="M87" s="56" t="str">
        <f t="shared" si="16"/>
        <v/>
      </c>
      <c r="N87" s="56" t="str">
        <f t="shared" si="34"/>
        <v/>
      </c>
      <c r="O87" s="57" t="str">
        <f t="shared" si="18"/>
        <v/>
      </c>
      <c r="P87" s="57" t="str">
        <f t="shared" si="35"/>
        <v/>
      </c>
      <c r="Q87" s="57" t="str">
        <f t="shared" si="36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30"/>
        <v/>
      </c>
      <c r="J88" s="55" t="str">
        <f t="shared" si="31"/>
        <v/>
      </c>
      <c r="K88" s="56" t="str">
        <f t="shared" si="32"/>
        <v/>
      </c>
      <c r="L88" s="56" t="str">
        <f t="shared" si="33"/>
        <v/>
      </c>
      <c r="M88" s="56" t="str">
        <f t="shared" si="16"/>
        <v/>
      </c>
      <c r="N88" s="56" t="str">
        <f t="shared" si="34"/>
        <v/>
      </c>
      <c r="O88" s="57" t="str">
        <f t="shared" si="18"/>
        <v/>
      </c>
      <c r="P88" s="57" t="str">
        <f t="shared" si="35"/>
        <v/>
      </c>
      <c r="Q88" s="57" t="str">
        <f t="shared" si="36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30"/>
        <v/>
      </c>
      <c r="J89" s="55" t="str">
        <f t="shared" si="31"/>
        <v/>
      </c>
      <c r="K89" s="56" t="str">
        <f t="shared" si="32"/>
        <v/>
      </c>
      <c r="L89" s="56" t="str">
        <f t="shared" si="33"/>
        <v/>
      </c>
      <c r="M89" s="56" t="str">
        <f t="shared" si="16"/>
        <v/>
      </c>
      <c r="N89" s="56" t="str">
        <f t="shared" si="34"/>
        <v/>
      </c>
      <c r="O89" s="57" t="str">
        <f t="shared" si="18"/>
        <v/>
      </c>
      <c r="P89" s="57" t="str">
        <f t="shared" si="35"/>
        <v/>
      </c>
      <c r="Q89" s="57" t="str">
        <f t="shared" si="36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30"/>
        <v/>
      </c>
      <c r="J90" s="55" t="str">
        <f t="shared" si="31"/>
        <v/>
      </c>
      <c r="K90" s="56" t="str">
        <f t="shared" si="32"/>
        <v/>
      </c>
      <c r="L90" s="56" t="str">
        <f t="shared" si="33"/>
        <v/>
      </c>
      <c r="M90" s="56" t="str">
        <f t="shared" si="16"/>
        <v/>
      </c>
      <c r="N90" s="56" t="str">
        <f t="shared" si="34"/>
        <v/>
      </c>
      <c r="O90" s="57" t="str">
        <f t="shared" si="18"/>
        <v/>
      </c>
      <c r="P90" s="57" t="str">
        <f t="shared" si="35"/>
        <v/>
      </c>
      <c r="Q90" s="57" t="str">
        <f t="shared" si="36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30"/>
        <v/>
      </c>
      <c r="J91" s="55" t="str">
        <f t="shared" si="31"/>
        <v/>
      </c>
      <c r="K91" s="56" t="str">
        <f t="shared" si="32"/>
        <v/>
      </c>
      <c r="L91" s="56" t="str">
        <f t="shared" si="33"/>
        <v/>
      </c>
      <c r="M91" s="56" t="str">
        <f t="shared" si="16"/>
        <v/>
      </c>
      <c r="N91" s="56" t="str">
        <f t="shared" si="34"/>
        <v/>
      </c>
      <c r="O91" s="57" t="str">
        <f t="shared" si="18"/>
        <v/>
      </c>
      <c r="P91" s="57" t="str">
        <f t="shared" si="35"/>
        <v/>
      </c>
      <c r="Q91" s="57" t="str">
        <f t="shared" si="36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30"/>
        <v/>
      </c>
      <c r="J92" s="55" t="str">
        <f t="shared" si="31"/>
        <v/>
      </c>
      <c r="K92" s="56" t="str">
        <f t="shared" si="32"/>
        <v/>
      </c>
      <c r="L92" s="56" t="str">
        <f t="shared" si="33"/>
        <v/>
      </c>
      <c r="M92" s="56" t="str">
        <f t="shared" si="16"/>
        <v/>
      </c>
      <c r="N92" s="56" t="str">
        <f t="shared" si="34"/>
        <v/>
      </c>
      <c r="O92" s="57" t="str">
        <f t="shared" si="18"/>
        <v/>
      </c>
      <c r="P92" s="57" t="str">
        <f t="shared" si="35"/>
        <v/>
      </c>
      <c r="Q92" s="57" t="str">
        <f t="shared" si="36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30"/>
        <v/>
      </c>
      <c r="J93" s="55" t="str">
        <f t="shared" si="31"/>
        <v/>
      </c>
      <c r="K93" s="56" t="str">
        <f t="shared" si="32"/>
        <v/>
      </c>
      <c r="L93" s="56" t="str">
        <f t="shared" si="33"/>
        <v/>
      </c>
      <c r="M93" s="56" t="str">
        <f t="shared" ref="M93:M127" si="37">IF(D93=0,"",1-L93)</f>
        <v/>
      </c>
      <c r="N93" s="56" t="str">
        <f t="shared" si="34"/>
        <v/>
      </c>
      <c r="O93" s="57" t="str">
        <f t="shared" ref="O93:O127" si="38">IF(D93=0,"",F93*K93*$J$7/$J$14)</f>
        <v/>
      </c>
      <c r="P93" s="57" t="str">
        <f t="shared" si="35"/>
        <v/>
      </c>
      <c r="Q93" s="57" t="str">
        <f t="shared" si="36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30"/>
        <v/>
      </c>
      <c r="J94" s="55" t="str">
        <f t="shared" si="31"/>
        <v/>
      </c>
      <c r="K94" s="56" t="str">
        <f t="shared" si="32"/>
        <v/>
      </c>
      <c r="L94" s="56" t="str">
        <f t="shared" si="33"/>
        <v/>
      </c>
      <c r="M94" s="56" t="str">
        <f t="shared" si="37"/>
        <v/>
      </c>
      <c r="N94" s="56" t="str">
        <f t="shared" si="34"/>
        <v/>
      </c>
      <c r="O94" s="57" t="str">
        <f t="shared" si="38"/>
        <v/>
      </c>
      <c r="P94" s="57" t="str">
        <f t="shared" si="35"/>
        <v/>
      </c>
      <c r="Q94" s="57" t="str">
        <f t="shared" si="36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30"/>
        <v/>
      </c>
      <c r="J95" s="55" t="str">
        <f t="shared" si="31"/>
        <v/>
      </c>
      <c r="K95" s="56" t="str">
        <f t="shared" si="32"/>
        <v/>
      </c>
      <c r="L95" s="56" t="str">
        <f t="shared" si="33"/>
        <v/>
      </c>
      <c r="M95" s="56" t="str">
        <f t="shared" si="37"/>
        <v/>
      </c>
      <c r="N95" s="56" t="str">
        <f t="shared" si="34"/>
        <v/>
      </c>
      <c r="O95" s="57" t="str">
        <f t="shared" si="38"/>
        <v/>
      </c>
      <c r="P95" s="57" t="str">
        <f t="shared" si="35"/>
        <v/>
      </c>
      <c r="Q95" s="57" t="str">
        <f t="shared" si="36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30"/>
        <v/>
      </c>
      <c r="J96" s="55" t="str">
        <f t="shared" si="31"/>
        <v/>
      </c>
      <c r="K96" s="56" t="str">
        <f t="shared" si="32"/>
        <v/>
      </c>
      <c r="L96" s="56" t="str">
        <f t="shared" si="33"/>
        <v/>
      </c>
      <c r="M96" s="56" t="str">
        <f t="shared" si="37"/>
        <v/>
      </c>
      <c r="N96" s="56" t="str">
        <f t="shared" si="34"/>
        <v/>
      </c>
      <c r="O96" s="57" t="str">
        <f t="shared" si="38"/>
        <v/>
      </c>
      <c r="P96" s="57" t="str">
        <f t="shared" si="35"/>
        <v/>
      </c>
      <c r="Q96" s="57" t="str">
        <f t="shared" si="36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30"/>
        <v/>
      </c>
      <c r="J97" s="55" t="str">
        <f t="shared" si="31"/>
        <v/>
      </c>
      <c r="K97" s="56" t="str">
        <f t="shared" si="32"/>
        <v/>
      </c>
      <c r="L97" s="56" t="str">
        <f t="shared" si="33"/>
        <v/>
      </c>
      <c r="M97" s="56" t="str">
        <f t="shared" si="37"/>
        <v/>
      </c>
      <c r="N97" s="56" t="str">
        <f t="shared" si="34"/>
        <v/>
      </c>
      <c r="O97" s="57" t="str">
        <f t="shared" si="38"/>
        <v/>
      </c>
      <c r="P97" s="57" t="str">
        <f t="shared" si="35"/>
        <v/>
      </c>
      <c r="Q97" s="57" t="str">
        <f t="shared" si="36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30"/>
        <v/>
      </c>
      <c r="J98" s="55" t="str">
        <f t="shared" si="31"/>
        <v/>
      </c>
      <c r="K98" s="56" t="str">
        <f t="shared" si="32"/>
        <v/>
      </c>
      <c r="L98" s="56" t="str">
        <f t="shared" si="33"/>
        <v/>
      </c>
      <c r="M98" s="56" t="str">
        <f t="shared" si="37"/>
        <v/>
      </c>
      <c r="N98" s="56" t="str">
        <f t="shared" si="34"/>
        <v/>
      </c>
      <c r="O98" s="57" t="str">
        <f t="shared" si="38"/>
        <v/>
      </c>
      <c r="P98" s="57" t="str">
        <f t="shared" si="35"/>
        <v/>
      </c>
      <c r="Q98" s="57" t="str">
        <f t="shared" si="36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30"/>
        <v/>
      </c>
      <c r="J99" s="55" t="str">
        <f t="shared" si="31"/>
        <v/>
      </c>
      <c r="K99" s="56" t="str">
        <f t="shared" si="32"/>
        <v/>
      </c>
      <c r="L99" s="56" t="str">
        <f t="shared" si="33"/>
        <v/>
      </c>
      <c r="M99" s="56" t="str">
        <f t="shared" si="37"/>
        <v/>
      </c>
      <c r="N99" s="56" t="str">
        <f t="shared" si="34"/>
        <v/>
      </c>
      <c r="O99" s="57" t="str">
        <f t="shared" si="38"/>
        <v/>
      </c>
      <c r="P99" s="57" t="str">
        <f t="shared" si="35"/>
        <v/>
      </c>
      <c r="Q99" s="57" t="str">
        <f t="shared" si="36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30"/>
        <v/>
      </c>
      <c r="J100" s="55" t="str">
        <f t="shared" si="31"/>
        <v/>
      </c>
      <c r="K100" s="56" t="str">
        <f t="shared" si="32"/>
        <v/>
      </c>
      <c r="L100" s="56" t="str">
        <f t="shared" si="33"/>
        <v/>
      </c>
      <c r="M100" s="56" t="str">
        <f t="shared" si="37"/>
        <v/>
      </c>
      <c r="N100" s="56" t="str">
        <f t="shared" si="34"/>
        <v/>
      </c>
      <c r="O100" s="57" t="str">
        <f t="shared" si="38"/>
        <v/>
      </c>
      <c r="P100" s="57" t="str">
        <f t="shared" si="35"/>
        <v/>
      </c>
      <c r="Q100" s="57" t="str">
        <f t="shared" si="36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30"/>
        <v/>
      </c>
      <c r="J101" s="55" t="str">
        <f t="shared" si="31"/>
        <v/>
      </c>
      <c r="K101" s="56" t="str">
        <f t="shared" si="32"/>
        <v/>
      </c>
      <c r="L101" s="56" t="str">
        <f t="shared" si="33"/>
        <v/>
      </c>
      <c r="M101" s="56" t="str">
        <f t="shared" si="37"/>
        <v/>
      </c>
      <c r="N101" s="56" t="str">
        <f t="shared" si="34"/>
        <v/>
      </c>
      <c r="O101" s="57" t="str">
        <f t="shared" si="38"/>
        <v/>
      </c>
      <c r="P101" s="57" t="str">
        <f t="shared" si="35"/>
        <v/>
      </c>
      <c r="Q101" s="57" t="str">
        <f t="shared" si="36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30"/>
        <v/>
      </c>
      <c r="J102" s="55" t="str">
        <f t="shared" si="31"/>
        <v/>
      </c>
      <c r="K102" s="56" t="str">
        <f t="shared" si="32"/>
        <v/>
      </c>
      <c r="L102" s="56" t="str">
        <f t="shared" si="33"/>
        <v/>
      </c>
      <c r="M102" s="56" t="str">
        <f t="shared" si="37"/>
        <v/>
      </c>
      <c r="N102" s="56" t="str">
        <f t="shared" si="34"/>
        <v/>
      </c>
      <c r="O102" s="57" t="str">
        <f t="shared" si="38"/>
        <v/>
      </c>
      <c r="P102" s="57" t="str">
        <f t="shared" si="35"/>
        <v/>
      </c>
      <c r="Q102" s="57" t="str">
        <f t="shared" si="36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30"/>
        <v/>
      </c>
      <c r="J103" s="55" t="str">
        <f t="shared" si="31"/>
        <v/>
      </c>
      <c r="K103" s="56" t="str">
        <f t="shared" si="32"/>
        <v/>
      </c>
      <c r="L103" s="56" t="str">
        <f t="shared" si="33"/>
        <v/>
      </c>
      <c r="M103" s="56" t="str">
        <f t="shared" si="37"/>
        <v/>
      </c>
      <c r="N103" s="56" t="str">
        <f t="shared" si="34"/>
        <v/>
      </c>
      <c r="O103" s="57" t="str">
        <f t="shared" si="38"/>
        <v/>
      </c>
      <c r="P103" s="57" t="str">
        <f t="shared" si="35"/>
        <v/>
      </c>
      <c r="Q103" s="57" t="str">
        <f t="shared" si="36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30"/>
        <v/>
      </c>
      <c r="J104" s="55" t="str">
        <f t="shared" si="31"/>
        <v/>
      </c>
      <c r="K104" s="56" t="str">
        <f t="shared" si="32"/>
        <v/>
      </c>
      <c r="L104" s="56" t="str">
        <f t="shared" si="33"/>
        <v/>
      </c>
      <c r="M104" s="56" t="str">
        <f t="shared" si="37"/>
        <v/>
      </c>
      <c r="N104" s="56" t="str">
        <f t="shared" si="34"/>
        <v/>
      </c>
      <c r="O104" s="57" t="str">
        <f t="shared" si="38"/>
        <v/>
      </c>
      <c r="P104" s="57" t="str">
        <f t="shared" si="35"/>
        <v/>
      </c>
      <c r="Q104" s="57" t="str">
        <f t="shared" si="36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30"/>
        <v/>
      </c>
      <c r="J105" s="55" t="str">
        <f t="shared" si="31"/>
        <v/>
      </c>
      <c r="K105" s="56" t="str">
        <f t="shared" si="32"/>
        <v/>
      </c>
      <c r="L105" s="56" t="str">
        <f t="shared" si="33"/>
        <v/>
      </c>
      <c r="M105" s="56" t="str">
        <f t="shared" si="37"/>
        <v/>
      </c>
      <c r="N105" s="56" t="str">
        <f t="shared" si="34"/>
        <v/>
      </c>
      <c r="O105" s="57" t="str">
        <f t="shared" si="38"/>
        <v/>
      </c>
      <c r="P105" s="57" t="str">
        <f t="shared" si="35"/>
        <v/>
      </c>
      <c r="Q105" s="57" t="str">
        <f t="shared" si="36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30"/>
        <v/>
      </c>
      <c r="J106" s="55" t="str">
        <f t="shared" si="31"/>
        <v/>
      </c>
      <c r="K106" s="56" t="str">
        <f t="shared" si="32"/>
        <v/>
      </c>
      <c r="L106" s="56" t="str">
        <f t="shared" si="33"/>
        <v/>
      </c>
      <c r="M106" s="56" t="str">
        <f t="shared" si="37"/>
        <v/>
      </c>
      <c r="N106" s="56" t="str">
        <f t="shared" si="34"/>
        <v/>
      </c>
      <c r="O106" s="57" t="str">
        <f t="shared" si="38"/>
        <v/>
      </c>
      <c r="P106" s="57" t="str">
        <f t="shared" si="35"/>
        <v/>
      </c>
      <c r="Q106" s="57" t="str">
        <f t="shared" si="36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30"/>
        <v/>
      </c>
      <c r="J107" s="55" t="str">
        <f t="shared" si="31"/>
        <v/>
      </c>
      <c r="K107" s="56" t="str">
        <f t="shared" si="32"/>
        <v/>
      </c>
      <c r="L107" s="56" t="str">
        <f t="shared" si="33"/>
        <v/>
      </c>
      <c r="M107" s="56" t="str">
        <f t="shared" si="37"/>
        <v/>
      </c>
      <c r="N107" s="56" t="str">
        <f t="shared" si="34"/>
        <v/>
      </c>
      <c r="O107" s="57" t="str">
        <f t="shared" si="38"/>
        <v/>
      </c>
      <c r="P107" s="57" t="str">
        <f t="shared" si="35"/>
        <v/>
      </c>
      <c r="Q107" s="57" t="str">
        <f t="shared" si="36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30"/>
        <v/>
      </c>
      <c r="J108" s="55" t="str">
        <f t="shared" si="31"/>
        <v/>
      </c>
      <c r="K108" s="56" t="str">
        <f t="shared" si="32"/>
        <v/>
      </c>
      <c r="L108" s="56" t="str">
        <f t="shared" si="33"/>
        <v/>
      </c>
      <c r="M108" s="56" t="str">
        <f t="shared" si="37"/>
        <v/>
      </c>
      <c r="N108" s="56" t="str">
        <f t="shared" si="34"/>
        <v/>
      </c>
      <c r="O108" s="57" t="str">
        <f t="shared" si="38"/>
        <v/>
      </c>
      <c r="P108" s="57" t="str">
        <f t="shared" si="35"/>
        <v/>
      </c>
      <c r="Q108" s="57" t="str">
        <f t="shared" si="36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30"/>
        <v/>
      </c>
      <c r="J109" s="55" t="str">
        <f t="shared" si="31"/>
        <v/>
      </c>
      <c r="K109" s="56" t="str">
        <f t="shared" si="32"/>
        <v/>
      </c>
      <c r="L109" s="56" t="str">
        <f t="shared" si="33"/>
        <v/>
      </c>
      <c r="M109" s="56" t="str">
        <f t="shared" si="37"/>
        <v/>
      </c>
      <c r="N109" s="56" t="str">
        <f t="shared" si="34"/>
        <v/>
      </c>
      <c r="O109" s="57" t="str">
        <f t="shared" si="38"/>
        <v/>
      </c>
      <c r="P109" s="57" t="str">
        <f t="shared" si="35"/>
        <v/>
      </c>
      <c r="Q109" s="57" t="str">
        <f t="shared" si="36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30"/>
        <v/>
      </c>
      <c r="J110" s="55" t="str">
        <f t="shared" si="31"/>
        <v/>
      </c>
      <c r="K110" s="56" t="str">
        <f t="shared" si="32"/>
        <v/>
      </c>
      <c r="L110" s="56" t="str">
        <f t="shared" si="33"/>
        <v/>
      </c>
      <c r="M110" s="56" t="str">
        <f t="shared" si="37"/>
        <v/>
      </c>
      <c r="N110" s="56" t="str">
        <f t="shared" si="34"/>
        <v/>
      </c>
      <c r="O110" s="57" t="str">
        <f t="shared" si="38"/>
        <v/>
      </c>
      <c r="P110" s="57" t="str">
        <f t="shared" si="35"/>
        <v/>
      </c>
      <c r="Q110" s="57" t="str">
        <f t="shared" si="36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30"/>
        <v/>
      </c>
      <c r="J111" s="55" t="str">
        <f t="shared" si="31"/>
        <v/>
      </c>
      <c r="K111" s="56" t="str">
        <f t="shared" si="32"/>
        <v/>
      </c>
      <c r="L111" s="56" t="str">
        <f t="shared" si="33"/>
        <v/>
      </c>
      <c r="M111" s="56" t="str">
        <f t="shared" si="37"/>
        <v/>
      </c>
      <c r="N111" s="56" t="str">
        <f t="shared" si="34"/>
        <v/>
      </c>
      <c r="O111" s="57" t="str">
        <f t="shared" si="38"/>
        <v/>
      </c>
      <c r="P111" s="57" t="str">
        <f t="shared" si="35"/>
        <v/>
      </c>
      <c r="Q111" s="57" t="str">
        <f t="shared" si="36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30"/>
        <v/>
      </c>
      <c r="J112" s="55" t="str">
        <f t="shared" si="31"/>
        <v/>
      </c>
      <c r="K112" s="56" t="str">
        <f t="shared" si="32"/>
        <v/>
      </c>
      <c r="L112" s="56" t="str">
        <f t="shared" si="33"/>
        <v/>
      </c>
      <c r="M112" s="56" t="str">
        <f t="shared" si="37"/>
        <v/>
      </c>
      <c r="N112" s="56" t="str">
        <f t="shared" si="34"/>
        <v/>
      </c>
      <c r="O112" s="57" t="str">
        <f t="shared" si="38"/>
        <v/>
      </c>
      <c r="P112" s="57" t="str">
        <f t="shared" si="35"/>
        <v/>
      </c>
      <c r="Q112" s="57" t="str">
        <f t="shared" si="36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30"/>
        <v/>
      </c>
      <c r="J113" s="55" t="str">
        <f t="shared" si="31"/>
        <v/>
      </c>
      <c r="K113" s="56" t="str">
        <f t="shared" si="32"/>
        <v/>
      </c>
      <c r="L113" s="56" t="str">
        <f t="shared" si="33"/>
        <v/>
      </c>
      <c r="M113" s="56" t="str">
        <f t="shared" si="37"/>
        <v/>
      </c>
      <c r="N113" s="56" t="str">
        <f t="shared" si="34"/>
        <v/>
      </c>
      <c r="O113" s="57" t="str">
        <f t="shared" si="38"/>
        <v/>
      </c>
      <c r="P113" s="57" t="str">
        <f t="shared" si="35"/>
        <v/>
      </c>
      <c r="Q113" s="57" t="str">
        <f t="shared" si="36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30"/>
        <v/>
      </c>
      <c r="J114" s="55" t="str">
        <f t="shared" si="31"/>
        <v/>
      </c>
      <c r="K114" s="56" t="str">
        <f t="shared" si="32"/>
        <v/>
      </c>
      <c r="L114" s="56" t="str">
        <f t="shared" si="33"/>
        <v/>
      </c>
      <c r="M114" s="56" t="str">
        <f t="shared" si="37"/>
        <v/>
      </c>
      <c r="N114" s="56" t="str">
        <f t="shared" si="34"/>
        <v/>
      </c>
      <c r="O114" s="57" t="str">
        <f t="shared" si="38"/>
        <v/>
      </c>
      <c r="P114" s="57" t="str">
        <f t="shared" si="35"/>
        <v/>
      </c>
      <c r="Q114" s="57" t="str">
        <f t="shared" si="36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30"/>
        <v/>
      </c>
      <c r="J115" s="55" t="str">
        <f t="shared" si="31"/>
        <v/>
      </c>
      <c r="K115" s="56" t="str">
        <f t="shared" si="32"/>
        <v/>
      </c>
      <c r="L115" s="56" t="str">
        <f t="shared" si="33"/>
        <v/>
      </c>
      <c r="M115" s="56" t="str">
        <f t="shared" si="37"/>
        <v/>
      </c>
      <c r="N115" s="56" t="str">
        <f t="shared" si="34"/>
        <v/>
      </c>
      <c r="O115" s="57" t="str">
        <f t="shared" si="38"/>
        <v/>
      </c>
      <c r="P115" s="57" t="str">
        <f t="shared" si="35"/>
        <v/>
      </c>
      <c r="Q115" s="57" t="str">
        <f t="shared" si="36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30"/>
        <v/>
      </c>
      <c r="J116" s="55" t="str">
        <f t="shared" si="31"/>
        <v/>
      </c>
      <c r="K116" s="56" t="str">
        <f t="shared" si="32"/>
        <v/>
      </c>
      <c r="L116" s="56" t="str">
        <f t="shared" si="33"/>
        <v/>
      </c>
      <c r="M116" s="56" t="str">
        <f t="shared" si="37"/>
        <v/>
      </c>
      <c r="N116" s="56" t="str">
        <f t="shared" si="34"/>
        <v/>
      </c>
      <c r="O116" s="57" t="str">
        <f t="shared" si="38"/>
        <v/>
      </c>
      <c r="P116" s="57" t="str">
        <f t="shared" si="35"/>
        <v/>
      </c>
      <c r="Q116" s="57" t="str">
        <f t="shared" si="36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30"/>
        <v/>
      </c>
      <c r="J117" s="55" t="str">
        <f t="shared" si="31"/>
        <v/>
      </c>
      <c r="K117" s="56" t="str">
        <f t="shared" si="32"/>
        <v/>
      </c>
      <c r="L117" s="56" t="str">
        <f t="shared" si="33"/>
        <v/>
      </c>
      <c r="M117" s="56" t="str">
        <f t="shared" si="37"/>
        <v/>
      </c>
      <c r="N117" s="56" t="str">
        <f t="shared" si="34"/>
        <v/>
      </c>
      <c r="O117" s="57" t="str">
        <f t="shared" si="38"/>
        <v/>
      </c>
      <c r="P117" s="57" t="str">
        <f t="shared" si="35"/>
        <v/>
      </c>
      <c r="Q117" s="57" t="str">
        <f t="shared" si="36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30"/>
        <v/>
      </c>
      <c r="J118" s="55" t="str">
        <f t="shared" si="31"/>
        <v/>
      </c>
      <c r="K118" s="56" t="str">
        <f t="shared" si="32"/>
        <v/>
      </c>
      <c r="L118" s="56" t="str">
        <f t="shared" si="33"/>
        <v/>
      </c>
      <c r="M118" s="56" t="str">
        <f t="shared" si="37"/>
        <v/>
      </c>
      <c r="N118" s="56" t="str">
        <f t="shared" si="34"/>
        <v/>
      </c>
      <c r="O118" s="57" t="str">
        <f t="shared" si="38"/>
        <v/>
      </c>
      <c r="P118" s="57" t="str">
        <f t="shared" si="35"/>
        <v/>
      </c>
      <c r="Q118" s="57" t="str">
        <f t="shared" si="36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30"/>
        <v/>
      </c>
      <c r="J119" s="55" t="str">
        <f t="shared" si="31"/>
        <v/>
      </c>
      <c r="K119" s="56" t="str">
        <f t="shared" si="32"/>
        <v/>
      </c>
      <c r="L119" s="56" t="str">
        <f t="shared" si="33"/>
        <v/>
      </c>
      <c r="M119" s="56" t="str">
        <f t="shared" si="37"/>
        <v/>
      </c>
      <c r="N119" s="56" t="str">
        <f t="shared" si="34"/>
        <v/>
      </c>
      <c r="O119" s="57" t="str">
        <f t="shared" si="38"/>
        <v/>
      </c>
      <c r="P119" s="57" t="str">
        <f t="shared" si="35"/>
        <v/>
      </c>
      <c r="Q119" s="57" t="str">
        <f t="shared" si="36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30"/>
        <v/>
      </c>
      <c r="J120" s="55" t="str">
        <f t="shared" si="31"/>
        <v/>
      </c>
      <c r="K120" s="56" t="str">
        <f t="shared" si="32"/>
        <v/>
      </c>
      <c r="L120" s="56" t="str">
        <f t="shared" si="33"/>
        <v/>
      </c>
      <c r="M120" s="56" t="str">
        <f t="shared" si="37"/>
        <v/>
      </c>
      <c r="N120" s="56" t="str">
        <f t="shared" si="34"/>
        <v/>
      </c>
      <c r="O120" s="57" t="str">
        <f t="shared" si="38"/>
        <v/>
      </c>
      <c r="P120" s="57" t="str">
        <f t="shared" si="35"/>
        <v/>
      </c>
      <c r="Q120" s="57" t="str">
        <f t="shared" si="36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30"/>
        <v/>
      </c>
      <c r="J121" s="55" t="str">
        <f t="shared" si="31"/>
        <v/>
      </c>
      <c r="K121" s="56" t="str">
        <f t="shared" si="32"/>
        <v/>
      </c>
      <c r="L121" s="56" t="str">
        <f t="shared" si="33"/>
        <v/>
      </c>
      <c r="M121" s="56" t="str">
        <f t="shared" si="37"/>
        <v/>
      </c>
      <c r="N121" s="56" t="str">
        <f t="shared" si="34"/>
        <v/>
      </c>
      <c r="O121" s="57" t="str">
        <f t="shared" si="38"/>
        <v/>
      </c>
      <c r="P121" s="57" t="str">
        <f t="shared" si="35"/>
        <v/>
      </c>
      <c r="Q121" s="57" t="str">
        <f t="shared" si="36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30"/>
        <v/>
      </c>
      <c r="J122" s="55" t="str">
        <f t="shared" si="31"/>
        <v/>
      </c>
      <c r="K122" s="56" t="str">
        <f t="shared" si="32"/>
        <v/>
      </c>
      <c r="L122" s="56" t="str">
        <f t="shared" si="33"/>
        <v/>
      </c>
      <c r="M122" s="56" t="str">
        <f t="shared" si="37"/>
        <v/>
      </c>
      <c r="N122" s="56" t="str">
        <f t="shared" si="34"/>
        <v/>
      </c>
      <c r="O122" s="57" t="str">
        <f t="shared" si="38"/>
        <v/>
      </c>
      <c r="P122" s="57" t="str">
        <f t="shared" si="35"/>
        <v/>
      </c>
      <c r="Q122" s="57" t="str">
        <f t="shared" si="36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9">IF(D123=0,"",LOG($K$15*10^D123+$K$16*10^E123+$K$14))</f>
        <v/>
      </c>
      <c r="J123" s="55" t="str">
        <f t="shared" ref="J123:J127" si="40">IF(D123=0,"",LOG($K$21*10^D123+$K$22*10^E123+$K$20))</f>
        <v/>
      </c>
      <c r="K123" s="56" t="str">
        <f t="shared" ref="K123:K127" si="41">IF(D123=0,"",1/(1+10^D123*$J$15/$J$14+10^E123*$J$16/$J$14+10^J123*$J$19/$J$14))</f>
        <v/>
      </c>
      <c r="L123" s="56" t="str">
        <f t="shared" ref="L123:L127" si="42">IF(D123=0,"",1/(1+10^I123/10^J123*$J$13/$J$19))</f>
        <v/>
      </c>
      <c r="M123" s="56" t="str">
        <f t="shared" si="37"/>
        <v/>
      </c>
      <c r="N123" s="56" t="str">
        <f t="shared" ref="N123:N127" si="43">IF(D123=0,"",1/(1/10^E123*$J$20/$J$22+10^D123/10^E123*$J$21/$J$22+10^I123/10^E123*$J$13/$J$22+1))</f>
        <v/>
      </c>
      <c r="O123" s="57" t="str">
        <f t="shared" si="38"/>
        <v/>
      </c>
      <c r="P123" s="57" t="str">
        <f t="shared" ref="P123:P127" si="44">IF(D123=0,"",O123*10^J123)</f>
        <v/>
      </c>
      <c r="Q123" s="57" t="str">
        <f t="shared" ref="Q123:Q127" si="45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9"/>
        <v/>
      </c>
      <c r="J124" s="55" t="str">
        <f t="shared" si="40"/>
        <v/>
      </c>
      <c r="K124" s="56" t="str">
        <f t="shared" si="41"/>
        <v/>
      </c>
      <c r="L124" s="56" t="str">
        <f t="shared" si="42"/>
        <v/>
      </c>
      <c r="M124" s="56" t="str">
        <f t="shared" si="37"/>
        <v/>
      </c>
      <c r="N124" s="56" t="str">
        <f t="shared" si="43"/>
        <v/>
      </c>
      <c r="O124" s="57" t="str">
        <f t="shared" si="38"/>
        <v/>
      </c>
      <c r="P124" s="57" t="str">
        <f t="shared" si="44"/>
        <v/>
      </c>
      <c r="Q124" s="57" t="str">
        <f t="shared" si="45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9"/>
        <v/>
      </c>
      <c r="J125" s="55" t="str">
        <f t="shared" si="40"/>
        <v/>
      </c>
      <c r="K125" s="56" t="str">
        <f t="shared" si="41"/>
        <v/>
      </c>
      <c r="L125" s="56" t="str">
        <f t="shared" si="42"/>
        <v/>
      </c>
      <c r="M125" s="56" t="str">
        <f t="shared" si="37"/>
        <v/>
      </c>
      <c r="N125" s="56" t="str">
        <f t="shared" si="43"/>
        <v/>
      </c>
      <c r="O125" s="57" t="str">
        <f t="shared" si="38"/>
        <v/>
      </c>
      <c r="P125" s="57" t="str">
        <f t="shared" si="44"/>
        <v/>
      </c>
      <c r="Q125" s="57" t="str">
        <f t="shared" si="45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9"/>
        <v/>
      </c>
      <c r="J126" s="55" t="str">
        <f t="shared" si="40"/>
        <v/>
      </c>
      <c r="K126" s="56" t="str">
        <f t="shared" si="41"/>
        <v/>
      </c>
      <c r="L126" s="56" t="str">
        <f t="shared" si="42"/>
        <v/>
      </c>
      <c r="M126" s="56" t="str">
        <f t="shared" si="37"/>
        <v/>
      </c>
      <c r="N126" s="56" t="str">
        <f t="shared" si="43"/>
        <v/>
      </c>
      <c r="O126" s="57" t="str">
        <f t="shared" si="38"/>
        <v/>
      </c>
      <c r="P126" s="57" t="str">
        <f t="shared" si="44"/>
        <v/>
      </c>
      <c r="Q126" s="57" t="str">
        <f t="shared" si="45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9"/>
        <v/>
      </c>
      <c r="J127" s="55" t="str">
        <f t="shared" si="40"/>
        <v/>
      </c>
      <c r="K127" s="56" t="str">
        <f t="shared" si="41"/>
        <v/>
      </c>
      <c r="L127" s="56" t="str">
        <f t="shared" si="42"/>
        <v/>
      </c>
      <c r="M127" s="56" t="str">
        <f t="shared" si="37"/>
        <v/>
      </c>
      <c r="N127" s="56" t="str">
        <f t="shared" si="43"/>
        <v/>
      </c>
      <c r="O127" s="57" t="str">
        <f t="shared" si="38"/>
        <v/>
      </c>
      <c r="P127" s="57" t="str">
        <f t="shared" si="44"/>
        <v/>
      </c>
      <c r="Q127" s="57" t="str">
        <f t="shared" si="45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2025-02-03T02:14:45Z</dcterms:modified>
</cp:coreProperties>
</file>