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Alex\"/>
    </mc:Choice>
  </mc:AlternateContent>
  <xr:revisionPtr revIDLastSave="0" documentId="13_ncr:1_{B5103839-0C06-474B-B455-717712A555ED}" xr6:coauthVersionLast="47" xr6:coauthVersionMax="47" xr10:uidLastSave="{00000000-0000-0000-0000-000000000000}"/>
  <bookViews>
    <workbookView xWindow="-98" yWindow="-98" windowWidth="21795" windowHeight="13875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Input System Parameters" sheetId="2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<sst xmlns="http://schemas.openxmlformats.org/spreadsheetml/2006/main" count="665" uniqueCount="311">
  <si>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</si>
  <si>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</si>
  <si>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</si>
  <si>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</si>
  <si>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</si>
  <si>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</si>
  <si>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</si>
  <si>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</si>
  <si>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</si>
  <si>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</si>
  <si>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</si>
  <si>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</si>
  <si>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</si>
  <si>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</si>
  <si>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</si>
  <si>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</si>
  <si>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</si>
  <si>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</si>
  <si>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</si>
  <si>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</si>
  <si>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</si>
  <si>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</si>
  <si>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</si>
  <si>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</si>
  <si>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</si>
  <si>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</si>
  <si>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</si>
  <si>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</si>
  <si>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</si>
  <si>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</si>
  <si>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</si>
  <si>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</si>
  <si>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</si>
  <si>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</si>
  <si>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</si>
  <si>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</si>
  <si>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</si>
  <si>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</si>
  <si>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</si>
  <si>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</si>
  <si>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</si>
  <si>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</si>
  <si>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</si>
  <si>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</si>
  <si>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</si>
  <si>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</si>
  <si>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</si>
  <si>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</si>
  <si>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</si>
  <si>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</si>
  <si>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</si>
  <si>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</si>
  <si>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</si>
  <si>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</si>
  <si>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</si>
  <si>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</si>
  <si>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</si>
  <si>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</si>
  <si>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</si>
  <si>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</si>
  <si>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</si>
  <si>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</si>
  <si>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</si>
  <si>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</si>
  <si>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</si>
  <si>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</si>
  <si>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</si>
  <si>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</si>
  <si>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</si>
  <si>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</si>
  <si>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</si>
  <si>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</si>
  <si>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</si>
  <si>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</si>
  <si>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</si>
  <si>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</si>
  <si>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</si>
  <si>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</si>
  <si>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</si>
  <si>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</si>
  <si>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</si>
  <si>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</si>
  <si>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</si>
  <si>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</si>
  <si>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</si>
  <si>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</si>
  <si>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</si>
  <si>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</si>
  <si>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</si>
  <si>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</si>
  <si>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</si>
  <si>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</si>
  <si>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</si>
  <si>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</si>
  <si>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</si>
  <si>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</si>
  <si>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</si>
  <si>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</si>
  <si>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</si>
  <si>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</si>
  <si>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</si>
  <si>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</si>
  <si>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</si>
  <si>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</si>
  <si>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</si>
  <si>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</si>
  <si>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</si>
  <si>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</si>
  <si>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</si>
  <si>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</si>
  <si>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</si>
  <si>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</si>
  <si>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</si>
  <si>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</si>
  <si>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</si>
  <si>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</si>
  <si>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</si>
  <si>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</si>
  <si>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</si>
  <si>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</si>
  <si>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</si>
  <si>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</si>
  <si>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</si>
  <si>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</si>
  <si>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</si>
  <si>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</si>
  <si>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</si>
  <si>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</si>
  <si>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</si>
  <si>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</si>
  <si>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</si>
  <si>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</si>
  <si>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</si>
  <si>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</si>
  <si>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</si>
  <si>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</si>
  <si>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</si>
  <si>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</si>
  <si>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</si>
  <si>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</si>
  <si>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</si>
  <si>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</si>
  <si>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</si>
  <si>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</si>
  <si>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</si>
  <si>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</si>
  <si>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</si>
  <si>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</si>
  <si>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</si>
  <si>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</si>
  <si>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</si>
  <si>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</si>
  <si>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</si>
  <si>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</si>
  <si>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</si>
  <si>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</si>
  <si>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</si>
  <si>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</si>
  <si>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</si>
  <si>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</si>
  <si>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</si>
  <si>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</si>
  <si>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</si>
  <si>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</si>
  <si>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</si>
  <si>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</si>
  <si>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</si>
  <si>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</si>
  <si>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</si>
  <si>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</si>
  <si>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</si>
  <si>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</si>
  <si>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</si>
  <si>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</si>
  <si>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</si>
  <si>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</si>
  <si>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</si>
  <si>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</si>
  <si>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</si>
  <si>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</si>
  <si>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</si>
  <si>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</si>
  <si>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</si>
  <si>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</si>
  <si>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</si>
  <si>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</si>
  <si>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</si>
  <si>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</si>
  <si>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</si>
  <si>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</si>
  <si>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</si>
  <si>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</si>
  <si>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</si>
  <si>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</si>
  <si>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</si>
  <si>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</si>
  <si>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</si>
  <si>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</si>
  <si>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</si>
  <si>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</si>
  <si>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</si>
  <si>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</si>
  <si>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</si>
  <si>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</si>
  <si>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</si>
  <si>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</si>
  <si>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</si>
  <si>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</si>
  <si>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</si>
  <si>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</si>
  <si>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</si>
  <si>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</si>
  <si>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</si>
  <si>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</si>
  <si>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</si>
  <si>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</si>
  <si>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</si>
  <si>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</si>
  <si>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</si>
  <si>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</si>
  <si>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</si>
  <si>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</si>
  <si>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</si>
  <si>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</si>
  <si>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</si>
  <si>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</si>
  <si>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</si>
  <si>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</si>
  <si>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</si>
  <si>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</si>
  <si>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</si>
  <si>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</si>
  <si>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</si>
  <si>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</si>
  <si>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</si>
  <si>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</si>
  <si>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</si>
  <si>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</si>
  <si>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</si>
  <si>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</si>
  <si>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</si>
  <si>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</si>
  <si>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</si>
  <si>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</si>
  <si>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</si>
  <si>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</si>
  <si>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</si>
  <si>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</si>
  <si>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</si>
  <si>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</si>
  <si>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</si>
  <si>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</si>
  <si>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</si>
  <si>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</si>
  <si>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</si>
  <si>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</si>
  <si>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</si>
  <si>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</si>
  <si>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</si>
  <si>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</si>
  <si>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</si>
  <si>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</si>
  <si>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</si>
  <si>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</si>
  <si>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</si>
  <si>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</si>
  <si>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</si>
  <si>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</si>
  <si>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</si>
  <si>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</si>
  <si>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</si>
  <si>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</si>
  <si>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</si>
  <si>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</si>
  <si>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</si>
  <si>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A</t>
  </si>
  <si>
    <t>Q_cells</t>
  </si>
  <si>
    <t>Q_media_free</t>
  </si>
  <si>
    <t>Q_media</t>
  </si>
  <si>
    <t>F_free_media</t>
  </si>
  <si>
    <t>50 - 500</t>
    <phoneticPr fontId="34" type="noConversion"/>
  </si>
  <si>
    <t>Cisapride</t>
  </si>
  <si>
    <t>81098-60-4</t>
  </si>
  <si>
    <t>Citalopram hydrobromide</t>
  </si>
  <si>
    <t>59729-33-8</t>
  </si>
  <si>
    <t>Disopyramide phosphate</t>
  </si>
  <si>
    <t>22059-60-5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</si>
  <si>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</si>
  <si>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</si>
  <si>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</si>
  <si>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</si>
  <si>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</si>
  <si>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</si>
  <si>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</si>
  <si>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</si>
  <si>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</si>
  <si>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</si>
  <si>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</si>
  <si>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</si>
  <si>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Vernakalant</t>
  </si>
  <si>
    <t>748810-28-8</t>
  </si>
  <si>
    <t>Cabazitaxel</t>
  </si>
  <si>
    <t>183133-96-2</t>
  </si>
  <si>
    <t>Lamotrigine</t>
  </si>
  <si>
    <t>84057-84-1</t>
  </si>
  <si>
    <t>Mifepristone</t>
  </si>
  <si>
    <t>84371-65-3</t>
  </si>
  <si>
    <t>B</t>
  </si>
  <si>
    <t>B</t>
    <phoneticPr fontId="24" type="noConversion"/>
  </si>
  <si>
    <t>N</t>
    <phoneticPr fontId="24" type="noConversion"/>
  </si>
  <si>
    <t>A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</si>
</sst>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b/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82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2" applyFont="1" applyBorder="1">
      <protection locked="0"/>
    </xf>
    <xf numFmtId="2" fontId="30" fillId="0" borderId="0" xfId="0" applyNumberFormat="1" applyFont="1" applyAlignment="1">
      <alignment horizontal="center"/>
    </xf>
    <xf numFmtId="176" fontId="30" fillId="0" borderId="0" xfId="0" applyNumberFormat="1" applyFont="1" applyAlignment="1">
      <alignment horizontal="center"/>
    </xf>
    <xf numFmtId="11" fontId="30" fillId="0" borderId="0" xfId="0" applyNumberFormat="1" applyFont="1" applyAlignment="1">
      <alignment horizontal="center"/>
    </xf>
    <xf numFmtId="10" fontId="35" fillId="0" borderId="0" xfId="0" applyNumberFormat="1" applyFont="1" applyAlignment="1">
      <alignment horizontal="left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8" fillId="0" borderId="0" xfId="2" applyFill="1" applyBorder="1">
      <protection locked="0"/>
    </xf>
    <xf numFmtId="2" fontId="1" fillId="0" borderId="0" xfId="0" applyNumberFormat="1" applyFont="1" applyFill="1" applyAlignment="1">
      <alignment horizontal="center"/>
    </xf>
    <xf numFmtId="11" fontId="1" fillId="0" borderId="0" xfId="0" applyNumberFormat="1" applyFont="1" applyFill="1" applyAlignment="1">
      <alignment horizontal="center"/>
    </xf>
    <xf numFmtId="11" fontId="13" fillId="0" borderId="0" xfId="0" applyNumberFormat="1" applyFont="1" applyFill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4" sqref="Z14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281</v>
      </c>
      <c r="B2" s="103" t="s">
        <v>282</v>
      </c>
      <c r="C2" s="127"/>
      <c r="D2" s="107">
        <v>465.95</v>
      </c>
      <c r="E2" s="107">
        <v>199.43</v>
      </c>
      <c r="F2" s="103"/>
      <c r="G2" s="103" t="s">
        <v>308</v>
      </c>
      <c r="H2" s="107">
        <v>7.8</v>
      </c>
      <c r="I2" s="103">
        <v>3.49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3">
        <v>-14.414999999999999</v>
      </c>
      <c r="U2" s="103"/>
      <c r="V2" s="103">
        <v>33.200000000000003</v>
      </c>
      <c r="W2" s="115"/>
      <c r="X2" s="107"/>
      <c r="Y2" s="103"/>
      <c r="Z2" s="115">
        <v>10</v>
      </c>
    </row>
    <row r="3" spans="1:27" s="102" customFormat="1">
      <c r="A3" s="102" t="s">
        <v>283</v>
      </c>
      <c r="B3" s="103" t="s">
        <v>284</v>
      </c>
      <c r="C3" s="127"/>
      <c r="D3" s="107">
        <v>324.39</v>
      </c>
      <c r="E3" s="107">
        <v>153.36699999999999</v>
      </c>
      <c r="F3" s="103"/>
      <c r="G3" s="103" t="s">
        <v>309</v>
      </c>
      <c r="H3" s="107"/>
      <c r="I3" s="103">
        <v>3.2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3">
        <v>-8.3559999999999999</v>
      </c>
      <c r="U3" s="103"/>
      <c r="V3" s="103">
        <v>30</v>
      </c>
      <c r="W3" s="115"/>
      <c r="X3" s="107"/>
      <c r="Y3" s="103"/>
      <c r="Z3" s="115">
        <v>10</v>
      </c>
      <c r="AA3" s="18"/>
    </row>
    <row r="4" spans="1:27" s="169" customFormat="1">
      <c r="A4" s="169" t="s">
        <v>285</v>
      </c>
      <c r="B4" s="170" t="s">
        <v>286</v>
      </c>
      <c r="C4" s="171"/>
      <c r="D4" s="172">
        <v>1</v>
      </c>
      <c r="E4" s="172">
        <v>1</v>
      </c>
      <c r="F4" s="173"/>
      <c r="G4" s="170" t="s">
        <v>310</v>
      </c>
      <c r="H4" s="172">
        <v>5.4</v>
      </c>
      <c r="I4" s="170">
        <v>1</v>
      </c>
      <c r="J4" s="172"/>
      <c r="K4" s="170"/>
      <c r="L4" s="170"/>
      <c r="M4" s="170"/>
      <c r="N4" s="170"/>
      <c r="O4" s="170"/>
      <c r="P4" s="170"/>
      <c r="Q4" s="170"/>
      <c r="R4" s="172"/>
      <c r="S4" s="172"/>
      <c r="T4" s="170">
        <v>1</v>
      </c>
      <c r="U4" s="170"/>
      <c r="V4" s="170">
        <v>1</v>
      </c>
      <c r="W4" s="174"/>
      <c r="X4" s="170"/>
      <c r="Y4" s="170"/>
      <c r="Z4" s="174">
        <v>10</v>
      </c>
    </row>
    <row r="5" spans="1:27" s="102" customFormat="1">
      <c r="A5" s="102" t="s">
        <v>287</v>
      </c>
      <c r="B5" s="103" t="s">
        <v>288</v>
      </c>
      <c r="C5" s="127"/>
      <c r="D5" s="107">
        <v>441.56</v>
      </c>
      <c r="E5" s="107">
        <v>230.64</v>
      </c>
      <c r="F5" s="103"/>
      <c r="G5" s="103" t="s">
        <v>308</v>
      </c>
      <c r="H5" s="107">
        <v>8.4</v>
      </c>
      <c r="I5" s="103">
        <v>2.2229999999999999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3">
        <v>-13.462</v>
      </c>
      <c r="U5" s="103"/>
      <c r="V5" s="103">
        <v>249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289</v>
      </c>
      <c r="B6" s="103" t="s">
        <v>290</v>
      </c>
      <c r="C6" s="128"/>
      <c r="D6" s="107">
        <v>401.43</v>
      </c>
      <c r="E6" s="107">
        <v>266.85700000000003</v>
      </c>
      <c r="F6" s="104"/>
      <c r="G6" s="103" t="s">
        <v>310</v>
      </c>
      <c r="H6" s="107">
        <v>6</v>
      </c>
      <c r="I6" s="103">
        <v>1.1299999999999999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3">
        <v>-14.842000000000001</v>
      </c>
      <c r="U6" s="103"/>
      <c r="V6" s="103">
        <v>724</v>
      </c>
      <c r="W6" s="115"/>
      <c r="X6" s="107"/>
      <c r="Y6" s="129"/>
      <c r="Z6" s="115">
        <v>10</v>
      </c>
    </row>
    <row r="7" spans="1:27" s="102" customFormat="1" ht="13.15">
      <c r="A7" s="102" t="s">
        <v>291</v>
      </c>
      <c r="B7" s="103" t="s">
        <v>292</v>
      </c>
      <c r="C7" s="127"/>
      <c r="D7" s="107">
        <v>277.36</v>
      </c>
      <c r="E7" s="107">
        <v>174.12299999999999</v>
      </c>
      <c r="F7" s="103"/>
      <c r="G7" s="103" t="s">
        <v>308</v>
      </c>
      <c r="H7" s="107">
        <v>9.1999999999999993</v>
      </c>
      <c r="I7" s="103">
        <v>1.1805000000000001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3">
        <v>-12.236000000000001</v>
      </c>
      <c r="U7" s="103"/>
      <c r="V7" s="103">
        <v>8240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293</v>
      </c>
      <c r="B8" s="103" t="s">
        <v>294</v>
      </c>
      <c r="C8" s="127"/>
      <c r="D8" s="107">
        <v>324.42</v>
      </c>
      <c r="E8" s="107">
        <v>180.1</v>
      </c>
      <c r="F8" s="104"/>
      <c r="G8" s="103" t="s">
        <v>308</v>
      </c>
      <c r="H8" s="107">
        <v>9.3000000000000007</v>
      </c>
      <c r="I8" s="103">
        <v>3.2269999999999999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3">
        <v>-10.922000000000001</v>
      </c>
      <c r="U8" s="103"/>
      <c r="V8" s="103">
        <v>743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295</v>
      </c>
      <c r="B9" s="103" t="s">
        <v>296</v>
      </c>
      <c r="C9" s="127"/>
      <c r="D9" s="107">
        <v>313.42</v>
      </c>
      <c r="E9" s="107">
        <v>177.47300000000001</v>
      </c>
      <c r="F9" s="104"/>
      <c r="G9" s="103" t="s">
        <v>308</v>
      </c>
      <c r="H9" s="107">
        <v>9.1</v>
      </c>
      <c r="I9" s="103">
        <v>1.1000000000000001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3">
        <v>-12.441000000000001</v>
      </c>
      <c r="U9" s="103"/>
      <c r="V9" s="103">
        <v>11000</v>
      </c>
      <c r="W9" s="115"/>
      <c r="X9" s="107"/>
      <c r="Y9" s="103"/>
      <c r="Z9" s="115">
        <v>10</v>
      </c>
    </row>
    <row r="10" spans="1:27" s="102" customFormat="1">
      <c r="A10" s="102" t="s">
        <v>297</v>
      </c>
      <c r="B10" s="103" t="s">
        <v>298</v>
      </c>
      <c r="C10" s="127"/>
      <c r="D10" s="107">
        <v>272.36</v>
      </c>
      <c r="E10" s="107">
        <v>165.84</v>
      </c>
      <c r="F10" s="103"/>
      <c r="G10" s="103" t="s">
        <v>308</v>
      </c>
      <c r="H10" s="107">
        <v>9</v>
      </c>
      <c r="I10" s="103">
        <v>0.23300000000000001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3">
        <v>-11.577999999999999</v>
      </c>
      <c r="U10" s="103"/>
      <c r="V10" s="103">
        <v>47100</v>
      </c>
      <c r="W10" s="115"/>
      <c r="X10" s="107"/>
      <c r="Y10" s="103"/>
      <c r="Z10" s="115">
        <v>10</v>
      </c>
    </row>
    <row r="11" spans="1:27" s="169" customFormat="1">
      <c r="A11" s="169" t="s">
        <v>299</v>
      </c>
      <c r="B11" s="170" t="s">
        <v>300</v>
      </c>
      <c r="C11" s="171"/>
      <c r="D11" s="172">
        <v>1</v>
      </c>
      <c r="E11" s="172">
        <v>1</v>
      </c>
      <c r="F11" s="170"/>
      <c r="G11" s="170" t="s">
        <v>309</v>
      </c>
      <c r="H11" s="172">
        <v>8.8000000000000007</v>
      </c>
      <c r="I11" s="170">
        <v>1</v>
      </c>
      <c r="J11" s="172"/>
      <c r="K11" s="170"/>
      <c r="L11" s="170"/>
      <c r="M11" s="170"/>
      <c r="N11" s="170"/>
      <c r="O11" s="170"/>
      <c r="P11" s="170"/>
      <c r="Q11" s="170"/>
      <c r="R11" s="172"/>
      <c r="S11" s="172"/>
      <c r="T11" s="170">
        <v>1</v>
      </c>
      <c r="U11" s="170"/>
      <c r="V11" s="170">
        <v>1</v>
      </c>
      <c r="W11" s="174"/>
      <c r="X11" s="172"/>
      <c r="Y11" s="170"/>
      <c r="Z11" s="174">
        <v>10</v>
      </c>
    </row>
    <row r="12" spans="1:27" s="169" customFormat="1" ht="13.15">
      <c r="A12" s="169" t="s">
        <v>301</v>
      </c>
      <c r="B12" s="170" t="s">
        <v>302</v>
      </c>
      <c r="C12" s="171"/>
      <c r="D12" s="172">
        <v>1</v>
      </c>
      <c r="E12" s="172">
        <v>1</v>
      </c>
      <c r="F12" s="173"/>
      <c r="G12" s="170" t="s">
        <v>309</v>
      </c>
      <c r="H12" s="172"/>
      <c r="I12" s="170">
        <v>1</v>
      </c>
      <c r="J12" s="172"/>
      <c r="K12" s="170"/>
      <c r="L12" s="170"/>
      <c r="M12" s="170"/>
      <c r="N12" s="170"/>
      <c r="O12" s="170"/>
      <c r="P12" s="170"/>
      <c r="Q12" s="170"/>
      <c r="R12" s="172"/>
      <c r="S12" s="172"/>
      <c r="T12" s="170">
        <v>1</v>
      </c>
      <c r="U12" s="170"/>
      <c r="V12" s="170">
        <v>1</v>
      </c>
      <c r="W12" s="174"/>
      <c r="X12" s="172"/>
      <c r="Y12" s="170"/>
      <c r="Z12" s="174">
        <v>10</v>
      </c>
      <c r="AA12" s="175"/>
    </row>
    <row r="13" spans="1:27" s="176" customFormat="1">
      <c r="A13" s="176" t="s">
        <v>303</v>
      </c>
      <c r="B13" s="177" t="s">
        <v>304</v>
      </c>
      <c r="C13" s="178"/>
      <c r="D13" s="179">
        <v>256.08999999999997</v>
      </c>
      <c r="E13" s="179">
        <v>207</v>
      </c>
      <c r="F13" s="177"/>
      <c r="G13" s="177" t="s">
        <v>308</v>
      </c>
      <c r="H13" s="179">
        <v>6.6</v>
      </c>
      <c r="I13" s="177">
        <v>2.57</v>
      </c>
      <c r="J13" s="179"/>
      <c r="K13" s="177"/>
      <c r="L13" s="177"/>
      <c r="M13" s="177"/>
      <c r="N13" s="177"/>
      <c r="O13" s="177"/>
      <c r="P13" s="177"/>
      <c r="Q13" s="177"/>
      <c r="R13" s="179"/>
      <c r="S13" s="179"/>
      <c r="T13" s="177">
        <v>-9.6999999999999993</v>
      </c>
      <c r="U13" s="177"/>
      <c r="V13" s="177">
        <v>249.94383999999999</v>
      </c>
      <c r="W13" s="180"/>
      <c r="X13" s="179"/>
      <c r="Y13" s="177"/>
      <c r="Z13" s="180">
        <v>10</v>
      </c>
      <c r="AA13" s="181"/>
    </row>
    <row r="14" spans="1:27" s="102" customFormat="1">
      <c r="A14" s="102" t="s">
        <v>305</v>
      </c>
      <c r="B14" s="103" t="s">
        <v>306</v>
      </c>
      <c r="C14" s="127"/>
      <c r="D14" s="107">
        <v>429.59</v>
      </c>
      <c r="E14" s="107">
        <v>241.96700000000001</v>
      </c>
      <c r="F14" s="104"/>
      <c r="G14" s="103" t="s">
        <v>309</v>
      </c>
      <c r="H14" s="107"/>
      <c r="I14" s="103">
        <v>4.8769999999999998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3">
        <v>-11.407</v>
      </c>
      <c r="U14" s="103"/>
      <c r="V14" s="103">
        <v>0.82599999999999996</v>
      </c>
      <c r="W14" s="115"/>
      <c r="X14" s="103"/>
      <c r="Y14" s="103"/>
      <c r="Z14" s="115">
        <v>10</v>
      </c>
      <c r="AA14" s="101"/>
    </row>
    <row r="15" spans="1:27" s="102" customFormat="1">
      <c r="B15" s="103"/>
      <c r="C15" s="127"/>
      <c r="D15" s="104"/>
      <c r="E15" s="104"/>
      <c r="F15" s="103"/>
      <c r="G15" s="104"/>
      <c r="H15" s="107"/>
      <c r="I15" s="107"/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/>
      <c r="U15" s="103"/>
      <c r="V15" s="115"/>
      <c r="W15" s="115"/>
      <c r="X15" s="107"/>
      <c r="Y15" s="103"/>
      <c r="Z15" s="115"/>
      <c r="AA15" s="18"/>
    </row>
    <row r="16" spans="1:27" s="102" customFormat="1">
      <c r="B16" s="103"/>
      <c r="C16" s="127"/>
      <c r="D16" s="104"/>
      <c r="E16" s="104"/>
      <c r="F16" s="104"/>
      <c r="G16" s="104"/>
      <c r="H16" s="107"/>
      <c r="I16" s="107"/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/>
      <c r="U16" s="103"/>
      <c r="V16" s="115"/>
      <c r="W16" s="115"/>
      <c r="X16" s="103"/>
      <c r="Y16" s="103"/>
      <c r="Z16" s="115"/>
      <c r="AA16" s="101"/>
    </row>
    <row r="17" spans="2:30" s="102" customFormat="1">
      <c r="B17" s="103"/>
      <c r="C17" s="128"/>
      <c r="D17" s="104"/>
      <c r="E17" s="104"/>
      <c r="F17" s="103"/>
      <c r="G17" s="104"/>
      <c r="H17" s="107"/>
      <c r="I17" s="107"/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/>
      <c r="U17" s="103"/>
      <c r="V17" s="115"/>
      <c r="W17" s="115"/>
      <c r="X17" s="107"/>
      <c r="Y17" s="103"/>
      <c r="Z17" s="115"/>
    </row>
    <row r="18" spans="2:30" s="102" customFormat="1">
      <c r="B18" s="103"/>
      <c r="C18" s="127"/>
      <c r="D18" s="104"/>
      <c r="E18" s="104"/>
      <c r="F18" s="104"/>
      <c r="G18" s="104"/>
      <c r="H18" s="107"/>
      <c r="I18" s="107"/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/>
      <c r="U18" s="103"/>
      <c r="V18" s="115"/>
      <c r="W18" s="115"/>
      <c r="X18" s="103"/>
      <c r="Y18" s="103"/>
      <c r="Z18" s="115"/>
      <c r="AA18" s="101"/>
    </row>
    <row r="19" spans="2:30" s="102" customFormat="1">
      <c r="B19" s="103"/>
      <c r="C19" s="127"/>
      <c r="D19" s="104"/>
      <c r="E19" s="104"/>
      <c r="F19" s="103"/>
      <c r="G19" s="104"/>
      <c r="H19" s="107"/>
      <c r="I19" s="107"/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/>
      <c r="U19" s="103"/>
      <c r="V19" s="115"/>
      <c r="W19" s="115"/>
      <c r="X19" s="107"/>
      <c r="Y19" s="103"/>
      <c r="Z19" s="115"/>
      <c r="AA19" s="112"/>
    </row>
    <row r="20" spans="2:30" s="102" customFormat="1">
      <c r="B20" s="103"/>
      <c r="C20" s="127"/>
      <c r="D20" s="104"/>
      <c r="E20" s="104"/>
      <c r="F20" s="104"/>
      <c r="G20" s="104"/>
      <c r="H20" s="107"/>
      <c r="I20" s="107"/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/>
      <c r="U20" s="103"/>
      <c r="V20" s="115"/>
      <c r="W20" s="115"/>
      <c r="X20" s="107"/>
      <c r="Y20" s="103"/>
      <c r="Z20" s="115"/>
      <c r="AD20" s="112"/>
    </row>
    <row r="21" spans="2:30" s="102" customFormat="1">
      <c r="B21" s="103"/>
      <c r="C21" s="128"/>
      <c r="D21" s="104"/>
      <c r="E21" s="104"/>
      <c r="F21" s="103"/>
      <c r="G21" s="104"/>
      <c r="H21" s="107"/>
      <c r="I21" s="107"/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/>
      <c r="U21" s="103"/>
      <c r="V21" s="115"/>
      <c r="W21" s="115"/>
      <c r="X21" s="107"/>
      <c r="Y21" s="103"/>
      <c r="Z21" s="115"/>
      <c r="AA21" s="112"/>
    </row>
    <row r="22" spans="2:30" s="102" customFormat="1">
      <c r="B22" s="103"/>
      <c r="C22" s="127"/>
      <c r="D22" s="104"/>
      <c r="E22" s="104"/>
      <c r="F22" s="103"/>
      <c r="G22" s="104"/>
      <c r="H22" s="107"/>
      <c r="I22" s="107"/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/>
      <c r="U22" s="103"/>
      <c r="V22" s="115"/>
      <c r="W22" s="115"/>
      <c r="X22" s="107"/>
      <c r="Y22" s="103"/>
      <c r="Z22" s="115"/>
    </row>
    <row r="23" spans="2:30" s="102" customFormat="1">
      <c r="B23" s="103"/>
      <c r="C23" s="128"/>
      <c r="D23" s="104"/>
      <c r="E23" s="104"/>
      <c r="F23" s="103"/>
      <c r="G23" s="104"/>
      <c r="H23" s="107"/>
      <c r="I23" s="107"/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/>
      <c r="U23" s="103"/>
      <c r="V23" s="115"/>
      <c r="W23" s="115"/>
      <c r="X23" s="107"/>
      <c r="Y23" s="103"/>
      <c r="Z23" s="115"/>
      <c r="AA23" s="131"/>
    </row>
    <row r="24" spans="2:30" s="102" customFormat="1">
      <c r="B24" s="103"/>
      <c r="C24" s="127"/>
      <c r="D24" s="104"/>
      <c r="E24" s="104"/>
      <c r="F24" s="103"/>
      <c r="G24" s="104"/>
      <c r="H24" s="107"/>
      <c r="I24" s="107"/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/>
      <c r="U24" s="103"/>
      <c r="V24" s="115"/>
      <c r="W24" s="115"/>
      <c r="X24" s="107"/>
      <c r="Y24" s="103"/>
      <c r="Z24" s="115"/>
    </row>
    <row r="25" spans="2:30" s="102" customFormat="1">
      <c r="B25" s="103"/>
      <c r="C25" s="128"/>
      <c r="D25" s="104"/>
      <c r="E25" s="104"/>
      <c r="F25" s="103"/>
      <c r="G25" s="104"/>
      <c r="H25" s="107"/>
      <c r="I25" s="107"/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/>
      <c r="U25" s="103"/>
      <c r="V25" s="115"/>
      <c r="W25" s="115"/>
      <c r="X25" s="107"/>
      <c r="Y25" s="103"/>
      <c r="Z25" s="115"/>
      <c r="AA25" s="18"/>
    </row>
    <row r="26" spans="2:30" s="102" customFormat="1">
      <c r="B26" s="103"/>
      <c r="C26" s="127"/>
      <c r="D26" s="104"/>
      <c r="E26" s="104"/>
      <c r="F26" s="104"/>
      <c r="G26" s="104"/>
      <c r="H26" s="107"/>
      <c r="I26" s="107"/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/>
      <c r="U26" s="103"/>
      <c r="V26" s="115"/>
      <c r="W26" s="115"/>
      <c r="X26" s="107"/>
      <c r="Y26" s="103"/>
      <c r="Z26" s="115"/>
      <c r="AA26" s="112"/>
      <c r="AD26" s="112"/>
    </row>
    <row r="27" spans="2:30" s="102" customFormat="1">
      <c r="B27" s="103"/>
      <c r="C27" s="128"/>
      <c r="D27" s="104"/>
      <c r="E27" s="104"/>
      <c r="F27" s="103"/>
      <c r="G27" s="104"/>
      <c r="H27" s="107"/>
      <c r="I27" s="107"/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/>
      <c r="U27" s="103"/>
      <c r="V27" s="115"/>
      <c r="W27" s="115"/>
      <c r="X27" s="107"/>
      <c r="Y27" s="103"/>
      <c r="Z27" s="115"/>
      <c r="AA27" s="112"/>
    </row>
    <row r="28" spans="2:30" s="102" customFormat="1" ht="13.15">
      <c r="B28" s="103"/>
      <c r="C28" s="128"/>
      <c r="D28" s="104"/>
      <c r="E28" s="104"/>
      <c r="F28" s="103"/>
      <c r="G28" s="104"/>
      <c r="H28" s="107"/>
      <c r="I28" s="107"/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/>
      <c r="U28" s="103"/>
      <c r="V28" s="115"/>
      <c r="W28" s="115"/>
      <c r="X28" s="107"/>
      <c r="Y28" s="103"/>
      <c r="Z28" s="115"/>
      <c r="AA28" s="24"/>
    </row>
    <row r="29" spans="2:30" s="102" customFormat="1">
      <c r="B29" s="103"/>
      <c r="C29" s="127"/>
      <c r="D29" s="104"/>
      <c r="E29" s="104"/>
      <c r="F29" s="103"/>
      <c r="G29" s="104"/>
      <c r="H29" s="107"/>
      <c r="I29" s="107"/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/>
      <c r="U29" s="103"/>
      <c r="V29" s="115"/>
      <c r="W29" s="115"/>
      <c r="X29" s="107"/>
      <c r="Y29" s="103"/>
      <c r="Z29" s="115"/>
      <c r="AA29" s="112"/>
    </row>
    <row r="30" spans="2:30" s="102" customFormat="1">
      <c r="B30" s="103"/>
      <c r="C30" s="127"/>
      <c r="D30" s="104"/>
      <c r="E30" s="104"/>
      <c r="F30" s="103"/>
      <c r="G30" s="104"/>
      <c r="H30" s="107"/>
      <c r="I30" s="107"/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/>
      <c r="U30" s="103"/>
      <c r="V30" s="115"/>
      <c r="W30" s="115"/>
      <c r="X30" s="107"/>
      <c r="Y30" s="103"/>
      <c r="Z30" s="115"/>
      <c r="AA30" s="112"/>
    </row>
    <row r="31" spans="2:30" s="102" customFormat="1">
      <c r="B31" s="103"/>
      <c r="C31" s="127"/>
      <c r="D31" s="104"/>
      <c r="E31" s="104"/>
      <c r="F31" s="103"/>
      <c r="G31" s="104"/>
      <c r="H31" s="107"/>
      <c r="I31" s="107"/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/>
      <c r="U31" s="103"/>
      <c r="V31" s="115"/>
      <c r="W31" s="115"/>
      <c r="X31" s="107"/>
      <c r="Y31" s="103"/>
      <c r="Z31" s="115"/>
      <c r="AA31" s="112"/>
    </row>
    <row r="32" spans="2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0.23804175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0.05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2.8500000000000001E-2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21.65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9.5000000000000005E-5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7.9347249999999999E-4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280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4" sqref="N14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281</v>
      </c>
      <c r="B2" s="66" t="s">
        <v>282</v>
      </c>
      <c r="D2" s="66" t="s">
        <v>307</v>
      </c>
      <c r="E2" s="132">
        <v>7.8</v>
      </c>
      <c r="F2" s="67" t="s">
        <v>231</v>
      </c>
      <c r="G2" s="67" t="s">
        <v>231</v>
      </c>
      <c r="H2" s="67" t="s">
        <v>231</v>
      </c>
      <c r="I2" s="68">
        <v>5.2107827900852344E-4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283</v>
      </c>
      <c r="B3" s="66" t="s">
        <v>284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2.8331070094144142E-3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285</v>
      </c>
      <c r="B4" s="66" t="s">
        <v>286</v>
      </c>
      <c r="D4" s="66" t="s">
        <v>275</v>
      </c>
      <c r="E4" s="132">
        <v>5.4</v>
      </c>
      <c r="F4" s="67" t="s">
        <v>231</v>
      </c>
      <c r="G4" s="67" t="s">
        <v>232</v>
      </c>
      <c r="H4" s="67" t="s">
        <v>231</v>
      </c>
      <c r="I4" s="68">
        <v>5.3378138472598061E-6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287</v>
      </c>
      <c r="B5" s="66" t="s">
        <v>288</v>
      </c>
      <c r="D5" s="66" t="s">
        <v>307</v>
      </c>
      <c r="E5" s="132">
        <v>8.4</v>
      </c>
      <c r="F5" s="67" t="s">
        <v>231</v>
      </c>
      <c r="G5" s="67" t="s">
        <v>231</v>
      </c>
      <c r="H5" s="67" t="s">
        <v>231</v>
      </c>
      <c r="I5" s="68">
        <v>1.7699790312663868E-5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289</v>
      </c>
      <c r="B6" s="66" t="s">
        <v>290</v>
      </c>
      <c r="D6" s="66" t="s">
        <v>275</v>
      </c>
      <c r="E6" s="132">
        <v>6</v>
      </c>
      <c r="F6" s="67" t="s">
        <v>231</v>
      </c>
      <c r="G6" s="67" t="s">
        <v>231</v>
      </c>
      <c r="H6" s="67" t="s">
        <v>231</v>
      </c>
      <c r="I6" s="68">
        <v>1.0626255549924064E-6</v>
      </c>
      <c r="J6" s="67" t="s">
        <v>231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291</v>
      </c>
      <c r="B7" s="66" t="s">
        <v>292</v>
      </c>
      <c r="D7" s="66" t="s">
        <v>307</v>
      </c>
      <c r="E7" s="132">
        <v>9.1999999999999993</v>
      </c>
      <c r="F7" s="67" t="s">
        <v>231</v>
      </c>
      <c r="G7" s="67" t="s">
        <v>231</v>
      </c>
      <c r="H7" s="67" t="s">
        <v>231</v>
      </c>
      <c r="I7" s="68">
        <v>2.0136854642863205E-7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293</v>
      </c>
      <c r="B8" s="66" t="s">
        <v>294</v>
      </c>
      <c r="D8" s="66" t="s">
        <v>307</v>
      </c>
      <c r="E8" s="132">
        <v>9.3000000000000007</v>
      </c>
      <c r="F8" s="67" t="s">
        <v>231</v>
      </c>
      <c r="G8" s="67" t="s">
        <v>231</v>
      </c>
      <c r="H8" s="67" t="s">
        <v>231</v>
      </c>
      <c r="I8" s="68">
        <v>1.7573280307913019E-6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295</v>
      </c>
      <c r="B9" s="66" t="s">
        <v>296</v>
      </c>
      <c r="D9" s="66" t="s">
        <v>307</v>
      </c>
      <c r="E9" s="132">
        <v>9.1</v>
      </c>
      <c r="F9" s="67" t="s">
        <v>231</v>
      </c>
      <c r="G9" s="67" t="s">
        <v>231</v>
      </c>
      <c r="H9" s="67" t="s">
        <v>231</v>
      </c>
      <c r="I9" s="68">
        <v>1.9836986249749217E-7</v>
      </c>
      <c r="J9" s="67" t="s">
        <v>231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297</v>
      </c>
      <c r="B10" s="66" t="s">
        <v>298</v>
      </c>
      <c r="D10" s="66" t="s">
        <v>307</v>
      </c>
      <c r="E10" s="132">
        <v>9</v>
      </c>
      <c r="F10" s="67" t="s">
        <v>231</v>
      </c>
      <c r="G10" s="67" t="s">
        <v>231</v>
      </c>
      <c r="H10" s="67" t="s">
        <v>231</v>
      </c>
      <c r="I10" s="68">
        <v>6.4348305653397427E-8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299</v>
      </c>
      <c r="B11" s="66" t="s">
        <v>300</v>
      </c>
      <c r="D11" s="66" t="s">
        <v>176</v>
      </c>
      <c r="F11" s="67" t="s">
        <v>231</v>
      </c>
      <c r="G11" s="67" t="s">
        <v>232</v>
      </c>
      <c r="H11" s="67" t="s">
        <v>231</v>
      </c>
      <c r="I11" s="68">
        <v>5.7348401494124241E-6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301</v>
      </c>
      <c r="B12" s="66" t="s">
        <v>302</v>
      </c>
      <c r="D12" s="66" t="s">
        <v>176</v>
      </c>
      <c r="F12" s="67" t="s">
        <v>231</v>
      </c>
      <c r="G12" s="67" t="s">
        <v>232</v>
      </c>
      <c r="H12" s="67" t="s">
        <v>231</v>
      </c>
      <c r="I12" s="68">
        <v>5.7348401494124241E-6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303</v>
      </c>
      <c r="B13" s="66" t="s">
        <v>304</v>
      </c>
      <c r="D13" s="66" t="s">
        <v>307</v>
      </c>
      <c r="E13" s="132">
        <v>6.6</v>
      </c>
      <c r="F13" s="67" t="s">
        <v>231</v>
      </c>
      <c r="G13" s="67" t="s">
        <v>231</v>
      </c>
      <c r="H13" s="67" t="s">
        <v>231</v>
      </c>
      <c r="I13" s="68">
        <v>1.2005853739428689E-4</v>
      </c>
      <c r="J13" s="67" t="s">
        <v>231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0</v>
      </c>
    </row>
    <row r="14" spans="1:17" ht="15">
      <c r="A14" s="65" t="s">
        <v>305</v>
      </c>
      <c r="B14" s="66" t="s">
        <v>306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1.3950871597609067E-3</v>
      </c>
      <c r="J14" s="67" t="s">
        <v>231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P15" s="109" t="s">
        <v>230</v>
      </c>
      <c r="Q15" s="103">
        <f>COUNTIF(M2:M50000,"&gt;=60")</f>
        <v>0</v>
      </c>
    </row>
    <row r="16" spans="1:17">
      <c r="P16" s="109" t="s">
        <v>197</v>
      </c>
      <c r="Q16" s="103">
        <f>COUNTIF(G2:G50000,"Yes")</f>
        <v>3</v>
      </c>
    </row>
    <row r="17" spans="2:18">
      <c r="Q17" s="103">
        <f>COUNT(I2:I50000)</f>
        <v>13</v>
      </c>
      <c r="R17" s="111"/>
    </row>
    <row r="18" spans="2:18">
      <c r="B18" s="167"/>
      <c r="R18" s="111"/>
    </row>
    <row r="19" spans="2:18">
      <c r="P19" s="109" t="s">
        <v>198</v>
      </c>
      <c r="Q19" s="111"/>
      <c r="R19" s="111"/>
    </row>
    <row r="20" spans="2:18">
      <c r="Q20" s="111"/>
      <c r="R20" s="111"/>
    </row>
    <row r="21" spans="2:18">
      <c r="Q21" s="111"/>
      <c r="R21" s="111"/>
    </row>
    <row r="22" spans="2:18">
      <c r="Q22" s="111"/>
      <c r="R22" s="111"/>
    </row>
    <row r="23" spans="2:18">
      <c r="Q23" s="111"/>
      <c r="R23" s="111"/>
    </row>
    <row r="24" spans="2:18">
      <c r="Q24" s="111"/>
      <c r="R24" s="111"/>
    </row>
    <row r="25" spans="2:18">
      <c r="Q25" s="111"/>
      <c r="R25" s="111"/>
    </row>
    <row r="26" spans="2:18">
      <c r="Q26" s="111"/>
      <c r="R26" s="111"/>
    </row>
    <row r="27" spans="2:18">
      <c r="Q27" s="111"/>
      <c r="R27" s="111"/>
    </row>
    <row r="28" spans="2:18">
      <c r="Q28" s="111"/>
      <c r="R28" s="111"/>
    </row>
    <row r="29" spans="2:18">
      <c r="Q29" s="111"/>
      <c r="R29" s="111"/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tabSelected="1" workbookViewId="0">
      <pane ySplit="1" topLeftCell="A2" activePane="bottomLeft" state="frozen"/>
      <selection pane="bottomLeft" activeCell="L13" sqref="L1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281</v>
      </c>
      <c r="B2" s="16" t="s">
        <v>282</v>
      </c>
      <c r="D2" s="14">
        <v>10</v>
      </c>
      <c r="E2" s="14">
        <v>8.1847313649705349</v>
      </c>
      <c r="F2" s="14">
        <v>5.7323225524375099</v>
      </c>
      <c r="G2" s="14">
        <v>1.7476668330292144E-14</v>
      </c>
      <c r="H2" s="14">
        <v>2614.2851161832641</v>
      </c>
      <c r="I2" s="14">
        <v>4033.0365961186271</v>
      </c>
      <c r="J2" s="14">
        <v>0</v>
      </c>
      <c r="K2" s="14">
        <v>1.7444935989772208</v>
      </c>
      <c r="L2" s="14">
        <v>0.57323225524375099</v>
      </c>
      <c r="M2" s="14">
        <v>0.47033706542749765</v>
      </c>
      <c r="N2" s="14">
        <v>0</v>
      </c>
      <c r="O2" s="14">
        <v>0</v>
      </c>
      <c r="P2" s="8">
        <v>0</v>
      </c>
      <c r="Q2" s="54">
        <v>2.7229029525428889</v>
      </c>
      <c r="S2" s="102"/>
    </row>
    <row r="3" spans="1:20">
      <c r="A3" s="2" t="s">
        <v>283</v>
      </c>
      <c r="B3" s="16" t="s">
        <v>284</v>
      </c>
      <c r="D3" s="14">
        <v>10</v>
      </c>
      <c r="E3" s="14">
        <v>6.7900089582486149</v>
      </c>
      <c r="F3" s="14">
        <v>4.2153880529636671</v>
      </c>
      <c r="G3" s="14">
        <v>5.1495116857529991E-8</v>
      </c>
      <c r="H3" s="14">
        <v>2612.9888728841861</v>
      </c>
      <c r="I3" s="14">
        <v>5316.1194548130152</v>
      </c>
      <c r="J3" s="14">
        <v>0</v>
      </c>
      <c r="K3" s="14">
        <v>2.372260839181676</v>
      </c>
      <c r="L3" s="14">
        <v>0.42153880529636673</v>
      </c>
      <c r="M3" s="14">
        <v>0.34587258974566887</v>
      </c>
      <c r="N3" s="14">
        <v>0</v>
      </c>
      <c r="O3" s="14">
        <v>0</v>
      </c>
      <c r="P3" s="8">
        <v>0</v>
      </c>
      <c r="Q3" s="54">
        <v>4.8149827004933172</v>
      </c>
      <c r="S3" s="109"/>
      <c r="T3" s="22"/>
    </row>
    <row r="4" spans="1:20">
      <c r="A4" s="2" t="s">
        <v>285</v>
      </c>
      <c r="B4" s="16" t="s">
        <v>286</v>
      </c>
      <c r="D4" s="14">
        <v>10</v>
      </c>
      <c r="E4" s="14">
        <v>0.69922435095097879</v>
      </c>
      <c r="F4" s="14">
        <v>0.69843762519153507</v>
      </c>
      <c r="G4" s="14">
        <v>0.18600933533406208</v>
      </c>
      <c r="H4" s="14">
        <v>1.7669636976288432</v>
      </c>
      <c r="I4" s="14">
        <v>5.5066103420930816E-2</v>
      </c>
      <c r="J4" s="14">
        <v>0</v>
      </c>
      <c r="K4" s="14">
        <v>14.317670811703</v>
      </c>
      <c r="L4" s="14">
        <v>6.9843762519153502E-2</v>
      </c>
      <c r="M4" s="14">
        <v>5.7306807146965448E-2</v>
      </c>
      <c r="N4" s="14">
        <v>0</v>
      </c>
      <c r="O4" s="14">
        <v>0</v>
      </c>
      <c r="P4" s="8">
        <v>0</v>
      </c>
      <c r="Q4" s="54">
        <v>4.6332351887703072E-4</v>
      </c>
      <c r="S4" s="102"/>
    </row>
    <row r="5" spans="1:20">
      <c r="A5" s="2" t="s">
        <v>287</v>
      </c>
      <c r="B5" s="16" t="s">
        <v>288</v>
      </c>
      <c r="D5" s="14">
        <v>10</v>
      </c>
      <c r="E5" s="14">
        <v>9.8108097542578268</v>
      </c>
      <c r="F5" s="14">
        <v>9.7327668951007347</v>
      </c>
      <c r="G5" s="14">
        <v>8.3543011132899495E-14</v>
      </c>
      <c r="H5" s="14">
        <v>95.312888760679314</v>
      </c>
      <c r="I5" s="14">
        <v>116.44209226464551</v>
      </c>
      <c r="J5" s="14">
        <v>0</v>
      </c>
      <c r="K5" s="14">
        <v>1.0274570538655134</v>
      </c>
      <c r="L5" s="14">
        <v>0.9732766895100734</v>
      </c>
      <c r="M5" s="14">
        <v>0.79857352374301527</v>
      </c>
      <c r="N5" s="14">
        <v>0</v>
      </c>
      <c r="O5" s="14">
        <v>0</v>
      </c>
      <c r="P5" s="8">
        <v>0</v>
      </c>
      <c r="Q5" s="54">
        <v>0.28378536860699605</v>
      </c>
      <c r="S5" s="102"/>
    </row>
    <row r="6" spans="1:20">
      <c r="A6" s="2" t="s">
        <v>289</v>
      </c>
      <c r="B6" s="16" t="s">
        <v>290</v>
      </c>
      <c r="D6" s="14">
        <v>10</v>
      </c>
      <c r="E6" s="14">
        <v>9.9802833125310073</v>
      </c>
      <c r="F6" s="14">
        <v>9.9610755783402194</v>
      </c>
      <c r="G6" s="14">
        <v>1.4786331333084816E-15</v>
      </c>
      <c r="H6" s="14">
        <v>34.880783794957814</v>
      </c>
      <c r="I6" s="14">
        <v>4.0098230823201151</v>
      </c>
      <c r="J6" s="14">
        <v>0</v>
      </c>
      <c r="K6" s="14">
        <v>1.0039076524772506</v>
      </c>
      <c r="L6" s="14">
        <v>0.99610755783402183</v>
      </c>
      <c r="M6" s="14">
        <v>0.81730625120281486</v>
      </c>
      <c r="N6" s="14">
        <v>0</v>
      </c>
      <c r="O6" s="14">
        <v>0</v>
      </c>
      <c r="P6" s="8">
        <v>0</v>
      </c>
      <c r="Q6" s="54">
        <v>2.9575031203380953E-2</v>
      </c>
      <c r="S6" s="102"/>
    </row>
    <row r="7" spans="1:20">
      <c r="A7" s="2" t="s">
        <v>291</v>
      </c>
      <c r="B7" s="16" t="s">
        <v>292</v>
      </c>
      <c r="D7" s="14">
        <v>10</v>
      </c>
      <c r="E7" s="14">
        <v>9.9912858857321396</v>
      </c>
      <c r="F7" s="14">
        <v>9.9963963504658544</v>
      </c>
      <c r="G7" s="14">
        <v>2.4424508139288978E-13</v>
      </c>
      <c r="H7" s="14">
        <v>4.5292821225723419</v>
      </c>
      <c r="I7" s="14">
        <v>1.8652390923262554</v>
      </c>
      <c r="J7" s="14">
        <v>0</v>
      </c>
      <c r="K7" s="14">
        <v>1.0003604948631293</v>
      </c>
      <c r="L7" s="14">
        <v>0.99963963504658526</v>
      </c>
      <c r="M7" s="14">
        <v>0.82020432055572323</v>
      </c>
      <c r="N7" s="14">
        <v>0</v>
      </c>
      <c r="O7" s="14">
        <v>0</v>
      </c>
      <c r="P7" s="8">
        <v>0</v>
      </c>
      <c r="Q7" s="54">
        <v>1.3071171383476401E-2</v>
      </c>
    </row>
    <row r="8" spans="1:20">
      <c r="A8" s="2" t="s">
        <v>293</v>
      </c>
      <c r="B8" s="16" t="s">
        <v>294</v>
      </c>
      <c r="D8" s="14">
        <v>10</v>
      </c>
      <c r="E8" s="14">
        <v>9.9059865469515298</v>
      </c>
      <c r="F8" s="14">
        <v>9.3519285567231254</v>
      </c>
      <c r="G8" s="14">
        <v>3.8597426945320238E-12</v>
      </c>
      <c r="H8" s="14">
        <v>689.58341560661256</v>
      </c>
      <c r="I8" s="14">
        <v>160.01520876945904</v>
      </c>
      <c r="J8" s="14">
        <v>0</v>
      </c>
      <c r="K8" s="14">
        <v>1.0692981601972329</v>
      </c>
      <c r="L8" s="14">
        <v>0.93519285567231247</v>
      </c>
      <c r="M8" s="14">
        <v>0.7673257380791324</v>
      </c>
      <c r="N8" s="14">
        <v>0</v>
      </c>
      <c r="O8" s="14">
        <v>0</v>
      </c>
      <c r="P8" s="8">
        <v>0</v>
      </c>
      <c r="Q8" s="54">
        <v>0.14102017928322813</v>
      </c>
    </row>
    <row r="9" spans="1:20">
      <c r="A9" s="2" t="s">
        <v>295</v>
      </c>
      <c r="B9" s="16" t="s">
        <v>296</v>
      </c>
      <c r="D9" s="14">
        <v>10</v>
      </c>
      <c r="E9" s="14">
        <v>9.9902020412833945</v>
      </c>
      <c r="F9" s="14">
        <v>9.9958691872246632</v>
      </c>
      <c r="G9" s="14">
        <v>1.9079590638323494E-13</v>
      </c>
      <c r="H9" s="14">
        <v>3.8190057691720387</v>
      </c>
      <c r="I9" s="14">
        <v>1.9329777894494511</v>
      </c>
      <c r="J9" s="14">
        <v>0</v>
      </c>
      <c r="K9" s="14">
        <v>1.0004132519841913</v>
      </c>
      <c r="L9" s="14">
        <v>0.99958691872246619</v>
      </c>
      <c r="M9" s="14">
        <v>0.82016106681178358</v>
      </c>
      <c r="N9" s="14">
        <v>0</v>
      </c>
      <c r="O9" s="14">
        <v>0</v>
      </c>
      <c r="P9" s="8">
        <v>0</v>
      </c>
      <c r="Q9" s="54">
        <v>1.4696938060601654E-2</v>
      </c>
    </row>
    <row r="10" spans="1:20">
      <c r="A10" s="2" t="s">
        <v>297</v>
      </c>
      <c r="B10" s="16" t="s">
        <v>298</v>
      </c>
      <c r="D10" s="14">
        <v>10</v>
      </c>
      <c r="E10" s="14">
        <v>9.996044510480953</v>
      </c>
      <c r="F10" s="14">
        <v>10.004542378540668</v>
      </c>
      <c r="G10" s="14">
        <v>1.7240485451726827E-12</v>
      </c>
      <c r="H10" s="14">
        <v>0.45382017233975658</v>
      </c>
      <c r="I10" s="14">
        <v>0.32419886321184305</v>
      </c>
      <c r="J10" s="14">
        <v>0</v>
      </c>
      <c r="K10" s="14">
        <v>0.99954596838428023</v>
      </c>
      <c r="L10" s="14">
        <v>1.0004542378540666</v>
      </c>
      <c r="M10" s="14">
        <v>0.82087270215926178</v>
      </c>
      <c r="N10" s="14">
        <v>0</v>
      </c>
      <c r="O10" s="14">
        <v>0</v>
      </c>
      <c r="P10" s="8">
        <v>0</v>
      </c>
      <c r="Q10" s="54">
        <v>5.9332341492724979E-3</v>
      </c>
    </row>
    <row r="11" spans="1:20">
      <c r="A11" s="2" t="s">
        <v>299</v>
      </c>
      <c r="B11" s="16" t="s">
        <v>300</v>
      </c>
      <c r="D11" s="14">
        <v>10</v>
      </c>
      <c r="E11" s="14">
        <v>7.4433391829688703E-3</v>
      </c>
      <c r="F11" s="14">
        <v>7.4295779957547475E-3</v>
      </c>
      <c r="G11" s="14">
        <v>0.19984469952748751</v>
      </c>
      <c r="H11" s="14">
        <v>1.8795944166954945E-2</v>
      </c>
      <c r="I11" s="14">
        <v>5.7348401494124276E-2</v>
      </c>
      <c r="J11" s="14">
        <v>0</v>
      </c>
      <c r="K11" s="14">
        <v>1345.9714677891516</v>
      </c>
      <c r="L11" s="14">
        <v>7.4295779957547466E-4</v>
      </c>
      <c r="M11" s="14">
        <v>6.0959687455167696E-4</v>
      </c>
      <c r="N11" s="14">
        <v>0</v>
      </c>
      <c r="O11" s="14">
        <v>0</v>
      </c>
      <c r="P11" s="8">
        <v>0</v>
      </c>
      <c r="Q11" s="54">
        <v>4.8252666398274248E-4</v>
      </c>
    </row>
    <row r="12" spans="1:20">
      <c r="A12" s="2" t="s">
        <v>301</v>
      </c>
      <c r="B12" s="16" t="s">
        <v>302</v>
      </c>
      <c r="D12" s="14">
        <v>10</v>
      </c>
      <c r="E12" s="14">
        <v>7.4433391829688703E-3</v>
      </c>
      <c r="F12" s="14">
        <v>7.4295779957547475E-3</v>
      </c>
      <c r="G12" s="14">
        <v>0.19984469952748751</v>
      </c>
      <c r="H12" s="14">
        <v>1.8795944166954945E-2</v>
      </c>
      <c r="I12" s="14">
        <v>5.7348401494124276E-2</v>
      </c>
      <c r="J12" s="14">
        <v>0</v>
      </c>
      <c r="K12" s="14">
        <v>1345.9714677891516</v>
      </c>
      <c r="L12" s="14">
        <v>7.4295779957547466E-4</v>
      </c>
      <c r="M12" s="14">
        <v>6.0959687455167696E-4</v>
      </c>
      <c r="N12" s="14">
        <v>0</v>
      </c>
      <c r="O12" s="14">
        <v>0</v>
      </c>
      <c r="P12" s="8">
        <v>0</v>
      </c>
      <c r="Q12" s="54">
        <v>4.8252666398274248E-4</v>
      </c>
    </row>
    <row r="13" spans="1:20">
      <c r="A13" s="2" t="s">
        <v>303</v>
      </c>
      <c r="B13" s="16" t="s">
        <v>304</v>
      </c>
      <c r="D13" s="14">
        <v>10</v>
      </c>
      <c r="E13" s="14">
        <v>7.9365662149148504</v>
      </c>
      <c r="F13" s="14">
        <v>7.1346858979877856</v>
      </c>
      <c r="G13" s="14">
        <v>3.3777796256239843E-9</v>
      </c>
      <c r="H13" s="14">
        <v>802.47581474969877</v>
      </c>
      <c r="I13" s="14">
        <v>1805.0189286798225</v>
      </c>
      <c r="J13" s="14">
        <v>0</v>
      </c>
      <c r="K13" s="14">
        <v>1.401603398240745</v>
      </c>
      <c r="L13" s="14">
        <v>0.71346858979877847</v>
      </c>
      <c r="M13" s="14">
        <v>0.58540097792989776</v>
      </c>
      <c r="N13" s="14">
        <v>0</v>
      </c>
      <c r="O13" s="14">
        <v>0</v>
      </c>
      <c r="P13" s="8">
        <v>0</v>
      </c>
      <c r="Q13" s="54">
        <v>3.0951504242942556</v>
      </c>
    </row>
    <row r="14" spans="1:20">
      <c r="A14" s="2" t="s">
        <v>305</v>
      </c>
      <c r="B14" s="16" t="s">
        <v>306</v>
      </c>
      <c r="D14" s="14">
        <v>10</v>
      </c>
      <c r="E14" s="14">
        <v>8.0097945643894022</v>
      </c>
      <c r="F14" s="14">
        <v>0.29379878557502037</v>
      </c>
      <c r="G14" s="14">
        <v>3.26618277391085E-12</v>
      </c>
      <c r="H14" s="14">
        <v>7566.6212595507459</v>
      </c>
      <c r="I14" s="14">
        <v>18024.746564073877</v>
      </c>
      <c r="J14" s="14">
        <v>0</v>
      </c>
      <c r="K14" s="14">
        <v>34.036900392314728</v>
      </c>
      <c r="L14" s="14">
        <v>2.9379878557502036E-2</v>
      </c>
      <c r="M14" s="14">
        <v>2.4106190356430419E-2</v>
      </c>
      <c r="N14" s="14">
        <v>0</v>
      </c>
      <c r="O14" s="14">
        <v>0</v>
      </c>
      <c r="P14" s="8">
        <v>0</v>
      </c>
      <c r="Q14" s="54">
        <v>2.985308153170934</v>
      </c>
    </row>
    <row r="18" spans="2:21">
      <c r="B18" s="166"/>
    </row>
    <row r="21" spans="2:21">
      <c r="T21" s="22"/>
    </row>
    <row r="22" spans="2:21">
      <c r="T22" s="22"/>
      <c r="U22" s="22"/>
    </row>
    <row r="23" spans="2:21">
      <c r="T23" s="22"/>
      <c r="U23" s="22"/>
    </row>
    <row r="24" spans="2:21">
      <c r="T24" s="22"/>
      <c r="U24" s="22"/>
    </row>
    <row r="25" spans="2:21">
      <c r="T25" s="22"/>
      <c r="U25" s="22"/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8"/>
  <sheetViews>
    <sheetView workbookViewId="0">
      <pane ySplit="1" topLeftCell="A2" activePane="bottomLeft" state="frozen"/>
      <selection pane="bottomLeft" activeCell="L14" sqref="L14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281</v>
      </c>
      <c r="B2" s="3" t="s">
        <v>282</v>
      </c>
      <c r="D2" s="20">
        <v>8.738334165146071E-14</v>
      </c>
      <c r="E2" s="20">
        <v>0.81847313649705333</v>
      </c>
      <c r="F2" s="20">
        <v>0.2074363346850725</v>
      </c>
      <c r="G2" s="20">
        <v>3.8313847663126961E-2</v>
      </c>
      <c r="H2" s="20">
        <v>0</v>
      </c>
      <c r="I2" s="20">
        <v>0.57272295414885388</v>
      </c>
      <c r="J2" s="20">
        <v>0</v>
      </c>
      <c r="K2" s="20">
        <v>0.18152686350285924</v>
      </c>
      <c r="L2" s="20">
        <v>0</v>
      </c>
      <c r="N2" s="102"/>
    </row>
    <row r="3" spans="1:14">
      <c r="A3" s="2" t="s">
        <v>283</v>
      </c>
      <c r="B3" s="3" t="s">
        <v>284</v>
      </c>
      <c r="D3" s="20">
        <v>2.5747558428764992E-7</v>
      </c>
      <c r="E3" s="20">
        <v>0.67900089582486134</v>
      </c>
      <c r="F3" s="20">
        <v>0.20733348134395974</v>
      </c>
      <c r="G3" s="20">
        <v>5.0503134820723654E-2</v>
      </c>
      <c r="H3" s="20">
        <v>0</v>
      </c>
      <c r="I3" s="20">
        <v>0.421164279660178</v>
      </c>
      <c r="J3" s="20">
        <v>0</v>
      </c>
      <c r="K3" s="20">
        <v>0.32099884669955447</v>
      </c>
      <c r="L3" s="20">
        <v>0</v>
      </c>
      <c r="N3" s="102"/>
    </row>
    <row r="4" spans="1:14">
      <c r="A4" s="2" t="s">
        <v>285</v>
      </c>
      <c r="B4" s="3" t="s">
        <v>286</v>
      </c>
      <c r="D4" s="20">
        <v>0.93004667667031038</v>
      </c>
      <c r="E4" s="20">
        <v>6.9922435095097879E-2</v>
      </c>
      <c r="F4" s="20">
        <v>1.4020371025668025E-4</v>
      </c>
      <c r="G4" s="20">
        <v>5.2312798249884278E-7</v>
      </c>
      <c r="H4" s="20">
        <v>0</v>
      </c>
      <c r="I4" s="20">
        <v>6.9781708256858699E-2</v>
      </c>
      <c r="J4" s="20">
        <v>0</v>
      </c>
      <c r="K4" s="20">
        <v>3.0888234591802045E-5</v>
      </c>
      <c r="L4" s="20">
        <v>0</v>
      </c>
      <c r="N4" s="102"/>
    </row>
    <row r="5" spans="1:14">
      <c r="A5" s="2" t="s">
        <v>287</v>
      </c>
      <c r="B5" s="3" t="s">
        <v>288</v>
      </c>
      <c r="D5" s="20">
        <v>4.1771505566449742E-13</v>
      </c>
      <c r="E5" s="20">
        <v>0.98108097542578254</v>
      </c>
      <c r="F5" s="20">
        <v>7.5628156127158126E-3</v>
      </c>
      <c r="G5" s="20">
        <v>1.1061998765141323E-3</v>
      </c>
      <c r="H5" s="20">
        <v>0</v>
      </c>
      <c r="I5" s="20">
        <v>0.97241195993655261</v>
      </c>
      <c r="J5" s="20">
        <v>0</v>
      </c>
      <c r="K5" s="20">
        <v>1.8919024573799733E-2</v>
      </c>
      <c r="L5" s="20">
        <v>0</v>
      </c>
      <c r="N5" s="102"/>
    </row>
    <row r="6" spans="1:14">
      <c r="A6" s="2" t="s">
        <v>289</v>
      </c>
      <c r="B6" s="3" t="s">
        <v>290</v>
      </c>
      <c r="D6" s="20">
        <v>7.3931656665424071E-15</v>
      </c>
      <c r="E6" s="20">
        <v>0.99802833125310053</v>
      </c>
      <c r="F6" s="20">
        <v>2.7676942719744666E-3</v>
      </c>
      <c r="G6" s="20">
        <v>3.8093319282041089E-5</v>
      </c>
      <c r="H6" s="20">
        <v>0</v>
      </c>
      <c r="I6" s="20">
        <v>0.99522254366184404</v>
      </c>
      <c r="J6" s="20">
        <v>0</v>
      </c>
      <c r="K6" s="20">
        <v>1.9716687468920632E-3</v>
      </c>
      <c r="L6" s="20">
        <v>0</v>
      </c>
    </row>
    <row r="7" spans="1:14">
      <c r="A7" s="2" t="s">
        <v>291</v>
      </c>
      <c r="B7" s="3" t="s">
        <v>292</v>
      </c>
      <c r="D7" s="20">
        <v>1.221225406964449E-12</v>
      </c>
      <c r="E7" s="20">
        <v>0.99912858857321374</v>
      </c>
      <c r="F7" s="20">
        <v>3.5938608090027829E-4</v>
      </c>
      <c r="G7" s="20">
        <v>1.7719771377099427E-5</v>
      </c>
      <c r="H7" s="20">
        <v>0</v>
      </c>
      <c r="I7" s="20">
        <v>0.99875148272093639</v>
      </c>
      <c r="J7" s="20">
        <v>0</v>
      </c>
      <c r="K7" s="20">
        <v>8.7141142556509336E-4</v>
      </c>
      <c r="L7" s="20">
        <v>0</v>
      </c>
    </row>
    <row r="8" spans="1:14">
      <c r="A8" s="2" t="s">
        <v>293</v>
      </c>
      <c r="B8" s="3" t="s">
        <v>294</v>
      </c>
      <c r="D8" s="20">
        <v>1.9298713472660115E-11</v>
      </c>
      <c r="E8" s="20">
        <v>0.99059865469515285</v>
      </c>
      <c r="F8" s="20">
        <v>5.471654767399179E-2</v>
      </c>
      <c r="G8" s="20">
        <v>1.5201444833098606E-3</v>
      </c>
      <c r="H8" s="20">
        <v>0</v>
      </c>
      <c r="I8" s="20">
        <v>0.9343619625378512</v>
      </c>
      <c r="J8" s="20">
        <v>0</v>
      </c>
      <c r="K8" s="20">
        <v>9.4013452855485416E-3</v>
      </c>
      <c r="L8" s="20">
        <v>0</v>
      </c>
    </row>
    <row r="9" spans="1:14">
      <c r="A9" s="2" t="s">
        <v>295</v>
      </c>
      <c r="B9" s="3" t="s">
        <v>296</v>
      </c>
      <c r="D9" s="20">
        <v>9.539795319161747E-13</v>
      </c>
      <c r="E9" s="20">
        <v>0.99902020412833925</v>
      </c>
      <c r="F9" s="20">
        <v>3.0302760551793607E-4</v>
      </c>
      <c r="G9" s="20">
        <v>1.8363288999769784E-5</v>
      </c>
      <c r="H9" s="20">
        <v>0</v>
      </c>
      <c r="I9" s="20">
        <v>0.99869881323382159</v>
      </c>
      <c r="J9" s="20">
        <v>0</v>
      </c>
      <c r="K9" s="20">
        <v>9.7979587070677675E-4</v>
      </c>
      <c r="L9" s="20">
        <v>0</v>
      </c>
    </row>
    <row r="10" spans="1:14">
      <c r="A10" s="2" t="s">
        <v>297</v>
      </c>
      <c r="B10" s="3" t="s">
        <v>298</v>
      </c>
      <c r="D10" s="20">
        <v>8.6202427258634122E-12</v>
      </c>
      <c r="E10" s="20">
        <v>0.99960445104809514</v>
      </c>
      <c r="F10" s="20">
        <v>3.6009382669685748E-5</v>
      </c>
      <c r="G10" s="20">
        <v>3.0798892005125093E-6</v>
      </c>
      <c r="H10" s="20">
        <v>0</v>
      </c>
      <c r="I10" s="20">
        <v>0.9995653617762249</v>
      </c>
      <c r="J10" s="20">
        <v>0</v>
      </c>
      <c r="K10" s="20">
        <v>3.9554894328483323E-4</v>
      </c>
      <c r="L10" s="20">
        <v>0</v>
      </c>
    </row>
    <row r="11" spans="1:14">
      <c r="A11" s="2" t="s">
        <v>299</v>
      </c>
      <c r="B11" s="3" t="s">
        <v>300</v>
      </c>
      <c r="D11" s="20">
        <v>0.99922349763743756</v>
      </c>
      <c r="E11" s="20">
        <v>7.443339182968869E-4</v>
      </c>
      <c r="F11" s="20">
        <v>1.4914064808014158E-6</v>
      </c>
      <c r="G11" s="20">
        <v>5.4480981419418069E-7</v>
      </c>
      <c r="H11" s="20">
        <v>0</v>
      </c>
      <c r="I11" s="20">
        <v>7.4229770200189135E-4</v>
      </c>
      <c r="J11" s="20">
        <v>0</v>
      </c>
      <c r="K11" s="20">
        <v>3.2168444265516161E-5</v>
      </c>
      <c r="L11" s="20">
        <v>0</v>
      </c>
    </row>
    <row r="12" spans="1:14">
      <c r="A12" s="2" t="s">
        <v>301</v>
      </c>
      <c r="B12" s="3" t="s">
        <v>302</v>
      </c>
      <c r="D12" s="20">
        <v>0.99922349763743756</v>
      </c>
      <c r="E12" s="20">
        <v>7.443339182968869E-4</v>
      </c>
      <c r="F12" s="20">
        <v>1.4914064808014158E-6</v>
      </c>
      <c r="G12" s="20">
        <v>5.4480981419418069E-7</v>
      </c>
      <c r="H12" s="20">
        <v>0</v>
      </c>
      <c r="I12" s="20">
        <v>7.4229770200189135E-4</v>
      </c>
      <c r="J12" s="20">
        <v>0</v>
      </c>
      <c r="K12" s="20">
        <v>3.2168444265516161E-5</v>
      </c>
      <c r="L12" s="20">
        <v>0</v>
      </c>
    </row>
    <row r="13" spans="1:14">
      <c r="A13" s="2" t="s">
        <v>303</v>
      </c>
      <c r="B13" s="3" t="s">
        <v>304</v>
      </c>
      <c r="D13" s="20">
        <v>1.6888898128119918E-8</v>
      </c>
      <c r="E13" s="20">
        <v>0.79365662149148486</v>
      </c>
      <c r="F13" s="20">
        <v>6.3674249091898047E-2</v>
      </c>
      <c r="G13" s="20">
        <v>1.7147679822458316E-2</v>
      </c>
      <c r="H13" s="20">
        <v>0</v>
      </c>
      <c r="I13" s="20">
        <v>0.7128346925771285</v>
      </c>
      <c r="J13" s="20">
        <v>0</v>
      </c>
      <c r="K13" s="20">
        <v>0.20634336161961703</v>
      </c>
      <c r="L13" s="20">
        <v>0</v>
      </c>
    </row>
    <row r="14" spans="1:14">
      <c r="A14" s="2" t="s">
        <v>305</v>
      </c>
      <c r="B14" s="3" t="s">
        <v>306</v>
      </c>
      <c r="D14" s="20">
        <v>1.6330913869554249E-11</v>
      </c>
      <c r="E14" s="20">
        <v>0.8009794564389402</v>
      </c>
      <c r="F14" s="20">
        <v>0.600390588736888</v>
      </c>
      <c r="G14" s="20">
        <v>0.17123509235870182</v>
      </c>
      <c r="H14" s="20">
        <v>0</v>
      </c>
      <c r="I14" s="20">
        <v>2.935377534335035E-2</v>
      </c>
      <c r="J14" s="20">
        <v>0</v>
      </c>
      <c r="K14" s="20">
        <v>0.19902054354472892</v>
      </c>
      <c r="L14" s="20">
        <v>0</v>
      </c>
    </row>
    <row r="18" spans="2:2">
      <c r="B18" s="165"/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14" sqref="K14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281</v>
      </c>
      <c r="B2" s="3" t="s">
        <v>282</v>
      </c>
      <c r="D2" s="14">
        <v>2.6215002495438212E-16</v>
      </c>
      <c r="E2" s="14">
        <v>1.7181688624465616E-3</v>
      </c>
      <c r="F2" s="14">
        <v>6.2230900405521746E-4</v>
      </c>
      <c r="G2" s="14">
        <v>1.1494154298938087E-4</v>
      </c>
      <c r="H2" s="14">
        <v>0</v>
      </c>
      <c r="I2" s="14">
        <v>0</v>
      </c>
      <c r="J2" s="14">
        <v>5.4458059050857771E-4</v>
      </c>
      <c r="K2" s="14">
        <v>0</v>
      </c>
      <c r="L2" s="21"/>
      <c r="M2" s="102"/>
    </row>
    <row r="3" spans="1:23">
      <c r="A3" s="2" t="s">
        <v>283</v>
      </c>
      <c r="B3" s="3" t="s">
        <v>284</v>
      </c>
      <c r="D3" s="14">
        <v>7.7242675286294974E-10</v>
      </c>
      <c r="E3" s="14">
        <v>1.2634928389805341E-3</v>
      </c>
      <c r="F3" s="14">
        <v>6.2200044403187924E-4</v>
      </c>
      <c r="G3" s="14">
        <v>1.5150940446217095E-4</v>
      </c>
      <c r="H3" s="14">
        <v>0</v>
      </c>
      <c r="I3" s="14">
        <v>0</v>
      </c>
      <c r="J3" s="14">
        <v>9.6299654009866342E-4</v>
      </c>
      <c r="K3" s="14">
        <v>0</v>
      </c>
      <c r="L3" s="21"/>
      <c r="M3" s="102"/>
    </row>
    <row r="4" spans="1:23">
      <c r="A4" s="2" t="s">
        <v>285</v>
      </c>
      <c r="B4" s="3" t="s">
        <v>286</v>
      </c>
      <c r="D4" s="14">
        <v>2.7901400300109312E-3</v>
      </c>
      <c r="E4" s="14">
        <v>2.0934512477057608E-4</v>
      </c>
      <c r="F4" s="14">
        <v>4.2061113077004075E-7</v>
      </c>
      <c r="G4" s="14">
        <v>1.5693839474965282E-9</v>
      </c>
      <c r="H4" s="14">
        <v>0</v>
      </c>
      <c r="I4" s="14">
        <v>0</v>
      </c>
      <c r="J4" s="14">
        <v>9.2664703775406145E-8</v>
      </c>
      <c r="K4" s="14">
        <v>0</v>
      </c>
      <c r="L4" s="21"/>
    </row>
    <row r="5" spans="1:23">
      <c r="A5" s="2" t="s">
        <v>287</v>
      </c>
      <c r="B5" s="3" t="s">
        <v>288</v>
      </c>
      <c r="D5" s="14">
        <v>1.2531451669934923E-15</v>
      </c>
      <c r="E5" s="14">
        <v>2.9172358798096581E-3</v>
      </c>
      <c r="F5" s="14">
        <v>2.2688446838147436E-5</v>
      </c>
      <c r="G5" s="14">
        <v>3.3185996295423968E-6</v>
      </c>
      <c r="H5" s="14">
        <v>0</v>
      </c>
      <c r="I5" s="14">
        <v>0</v>
      </c>
      <c r="J5" s="14">
        <v>5.6757073721399203E-5</v>
      </c>
      <c r="K5" s="14">
        <v>0</v>
      </c>
      <c r="L5" s="21"/>
    </row>
    <row r="6" spans="1:23">
      <c r="A6" s="2" t="s">
        <v>289</v>
      </c>
      <c r="B6" s="3" t="s">
        <v>290</v>
      </c>
      <c r="D6" s="14">
        <v>2.2179496999627221E-17</v>
      </c>
      <c r="E6" s="14">
        <v>2.9856676309855321E-3</v>
      </c>
      <c r="F6" s="14">
        <v>8.3030828159233999E-6</v>
      </c>
      <c r="G6" s="14">
        <v>1.1427995784612326E-7</v>
      </c>
      <c r="H6" s="14">
        <v>0</v>
      </c>
      <c r="I6" s="14">
        <v>0</v>
      </c>
      <c r="J6" s="14">
        <v>5.9150062406761897E-6</v>
      </c>
      <c r="K6" s="14">
        <v>0</v>
      </c>
      <c r="L6" s="21"/>
      <c r="M6" s="12"/>
    </row>
    <row r="7" spans="1:23">
      <c r="A7" s="2" t="s">
        <v>291</v>
      </c>
      <c r="B7" s="3" t="s">
        <v>292</v>
      </c>
      <c r="D7" s="14">
        <v>3.6636762208933466E-15</v>
      </c>
      <c r="E7" s="14">
        <v>2.9962544481628092E-3</v>
      </c>
      <c r="F7" s="14">
        <v>1.0781582427008349E-6</v>
      </c>
      <c r="G7" s="14">
        <v>5.315931413129828E-8</v>
      </c>
      <c r="H7" s="14">
        <v>0</v>
      </c>
      <c r="I7" s="14">
        <v>0</v>
      </c>
      <c r="J7" s="14">
        <v>2.6142342766952799E-6</v>
      </c>
      <c r="K7" s="14">
        <v>0</v>
      </c>
      <c r="L7" s="21"/>
      <c r="M7" s="12"/>
    </row>
    <row r="8" spans="1:23">
      <c r="A8" s="2" t="s">
        <v>293</v>
      </c>
      <c r="B8" s="3" t="s">
        <v>294</v>
      </c>
      <c r="D8" s="14">
        <v>5.7896140417980348E-14</v>
      </c>
      <c r="E8" s="14">
        <v>2.8030858876135537E-3</v>
      </c>
      <c r="F8" s="14">
        <v>1.6414964302197536E-4</v>
      </c>
      <c r="G8" s="14">
        <v>4.5604334499295823E-6</v>
      </c>
      <c r="H8" s="14">
        <v>0</v>
      </c>
      <c r="I8" s="14">
        <v>0</v>
      </c>
      <c r="J8" s="14">
        <v>2.8204035856645625E-5</v>
      </c>
      <c r="K8" s="14">
        <v>0</v>
      </c>
      <c r="L8" s="21"/>
      <c r="M8" s="12"/>
    </row>
    <row r="9" spans="1:23">
      <c r="A9" s="2" t="s">
        <v>295</v>
      </c>
      <c r="B9" s="3" t="s">
        <v>296</v>
      </c>
      <c r="D9" s="14">
        <v>2.8619385957485241E-15</v>
      </c>
      <c r="E9" s="14">
        <v>2.9960964397014647E-3</v>
      </c>
      <c r="F9" s="14">
        <v>9.0908281655380807E-7</v>
      </c>
      <c r="G9" s="14">
        <v>5.5089866999309357E-8</v>
      </c>
      <c r="H9" s="14">
        <v>0</v>
      </c>
      <c r="I9" s="14">
        <v>0</v>
      </c>
      <c r="J9" s="14">
        <v>2.9393876121203305E-6</v>
      </c>
      <c r="K9" s="14">
        <v>0</v>
      </c>
      <c r="L9" s="21"/>
      <c r="M9" s="12"/>
    </row>
    <row r="10" spans="1:23">
      <c r="A10" s="2" t="s">
        <v>297</v>
      </c>
      <c r="B10" s="3" t="s">
        <v>298</v>
      </c>
      <c r="D10" s="14">
        <v>2.5860728177590239E-14</v>
      </c>
      <c r="E10" s="14">
        <v>2.9986960853286746E-3</v>
      </c>
      <c r="F10" s="14">
        <v>1.0802814800905724E-7</v>
      </c>
      <c r="G10" s="14">
        <v>9.2396676015375272E-9</v>
      </c>
      <c r="H10" s="14">
        <v>0</v>
      </c>
      <c r="I10" s="14">
        <v>0</v>
      </c>
      <c r="J10" s="14">
        <v>1.1866468298544997E-6</v>
      </c>
      <c r="K10" s="14">
        <v>0</v>
      </c>
      <c r="L10" s="21"/>
      <c r="M10" s="12"/>
    </row>
    <row r="11" spans="1:23">
      <c r="A11" s="2" t="s">
        <v>299</v>
      </c>
      <c r="B11" s="3" t="s">
        <v>300</v>
      </c>
      <c r="D11" s="14">
        <v>2.9976704929123126E-3</v>
      </c>
      <c r="E11" s="14">
        <v>2.2268931060056738E-6</v>
      </c>
      <c r="F11" s="14">
        <v>4.4742194424042475E-9</v>
      </c>
      <c r="G11" s="14">
        <v>1.6344294425825419E-9</v>
      </c>
      <c r="H11" s="14">
        <v>0</v>
      </c>
      <c r="I11" s="14">
        <v>0</v>
      </c>
      <c r="J11" s="14">
        <v>9.6505332796548489E-8</v>
      </c>
      <c r="K11" s="14">
        <v>0</v>
      </c>
      <c r="L11" s="21"/>
      <c r="M11" s="12"/>
    </row>
    <row r="12" spans="1:23">
      <c r="A12" s="2" t="s">
        <v>301</v>
      </c>
      <c r="B12" s="3" t="s">
        <v>302</v>
      </c>
      <c r="D12" s="14">
        <v>2.9976704929123126E-3</v>
      </c>
      <c r="E12" s="14">
        <v>2.2268931060056738E-6</v>
      </c>
      <c r="F12" s="14">
        <v>4.4742194424042475E-9</v>
      </c>
      <c r="G12" s="14">
        <v>1.6344294425825419E-9</v>
      </c>
      <c r="H12" s="14">
        <v>0</v>
      </c>
      <c r="I12" s="14">
        <v>0</v>
      </c>
      <c r="J12" s="14">
        <v>9.6505332796548489E-8</v>
      </c>
      <c r="K12" s="14">
        <v>0</v>
      </c>
      <c r="L12" s="21"/>
      <c r="M12" s="12"/>
    </row>
    <row r="13" spans="1:23">
      <c r="A13" s="2" t="s">
        <v>303</v>
      </c>
      <c r="B13" s="3" t="s">
        <v>304</v>
      </c>
      <c r="D13" s="14">
        <v>5.0666694384359756E-11</v>
      </c>
      <c r="E13" s="14">
        <v>2.1385040777313854E-3</v>
      </c>
      <c r="F13" s="14">
        <v>1.9102274727569413E-4</v>
      </c>
      <c r="G13" s="14">
        <v>5.144303946737494E-5</v>
      </c>
      <c r="H13" s="14">
        <v>0</v>
      </c>
      <c r="I13" s="14">
        <v>0</v>
      </c>
      <c r="J13" s="14">
        <v>6.1903008485885108E-4</v>
      </c>
      <c r="K13" s="14">
        <v>0</v>
      </c>
      <c r="L13" s="21"/>
      <c r="M13" s="12"/>
    </row>
    <row r="14" spans="1:23">
      <c r="A14" s="2" t="s">
        <v>305</v>
      </c>
      <c r="B14" s="3" t="s">
        <v>306</v>
      </c>
      <c r="D14" s="14">
        <v>4.8992741608662747E-14</v>
      </c>
      <c r="E14" s="14">
        <v>8.8061326030051056E-5</v>
      </c>
      <c r="F14" s="14">
        <v>1.8011717662106638E-3</v>
      </c>
      <c r="G14" s="14">
        <v>5.1370527707610548E-4</v>
      </c>
      <c r="H14" s="14">
        <v>0</v>
      </c>
      <c r="I14" s="14">
        <v>0</v>
      </c>
      <c r="J14" s="14">
        <v>5.9706163063418677E-4</v>
      </c>
      <c r="K14" s="14">
        <v>0</v>
      </c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2:13">
      <c r="L17" s="21"/>
      <c r="M17" s="12"/>
    </row>
    <row r="18" spans="2:13">
      <c r="B18" s="165"/>
      <c r="L18" s="21"/>
      <c r="M18" s="12"/>
    </row>
    <row r="19" spans="2:13">
      <c r="L19" s="21"/>
      <c r="M19" s="12"/>
    </row>
    <row r="20" spans="2:13">
      <c r="L20" s="21"/>
      <c r="M20" s="12"/>
    </row>
    <row r="21" spans="2:13">
      <c r="L21" s="21"/>
      <c r="M21" s="12"/>
    </row>
    <row r="22" spans="2:13">
      <c r="L22" s="21"/>
      <c r="M22" s="12"/>
    </row>
    <row r="23" spans="2:13">
      <c r="L23" s="21"/>
    </row>
    <row r="24" spans="2:13">
      <c r="L24" s="21"/>
    </row>
    <row r="25" spans="2:13">
      <c r="L25" s="21"/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4" sqref="R14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281</v>
      </c>
      <c r="B2" s="102" t="s">
        <v>282</v>
      </c>
      <c r="D2" s="103" t="s">
        <v>307</v>
      </c>
      <c r="E2" s="107">
        <v>7.8</v>
      </c>
      <c r="F2" s="107">
        <v>2.847301543092887</v>
      </c>
      <c r="G2" s="107">
        <v>-14.515871975422755</v>
      </c>
      <c r="H2" s="107">
        <v>3.2347223305994022</v>
      </c>
      <c r="I2" s="107">
        <v>1.1996399571273819</v>
      </c>
      <c r="J2" s="107">
        <v>1.2020493034479975</v>
      </c>
      <c r="K2" s="115">
        <v>10</v>
      </c>
      <c r="L2" s="115">
        <v>0</v>
      </c>
      <c r="M2" s="115">
        <v>0</v>
      </c>
      <c r="N2" s="115">
        <v>0</v>
      </c>
      <c r="O2" s="115">
        <v>90.775902812378234</v>
      </c>
      <c r="P2" s="115">
        <v>91.280902053933303</v>
      </c>
      <c r="Q2" s="111">
        <v>9.0775902812378231</v>
      </c>
      <c r="R2" s="68">
        <v>9.1280902053933293</v>
      </c>
    </row>
    <row r="3" spans="1:22">
      <c r="A3" s="102" t="s">
        <v>283</v>
      </c>
      <c r="B3" s="102" t="s">
        <v>284</v>
      </c>
      <c r="D3" s="103" t="s">
        <v>176</v>
      </c>
      <c r="F3" s="107">
        <v>3.1007571707711548</v>
      </c>
      <c r="G3" s="107">
        <v>-7.9130715123134632</v>
      </c>
      <c r="H3" s="107">
        <v>3.3882999999999996</v>
      </c>
      <c r="I3" s="107">
        <v>1.4051743149282716</v>
      </c>
      <c r="J3" s="107">
        <v>1.3826054890380979</v>
      </c>
      <c r="K3" s="115">
        <v>10</v>
      </c>
      <c r="L3" s="115">
        <v>0</v>
      </c>
      <c r="M3" s="115">
        <v>0</v>
      </c>
      <c r="N3" s="115">
        <v>0</v>
      </c>
      <c r="O3" s="115">
        <v>107.15486050587276</v>
      </c>
      <c r="P3" s="115">
        <v>101.72859570042995</v>
      </c>
      <c r="Q3" s="111">
        <v>10.715486050587275</v>
      </c>
      <c r="R3" s="68">
        <v>10.172859570042995</v>
      </c>
    </row>
    <row r="4" spans="1:22">
      <c r="A4" s="102" t="s">
        <v>285</v>
      </c>
      <c r="B4" s="102" t="s">
        <v>286</v>
      </c>
      <c r="D4" s="103" t="s">
        <v>275</v>
      </c>
      <c r="E4" s="107">
        <v>5.4</v>
      </c>
      <c r="F4" s="107">
        <v>-1.1032432809034496</v>
      </c>
      <c r="G4" s="107">
        <v>-0.57459288609610648</v>
      </c>
      <c r="H4" s="107">
        <v>0.19017131137558241</v>
      </c>
      <c r="I4" s="107">
        <v>-6.2388925418859334E-2</v>
      </c>
      <c r="J4" s="107">
        <v>1.2800876784909068E-2</v>
      </c>
      <c r="K4" s="115">
        <v>10</v>
      </c>
      <c r="L4" s="115">
        <v>0</v>
      </c>
      <c r="M4" s="115">
        <v>0</v>
      </c>
      <c r="N4" s="115">
        <v>0</v>
      </c>
      <c r="O4" s="115">
        <v>0.60497677378127768</v>
      </c>
      <c r="P4" s="115">
        <v>0.71933054764798443</v>
      </c>
      <c r="Q4" s="111">
        <v>6.0497677378127765E-2</v>
      </c>
      <c r="R4" s="68">
        <v>7.1933054764798443E-2</v>
      </c>
      <c r="T4" s="146"/>
    </row>
    <row r="5" spans="1:22">
      <c r="A5" s="102" t="s">
        <v>287</v>
      </c>
      <c r="B5" s="102" t="s">
        <v>288</v>
      </c>
      <c r="D5" s="103" t="s">
        <v>307</v>
      </c>
      <c r="E5" s="107">
        <v>8.4</v>
      </c>
      <c r="F5" s="107">
        <v>1.0778736784456129</v>
      </c>
      <c r="G5" s="107">
        <v>-14.066326197471685</v>
      </c>
      <c r="H5" s="107">
        <v>1.6553053105057558</v>
      </c>
      <c r="I5" s="107">
        <v>5.8782103729251238E-2</v>
      </c>
      <c r="J5" s="107">
        <v>0.10775996515128851</v>
      </c>
      <c r="K5" s="115">
        <v>10</v>
      </c>
      <c r="L5" s="115">
        <v>0</v>
      </c>
      <c r="M5" s="115">
        <v>0</v>
      </c>
      <c r="N5" s="115">
        <v>0</v>
      </c>
      <c r="O5" s="115">
        <v>11.143418103463665</v>
      </c>
      <c r="P5" s="115">
        <v>12.473728499843803</v>
      </c>
      <c r="Q5" s="111">
        <v>1.1143418103463665</v>
      </c>
      <c r="R5" s="68">
        <v>1.2473728499843804</v>
      </c>
    </row>
    <row r="6" spans="1:22">
      <c r="A6" s="102" t="s">
        <v>289</v>
      </c>
      <c r="B6" s="102" t="s">
        <v>290</v>
      </c>
      <c r="D6" s="103" t="s">
        <v>275</v>
      </c>
      <c r="E6" s="107">
        <v>6</v>
      </c>
      <c r="F6" s="107">
        <v>-0.39518102375665026</v>
      </c>
      <c r="G6" s="107">
        <v>-15.828445801592997</v>
      </c>
      <c r="H6" s="107">
        <v>0.41376617382976033</v>
      </c>
      <c r="I6" s="107">
        <v>-5.2660962130036786E-2</v>
      </c>
      <c r="J6" s="107">
        <v>2.4920353992986224E-2</v>
      </c>
      <c r="K6" s="115">
        <v>10</v>
      </c>
      <c r="L6" s="115">
        <v>0</v>
      </c>
      <c r="M6" s="115">
        <v>0</v>
      </c>
      <c r="N6" s="115">
        <v>0</v>
      </c>
      <c r="O6" s="115">
        <v>8.8235890514001198</v>
      </c>
      <c r="P6" s="115">
        <v>10.549371568442396</v>
      </c>
      <c r="Q6" s="111">
        <v>0.88235890514001192</v>
      </c>
      <c r="R6" s="68">
        <v>1.0549371568442396</v>
      </c>
    </row>
    <row r="7" spans="1:22">
      <c r="A7" s="102" t="s">
        <v>291</v>
      </c>
      <c r="B7" s="102" t="s">
        <v>292</v>
      </c>
      <c r="D7" s="103" t="s">
        <v>307</v>
      </c>
      <c r="E7" s="107">
        <v>9.1999999999999993</v>
      </c>
      <c r="F7" s="107">
        <v>-0.72910895831126132</v>
      </c>
      <c r="G7" s="107">
        <v>-13.612017640625915</v>
      </c>
      <c r="H7" s="107">
        <v>0.39355090583092672</v>
      </c>
      <c r="I7" s="107">
        <v>-7.800563794150385E-2</v>
      </c>
      <c r="J7" s="107">
        <v>-1.3013959298066882E-2</v>
      </c>
      <c r="K7" s="115">
        <v>10</v>
      </c>
      <c r="L7" s="115">
        <v>0</v>
      </c>
      <c r="M7" s="115">
        <v>0</v>
      </c>
      <c r="N7" s="115">
        <v>0</v>
      </c>
      <c r="O7" s="115">
        <v>8.3529105250327582</v>
      </c>
      <c r="P7" s="115">
        <v>9.7012904661984489</v>
      </c>
      <c r="Q7" s="111">
        <v>0.83529105250327573</v>
      </c>
      <c r="R7" s="68">
        <v>0.97012904661984489</v>
      </c>
    </row>
    <row r="8" spans="1:22">
      <c r="A8" s="102" t="s">
        <v>293</v>
      </c>
      <c r="B8" s="102" t="s">
        <v>294</v>
      </c>
      <c r="D8" s="103" t="s">
        <v>307</v>
      </c>
      <c r="E8" s="107">
        <v>9.3000000000000007</v>
      </c>
      <c r="F8" s="107">
        <v>1.2332600820630655</v>
      </c>
      <c r="G8" s="107">
        <v>-12.384342826533508</v>
      </c>
      <c r="H8" s="107">
        <v>2.4617956278051838</v>
      </c>
      <c r="I8" s="107">
        <v>0.43689889499156931</v>
      </c>
      <c r="J8" s="107">
        <v>0.52301211075617327</v>
      </c>
      <c r="K8" s="115">
        <v>10</v>
      </c>
      <c r="L8" s="115">
        <v>0</v>
      </c>
      <c r="M8" s="115">
        <v>0</v>
      </c>
      <c r="N8" s="115">
        <v>0</v>
      </c>
      <c r="O8" s="115">
        <v>25.574083298404787</v>
      </c>
      <c r="P8" s="115">
        <v>31.182669460112887</v>
      </c>
      <c r="Q8" s="111">
        <v>2.5574083298404786</v>
      </c>
      <c r="R8" s="68">
        <v>3.1182669460112886</v>
      </c>
    </row>
    <row r="9" spans="1:22">
      <c r="A9" s="102" t="s">
        <v>295</v>
      </c>
      <c r="B9" s="102" t="s">
        <v>296</v>
      </c>
      <c r="D9" s="103" t="s">
        <v>307</v>
      </c>
      <c r="E9" s="107">
        <v>9.1</v>
      </c>
      <c r="F9" s="107">
        <v>-0.71359370014642731</v>
      </c>
      <c r="G9" s="107">
        <v>-13.719251511543499</v>
      </c>
      <c r="H9" s="107">
        <v>0.32512975042253078</v>
      </c>
      <c r="I9" s="107">
        <v>-7.8993804292458711E-2</v>
      </c>
      <c r="J9" s="107">
        <v>-1.4068215451843684E-2</v>
      </c>
      <c r="K9" s="115">
        <v>10</v>
      </c>
      <c r="L9" s="115">
        <v>0</v>
      </c>
      <c r="M9" s="115">
        <v>0</v>
      </c>
      <c r="N9" s="115">
        <v>0</v>
      </c>
      <c r="O9" s="115">
        <v>8.3334869511837457</v>
      </c>
      <c r="P9" s="115">
        <v>9.6772586434580798</v>
      </c>
      <c r="Q9" s="111">
        <v>0.83334869511837439</v>
      </c>
      <c r="R9" s="68">
        <v>0.96772586434580787</v>
      </c>
    </row>
    <row r="10" spans="1:22">
      <c r="A10" s="102" t="s">
        <v>297</v>
      </c>
      <c r="B10" s="102" t="s">
        <v>298</v>
      </c>
      <c r="D10" s="103" t="s">
        <v>307</v>
      </c>
      <c r="E10" s="107">
        <v>9</v>
      </c>
      <c r="F10" s="107">
        <v>-1.489385740520756</v>
      </c>
      <c r="G10" s="107">
        <v>-12.763647737825419</v>
      </c>
      <c r="H10" s="107">
        <v>-0.53962343180326144</v>
      </c>
      <c r="I10" s="107">
        <v>-8.4407263902623209E-2</v>
      </c>
      <c r="J10" s="107">
        <v>-1.9183212326995783E-2</v>
      </c>
      <c r="K10" s="115">
        <v>10</v>
      </c>
      <c r="L10" s="115">
        <v>0</v>
      </c>
      <c r="M10" s="115">
        <v>0</v>
      </c>
      <c r="N10" s="115">
        <v>0</v>
      </c>
      <c r="O10" s="115">
        <v>8.2373963752256572</v>
      </c>
      <c r="P10" s="115">
        <v>9.572249630747363</v>
      </c>
      <c r="Q10" s="111">
        <v>0.82373963752256574</v>
      </c>
      <c r="R10" s="68">
        <v>0.95722496307473626</v>
      </c>
    </row>
    <row r="11" spans="1:22">
      <c r="A11" s="102" t="s">
        <v>299</v>
      </c>
      <c r="B11" s="102" t="s">
        <v>300</v>
      </c>
      <c r="D11" s="103" t="s">
        <v>176</v>
      </c>
      <c r="F11" s="107">
        <v>0.8875571707711547</v>
      </c>
      <c r="G11" s="107">
        <v>1.4297284876865359</v>
      </c>
      <c r="H11" s="107">
        <v>1.1530999999999998</v>
      </c>
      <c r="I11" s="107">
        <v>-2.2636447193501445E-2</v>
      </c>
      <c r="J11" s="107">
        <v>2.4616867338953581E-2</v>
      </c>
      <c r="K11" s="115">
        <v>10</v>
      </c>
      <c r="L11" s="115">
        <v>0</v>
      </c>
      <c r="M11" s="115">
        <v>0</v>
      </c>
      <c r="N11" s="115">
        <v>0</v>
      </c>
      <c r="O11" s="115">
        <v>7.0522499934143066E-3</v>
      </c>
      <c r="P11" s="115">
        <v>7.8628685202351261E-3</v>
      </c>
      <c r="Q11" s="111">
        <v>7.0522499934143063E-4</v>
      </c>
      <c r="R11" s="68">
        <v>7.8628685202351259E-4</v>
      </c>
    </row>
    <row r="12" spans="1:22">
      <c r="A12" s="102" t="s">
        <v>301</v>
      </c>
      <c r="B12" s="102" t="s">
        <v>302</v>
      </c>
      <c r="D12" s="103" t="s">
        <v>176</v>
      </c>
      <c r="F12" s="107">
        <v>0.8875571707711547</v>
      </c>
      <c r="G12" s="107">
        <v>1.4297284876865359</v>
      </c>
      <c r="H12" s="107">
        <v>1.1530999999999998</v>
      </c>
      <c r="I12" s="107">
        <v>-2.2636447193501445E-2</v>
      </c>
      <c r="J12" s="107">
        <v>2.4616867338953581E-2</v>
      </c>
      <c r="K12" s="115">
        <v>10</v>
      </c>
      <c r="L12" s="115">
        <v>0</v>
      </c>
      <c r="M12" s="115">
        <v>0</v>
      </c>
      <c r="N12" s="115">
        <v>0</v>
      </c>
      <c r="O12" s="115">
        <v>7.0522499934143066E-3</v>
      </c>
      <c r="P12" s="115">
        <v>7.8628685202351261E-3</v>
      </c>
      <c r="Q12" s="111">
        <v>7.0522499934143063E-4</v>
      </c>
      <c r="R12" s="68">
        <v>7.8628685202351259E-4</v>
      </c>
    </row>
    <row r="13" spans="1:22">
      <c r="A13" s="102" t="s">
        <v>303</v>
      </c>
      <c r="B13" s="102" t="s">
        <v>304</v>
      </c>
      <c r="D13" s="103" t="s">
        <v>307</v>
      </c>
      <c r="E13" s="107">
        <v>6.6</v>
      </c>
      <c r="F13" s="107">
        <v>2.4031069023673401</v>
      </c>
      <c r="G13" s="107">
        <v>-9.3247435464568422</v>
      </c>
      <c r="H13" s="107">
        <v>2.6911570941690734</v>
      </c>
      <c r="I13" s="107">
        <v>0.70906480391398219</v>
      </c>
      <c r="J13" s="107">
        <v>0.67592102546407318</v>
      </c>
      <c r="K13" s="115">
        <v>10</v>
      </c>
      <c r="L13" s="115">
        <v>0</v>
      </c>
      <c r="M13" s="115">
        <v>0</v>
      </c>
      <c r="N13" s="115">
        <v>0</v>
      </c>
      <c r="O13" s="115">
        <v>36.512339600877993</v>
      </c>
      <c r="P13" s="115">
        <v>33.829523735657396</v>
      </c>
      <c r="Q13" s="111">
        <v>3.6512339600877994</v>
      </c>
      <c r="R13" s="68">
        <v>3.3829523735657396</v>
      </c>
    </row>
    <row r="14" spans="1:22">
      <c r="A14" s="102" t="s">
        <v>305</v>
      </c>
      <c r="B14" s="102" t="s">
        <v>306</v>
      </c>
      <c r="D14" s="103" t="s">
        <v>176</v>
      </c>
      <c r="F14" s="107">
        <v>4.7878191707711535</v>
      </c>
      <c r="G14" s="107">
        <v>-10.954009512313464</v>
      </c>
      <c r="H14" s="107">
        <v>5.0921319999999994</v>
      </c>
      <c r="I14" s="107">
        <v>3.0559192443891061</v>
      </c>
      <c r="J14" s="107">
        <v>3.0020283467997726</v>
      </c>
      <c r="K14" s="115">
        <v>10</v>
      </c>
      <c r="L14" s="115">
        <v>0</v>
      </c>
      <c r="M14" s="115">
        <v>0</v>
      </c>
      <c r="N14" s="115">
        <v>0</v>
      </c>
      <c r="O14" s="115">
        <v>334.17137118210735</v>
      </c>
      <c r="P14" s="115">
        <v>295.17416481341303</v>
      </c>
      <c r="Q14" s="111">
        <v>33.417137118210732</v>
      </c>
      <c r="R14" s="68">
        <v>29.5174164813413</v>
      </c>
    </row>
    <row r="18" spans="2:2">
      <c r="B18" s="168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14" sqref="W14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281</v>
      </c>
      <c r="B2" s="102" t="s">
        <v>282</v>
      </c>
      <c r="D2" s="107" t="s">
        <v>307</v>
      </c>
      <c r="E2" s="107">
        <v>7.8</v>
      </c>
      <c r="F2" s="107">
        <v>3.3924971707711546</v>
      </c>
      <c r="G2" s="107">
        <v>-0.10750282922884509</v>
      </c>
      <c r="H2" s="107">
        <v>2.847301543092887</v>
      </c>
      <c r="I2" s="107">
        <v>3.3924971707711546</v>
      </c>
      <c r="J2" s="107">
        <v>-0.10750282922884509</v>
      </c>
      <c r="K2" s="107">
        <v>2.847301543092887</v>
      </c>
      <c r="L2" s="107">
        <v>3.6829399999999999</v>
      </c>
      <c r="M2" s="107">
        <v>2.6829399999999999</v>
      </c>
      <c r="N2" s="107">
        <v>3.2347223305994022</v>
      </c>
      <c r="O2" s="107">
        <v>3.10724</v>
      </c>
      <c r="P2" s="107">
        <v>2.1072400000000004</v>
      </c>
      <c r="Q2" s="107">
        <v>2.6590223305994019</v>
      </c>
      <c r="R2" s="107">
        <v>-13.970331512313461</v>
      </c>
      <c r="S2" s="107">
        <v>-14.515871975422755</v>
      </c>
      <c r="T2" s="107">
        <v>-2.7781028292288448</v>
      </c>
      <c r="U2" s="107">
        <v>-6.2781028292288452</v>
      </c>
      <c r="V2" s="107">
        <v>-3.3232984569071125</v>
      </c>
      <c r="W2" s="112">
        <v>145.94236376153881</v>
      </c>
    </row>
    <row r="3" spans="1:23">
      <c r="A3" s="102" t="s">
        <v>283</v>
      </c>
      <c r="B3" s="102" t="s">
        <v>284</v>
      </c>
      <c r="D3" s="107" t="s">
        <v>176</v>
      </c>
      <c r="F3" s="107">
        <v>3.1007571707711548</v>
      </c>
      <c r="H3" s="107">
        <v>3.1007571707711548</v>
      </c>
      <c r="I3" s="107">
        <v>3.1007571707711548</v>
      </c>
      <c r="K3" s="107">
        <v>3.1007571707711548</v>
      </c>
      <c r="L3" s="107">
        <v>3.3882999999999996</v>
      </c>
      <c r="N3" s="107">
        <v>3.3882999999999996</v>
      </c>
      <c r="O3" s="107">
        <v>2.7923000000000004</v>
      </c>
      <c r="Q3" s="107">
        <v>2.7923000000000004</v>
      </c>
      <c r="R3" s="107">
        <v>-7.9130715123134632</v>
      </c>
      <c r="S3" s="107">
        <v>-7.9130715123134632</v>
      </c>
      <c r="T3" s="107">
        <v>-2.9422428292288445</v>
      </c>
      <c r="V3" s="107">
        <v>-2.9422428292288445</v>
      </c>
      <c r="W3" s="112">
        <v>37.701973510068697</v>
      </c>
    </row>
    <row r="4" spans="1:23">
      <c r="A4" s="102" t="s">
        <v>285</v>
      </c>
      <c r="B4" s="102" t="s">
        <v>286</v>
      </c>
      <c r="D4" s="107" t="s">
        <v>275</v>
      </c>
      <c r="E4" s="107">
        <v>5.4</v>
      </c>
      <c r="F4" s="107">
        <v>0.8875571707711547</v>
      </c>
      <c r="G4" s="107">
        <v>-2.6124428292288449</v>
      </c>
      <c r="H4" s="107">
        <v>-1.1032432809034496</v>
      </c>
      <c r="I4" s="107">
        <v>0.8875571707711547</v>
      </c>
      <c r="J4" s="107">
        <v>-2.6124428292288449</v>
      </c>
      <c r="K4" s="107">
        <v>-1.1032432809034496</v>
      </c>
      <c r="L4" s="107">
        <v>1.1530999999999998</v>
      </c>
      <c r="M4" s="107">
        <v>0.15309999999999993</v>
      </c>
      <c r="N4" s="107">
        <v>0.19017131137558241</v>
      </c>
      <c r="O4" s="107">
        <v>0.40310000000000012</v>
      </c>
      <c r="P4" s="107">
        <v>0.40310000000000012</v>
      </c>
      <c r="Q4" s="107">
        <v>0.40310000000000012</v>
      </c>
      <c r="R4" s="107">
        <v>1.4297284876865359</v>
      </c>
      <c r="S4" s="107">
        <v>-0.57459288609610648</v>
      </c>
      <c r="T4" s="107">
        <v>-4.1874428292288446</v>
      </c>
      <c r="U4" s="107">
        <v>-7.6874428292288446</v>
      </c>
      <c r="V4" s="107">
        <v>-6.1782432809034491</v>
      </c>
      <c r="W4" s="112">
        <v>130.84713052518339</v>
      </c>
    </row>
    <row r="5" spans="1:23">
      <c r="A5" s="102" t="s">
        <v>287</v>
      </c>
      <c r="B5" s="102" t="s">
        <v>288</v>
      </c>
      <c r="D5" s="107" t="s">
        <v>307</v>
      </c>
      <c r="E5" s="107">
        <v>8.4</v>
      </c>
      <c r="F5" s="107">
        <v>2.1178951707711544</v>
      </c>
      <c r="G5" s="107">
        <v>-1.3821048292288454</v>
      </c>
      <c r="H5" s="107">
        <v>1.0778736784456129</v>
      </c>
      <c r="I5" s="107">
        <v>2.1178951707711544</v>
      </c>
      <c r="J5" s="107">
        <v>-1.3821048292288454</v>
      </c>
      <c r="K5" s="107">
        <v>1.0778736784456129</v>
      </c>
      <c r="L5" s="107">
        <v>2.3956679999999997</v>
      </c>
      <c r="M5" s="107">
        <v>1.3956679999999999</v>
      </c>
      <c r="N5" s="107">
        <v>1.6553053105057558</v>
      </c>
      <c r="O5" s="107">
        <v>1.7312779999999999</v>
      </c>
      <c r="P5" s="107">
        <v>0.73127800000000009</v>
      </c>
      <c r="Q5" s="107">
        <v>0.99091531050575621</v>
      </c>
      <c r="R5" s="107">
        <v>-13.024933512313462</v>
      </c>
      <c r="S5" s="107">
        <v>-14.066326197471685</v>
      </c>
      <c r="T5" s="107">
        <v>-3.4952248292288446</v>
      </c>
      <c r="U5" s="107">
        <v>-6.995224829228845</v>
      </c>
      <c r="V5" s="107">
        <v>-4.5352463215543857</v>
      </c>
      <c r="W5" s="112">
        <v>3488.9669979155701</v>
      </c>
    </row>
    <row r="6" spans="1:23">
      <c r="A6" s="102" t="s">
        <v>289</v>
      </c>
      <c r="B6" s="102" t="s">
        <v>290</v>
      </c>
      <c r="D6" s="107" t="s">
        <v>275</v>
      </c>
      <c r="E6" s="107">
        <v>6</v>
      </c>
      <c r="F6" s="107">
        <v>1.0183371707711546</v>
      </c>
      <c r="G6" s="107">
        <v>-2.4816628292288452</v>
      </c>
      <c r="H6" s="107">
        <v>-0.39518102375665026</v>
      </c>
      <c r="I6" s="107">
        <v>1.0183371707711546</v>
      </c>
      <c r="J6" s="107">
        <v>-2.4816628292288452</v>
      </c>
      <c r="K6" s="107">
        <v>-0.39518102375665026</v>
      </c>
      <c r="L6" s="107">
        <v>1.2851799999999995</v>
      </c>
      <c r="M6" s="107">
        <v>0.28517999999999988</v>
      </c>
      <c r="N6" s="107">
        <v>0.41376617382976033</v>
      </c>
      <c r="O6" s="107">
        <v>0.54427999999999999</v>
      </c>
      <c r="P6" s="107">
        <v>0.54427999999999999</v>
      </c>
      <c r="Q6" s="107">
        <v>0.54427999999999999</v>
      </c>
      <c r="R6" s="107">
        <v>-14.411491512313464</v>
      </c>
      <c r="S6" s="107">
        <v>-15.828445801592997</v>
      </c>
      <c r="T6" s="107">
        <v>-4.1138628292288457</v>
      </c>
      <c r="U6" s="107">
        <v>-7.6138628292288448</v>
      </c>
      <c r="V6" s="107">
        <v>-5.5273810237566501</v>
      </c>
      <c r="W6" s="112">
        <v>24454.325280822206</v>
      </c>
    </row>
    <row r="7" spans="1:23">
      <c r="A7" s="102" t="s">
        <v>291</v>
      </c>
      <c r="B7" s="102" t="s">
        <v>292</v>
      </c>
      <c r="D7" s="107" t="s">
        <v>307</v>
      </c>
      <c r="E7" s="107">
        <v>9.1999999999999993</v>
      </c>
      <c r="F7" s="107">
        <v>1.0691401707711545</v>
      </c>
      <c r="G7" s="107">
        <v>-2.4308598292288446</v>
      </c>
      <c r="H7" s="107">
        <v>-0.72910895831126132</v>
      </c>
      <c r="I7" s="107">
        <v>1.0691401707711545</v>
      </c>
      <c r="J7" s="107">
        <v>-2.4308598292288446</v>
      </c>
      <c r="K7" s="107">
        <v>-0.72910895831126132</v>
      </c>
      <c r="L7" s="107">
        <v>1.3364879999999999</v>
      </c>
      <c r="M7" s="107">
        <v>0.33648799999999995</v>
      </c>
      <c r="N7" s="107">
        <v>0.39355090583092672</v>
      </c>
      <c r="O7" s="107">
        <v>0.59912300000000018</v>
      </c>
      <c r="P7" s="107">
        <v>-0.40087699999999976</v>
      </c>
      <c r="Q7" s="107">
        <v>-0.34381409416907299</v>
      </c>
      <c r="R7" s="107">
        <v>-11.805188512313464</v>
      </c>
      <c r="S7" s="107">
        <v>-13.612017640625915</v>
      </c>
      <c r="T7" s="107">
        <v>-4.0852798292288446</v>
      </c>
      <c r="U7" s="107">
        <v>-7.5852798292288446</v>
      </c>
      <c r="V7" s="107">
        <v>-5.8835289583112607</v>
      </c>
      <c r="W7" s="112">
        <v>682521.23702950997</v>
      </c>
    </row>
    <row r="8" spans="1:23">
      <c r="A8" s="102" t="s">
        <v>293</v>
      </c>
      <c r="B8" s="102" t="s">
        <v>294</v>
      </c>
      <c r="D8" s="107" t="s">
        <v>307</v>
      </c>
      <c r="E8" s="107">
        <v>9.3000000000000007</v>
      </c>
      <c r="F8" s="107">
        <v>3.1279191707711544</v>
      </c>
      <c r="G8" s="107">
        <v>-0.37208082922884539</v>
      </c>
      <c r="H8" s="107">
        <v>1.2332600820630655</v>
      </c>
      <c r="I8" s="107">
        <v>3.1279191707711544</v>
      </c>
      <c r="J8" s="107">
        <v>-0.37208082922884539</v>
      </c>
      <c r="K8" s="107">
        <v>1.2332600820630655</v>
      </c>
      <c r="L8" s="107">
        <v>3.4157319999999998</v>
      </c>
      <c r="M8" s="107">
        <v>2.4157319999999998</v>
      </c>
      <c r="N8" s="107">
        <v>2.4617956278051838</v>
      </c>
      <c r="O8" s="107">
        <v>2.8216220000000001</v>
      </c>
      <c r="P8" s="107">
        <v>1.8216220000000003</v>
      </c>
      <c r="Q8" s="107">
        <v>1.8676856278051845</v>
      </c>
      <c r="R8" s="107">
        <v>-10.478909512313463</v>
      </c>
      <c r="S8" s="107">
        <v>-12.384342826533508</v>
      </c>
      <c r="T8" s="107">
        <v>-2.9269608292288445</v>
      </c>
      <c r="U8" s="107">
        <v>-6.4269608292288449</v>
      </c>
      <c r="V8" s="107">
        <v>-4.8216199179369328</v>
      </c>
      <c r="W8" s="112">
        <v>75076.316621893013</v>
      </c>
    </row>
    <row r="9" spans="1:23">
      <c r="A9" s="102" t="s">
        <v>295</v>
      </c>
      <c r="B9" s="102" t="s">
        <v>296</v>
      </c>
      <c r="D9" s="107" t="s">
        <v>307</v>
      </c>
      <c r="E9" s="107">
        <v>9.1</v>
      </c>
      <c r="F9" s="107">
        <v>0.98815717077115461</v>
      </c>
      <c r="G9" s="107">
        <v>-2.5118428292288448</v>
      </c>
      <c r="H9" s="107">
        <v>-0.71359370014642731</v>
      </c>
      <c r="I9" s="107">
        <v>0.98815717077115461</v>
      </c>
      <c r="J9" s="107">
        <v>-2.5118428292288448</v>
      </c>
      <c r="K9" s="107">
        <v>-0.71359370014642731</v>
      </c>
      <c r="L9" s="107">
        <v>1.2546999999999999</v>
      </c>
      <c r="M9" s="107">
        <v>0.25470000000000004</v>
      </c>
      <c r="N9" s="107">
        <v>0.32512975042253078</v>
      </c>
      <c r="O9" s="107">
        <v>0.51170000000000015</v>
      </c>
      <c r="P9" s="107">
        <v>-0.48829999999999973</v>
      </c>
      <c r="Q9" s="107">
        <v>-0.41787024957746899</v>
      </c>
      <c r="R9" s="107">
        <v>-12.010671512313463</v>
      </c>
      <c r="S9" s="107">
        <v>-13.719251511543499</v>
      </c>
      <c r="T9" s="107">
        <v>-4.1308428292288442</v>
      </c>
      <c r="U9" s="107">
        <v>-7.6308428292288442</v>
      </c>
      <c r="V9" s="107">
        <v>-5.8325937001464272</v>
      </c>
      <c r="W9" s="112">
        <v>727470.71253675234</v>
      </c>
    </row>
    <row r="10" spans="1:23">
      <c r="A10" s="102" t="s">
        <v>297</v>
      </c>
      <c r="B10" s="102" t="s">
        <v>298</v>
      </c>
      <c r="D10" s="107" t="s">
        <v>307</v>
      </c>
      <c r="E10" s="107">
        <v>9</v>
      </c>
      <c r="F10" s="107">
        <v>0.11595517077115472</v>
      </c>
      <c r="G10" s="107">
        <v>-3.384044829228845</v>
      </c>
      <c r="H10" s="107">
        <v>-1.489385740520756</v>
      </c>
      <c r="I10" s="107">
        <v>0.11595517077115472</v>
      </c>
      <c r="J10" s="107">
        <v>-3.384044829228845</v>
      </c>
      <c r="K10" s="107">
        <v>-1.489385740520756</v>
      </c>
      <c r="L10" s="107">
        <v>0.3738280000000001</v>
      </c>
      <c r="M10" s="107">
        <v>-0.62617199999999984</v>
      </c>
      <c r="N10" s="107">
        <v>-0.53962343180326144</v>
      </c>
      <c r="O10" s="107">
        <v>-0.42986199999999986</v>
      </c>
      <c r="P10" s="107">
        <v>-1.4298619999999997</v>
      </c>
      <c r="Q10" s="107">
        <v>-1.3433134318032613</v>
      </c>
      <c r="R10" s="107">
        <v>-11.152873512313462</v>
      </c>
      <c r="S10" s="107">
        <v>-12.763647737825419</v>
      </c>
      <c r="T10" s="107">
        <v>-4.621564829228844</v>
      </c>
      <c r="U10" s="107">
        <v>-8.1215648292288449</v>
      </c>
      <c r="V10" s="107">
        <v>-6.2269057405207553</v>
      </c>
      <c r="W10" s="112">
        <v>2516749.3311739611</v>
      </c>
    </row>
    <row r="11" spans="1:23">
      <c r="A11" s="102" t="s">
        <v>299</v>
      </c>
      <c r="B11" s="102" t="s">
        <v>300</v>
      </c>
      <c r="D11" s="107" t="s">
        <v>176</v>
      </c>
      <c r="F11" s="107">
        <v>0.8875571707711547</v>
      </c>
      <c r="H11" s="107">
        <v>0.8875571707711547</v>
      </c>
      <c r="I11" s="107">
        <v>0.8875571707711547</v>
      </c>
      <c r="K11" s="107">
        <v>0.8875571707711547</v>
      </c>
      <c r="L11" s="107">
        <v>1.1530999999999998</v>
      </c>
      <c r="N11" s="107">
        <v>1.1530999999999998</v>
      </c>
      <c r="O11" s="107">
        <v>0.40310000000000012</v>
      </c>
      <c r="Q11" s="107">
        <v>0.40310000000000012</v>
      </c>
      <c r="R11" s="107">
        <v>1.4297284876865359</v>
      </c>
      <c r="S11" s="107">
        <v>1.4297284876865359</v>
      </c>
      <c r="T11" s="107">
        <v>-4.1874428292288446</v>
      </c>
      <c r="V11" s="107">
        <v>-4.1874428292288446</v>
      </c>
      <c r="W11" s="112">
        <v>1.2955161438136966</v>
      </c>
    </row>
    <row r="12" spans="1:23">
      <c r="A12" s="102" t="s">
        <v>301</v>
      </c>
      <c r="B12" s="102" t="s">
        <v>302</v>
      </c>
      <c r="D12" s="107" t="s">
        <v>176</v>
      </c>
      <c r="F12" s="107">
        <v>0.8875571707711547</v>
      </c>
      <c r="H12" s="107">
        <v>0.8875571707711547</v>
      </c>
      <c r="I12" s="107">
        <v>0.8875571707711547</v>
      </c>
      <c r="K12" s="107">
        <v>0.8875571707711547</v>
      </c>
      <c r="L12" s="107">
        <v>1.1530999999999998</v>
      </c>
      <c r="N12" s="107">
        <v>1.1530999999999998</v>
      </c>
      <c r="O12" s="107">
        <v>0.40310000000000012</v>
      </c>
      <c r="Q12" s="107">
        <v>0.40310000000000012</v>
      </c>
      <c r="R12" s="107">
        <v>1.4297284876865359</v>
      </c>
      <c r="S12" s="107">
        <v>1.4297284876865359</v>
      </c>
      <c r="T12" s="107">
        <v>-4.1874428292288446</v>
      </c>
      <c r="V12" s="107">
        <v>-4.1874428292288446</v>
      </c>
      <c r="W12" s="112">
        <v>1.2955161438136966</v>
      </c>
    </row>
    <row r="13" spans="1:23">
      <c r="A13" s="102" t="s">
        <v>303</v>
      </c>
      <c r="B13" s="102" t="s">
        <v>304</v>
      </c>
      <c r="D13" s="107" t="s">
        <v>307</v>
      </c>
      <c r="E13" s="107">
        <v>6.6</v>
      </c>
      <c r="F13" s="107">
        <v>2.4669771707711545</v>
      </c>
      <c r="G13" s="107">
        <v>-1.0330228292288453</v>
      </c>
      <c r="H13" s="107">
        <v>2.4031069023673401</v>
      </c>
      <c r="I13" s="107">
        <v>2.4669771707711545</v>
      </c>
      <c r="J13" s="107">
        <v>-1.0330228292288453</v>
      </c>
      <c r="K13" s="107">
        <v>2.4031069023673401</v>
      </c>
      <c r="L13" s="107">
        <v>2.7482199999999999</v>
      </c>
      <c r="M13" s="107">
        <v>1.7482199999999997</v>
      </c>
      <c r="N13" s="107">
        <v>2.6911570941690734</v>
      </c>
      <c r="O13" s="107">
        <v>2.1081199999999995</v>
      </c>
      <c r="P13" s="107">
        <v>1.1081200000000002</v>
      </c>
      <c r="Q13" s="107">
        <v>2.0510570941690731</v>
      </c>
      <c r="R13" s="107">
        <v>-9.2608515123134616</v>
      </c>
      <c r="S13" s="107">
        <v>-9.3247435464568422</v>
      </c>
      <c r="T13" s="107">
        <v>-3.2988228292288446</v>
      </c>
      <c r="U13" s="107">
        <v>-6.798822829228846</v>
      </c>
      <c r="V13" s="107">
        <v>-3.3626930976326586</v>
      </c>
      <c r="W13" s="112">
        <v>367.07710774259778</v>
      </c>
    </row>
    <row r="14" spans="1:23">
      <c r="A14" s="102" t="s">
        <v>305</v>
      </c>
      <c r="B14" s="102" t="s">
        <v>306</v>
      </c>
      <c r="D14" s="107" t="s">
        <v>176</v>
      </c>
      <c r="F14" s="107">
        <v>4.7878191707711535</v>
      </c>
      <c r="H14" s="107">
        <v>4.7878191707711535</v>
      </c>
      <c r="I14" s="107">
        <v>4.7878191707711535</v>
      </c>
      <c r="K14" s="107">
        <v>4.7878191707711535</v>
      </c>
      <c r="L14" s="107">
        <v>5.0921319999999994</v>
      </c>
      <c r="N14" s="107">
        <v>5.0921319999999994</v>
      </c>
      <c r="O14" s="107">
        <v>4.4108520000000002</v>
      </c>
      <c r="Q14" s="107">
        <v>4.4108520000000002</v>
      </c>
      <c r="R14" s="107">
        <v>-10.954009512313464</v>
      </c>
      <c r="S14" s="107">
        <v>-10.954009512313464</v>
      </c>
      <c r="T14" s="107">
        <v>-1.9930608292288448</v>
      </c>
      <c r="V14" s="107">
        <v>-1.9930608292288448</v>
      </c>
      <c r="W14" s="112">
        <v>1.0142870404753701</v>
      </c>
    </row>
    <row r="15" spans="1:23">
      <c r="W15" s="112"/>
    </row>
    <row r="16" spans="1:23">
      <c r="W16" s="112"/>
    </row>
    <row r="17" spans="2:23">
      <c r="W17" s="112"/>
    </row>
    <row r="18" spans="2:23">
      <c r="B18" s="168"/>
      <c r="W18" s="112"/>
    </row>
    <row r="19" spans="2:23">
      <c r="W19" s="112"/>
    </row>
    <row r="20" spans="2:23">
      <c r="W20" s="112"/>
    </row>
    <row r="21" spans="2:23">
      <c r="W21" s="112"/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5" bestFit="1" customWidth="1"/>
  </cols>
  <sheetData>
    <row r="1" spans="1:4">
      <c r="A1" s="163" t="s">
        <v>276</v>
      </c>
      <c r="B1" s="163" t="s">
        <v>277</v>
      </c>
      <c r="C1" s="163" t="s">
        <v>278</v>
      </c>
      <c r="D1" s="163" t="s">
        <v>279</v>
      </c>
    </row>
    <row r="2" spans="1:4">
      <c r="A2" s="164">
        <f>'Mass Balance'!I2</f>
        <v>0</v>
      </c>
      <c r="B2">
        <f>'Mass Balance'!E2</f>
        <v>1.7181688624465616E-3</v>
      </c>
      <c r="C2">
        <f>SUM('Mass Balance'!E2:H2)</f>
        <v>2.4554194094911596E-3</v>
      </c>
      <c r="D2">
        <f>Concentrations!F2/Concentrations!E2</f>
        <v>0.70036783088214971</v>
      </c>
    </row>
    <row r="3" spans="1:4">
      <c r="A3" s="164">
        <f>'Mass Balance'!I3</f>
        <v>0</v>
      </c>
      <c r="B3">
        <f>'Mass Balance'!E3</f>
        <v>1.2634928389805341E-3</v>
      </c>
      <c r="C3">
        <f>SUM('Mass Balance'!E3:H3)</f>
        <v>2.0370026874745842E-3</v>
      </c>
      <c r="D3">
        <f>Concentrations!F3/Concentrations!E3</f>
        <v>0.62082216369431209</v>
      </c>
    </row>
    <row r="4" spans="1:4">
      <c r="A4" s="164">
        <f>'Mass Balance'!I4</f>
        <v>0</v>
      </c>
      <c r="B4">
        <f>'Mass Balance'!E4</f>
        <v>2.0934512477057608E-4</v>
      </c>
      <c r="C4">
        <f>SUM('Mass Balance'!E4:H4)</f>
        <v>2.0976730528529363E-4</v>
      </c>
      <c r="D4">
        <f>Concentrations!F4/Concentrations!E4</f>
        <v>0.99887485932322906</v>
      </c>
    </row>
    <row r="5" spans="1:4">
      <c r="A5" s="164">
        <f>'Mass Balance'!I5</f>
        <v>0</v>
      </c>
      <c r="B5">
        <f>'Mass Balance'!E5</f>
        <v>2.9172358798096581E-3</v>
      </c>
      <c r="C5">
        <f>SUM('Mass Balance'!E5:H5)</f>
        <v>2.9432429262773478E-3</v>
      </c>
      <c r="D5">
        <f>Concentrations!F5/Concentrations!E5</f>
        <v>0.99204521735596574</v>
      </c>
    </row>
    <row r="6" spans="1:4">
      <c r="A6" s="164">
        <f>'Mass Balance'!I6</f>
        <v>0</v>
      </c>
      <c r="B6">
        <f>'Mass Balance'!E6</f>
        <v>2.9856676309855321E-3</v>
      </c>
      <c r="C6">
        <f>SUM('Mass Balance'!E6:H6)</f>
        <v>2.9940849937593016E-3</v>
      </c>
      <c r="D6">
        <f>Concentrations!F6/Concentrations!E6</f>
        <v>0.9980754319702857</v>
      </c>
    </row>
    <row r="7" spans="1:4">
      <c r="A7" s="164">
        <f>'Mass Balance'!I7</f>
        <v>0</v>
      </c>
      <c r="B7">
        <f>'Mass Balance'!E7</f>
        <v>2.9962544481628092E-3</v>
      </c>
      <c r="C7">
        <f>SUM('Mass Balance'!E7:H7)</f>
        <v>2.9973857657196413E-3</v>
      </c>
      <c r="D7">
        <f>Concentrations!F7/Concentrations!E7</f>
        <v>1.0005114921935137</v>
      </c>
    </row>
    <row r="8" spans="1:4">
      <c r="A8" s="164">
        <f>'Mass Balance'!I8</f>
        <v>0</v>
      </c>
      <c r="B8">
        <f>'Mass Balance'!E8</f>
        <v>2.8030858876135537E-3</v>
      </c>
      <c r="C8">
        <f>SUM('Mass Balance'!E8:H8)</f>
        <v>2.9717959640854583E-3</v>
      </c>
      <c r="D8">
        <f>Concentrations!F8/Concentrations!E8</f>
        <v>0.94406836839497721</v>
      </c>
    </row>
    <row r="9" spans="1:4">
      <c r="A9" s="164">
        <f>'Mass Balance'!I9</f>
        <v>0</v>
      </c>
      <c r="B9">
        <f>'Mass Balance'!E9</f>
        <v>2.9960964397014647E-3</v>
      </c>
      <c r="C9">
        <f>SUM('Mass Balance'!E9:H9)</f>
        <v>2.9970606123850179E-3</v>
      </c>
      <c r="D9">
        <f>Concentrations!F9/Concentrations!E9</f>
        <v>1.0005672704033262</v>
      </c>
    </row>
    <row r="10" spans="1:4">
      <c r="A10" s="164">
        <f>'Mass Balance'!I10</f>
        <v>0</v>
      </c>
      <c r="B10">
        <f>'Mass Balance'!E10</f>
        <v>2.9986960853286746E-3</v>
      </c>
      <c r="C10">
        <f>SUM('Mass Balance'!E10:H10)</f>
        <v>2.998813353144285E-3</v>
      </c>
      <c r="D10">
        <f>Concentrations!F10/Concentrations!E10</f>
        <v>1.0008501230712614</v>
      </c>
    </row>
    <row r="11" spans="1:4">
      <c r="A11" s="164">
        <f>'Mass Balance'!I11</f>
        <v>0</v>
      </c>
      <c r="B11">
        <f>'Mass Balance'!E11</f>
        <v>2.2268931060056738E-6</v>
      </c>
      <c r="C11">
        <f>SUM('Mass Balance'!E11:H11)</f>
        <v>2.2330017548906609E-6</v>
      </c>
      <c r="D11">
        <f>Concentrations!F11/Concentrations!E11</f>
        <v>0.99815120782811972</v>
      </c>
    </row>
    <row r="12" spans="1:4">
      <c r="A12" s="164">
        <f>'Mass Balance'!I12</f>
        <v>0</v>
      </c>
      <c r="B12">
        <f>'Mass Balance'!E12</f>
        <v>2.2268931060056738E-6</v>
      </c>
      <c r="C12">
        <f>SUM('Mass Balance'!E12:H12)</f>
        <v>2.2330017548906609E-6</v>
      </c>
      <c r="D12">
        <f>Concentrations!F12/Concentrations!E12</f>
        <v>0.99815120782811972</v>
      </c>
    </row>
    <row r="13" spans="1:4">
      <c r="A13" s="164">
        <f>'Mass Balance'!I13</f>
        <v>0</v>
      </c>
      <c r="B13">
        <f>'Mass Balance'!E13</f>
        <v>2.1385040777313854E-3</v>
      </c>
      <c r="C13">
        <f>SUM('Mass Balance'!E13:H13)</f>
        <v>2.3809698644744544E-3</v>
      </c>
      <c r="D13">
        <f>Concentrations!F13/Concentrations!E13</f>
        <v>0.89896382198385427</v>
      </c>
    </row>
    <row r="14" spans="1:4">
      <c r="A14" s="164">
        <f>'Mass Balance'!I14</f>
        <v>0</v>
      </c>
      <c r="B14">
        <f>'Mass Balance'!E14</f>
        <v>8.8061326030051056E-5</v>
      </c>
      <c r="C14">
        <f>SUM('Mass Balance'!E14:H14)</f>
        <v>2.4029383693168205E-3</v>
      </c>
      <c r="D14">
        <f>Concentrations!F14/Concentrations!E14</f>
        <v>3.6679940192375839E-2</v>
      </c>
    </row>
    <row r="15" spans="1:4">
      <c r="A15" s="164">
        <f>'Mass Balance'!I15</f>
        <v>0</v>
      </c>
      <c r="B15">
        <f>'Mass Balance'!E15</f>
        <v>0</v>
      </c>
      <c r="C15">
        <f>SUM('Mass Balance'!E15:H15)</f>
        <v>0</v>
      </c>
      <c r="D15" t="e">
        <f>Concentrations!F15/Concentrations!E15</f>
        <v>#DIV/0!</v>
      </c>
    </row>
    <row r="16" spans="1:4">
      <c r="A16" s="164">
        <f>'Mass Balance'!I16</f>
        <v>0</v>
      </c>
      <c r="B16">
        <f>'Mass Balance'!E16</f>
        <v>0</v>
      </c>
      <c r="C16">
        <f>SUM('Mass Balance'!E16:H16)</f>
        <v>0</v>
      </c>
      <c r="D16" t="e">
        <f>Concentrations!F16/Concentrations!E16</f>
        <v>#DIV/0!</v>
      </c>
    </row>
    <row r="17" spans="1:4">
      <c r="A17" s="164">
        <f>'Mass Balance'!I17</f>
        <v>0</v>
      </c>
      <c r="B17">
        <f>'Mass Balance'!E17</f>
        <v>0</v>
      </c>
      <c r="C17">
        <f>SUM('Mass Balance'!E17:H17)</f>
        <v>0</v>
      </c>
      <c r="D17" t="e">
        <f>Concentrations!F17/Concentrations!E17</f>
        <v>#DIV/0!</v>
      </c>
    </row>
    <row r="18" spans="1:4">
      <c r="A18" s="164">
        <f>'Mass Balance'!I18</f>
        <v>0</v>
      </c>
      <c r="B18">
        <f>'Mass Balance'!E18</f>
        <v>0</v>
      </c>
      <c r="C18">
        <f>SUM('Mass Balance'!E18:H18)</f>
        <v>0</v>
      </c>
      <c r="D18" t="e">
        <f>Concentrations!F18/Concentrations!E18</f>
        <v>#DIV/0!</v>
      </c>
    </row>
    <row r="19" spans="1:4">
      <c r="A19" s="164">
        <f>'Mass Balance'!I19</f>
        <v>0</v>
      </c>
      <c r="B19">
        <f>'Mass Balance'!E19</f>
        <v>0</v>
      </c>
      <c r="C19">
        <f>SUM('Mass Balance'!E19:H19)</f>
        <v>0</v>
      </c>
      <c r="D19" t="e">
        <f>Concentrations!F19/Concentrations!E19</f>
        <v>#DIV/0!</v>
      </c>
    </row>
    <row r="20" spans="1:4">
      <c r="A20" s="164">
        <f>'Mass Balance'!I20</f>
        <v>0</v>
      </c>
      <c r="B20">
        <f>'Mass Balance'!E20</f>
        <v>0</v>
      </c>
      <c r="C20">
        <f>SUM('Mass Balance'!E20:H20)</f>
        <v>0</v>
      </c>
      <c r="D20" t="e">
        <f>Concentrations!F20/Concentrations!E20</f>
        <v>#DIV/0!</v>
      </c>
    </row>
    <row r="21" spans="1:4">
      <c r="A21" s="164">
        <f>'Mass Balance'!I21</f>
        <v>0</v>
      </c>
      <c r="B21">
        <f>'Mass Balance'!E21</f>
        <v>0</v>
      </c>
      <c r="C21">
        <f>SUM('Mass Balance'!E21:H21)</f>
        <v>0</v>
      </c>
      <c r="D21" t="e">
        <f>Concentrations!F21/Concentrations!E21</f>
        <v>#DIV/0!</v>
      </c>
    </row>
    <row r="22" spans="1:4">
      <c r="A22" s="164">
        <f>'Mass Balance'!I22</f>
        <v>0</v>
      </c>
      <c r="B22">
        <f>'Mass Balance'!E22</f>
        <v>0</v>
      </c>
      <c r="C22">
        <f>SUM('Mass Balance'!E22:H22)</f>
        <v>0</v>
      </c>
      <c r="D22" t="e">
        <f>Concentrations!F22/Concentrations!E22</f>
        <v>#DIV/0!</v>
      </c>
    </row>
    <row r="23" spans="1:4">
      <c r="A23" s="164">
        <f>'Mass Balance'!I23</f>
        <v>0</v>
      </c>
      <c r="B23">
        <f>'Mass Balance'!E23</f>
        <v>0</v>
      </c>
      <c r="C23">
        <f>SUM('Mass Balance'!E23:H23)</f>
        <v>0</v>
      </c>
      <c r="D23" t="e">
        <f>Concentrations!F23/Concentrations!E23</f>
        <v>#DIV/0!</v>
      </c>
    </row>
    <row r="24" spans="1:4">
      <c r="A24" s="164">
        <f>'Mass Balance'!I24</f>
        <v>0</v>
      </c>
      <c r="B24">
        <f>'Mass Balance'!E24</f>
        <v>0</v>
      </c>
      <c r="C24">
        <f>SUM('Mass Balance'!E24:H24)</f>
        <v>0</v>
      </c>
      <c r="D24" t="e">
        <f>Concentrations!F24/Concentrations!E24</f>
        <v>#DIV/0!</v>
      </c>
    </row>
    <row r="25" spans="1:4">
      <c r="A25" s="164">
        <f>'Mass Balance'!I25</f>
        <v>0</v>
      </c>
      <c r="B25">
        <f>'Mass Balance'!E25</f>
        <v>0</v>
      </c>
      <c r="C25">
        <f>SUM('Mass Balance'!E25:H25)</f>
        <v>0</v>
      </c>
      <c r="D25" t="e">
        <f>Concentrations!F25/Concentrations!E25</f>
        <v>#DIV/0!</v>
      </c>
    </row>
    <row r="26" spans="1:4">
      <c r="A26" s="164">
        <f>'Mass Balance'!I26</f>
        <v>0</v>
      </c>
      <c r="B26">
        <f>'Mass Balance'!E26</f>
        <v>0</v>
      </c>
      <c r="C26">
        <f>SUM('Mass Balance'!E26:H26)</f>
        <v>0</v>
      </c>
      <c r="D26" t="e">
        <f>Concentrations!F26/Concentrations!E26</f>
        <v>#DIV/0!</v>
      </c>
    </row>
    <row r="27" spans="1:4">
      <c r="A27" s="164">
        <f>'Mass Balance'!I27</f>
        <v>0</v>
      </c>
      <c r="B27">
        <f>'Mass Balance'!E27</f>
        <v>0</v>
      </c>
      <c r="C27">
        <f>SUM('Mass Balance'!E27:H27)</f>
        <v>0</v>
      </c>
      <c r="D27" t="e">
        <f>Concentrations!F27/Concentrations!E27</f>
        <v>#DIV/0!</v>
      </c>
    </row>
    <row r="28" spans="1:4">
      <c r="A28" s="164">
        <f>'Mass Balance'!I28</f>
        <v>0</v>
      </c>
      <c r="B28">
        <f>'Mass Balance'!E28</f>
        <v>0</v>
      </c>
      <c r="C28">
        <f>SUM('Mass Balance'!E28:H28)</f>
        <v>0</v>
      </c>
      <c r="D28" t="e">
        <f>Concentrations!F28/Concentrations!E28</f>
        <v>#DIV/0!</v>
      </c>
    </row>
    <row r="29" spans="1:4">
      <c r="A29" s="164">
        <f>'Mass Balance'!I29</f>
        <v>0</v>
      </c>
      <c r="B29">
        <f>'Mass Balance'!E29</f>
        <v>0</v>
      </c>
      <c r="C29">
        <f>SUM('Mass Balance'!E29:H29)</f>
        <v>0</v>
      </c>
      <c r="D29" t="e">
        <f>Concentrations!F29/Concentrations!E29</f>
        <v>#DIV/0!</v>
      </c>
    </row>
    <row r="30" spans="1:4">
      <c r="A30" s="164">
        <f>'Mass Balance'!I30</f>
        <v>0</v>
      </c>
      <c r="B30">
        <f>'Mass Balance'!E30</f>
        <v>0</v>
      </c>
      <c r="C30">
        <f>SUM('Mass Balance'!E30:H30)</f>
        <v>0</v>
      </c>
      <c r="D30" t="e">
        <f>Concentrations!F30/Concentrations!E30</f>
        <v>#DIV/0!</v>
      </c>
    </row>
    <row r="31" spans="1:4">
      <c r="A31" s="164">
        <f>'Mass Balance'!I31</f>
        <v>0</v>
      </c>
      <c r="B31">
        <f>'Mass Balance'!E31</f>
        <v>0</v>
      </c>
      <c r="C31">
        <f>SUM('Mass Balance'!E31:H31)</f>
        <v>0</v>
      </c>
      <c r="D31" t="e">
        <f>Concentrations!F31/Concentrations!E31</f>
        <v>#DIV/0!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Input System Parameters</vt:lpstr>
      <vt:lpstr>Well Plate Characteristics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2025-02-02T02:49:43Z</dcterms:modified>
</cp:coreProperties>
</file>