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model comparison_update_based reviewer\Validation_Armitage\Validation_Hsu\"/>
    </mc:Choice>
  </mc:AlternateContent>
  <xr:revisionPtr revIDLastSave="0" documentId="13_ncr:1_{DB219DB8-1062-41C0-950C-466EB8101215}" xr6:coauthVersionLast="47" xr6:coauthVersionMax="47" xr10:uidLastSave="{00000000-0000-0000-0000-000000000000}"/>
  <bookViews>
    <workbookView minimized="1" xWindow="9982" yWindow="2055" windowWidth="16321" windowHeight="1005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4" i="1" l="1"/>
  <c r="L24" i="1" s="1"/>
  <c r="L23" i="1"/>
  <c r="O23" i="1" s="1"/>
  <c r="N24" i="1"/>
  <c r="J21" i="4"/>
  <c r="J2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22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M24" i="1" l="1"/>
  <c r="O25" i="1" s="1"/>
  <c r="J14" i="4"/>
  <c r="J13" i="4" s="1"/>
  <c r="K16" i="4" s="1"/>
  <c r="J8" i="4"/>
  <c r="J10" i="4"/>
  <c r="J9" i="4"/>
  <c r="J19" i="4"/>
  <c r="K14" i="4" l="1"/>
  <c r="K13" i="4"/>
  <c r="K15" i="4"/>
  <c r="J7" i="4"/>
  <c r="K19" i="4"/>
  <c r="K22" i="4"/>
  <c r="K21" i="4"/>
  <c r="K20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42" i="4"/>
  <c r="K42" i="4" s="1"/>
  <c r="O42" i="4" s="1"/>
  <c r="P42" i="4" s="1"/>
  <c r="J36" i="4"/>
  <c r="K36" i="4" s="1"/>
  <c r="O36" i="4" s="1"/>
  <c r="J52" i="4"/>
  <c r="K52" i="4" s="1"/>
  <c r="O52" i="4" s="1"/>
  <c r="P52" i="4" s="1"/>
  <c r="J62" i="4"/>
  <c r="K62" i="4" s="1"/>
  <c r="O62" i="4" s="1"/>
  <c r="P62" i="4" s="1"/>
  <c r="J60" i="4"/>
  <c r="K60" i="4" s="1"/>
  <c r="O60" i="4" s="1"/>
  <c r="P60" i="4" s="1"/>
  <c r="J44" i="4"/>
  <c r="K44" i="4" s="1"/>
  <c r="O44" i="4" s="1"/>
  <c r="P44" i="4" s="1"/>
  <c r="J37" i="4"/>
  <c r="K37" i="4" s="1"/>
  <c r="O37" i="4" s="1"/>
  <c r="J51" i="4"/>
  <c r="K51" i="4" s="1"/>
  <c r="O51" i="4" s="1"/>
  <c r="P51" i="4" s="1"/>
  <c r="J39" i="4"/>
  <c r="K39" i="4" s="1"/>
  <c r="O39" i="4" s="1"/>
  <c r="J38" i="4"/>
  <c r="K38" i="4" s="1"/>
  <c r="O38" i="4" s="1"/>
  <c r="J56" i="4"/>
  <c r="K56" i="4" s="1"/>
  <c r="O56" i="4" s="1"/>
  <c r="P56" i="4" s="1"/>
  <c r="J46" i="4"/>
  <c r="K46" i="4" s="1"/>
  <c r="O46" i="4" s="1"/>
  <c r="P46" i="4" s="1"/>
  <c r="J45" i="4"/>
  <c r="K45" i="4" s="1"/>
  <c r="O45" i="4" s="1"/>
  <c r="P45" i="4" s="1"/>
  <c r="J58" i="4"/>
  <c r="K58" i="4" s="1"/>
  <c r="O58" i="4" s="1"/>
  <c r="P58" i="4" s="1"/>
  <c r="J48" i="4"/>
  <c r="K48" i="4" s="1"/>
  <c r="O48" i="4" s="1"/>
  <c r="P48" i="4" s="1"/>
  <c r="J55" i="4"/>
  <c r="K55" i="4" s="1"/>
  <c r="O55" i="4" s="1"/>
  <c r="P55" i="4" s="1"/>
  <c r="J61" i="4"/>
  <c r="K61" i="4" s="1"/>
  <c r="O61" i="4" s="1"/>
  <c r="P61" i="4" s="1"/>
  <c r="J47" i="4"/>
  <c r="K47" i="4" s="1"/>
  <c r="O47" i="4" s="1"/>
  <c r="P47" i="4" s="1"/>
  <c r="J40" i="4"/>
  <c r="K40" i="4" s="1"/>
  <c r="O40" i="4" s="1"/>
  <c r="P40" i="4" s="1"/>
  <c r="J54" i="4"/>
  <c r="K54" i="4" s="1"/>
  <c r="O54" i="4" s="1"/>
  <c r="P54" i="4" s="1"/>
  <c r="J43" i="4"/>
  <c r="K43" i="4" s="1"/>
  <c r="O43" i="4" s="1"/>
  <c r="P43" i="4" s="1"/>
  <c r="J57" i="4"/>
  <c r="K57" i="4" s="1"/>
  <c r="O57" i="4" s="1"/>
  <c r="P57" i="4" s="1"/>
  <c r="J53" i="4"/>
  <c r="K53" i="4" s="1"/>
  <c r="O53" i="4" s="1"/>
  <c r="P53" i="4" s="1"/>
  <c r="J49" i="4"/>
  <c r="K49" i="4" s="1"/>
  <c r="O49" i="4" s="1"/>
  <c r="P49" i="4" s="1"/>
  <c r="J41" i="4"/>
  <c r="K41" i="4" s="1"/>
  <c r="O41" i="4" s="1"/>
  <c r="P41" i="4" s="1"/>
  <c r="J59" i="4"/>
  <c r="K59" i="4" s="1"/>
  <c r="O59" i="4" s="1"/>
  <c r="P59" i="4" s="1"/>
  <c r="J50" i="4"/>
  <c r="K50" i="4" s="1"/>
  <c r="O50" i="4" s="1"/>
  <c r="P50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N35" i="4" s="1"/>
  <c r="Q35" i="4" s="1"/>
  <c r="I31" i="4"/>
  <c r="N31" i="4" s="1"/>
  <c r="Q31" i="4" s="1"/>
  <c r="I33" i="4"/>
  <c r="N33" i="4" s="1"/>
  <c r="Q33" i="4" s="1"/>
  <c r="I30" i="4"/>
  <c r="N30" i="4" s="1"/>
  <c r="Q30" i="4" s="1"/>
  <c r="I32" i="4"/>
  <c r="N32" i="4" s="1"/>
  <c r="Q32" i="4" s="1"/>
  <c r="I28" i="4"/>
  <c r="N28" i="4" s="1"/>
  <c r="Q28" i="4" s="1"/>
  <c r="I29" i="4"/>
  <c r="N29" i="4" s="1"/>
  <c r="Q29" i="4" s="1"/>
  <c r="I34" i="4"/>
  <c r="N34" i="4" s="1"/>
  <c r="Q34" i="4" s="1"/>
  <c r="J32" i="4"/>
  <c r="J28" i="4"/>
  <c r="J35" i="4"/>
  <c r="J31" i="4"/>
  <c r="J29" i="4"/>
  <c r="J30" i="4"/>
  <c r="J33" i="4"/>
  <c r="J34" i="4"/>
  <c r="K7" i="4"/>
  <c r="K8" i="4"/>
  <c r="K9" i="4"/>
  <c r="K10" i="4"/>
  <c r="P37" i="4" l="1"/>
  <c r="P38" i="4"/>
  <c r="P39" i="4"/>
  <c r="P36" i="4"/>
  <c r="L66" i="4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L41" i="4"/>
  <c r="M41" i="4" s="1"/>
  <c r="N41" i="4"/>
  <c r="Q41" i="4" s="1"/>
  <c r="N62" i="4"/>
  <c r="Q62" i="4" s="1"/>
  <c r="L62" i="4"/>
  <c r="M62" i="4" s="1"/>
  <c r="N50" i="4"/>
  <c r="Q50" i="4" s="1"/>
  <c r="L50" i="4"/>
  <c r="M50" i="4" s="1"/>
  <c r="L47" i="4"/>
  <c r="M47" i="4" s="1"/>
  <c r="N47" i="4"/>
  <c r="Q47" i="4" s="1"/>
  <c r="N55" i="4"/>
  <c r="Q55" i="4" s="1"/>
  <c r="L55" i="4"/>
  <c r="M55" i="4" s="1"/>
  <c r="L56" i="4"/>
  <c r="M56" i="4" s="1"/>
  <c r="N56" i="4"/>
  <c r="Q56" i="4" s="1"/>
  <c r="N51" i="4"/>
  <c r="Q51" i="4" s="1"/>
  <c r="L51" i="4"/>
  <c r="M51" i="4" s="1"/>
  <c r="N59" i="4"/>
  <c r="Q59" i="4" s="1"/>
  <c r="L59" i="4"/>
  <c r="M59" i="4" s="1"/>
  <c r="N42" i="4"/>
  <c r="Q42" i="4" s="1"/>
  <c r="L42" i="4"/>
  <c r="M42" i="4" s="1"/>
  <c r="N46" i="4"/>
  <c r="Q46" i="4" s="1"/>
  <c r="L46" i="4"/>
  <c r="M46" i="4" s="1"/>
  <c r="N57" i="4"/>
  <c r="Q57" i="4" s="1"/>
  <c r="L57" i="4"/>
  <c r="M57" i="4" s="1"/>
  <c r="L40" i="4"/>
  <c r="M40" i="4" s="1"/>
  <c r="N40" i="4"/>
  <c r="Q40" i="4" s="1"/>
  <c r="L48" i="4"/>
  <c r="M48" i="4" s="1"/>
  <c r="N48" i="4"/>
  <c r="Q48" i="4" s="1"/>
  <c r="L49" i="4"/>
  <c r="M49" i="4" s="1"/>
  <c r="N49" i="4"/>
  <c r="Q49" i="4" s="1"/>
  <c r="L58" i="4"/>
  <c r="M58" i="4" s="1"/>
  <c r="N58" i="4"/>
  <c r="Q58" i="4" s="1"/>
  <c r="L45" i="4"/>
  <c r="M45" i="4" s="1"/>
  <c r="N45" i="4"/>
  <c r="Q45" i="4" s="1"/>
  <c r="N37" i="4"/>
  <c r="Q37" i="4" s="1"/>
  <c r="L37" i="4"/>
  <c r="M37" i="4" s="1"/>
  <c r="N43" i="4"/>
  <c r="Q43" i="4" s="1"/>
  <c r="L43" i="4"/>
  <c r="M43" i="4" s="1"/>
  <c r="L54" i="4"/>
  <c r="M54" i="4" s="1"/>
  <c r="N54" i="4"/>
  <c r="Q54" i="4" s="1"/>
  <c r="N39" i="4"/>
  <c r="Q39" i="4" s="1"/>
  <c r="L39" i="4"/>
  <c r="M39" i="4" s="1"/>
  <c r="N52" i="4"/>
  <c r="Q52" i="4" s="1"/>
  <c r="L52" i="4"/>
  <c r="M52" i="4" s="1"/>
  <c r="N38" i="4"/>
  <c r="Q38" i="4" s="1"/>
  <c r="L38" i="4"/>
  <c r="M38" i="4" s="1"/>
  <c r="N44" i="4"/>
  <c r="Q44" i="4" s="1"/>
  <c r="L44" i="4"/>
  <c r="M44" i="4" s="1"/>
  <c r="L36" i="4"/>
  <c r="M36" i="4" s="1"/>
  <c r="N36" i="4"/>
  <c r="Q36" i="4" s="1"/>
  <c r="N61" i="4"/>
  <c r="Q61" i="4" s="1"/>
  <c r="L61" i="4"/>
  <c r="M61" i="4" s="1"/>
  <c r="L53" i="4"/>
  <c r="M53" i="4" s="1"/>
  <c r="N53" i="4"/>
  <c r="Q53" i="4" s="1"/>
  <c r="L60" i="4"/>
  <c r="M60" i="4" s="1"/>
  <c r="N60" i="4"/>
  <c r="Q60" i="4" s="1"/>
  <c r="K35" i="4"/>
  <c r="O35" i="4" s="1"/>
  <c r="R35" i="4" s="1"/>
  <c r="L35" i="4"/>
  <c r="M35" i="4" s="1"/>
  <c r="L30" i="4"/>
  <c r="M30" i="4" s="1"/>
  <c r="K30" i="4"/>
  <c r="O30" i="4" s="1"/>
  <c r="K28" i="4"/>
  <c r="O28" i="4" s="1"/>
  <c r="R28" i="4" s="1"/>
  <c r="L28" i="4"/>
  <c r="M28" i="4" s="1"/>
  <c r="L32" i="4"/>
  <c r="M32" i="4" s="1"/>
  <c r="K32" i="4"/>
  <c r="O32" i="4" s="1"/>
  <c r="K34" i="4"/>
  <c r="O34" i="4" s="1"/>
  <c r="L34" i="4"/>
  <c r="M34" i="4" s="1"/>
  <c r="K31" i="4"/>
  <c r="O31" i="4" s="1"/>
  <c r="L31" i="4"/>
  <c r="M31" i="4" s="1"/>
  <c r="L33" i="4"/>
  <c r="M33" i="4" s="1"/>
  <c r="K33" i="4"/>
  <c r="O33" i="4" s="1"/>
  <c r="K29" i="4"/>
  <c r="O29" i="4" s="1"/>
  <c r="R29" i="4" s="1"/>
  <c r="L29" i="4"/>
  <c r="M29" i="4" s="1"/>
  <c r="P30" i="4" l="1"/>
  <c r="R30" i="4"/>
  <c r="P33" i="4"/>
  <c r="R33" i="4"/>
  <c r="P32" i="4"/>
  <c r="R32" i="4"/>
  <c r="P34" i="4"/>
  <c r="R34" i="4"/>
  <c r="P31" i="4"/>
  <c r="R31" i="4"/>
  <c r="P29" i="4"/>
  <c r="P35" i="4"/>
  <c r="P28" i="4"/>
  <c r="O70" i="4"/>
  <c r="P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<sst xmlns="http://schemas.openxmlformats.org/spreadsheetml/2006/main" count="131" uniqueCount="97">
  <si>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</si>
  <si>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</si>
  <si>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</si>
  <si>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</si>
  <si>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</si>
  <si>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</si>
  <si>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</si>
  <si>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</si>
  <si>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</si>
  <si>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</si>
  <si>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</si>
  <si>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</si>
  <si>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</si>
  <si>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</si>
  <si>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</si>
  <si>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</si>
  <si>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</si>
  <si>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</si>
  <si>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</si>
  <si>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</si>
  <si>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</si>
  <si>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</si>
  <si>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</si>
  <si>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</si>
  <si>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</si>
  <si>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</si>
  <si>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</si>
  <si>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</si>
  <si>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</si>
  <si>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</si>
  <si>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</si>
  <si>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</si>
  <si>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</si>
  <si>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</si>
  <si>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</si>
  <si>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</si>
  <si>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</si>
  <si>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</si>
  <si>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</si>
  <si>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</si>
  <si>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</si>
  <si>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</si>
  <si>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</si>
  <si>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</si>
  <si>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</si>
  <si>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</si>
  <si>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</si>
  <si>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</si>
  <si>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</si>
  <si>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</si>
  <si>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</si>
  <si>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</si>
  <si>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</si>
  <si>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</si>
  <si>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</si>
  <si>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</si>
  <si>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</si>
  <si>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</si>
  <si>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</si>
  <si>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</si>
  <si>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</si>
  <si>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</si>
  <si>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</si>
  <si>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</si>
  <si>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</si>
  <si>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</si>
  <si>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</si>
  <si>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</si>
  <si>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</si>
  <si>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</si>
  <si>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</si>
  <si>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</si>
  <si>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</si>
  <si>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</si>
  <si>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</si>
  <si>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</si>
  <si>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</si>
  <si>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</si>
  <si>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</si>
  <si>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OptiMEM</t>
    <phoneticPr fontId="18" type="noConversion"/>
  </si>
  <si>
    <t>Caffeine</t>
  </si>
  <si>
    <t>Lamotrigine</t>
  </si>
  <si>
    <t>2,4-Dichlorophenoxyacetic</t>
  </si>
  <si>
    <t>(S)-Naproxen</t>
  </si>
  <si>
    <t>Ibuprofen</t>
  </si>
  <si>
    <t>Torasemide</t>
  </si>
  <si>
    <t>Warfarin</t>
  </si>
  <si>
    <t>ARE</t>
  </si>
  <si>
    <t>58-08-2</t>
  </si>
  <si>
    <t>84057-84-1</t>
  </si>
  <si>
    <t>15307-79-6</t>
  </si>
  <si>
    <t>94-75-7</t>
  </si>
  <si>
    <t>22204-53-1</t>
  </si>
  <si>
    <t>15687-27-1</t>
  </si>
  <si>
    <t>56211-40-6</t>
  </si>
  <si>
    <t>81-81-2</t>
  </si>
  <si>
    <t>Diclofenac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</si>
</sst>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0000000000"/>
    <numFmt numFmtId="179" formatCode="0.0%"/>
    <numFmt numFmtId="180" formatCode="0.00_);[Red]\(0.00\)"/>
    <numFmt numFmtId="181" formatCode="0.00000_);[Red]\(0.00000\)"/>
    <numFmt numFmtId="182" formatCode="0.000000_);[Red]\(0.000000\)"/>
  </numFmts>
  <fonts count="29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rgb="FFFF0000"/>
      <name val="新細明體"/>
      <family val="2"/>
      <scheme val="minor"/>
    </font>
    <font>
      <sz val="11"/>
      <name val="Calibri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11"/>
      <color rgb="FFFFC000"/>
      <name val="Helvetica"/>
      <family val="2"/>
    </font>
    <font>
      <sz val="11"/>
      <color rgb="FFFFC000"/>
      <name val="Calibri"/>
      <family val="2"/>
    </font>
    <font>
      <sz val="11"/>
      <color theme="0" tint="-0.34998626667073579"/>
      <name val="Helvetica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3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80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81" fontId="0" fillId="3" borderId="0" xfId="0" applyNumberFormat="1" applyFill="1"/>
    <xf numFmtId="182" fontId="0" fillId="3" borderId="0" xfId="0" applyNumberFormat="1" applyFill="1"/>
    <xf numFmtId="182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9" borderId="7" xfId="0" applyFont="1" applyFill="1" applyBorder="1" applyAlignment="1" applyProtection="1">
      <alignment horizontal="left" vertical="center"/>
      <protection locked="0"/>
    </xf>
    <xf numFmtId="0" fontId="23" fillId="0" borderId="0" xfId="0" applyFont="1" applyAlignment="1">
      <alignment vertical="center"/>
    </xf>
    <xf numFmtId="0" fontId="1" fillId="9" borderId="0" xfId="0" applyFont="1" applyFill="1" applyAlignment="1">
      <alignment vertical="center"/>
    </xf>
    <xf numFmtId="0" fontId="24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0" fontId="25" fillId="9" borderId="0" xfId="0" applyFont="1" applyFill="1" applyAlignment="1">
      <alignment vertical="center"/>
    </xf>
    <xf numFmtId="0" fontId="26" fillId="9" borderId="7" xfId="0" applyFont="1" applyFill="1" applyBorder="1" applyAlignment="1" applyProtection="1">
      <alignment horizontal="left" vertical="center"/>
      <protection locked="0"/>
    </xf>
    <xf numFmtId="2" fontId="25" fillId="9" borderId="7" xfId="0" applyNumberFormat="1" applyFont="1" applyFill="1" applyBorder="1" applyAlignment="1" applyProtection="1">
      <alignment horizontal="center" vertical="center"/>
      <protection locked="0"/>
    </xf>
    <xf numFmtId="11" fontId="25" fillId="9" borderId="7" xfId="0" applyNumberFormat="1" applyFont="1" applyFill="1" applyBorder="1" applyAlignment="1" applyProtection="1">
      <alignment horizontal="center" vertical="center"/>
      <protection locked="0"/>
    </xf>
    <xf numFmtId="2" fontId="27" fillId="2" borderId="7" xfId="0" applyNumberFormat="1" applyFont="1" applyFill="1" applyBorder="1" applyAlignment="1" applyProtection="1">
      <alignment horizontal="center" vertical="center"/>
      <protection hidden="1"/>
    </xf>
    <xf numFmtId="10" fontId="27" fillId="2" borderId="7" xfId="0" applyNumberFormat="1" applyFont="1" applyFill="1" applyBorder="1" applyAlignment="1" applyProtection="1">
      <alignment horizontal="center" vertical="center"/>
      <protection hidden="1"/>
    </xf>
    <xf numFmtId="11" fontId="27" fillId="2" borderId="7" xfId="0" applyNumberFormat="1" applyFont="1" applyFill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28" fillId="9" borderId="7" xfId="0" applyFont="1" applyFill="1" applyBorder="1" applyAlignment="1" applyProtection="1">
      <alignment horizontal="left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A10" zoomScale="90" zoomScaleNormal="90" workbookViewId="0">
      <selection activeCell="R26" sqref="R26:V2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5" t="s">
        <v>59</v>
      </c>
      <c r="C2" s="116"/>
      <c r="D2" s="116"/>
      <c r="E2" s="116"/>
      <c r="F2" s="116"/>
      <c r="G2" s="116"/>
      <c r="H2" s="117"/>
      <c r="I2" s="7"/>
      <c r="J2" s="106" t="s">
        <v>58</v>
      </c>
      <c r="K2" s="107"/>
      <c r="L2" s="107"/>
      <c r="M2" s="107"/>
      <c r="N2" s="107"/>
      <c r="O2" s="108"/>
      <c r="P2" s="7"/>
      <c r="Q2" s="106" t="s">
        <v>60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79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17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83">
        <v>2.8680324799999998E-3</v>
      </c>
      <c r="M17" s="83">
        <v>1.56161938E-4</v>
      </c>
      <c r="N17" s="83">
        <v>1.3975581999999998E-5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>
        <f>1-M23-N23</f>
        <v>0.94399999999999995</v>
      </c>
      <c r="M23" s="88">
        <v>5.1400000000000001E-2</v>
      </c>
      <c r="N23" s="87">
        <v>4.5999999999999999E-3</v>
      </c>
      <c r="O23" s="87">
        <f>SUM(L23:N23)</f>
        <v>1</v>
      </c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>
        <f>L23*$O$24</f>
        <v>2.8680324799999998E-3</v>
      </c>
      <c r="M24" s="91">
        <f t="shared" ref="M24:N24" si="0">M23*$O$24</f>
        <v>1.56161938E-4</v>
      </c>
      <c r="N24" s="91">
        <f t="shared" si="0"/>
        <v>1.3975581999999998E-5</v>
      </c>
      <c r="O24" s="89">
        <f>SUM(L17:N17)</f>
        <v>3.0381699999999998E-3</v>
      </c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>
        <f>SUM(L24:N24)</f>
        <v>3.0381699999999998E-3</v>
      </c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B23" zoomScale="90" zoomScaleNormal="90" workbookViewId="0">
      <selection activeCell="R28" sqref="R28:R35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3"/>
      <c r="H2" s="143"/>
      <c r="I2" s="156" t="s">
        <v>20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3"/>
      <c r="H5" s="143"/>
      <c r="I5" s="165" t="s">
        <v>40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3"/>
      <c r="H6" s="143"/>
      <c r="I6" s="50" t="s">
        <v>51</v>
      </c>
      <c r="J6" s="50" t="s">
        <v>52</v>
      </c>
      <c r="K6" s="50" t="s">
        <v>48</v>
      </c>
      <c r="L6" s="135" t="s">
        <v>41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3"/>
      <c r="H7" s="143"/>
      <c r="I7" s="51" t="s">
        <v>21</v>
      </c>
      <c r="J7" s="38">
        <f>SUM(J13,J19)</f>
        <v>220.06076340000001</v>
      </c>
      <c r="K7" s="39">
        <f>J7/J7</f>
        <v>1</v>
      </c>
      <c r="L7" s="118" t="s">
        <v>70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219.48756064960003</v>
      </c>
      <c r="K8" s="40">
        <f>J8/J7</f>
        <v>0.99739525237691695</v>
      </c>
      <c r="L8" s="118" t="s">
        <v>71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0.53112323876000012</v>
      </c>
      <c r="K9" s="40">
        <f>J9/J7</f>
        <v>2.4135299294340269E-3</v>
      </c>
      <c r="L9" s="118" t="s">
        <v>71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4.2079511640000004E-2</v>
      </c>
      <c r="K10" s="40">
        <f>J10/J7</f>
        <v>1.9121769364906241E-4</v>
      </c>
      <c r="L10" s="118" t="s">
        <v>71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6" t="s">
        <v>38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9"/>
      <c r="C12" s="150"/>
      <c r="D12" s="150"/>
      <c r="E12" s="150"/>
      <c r="F12" s="151"/>
      <c r="G12" s="143"/>
      <c r="H12" s="143"/>
      <c r="I12" s="50" t="s">
        <v>53</v>
      </c>
      <c r="J12" s="50" t="s">
        <v>52</v>
      </c>
      <c r="K12" s="50" t="s">
        <v>48</v>
      </c>
      <c r="L12" s="135" t="s">
        <v>41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71" t="s">
        <v>41</v>
      </c>
      <c r="E13" s="171"/>
      <c r="F13" s="171"/>
      <c r="G13" s="143"/>
      <c r="H13" s="143"/>
      <c r="I13" s="51" t="s">
        <v>5</v>
      </c>
      <c r="J13" s="42">
        <f>SUM(J14:J16)</f>
        <v>220</v>
      </c>
      <c r="K13" s="39">
        <f>J13/J13</f>
        <v>1</v>
      </c>
      <c r="L13" s="118" t="s">
        <v>73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35</v>
      </c>
      <c r="C14" s="44">
        <v>220</v>
      </c>
      <c r="D14" s="172" t="s">
        <v>18</v>
      </c>
      <c r="E14" s="172"/>
      <c r="F14" s="172"/>
      <c r="G14" s="143"/>
      <c r="H14" s="143"/>
      <c r="I14" s="52" t="s">
        <v>45</v>
      </c>
      <c r="J14" s="42">
        <f>C14-SUM(J15:J16)</f>
        <v>219.43020000000001</v>
      </c>
      <c r="K14" s="40">
        <f>J14/J13</f>
        <v>0.99741000000000002</v>
      </c>
      <c r="L14" s="140" t="s">
        <v>72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44" t="s">
        <v>14</v>
      </c>
      <c r="D15" s="173" t="s">
        <v>62</v>
      </c>
      <c r="E15" s="173"/>
      <c r="F15" s="173"/>
      <c r="G15" s="143"/>
      <c r="H15" s="143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0.52800000000000014</v>
      </c>
      <c r="K15" s="40">
        <f>J15/J13</f>
        <v>2.4000000000000007E-3</v>
      </c>
      <c r="L15" s="118" t="s">
        <v>71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36</v>
      </c>
      <c r="C16" s="45">
        <v>0.9</v>
      </c>
      <c r="D16" s="174" t="s">
        <v>42</v>
      </c>
      <c r="E16" s="175"/>
      <c r="F16" s="176"/>
      <c r="G16" s="143"/>
      <c r="H16" s="143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4.1800000000000004E-2</v>
      </c>
      <c r="K16" s="40">
        <f>J16/J13</f>
        <v>1.9000000000000001E-4</v>
      </c>
      <c r="L16" s="118" t="s">
        <v>71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78</v>
      </c>
      <c r="D17" s="177" t="s">
        <v>63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37</v>
      </c>
      <c r="C18" s="45">
        <v>0.1</v>
      </c>
      <c r="D18" s="174" t="s">
        <v>43</v>
      </c>
      <c r="E18" s="175"/>
      <c r="F18" s="176"/>
      <c r="G18" s="143"/>
      <c r="H18" s="143"/>
      <c r="I18" s="50" t="s">
        <v>31</v>
      </c>
      <c r="J18" s="50" t="s">
        <v>52</v>
      </c>
      <c r="K18" s="50" t="s">
        <v>48</v>
      </c>
      <c r="L18" s="135" t="s">
        <v>41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6.0763400000000002E-2</v>
      </c>
      <c r="K19" s="39">
        <f>J19/J19</f>
        <v>1</v>
      </c>
      <c r="L19" s="118" t="s">
        <v>57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71" t="s">
        <v>41</v>
      </c>
      <c r="E20" s="171"/>
      <c r="F20" s="171"/>
      <c r="G20" s="143"/>
      <c r="H20" s="143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5.7360649600000001E-2</v>
      </c>
      <c r="K20" s="40">
        <f>J20/J19</f>
        <v>0.94399999999999995</v>
      </c>
      <c r="L20" s="118" t="s">
        <v>71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77</v>
      </c>
      <c r="D21" s="177" t="s">
        <v>63</v>
      </c>
      <c r="E21" s="178"/>
      <c r="F21" s="179"/>
      <c r="G21" s="143"/>
      <c r="H21" s="143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3.12323876E-3</v>
      </c>
      <c r="K21" s="40">
        <f>J21/J19</f>
        <v>5.1399999999999994E-2</v>
      </c>
      <c r="L21" s="118" t="s">
        <v>71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20000</v>
      </c>
      <c r="D22" s="180" t="s">
        <v>69</v>
      </c>
      <c r="E22" s="180"/>
      <c r="F22" s="180"/>
      <c r="G22" s="143"/>
      <c r="H22" s="143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2.7951163999999996E-4</v>
      </c>
      <c r="K22" s="40">
        <f>J22/J19</f>
        <v>4.5999999999999991E-3</v>
      </c>
      <c r="L22" s="118" t="s">
        <v>71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6" t="s">
        <v>39</v>
      </c>
      <c r="C24" s="147"/>
      <c r="D24" s="147"/>
      <c r="E24" s="147"/>
      <c r="F24" s="148"/>
      <c r="G24" s="143"/>
      <c r="H24" s="143"/>
      <c r="I24" s="123" t="s">
        <v>44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4" t="s">
        <v>11</v>
      </c>
      <c r="C26" s="144" t="s">
        <v>12</v>
      </c>
      <c r="D26" s="152" t="s">
        <v>49</v>
      </c>
      <c r="E26" s="152" t="s">
        <v>50</v>
      </c>
      <c r="F26" s="154" t="s">
        <v>68</v>
      </c>
      <c r="G26" s="143"/>
      <c r="H26" s="143"/>
      <c r="I26" s="132" t="s">
        <v>55</v>
      </c>
      <c r="J26" s="132" t="s">
        <v>56</v>
      </c>
      <c r="K26" s="121" t="s">
        <v>76</v>
      </c>
      <c r="L26" s="121" t="s">
        <v>54</v>
      </c>
      <c r="M26" s="121" t="s">
        <v>61</v>
      </c>
      <c r="N26" s="121" t="s">
        <v>64</v>
      </c>
      <c r="O26" s="121" t="s">
        <v>75</v>
      </c>
      <c r="P26" s="121" t="s">
        <v>66</v>
      </c>
      <c r="Q26" s="121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94" t="s">
        <v>87</v>
      </c>
      <c r="B28" s="95" t="s">
        <v>80</v>
      </c>
      <c r="C28" s="93" t="s">
        <v>88</v>
      </c>
      <c r="D28" s="48">
        <v>6.5247999999999973E-2</v>
      </c>
      <c r="E28" s="48">
        <v>8.2216000000000289E-2</v>
      </c>
      <c r="F28" s="58">
        <v>3.6800000000000001E-3</v>
      </c>
      <c r="G28" s="143"/>
      <c r="H28" s="143"/>
      <c r="I28" s="55">
        <f t="shared" ref="I28:I47" si="1">IF(D28=0,"",LOG($K$15*10^D28+$K$16*10^E28+$K$14))</f>
        <v>1.8612811933016251E-4</v>
      </c>
      <c r="J28" s="55">
        <f t="shared" ref="J28:J47" si="2">IF(D28=0,"",LOG($K$21*10^D28+$K$22*10^E28+$K$20))</f>
        <v>4.0165152254126174E-3</v>
      </c>
      <c r="K28" s="56">
        <f t="shared" ref="K28:K47" si="3">IF(D28=0,"",1/(1+10^D28*$J$15/$J$14+10^E28*$J$16/$J$14+10^J28*$J$19/$J$14))</f>
        <v>0.99670489987670485</v>
      </c>
      <c r="L28" s="56">
        <f t="shared" ref="L28:L47" si="4">IF(D28=0,"",1/(1+10^I28/10^J28*$J$13/$J$19))</f>
        <v>2.7856642858557247E-4</v>
      </c>
      <c r="M28" s="56">
        <f t="shared" ref="M28:M47" si="5">IF(D28=0,"",1-L28)</f>
        <v>0.99972143357141441</v>
      </c>
      <c r="N28" s="56">
        <f t="shared" ref="N28:N47" si="6">IF(D28=0,"",1/(1/10^E28*$J$20/$J$22+10^D28/10^E28*$J$21/$J$22+10^I28/10^E28*$J$13/$J$22+1))</f>
        <v>1.5342145344135855E-6</v>
      </c>
      <c r="O28" s="57">
        <f t="shared" ref="O28:O47" si="7">IF(D28=0,"",F28*K28*$J$7/$J$14)</f>
        <v>3.67841418107949E-3</v>
      </c>
      <c r="P28" s="57">
        <f t="shared" ref="P28:P47" si="8">IF(D28=0,"",O28*10^J28)</f>
        <v>3.7125913071079267E-3</v>
      </c>
      <c r="Q28" s="57">
        <f t="shared" ref="Q28:Q47" si="9">IF(D28=0,"",F28*N28*$J$7/$J$22)</f>
        <v>4.445049772230379E-3</v>
      </c>
      <c r="R28" s="9">
        <f>O28/F28</f>
        <v>0.99956907094551362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94" t="s">
        <v>87</v>
      </c>
      <c r="B29" s="95" t="s">
        <v>81</v>
      </c>
      <c r="C29" s="93" t="s">
        <v>89</v>
      </c>
      <c r="D29" s="48">
        <v>2.31</v>
      </c>
      <c r="E29" s="48">
        <v>2.58</v>
      </c>
      <c r="F29" s="58">
        <v>8.6300000000000005E-4</v>
      </c>
      <c r="G29" s="143"/>
      <c r="H29" s="143"/>
      <c r="I29" s="55">
        <f t="shared" si="1"/>
        <v>0.19303079509931281</v>
      </c>
      <c r="J29" s="55">
        <f t="shared" si="2"/>
        <v>1.120159319649946</v>
      </c>
      <c r="K29" s="56">
        <f t="shared" si="3"/>
        <v>0.63801352511300069</v>
      </c>
      <c r="L29" s="56">
        <f t="shared" si="4"/>
        <v>2.3298870781926868E-3</v>
      </c>
      <c r="M29" s="56">
        <f t="shared" si="5"/>
        <v>0.99767011292180729</v>
      </c>
      <c r="N29" s="56">
        <f t="shared" si="6"/>
        <v>3.0898214570041638E-4</v>
      </c>
      <c r="O29" s="57">
        <f t="shared" si="7"/>
        <v>5.5218791465648205E-4</v>
      </c>
      <c r="P29" s="57">
        <f t="shared" si="8"/>
        <v>7.2819252573302967E-3</v>
      </c>
      <c r="Q29" s="57">
        <f t="shared" si="9"/>
        <v>0.20993598992875778</v>
      </c>
      <c r="R29" s="9">
        <f t="shared" ref="R29:R35" si="10">O29/F29</f>
        <v>0.63984694629951566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6" t="s">
        <v>87</v>
      </c>
      <c r="B30" s="99" t="s">
        <v>96</v>
      </c>
      <c r="C30" s="190" t="s">
        <v>90</v>
      </c>
      <c r="D30" s="191">
        <v>4.4000000000000004</v>
      </c>
      <c r="E30" s="191">
        <v>2.64</v>
      </c>
      <c r="F30" s="192">
        <v>8.9400000000000005E-5</v>
      </c>
      <c r="G30" s="143"/>
      <c r="H30" s="143"/>
      <c r="I30" s="103">
        <f>IF(D30=0,"",LOG($K$15*10^D30+$K$16*10^E30+$K$14))</f>
        <v>1.7879251431500753</v>
      </c>
      <c r="J30" s="103">
        <f>IF(D30=0,"",LOG($K$21*10^D30+$K$22*10^E30+$K$20))</f>
        <v>3.1119549496757086</v>
      </c>
      <c r="K30" s="104">
        <f>IF(D30=0,"",1/(1+10^D30*$J$15/$J$14+10^E30*$J$16/$J$14+10^J30*$J$19/$J$14))</f>
        <v>1.615944421786869E-2</v>
      </c>
      <c r="L30" s="104">
        <f>IF(D30=0,"",1/(1+10^I30/10^J30*$J$13/$J$19))</f>
        <v>5.7906462822695359E-3</v>
      </c>
      <c r="M30" s="104">
        <f>IF(D30=0,"",1-L30)</f>
        <v>0.99420935371773045</v>
      </c>
      <c r="N30" s="104">
        <f>IF(D30=0,"",1/(1/10^E30*$J$20/$J$22+10^D30/10^E30*$J$21/$J$22+10^I30/10^E30*$J$13/$J$22+1))</f>
        <v>8.9852449106617746E-6</v>
      </c>
      <c r="O30" s="105">
        <f>IF(D30=0,"",F30*K30*$J$7/$J$14)</f>
        <v>1.4488057294981671E-6</v>
      </c>
      <c r="P30" s="105">
        <f>IF(D30=0,"",O30*10^J30)</f>
        <v>1.8748438584103456E-3</v>
      </c>
      <c r="Q30" s="105">
        <f>IF(D30=0,"",F30*N30*$J$7/$J$22)</f>
        <v>6.3242663876621338E-4</v>
      </c>
      <c r="R30" s="9">
        <f t="shared" si="10"/>
        <v>1.6205880643156232E-2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6" t="s">
        <v>87</v>
      </c>
      <c r="B31" s="95" t="s">
        <v>82</v>
      </c>
      <c r="C31" s="190" t="s">
        <v>91</v>
      </c>
      <c r="D31" s="191">
        <v>-0.92190615231165807</v>
      </c>
      <c r="E31" s="191">
        <v>-1.7889087518799642</v>
      </c>
      <c r="F31" s="192">
        <v>3.1599999999999998E-4</v>
      </c>
      <c r="G31" s="143"/>
      <c r="H31" s="143"/>
      <c r="I31" s="103">
        <f>IF(D31=0,"",LOG($K$15*10^D31+$K$16*10^E31+$K$14))</f>
        <v>-9.9986716136098554E-4</v>
      </c>
      <c r="J31" s="103">
        <f>IF(D31=0,"",LOG($K$21*10^D31+$K$22*10^E31+$K$20))</f>
        <v>-2.2172466001474163E-2</v>
      </c>
      <c r="K31" s="104">
        <f>IF(D31=0,"",1/(1+10^D31*$J$15/$J$14+10^E31*$J$16/$J$14+10^J31*$J$19/$J$14))</f>
        <v>0.99944605230987316</v>
      </c>
      <c r="L31" s="104">
        <f>IF(D31=0,"",1/(1+10^I31/10^J31*$J$13/$J$19))</f>
        <v>2.6298595708697519E-4</v>
      </c>
      <c r="M31" s="104">
        <f>IF(D31=0,"",1-L31)</f>
        <v>0.99973701404291304</v>
      </c>
      <c r="N31" s="104">
        <f>IF(D31=0,"",1/(1/10^E31*$J$20/$J$22+10^D31/10^E31*$J$21/$J$22+10^I31/10^E31*$J$13/$J$22+1))</f>
        <v>2.0699225912179477E-8</v>
      </c>
      <c r="O31" s="105">
        <f>IF(D31=0,"",F31*K31*$J$7/$J$14)</f>
        <v>3.167325197466116E-4</v>
      </c>
      <c r="P31" s="105">
        <f>IF(D31=0,"",O31*10^J31)</f>
        <v>3.0096790817650835E-4</v>
      </c>
      <c r="Q31" s="105">
        <f>IF(D31=0,"",F31*N31*$J$7/$J$22)</f>
        <v>5.1497234108152193E-6</v>
      </c>
      <c r="R31" s="9">
        <f t="shared" si="10"/>
        <v>1.0023181004639607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6" t="s">
        <v>87</v>
      </c>
      <c r="B32" s="95" t="s">
        <v>83</v>
      </c>
      <c r="C32" s="190" t="s">
        <v>92</v>
      </c>
      <c r="D32" s="191">
        <v>0.54749180498968375</v>
      </c>
      <c r="E32" s="191">
        <v>0.30136158174588817</v>
      </c>
      <c r="F32" s="192">
        <v>4.1100000000000002E-4</v>
      </c>
      <c r="G32" s="143"/>
      <c r="H32" s="143"/>
      <c r="I32" s="103">
        <f>IF(D32=0,"",LOG($K$15*10^D32+$K$16*10^E32+$K$14))</f>
        <v>2.7088167279582099E-3</v>
      </c>
      <c r="J32" s="103">
        <f>IF(D32=0,"",LOG($K$21*10^D32+$K$22*10^E32+$K$20))</f>
        <v>5.4816318723719386E-2</v>
      </c>
      <c r="K32" s="104">
        <f>IF(D32=0,"",1/(1+10^D32*$J$15/$J$14+10^E32*$J$16/$J$14+10^J32*$J$19/$J$14))</f>
        <v>0.99089966268504415</v>
      </c>
      <c r="L32" s="104">
        <f>IF(D32=0,"",1/(1+10^I32/10^J32*$J$13/$J$19))</f>
        <v>3.1130899330044921E-4</v>
      </c>
      <c r="M32" s="104">
        <f>IF(D32=0,"",1-L32)</f>
        <v>0.99968869100669955</v>
      </c>
      <c r="N32" s="104">
        <f>IF(D32=0,"",1/(1/10^E32*$J$20/$J$22+10^D32/10^E32*$J$21/$J$22+10^I32/10^E32*$J$13/$J$22+1))</f>
        <v>2.5263572382734385E-6</v>
      </c>
      <c r="O32" s="105">
        <f>IF(D32=0,"",F32*K32*$J$7/$J$14)</f>
        <v>4.0843007930433154E-4</v>
      </c>
      <c r="P32" s="105">
        <f>IF(D32=0,"",O32*10^J32)</f>
        <v>4.6337653471500517E-4</v>
      </c>
      <c r="Q32" s="105">
        <f>IF(D32=0,"",F32*N32*$J$7/$J$22)</f>
        <v>8.1748407371320464E-4</v>
      </c>
      <c r="R32" s="9">
        <f t="shared" si="10"/>
        <v>0.99374715159204752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6" t="s">
        <v>87</v>
      </c>
      <c r="B33" s="95" t="s">
        <v>84</v>
      </c>
      <c r="C33" s="190" t="s">
        <v>93</v>
      </c>
      <c r="D33" s="191">
        <v>1.6452318246143236</v>
      </c>
      <c r="E33" s="191">
        <v>1.8629354124795308</v>
      </c>
      <c r="F33" s="192">
        <v>2.63E-4</v>
      </c>
      <c r="G33" s="143"/>
      <c r="H33" s="143"/>
      <c r="I33" s="103">
        <f>IF(D33=0,"",LOG($K$15*10^D33+$K$16*10^E33+$K$14))</f>
        <v>4.8170235728069784E-2</v>
      </c>
      <c r="J33" s="103">
        <f>IF(D33=0,"",LOG($K$21*10^D33+$K$22*10^E33+$K$20))</f>
        <v>0.55027539138021464</v>
      </c>
      <c r="K33" s="104">
        <f>IF(D33=0,"",1/(1+10^D33*$J$15/$J$14+10^E33*$J$16/$J$14+10^J33*$J$19/$J$14))</f>
        <v>0.89191298814208886</v>
      </c>
      <c r="L33" s="104">
        <f>IF(D33=0,"",1/(1+10^I33/10^J33*$J$13/$J$19))</f>
        <v>8.7688682982693634E-4</v>
      </c>
      <c r="M33" s="104">
        <f>IF(D33=0,"",1-L33)</f>
        <v>0.9991231131701731</v>
      </c>
      <c r="N33" s="104">
        <f>IF(D33=0,"",1/(1/10^E33*$J$20/$J$22+10^D33/10^E33*$J$21/$J$22+10^I33/10^E33*$J$13/$J$22+1))</f>
        <v>8.2863142630746172E-5</v>
      </c>
      <c r="O33" s="105">
        <f>IF(D33=0,"",F33*K33*$J$7/$J$14)</f>
        <v>2.3524719457016768E-4</v>
      </c>
      <c r="P33" s="105">
        <f>IF(D33=0,"",O33*10^J33)</f>
        <v>8.3521799807471215E-4</v>
      </c>
      <c r="Q33" s="105">
        <f>IF(D33=0,"",F33*N33*$J$7/$J$22)</f>
        <v>1.7157731426808768E-2</v>
      </c>
      <c r="R33" s="9">
        <f t="shared" si="10"/>
        <v>0.89447602498162615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94" t="s">
        <v>87</v>
      </c>
      <c r="B34" s="95" t="s">
        <v>85</v>
      </c>
      <c r="C34" s="190" t="s">
        <v>94</v>
      </c>
      <c r="D34" s="191">
        <v>0.39857726844789648</v>
      </c>
      <c r="E34" s="191">
        <v>8.9525410045599246E-2</v>
      </c>
      <c r="F34" s="192">
        <v>1.1000000000000001E-3</v>
      </c>
      <c r="G34" s="143"/>
      <c r="H34" s="143"/>
      <c r="I34" s="103">
        <f>IF(D34=0,"",LOG($K$15*10^D34+$K$16*10^E34+$K$14))</f>
        <v>1.5832869039701305E-3</v>
      </c>
      <c r="J34" s="103">
        <f>IF(D34=0,"",LOG($K$21*10^D34+$K$22*10^E34+$K$20))</f>
        <v>3.2756419092886777E-2</v>
      </c>
      <c r="K34" s="104">
        <f>IF(D34=0,"",1/(1+10^D34*$J$15/$J$14+10^E34*$J$16/$J$14+10^J34*$J$19/$J$14))</f>
        <v>0.99348559148643589</v>
      </c>
      <c r="L34" s="104">
        <f>IF(D34=0,"",1/(1+10^I34/10^J34*$J$13/$J$19))</f>
        <v>2.9666318823460733E-4</v>
      </c>
      <c r="M34" s="104">
        <f>IF(D34=0,"",1-L34)</f>
        <v>0.99970333681176538</v>
      </c>
      <c r="N34" s="104">
        <f>IF(D34=0,"",1/(1/10^E34*$J$20/$J$22+10^D34/10^E34*$J$21/$J$22+10^I34/10^E34*$J$13/$J$22+1))</f>
        <v>1.5552151648887873E-6</v>
      </c>
      <c r="O34" s="105">
        <f>IF(D34=0,"",F34*K34*$J$7/$J$14)</f>
        <v>1.0959745625640691E-3</v>
      </c>
      <c r="P34" s="105">
        <f>IF(D34=0,"",O34*10^J34)</f>
        <v>1.1818351251434937E-3</v>
      </c>
      <c r="Q34" s="105">
        <f>IF(D34=0,"",F34*N34*$J$7/$J$22)</f>
        <v>1.3468706350846494E-3</v>
      </c>
      <c r="R34" s="9">
        <f t="shared" si="10"/>
        <v>0.99634051142188096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94" t="s">
        <v>87</v>
      </c>
      <c r="B35" s="95" t="s">
        <v>86</v>
      </c>
      <c r="C35" s="190" t="s">
        <v>95</v>
      </c>
      <c r="D35" s="191">
        <v>0.27761205565007074</v>
      </c>
      <c r="E35" s="191">
        <v>-8.2551864497786676E-2</v>
      </c>
      <c r="F35" s="192">
        <v>2.1499999999999999E-4</v>
      </c>
      <c r="G35" s="143"/>
      <c r="H35" s="143"/>
      <c r="I35" s="55">
        <f>IF(D35=0,"",LOG($K$15*10^D35+$K$16*10^E35+$K$14))</f>
        <v>9.1762308695912469E-4</v>
      </c>
      <c r="J35" s="55">
        <f>IF(D35=0,"",LOG($K$21*10^D35+$K$22*10^E35+$K$20))</f>
        <v>1.9202448718581972E-2</v>
      </c>
      <c r="K35" s="56">
        <f>IF(D35=0,"",1/(1+10^D35*$J$15/$J$14+10^E35*$J$16/$J$14+10^J35*$J$19/$J$14))</f>
        <v>0.9950181530617862</v>
      </c>
      <c r="L35" s="56">
        <f>IF(D35=0,"",1/(1+10^I35/10^J35*$J$13/$J$19))</f>
        <v>2.8799113573749083E-4</v>
      </c>
      <c r="M35" s="56">
        <f>IF(D35=0,"",1-L35)</f>
        <v>0.99971200886426248</v>
      </c>
      <c r="N35" s="56">
        <f>IF(D35=0,"",1/(1/10^E35*$J$20/$J$22+10^D35/10^E35*$J$21/$J$22+10^I35/10^E35*$J$13/$J$22+1))</f>
        <v>1.0480515364860531E-6</v>
      </c>
      <c r="O35" s="57">
        <f>IF(D35=0,"",F35*K35*$J$7/$J$14)</f>
        <v>2.1454365756090756E-4</v>
      </c>
      <c r="P35" s="57">
        <f>IF(D35=0,"",O35*10^J35)</f>
        <v>2.2424260450052869E-4</v>
      </c>
      <c r="Q35" s="57">
        <f>IF(D35=0,"",F35*N35*$J$7/$J$22)</f>
        <v>1.7740416663276608E-4</v>
      </c>
      <c r="R35" s="9">
        <f t="shared" si="10"/>
        <v>0.99787747702747709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94" t="s">
        <v>87</v>
      </c>
      <c r="B36" s="95"/>
      <c r="C36" s="190"/>
      <c r="D36" s="191"/>
      <c r="E36" s="191"/>
      <c r="F36" s="192"/>
      <c r="G36" s="143"/>
      <c r="H36" s="143"/>
      <c r="I36" s="55" t="str">
        <f>IF(D36=0,"",LOG($K$15*10^D36+$K$16*10^E36+$K$14))</f>
        <v/>
      </c>
      <c r="J36" s="55" t="str">
        <f>IF(D36=0,"",LOG($K$21*10^D36+$K$22*10^E36+$K$20))</f>
        <v/>
      </c>
      <c r="K36" s="56" t="str">
        <f>IF(D36=0,"",1/(1+10^D36*$J$15/$J$14+10^E36*$J$16/$J$14+10^J36*$J$19/$J$14))</f>
        <v/>
      </c>
      <c r="L36" s="56" t="str">
        <f>IF(D36=0,"",1/(1+10^I36/10^J36*$J$13/$J$19))</f>
        <v/>
      </c>
      <c r="M36" s="56" t="str">
        <f>IF(D36=0,"",1-L36)</f>
        <v/>
      </c>
      <c r="N36" s="56" t="str">
        <f>IF(D36=0,"",1/(1/10^E36*$J$20/$J$22+10^D36/10^E36*$J$21/$J$22+10^I36/10^E36*$J$13/$J$22+1))</f>
        <v/>
      </c>
      <c r="O36" s="57" t="str">
        <f>IF(D36=0,"",F36*K36*$J$7/$J$14)</f>
        <v/>
      </c>
      <c r="P36" s="57" t="str">
        <f>IF(D36=0,"",O36*10^J36)</f>
        <v/>
      </c>
      <c r="Q36" s="57" t="str">
        <f>IF(D36=0,"",F36*N36*$J$7/$J$22)</f>
        <v/>
      </c>
      <c r="R36" s="9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94" t="s">
        <v>87</v>
      </c>
      <c r="B37" s="95"/>
      <c r="C37" s="93"/>
      <c r="D37" s="97"/>
      <c r="E37" s="97"/>
      <c r="F37" s="98"/>
      <c r="G37" s="143"/>
      <c r="H37" s="143"/>
      <c r="I37" s="55" t="str">
        <f>IF(D37=0,"",LOG($K$15*10^D37+$K$16*10^E37+$K$14))</f>
        <v/>
      </c>
      <c r="J37" s="55" t="str">
        <f>IF(D37=0,"",LOG($K$21*10^D37+$K$22*10^E37+$K$20))</f>
        <v/>
      </c>
      <c r="K37" s="56" t="str">
        <f>IF(D37=0,"",1/(1+10^D37*$J$15/$J$14+10^E37*$J$16/$J$14+10^J37*$J$19/$J$14))</f>
        <v/>
      </c>
      <c r="L37" s="56" t="str">
        <f>IF(D37=0,"",1/(1+10^I37/10^J37*$J$13/$J$19))</f>
        <v/>
      </c>
      <c r="M37" s="56" t="str">
        <f>IF(D37=0,"",1-L37)</f>
        <v/>
      </c>
      <c r="N37" s="56" t="str">
        <f>IF(D37=0,"",1/(1/10^E37*$J$20/$J$22+10^D37/10^E37*$J$21/$J$22+10^I37/10^E37*$J$13/$J$22+1))</f>
        <v/>
      </c>
      <c r="O37" s="57" t="str">
        <f>IF(D37=0,"",F37*K37*$J$7/$J$14)</f>
        <v/>
      </c>
      <c r="P37" s="57" t="str">
        <f>IF(D37=0,"",O37*10^J37)</f>
        <v/>
      </c>
      <c r="Q37" s="57" t="str">
        <f>IF(D37=0,"",F37*N37*$J$7/$J$22)</f>
        <v/>
      </c>
      <c r="R37" s="9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94" t="s">
        <v>87</v>
      </c>
      <c r="B38" s="95"/>
      <c r="C38" s="93"/>
      <c r="D38" s="97"/>
      <c r="E38" s="97"/>
      <c r="F38" s="98"/>
      <c r="G38" s="143"/>
      <c r="H38" s="143"/>
      <c r="I38" s="55" t="str">
        <f>IF(D38=0,"",LOG($K$15*10^D38+$K$16*10^E38+$K$14))</f>
        <v/>
      </c>
      <c r="J38" s="55" t="str">
        <f>IF(D38=0,"",LOG($K$21*10^D38+$K$22*10^E38+$K$20))</f>
        <v/>
      </c>
      <c r="K38" s="56" t="str">
        <f>IF(D38=0,"",1/(1+10^D38*$J$15/$J$14+10^E38*$J$16/$J$14+10^J38*$J$19/$J$14))</f>
        <v/>
      </c>
      <c r="L38" s="56" t="str">
        <f>IF(D38=0,"",1/(1+10^I38/10^J38*$J$13/$J$19))</f>
        <v/>
      </c>
      <c r="M38" s="56" t="str">
        <f>IF(D38=0,"",1-L38)</f>
        <v/>
      </c>
      <c r="N38" s="56" t="str">
        <f>IF(D38=0,"",1/(1/10^E38*$J$20/$J$22+10^D38/10^E38*$J$21/$J$22+10^I38/10^E38*$J$13/$J$22+1))</f>
        <v/>
      </c>
      <c r="O38" s="57" t="str">
        <f>IF(D38=0,"",F38*K38*$J$7/$J$14)</f>
        <v/>
      </c>
      <c r="P38" s="57" t="str">
        <f>IF(D38=0,"",O38*10^J38)</f>
        <v/>
      </c>
      <c r="Q38" s="57" t="str">
        <f>IF(D38=0,"",F38*N38*$J$7/$J$22)</f>
        <v/>
      </c>
      <c r="R38" s="9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94" t="s">
        <v>87</v>
      </c>
      <c r="B39" s="95"/>
      <c r="C39" s="93"/>
      <c r="D39" s="97"/>
      <c r="E39" s="97"/>
      <c r="F39" s="98"/>
      <c r="G39" s="143"/>
      <c r="H39" s="143"/>
      <c r="I39" s="55" t="str">
        <f>IF(D39=0,"",LOG($K$15*10^D39+$K$16*10^E39+$K$14))</f>
        <v/>
      </c>
      <c r="J39" s="55" t="str">
        <f>IF(D39=0,"",LOG($K$21*10^D39+$K$22*10^E39+$K$20))</f>
        <v/>
      </c>
      <c r="K39" s="56" t="str">
        <f>IF(D39=0,"",1/(1+10^D39*$J$15/$J$14+10^E39*$J$16/$J$14+10^J39*$J$19/$J$14))</f>
        <v/>
      </c>
      <c r="L39" s="56" t="str">
        <f>IF(D39=0,"",1/(1+10^I39/10^J39*$J$13/$J$19))</f>
        <v/>
      </c>
      <c r="M39" s="56" t="str">
        <f>IF(D39=0,"",1-L39)</f>
        <v/>
      </c>
      <c r="N39" s="56" t="str">
        <f>IF(D39=0,"",1/(1/10^E39*$J$20/$J$22+10^D39/10^E39*$J$21/$J$22+10^I39/10^E39*$J$13/$J$22+1))</f>
        <v/>
      </c>
      <c r="O39" s="57" t="str">
        <f>IF(D39=0,"",F39*K39*$J$7/$J$14)</f>
        <v/>
      </c>
      <c r="P39" s="57" t="str">
        <f>IF(D39=0,"",O39*10^J39)</f>
        <v/>
      </c>
      <c r="Q39" s="57" t="str">
        <f>IF(D39=0,"",F39*N39*$J$7/$J$22)</f>
        <v/>
      </c>
      <c r="R39" s="9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94"/>
      <c r="B40" s="47"/>
      <c r="C40" s="93"/>
      <c r="D40" s="97"/>
      <c r="E40" s="97"/>
      <c r="F40" s="98"/>
      <c r="G40" s="143"/>
      <c r="H40" s="143"/>
      <c r="I40" s="55" t="str">
        <f t="shared" si="1"/>
        <v/>
      </c>
      <c r="J40" s="55" t="str">
        <f t="shared" si="2"/>
        <v/>
      </c>
      <c r="K40" s="56" t="str">
        <f t="shared" si="3"/>
        <v/>
      </c>
      <c r="L40" s="56" t="str">
        <f t="shared" si="4"/>
        <v/>
      </c>
      <c r="M40" s="56" t="str">
        <f t="shared" si="5"/>
        <v/>
      </c>
      <c r="N40" s="56" t="str">
        <f t="shared" si="6"/>
        <v/>
      </c>
      <c r="O40" s="57" t="str">
        <f t="shared" si="7"/>
        <v/>
      </c>
      <c r="P40" s="57" t="str">
        <f t="shared" si="8"/>
        <v/>
      </c>
      <c r="Q40" s="57" t="str">
        <f t="shared" si="9"/>
        <v/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94"/>
      <c r="B41" s="47"/>
      <c r="C41" s="93"/>
      <c r="D41" s="97"/>
      <c r="E41" s="97"/>
      <c r="F41" s="98"/>
      <c r="G41" s="143"/>
      <c r="H41" s="143"/>
      <c r="I41" s="55" t="str">
        <f t="shared" si="1"/>
        <v/>
      </c>
      <c r="J41" s="55" t="str">
        <f t="shared" si="2"/>
        <v/>
      </c>
      <c r="K41" s="56" t="str">
        <f t="shared" si="3"/>
        <v/>
      </c>
      <c r="L41" s="56" t="str">
        <f t="shared" si="4"/>
        <v/>
      </c>
      <c r="M41" s="56" t="str">
        <f t="shared" si="5"/>
        <v/>
      </c>
      <c r="N41" s="56" t="str">
        <f t="shared" si="6"/>
        <v/>
      </c>
      <c r="O41" s="57" t="str">
        <f t="shared" si="7"/>
        <v/>
      </c>
      <c r="P41" s="57" t="str">
        <f t="shared" si="8"/>
        <v/>
      </c>
      <c r="Q41" s="57" t="str">
        <f t="shared" si="9"/>
        <v/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6"/>
      <c r="B42" s="47"/>
      <c r="C42" s="93"/>
      <c r="D42" s="97"/>
      <c r="E42" s="97"/>
      <c r="F42" s="98"/>
      <c r="G42" s="143"/>
      <c r="H42" s="143"/>
      <c r="I42" s="103" t="str">
        <f t="shared" si="1"/>
        <v/>
      </c>
      <c r="J42" s="103" t="str">
        <f t="shared" si="2"/>
        <v/>
      </c>
      <c r="K42" s="104" t="str">
        <f t="shared" si="3"/>
        <v/>
      </c>
      <c r="L42" s="104" t="str">
        <f t="shared" si="4"/>
        <v/>
      </c>
      <c r="M42" s="104" t="str">
        <f t="shared" si="5"/>
        <v/>
      </c>
      <c r="N42" s="104" t="str">
        <f t="shared" si="6"/>
        <v/>
      </c>
      <c r="O42" s="105" t="str">
        <f t="shared" si="7"/>
        <v/>
      </c>
      <c r="P42" s="105" t="str">
        <f t="shared" si="8"/>
        <v/>
      </c>
      <c r="Q42" s="105" t="str">
        <f t="shared" si="9"/>
        <v/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6"/>
      <c r="B43" s="47"/>
      <c r="C43" s="93"/>
      <c r="D43" s="97"/>
      <c r="E43" s="97"/>
      <c r="F43" s="98"/>
      <c r="G43" s="143"/>
      <c r="H43" s="143"/>
      <c r="I43" s="103" t="str">
        <f t="shared" si="1"/>
        <v/>
      </c>
      <c r="J43" s="103" t="str">
        <f t="shared" si="2"/>
        <v/>
      </c>
      <c r="K43" s="104" t="str">
        <f t="shared" si="3"/>
        <v/>
      </c>
      <c r="L43" s="104" t="str">
        <f t="shared" si="4"/>
        <v/>
      </c>
      <c r="M43" s="104" t="str">
        <f t="shared" si="5"/>
        <v/>
      </c>
      <c r="N43" s="104" t="str">
        <f t="shared" si="6"/>
        <v/>
      </c>
      <c r="O43" s="105" t="str">
        <f t="shared" si="7"/>
        <v/>
      </c>
      <c r="P43" s="105" t="str">
        <f t="shared" si="8"/>
        <v/>
      </c>
      <c r="Q43" s="105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6"/>
      <c r="B44" s="47"/>
      <c r="C44" s="93"/>
      <c r="D44" s="97"/>
      <c r="E44" s="97"/>
      <c r="F44" s="98"/>
      <c r="G44" s="143"/>
      <c r="H44" s="143"/>
      <c r="I44" s="103" t="str">
        <f t="shared" si="1"/>
        <v/>
      </c>
      <c r="J44" s="103" t="str">
        <f t="shared" si="2"/>
        <v/>
      </c>
      <c r="K44" s="104" t="str">
        <f t="shared" si="3"/>
        <v/>
      </c>
      <c r="L44" s="104" t="str">
        <f t="shared" si="4"/>
        <v/>
      </c>
      <c r="M44" s="104" t="str">
        <f t="shared" si="5"/>
        <v/>
      </c>
      <c r="N44" s="104" t="str">
        <f t="shared" si="6"/>
        <v/>
      </c>
      <c r="O44" s="105" t="str">
        <f t="shared" si="7"/>
        <v/>
      </c>
      <c r="P44" s="105" t="str">
        <f t="shared" si="8"/>
        <v/>
      </c>
      <c r="Q44" s="105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6"/>
      <c r="B45" s="47"/>
      <c r="C45" s="93"/>
      <c r="D45" s="97"/>
      <c r="E45" s="97"/>
      <c r="F45" s="98"/>
      <c r="G45" s="143"/>
      <c r="H45" s="143"/>
      <c r="I45" s="103" t="str">
        <f t="shared" si="1"/>
        <v/>
      </c>
      <c r="J45" s="103" t="str">
        <f t="shared" si="2"/>
        <v/>
      </c>
      <c r="K45" s="104" t="str">
        <f t="shared" si="3"/>
        <v/>
      </c>
      <c r="L45" s="104" t="str">
        <f t="shared" si="4"/>
        <v/>
      </c>
      <c r="M45" s="104" t="str">
        <f t="shared" si="5"/>
        <v/>
      </c>
      <c r="N45" s="104" t="str">
        <f t="shared" si="6"/>
        <v/>
      </c>
      <c r="O45" s="105" t="str">
        <f t="shared" si="7"/>
        <v/>
      </c>
      <c r="P45" s="105" t="str">
        <f t="shared" si="8"/>
        <v/>
      </c>
      <c r="Q45" s="105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94"/>
      <c r="B46" s="47"/>
      <c r="C46" s="100"/>
      <c r="D46" s="101"/>
      <c r="E46" s="101"/>
      <c r="F46" s="102"/>
      <c r="G46" s="143"/>
      <c r="H46" s="143"/>
      <c r="I46" s="103" t="str">
        <f t="shared" si="1"/>
        <v/>
      </c>
      <c r="J46" s="103" t="str">
        <f t="shared" si="2"/>
        <v/>
      </c>
      <c r="K46" s="104" t="str">
        <f t="shared" si="3"/>
        <v/>
      </c>
      <c r="L46" s="104" t="str">
        <f t="shared" si="4"/>
        <v/>
      </c>
      <c r="M46" s="104" t="str">
        <f t="shared" si="5"/>
        <v/>
      </c>
      <c r="N46" s="104" t="str">
        <f t="shared" si="6"/>
        <v/>
      </c>
      <c r="O46" s="105" t="str">
        <f t="shared" si="7"/>
        <v/>
      </c>
      <c r="P46" s="105" t="str">
        <f t="shared" si="8"/>
        <v/>
      </c>
      <c r="Q46" s="105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94"/>
      <c r="B47" s="47"/>
      <c r="C47" s="93"/>
      <c r="D47" s="97"/>
      <c r="E47" s="97"/>
      <c r="F47" s="98"/>
      <c r="G47" s="143"/>
      <c r="H47" s="143"/>
      <c r="I47" s="55" t="str">
        <f t="shared" si="1"/>
        <v/>
      </c>
      <c r="J47" s="55" t="str">
        <f t="shared" si="2"/>
        <v/>
      </c>
      <c r="K47" s="56" t="str">
        <f t="shared" si="3"/>
        <v/>
      </c>
      <c r="L47" s="56" t="str">
        <f t="shared" si="4"/>
        <v/>
      </c>
      <c r="M47" s="56" t="str">
        <f t="shared" si="5"/>
        <v/>
      </c>
      <c r="N47" s="56" t="str">
        <f t="shared" si="6"/>
        <v/>
      </c>
      <c r="O47" s="57" t="str">
        <f t="shared" si="7"/>
        <v/>
      </c>
      <c r="P47" s="57" t="str">
        <f t="shared" si="8"/>
        <v/>
      </c>
      <c r="Q47" s="57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94"/>
      <c r="B48" s="47"/>
      <c r="C48" s="93"/>
      <c r="D48" s="97"/>
      <c r="E48" s="97"/>
      <c r="F48" s="98"/>
      <c r="G48" s="143"/>
      <c r="H48" s="143"/>
      <c r="I48" s="55" t="str">
        <f t="shared" ref="I48:I50" si="11">IF(D48=0,"",LOG($K$15*10^D48+$K$16*10^E48+$K$14))</f>
        <v/>
      </c>
      <c r="J48" s="55" t="str">
        <f t="shared" ref="J48:J50" si="12">IF(D48=0,"",LOG($K$21*10^D48+$K$22*10^E48+$K$20))</f>
        <v/>
      </c>
      <c r="K48" s="56" t="str">
        <f t="shared" ref="K48:K50" si="13">IF(D48=0,"",1/(1+10^D48*$J$15/$J$14+10^E48*$J$16/$J$14+10^J48*$J$19/$J$14))</f>
        <v/>
      </c>
      <c r="L48" s="56" t="str">
        <f t="shared" ref="L48:L50" si="14">IF(D48=0,"",1/(1+10^I48/10^J48*$J$13/$J$19))</f>
        <v/>
      </c>
      <c r="M48" s="56" t="str">
        <f t="shared" ref="M48:M92" si="15">IF(D48=0,"",1-L48)</f>
        <v/>
      </c>
      <c r="N48" s="56" t="str">
        <f t="shared" ref="N48:N50" si="16">IF(D48=0,"",1/(1/10^E48*$J$20/$J$22+10^D48/10^E48*$J$21/$J$22+10^I48/10^E48*$J$13/$J$22+1))</f>
        <v/>
      </c>
      <c r="O48" s="57" t="str">
        <f t="shared" ref="O48:O92" si="17">IF(D48=0,"",F48*K48*$J$7/$J$14)</f>
        <v/>
      </c>
      <c r="P48" s="57" t="str">
        <f t="shared" ref="P48:P50" si="18">IF(D48=0,"",O48*10^J48)</f>
        <v/>
      </c>
      <c r="Q48" s="57" t="str">
        <f t="shared" ref="Q48:Q50" si="19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94"/>
      <c r="B49" s="47"/>
      <c r="C49" s="93"/>
      <c r="D49" s="97"/>
      <c r="E49" s="97"/>
      <c r="F49" s="98"/>
      <c r="G49" s="143"/>
      <c r="H49" s="143"/>
      <c r="I49" s="55" t="str">
        <f t="shared" si="11"/>
        <v/>
      </c>
      <c r="J49" s="55" t="str">
        <f t="shared" si="12"/>
        <v/>
      </c>
      <c r="K49" s="56" t="str">
        <f t="shared" si="13"/>
        <v/>
      </c>
      <c r="L49" s="56" t="str">
        <f t="shared" si="14"/>
        <v/>
      </c>
      <c r="M49" s="56" t="str">
        <f t="shared" si="15"/>
        <v/>
      </c>
      <c r="N49" s="56" t="str">
        <f t="shared" si="16"/>
        <v/>
      </c>
      <c r="O49" s="57" t="str">
        <f t="shared" si="17"/>
        <v/>
      </c>
      <c r="P49" s="57" t="str">
        <f t="shared" si="18"/>
        <v/>
      </c>
      <c r="Q49" s="57" t="str">
        <f t="shared" si="19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94"/>
      <c r="B50" s="47"/>
      <c r="C50" s="93"/>
      <c r="D50" s="97"/>
      <c r="E50" s="97"/>
      <c r="F50" s="98"/>
      <c r="G50" s="143"/>
      <c r="H50" s="143"/>
      <c r="I50" s="55" t="str">
        <f t="shared" si="11"/>
        <v/>
      </c>
      <c r="J50" s="55" t="str">
        <f t="shared" si="12"/>
        <v/>
      </c>
      <c r="K50" s="56" t="str">
        <f t="shared" si="13"/>
        <v/>
      </c>
      <c r="L50" s="56" t="str">
        <f t="shared" si="14"/>
        <v/>
      </c>
      <c r="M50" s="56" t="str">
        <f t="shared" si="15"/>
        <v/>
      </c>
      <c r="N50" s="56" t="str">
        <f t="shared" si="16"/>
        <v/>
      </c>
      <c r="O50" s="57" t="str">
        <f t="shared" si="17"/>
        <v/>
      </c>
      <c r="P50" s="57" t="str">
        <f t="shared" si="18"/>
        <v/>
      </c>
      <c r="Q50" s="57" t="str">
        <f t="shared" si="19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94"/>
      <c r="B51" s="47"/>
      <c r="C51" s="93"/>
      <c r="D51" s="97"/>
      <c r="E51" s="97"/>
      <c r="F51" s="98"/>
      <c r="G51" s="143"/>
      <c r="H51" s="143"/>
      <c r="I51" s="55" t="str">
        <f t="shared" ref="I51:I70" si="20">IF(D51=0,"",LOG($K$15*10^D51+$K$16*10^E51+$K$14))</f>
        <v/>
      </c>
      <c r="J51" s="55" t="str">
        <f t="shared" ref="J51:J70" si="21">IF(D51=0,"",LOG($K$21*10^D51+$K$22*10^E51+$K$20))</f>
        <v/>
      </c>
      <c r="K51" s="56" t="str">
        <f t="shared" ref="K51:K70" si="22">IF(D51=0,"",1/(1+10^D51*$J$15/$J$14+10^E51*$J$16/$J$14+10^J51*$J$19/$J$14))</f>
        <v/>
      </c>
      <c r="L51" s="56" t="str">
        <f t="shared" ref="L51:L70" si="23">IF(D51=0,"",1/(1+10^I51/10^J51*$J$13/$J$19))</f>
        <v/>
      </c>
      <c r="M51" s="56" t="str">
        <f t="shared" ref="M51:M70" si="24">IF(D51=0,"",1-L51)</f>
        <v/>
      </c>
      <c r="N51" s="56" t="str">
        <f t="shared" ref="N51:N70" si="25">IF(D51=0,"",1/(1/10^E51*$J$20/$J$22+10^D51/10^E51*$J$21/$J$22+10^I51/10^E51*$J$13/$J$22+1))</f>
        <v/>
      </c>
      <c r="O51" s="57" t="str">
        <f t="shared" ref="O51:O70" si="26">IF(D51=0,"",F51*K51*$J$7/$J$14)</f>
        <v/>
      </c>
      <c r="P51" s="57" t="str">
        <f t="shared" ref="P51:P70" si="27">IF(D51=0,"",O51*10^J51)</f>
        <v/>
      </c>
      <c r="Q51" s="57" t="str">
        <f t="shared" ref="Q51:Q70" si="28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/>
      <c r="C52" s="47"/>
      <c r="D52" s="48"/>
      <c r="E52" s="48"/>
      <c r="F52" s="58"/>
      <c r="G52" s="143"/>
      <c r="H52" s="143"/>
      <c r="I52" s="55" t="str">
        <f t="shared" si="20"/>
        <v/>
      </c>
      <c r="J52" s="55" t="str">
        <f t="shared" si="21"/>
        <v/>
      </c>
      <c r="K52" s="56" t="str">
        <f t="shared" si="22"/>
        <v/>
      </c>
      <c r="L52" s="56" t="str">
        <f t="shared" si="23"/>
        <v/>
      </c>
      <c r="M52" s="56" t="str">
        <f t="shared" si="24"/>
        <v/>
      </c>
      <c r="N52" s="56" t="str">
        <f t="shared" si="25"/>
        <v/>
      </c>
      <c r="O52" s="57" t="str">
        <f t="shared" si="26"/>
        <v/>
      </c>
      <c r="P52" s="57" t="str">
        <f t="shared" si="27"/>
        <v/>
      </c>
      <c r="Q52" s="57" t="str">
        <f t="shared" si="28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/>
      <c r="C53" s="47"/>
      <c r="D53" s="48"/>
      <c r="E53" s="48"/>
      <c r="F53" s="58"/>
      <c r="G53" s="143"/>
      <c r="H53" s="143"/>
      <c r="I53" s="55" t="str">
        <f t="shared" si="20"/>
        <v/>
      </c>
      <c r="J53" s="55" t="str">
        <f t="shared" si="21"/>
        <v/>
      </c>
      <c r="K53" s="56" t="str">
        <f t="shared" si="22"/>
        <v/>
      </c>
      <c r="L53" s="56" t="str">
        <f t="shared" si="23"/>
        <v/>
      </c>
      <c r="M53" s="56" t="str">
        <f t="shared" si="24"/>
        <v/>
      </c>
      <c r="N53" s="56" t="str">
        <f t="shared" si="25"/>
        <v/>
      </c>
      <c r="O53" s="57" t="str">
        <f t="shared" si="26"/>
        <v/>
      </c>
      <c r="P53" s="57" t="str">
        <f t="shared" si="27"/>
        <v/>
      </c>
      <c r="Q53" s="57" t="str">
        <f t="shared" si="28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/>
      <c r="C54" s="47"/>
      <c r="D54" s="48"/>
      <c r="E54" s="48"/>
      <c r="F54" s="58"/>
      <c r="G54" s="143"/>
      <c r="H54" s="143"/>
      <c r="I54" s="55" t="str">
        <f t="shared" si="20"/>
        <v/>
      </c>
      <c r="J54" s="55" t="str">
        <f t="shared" si="21"/>
        <v/>
      </c>
      <c r="K54" s="56" t="str">
        <f t="shared" si="22"/>
        <v/>
      </c>
      <c r="L54" s="56" t="str">
        <f t="shared" si="23"/>
        <v/>
      </c>
      <c r="M54" s="56" t="str">
        <f t="shared" si="24"/>
        <v/>
      </c>
      <c r="N54" s="56" t="str">
        <f t="shared" si="25"/>
        <v/>
      </c>
      <c r="O54" s="57" t="str">
        <f t="shared" si="26"/>
        <v/>
      </c>
      <c r="P54" s="57" t="str">
        <f t="shared" si="27"/>
        <v/>
      </c>
      <c r="Q54" s="57" t="str">
        <f t="shared" si="28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/>
      <c r="C55" s="47"/>
      <c r="D55" s="48"/>
      <c r="E55" s="48"/>
      <c r="F55" s="58"/>
      <c r="G55" s="143"/>
      <c r="H55" s="143"/>
      <c r="I55" s="55" t="str">
        <f t="shared" si="20"/>
        <v/>
      </c>
      <c r="J55" s="55" t="str">
        <f t="shared" si="21"/>
        <v/>
      </c>
      <c r="K55" s="56" t="str">
        <f t="shared" si="22"/>
        <v/>
      </c>
      <c r="L55" s="56" t="str">
        <f t="shared" si="23"/>
        <v/>
      </c>
      <c r="M55" s="56" t="str">
        <f t="shared" si="24"/>
        <v/>
      </c>
      <c r="N55" s="56" t="str">
        <f t="shared" si="25"/>
        <v/>
      </c>
      <c r="O55" s="57" t="str">
        <f t="shared" si="26"/>
        <v/>
      </c>
      <c r="P55" s="57" t="str">
        <f t="shared" si="27"/>
        <v/>
      </c>
      <c r="Q55" s="57" t="str">
        <f t="shared" si="28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43"/>
      <c r="H56" s="143"/>
      <c r="I56" s="55" t="str">
        <f t="shared" si="20"/>
        <v/>
      </c>
      <c r="J56" s="55" t="str">
        <f t="shared" si="21"/>
        <v/>
      </c>
      <c r="K56" s="56" t="str">
        <f t="shared" si="22"/>
        <v/>
      </c>
      <c r="L56" s="56" t="str">
        <f t="shared" si="23"/>
        <v/>
      </c>
      <c r="M56" s="56" t="str">
        <f t="shared" si="24"/>
        <v/>
      </c>
      <c r="N56" s="56" t="str">
        <f t="shared" si="25"/>
        <v/>
      </c>
      <c r="O56" s="57" t="str">
        <f t="shared" si="26"/>
        <v/>
      </c>
      <c r="P56" s="57" t="str">
        <f t="shared" si="27"/>
        <v/>
      </c>
      <c r="Q56" s="57" t="str">
        <f t="shared" si="28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92"/>
      <c r="C57" s="92"/>
      <c r="D57" s="97"/>
      <c r="E57" s="97"/>
      <c r="F57" s="98"/>
      <c r="G57" s="143"/>
      <c r="H57" s="143"/>
      <c r="I57" s="55" t="str">
        <f t="shared" si="20"/>
        <v/>
      </c>
      <c r="J57" s="55" t="str">
        <f t="shared" si="21"/>
        <v/>
      </c>
      <c r="K57" s="56" t="str">
        <f t="shared" si="22"/>
        <v/>
      </c>
      <c r="L57" s="56" t="str">
        <f t="shared" si="23"/>
        <v/>
      </c>
      <c r="M57" s="56" t="str">
        <f t="shared" si="24"/>
        <v/>
      </c>
      <c r="N57" s="56" t="str">
        <f t="shared" si="25"/>
        <v/>
      </c>
      <c r="O57" s="57" t="str">
        <f t="shared" si="26"/>
        <v/>
      </c>
      <c r="P57" s="57" t="str">
        <f t="shared" si="27"/>
        <v/>
      </c>
      <c r="Q57" s="57" t="str">
        <f t="shared" si="28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43"/>
      <c r="H58" s="143"/>
      <c r="I58" s="55" t="str">
        <f t="shared" si="20"/>
        <v/>
      </c>
      <c r="J58" s="55" t="str">
        <f t="shared" si="21"/>
        <v/>
      </c>
      <c r="K58" s="56" t="str">
        <f t="shared" si="22"/>
        <v/>
      </c>
      <c r="L58" s="56" t="str">
        <f t="shared" si="23"/>
        <v/>
      </c>
      <c r="M58" s="56" t="str">
        <f t="shared" si="24"/>
        <v/>
      </c>
      <c r="N58" s="56" t="str">
        <f t="shared" si="25"/>
        <v/>
      </c>
      <c r="O58" s="57" t="str">
        <f t="shared" si="26"/>
        <v/>
      </c>
      <c r="P58" s="57" t="str">
        <f t="shared" si="27"/>
        <v/>
      </c>
      <c r="Q58" s="57" t="str">
        <f t="shared" si="28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43"/>
      <c r="H59" s="143"/>
      <c r="I59" s="55" t="str">
        <f t="shared" si="20"/>
        <v/>
      </c>
      <c r="J59" s="55" t="str">
        <f t="shared" si="21"/>
        <v/>
      </c>
      <c r="K59" s="56" t="str">
        <f t="shared" si="22"/>
        <v/>
      </c>
      <c r="L59" s="56" t="str">
        <f t="shared" si="23"/>
        <v/>
      </c>
      <c r="M59" s="56" t="str">
        <f t="shared" si="24"/>
        <v/>
      </c>
      <c r="N59" s="56" t="str">
        <f t="shared" si="25"/>
        <v/>
      </c>
      <c r="O59" s="57" t="str">
        <f t="shared" si="26"/>
        <v/>
      </c>
      <c r="P59" s="57" t="str">
        <f t="shared" si="27"/>
        <v/>
      </c>
      <c r="Q59" s="57" t="str">
        <f t="shared" si="28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43"/>
      <c r="H60" s="143"/>
      <c r="I60" s="55" t="str">
        <f t="shared" si="20"/>
        <v/>
      </c>
      <c r="J60" s="55" t="str">
        <f t="shared" si="21"/>
        <v/>
      </c>
      <c r="K60" s="56" t="str">
        <f t="shared" si="22"/>
        <v/>
      </c>
      <c r="L60" s="56" t="str">
        <f t="shared" si="23"/>
        <v/>
      </c>
      <c r="M60" s="56" t="str">
        <f t="shared" si="24"/>
        <v/>
      </c>
      <c r="N60" s="56" t="str">
        <f t="shared" si="25"/>
        <v/>
      </c>
      <c r="O60" s="57" t="str">
        <f t="shared" si="26"/>
        <v/>
      </c>
      <c r="P60" s="57" t="str">
        <f t="shared" si="27"/>
        <v/>
      </c>
      <c r="Q60" s="57" t="str">
        <f t="shared" si="28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43"/>
      <c r="H61" s="143"/>
      <c r="I61" s="55" t="str">
        <f t="shared" si="20"/>
        <v/>
      </c>
      <c r="J61" s="55" t="str">
        <f t="shared" si="21"/>
        <v/>
      </c>
      <c r="K61" s="56" t="str">
        <f t="shared" si="22"/>
        <v/>
      </c>
      <c r="L61" s="56" t="str">
        <f t="shared" si="23"/>
        <v/>
      </c>
      <c r="M61" s="56" t="str">
        <f t="shared" si="24"/>
        <v/>
      </c>
      <c r="N61" s="56" t="str">
        <f t="shared" si="25"/>
        <v/>
      </c>
      <c r="O61" s="57" t="str">
        <f t="shared" si="26"/>
        <v/>
      </c>
      <c r="P61" s="57" t="str">
        <f t="shared" si="27"/>
        <v/>
      </c>
      <c r="Q61" s="57" t="str">
        <f t="shared" si="28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43"/>
      <c r="H62" s="143"/>
      <c r="I62" s="55" t="str">
        <f t="shared" si="20"/>
        <v/>
      </c>
      <c r="J62" s="55" t="str">
        <f t="shared" si="21"/>
        <v/>
      </c>
      <c r="K62" s="56" t="str">
        <f t="shared" si="22"/>
        <v/>
      </c>
      <c r="L62" s="56" t="str">
        <f t="shared" si="23"/>
        <v/>
      </c>
      <c r="M62" s="56" t="str">
        <f t="shared" si="24"/>
        <v/>
      </c>
      <c r="N62" s="56" t="str">
        <f t="shared" si="25"/>
        <v/>
      </c>
      <c r="O62" s="57" t="str">
        <f t="shared" si="26"/>
        <v/>
      </c>
      <c r="P62" s="57" t="str">
        <f t="shared" si="27"/>
        <v/>
      </c>
      <c r="Q62" s="57" t="str">
        <f t="shared" si="28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43"/>
      <c r="H63" s="143"/>
      <c r="I63" s="55" t="str">
        <f t="shared" si="20"/>
        <v/>
      </c>
      <c r="J63" s="55" t="str">
        <f t="shared" si="21"/>
        <v/>
      </c>
      <c r="K63" s="56" t="str">
        <f t="shared" si="22"/>
        <v/>
      </c>
      <c r="L63" s="56" t="str">
        <f t="shared" si="23"/>
        <v/>
      </c>
      <c r="M63" s="56" t="str">
        <f t="shared" si="24"/>
        <v/>
      </c>
      <c r="N63" s="56" t="str">
        <f t="shared" si="25"/>
        <v/>
      </c>
      <c r="O63" s="57" t="str">
        <f t="shared" si="26"/>
        <v/>
      </c>
      <c r="P63" s="57" t="str">
        <f t="shared" si="27"/>
        <v/>
      </c>
      <c r="Q63" s="57" t="str">
        <f t="shared" si="28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43"/>
      <c r="H64" s="143"/>
      <c r="I64" s="55" t="str">
        <f t="shared" si="20"/>
        <v/>
      </c>
      <c r="J64" s="55" t="str">
        <f t="shared" si="21"/>
        <v/>
      </c>
      <c r="K64" s="56" t="str">
        <f t="shared" si="22"/>
        <v/>
      </c>
      <c r="L64" s="56" t="str">
        <f t="shared" si="23"/>
        <v/>
      </c>
      <c r="M64" s="56" t="str">
        <f t="shared" si="24"/>
        <v/>
      </c>
      <c r="N64" s="56" t="str">
        <f t="shared" si="25"/>
        <v/>
      </c>
      <c r="O64" s="57" t="str">
        <f t="shared" si="26"/>
        <v/>
      </c>
      <c r="P64" s="57" t="str">
        <f t="shared" si="27"/>
        <v/>
      </c>
      <c r="Q64" s="57" t="str">
        <f t="shared" si="28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43"/>
      <c r="H65" s="143"/>
      <c r="I65" s="55" t="str">
        <f t="shared" si="20"/>
        <v/>
      </c>
      <c r="J65" s="55" t="str">
        <f t="shared" si="21"/>
        <v/>
      </c>
      <c r="K65" s="56" t="str">
        <f t="shared" si="22"/>
        <v/>
      </c>
      <c r="L65" s="56" t="str">
        <f t="shared" si="23"/>
        <v/>
      </c>
      <c r="M65" s="56" t="str">
        <f t="shared" si="24"/>
        <v/>
      </c>
      <c r="N65" s="56" t="str">
        <f t="shared" si="25"/>
        <v/>
      </c>
      <c r="O65" s="57" t="str">
        <f t="shared" si="26"/>
        <v/>
      </c>
      <c r="P65" s="57" t="str">
        <f t="shared" si="27"/>
        <v/>
      </c>
      <c r="Q65" s="57" t="str">
        <f t="shared" si="28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43"/>
      <c r="H66" s="143"/>
      <c r="I66" s="55" t="str">
        <f t="shared" si="20"/>
        <v/>
      </c>
      <c r="J66" s="55" t="str">
        <f t="shared" si="21"/>
        <v/>
      </c>
      <c r="K66" s="56" t="str">
        <f t="shared" si="22"/>
        <v/>
      </c>
      <c r="L66" s="56" t="str">
        <f t="shared" si="23"/>
        <v/>
      </c>
      <c r="M66" s="56" t="str">
        <f t="shared" si="24"/>
        <v/>
      </c>
      <c r="N66" s="56" t="str">
        <f t="shared" si="25"/>
        <v/>
      </c>
      <c r="O66" s="57" t="str">
        <f t="shared" si="26"/>
        <v/>
      </c>
      <c r="P66" s="57" t="str">
        <f t="shared" si="27"/>
        <v/>
      </c>
      <c r="Q66" s="57" t="str">
        <f t="shared" si="28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43"/>
      <c r="H67" s="143"/>
      <c r="I67" s="55" t="str">
        <f t="shared" si="20"/>
        <v/>
      </c>
      <c r="J67" s="55" t="str">
        <f t="shared" si="21"/>
        <v/>
      </c>
      <c r="K67" s="56" t="str">
        <f t="shared" si="22"/>
        <v/>
      </c>
      <c r="L67" s="56" t="str">
        <f t="shared" si="23"/>
        <v/>
      </c>
      <c r="M67" s="56" t="str">
        <f t="shared" si="24"/>
        <v/>
      </c>
      <c r="N67" s="56" t="str">
        <f t="shared" si="25"/>
        <v/>
      </c>
      <c r="O67" s="57" t="str">
        <f t="shared" si="26"/>
        <v/>
      </c>
      <c r="P67" s="57" t="str">
        <f t="shared" si="27"/>
        <v/>
      </c>
      <c r="Q67" s="57" t="str">
        <f t="shared" si="28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43"/>
      <c r="H68" s="143"/>
      <c r="I68" s="55" t="str">
        <f t="shared" si="20"/>
        <v/>
      </c>
      <c r="J68" s="55" t="str">
        <f t="shared" si="21"/>
        <v/>
      </c>
      <c r="K68" s="56" t="str">
        <f t="shared" si="22"/>
        <v/>
      </c>
      <c r="L68" s="56" t="str">
        <f t="shared" si="23"/>
        <v/>
      </c>
      <c r="M68" s="56" t="str">
        <f t="shared" si="24"/>
        <v/>
      </c>
      <c r="N68" s="56" t="str">
        <f t="shared" si="25"/>
        <v/>
      </c>
      <c r="O68" s="57" t="str">
        <f t="shared" si="26"/>
        <v/>
      </c>
      <c r="P68" s="57" t="str">
        <f t="shared" si="27"/>
        <v/>
      </c>
      <c r="Q68" s="57" t="str">
        <f t="shared" si="28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43"/>
      <c r="H69" s="143"/>
      <c r="I69" s="55" t="str">
        <f t="shared" si="20"/>
        <v/>
      </c>
      <c r="J69" s="55" t="str">
        <f t="shared" si="21"/>
        <v/>
      </c>
      <c r="K69" s="56" t="str">
        <f t="shared" si="22"/>
        <v/>
      </c>
      <c r="L69" s="56" t="str">
        <f t="shared" si="23"/>
        <v/>
      </c>
      <c r="M69" s="56" t="str">
        <f t="shared" si="24"/>
        <v/>
      </c>
      <c r="N69" s="56" t="str">
        <f t="shared" si="25"/>
        <v/>
      </c>
      <c r="O69" s="57" t="str">
        <f t="shared" si="26"/>
        <v/>
      </c>
      <c r="P69" s="57" t="str">
        <f t="shared" si="27"/>
        <v/>
      </c>
      <c r="Q69" s="57" t="str">
        <f t="shared" si="28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43"/>
      <c r="H70" s="143"/>
      <c r="I70" s="55" t="str">
        <f t="shared" si="20"/>
        <v/>
      </c>
      <c r="J70" s="55" t="str">
        <f t="shared" si="21"/>
        <v/>
      </c>
      <c r="K70" s="56" t="str">
        <f t="shared" si="22"/>
        <v/>
      </c>
      <c r="L70" s="56" t="str">
        <f t="shared" si="23"/>
        <v/>
      </c>
      <c r="M70" s="56" t="str">
        <f t="shared" si="24"/>
        <v/>
      </c>
      <c r="N70" s="56" t="str">
        <f t="shared" si="25"/>
        <v/>
      </c>
      <c r="O70" s="57" t="str">
        <f t="shared" si="26"/>
        <v/>
      </c>
      <c r="P70" s="57" t="str">
        <f t="shared" si="27"/>
        <v/>
      </c>
      <c r="Q70" s="57" t="str">
        <f t="shared" si="28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29">IF(D71=0,"",LOG($K$15*10^D71+$K$16*10^E71+$K$14))</f>
        <v/>
      </c>
      <c r="J71" s="55" t="str">
        <f t="shared" ref="J71:J122" si="30">IF(D71=0,"",LOG($K$21*10^D71+$K$22*10^E71+$K$20))</f>
        <v/>
      </c>
      <c r="K71" s="56" t="str">
        <f t="shared" ref="K71:K122" si="31">IF(D71=0,"",1/(1+10^D71*$J$15/$J$14+10^E71*$J$16/$J$14+10^J71*$J$19/$J$14))</f>
        <v/>
      </c>
      <c r="L71" s="56" t="str">
        <f t="shared" ref="L71:L122" si="32">IF(D71=0,"",1/(1+10^I71/10^J71*$J$13/$J$19))</f>
        <v/>
      </c>
      <c r="M71" s="56" t="str">
        <f t="shared" si="15"/>
        <v/>
      </c>
      <c r="N71" s="56" t="str">
        <f t="shared" ref="N71:N122" si="33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4">IF(D71=0,"",O71*10^J71)</f>
        <v/>
      </c>
      <c r="Q71" s="57" t="str">
        <f t="shared" ref="Q71:Q122" si="35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43"/>
      <c r="H72" s="143"/>
      <c r="I72" s="55" t="str">
        <f t="shared" si="29"/>
        <v/>
      </c>
      <c r="J72" s="55" t="str">
        <f t="shared" si="30"/>
        <v/>
      </c>
      <c r="K72" s="56" t="str">
        <f t="shared" si="31"/>
        <v/>
      </c>
      <c r="L72" s="56" t="str">
        <f t="shared" si="32"/>
        <v/>
      </c>
      <c r="M72" s="56" t="str">
        <f t="shared" si="15"/>
        <v/>
      </c>
      <c r="N72" s="56" t="str">
        <f t="shared" si="33"/>
        <v/>
      </c>
      <c r="O72" s="57" t="str">
        <f t="shared" si="17"/>
        <v/>
      </c>
      <c r="P72" s="57" t="str">
        <f t="shared" si="34"/>
        <v/>
      </c>
      <c r="Q72" s="57" t="str">
        <f t="shared" si="35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43"/>
      <c r="H73" s="143"/>
      <c r="I73" s="55" t="str">
        <f t="shared" si="29"/>
        <v/>
      </c>
      <c r="J73" s="55" t="str">
        <f t="shared" si="30"/>
        <v/>
      </c>
      <c r="K73" s="56" t="str">
        <f t="shared" si="31"/>
        <v/>
      </c>
      <c r="L73" s="56" t="str">
        <f t="shared" si="32"/>
        <v/>
      </c>
      <c r="M73" s="56" t="str">
        <f t="shared" si="15"/>
        <v/>
      </c>
      <c r="N73" s="56" t="str">
        <f t="shared" si="33"/>
        <v/>
      </c>
      <c r="O73" s="57" t="str">
        <f t="shared" si="17"/>
        <v/>
      </c>
      <c r="P73" s="57" t="str">
        <f t="shared" si="34"/>
        <v/>
      </c>
      <c r="Q73" s="57" t="str">
        <f t="shared" si="35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43"/>
      <c r="H74" s="143"/>
      <c r="I74" s="55" t="str">
        <f t="shared" si="29"/>
        <v/>
      </c>
      <c r="J74" s="55" t="str">
        <f t="shared" si="30"/>
        <v/>
      </c>
      <c r="K74" s="56" t="str">
        <f t="shared" si="31"/>
        <v/>
      </c>
      <c r="L74" s="56" t="str">
        <f t="shared" si="32"/>
        <v/>
      </c>
      <c r="M74" s="56" t="str">
        <f t="shared" si="15"/>
        <v/>
      </c>
      <c r="N74" s="56" t="str">
        <f t="shared" si="33"/>
        <v/>
      </c>
      <c r="O74" s="57" t="str">
        <f t="shared" si="17"/>
        <v/>
      </c>
      <c r="P74" s="57" t="str">
        <f t="shared" si="34"/>
        <v/>
      </c>
      <c r="Q74" s="57" t="str">
        <f t="shared" si="35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43"/>
      <c r="H75" s="143"/>
      <c r="I75" s="55" t="str">
        <f t="shared" si="29"/>
        <v/>
      </c>
      <c r="J75" s="55" t="str">
        <f t="shared" si="30"/>
        <v/>
      </c>
      <c r="K75" s="56" t="str">
        <f t="shared" si="31"/>
        <v/>
      </c>
      <c r="L75" s="56" t="str">
        <f t="shared" si="32"/>
        <v/>
      </c>
      <c r="M75" s="56" t="str">
        <f t="shared" si="15"/>
        <v/>
      </c>
      <c r="N75" s="56" t="str">
        <f t="shared" si="33"/>
        <v/>
      </c>
      <c r="O75" s="57" t="str">
        <f t="shared" si="17"/>
        <v/>
      </c>
      <c r="P75" s="57" t="str">
        <f t="shared" si="34"/>
        <v/>
      </c>
      <c r="Q75" s="57" t="str">
        <f t="shared" si="35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43"/>
      <c r="H76" s="143"/>
      <c r="I76" s="55" t="str">
        <f t="shared" si="29"/>
        <v/>
      </c>
      <c r="J76" s="55" t="str">
        <f t="shared" si="30"/>
        <v/>
      </c>
      <c r="K76" s="56" t="str">
        <f t="shared" si="31"/>
        <v/>
      </c>
      <c r="L76" s="56" t="str">
        <f t="shared" si="32"/>
        <v/>
      </c>
      <c r="M76" s="56" t="str">
        <f t="shared" si="15"/>
        <v/>
      </c>
      <c r="N76" s="56" t="str">
        <f t="shared" si="33"/>
        <v/>
      </c>
      <c r="O76" s="57" t="str">
        <f t="shared" si="17"/>
        <v/>
      </c>
      <c r="P76" s="57" t="str">
        <f t="shared" si="34"/>
        <v/>
      </c>
      <c r="Q76" s="57" t="str">
        <f t="shared" si="35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43"/>
      <c r="H77" s="143"/>
      <c r="I77" s="55" t="str">
        <f t="shared" si="29"/>
        <v/>
      </c>
      <c r="J77" s="55" t="str">
        <f t="shared" si="30"/>
        <v/>
      </c>
      <c r="K77" s="56" t="str">
        <f t="shared" si="31"/>
        <v/>
      </c>
      <c r="L77" s="56" t="str">
        <f t="shared" si="32"/>
        <v/>
      </c>
      <c r="M77" s="56" t="str">
        <f t="shared" si="15"/>
        <v/>
      </c>
      <c r="N77" s="56" t="str">
        <f t="shared" si="33"/>
        <v/>
      </c>
      <c r="O77" s="57" t="str">
        <f t="shared" si="17"/>
        <v/>
      </c>
      <c r="P77" s="57" t="str">
        <f t="shared" si="34"/>
        <v/>
      </c>
      <c r="Q77" s="57" t="str">
        <f t="shared" si="35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29"/>
        <v/>
      </c>
      <c r="J78" s="55" t="str">
        <f t="shared" si="30"/>
        <v/>
      </c>
      <c r="K78" s="56" t="str">
        <f t="shared" si="31"/>
        <v/>
      </c>
      <c r="L78" s="56" t="str">
        <f t="shared" si="32"/>
        <v/>
      </c>
      <c r="M78" s="56" t="str">
        <f t="shared" si="15"/>
        <v/>
      </c>
      <c r="N78" s="56" t="str">
        <f t="shared" si="33"/>
        <v/>
      </c>
      <c r="O78" s="57" t="str">
        <f t="shared" si="17"/>
        <v/>
      </c>
      <c r="P78" s="57" t="str">
        <f t="shared" si="34"/>
        <v/>
      </c>
      <c r="Q78" s="57" t="str">
        <f t="shared" si="35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29"/>
        <v/>
      </c>
      <c r="J79" s="55" t="str">
        <f t="shared" si="30"/>
        <v/>
      </c>
      <c r="K79" s="56" t="str">
        <f t="shared" si="31"/>
        <v/>
      </c>
      <c r="L79" s="56" t="str">
        <f t="shared" si="32"/>
        <v/>
      </c>
      <c r="M79" s="56" t="str">
        <f t="shared" si="15"/>
        <v/>
      </c>
      <c r="N79" s="56" t="str">
        <f t="shared" si="33"/>
        <v/>
      </c>
      <c r="O79" s="57" t="str">
        <f t="shared" si="17"/>
        <v/>
      </c>
      <c r="P79" s="57" t="str">
        <f t="shared" si="34"/>
        <v/>
      </c>
      <c r="Q79" s="57" t="str">
        <f t="shared" si="35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29"/>
        <v/>
      </c>
      <c r="J80" s="55" t="str">
        <f t="shared" si="30"/>
        <v/>
      </c>
      <c r="K80" s="56" t="str">
        <f t="shared" si="31"/>
        <v/>
      </c>
      <c r="L80" s="56" t="str">
        <f t="shared" si="32"/>
        <v/>
      </c>
      <c r="M80" s="56" t="str">
        <f t="shared" si="15"/>
        <v/>
      </c>
      <c r="N80" s="56" t="str">
        <f t="shared" si="33"/>
        <v/>
      </c>
      <c r="O80" s="57" t="str">
        <f t="shared" si="17"/>
        <v/>
      </c>
      <c r="P80" s="57" t="str">
        <f t="shared" si="34"/>
        <v/>
      </c>
      <c r="Q80" s="57" t="str">
        <f t="shared" si="35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29"/>
        <v/>
      </c>
      <c r="J81" s="55" t="str">
        <f t="shared" si="30"/>
        <v/>
      </c>
      <c r="K81" s="56" t="str">
        <f t="shared" si="31"/>
        <v/>
      </c>
      <c r="L81" s="56" t="str">
        <f t="shared" si="32"/>
        <v/>
      </c>
      <c r="M81" s="56" t="str">
        <f t="shared" si="15"/>
        <v/>
      </c>
      <c r="N81" s="56" t="str">
        <f t="shared" si="33"/>
        <v/>
      </c>
      <c r="O81" s="57" t="str">
        <f t="shared" si="17"/>
        <v/>
      </c>
      <c r="P81" s="57" t="str">
        <f t="shared" si="34"/>
        <v/>
      </c>
      <c r="Q81" s="57" t="str">
        <f t="shared" si="35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29"/>
        <v/>
      </c>
      <c r="J82" s="55" t="str">
        <f t="shared" si="30"/>
        <v/>
      </c>
      <c r="K82" s="56" t="str">
        <f t="shared" si="31"/>
        <v/>
      </c>
      <c r="L82" s="56" t="str">
        <f t="shared" si="32"/>
        <v/>
      </c>
      <c r="M82" s="56" t="str">
        <f t="shared" si="15"/>
        <v/>
      </c>
      <c r="N82" s="56" t="str">
        <f t="shared" si="33"/>
        <v/>
      </c>
      <c r="O82" s="57" t="str">
        <f t="shared" si="17"/>
        <v/>
      </c>
      <c r="P82" s="57" t="str">
        <f t="shared" si="34"/>
        <v/>
      </c>
      <c r="Q82" s="57" t="str">
        <f t="shared" si="35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29"/>
        <v/>
      </c>
      <c r="J83" s="55" t="str">
        <f t="shared" si="30"/>
        <v/>
      </c>
      <c r="K83" s="56" t="str">
        <f t="shared" si="31"/>
        <v/>
      </c>
      <c r="L83" s="56" t="str">
        <f t="shared" si="32"/>
        <v/>
      </c>
      <c r="M83" s="56" t="str">
        <f t="shared" si="15"/>
        <v/>
      </c>
      <c r="N83" s="56" t="str">
        <f t="shared" si="33"/>
        <v/>
      </c>
      <c r="O83" s="57" t="str">
        <f t="shared" si="17"/>
        <v/>
      </c>
      <c r="P83" s="57" t="str">
        <f t="shared" si="34"/>
        <v/>
      </c>
      <c r="Q83" s="57" t="str">
        <f t="shared" si="35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29"/>
        <v/>
      </c>
      <c r="J84" s="55" t="str">
        <f t="shared" si="30"/>
        <v/>
      </c>
      <c r="K84" s="56" t="str">
        <f t="shared" si="31"/>
        <v/>
      </c>
      <c r="L84" s="56" t="str">
        <f t="shared" si="32"/>
        <v/>
      </c>
      <c r="M84" s="56" t="str">
        <f t="shared" si="15"/>
        <v/>
      </c>
      <c r="N84" s="56" t="str">
        <f t="shared" si="33"/>
        <v/>
      </c>
      <c r="O84" s="57" t="str">
        <f t="shared" si="17"/>
        <v/>
      </c>
      <c r="P84" s="57" t="str">
        <f t="shared" si="34"/>
        <v/>
      </c>
      <c r="Q84" s="57" t="str">
        <f t="shared" si="35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29"/>
        <v/>
      </c>
      <c r="J85" s="55" t="str">
        <f t="shared" si="30"/>
        <v/>
      </c>
      <c r="K85" s="56" t="str">
        <f t="shared" si="31"/>
        <v/>
      </c>
      <c r="L85" s="56" t="str">
        <f t="shared" si="32"/>
        <v/>
      </c>
      <c r="M85" s="56" t="str">
        <f t="shared" si="15"/>
        <v/>
      </c>
      <c r="N85" s="56" t="str">
        <f t="shared" si="33"/>
        <v/>
      </c>
      <c r="O85" s="57" t="str">
        <f t="shared" si="17"/>
        <v/>
      </c>
      <c r="P85" s="57" t="str">
        <f t="shared" si="34"/>
        <v/>
      </c>
      <c r="Q85" s="57" t="str">
        <f t="shared" si="35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29"/>
        <v/>
      </c>
      <c r="J86" s="55" t="str">
        <f t="shared" si="30"/>
        <v/>
      </c>
      <c r="K86" s="56" t="str">
        <f t="shared" si="31"/>
        <v/>
      </c>
      <c r="L86" s="56" t="str">
        <f t="shared" si="32"/>
        <v/>
      </c>
      <c r="M86" s="56" t="str">
        <f t="shared" si="15"/>
        <v/>
      </c>
      <c r="N86" s="56" t="str">
        <f t="shared" si="33"/>
        <v/>
      </c>
      <c r="O86" s="57" t="str">
        <f t="shared" si="17"/>
        <v/>
      </c>
      <c r="P86" s="57" t="str">
        <f t="shared" si="34"/>
        <v/>
      </c>
      <c r="Q86" s="57" t="str">
        <f t="shared" si="35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29"/>
        <v/>
      </c>
      <c r="J87" s="55" t="str">
        <f t="shared" si="30"/>
        <v/>
      </c>
      <c r="K87" s="56" t="str">
        <f t="shared" si="31"/>
        <v/>
      </c>
      <c r="L87" s="56" t="str">
        <f t="shared" si="32"/>
        <v/>
      </c>
      <c r="M87" s="56" t="str">
        <f t="shared" si="15"/>
        <v/>
      </c>
      <c r="N87" s="56" t="str">
        <f t="shared" si="33"/>
        <v/>
      </c>
      <c r="O87" s="57" t="str">
        <f t="shared" si="17"/>
        <v/>
      </c>
      <c r="P87" s="57" t="str">
        <f t="shared" si="34"/>
        <v/>
      </c>
      <c r="Q87" s="57" t="str">
        <f t="shared" si="35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29"/>
        <v/>
      </c>
      <c r="J88" s="55" t="str">
        <f t="shared" si="30"/>
        <v/>
      </c>
      <c r="K88" s="56" t="str">
        <f t="shared" si="31"/>
        <v/>
      </c>
      <c r="L88" s="56" t="str">
        <f t="shared" si="32"/>
        <v/>
      </c>
      <c r="M88" s="56" t="str">
        <f t="shared" si="15"/>
        <v/>
      </c>
      <c r="N88" s="56" t="str">
        <f t="shared" si="33"/>
        <v/>
      </c>
      <c r="O88" s="57" t="str">
        <f t="shared" si="17"/>
        <v/>
      </c>
      <c r="P88" s="57" t="str">
        <f t="shared" si="34"/>
        <v/>
      </c>
      <c r="Q88" s="57" t="str">
        <f t="shared" si="35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29"/>
        <v/>
      </c>
      <c r="J89" s="55" t="str">
        <f t="shared" si="30"/>
        <v/>
      </c>
      <c r="K89" s="56" t="str">
        <f t="shared" si="31"/>
        <v/>
      </c>
      <c r="L89" s="56" t="str">
        <f t="shared" si="32"/>
        <v/>
      </c>
      <c r="M89" s="56" t="str">
        <f t="shared" si="15"/>
        <v/>
      </c>
      <c r="N89" s="56" t="str">
        <f t="shared" si="33"/>
        <v/>
      </c>
      <c r="O89" s="57" t="str">
        <f t="shared" si="17"/>
        <v/>
      </c>
      <c r="P89" s="57" t="str">
        <f t="shared" si="34"/>
        <v/>
      </c>
      <c r="Q89" s="57" t="str">
        <f t="shared" si="35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29"/>
        <v/>
      </c>
      <c r="J90" s="55" t="str">
        <f t="shared" si="30"/>
        <v/>
      </c>
      <c r="K90" s="56" t="str">
        <f t="shared" si="31"/>
        <v/>
      </c>
      <c r="L90" s="56" t="str">
        <f t="shared" si="32"/>
        <v/>
      </c>
      <c r="M90" s="56" t="str">
        <f t="shared" si="15"/>
        <v/>
      </c>
      <c r="N90" s="56" t="str">
        <f t="shared" si="33"/>
        <v/>
      </c>
      <c r="O90" s="57" t="str">
        <f t="shared" si="17"/>
        <v/>
      </c>
      <c r="P90" s="57" t="str">
        <f t="shared" si="34"/>
        <v/>
      </c>
      <c r="Q90" s="57" t="str">
        <f t="shared" si="35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29"/>
        <v/>
      </c>
      <c r="J91" s="55" t="str">
        <f t="shared" si="30"/>
        <v/>
      </c>
      <c r="K91" s="56" t="str">
        <f t="shared" si="31"/>
        <v/>
      </c>
      <c r="L91" s="56" t="str">
        <f t="shared" si="32"/>
        <v/>
      </c>
      <c r="M91" s="56" t="str">
        <f t="shared" si="15"/>
        <v/>
      </c>
      <c r="N91" s="56" t="str">
        <f t="shared" si="33"/>
        <v/>
      </c>
      <c r="O91" s="57" t="str">
        <f t="shared" si="17"/>
        <v/>
      </c>
      <c r="P91" s="57" t="str">
        <f t="shared" si="34"/>
        <v/>
      </c>
      <c r="Q91" s="57" t="str">
        <f t="shared" si="35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29"/>
        <v/>
      </c>
      <c r="J92" s="55" t="str">
        <f t="shared" si="30"/>
        <v/>
      </c>
      <c r="K92" s="56" t="str">
        <f t="shared" si="31"/>
        <v/>
      </c>
      <c r="L92" s="56" t="str">
        <f t="shared" si="32"/>
        <v/>
      </c>
      <c r="M92" s="56" t="str">
        <f t="shared" si="15"/>
        <v/>
      </c>
      <c r="N92" s="56" t="str">
        <f t="shared" si="33"/>
        <v/>
      </c>
      <c r="O92" s="57" t="str">
        <f t="shared" si="17"/>
        <v/>
      </c>
      <c r="P92" s="57" t="str">
        <f t="shared" si="34"/>
        <v/>
      </c>
      <c r="Q92" s="57" t="str">
        <f t="shared" si="35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29"/>
        <v/>
      </c>
      <c r="J93" s="55" t="str">
        <f t="shared" si="30"/>
        <v/>
      </c>
      <c r="K93" s="56" t="str">
        <f t="shared" si="31"/>
        <v/>
      </c>
      <c r="L93" s="56" t="str">
        <f t="shared" si="32"/>
        <v/>
      </c>
      <c r="M93" s="56" t="str">
        <f t="shared" ref="M93:M127" si="36">IF(D93=0,"",1-L93)</f>
        <v/>
      </c>
      <c r="N93" s="56" t="str">
        <f t="shared" si="33"/>
        <v/>
      </c>
      <c r="O93" s="57" t="str">
        <f t="shared" ref="O93:O127" si="37">IF(D93=0,"",F93*K93*$J$7/$J$14)</f>
        <v/>
      </c>
      <c r="P93" s="57" t="str">
        <f t="shared" si="34"/>
        <v/>
      </c>
      <c r="Q93" s="57" t="str">
        <f t="shared" si="35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29"/>
        <v/>
      </c>
      <c r="J94" s="55" t="str">
        <f t="shared" si="30"/>
        <v/>
      </c>
      <c r="K94" s="56" t="str">
        <f t="shared" si="31"/>
        <v/>
      </c>
      <c r="L94" s="56" t="str">
        <f t="shared" si="32"/>
        <v/>
      </c>
      <c r="M94" s="56" t="str">
        <f t="shared" si="36"/>
        <v/>
      </c>
      <c r="N94" s="56" t="str">
        <f t="shared" si="33"/>
        <v/>
      </c>
      <c r="O94" s="57" t="str">
        <f t="shared" si="37"/>
        <v/>
      </c>
      <c r="P94" s="57" t="str">
        <f t="shared" si="34"/>
        <v/>
      </c>
      <c r="Q94" s="57" t="str">
        <f t="shared" si="35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29"/>
        <v/>
      </c>
      <c r="J95" s="55" t="str">
        <f t="shared" si="30"/>
        <v/>
      </c>
      <c r="K95" s="56" t="str">
        <f t="shared" si="31"/>
        <v/>
      </c>
      <c r="L95" s="56" t="str">
        <f t="shared" si="32"/>
        <v/>
      </c>
      <c r="M95" s="56" t="str">
        <f t="shared" si="36"/>
        <v/>
      </c>
      <c r="N95" s="56" t="str">
        <f t="shared" si="33"/>
        <v/>
      </c>
      <c r="O95" s="57" t="str">
        <f t="shared" si="37"/>
        <v/>
      </c>
      <c r="P95" s="57" t="str">
        <f t="shared" si="34"/>
        <v/>
      </c>
      <c r="Q95" s="57" t="str">
        <f t="shared" si="35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29"/>
        <v/>
      </c>
      <c r="J96" s="55" t="str">
        <f t="shared" si="30"/>
        <v/>
      </c>
      <c r="K96" s="56" t="str">
        <f t="shared" si="31"/>
        <v/>
      </c>
      <c r="L96" s="56" t="str">
        <f t="shared" si="32"/>
        <v/>
      </c>
      <c r="M96" s="56" t="str">
        <f t="shared" si="36"/>
        <v/>
      </c>
      <c r="N96" s="56" t="str">
        <f t="shared" si="33"/>
        <v/>
      </c>
      <c r="O96" s="57" t="str">
        <f t="shared" si="37"/>
        <v/>
      </c>
      <c r="P96" s="57" t="str">
        <f t="shared" si="34"/>
        <v/>
      </c>
      <c r="Q96" s="57" t="str">
        <f t="shared" si="35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29"/>
        <v/>
      </c>
      <c r="J97" s="55" t="str">
        <f t="shared" si="30"/>
        <v/>
      </c>
      <c r="K97" s="56" t="str">
        <f t="shared" si="31"/>
        <v/>
      </c>
      <c r="L97" s="56" t="str">
        <f t="shared" si="32"/>
        <v/>
      </c>
      <c r="M97" s="56" t="str">
        <f t="shared" si="36"/>
        <v/>
      </c>
      <c r="N97" s="56" t="str">
        <f t="shared" si="33"/>
        <v/>
      </c>
      <c r="O97" s="57" t="str">
        <f t="shared" si="37"/>
        <v/>
      </c>
      <c r="P97" s="57" t="str">
        <f t="shared" si="34"/>
        <v/>
      </c>
      <c r="Q97" s="57" t="str">
        <f t="shared" si="35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29"/>
        <v/>
      </c>
      <c r="J98" s="55" t="str">
        <f t="shared" si="30"/>
        <v/>
      </c>
      <c r="K98" s="56" t="str">
        <f t="shared" si="31"/>
        <v/>
      </c>
      <c r="L98" s="56" t="str">
        <f t="shared" si="32"/>
        <v/>
      </c>
      <c r="M98" s="56" t="str">
        <f t="shared" si="36"/>
        <v/>
      </c>
      <c r="N98" s="56" t="str">
        <f t="shared" si="33"/>
        <v/>
      </c>
      <c r="O98" s="57" t="str">
        <f t="shared" si="37"/>
        <v/>
      </c>
      <c r="P98" s="57" t="str">
        <f t="shared" si="34"/>
        <v/>
      </c>
      <c r="Q98" s="57" t="str">
        <f t="shared" si="35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29"/>
        <v/>
      </c>
      <c r="J99" s="55" t="str">
        <f t="shared" si="30"/>
        <v/>
      </c>
      <c r="K99" s="56" t="str">
        <f t="shared" si="31"/>
        <v/>
      </c>
      <c r="L99" s="56" t="str">
        <f t="shared" si="32"/>
        <v/>
      </c>
      <c r="M99" s="56" t="str">
        <f t="shared" si="36"/>
        <v/>
      </c>
      <c r="N99" s="56" t="str">
        <f t="shared" si="33"/>
        <v/>
      </c>
      <c r="O99" s="57" t="str">
        <f t="shared" si="37"/>
        <v/>
      </c>
      <c r="P99" s="57" t="str">
        <f t="shared" si="34"/>
        <v/>
      </c>
      <c r="Q99" s="57" t="str">
        <f t="shared" si="35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29"/>
        <v/>
      </c>
      <c r="J100" s="55" t="str">
        <f t="shared" si="30"/>
        <v/>
      </c>
      <c r="K100" s="56" t="str">
        <f t="shared" si="31"/>
        <v/>
      </c>
      <c r="L100" s="56" t="str">
        <f t="shared" si="32"/>
        <v/>
      </c>
      <c r="M100" s="56" t="str">
        <f t="shared" si="36"/>
        <v/>
      </c>
      <c r="N100" s="56" t="str">
        <f t="shared" si="33"/>
        <v/>
      </c>
      <c r="O100" s="57" t="str">
        <f t="shared" si="37"/>
        <v/>
      </c>
      <c r="P100" s="57" t="str">
        <f t="shared" si="34"/>
        <v/>
      </c>
      <c r="Q100" s="57" t="str">
        <f t="shared" si="35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29"/>
        <v/>
      </c>
      <c r="J101" s="55" t="str">
        <f t="shared" si="30"/>
        <v/>
      </c>
      <c r="K101" s="56" t="str">
        <f t="shared" si="31"/>
        <v/>
      </c>
      <c r="L101" s="56" t="str">
        <f t="shared" si="32"/>
        <v/>
      </c>
      <c r="M101" s="56" t="str">
        <f t="shared" si="36"/>
        <v/>
      </c>
      <c r="N101" s="56" t="str">
        <f t="shared" si="33"/>
        <v/>
      </c>
      <c r="O101" s="57" t="str">
        <f t="shared" si="37"/>
        <v/>
      </c>
      <c r="P101" s="57" t="str">
        <f t="shared" si="34"/>
        <v/>
      </c>
      <c r="Q101" s="57" t="str">
        <f t="shared" si="35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29"/>
        <v/>
      </c>
      <c r="J102" s="55" t="str">
        <f t="shared" si="30"/>
        <v/>
      </c>
      <c r="K102" s="56" t="str">
        <f t="shared" si="31"/>
        <v/>
      </c>
      <c r="L102" s="56" t="str">
        <f t="shared" si="32"/>
        <v/>
      </c>
      <c r="M102" s="56" t="str">
        <f t="shared" si="36"/>
        <v/>
      </c>
      <c r="N102" s="56" t="str">
        <f t="shared" si="33"/>
        <v/>
      </c>
      <c r="O102" s="57" t="str">
        <f t="shared" si="37"/>
        <v/>
      </c>
      <c r="P102" s="57" t="str">
        <f t="shared" si="34"/>
        <v/>
      </c>
      <c r="Q102" s="57" t="str">
        <f t="shared" si="35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29"/>
        <v/>
      </c>
      <c r="J103" s="55" t="str">
        <f t="shared" si="30"/>
        <v/>
      </c>
      <c r="K103" s="56" t="str">
        <f t="shared" si="31"/>
        <v/>
      </c>
      <c r="L103" s="56" t="str">
        <f t="shared" si="32"/>
        <v/>
      </c>
      <c r="M103" s="56" t="str">
        <f t="shared" si="36"/>
        <v/>
      </c>
      <c r="N103" s="56" t="str">
        <f t="shared" si="33"/>
        <v/>
      </c>
      <c r="O103" s="57" t="str">
        <f t="shared" si="37"/>
        <v/>
      </c>
      <c r="P103" s="57" t="str">
        <f t="shared" si="34"/>
        <v/>
      </c>
      <c r="Q103" s="57" t="str">
        <f t="shared" si="35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29"/>
        <v/>
      </c>
      <c r="J104" s="55" t="str">
        <f t="shared" si="30"/>
        <v/>
      </c>
      <c r="K104" s="56" t="str">
        <f t="shared" si="31"/>
        <v/>
      </c>
      <c r="L104" s="56" t="str">
        <f t="shared" si="32"/>
        <v/>
      </c>
      <c r="M104" s="56" t="str">
        <f t="shared" si="36"/>
        <v/>
      </c>
      <c r="N104" s="56" t="str">
        <f t="shared" si="33"/>
        <v/>
      </c>
      <c r="O104" s="57" t="str">
        <f t="shared" si="37"/>
        <v/>
      </c>
      <c r="P104" s="57" t="str">
        <f t="shared" si="34"/>
        <v/>
      </c>
      <c r="Q104" s="57" t="str">
        <f t="shared" si="35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29"/>
        <v/>
      </c>
      <c r="J105" s="55" t="str">
        <f t="shared" si="30"/>
        <v/>
      </c>
      <c r="K105" s="56" t="str">
        <f t="shared" si="31"/>
        <v/>
      </c>
      <c r="L105" s="56" t="str">
        <f t="shared" si="32"/>
        <v/>
      </c>
      <c r="M105" s="56" t="str">
        <f t="shared" si="36"/>
        <v/>
      </c>
      <c r="N105" s="56" t="str">
        <f t="shared" si="33"/>
        <v/>
      </c>
      <c r="O105" s="57" t="str">
        <f t="shared" si="37"/>
        <v/>
      </c>
      <c r="P105" s="57" t="str">
        <f t="shared" si="34"/>
        <v/>
      </c>
      <c r="Q105" s="57" t="str">
        <f t="shared" si="35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29"/>
        <v/>
      </c>
      <c r="J106" s="55" t="str">
        <f t="shared" si="30"/>
        <v/>
      </c>
      <c r="K106" s="56" t="str">
        <f t="shared" si="31"/>
        <v/>
      </c>
      <c r="L106" s="56" t="str">
        <f t="shared" si="32"/>
        <v/>
      </c>
      <c r="M106" s="56" t="str">
        <f t="shared" si="36"/>
        <v/>
      </c>
      <c r="N106" s="56" t="str">
        <f t="shared" si="33"/>
        <v/>
      </c>
      <c r="O106" s="57" t="str">
        <f t="shared" si="37"/>
        <v/>
      </c>
      <c r="P106" s="57" t="str">
        <f t="shared" si="34"/>
        <v/>
      </c>
      <c r="Q106" s="57" t="str">
        <f t="shared" si="35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29"/>
        <v/>
      </c>
      <c r="J107" s="55" t="str">
        <f t="shared" si="30"/>
        <v/>
      </c>
      <c r="K107" s="56" t="str">
        <f t="shared" si="31"/>
        <v/>
      </c>
      <c r="L107" s="56" t="str">
        <f t="shared" si="32"/>
        <v/>
      </c>
      <c r="M107" s="56" t="str">
        <f t="shared" si="36"/>
        <v/>
      </c>
      <c r="N107" s="56" t="str">
        <f t="shared" si="33"/>
        <v/>
      </c>
      <c r="O107" s="57" t="str">
        <f t="shared" si="37"/>
        <v/>
      </c>
      <c r="P107" s="57" t="str">
        <f t="shared" si="34"/>
        <v/>
      </c>
      <c r="Q107" s="57" t="str">
        <f t="shared" si="35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29"/>
        <v/>
      </c>
      <c r="J108" s="55" t="str">
        <f t="shared" si="30"/>
        <v/>
      </c>
      <c r="K108" s="56" t="str">
        <f t="shared" si="31"/>
        <v/>
      </c>
      <c r="L108" s="56" t="str">
        <f t="shared" si="32"/>
        <v/>
      </c>
      <c r="M108" s="56" t="str">
        <f t="shared" si="36"/>
        <v/>
      </c>
      <c r="N108" s="56" t="str">
        <f t="shared" si="33"/>
        <v/>
      </c>
      <c r="O108" s="57" t="str">
        <f t="shared" si="37"/>
        <v/>
      </c>
      <c r="P108" s="57" t="str">
        <f t="shared" si="34"/>
        <v/>
      </c>
      <c r="Q108" s="57" t="str">
        <f t="shared" si="35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29"/>
        <v/>
      </c>
      <c r="J109" s="55" t="str">
        <f t="shared" si="30"/>
        <v/>
      </c>
      <c r="K109" s="56" t="str">
        <f t="shared" si="31"/>
        <v/>
      </c>
      <c r="L109" s="56" t="str">
        <f t="shared" si="32"/>
        <v/>
      </c>
      <c r="M109" s="56" t="str">
        <f t="shared" si="36"/>
        <v/>
      </c>
      <c r="N109" s="56" t="str">
        <f t="shared" si="33"/>
        <v/>
      </c>
      <c r="O109" s="57" t="str">
        <f t="shared" si="37"/>
        <v/>
      </c>
      <c r="P109" s="57" t="str">
        <f t="shared" si="34"/>
        <v/>
      </c>
      <c r="Q109" s="57" t="str">
        <f t="shared" si="35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29"/>
        <v/>
      </c>
      <c r="J110" s="55" t="str">
        <f t="shared" si="30"/>
        <v/>
      </c>
      <c r="K110" s="56" t="str">
        <f t="shared" si="31"/>
        <v/>
      </c>
      <c r="L110" s="56" t="str">
        <f t="shared" si="32"/>
        <v/>
      </c>
      <c r="M110" s="56" t="str">
        <f t="shared" si="36"/>
        <v/>
      </c>
      <c r="N110" s="56" t="str">
        <f t="shared" si="33"/>
        <v/>
      </c>
      <c r="O110" s="57" t="str">
        <f t="shared" si="37"/>
        <v/>
      </c>
      <c r="P110" s="57" t="str">
        <f t="shared" si="34"/>
        <v/>
      </c>
      <c r="Q110" s="57" t="str">
        <f t="shared" si="35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29"/>
        <v/>
      </c>
      <c r="J111" s="55" t="str">
        <f t="shared" si="30"/>
        <v/>
      </c>
      <c r="K111" s="56" t="str">
        <f t="shared" si="31"/>
        <v/>
      </c>
      <c r="L111" s="56" t="str">
        <f t="shared" si="32"/>
        <v/>
      </c>
      <c r="M111" s="56" t="str">
        <f t="shared" si="36"/>
        <v/>
      </c>
      <c r="N111" s="56" t="str">
        <f t="shared" si="33"/>
        <v/>
      </c>
      <c r="O111" s="57" t="str">
        <f t="shared" si="37"/>
        <v/>
      </c>
      <c r="P111" s="57" t="str">
        <f t="shared" si="34"/>
        <v/>
      </c>
      <c r="Q111" s="57" t="str">
        <f t="shared" si="35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29"/>
        <v/>
      </c>
      <c r="J112" s="55" t="str">
        <f t="shared" si="30"/>
        <v/>
      </c>
      <c r="K112" s="56" t="str">
        <f t="shared" si="31"/>
        <v/>
      </c>
      <c r="L112" s="56" t="str">
        <f t="shared" si="32"/>
        <v/>
      </c>
      <c r="M112" s="56" t="str">
        <f t="shared" si="36"/>
        <v/>
      </c>
      <c r="N112" s="56" t="str">
        <f t="shared" si="33"/>
        <v/>
      </c>
      <c r="O112" s="57" t="str">
        <f t="shared" si="37"/>
        <v/>
      </c>
      <c r="P112" s="57" t="str">
        <f t="shared" si="34"/>
        <v/>
      </c>
      <c r="Q112" s="57" t="str">
        <f t="shared" si="35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29"/>
        <v/>
      </c>
      <c r="J113" s="55" t="str">
        <f t="shared" si="30"/>
        <v/>
      </c>
      <c r="K113" s="56" t="str">
        <f t="shared" si="31"/>
        <v/>
      </c>
      <c r="L113" s="56" t="str">
        <f t="shared" si="32"/>
        <v/>
      </c>
      <c r="M113" s="56" t="str">
        <f t="shared" si="36"/>
        <v/>
      </c>
      <c r="N113" s="56" t="str">
        <f t="shared" si="33"/>
        <v/>
      </c>
      <c r="O113" s="57" t="str">
        <f t="shared" si="37"/>
        <v/>
      </c>
      <c r="P113" s="57" t="str">
        <f t="shared" si="34"/>
        <v/>
      </c>
      <c r="Q113" s="57" t="str">
        <f t="shared" si="35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29"/>
        <v/>
      </c>
      <c r="J114" s="55" t="str">
        <f t="shared" si="30"/>
        <v/>
      </c>
      <c r="K114" s="56" t="str">
        <f t="shared" si="31"/>
        <v/>
      </c>
      <c r="L114" s="56" t="str">
        <f t="shared" si="32"/>
        <v/>
      </c>
      <c r="M114" s="56" t="str">
        <f t="shared" si="36"/>
        <v/>
      </c>
      <c r="N114" s="56" t="str">
        <f t="shared" si="33"/>
        <v/>
      </c>
      <c r="O114" s="57" t="str">
        <f t="shared" si="37"/>
        <v/>
      </c>
      <c r="P114" s="57" t="str">
        <f t="shared" si="34"/>
        <v/>
      </c>
      <c r="Q114" s="57" t="str">
        <f t="shared" si="35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29"/>
        <v/>
      </c>
      <c r="J115" s="55" t="str">
        <f t="shared" si="30"/>
        <v/>
      </c>
      <c r="K115" s="56" t="str">
        <f t="shared" si="31"/>
        <v/>
      </c>
      <c r="L115" s="56" t="str">
        <f t="shared" si="32"/>
        <v/>
      </c>
      <c r="M115" s="56" t="str">
        <f t="shared" si="36"/>
        <v/>
      </c>
      <c r="N115" s="56" t="str">
        <f t="shared" si="33"/>
        <v/>
      </c>
      <c r="O115" s="57" t="str">
        <f t="shared" si="37"/>
        <v/>
      </c>
      <c r="P115" s="57" t="str">
        <f t="shared" si="34"/>
        <v/>
      </c>
      <c r="Q115" s="57" t="str">
        <f t="shared" si="35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29"/>
        <v/>
      </c>
      <c r="J116" s="55" t="str">
        <f t="shared" si="30"/>
        <v/>
      </c>
      <c r="K116" s="56" t="str">
        <f t="shared" si="31"/>
        <v/>
      </c>
      <c r="L116" s="56" t="str">
        <f t="shared" si="32"/>
        <v/>
      </c>
      <c r="M116" s="56" t="str">
        <f t="shared" si="36"/>
        <v/>
      </c>
      <c r="N116" s="56" t="str">
        <f t="shared" si="33"/>
        <v/>
      </c>
      <c r="O116" s="57" t="str">
        <f t="shared" si="37"/>
        <v/>
      </c>
      <c r="P116" s="57" t="str">
        <f t="shared" si="34"/>
        <v/>
      </c>
      <c r="Q116" s="57" t="str">
        <f t="shared" si="35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29"/>
        <v/>
      </c>
      <c r="J117" s="55" t="str">
        <f t="shared" si="30"/>
        <v/>
      </c>
      <c r="K117" s="56" t="str">
        <f t="shared" si="31"/>
        <v/>
      </c>
      <c r="L117" s="56" t="str">
        <f t="shared" si="32"/>
        <v/>
      </c>
      <c r="M117" s="56" t="str">
        <f t="shared" si="36"/>
        <v/>
      </c>
      <c r="N117" s="56" t="str">
        <f t="shared" si="33"/>
        <v/>
      </c>
      <c r="O117" s="57" t="str">
        <f t="shared" si="37"/>
        <v/>
      </c>
      <c r="P117" s="57" t="str">
        <f t="shared" si="34"/>
        <v/>
      </c>
      <c r="Q117" s="57" t="str">
        <f t="shared" si="35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29"/>
        <v/>
      </c>
      <c r="J118" s="55" t="str">
        <f t="shared" si="30"/>
        <v/>
      </c>
      <c r="K118" s="56" t="str">
        <f t="shared" si="31"/>
        <v/>
      </c>
      <c r="L118" s="56" t="str">
        <f t="shared" si="32"/>
        <v/>
      </c>
      <c r="M118" s="56" t="str">
        <f t="shared" si="36"/>
        <v/>
      </c>
      <c r="N118" s="56" t="str">
        <f t="shared" si="33"/>
        <v/>
      </c>
      <c r="O118" s="57" t="str">
        <f t="shared" si="37"/>
        <v/>
      </c>
      <c r="P118" s="57" t="str">
        <f t="shared" si="34"/>
        <v/>
      </c>
      <c r="Q118" s="57" t="str">
        <f t="shared" si="35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29"/>
        <v/>
      </c>
      <c r="J119" s="55" t="str">
        <f t="shared" si="30"/>
        <v/>
      </c>
      <c r="K119" s="56" t="str">
        <f t="shared" si="31"/>
        <v/>
      </c>
      <c r="L119" s="56" t="str">
        <f t="shared" si="32"/>
        <v/>
      </c>
      <c r="M119" s="56" t="str">
        <f t="shared" si="36"/>
        <v/>
      </c>
      <c r="N119" s="56" t="str">
        <f t="shared" si="33"/>
        <v/>
      </c>
      <c r="O119" s="57" t="str">
        <f t="shared" si="37"/>
        <v/>
      </c>
      <c r="P119" s="57" t="str">
        <f t="shared" si="34"/>
        <v/>
      </c>
      <c r="Q119" s="57" t="str">
        <f t="shared" si="35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29"/>
        <v/>
      </c>
      <c r="J120" s="55" t="str">
        <f t="shared" si="30"/>
        <v/>
      </c>
      <c r="K120" s="56" t="str">
        <f t="shared" si="31"/>
        <v/>
      </c>
      <c r="L120" s="56" t="str">
        <f t="shared" si="32"/>
        <v/>
      </c>
      <c r="M120" s="56" t="str">
        <f t="shared" si="36"/>
        <v/>
      </c>
      <c r="N120" s="56" t="str">
        <f t="shared" si="33"/>
        <v/>
      </c>
      <c r="O120" s="57" t="str">
        <f t="shared" si="37"/>
        <v/>
      </c>
      <c r="P120" s="57" t="str">
        <f t="shared" si="34"/>
        <v/>
      </c>
      <c r="Q120" s="57" t="str">
        <f t="shared" si="35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29"/>
        <v/>
      </c>
      <c r="J121" s="55" t="str">
        <f t="shared" si="30"/>
        <v/>
      </c>
      <c r="K121" s="56" t="str">
        <f t="shared" si="31"/>
        <v/>
      </c>
      <c r="L121" s="56" t="str">
        <f t="shared" si="32"/>
        <v/>
      </c>
      <c r="M121" s="56" t="str">
        <f t="shared" si="36"/>
        <v/>
      </c>
      <c r="N121" s="56" t="str">
        <f t="shared" si="33"/>
        <v/>
      </c>
      <c r="O121" s="57" t="str">
        <f t="shared" si="37"/>
        <v/>
      </c>
      <c r="P121" s="57" t="str">
        <f t="shared" si="34"/>
        <v/>
      </c>
      <c r="Q121" s="57" t="str">
        <f t="shared" si="35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29"/>
        <v/>
      </c>
      <c r="J122" s="55" t="str">
        <f t="shared" si="30"/>
        <v/>
      </c>
      <c r="K122" s="56" t="str">
        <f t="shared" si="31"/>
        <v/>
      </c>
      <c r="L122" s="56" t="str">
        <f t="shared" si="32"/>
        <v/>
      </c>
      <c r="M122" s="56" t="str">
        <f t="shared" si="36"/>
        <v/>
      </c>
      <c r="N122" s="56" t="str">
        <f t="shared" si="33"/>
        <v/>
      </c>
      <c r="O122" s="57" t="str">
        <f t="shared" si="37"/>
        <v/>
      </c>
      <c r="P122" s="57" t="str">
        <f t="shared" si="34"/>
        <v/>
      </c>
      <c r="Q122" s="57" t="str">
        <f t="shared" si="35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8">IF(D123=0,"",LOG($K$15*10^D123+$K$16*10^E123+$K$14))</f>
        <v/>
      </c>
      <c r="J123" s="55" t="str">
        <f t="shared" ref="J123:J127" si="39">IF(D123=0,"",LOG($K$21*10^D123+$K$22*10^E123+$K$20))</f>
        <v/>
      </c>
      <c r="K123" s="56" t="str">
        <f t="shared" ref="K123:K127" si="40">IF(D123=0,"",1/(1+10^D123*$J$15/$J$14+10^E123*$J$16/$J$14+10^J123*$J$19/$J$14))</f>
        <v/>
      </c>
      <c r="L123" s="56" t="str">
        <f t="shared" ref="L123:L127" si="41">IF(D123=0,"",1/(1+10^I123/10^J123*$J$13/$J$19))</f>
        <v/>
      </c>
      <c r="M123" s="56" t="str">
        <f t="shared" si="36"/>
        <v/>
      </c>
      <c r="N123" s="56" t="str">
        <f t="shared" ref="N123:N127" si="42">IF(D123=0,"",1/(1/10^E123*$J$20/$J$22+10^D123/10^E123*$J$21/$J$22+10^I123/10^E123*$J$13/$J$22+1))</f>
        <v/>
      </c>
      <c r="O123" s="57" t="str">
        <f t="shared" si="37"/>
        <v/>
      </c>
      <c r="P123" s="57" t="str">
        <f t="shared" ref="P123:P127" si="43">IF(D123=0,"",O123*10^J123)</f>
        <v/>
      </c>
      <c r="Q123" s="57" t="str">
        <f t="shared" ref="Q123:Q127" si="44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8"/>
        <v/>
      </c>
      <c r="J124" s="55" t="str">
        <f t="shared" si="39"/>
        <v/>
      </c>
      <c r="K124" s="56" t="str">
        <f t="shared" si="40"/>
        <v/>
      </c>
      <c r="L124" s="56" t="str">
        <f t="shared" si="41"/>
        <v/>
      </c>
      <c r="M124" s="56" t="str">
        <f t="shared" si="36"/>
        <v/>
      </c>
      <c r="N124" s="56" t="str">
        <f t="shared" si="42"/>
        <v/>
      </c>
      <c r="O124" s="57" t="str">
        <f t="shared" si="37"/>
        <v/>
      </c>
      <c r="P124" s="57" t="str">
        <f t="shared" si="43"/>
        <v/>
      </c>
      <c r="Q124" s="57" t="str">
        <f t="shared" si="44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8"/>
        <v/>
      </c>
      <c r="J125" s="55" t="str">
        <f t="shared" si="39"/>
        <v/>
      </c>
      <c r="K125" s="56" t="str">
        <f t="shared" si="40"/>
        <v/>
      </c>
      <c r="L125" s="56" t="str">
        <f t="shared" si="41"/>
        <v/>
      </c>
      <c r="M125" s="56" t="str">
        <f t="shared" si="36"/>
        <v/>
      </c>
      <c r="N125" s="56" t="str">
        <f t="shared" si="42"/>
        <v/>
      </c>
      <c r="O125" s="57" t="str">
        <f t="shared" si="37"/>
        <v/>
      </c>
      <c r="P125" s="57" t="str">
        <f t="shared" si="43"/>
        <v/>
      </c>
      <c r="Q125" s="57" t="str">
        <f t="shared" si="44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8"/>
        <v/>
      </c>
      <c r="J126" s="55" t="str">
        <f t="shared" si="39"/>
        <v/>
      </c>
      <c r="K126" s="56" t="str">
        <f t="shared" si="40"/>
        <v/>
      </c>
      <c r="L126" s="56" t="str">
        <f t="shared" si="41"/>
        <v/>
      </c>
      <c r="M126" s="56" t="str">
        <f t="shared" si="36"/>
        <v/>
      </c>
      <c r="N126" s="56" t="str">
        <f t="shared" si="42"/>
        <v/>
      </c>
      <c r="O126" s="57" t="str">
        <f t="shared" si="37"/>
        <v/>
      </c>
      <c r="P126" s="57" t="str">
        <f t="shared" si="43"/>
        <v/>
      </c>
      <c r="Q126" s="57" t="str">
        <f t="shared" si="44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8"/>
        <v/>
      </c>
      <c r="J127" s="55" t="str">
        <f t="shared" si="39"/>
        <v/>
      </c>
      <c r="K127" s="56" t="str">
        <f t="shared" si="40"/>
        <v/>
      </c>
      <c r="L127" s="56" t="str">
        <f t="shared" si="41"/>
        <v/>
      </c>
      <c r="M127" s="56" t="str">
        <f t="shared" si="36"/>
        <v/>
      </c>
      <c r="N127" s="56" t="str">
        <f t="shared" si="42"/>
        <v/>
      </c>
      <c r="O127" s="57" t="str">
        <f t="shared" si="37"/>
        <v/>
      </c>
      <c r="P127" s="57" t="str">
        <f t="shared" si="43"/>
        <v/>
      </c>
      <c r="Q127" s="57" t="str">
        <f t="shared" si="44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2025-02-03T14:07:58Z</dcterms:modified>
</cp:coreProperties>
</file>