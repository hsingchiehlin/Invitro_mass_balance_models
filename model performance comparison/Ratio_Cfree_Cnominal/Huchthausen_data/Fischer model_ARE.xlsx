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Validation_Armitage\Validation_Hsu\"/>
    </mc:Choice>
  </mc:AlternateContent>
  <xr:revisionPtr revIDLastSave="0" documentId="13_ncr:1_{BD626A8C-00D6-4447-B4F3-D4A1A4AC614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5" i="4"/>
  <c r="R36" i="4"/>
  <c r="R37" i="4"/>
  <c r="R38" i="4"/>
  <c r="R39" i="4"/>
  <c r="R28" i="4"/>
  <c r="O24" i="1"/>
  <c r="L24" i="1" s="1"/>
  <c r="L23" i="1"/>
  <c r="O23" i="1" s="1"/>
  <c r="N24" i="1"/>
  <c r="J21" i="4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M24" i="1" l="1"/>
  <c r="O25" i="1" s="1"/>
  <c r="J14" i="4"/>
  <c r="J13" i="4" s="1"/>
  <c r="K16" i="4" s="1"/>
  <c r="J8" i="4"/>
  <c r="J10" i="4"/>
  <c r="J9" i="4"/>
  <c r="J19" i="4"/>
  <c r="K14" i="4" l="1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P42" i="4" s="1"/>
  <c r="J36" i="4"/>
  <c r="K36" i="4" s="1"/>
  <c r="O36" i="4" s="1"/>
  <c r="P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P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P38" i="4" s="1"/>
  <c r="J56" i="4"/>
  <c r="K56" i="4" s="1"/>
  <c r="O56" i="4" s="1"/>
  <c r="P56" i="4" s="1"/>
  <c r="J46" i="4"/>
  <c r="K46" i="4" s="1"/>
  <c r="O46" i="4" s="1"/>
  <c r="P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P47" i="4" s="1"/>
  <c r="J40" i="4"/>
  <c r="K40" i="4" s="1"/>
  <c r="O40" i="4" s="1"/>
  <c r="P40" i="4" s="1"/>
  <c r="J54" i="4"/>
  <c r="K54" i="4" s="1"/>
  <c r="O54" i="4" s="1"/>
  <c r="P54" i="4" s="1"/>
  <c r="J43" i="4"/>
  <c r="K43" i="4" s="1"/>
  <c r="O43" i="4" s="1"/>
  <c r="P43" i="4" s="1"/>
  <c r="J57" i="4"/>
  <c r="K57" i="4" s="1"/>
  <c r="O57" i="4" s="1"/>
  <c r="P57" i="4" s="1"/>
  <c r="J53" i="4"/>
  <c r="K53" i="4" s="1"/>
  <c r="O53" i="4" s="1"/>
  <c r="P53" i="4" s="1"/>
  <c r="J49" i="4"/>
  <c r="K49" i="4" s="1"/>
  <c r="O49" i="4" s="1"/>
  <c r="P49" i="4" s="1"/>
  <c r="J41" i="4"/>
  <c r="K41" i="4" s="1"/>
  <c r="O41" i="4" s="1"/>
  <c r="P41" i="4" s="1"/>
  <c r="J59" i="4"/>
  <c r="K59" i="4" s="1"/>
  <c r="O59" i="4" s="1"/>
  <c r="P59" i="4" s="1"/>
  <c r="J50" i="4"/>
  <c r="K50" i="4" s="1"/>
  <c r="O50" i="4" s="1"/>
  <c r="P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L28" i="4"/>
  <c r="M28" i="4" s="1"/>
  <c r="L32" i="4"/>
  <c r="M32" i="4" s="1"/>
  <c r="K32" i="4"/>
  <c r="O32" i="4" s="1"/>
  <c r="P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P29" i="4" s="1"/>
  <c r="L29" i="4"/>
  <c r="M29" i="4" s="1"/>
  <c r="P28" i="4" l="1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<sst xmlns="http://schemas.openxmlformats.org/spreadsheetml/2006/main" count="139" uniqueCount="105">
  <si>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</si>
  <si>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</si>
  <si>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</si>
  <si>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</si>
  <si>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</si>
  <si>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</si>
  <si>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</si>
  <si>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</si>
  <si>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</si>
  <si>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</si>
  <si>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</si>
  <si>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</si>
  <si>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</si>
  <si>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</si>
  <si>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</si>
  <si>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</si>
  <si>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</si>
  <si>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</si>
  <si>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</si>
  <si>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</si>
  <si>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</si>
  <si>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</si>
  <si>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</si>
  <si>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</si>
  <si>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</si>
  <si>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</si>
  <si>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</si>
  <si>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</si>
  <si>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</si>
  <si>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</si>
  <si>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</si>
  <si>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</si>
  <si>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</si>
  <si>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</si>
  <si>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</si>
  <si>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</si>
  <si>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</si>
  <si>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</si>
  <si>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</si>
  <si>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</si>
  <si>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</si>
  <si>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</si>
  <si>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</si>
  <si>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</si>
  <si>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</si>
  <si>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</si>
  <si>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</si>
  <si>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</si>
  <si>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</si>
  <si>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</si>
  <si>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</si>
  <si>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</si>
  <si>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</si>
  <si>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</si>
  <si>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</si>
  <si>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</si>
  <si>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</si>
  <si>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</si>
  <si>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</si>
  <si>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</si>
  <si>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</si>
  <si>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</si>
  <si>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</si>
  <si>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</si>
  <si>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</si>
  <si>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</si>
  <si>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</si>
  <si>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</si>
  <si>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</si>
  <si>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</si>
  <si>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</si>
  <si>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</si>
  <si>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</si>
  <si>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</si>
  <si>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</si>
  <si>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</si>
  <si>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</si>
  <si>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</si>
  <si>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</si>
  <si>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OptiMEM</t>
    <phoneticPr fontId="18" type="noConversion"/>
  </si>
  <si>
    <t>Caffeine</t>
  </si>
  <si>
    <t>Lamotrigine</t>
  </si>
  <si>
    <t>Venlafaxine</t>
  </si>
  <si>
    <t>Metoprolol</t>
  </si>
  <si>
    <t>Diphenhydramine</t>
  </si>
  <si>
    <t>Propranolol</t>
  </si>
  <si>
    <t>2,4-Dichlorophenoxyacetic</t>
  </si>
  <si>
    <t>(S)-Naproxen</t>
  </si>
  <si>
    <t>Ibuprofen</t>
  </si>
  <si>
    <t>Torasemide</t>
  </si>
  <si>
    <t>Warfarin</t>
  </si>
  <si>
    <t>ARE</t>
  </si>
  <si>
    <t>58-08-2</t>
  </si>
  <si>
    <t>84057-84-1</t>
  </si>
  <si>
    <t>99300-78-4</t>
  </si>
  <si>
    <t>56392-17-7</t>
  </si>
  <si>
    <t>147-24-0</t>
  </si>
  <si>
    <t>318-98-9</t>
  </si>
  <si>
    <t>15307-79-6</t>
  </si>
  <si>
    <t>94-75-7</t>
  </si>
  <si>
    <t>22204-53-1</t>
  </si>
  <si>
    <t>15687-27-1</t>
  </si>
  <si>
    <t>56211-40-6</t>
  </si>
  <si>
    <t>81-81-2</t>
  </si>
  <si>
    <t>Diclofenac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</si>
</sst>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000"/>
    <numFmt numFmtId="166" formatCode="0.00000000000"/>
    <numFmt numFmtId="167" formatCode="0.0%"/>
    <numFmt numFmtId="168" formatCode="0.00_);[Red]\(0.00\)"/>
    <numFmt numFmtId="169" formatCode="0.00000_);[Red]\(0.00000\)"/>
    <numFmt numFmtId="170" formatCode="0.000000_);[Red]\(0.000000\)"/>
  </numFmts>
  <fonts count="28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11"/>
      <color rgb="FFFFC000"/>
      <name val="Helvetica"/>
      <family val="2"/>
    </font>
    <font>
      <sz val="11"/>
      <color rgb="FFFFC000"/>
      <name val="Calibri"/>
      <family val="2"/>
    </font>
    <font>
      <sz val="11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1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64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167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68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69" fontId="0" fillId="3" borderId="0" xfId="0" applyNumberFormat="1" applyFill="1"/>
    <xf numFmtId="170" fontId="0" fillId="3" borderId="0" xfId="0" applyNumberFormat="1" applyFill="1"/>
    <xf numFmtId="170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9" borderId="7" xfId="0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9" borderId="0" xfId="0" applyFont="1" applyFill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0" fontId="25" fillId="9" borderId="0" xfId="0" applyFont="1" applyFill="1" applyAlignment="1">
      <alignment vertical="center"/>
    </xf>
    <xf numFmtId="0" fontId="26" fillId="9" borderId="7" xfId="0" applyFont="1" applyFill="1" applyBorder="1" applyAlignment="1" applyProtection="1">
      <alignment horizontal="left" vertical="center"/>
      <protection locked="0"/>
    </xf>
    <xf numFmtId="2" fontId="25" fillId="9" borderId="7" xfId="0" applyNumberFormat="1" applyFont="1" applyFill="1" applyBorder="1" applyAlignment="1" applyProtection="1">
      <alignment horizontal="center" vertical="center"/>
      <protection locked="0"/>
    </xf>
    <xf numFmtId="11" fontId="25" fillId="9" borderId="7" xfId="0" applyNumberFormat="1" applyFont="1" applyFill="1" applyBorder="1" applyAlignment="1" applyProtection="1">
      <alignment horizontal="center" vertical="center"/>
      <protection locked="0"/>
    </xf>
    <xf numFmtId="2" fontId="27" fillId="2" borderId="7" xfId="0" applyNumberFormat="1" applyFont="1" applyFill="1" applyBorder="1" applyAlignment="1" applyProtection="1">
      <alignment horizontal="center" vertical="center"/>
      <protection hidden="1"/>
    </xf>
    <xf numFmtId="10" fontId="27" fillId="2" borderId="7" xfId="0" applyNumberFormat="1" applyFont="1" applyFill="1" applyBorder="1" applyAlignment="1" applyProtection="1">
      <alignment horizontal="center" vertical="center"/>
      <protection hidden="1"/>
    </xf>
    <xf numFmtId="11" fontId="27" fillId="2" borderId="7" xfId="0" applyNumberFormat="1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Normal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A10" zoomScale="90" zoomScaleNormal="90" workbookViewId="0">
      <selection activeCell="R26" sqref="R26:V27"/>
    </sheetView>
  </sheetViews>
  <sheetFormatPr defaultColWidth="10.85546875" defaultRowHeight="1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75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8">
      <c r="A2" s="7"/>
      <c r="B2" s="116" t="s">
        <v>59</v>
      </c>
      <c r="C2" s="117"/>
      <c r="D2" s="117"/>
      <c r="E2" s="117"/>
      <c r="F2" s="117"/>
      <c r="G2" s="117"/>
      <c r="H2" s="118"/>
      <c r="I2" s="7"/>
      <c r="J2" s="107" t="s">
        <v>58</v>
      </c>
      <c r="K2" s="108"/>
      <c r="L2" s="108"/>
      <c r="M2" s="108"/>
      <c r="N2" s="108"/>
      <c r="O2" s="109"/>
      <c r="P2" s="7"/>
      <c r="Q2" s="107" t="s">
        <v>60</v>
      </c>
      <c r="R2" s="108"/>
      <c r="S2" s="108"/>
      <c r="T2" s="108"/>
      <c r="U2" s="108"/>
      <c r="V2" s="109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10"/>
      <c r="K3" s="111"/>
      <c r="L3" s="111"/>
      <c r="M3" s="111"/>
      <c r="N3" s="111"/>
      <c r="O3" s="112"/>
      <c r="P3" s="7"/>
      <c r="Q3" s="110"/>
      <c r="R3" s="111"/>
      <c r="S3" s="111"/>
      <c r="T3" s="111"/>
      <c r="U3" s="111"/>
      <c r="V3" s="112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3"/>
      <c r="K4" s="114"/>
      <c r="L4" s="114"/>
      <c r="M4" s="114"/>
      <c r="N4" s="114"/>
      <c r="O4" s="115"/>
      <c r="P4" s="7"/>
      <c r="Q4" s="113"/>
      <c r="R4" s="114"/>
      <c r="S4" s="114"/>
      <c r="T4" s="114"/>
      <c r="U4" s="114"/>
      <c r="V4" s="115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79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 thickBot="1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 thickBot="1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 thickBot="1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thickBot="1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83">
        <v>2.8680324799999998E-3</v>
      </c>
      <c r="M17" s="83">
        <v>1.56161938E-4</v>
      </c>
      <c r="N17" s="83">
        <v>1.3975581999999998E-5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thickBot="1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 thickBot="1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 thickBot="1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1-M23-N23</f>
        <v>0.94399999999999995</v>
      </c>
      <c r="M23" s="88">
        <v>5.1400000000000001E-2</v>
      </c>
      <c r="N23" s="87">
        <v>4.5999999999999999E-3</v>
      </c>
      <c r="O23" s="87">
        <f>SUM(L23:N23)</f>
        <v>1</v>
      </c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 thickBot="1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>
        <f>L23*$O$24</f>
        <v>2.8680324799999998E-3</v>
      </c>
      <c r="M24" s="91">
        <f t="shared" ref="M24:N24" si="0">M23*$O$24</f>
        <v>1.56161938E-4</v>
      </c>
      <c r="N24" s="91">
        <f t="shared" si="0"/>
        <v>1.3975581999999998E-5</v>
      </c>
      <c r="O24" s="89">
        <f>SUM(L17:N17)</f>
        <v>3.0381699999999998E-3</v>
      </c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>
        <f>SUM(L24:N24)</f>
        <v>3.0381699999999998E-3</v>
      </c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thickBo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thickBo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1" zoomScale="90" zoomScaleNormal="90" workbookViewId="0">
      <selection activeCell="L29" sqref="L29"/>
    </sheetView>
  </sheetViews>
  <sheetFormatPr defaultColWidth="11.42578125" defaultRowHeight="1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75" thickBot="1">
      <c r="A1" s="7"/>
      <c r="B1" s="7"/>
      <c r="C1" s="7"/>
      <c r="D1" s="7"/>
      <c r="E1" s="7"/>
      <c r="F1" s="7"/>
      <c r="G1" s="174"/>
      <c r="H1" s="17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>
      <c r="A2" s="7"/>
      <c r="B2" s="7"/>
      <c r="C2" s="7"/>
      <c r="D2" s="7"/>
      <c r="E2" s="7"/>
      <c r="F2" s="7"/>
      <c r="G2" s="174"/>
      <c r="H2" s="174"/>
      <c r="I2" s="119" t="s">
        <v>20</v>
      </c>
      <c r="J2" s="120"/>
      <c r="K2" s="120"/>
      <c r="L2" s="120"/>
      <c r="M2" s="120"/>
      <c r="N2" s="120"/>
      <c r="O2" s="120"/>
      <c r="P2" s="120"/>
      <c r="Q2" s="12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>
      <c r="A3" s="7"/>
      <c r="B3" s="7"/>
      <c r="C3" s="7"/>
      <c r="D3" s="7"/>
      <c r="E3" s="7"/>
      <c r="F3" s="7"/>
      <c r="G3" s="174"/>
      <c r="H3" s="174"/>
      <c r="I3" s="122"/>
      <c r="J3" s="123"/>
      <c r="K3" s="123"/>
      <c r="L3" s="123"/>
      <c r="M3" s="123"/>
      <c r="N3" s="123"/>
      <c r="O3" s="123"/>
      <c r="P3" s="123"/>
      <c r="Q3" s="12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7"/>
      <c r="C4" s="7"/>
      <c r="D4" s="7"/>
      <c r="E4" s="7"/>
      <c r="F4" s="7"/>
      <c r="G4" s="174"/>
      <c r="H4" s="174"/>
      <c r="I4" s="125"/>
      <c r="J4" s="126"/>
      <c r="K4" s="126"/>
      <c r="L4" s="126"/>
      <c r="M4" s="126"/>
      <c r="N4" s="126"/>
      <c r="O4" s="126"/>
      <c r="P4" s="126"/>
      <c r="Q4" s="12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>
      <c r="A5" s="7"/>
      <c r="B5" s="7"/>
      <c r="C5" s="7"/>
      <c r="D5" s="7"/>
      <c r="E5" s="7"/>
      <c r="F5" s="7"/>
      <c r="G5" s="174"/>
      <c r="H5" s="174"/>
      <c r="I5" s="128" t="s">
        <v>40</v>
      </c>
      <c r="J5" s="129"/>
      <c r="K5" s="129"/>
      <c r="L5" s="129"/>
      <c r="M5" s="129"/>
      <c r="N5" s="129"/>
      <c r="O5" s="129"/>
      <c r="P5" s="129"/>
      <c r="Q5" s="130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>
      <c r="A6" s="7"/>
      <c r="B6" s="7"/>
      <c r="C6" s="7"/>
      <c r="D6" s="7"/>
      <c r="E6" s="7"/>
      <c r="F6" s="7"/>
      <c r="G6" s="174"/>
      <c r="H6" s="174"/>
      <c r="I6" s="50" t="s">
        <v>51</v>
      </c>
      <c r="J6" s="50" t="s">
        <v>52</v>
      </c>
      <c r="K6" s="50" t="s">
        <v>48</v>
      </c>
      <c r="L6" s="171" t="s">
        <v>41</v>
      </c>
      <c r="M6" s="172"/>
      <c r="N6" s="172"/>
      <c r="O6" s="172"/>
      <c r="P6" s="172"/>
      <c r="Q6" s="173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>
      <c r="A7" s="7"/>
      <c r="B7" s="7"/>
      <c r="C7" s="7"/>
      <c r="D7" s="7"/>
      <c r="E7" s="7"/>
      <c r="F7" s="7"/>
      <c r="G7" s="174"/>
      <c r="H7" s="174"/>
      <c r="I7" s="51" t="s">
        <v>21</v>
      </c>
      <c r="J7" s="38">
        <f>SUM(J13,J19)</f>
        <v>220.06076340000001</v>
      </c>
      <c r="K7" s="39">
        <f>J7/J7</f>
        <v>1</v>
      </c>
      <c r="L7" s="165" t="s">
        <v>70</v>
      </c>
      <c r="M7" s="166"/>
      <c r="N7" s="166"/>
      <c r="O7" s="166"/>
      <c r="P7" s="166"/>
      <c r="Q7" s="16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>
      <c r="A8" s="7"/>
      <c r="B8" s="146" t="s">
        <v>3</v>
      </c>
      <c r="C8" s="147"/>
      <c r="D8" s="147"/>
      <c r="E8" s="147"/>
      <c r="F8" s="148"/>
      <c r="G8" s="174"/>
      <c r="H8" s="174"/>
      <c r="I8" s="52" t="s">
        <v>6</v>
      </c>
      <c r="J8" s="38">
        <f>SUM(J14,J20)</f>
        <v>219.48756064960003</v>
      </c>
      <c r="K8" s="40">
        <f>J8/J7</f>
        <v>0.99739525237691695</v>
      </c>
      <c r="L8" s="165" t="s">
        <v>71</v>
      </c>
      <c r="M8" s="166"/>
      <c r="N8" s="166"/>
      <c r="O8" s="166"/>
      <c r="P8" s="166"/>
      <c r="Q8" s="16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>
      <c r="A9" s="7"/>
      <c r="B9" s="149"/>
      <c r="C9" s="150"/>
      <c r="D9" s="150"/>
      <c r="E9" s="150"/>
      <c r="F9" s="151"/>
      <c r="G9" s="174"/>
      <c r="H9" s="174"/>
      <c r="I9" s="51" t="s">
        <v>8</v>
      </c>
      <c r="J9" s="41">
        <f t="shared" ref="J9:J10" si="0">SUM(J15,J21)</f>
        <v>0.53112323876000012</v>
      </c>
      <c r="K9" s="40">
        <f>J9/J7</f>
        <v>2.4135299294340269E-3</v>
      </c>
      <c r="L9" s="165" t="s">
        <v>71</v>
      </c>
      <c r="M9" s="166"/>
      <c r="N9" s="166"/>
      <c r="O9" s="166"/>
      <c r="P9" s="166"/>
      <c r="Q9" s="16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>
      <c r="A10" s="7"/>
      <c r="B10" s="152"/>
      <c r="C10" s="153"/>
      <c r="D10" s="153"/>
      <c r="E10" s="153"/>
      <c r="F10" s="154"/>
      <c r="G10" s="174"/>
      <c r="H10" s="174"/>
      <c r="I10" s="52" t="s">
        <v>9</v>
      </c>
      <c r="J10" s="41">
        <f t="shared" si="0"/>
        <v>4.2079511640000004E-2</v>
      </c>
      <c r="K10" s="40">
        <f>J10/J7</f>
        <v>1.9121769364906241E-4</v>
      </c>
      <c r="L10" s="165" t="s">
        <v>71</v>
      </c>
      <c r="M10" s="166"/>
      <c r="N10" s="166"/>
      <c r="O10" s="166"/>
      <c r="P10" s="166"/>
      <c r="Q10" s="16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>
      <c r="A11" s="7"/>
      <c r="B11" s="155" t="s">
        <v>38</v>
      </c>
      <c r="C11" s="156"/>
      <c r="D11" s="156"/>
      <c r="E11" s="156"/>
      <c r="F11" s="157"/>
      <c r="G11" s="174"/>
      <c r="H11" s="174"/>
      <c r="I11" s="190"/>
      <c r="J11" s="190"/>
      <c r="K11" s="190"/>
      <c r="L11" s="190"/>
      <c r="M11" s="190"/>
      <c r="N11" s="190"/>
      <c r="O11" s="190"/>
      <c r="P11" s="190"/>
      <c r="Q11" s="190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>
      <c r="A12" s="7"/>
      <c r="B12" s="158"/>
      <c r="C12" s="159"/>
      <c r="D12" s="159"/>
      <c r="E12" s="159"/>
      <c r="F12" s="160"/>
      <c r="G12" s="174"/>
      <c r="H12" s="174"/>
      <c r="I12" s="50" t="s">
        <v>53</v>
      </c>
      <c r="J12" s="50" t="s">
        <v>52</v>
      </c>
      <c r="K12" s="50" t="s">
        <v>48</v>
      </c>
      <c r="L12" s="171" t="s">
        <v>41</v>
      </c>
      <c r="M12" s="172"/>
      <c r="N12" s="172"/>
      <c r="O12" s="172"/>
      <c r="P12" s="172"/>
      <c r="Q12" s="173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>
      <c r="A13" s="8"/>
      <c r="B13" s="144" t="s">
        <v>4</v>
      </c>
      <c r="C13" s="145"/>
      <c r="D13" s="134" t="s">
        <v>41</v>
      </c>
      <c r="E13" s="134"/>
      <c r="F13" s="134"/>
      <c r="G13" s="174"/>
      <c r="H13" s="174"/>
      <c r="I13" s="51" t="s">
        <v>5</v>
      </c>
      <c r="J13" s="42">
        <f>SUM(J14:J16)</f>
        <v>220</v>
      </c>
      <c r="K13" s="39">
        <f>J13/J13</f>
        <v>1</v>
      </c>
      <c r="L13" s="165" t="s">
        <v>73</v>
      </c>
      <c r="M13" s="166"/>
      <c r="N13" s="166"/>
      <c r="O13" s="166"/>
      <c r="P13" s="166"/>
      <c r="Q13" s="16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>
      <c r="A14" s="7"/>
      <c r="B14" s="4" t="s">
        <v>35</v>
      </c>
      <c r="C14" s="44">
        <v>220</v>
      </c>
      <c r="D14" s="135" t="s">
        <v>18</v>
      </c>
      <c r="E14" s="135"/>
      <c r="F14" s="135"/>
      <c r="G14" s="174"/>
      <c r="H14" s="174"/>
      <c r="I14" s="52" t="s">
        <v>45</v>
      </c>
      <c r="J14" s="42">
        <f>C14-SUM(J15:J16)</f>
        <v>219.43020000000001</v>
      </c>
      <c r="K14" s="40">
        <f>J14/J13</f>
        <v>0.99741000000000002</v>
      </c>
      <c r="L14" s="168" t="s">
        <v>72</v>
      </c>
      <c r="M14" s="169"/>
      <c r="N14" s="169"/>
      <c r="O14" s="169"/>
      <c r="P14" s="169"/>
      <c r="Q14" s="170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>
      <c r="A15" s="7"/>
      <c r="B15" s="5" t="s">
        <v>15</v>
      </c>
      <c r="C15" s="44" t="s">
        <v>14</v>
      </c>
      <c r="D15" s="136" t="s">
        <v>62</v>
      </c>
      <c r="E15" s="136"/>
      <c r="F15" s="136"/>
      <c r="G15" s="174"/>
      <c r="H15" s="174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0.52800000000000014</v>
      </c>
      <c r="K15" s="40">
        <f>J15/J13</f>
        <v>2.4000000000000007E-3</v>
      </c>
      <c r="L15" s="165" t="s">
        <v>71</v>
      </c>
      <c r="M15" s="166"/>
      <c r="N15" s="166"/>
      <c r="O15" s="166"/>
      <c r="P15" s="166"/>
      <c r="Q15" s="16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>
      <c r="A16" s="7"/>
      <c r="B16" s="4" t="s">
        <v>36</v>
      </c>
      <c r="C16" s="45">
        <v>0.9</v>
      </c>
      <c r="D16" s="137" t="s">
        <v>42</v>
      </c>
      <c r="E16" s="138"/>
      <c r="F16" s="139"/>
      <c r="G16" s="174"/>
      <c r="H16" s="174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4.1800000000000004E-2</v>
      </c>
      <c r="K16" s="40">
        <f>J16/J13</f>
        <v>1.9000000000000001E-4</v>
      </c>
      <c r="L16" s="165" t="s">
        <v>71</v>
      </c>
      <c r="M16" s="166"/>
      <c r="N16" s="166"/>
      <c r="O16" s="166"/>
      <c r="P16" s="166"/>
      <c r="Q16" s="16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>
      <c r="A17" s="7"/>
      <c r="B17" s="5" t="s">
        <v>16</v>
      </c>
      <c r="C17" s="44" t="s">
        <v>78</v>
      </c>
      <c r="D17" s="140" t="s">
        <v>63</v>
      </c>
      <c r="E17" s="141"/>
      <c r="F17" s="142"/>
      <c r="G17" s="174"/>
      <c r="H17" s="174"/>
      <c r="I17" s="168"/>
      <c r="J17" s="169"/>
      <c r="K17" s="169"/>
      <c r="L17" s="169"/>
      <c r="M17" s="169"/>
      <c r="N17" s="169"/>
      <c r="O17" s="169"/>
      <c r="P17" s="169"/>
      <c r="Q17" s="170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>
      <c r="A18" s="7"/>
      <c r="B18" s="4" t="s">
        <v>37</v>
      </c>
      <c r="C18" s="45">
        <v>0.1</v>
      </c>
      <c r="D18" s="137" t="s">
        <v>43</v>
      </c>
      <c r="E18" s="138"/>
      <c r="F18" s="139"/>
      <c r="G18" s="174"/>
      <c r="H18" s="174"/>
      <c r="I18" s="50" t="s">
        <v>31</v>
      </c>
      <c r="J18" s="50" t="s">
        <v>52</v>
      </c>
      <c r="K18" s="50" t="s">
        <v>48</v>
      </c>
      <c r="L18" s="171" t="s">
        <v>41</v>
      </c>
      <c r="M18" s="172"/>
      <c r="N18" s="172"/>
      <c r="O18" s="172"/>
      <c r="P18" s="172"/>
      <c r="Q18" s="173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>
      <c r="A19" s="7"/>
      <c r="B19" s="136"/>
      <c r="C19" s="136"/>
      <c r="D19" s="136"/>
      <c r="E19" s="136"/>
      <c r="F19" s="136"/>
      <c r="G19" s="174"/>
      <c r="H19" s="174"/>
      <c r="I19" s="51" t="s">
        <v>5</v>
      </c>
      <c r="J19" s="42">
        <f>SUM(J20:J22)</f>
        <v>6.0763400000000002E-2</v>
      </c>
      <c r="K19" s="39">
        <f>J19/J19</f>
        <v>1</v>
      </c>
      <c r="L19" s="165" t="s">
        <v>57</v>
      </c>
      <c r="M19" s="166"/>
      <c r="N19" s="166"/>
      <c r="O19" s="166"/>
      <c r="P19" s="166"/>
      <c r="Q19" s="16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>
      <c r="A20" s="7"/>
      <c r="B20" s="144" t="s">
        <v>7</v>
      </c>
      <c r="C20" s="145"/>
      <c r="D20" s="134" t="s">
        <v>41</v>
      </c>
      <c r="E20" s="134"/>
      <c r="F20" s="134"/>
      <c r="G20" s="174"/>
      <c r="H20" s="174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5.7360649600000001E-2</v>
      </c>
      <c r="K20" s="40">
        <f>J20/J19</f>
        <v>0.94399999999999995</v>
      </c>
      <c r="L20" s="165" t="s">
        <v>71</v>
      </c>
      <c r="M20" s="166"/>
      <c r="N20" s="166"/>
      <c r="O20" s="166"/>
      <c r="P20" s="166"/>
      <c r="Q20" s="16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>
      <c r="A21" s="7"/>
      <c r="B21" s="4" t="s">
        <v>10</v>
      </c>
      <c r="C21" s="44" t="s">
        <v>77</v>
      </c>
      <c r="D21" s="140" t="s">
        <v>63</v>
      </c>
      <c r="E21" s="141"/>
      <c r="F21" s="142"/>
      <c r="G21" s="174"/>
      <c r="H21" s="174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3.12323876E-3</v>
      </c>
      <c r="K21" s="40">
        <f>J21/J19</f>
        <v>5.1399999999999994E-2</v>
      </c>
      <c r="L21" s="165" t="s">
        <v>71</v>
      </c>
      <c r="M21" s="166"/>
      <c r="N21" s="166"/>
      <c r="O21" s="166"/>
      <c r="P21" s="166"/>
      <c r="Q21" s="16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>
      <c r="A22" s="7"/>
      <c r="B22" s="6" t="s">
        <v>19</v>
      </c>
      <c r="C22" s="46">
        <v>20000</v>
      </c>
      <c r="D22" s="143" t="s">
        <v>69</v>
      </c>
      <c r="E22" s="143"/>
      <c r="F22" s="143"/>
      <c r="G22" s="174"/>
      <c r="H22" s="174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2.7951163999999996E-4</v>
      </c>
      <c r="K22" s="40">
        <f>J22/J19</f>
        <v>4.5999999999999991E-3</v>
      </c>
      <c r="L22" s="165" t="s">
        <v>71</v>
      </c>
      <c r="M22" s="166"/>
      <c r="N22" s="166"/>
      <c r="O22" s="166"/>
      <c r="P22" s="166"/>
      <c r="Q22" s="16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>
      <c r="A23" s="7"/>
      <c r="B23" s="131"/>
      <c r="C23" s="132"/>
      <c r="D23" s="132"/>
      <c r="E23" s="132"/>
      <c r="F23" s="133"/>
      <c r="G23" s="174"/>
      <c r="H23" s="174"/>
      <c r="I23" s="185"/>
      <c r="J23" s="186"/>
      <c r="K23" s="186"/>
      <c r="L23" s="186"/>
      <c r="M23" s="186"/>
      <c r="N23" s="186"/>
      <c r="O23" s="186"/>
      <c r="P23" s="186"/>
      <c r="Q23" s="18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>
      <c r="A24" s="7"/>
      <c r="B24" s="155" t="s">
        <v>39</v>
      </c>
      <c r="C24" s="156"/>
      <c r="D24" s="156"/>
      <c r="E24" s="156"/>
      <c r="F24" s="157"/>
      <c r="G24" s="174"/>
      <c r="H24" s="174"/>
      <c r="I24" s="179" t="s">
        <v>44</v>
      </c>
      <c r="J24" s="180"/>
      <c r="K24" s="180"/>
      <c r="L24" s="180"/>
      <c r="M24" s="180"/>
      <c r="N24" s="180"/>
      <c r="O24" s="180"/>
      <c r="P24" s="180"/>
      <c r="Q24" s="181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>
      <c r="A25" s="7"/>
      <c r="B25" s="158"/>
      <c r="C25" s="159"/>
      <c r="D25" s="159"/>
      <c r="E25" s="159"/>
      <c r="F25" s="160"/>
      <c r="G25" s="174"/>
      <c r="H25" s="174"/>
      <c r="I25" s="182"/>
      <c r="J25" s="183"/>
      <c r="K25" s="183"/>
      <c r="L25" s="183"/>
      <c r="M25" s="183"/>
      <c r="N25" s="183"/>
      <c r="O25" s="183"/>
      <c r="P25" s="183"/>
      <c r="Q25" s="18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>
      <c r="A26" s="7"/>
      <c r="B26" s="177" t="s">
        <v>11</v>
      </c>
      <c r="C26" s="177" t="s">
        <v>12</v>
      </c>
      <c r="D26" s="161" t="s">
        <v>49</v>
      </c>
      <c r="E26" s="161" t="s">
        <v>50</v>
      </c>
      <c r="F26" s="163" t="s">
        <v>68</v>
      </c>
      <c r="G26" s="174"/>
      <c r="H26" s="174"/>
      <c r="I26" s="188" t="s">
        <v>55</v>
      </c>
      <c r="J26" s="188" t="s">
        <v>56</v>
      </c>
      <c r="K26" s="175" t="s">
        <v>76</v>
      </c>
      <c r="L26" s="175" t="s">
        <v>54</v>
      </c>
      <c r="M26" s="175" t="s">
        <v>61</v>
      </c>
      <c r="N26" s="175" t="s">
        <v>64</v>
      </c>
      <c r="O26" s="175" t="s">
        <v>75</v>
      </c>
      <c r="P26" s="175" t="s">
        <v>66</v>
      </c>
      <c r="Q26" s="175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>
      <c r="A27" s="7"/>
      <c r="B27" s="178"/>
      <c r="C27" s="178"/>
      <c r="D27" s="162"/>
      <c r="E27" s="162"/>
      <c r="F27" s="164"/>
      <c r="G27" s="174"/>
      <c r="H27" s="174"/>
      <c r="I27" s="189"/>
      <c r="J27" s="189"/>
      <c r="K27" s="176"/>
      <c r="L27" s="176"/>
      <c r="M27" s="176"/>
      <c r="N27" s="176"/>
      <c r="O27" s="176"/>
      <c r="P27" s="176"/>
      <c r="Q27" s="176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94" t="s">
        <v>91</v>
      </c>
      <c r="B28" s="95" t="s">
        <v>80</v>
      </c>
      <c r="C28" s="93" t="s">
        <v>92</v>
      </c>
      <c r="D28" s="48">
        <v>6.5247999999999973E-2</v>
      </c>
      <c r="E28" s="48">
        <v>8.2216000000000289E-2</v>
      </c>
      <c r="F28" s="58">
        <v>3.6800000000000001E-3</v>
      </c>
      <c r="G28" s="174"/>
      <c r="H28" s="174"/>
      <c r="I28" s="55">
        <f t="shared" ref="I28:I47" si="1">IF(D28=0,"",LOG($K$15*10^D28+$K$16*10^E28+$K$14))</f>
        <v>1.8612811933016251E-4</v>
      </c>
      <c r="J28" s="55">
        <f t="shared" ref="J28:J47" si="2">IF(D28=0,"",LOG($K$21*10^D28+$K$22*10^E28+$K$20))</f>
        <v>4.0165152254126174E-3</v>
      </c>
      <c r="K28" s="56">
        <f t="shared" ref="K28:K47" si="3">IF(D28=0,"",1/(1+10^D28*$J$15/$J$14+10^E28*$J$16/$J$14+10^J28*$J$19/$J$14))</f>
        <v>0.99670489987670485</v>
      </c>
      <c r="L28" s="56">
        <f t="shared" ref="L28:L47" si="4">IF(D28=0,"",1/(1+10^I28/10^J28*$J$13/$J$19))</f>
        <v>2.7856642858557247E-4</v>
      </c>
      <c r="M28" s="56">
        <f t="shared" ref="M28:M47" si="5">IF(D28=0,"",1-L28)</f>
        <v>0.99972143357141441</v>
      </c>
      <c r="N28" s="56">
        <f t="shared" ref="N28:N47" si="6">IF(D28=0,"",1/(1/10^E28*$J$20/$J$22+10^D28/10^E28*$J$21/$J$22+10^I28/10^E28*$J$13/$J$22+1))</f>
        <v>1.5342145344135855E-6</v>
      </c>
      <c r="O28" s="57">
        <f t="shared" ref="O28:O47" si="7">IF(D28=0,"",F28*K28*$J$7/$J$14)</f>
        <v>3.67841418107949E-3</v>
      </c>
      <c r="P28" s="57">
        <f t="shared" ref="P28:P47" si="8">IF(D28=0,"",O28*10^J28)</f>
        <v>3.7125913071079267E-3</v>
      </c>
      <c r="Q28" s="57">
        <f t="shared" ref="Q28:Q47" si="9">IF(D28=0,"",F28*N28*$J$7/$J$22)</f>
        <v>4.445049772230379E-3</v>
      </c>
      <c r="R28" s="9">
        <f>O28/F28</f>
        <v>0.99956907094551362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94" t="s">
        <v>91</v>
      </c>
      <c r="B29" s="95" t="s">
        <v>81</v>
      </c>
      <c r="C29" s="93" t="s">
        <v>93</v>
      </c>
      <c r="D29" s="48">
        <v>2.1823520000000003</v>
      </c>
      <c r="E29" s="48">
        <v>2.5882690000000008</v>
      </c>
      <c r="F29" s="58">
        <v>8.6300000000000005E-4</v>
      </c>
      <c r="G29" s="174"/>
      <c r="H29" s="174"/>
      <c r="I29" s="55">
        <f t="shared" si="1"/>
        <v>0.15723362449797995</v>
      </c>
      <c r="J29" s="55">
        <f t="shared" si="2"/>
        <v>1.0231882531561007</v>
      </c>
      <c r="K29" s="56">
        <f t="shared" si="3"/>
        <v>0.693042745094543</v>
      </c>
      <c r="L29" s="56">
        <f t="shared" si="4"/>
        <v>2.0243888774789092E-3</v>
      </c>
      <c r="M29" s="56">
        <f t="shared" si="5"/>
        <v>0.99797561112252109</v>
      </c>
      <c r="N29" s="56">
        <f t="shared" si="6"/>
        <v>3.4208381037675493E-4</v>
      </c>
      <c r="O29" s="57">
        <f t="shared" si="7"/>
        <v>5.998146012873006E-4</v>
      </c>
      <c r="P29" s="57">
        <f t="shared" si="8"/>
        <v>6.3271085691445897E-3</v>
      </c>
      <c r="Q29" s="57">
        <f t="shared" si="9"/>
        <v>0.23242670934027609</v>
      </c>
      <c r="R29" s="9">
        <f t="shared" ref="R29:R39" si="10">O29/F29</f>
        <v>0.695034300448784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96" t="s">
        <v>91</v>
      </c>
      <c r="B30" s="97" t="s">
        <v>82</v>
      </c>
      <c r="C30" s="93" t="s">
        <v>94</v>
      </c>
      <c r="D30" s="98">
        <v>0.35</v>
      </c>
      <c r="E30" s="98">
        <v>0.53</v>
      </c>
      <c r="F30" s="99">
        <v>4.5100000000000001E-4</v>
      </c>
      <c r="G30" s="174"/>
      <c r="H30" s="174"/>
      <c r="I30" s="104">
        <f t="shared" si="1"/>
        <v>1.4856678969095052E-3</v>
      </c>
      <c r="J30" s="104">
        <f t="shared" si="2"/>
        <v>3.1269911385632183E-2</v>
      </c>
      <c r="K30" s="105">
        <f t="shared" si="3"/>
        <v>0.99370986963868468</v>
      </c>
      <c r="L30" s="105">
        <f t="shared" si="4"/>
        <v>2.9571624469205309E-4</v>
      </c>
      <c r="M30" s="105">
        <f t="shared" si="5"/>
        <v>0.99970428375530795</v>
      </c>
      <c r="N30" s="105">
        <f t="shared" si="6"/>
        <v>4.2890696890696657E-6</v>
      </c>
      <c r="O30" s="106">
        <f t="shared" si="7"/>
        <v>4.4945101076502848E-4</v>
      </c>
      <c r="P30" s="106">
        <f t="shared" si="8"/>
        <v>4.8300571878924151E-4</v>
      </c>
      <c r="Q30" s="106">
        <f t="shared" si="9"/>
        <v>1.522938484685878E-3</v>
      </c>
      <c r="R30" s="9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>
      <c r="A31" s="96" t="s">
        <v>91</v>
      </c>
      <c r="B31" s="97" t="s">
        <v>83</v>
      </c>
      <c r="C31" s="93" t="s">
        <v>95</v>
      </c>
      <c r="D31" s="98">
        <v>0.35</v>
      </c>
      <c r="E31" s="98">
        <v>0.53</v>
      </c>
      <c r="F31" s="99">
        <v>7.8899999999999999E-4</v>
      </c>
      <c r="G31" s="174"/>
      <c r="H31" s="174"/>
      <c r="I31" s="104">
        <f t="shared" si="1"/>
        <v>1.4856678969095052E-3</v>
      </c>
      <c r="J31" s="104">
        <f t="shared" si="2"/>
        <v>3.1269911385632183E-2</v>
      </c>
      <c r="K31" s="105">
        <f t="shared" si="3"/>
        <v>0.99370986963868468</v>
      </c>
      <c r="L31" s="105">
        <f t="shared" si="4"/>
        <v>2.9571624469205309E-4</v>
      </c>
      <c r="M31" s="105">
        <f t="shared" si="5"/>
        <v>0.99970428375530795</v>
      </c>
      <c r="N31" s="105">
        <f t="shared" si="6"/>
        <v>4.2890696890696657E-6</v>
      </c>
      <c r="O31" s="106">
        <f t="shared" si="7"/>
        <v>7.8629012748028255E-4</v>
      </c>
      <c r="P31" s="106">
        <f t="shared" si="8"/>
        <v>8.4499226635191018E-4</v>
      </c>
      <c r="Q31" s="106">
        <f t="shared" si="9"/>
        <v>2.664298147266425E-3</v>
      </c>
      <c r="R31" s="9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96" t="s">
        <v>91</v>
      </c>
      <c r="B32" s="97" t="s">
        <v>84</v>
      </c>
      <c r="C32" s="93" t="s">
        <v>96</v>
      </c>
      <c r="D32" s="98">
        <v>0.35</v>
      </c>
      <c r="E32" s="98">
        <v>0.53</v>
      </c>
      <c r="F32" s="99">
        <v>1.6899999999999999E-4</v>
      </c>
      <c r="G32" s="174"/>
      <c r="H32" s="174"/>
      <c r="I32" s="104">
        <f t="shared" si="1"/>
        <v>1.4856678969095052E-3</v>
      </c>
      <c r="J32" s="104">
        <f t="shared" si="2"/>
        <v>3.1269911385632183E-2</v>
      </c>
      <c r="K32" s="105">
        <f t="shared" si="3"/>
        <v>0.99370986963868468</v>
      </c>
      <c r="L32" s="105">
        <f t="shared" si="4"/>
        <v>2.9571624469205309E-4</v>
      </c>
      <c r="M32" s="105">
        <f t="shared" si="5"/>
        <v>0.99970428375530795</v>
      </c>
      <c r="N32" s="105">
        <f t="shared" si="6"/>
        <v>4.2890696890696657E-6</v>
      </c>
      <c r="O32" s="106">
        <f t="shared" si="7"/>
        <v>1.6841955835762709E-4</v>
      </c>
      <c r="P32" s="106">
        <f t="shared" si="8"/>
        <v>1.8099327378133442E-4</v>
      </c>
      <c r="Q32" s="106">
        <f t="shared" si="9"/>
        <v>5.7067983129027342E-4</v>
      </c>
      <c r="R32" s="9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96" t="s">
        <v>91</v>
      </c>
      <c r="B33" s="97" t="s">
        <v>85</v>
      </c>
      <c r="C33" s="93" t="s">
        <v>97</v>
      </c>
      <c r="D33" s="98">
        <v>0.35</v>
      </c>
      <c r="E33" s="98">
        <v>0.53</v>
      </c>
      <c r="F33" s="99">
        <v>1.47E-4</v>
      </c>
      <c r="G33" s="174"/>
      <c r="H33" s="174"/>
      <c r="I33" s="104">
        <f t="shared" si="1"/>
        <v>1.4856678969095052E-3</v>
      </c>
      <c r="J33" s="104">
        <f t="shared" si="2"/>
        <v>3.1269911385632183E-2</v>
      </c>
      <c r="K33" s="105">
        <f t="shared" si="3"/>
        <v>0.99370986963868468</v>
      </c>
      <c r="L33" s="105">
        <f t="shared" si="4"/>
        <v>2.9571624469205309E-4</v>
      </c>
      <c r="M33" s="105">
        <f t="shared" si="5"/>
        <v>0.99970428375530795</v>
      </c>
      <c r="N33" s="105">
        <f t="shared" si="6"/>
        <v>4.2890696890696657E-6</v>
      </c>
      <c r="O33" s="106">
        <f t="shared" si="7"/>
        <v>1.4649511880811348E-4</v>
      </c>
      <c r="P33" s="106">
        <f t="shared" si="8"/>
        <v>1.5743201920624943E-4</v>
      </c>
      <c r="Q33" s="106">
        <f t="shared" si="9"/>
        <v>4.9639014911047449E-4</v>
      </c>
      <c r="R33" s="9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94" t="s">
        <v>91</v>
      </c>
      <c r="B34" s="100" t="s">
        <v>104</v>
      </c>
      <c r="C34" s="101" t="s">
        <v>98</v>
      </c>
      <c r="D34" s="102">
        <v>0.35</v>
      </c>
      <c r="E34" s="102">
        <v>0.53</v>
      </c>
      <c r="F34" s="103">
        <v>8.9400000000000005E-5</v>
      </c>
      <c r="G34" s="174"/>
      <c r="H34" s="174"/>
      <c r="I34" s="104">
        <f t="shared" si="1"/>
        <v>1.4856678969095052E-3</v>
      </c>
      <c r="J34" s="104">
        <f t="shared" si="2"/>
        <v>3.1269911385632183E-2</v>
      </c>
      <c r="K34" s="105">
        <f t="shared" si="3"/>
        <v>0.99370986963868468</v>
      </c>
      <c r="L34" s="105">
        <f t="shared" si="4"/>
        <v>2.9571624469205309E-4</v>
      </c>
      <c r="M34" s="105">
        <f t="shared" si="5"/>
        <v>0.99970428375530795</v>
      </c>
      <c r="N34" s="105">
        <f t="shared" si="6"/>
        <v>4.2890696890696657E-6</v>
      </c>
      <c r="O34" s="106">
        <f t="shared" si="7"/>
        <v>8.9092949805750672E-5</v>
      </c>
      <c r="P34" s="106">
        <f t="shared" si="8"/>
        <v>9.574437086420886E-5</v>
      </c>
      <c r="Q34" s="106">
        <f t="shared" si="9"/>
        <v>3.0188625394881924E-4</v>
      </c>
      <c r="R34" s="9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94" t="s">
        <v>91</v>
      </c>
      <c r="B35" s="95" t="s">
        <v>86</v>
      </c>
      <c r="C35" s="93" t="s">
        <v>99</v>
      </c>
      <c r="D35" s="98">
        <v>2.3628240000000003</v>
      </c>
      <c r="E35" s="98">
        <v>2.5674030000000005</v>
      </c>
      <c r="F35" s="99">
        <v>3.1599999999999998E-4</v>
      </c>
      <c r="G35" s="174"/>
      <c r="H35" s="174"/>
      <c r="I35" s="55">
        <f t="shared" si="1"/>
        <v>0.20977654237414306</v>
      </c>
      <c r="J35" s="55">
        <f t="shared" si="2"/>
        <v>1.1612107058937788</v>
      </c>
      <c r="K35" s="56">
        <f t="shared" si="3"/>
        <v>0.61379860623581817</v>
      </c>
      <c r="L35" s="56">
        <f t="shared" si="4"/>
        <v>2.4636685048035098E-3</v>
      </c>
      <c r="M35" s="56">
        <f t="shared" si="5"/>
        <v>0.99753633149519649</v>
      </c>
      <c r="N35" s="56">
        <f t="shared" si="6"/>
        <v>2.8875691771960597E-4</v>
      </c>
      <c r="O35" s="57">
        <f t="shared" si="7"/>
        <v>1.945177318182584E-4</v>
      </c>
      <c r="P35" s="57">
        <f t="shared" si="8"/>
        <v>2.8194857419167559E-3</v>
      </c>
      <c r="Q35" s="57">
        <f t="shared" si="9"/>
        <v>7.1839317350535975E-2</v>
      </c>
      <c r="R35" s="9">
        <f t="shared" si="10"/>
        <v>0.61556244246284308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94" t="s">
        <v>91</v>
      </c>
      <c r="B36" s="95" t="s">
        <v>87</v>
      </c>
      <c r="C36" s="93" t="s">
        <v>100</v>
      </c>
      <c r="D36" s="98">
        <v>3.2672240000000001</v>
      </c>
      <c r="E36" s="98">
        <v>3.6253630000000006</v>
      </c>
      <c r="F36" s="99">
        <v>4.1100000000000002E-4</v>
      </c>
      <c r="G36" s="174"/>
      <c r="H36" s="174"/>
      <c r="I36" s="55">
        <f t="shared" si="1"/>
        <v>0.79517329783613067</v>
      </c>
      <c r="J36" s="55">
        <f t="shared" si="2"/>
        <v>2.0624304445312611</v>
      </c>
      <c r="K36" s="56">
        <f t="shared" si="3"/>
        <v>0.15903274074073803</v>
      </c>
      <c r="L36" s="56">
        <f t="shared" si="4"/>
        <v>5.0846686396126325E-3</v>
      </c>
      <c r="M36" s="56">
        <f t="shared" si="5"/>
        <v>0.99491533136038734</v>
      </c>
      <c r="N36" s="56">
        <f t="shared" si="6"/>
        <v>8.5497426593748264E-4</v>
      </c>
      <c r="O36" s="57">
        <f t="shared" si="7"/>
        <v>6.5550284613801786E-5</v>
      </c>
      <c r="P36" s="57">
        <f t="shared" si="8"/>
        <v>7.5684165414515872E-3</v>
      </c>
      <c r="Q36" s="57">
        <f t="shared" si="9"/>
        <v>0.27665439995975827</v>
      </c>
      <c r="R36" s="9">
        <f t="shared" si="10"/>
        <v>0.15948974358589241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94" t="s">
        <v>91</v>
      </c>
      <c r="B37" s="95" t="s">
        <v>88</v>
      </c>
      <c r="C37" s="93" t="s">
        <v>101</v>
      </c>
      <c r="D37" s="98">
        <v>2.9091840000000002</v>
      </c>
      <c r="E37" s="98">
        <v>3.4102429999999995</v>
      </c>
      <c r="F37" s="99">
        <v>2.63E-4</v>
      </c>
      <c r="G37" s="174"/>
      <c r="H37" s="174"/>
      <c r="I37" s="55">
        <f t="shared" si="1"/>
        <v>0.53569782003481292</v>
      </c>
      <c r="J37" s="55">
        <f t="shared" si="2"/>
        <v>1.7362012296197693</v>
      </c>
      <c r="K37" s="56">
        <f t="shared" si="3"/>
        <v>0.28925225752812384</v>
      </c>
      <c r="L37" s="56">
        <f t="shared" si="4"/>
        <v>4.3633862079232501E-3</v>
      </c>
      <c r="M37" s="56">
        <f t="shared" si="5"/>
        <v>0.9956366137920768</v>
      </c>
      <c r="N37" s="56">
        <f t="shared" si="6"/>
        <v>9.4759608249004158E-4</v>
      </c>
      <c r="O37" s="57">
        <f t="shared" si="7"/>
        <v>7.6291951133397511E-5</v>
      </c>
      <c r="P37" s="57">
        <f t="shared" si="8"/>
        <v>4.1560422273963513E-3</v>
      </c>
      <c r="Q37" s="57">
        <f t="shared" si="9"/>
        <v>0.19621026391566695</v>
      </c>
      <c r="R37" s="9">
        <f t="shared" si="10"/>
        <v>0.29008346438554189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94" t="s">
        <v>91</v>
      </c>
      <c r="B38" s="95" t="s">
        <v>89</v>
      </c>
      <c r="C38" s="93" t="s">
        <v>102</v>
      </c>
      <c r="D38" s="98">
        <v>2.857424</v>
      </c>
      <c r="E38" s="98">
        <v>3.3289280000000003</v>
      </c>
      <c r="F38" s="99">
        <v>1.1000000000000001E-3</v>
      </c>
      <c r="G38" s="174"/>
      <c r="H38" s="174"/>
      <c r="I38" s="55">
        <f t="shared" si="1"/>
        <v>0.49568105196432</v>
      </c>
      <c r="J38" s="55">
        <f t="shared" si="2"/>
        <v>1.6791568618493466</v>
      </c>
      <c r="K38" s="56">
        <f t="shared" si="3"/>
        <v>0.3172242590667107</v>
      </c>
      <c r="L38" s="56">
        <f t="shared" si="4"/>
        <v>4.1963231149935261E-3</v>
      </c>
      <c r="M38" s="56">
        <f t="shared" si="5"/>
        <v>0.99580367688500648</v>
      </c>
      <c r="N38" s="56">
        <f t="shared" si="6"/>
        <v>8.6178293732174882E-4</v>
      </c>
      <c r="O38" s="57">
        <f t="shared" si="7"/>
        <v>3.4994943212530321E-4</v>
      </c>
      <c r="P38" s="57">
        <f t="shared" si="8"/>
        <v>1.6717146752393632E-2</v>
      </c>
      <c r="Q38" s="57">
        <f t="shared" si="9"/>
        <v>0.74633411395436089</v>
      </c>
      <c r="R38" s="9">
        <f t="shared" si="10"/>
        <v>0.31813584738663925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94" t="s">
        <v>91</v>
      </c>
      <c r="B39" s="95" t="s">
        <v>90</v>
      </c>
      <c r="C39" s="93" t="s">
        <v>103</v>
      </c>
      <c r="D39" s="98">
        <v>2.0783680000000002</v>
      </c>
      <c r="E39" s="98">
        <v>2.5770209999999998</v>
      </c>
      <c r="F39" s="99">
        <v>2.1499999999999999E-4</v>
      </c>
      <c r="G39" s="174"/>
      <c r="H39" s="174"/>
      <c r="I39" s="55">
        <f t="shared" si="1"/>
        <v>0.13245609937548125</v>
      </c>
      <c r="J39" s="55">
        <f t="shared" si="2"/>
        <v>0.9463233758836328</v>
      </c>
      <c r="K39" s="56">
        <f t="shared" si="3"/>
        <v>0.73390006344159109</v>
      </c>
      <c r="L39" s="56">
        <f t="shared" si="4"/>
        <v>1.7959984969713868E-3</v>
      </c>
      <c r="M39" s="56">
        <f t="shared" si="5"/>
        <v>0.99820400150302857</v>
      </c>
      <c r="N39" s="56">
        <f t="shared" si="6"/>
        <v>3.5298920543809097E-4</v>
      </c>
      <c r="O39" s="57">
        <f t="shared" si="7"/>
        <v>1.5824194102433015E-4</v>
      </c>
      <c r="P39" s="57">
        <f t="shared" si="8"/>
        <v>1.3984436694850326E-3</v>
      </c>
      <c r="Q39" s="57">
        <f t="shared" si="9"/>
        <v>5.9750645498853401E-2</v>
      </c>
      <c r="R39" s="9">
        <f t="shared" si="10"/>
        <v>0.73600902802014023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94"/>
      <c r="B40" s="47"/>
      <c r="C40" s="93"/>
      <c r="D40" s="98"/>
      <c r="E40" s="98"/>
      <c r="F40" s="99"/>
      <c r="G40" s="174"/>
      <c r="H40" s="174"/>
      <c r="I40" s="55" t="str">
        <f t="shared" si="1"/>
        <v/>
      </c>
      <c r="J40" s="55" t="str">
        <f t="shared" si="2"/>
        <v/>
      </c>
      <c r="K40" s="56" t="str">
        <f t="shared" si="3"/>
        <v/>
      </c>
      <c r="L40" s="56" t="str">
        <f t="shared" si="4"/>
        <v/>
      </c>
      <c r="M40" s="56" t="str">
        <f t="shared" si="5"/>
        <v/>
      </c>
      <c r="N40" s="56" t="str">
        <f t="shared" si="6"/>
        <v/>
      </c>
      <c r="O40" s="57" t="str">
        <f t="shared" si="7"/>
        <v/>
      </c>
      <c r="P40" s="57" t="str">
        <f t="shared" si="8"/>
        <v/>
      </c>
      <c r="Q40" s="57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94"/>
      <c r="B41" s="47"/>
      <c r="C41" s="93"/>
      <c r="D41" s="98"/>
      <c r="E41" s="98"/>
      <c r="F41" s="99"/>
      <c r="G41" s="174"/>
      <c r="H41" s="174"/>
      <c r="I41" s="55" t="str">
        <f t="shared" si="1"/>
        <v/>
      </c>
      <c r="J41" s="55" t="str">
        <f t="shared" si="2"/>
        <v/>
      </c>
      <c r="K41" s="56" t="str">
        <f t="shared" si="3"/>
        <v/>
      </c>
      <c r="L41" s="56" t="str">
        <f t="shared" si="4"/>
        <v/>
      </c>
      <c r="M41" s="56" t="str">
        <f t="shared" si="5"/>
        <v/>
      </c>
      <c r="N41" s="56" t="str">
        <f t="shared" si="6"/>
        <v/>
      </c>
      <c r="O41" s="57" t="str">
        <f t="shared" si="7"/>
        <v/>
      </c>
      <c r="P41" s="57" t="str">
        <f t="shared" si="8"/>
        <v/>
      </c>
      <c r="Q41" s="57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96"/>
      <c r="B42" s="47"/>
      <c r="C42" s="93"/>
      <c r="D42" s="98"/>
      <c r="E42" s="98"/>
      <c r="F42" s="99"/>
      <c r="G42" s="174"/>
      <c r="H42" s="174"/>
      <c r="I42" s="104" t="str">
        <f t="shared" si="1"/>
        <v/>
      </c>
      <c r="J42" s="104" t="str">
        <f t="shared" si="2"/>
        <v/>
      </c>
      <c r="K42" s="105" t="str">
        <f t="shared" si="3"/>
        <v/>
      </c>
      <c r="L42" s="105" t="str">
        <f t="shared" si="4"/>
        <v/>
      </c>
      <c r="M42" s="105" t="str">
        <f t="shared" si="5"/>
        <v/>
      </c>
      <c r="N42" s="105" t="str">
        <f t="shared" si="6"/>
        <v/>
      </c>
      <c r="O42" s="106" t="str">
        <f t="shared" si="7"/>
        <v/>
      </c>
      <c r="P42" s="106" t="str">
        <f t="shared" si="8"/>
        <v/>
      </c>
      <c r="Q42" s="106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96"/>
      <c r="B43" s="47"/>
      <c r="C43" s="93"/>
      <c r="D43" s="98"/>
      <c r="E43" s="98"/>
      <c r="F43" s="99"/>
      <c r="G43" s="174"/>
      <c r="H43" s="174"/>
      <c r="I43" s="104" t="str">
        <f t="shared" si="1"/>
        <v/>
      </c>
      <c r="J43" s="104" t="str">
        <f t="shared" si="2"/>
        <v/>
      </c>
      <c r="K43" s="105" t="str">
        <f t="shared" si="3"/>
        <v/>
      </c>
      <c r="L43" s="105" t="str">
        <f t="shared" si="4"/>
        <v/>
      </c>
      <c r="M43" s="105" t="str">
        <f t="shared" si="5"/>
        <v/>
      </c>
      <c r="N43" s="105" t="str">
        <f t="shared" si="6"/>
        <v/>
      </c>
      <c r="O43" s="106" t="str">
        <f t="shared" si="7"/>
        <v/>
      </c>
      <c r="P43" s="106" t="str">
        <f t="shared" si="8"/>
        <v/>
      </c>
      <c r="Q43" s="106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96"/>
      <c r="B44" s="47"/>
      <c r="C44" s="93"/>
      <c r="D44" s="98"/>
      <c r="E44" s="98"/>
      <c r="F44" s="99"/>
      <c r="G44" s="174"/>
      <c r="H44" s="174"/>
      <c r="I44" s="104" t="str">
        <f t="shared" si="1"/>
        <v/>
      </c>
      <c r="J44" s="104" t="str">
        <f t="shared" si="2"/>
        <v/>
      </c>
      <c r="K44" s="105" t="str">
        <f t="shared" si="3"/>
        <v/>
      </c>
      <c r="L44" s="105" t="str">
        <f t="shared" si="4"/>
        <v/>
      </c>
      <c r="M44" s="105" t="str">
        <f t="shared" si="5"/>
        <v/>
      </c>
      <c r="N44" s="105" t="str">
        <f t="shared" si="6"/>
        <v/>
      </c>
      <c r="O44" s="106" t="str">
        <f t="shared" si="7"/>
        <v/>
      </c>
      <c r="P44" s="106" t="str">
        <f t="shared" si="8"/>
        <v/>
      </c>
      <c r="Q44" s="106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96"/>
      <c r="B45" s="47"/>
      <c r="C45" s="93"/>
      <c r="D45" s="98"/>
      <c r="E45" s="98"/>
      <c r="F45" s="99"/>
      <c r="G45" s="174"/>
      <c r="H45" s="174"/>
      <c r="I45" s="104" t="str">
        <f t="shared" si="1"/>
        <v/>
      </c>
      <c r="J45" s="104" t="str">
        <f t="shared" si="2"/>
        <v/>
      </c>
      <c r="K45" s="105" t="str">
        <f t="shared" si="3"/>
        <v/>
      </c>
      <c r="L45" s="105" t="str">
        <f t="shared" si="4"/>
        <v/>
      </c>
      <c r="M45" s="105" t="str">
        <f t="shared" si="5"/>
        <v/>
      </c>
      <c r="N45" s="105" t="str">
        <f t="shared" si="6"/>
        <v/>
      </c>
      <c r="O45" s="106" t="str">
        <f t="shared" si="7"/>
        <v/>
      </c>
      <c r="P45" s="106" t="str">
        <f t="shared" si="8"/>
        <v/>
      </c>
      <c r="Q45" s="106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94"/>
      <c r="B46" s="47"/>
      <c r="C46" s="101"/>
      <c r="D46" s="102"/>
      <c r="E46" s="102"/>
      <c r="F46" s="103"/>
      <c r="G46" s="174"/>
      <c r="H46" s="174"/>
      <c r="I46" s="104" t="str">
        <f t="shared" si="1"/>
        <v/>
      </c>
      <c r="J46" s="104" t="str">
        <f t="shared" si="2"/>
        <v/>
      </c>
      <c r="K46" s="105" t="str">
        <f t="shared" si="3"/>
        <v/>
      </c>
      <c r="L46" s="105" t="str">
        <f t="shared" si="4"/>
        <v/>
      </c>
      <c r="M46" s="105" t="str">
        <f t="shared" si="5"/>
        <v/>
      </c>
      <c r="N46" s="105" t="str">
        <f t="shared" si="6"/>
        <v/>
      </c>
      <c r="O46" s="106" t="str">
        <f t="shared" si="7"/>
        <v/>
      </c>
      <c r="P46" s="106" t="str">
        <f t="shared" si="8"/>
        <v/>
      </c>
      <c r="Q46" s="106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94"/>
      <c r="B47" s="47"/>
      <c r="C47" s="93"/>
      <c r="D47" s="98"/>
      <c r="E47" s="98"/>
      <c r="F47" s="99"/>
      <c r="G47" s="174"/>
      <c r="H47" s="174"/>
      <c r="I47" s="55" t="str">
        <f t="shared" si="1"/>
        <v/>
      </c>
      <c r="J47" s="55" t="str">
        <f t="shared" si="2"/>
        <v/>
      </c>
      <c r="K47" s="56" t="str">
        <f t="shared" si="3"/>
        <v/>
      </c>
      <c r="L47" s="56" t="str">
        <f t="shared" si="4"/>
        <v/>
      </c>
      <c r="M47" s="56" t="str">
        <f t="shared" si="5"/>
        <v/>
      </c>
      <c r="N47" s="56" t="str">
        <f t="shared" si="6"/>
        <v/>
      </c>
      <c r="O47" s="57" t="str">
        <f t="shared" si="7"/>
        <v/>
      </c>
      <c r="P47" s="57" t="str">
        <f t="shared" si="8"/>
        <v/>
      </c>
      <c r="Q47" s="57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94"/>
      <c r="B48" s="47"/>
      <c r="C48" s="93"/>
      <c r="D48" s="98"/>
      <c r="E48" s="98"/>
      <c r="F48" s="99"/>
      <c r="G48" s="174"/>
      <c r="H48" s="174"/>
      <c r="I48" s="55" t="str">
        <f t="shared" ref="I48:I50" si="11">IF(D48=0,"",LOG($K$15*10^D48+$K$16*10^E48+$K$14))</f>
        <v/>
      </c>
      <c r="J48" s="55" t="str">
        <f t="shared" ref="J48:J50" si="12">IF(D48=0,"",LOG($K$21*10^D48+$K$22*10^E48+$K$20))</f>
        <v/>
      </c>
      <c r="K48" s="56" t="str">
        <f t="shared" ref="K48:K50" si="13">IF(D48=0,"",1/(1+10^D48*$J$15/$J$14+10^E48*$J$16/$J$14+10^J48*$J$19/$J$14))</f>
        <v/>
      </c>
      <c r="L48" s="56" t="str">
        <f t="shared" ref="L48:L50" si="14">IF(D48=0,"",1/(1+10^I48/10^J48*$J$13/$J$19))</f>
        <v/>
      </c>
      <c r="M48" s="56" t="str">
        <f t="shared" ref="M48:M92" si="15">IF(D48=0,"",1-L48)</f>
        <v/>
      </c>
      <c r="N48" s="56" t="str">
        <f t="shared" ref="N48:N50" si="16">IF(D48=0,"",1/(1/10^E48*$J$20/$J$22+10^D48/10^E48*$J$21/$J$22+10^I48/10^E48*$J$13/$J$22+1))</f>
        <v/>
      </c>
      <c r="O48" s="57" t="str">
        <f t="shared" ref="O48:O92" si="17">IF(D48=0,"",F48*K48*$J$7/$J$14)</f>
        <v/>
      </c>
      <c r="P48" s="57" t="str">
        <f t="shared" ref="P48:P50" si="18">IF(D48=0,"",O48*10^J48)</f>
        <v/>
      </c>
      <c r="Q48" s="57" t="str">
        <f t="shared" ref="Q48:Q50" si="19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94"/>
      <c r="B49" s="47"/>
      <c r="C49" s="93"/>
      <c r="D49" s="98"/>
      <c r="E49" s="98"/>
      <c r="F49" s="99"/>
      <c r="G49" s="174"/>
      <c r="H49" s="174"/>
      <c r="I49" s="55" t="str">
        <f t="shared" si="11"/>
        <v/>
      </c>
      <c r="J49" s="55" t="str">
        <f t="shared" si="12"/>
        <v/>
      </c>
      <c r="K49" s="56" t="str">
        <f t="shared" si="13"/>
        <v/>
      </c>
      <c r="L49" s="56" t="str">
        <f t="shared" si="14"/>
        <v/>
      </c>
      <c r="M49" s="56" t="str">
        <f t="shared" si="15"/>
        <v/>
      </c>
      <c r="N49" s="56" t="str">
        <f t="shared" si="16"/>
        <v/>
      </c>
      <c r="O49" s="57" t="str">
        <f t="shared" si="17"/>
        <v/>
      </c>
      <c r="P49" s="57" t="str">
        <f t="shared" si="18"/>
        <v/>
      </c>
      <c r="Q49" s="57" t="str">
        <f t="shared" si="19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94"/>
      <c r="B50" s="47"/>
      <c r="C50" s="93"/>
      <c r="D50" s="98"/>
      <c r="E50" s="98"/>
      <c r="F50" s="99"/>
      <c r="G50" s="174"/>
      <c r="H50" s="174"/>
      <c r="I50" s="55" t="str">
        <f t="shared" si="11"/>
        <v/>
      </c>
      <c r="J50" s="55" t="str">
        <f t="shared" si="12"/>
        <v/>
      </c>
      <c r="K50" s="56" t="str">
        <f t="shared" si="13"/>
        <v/>
      </c>
      <c r="L50" s="56" t="str">
        <f t="shared" si="14"/>
        <v/>
      </c>
      <c r="M50" s="56" t="str">
        <f t="shared" si="15"/>
        <v/>
      </c>
      <c r="N50" s="56" t="str">
        <f t="shared" si="16"/>
        <v/>
      </c>
      <c r="O50" s="57" t="str">
        <f t="shared" si="17"/>
        <v/>
      </c>
      <c r="P50" s="57" t="str">
        <f t="shared" si="18"/>
        <v/>
      </c>
      <c r="Q50" s="57" t="str">
        <f t="shared" si="19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94"/>
      <c r="B51" s="47"/>
      <c r="C51" s="93"/>
      <c r="D51" s="98"/>
      <c r="E51" s="98"/>
      <c r="F51" s="99"/>
      <c r="G51" s="174"/>
      <c r="H51" s="174"/>
      <c r="I51" s="55" t="str">
        <f t="shared" ref="I51:I70" si="20">IF(D51=0,"",LOG($K$15*10^D51+$K$16*10^E51+$K$14))</f>
        <v/>
      </c>
      <c r="J51" s="55" t="str">
        <f t="shared" ref="J51:J70" si="21">IF(D51=0,"",LOG($K$21*10^D51+$K$22*10^E51+$K$20))</f>
        <v/>
      </c>
      <c r="K51" s="56" t="str">
        <f t="shared" ref="K51:K70" si="22">IF(D51=0,"",1/(1+10^D51*$J$15/$J$14+10^E51*$J$16/$J$14+10^J51*$J$19/$J$14))</f>
        <v/>
      </c>
      <c r="L51" s="56" t="str">
        <f t="shared" ref="L51:L70" si="23">IF(D51=0,"",1/(1+10^I51/10^J51*$J$13/$J$19))</f>
        <v/>
      </c>
      <c r="M51" s="56" t="str">
        <f t="shared" ref="M51:M70" si="24">IF(D51=0,"",1-L51)</f>
        <v/>
      </c>
      <c r="N51" s="56" t="str">
        <f t="shared" ref="N51:N70" si="25">IF(D51=0,"",1/(1/10^E51*$J$20/$J$22+10^D51/10^E51*$J$21/$J$22+10^I51/10^E51*$J$13/$J$22+1))</f>
        <v/>
      </c>
      <c r="O51" s="57" t="str">
        <f t="shared" ref="O51:O70" si="26">IF(D51=0,"",F51*K51*$J$7/$J$14)</f>
        <v/>
      </c>
      <c r="P51" s="57" t="str">
        <f t="shared" ref="P51:P70" si="27">IF(D51=0,"",O51*10^J51)</f>
        <v/>
      </c>
      <c r="Q51" s="57" t="str">
        <f t="shared" ref="Q51:Q70" si="28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47"/>
      <c r="C52" s="47"/>
      <c r="D52" s="48"/>
      <c r="E52" s="48"/>
      <c r="F52" s="58"/>
      <c r="G52" s="174"/>
      <c r="H52" s="174"/>
      <c r="I52" s="55" t="str">
        <f t="shared" si="20"/>
        <v/>
      </c>
      <c r="J52" s="55" t="str">
        <f t="shared" si="21"/>
        <v/>
      </c>
      <c r="K52" s="56" t="str">
        <f t="shared" si="22"/>
        <v/>
      </c>
      <c r="L52" s="56" t="str">
        <f t="shared" si="23"/>
        <v/>
      </c>
      <c r="M52" s="56" t="str">
        <f t="shared" si="24"/>
        <v/>
      </c>
      <c r="N52" s="56" t="str">
        <f t="shared" si="25"/>
        <v/>
      </c>
      <c r="O52" s="57" t="str">
        <f t="shared" si="26"/>
        <v/>
      </c>
      <c r="P52" s="57" t="str">
        <f t="shared" si="27"/>
        <v/>
      </c>
      <c r="Q52" s="57" t="str">
        <f t="shared" si="28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47"/>
      <c r="C53" s="47"/>
      <c r="D53" s="48"/>
      <c r="E53" s="48"/>
      <c r="F53" s="58"/>
      <c r="G53" s="174"/>
      <c r="H53" s="174"/>
      <c r="I53" s="55" t="str">
        <f t="shared" si="20"/>
        <v/>
      </c>
      <c r="J53" s="55" t="str">
        <f t="shared" si="21"/>
        <v/>
      </c>
      <c r="K53" s="56" t="str">
        <f t="shared" si="22"/>
        <v/>
      </c>
      <c r="L53" s="56" t="str">
        <f t="shared" si="23"/>
        <v/>
      </c>
      <c r="M53" s="56" t="str">
        <f t="shared" si="24"/>
        <v/>
      </c>
      <c r="N53" s="56" t="str">
        <f t="shared" si="25"/>
        <v/>
      </c>
      <c r="O53" s="57" t="str">
        <f t="shared" si="26"/>
        <v/>
      </c>
      <c r="P53" s="57" t="str">
        <f t="shared" si="27"/>
        <v/>
      </c>
      <c r="Q53" s="57" t="str">
        <f t="shared" si="28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47"/>
      <c r="C54" s="47"/>
      <c r="D54" s="48"/>
      <c r="E54" s="48"/>
      <c r="F54" s="58"/>
      <c r="G54" s="174"/>
      <c r="H54" s="174"/>
      <c r="I54" s="55" t="str">
        <f t="shared" si="20"/>
        <v/>
      </c>
      <c r="J54" s="55" t="str">
        <f t="shared" si="21"/>
        <v/>
      </c>
      <c r="K54" s="56" t="str">
        <f t="shared" si="22"/>
        <v/>
      </c>
      <c r="L54" s="56" t="str">
        <f t="shared" si="23"/>
        <v/>
      </c>
      <c r="M54" s="56" t="str">
        <f t="shared" si="24"/>
        <v/>
      </c>
      <c r="N54" s="56" t="str">
        <f t="shared" si="25"/>
        <v/>
      </c>
      <c r="O54" s="57" t="str">
        <f t="shared" si="26"/>
        <v/>
      </c>
      <c r="P54" s="57" t="str">
        <f t="shared" si="27"/>
        <v/>
      </c>
      <c r="Q54" s="57" t="str">
        <f t="shared" si="28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47"/>
      <c r="C55" s="47"/>
      <c r="D55" s="48"/>
      <c r="E55" s="48"/>
      <c r="F55" s="58"/>
      <c r="G55" s="174"/>
      <c r="H55" s="174"/>
      <c r="I55" s="55" t="str">
        <f t="shared" si="20"/>
        <v/>
      </c>
      <c r="J55" s="55" t="str">
        <f t="shared" si="21"/>
        <v/>
      </c>
      <c r="K55" s="56" t="str">
        <f t="shared" si="22"/>
        <v/>
      </c>
      <c r="L55" s="56" t="str">
        <f t="shared" si="23"/>
        <v/>
      </c>
      <c r="M55" s="56" t="str">
        <f t="shared" si="24"/>
        <v/>
      </c>
      <c r="N55" s="56" t="str">
        <f t="shared" si="25"/>
        <v/>
      </c>
      <c r="O55" s="57" t="str">
        <f t="shared" si="26"/>
        <v/>
      </c>
      <c r="P55" s="57" t="str">
        <f t="shared" si="27"/>
        <v/>
      </c>
      <c r="Q55" s="57" t="str">
        <f t="shared" si="28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47"/>
      <c r="C56" s="47"/>
      <c r="D56" s="48"/>
      <c r="E56" s="48"/>
      <c r="F56" s="58"/>
      <c r="G56" s="174"/>
      <c r="H56" s="174"/>
      <c r="I56" s="55" t="str">
        <f t="shared" si="20"/>
        <v/>
      </c>
      <c r="J56" s="55" t="str">
        <f t="shared" si="21"/>
        <v/>
      </c>
      <c r="K56" s="56" t="str">
        <f t="shared" si="22"/>
        <v/>
      </c>
      <c r="L56" s="56" t="str">
        <f t="shared" si="23"/>
        <v/>
      </c>
      <c r="M56" s="56" t="str">
        <f t="shared" si="24"/>
        <v/>
      </c>
      <c r="N56" s="56" t="str">
        <f t="shared" si="25"/>
        <v/>
      </c>
      <c r="O56" s="57" t="str">
        <f t="shared" si="26"/>
        <v/>
      </c>
      <c r="P56" s="57" t="str">
        <f t="shared" si="27"/>
        <v/>
      </c>
      <c r="Q56" s="57" t="str">
        <f t="shared" si="28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92"/>
      <c r="C57" s="92"/>
      <c r="D57" s="98"/>
      <c r="E57" s="98"/>
      <c r="F57" s="99"/>
      <c r="G57" s="174"/>
      <c r="H57" s="174"/>
      <c r="I57" s="55" t="str">
        <f t="shared" si="20"/>
        <v/>
      </c>
      <c r="J57" s="55" t="str">
        <f t="shared" si="21"/>
        <v/>
      </c>
      <c r="K57" s="56" t="str">
        <f t="shared" si="22"/>
        <v/>
      </c>
      <c r="L57" s="56" t="str">
        <f t="shared" si="23"/>
        <v/>
      </c>
      <c r="M57" s="56" t="str">
        <f t="shared" si="24"/>
        <v/>
      </c>
      <c r="N57" s="56" t="str">
        <f t="shared" si="25"/>
        <v/>
      </c>
      <c r="O57" s="57" t="str">
        <f t="shared" si="26"/>
        <v/>
      </c>
      <c r="P57" s="57" t="str">
        <f t="shared" si="27"/>
        <v/>
      </c>
      <c r="Q57" s="57" t="str">
        <f t="shared" si="28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47"/>
      <c r="C58" s="47"/>
      <c r="D58" s="48"/>
      <c r="E58" s="48"/>
      <c r="F58" s="58"/>
      <c r="G58" s="174"/>
      <c r="H58" s="174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47"/>
      <c r="C59" s="47"/>
      <c r="D59" s="48"/>
      <c r="E59" s="48"/>
      <c r="F59" s="58"/>
      <c r="G59" s="174"/>
      <c r="H59" s="174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47"/>
      <c r="C60" s="47"/>
      <c r="D60" s="48"/>
      <c r="E60" s="48"/>
      <c r="F60" s="58"/>
      <c r="G60" s="174"/>
      <c r="H60" s="174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47"/>
      <c r="C61" s="47"/>
      <c r="D61" s="48"/>
      <c r="E61" s="48"/>
      <c r="F61" s="58"/>
      <c r="G61" s="174"/>
      <c r="H61" s="174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47"/>
      <c r="C62" s="47"/>
      <c r="D62" s="48"/>
      <c r="E62" s="48"/>
      <c r="F62" s="58"/>
      <c r="G62" s="174"/>
      <c r="H62" s="174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47"/>
      <c r="C63" s="47"/>
      <c r="D63" s="48"/>
      <c r="E63" s="48"/>
      <c r="F63" s="58"/>
      <c r="G63" s="174"/>
      <c r="H63" s="174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47"/>
      <c r="C64" s="47"/>
      <c r="D64" s="48"/>
      <c r="E64" s="48"/>
      <c r="F64" s="58"/>
      <c r="G64" s="174"/>
      <c r="H64" s="174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47"/>
      <c r="C65" s="47"/>
      <c r="D65" s="48"/>
      <c r="E65" s="48"/>
      <c r="F65" s="58"/>
      <c r="G65" s="174"/>
      <c r="H65" s="174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47"/>
      <c r="C66" s="47"/>
      <c r="D66" s="48"/>
      <c r="E66" s="48"/>
      <c r="F66" s="58"/>
      <c r="G66" s="174"/>
      <c r="H66" s="174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47"/>
      <c r="C67" s="47"/>
      <c r="D67" s="48"/>
      <c r="E67" s="48"/>
      <c r="F67" s="58"/>
      <c r="G67" s="174"/>
      <c r="H67" s="174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47"/>
      <c r="C68" s="47"/>
      <c r="D68" s="48"/>
      <c r="E68" s="48"/>
      <c r="F68" s="58"/>
      <c r="G68" s="174"/>
      <c r="H68" s="174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47"/>
      <c r="C69" s="47"/>
      <c r="D69" s="48"/>
      <c r="E69" s="48"/>
      <c r="F69" s="58"/>
      <c r="G69" s="174"/>
      <c r="H69" s="174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47"/>
      <c r="C70" s="47"/>
      <c r="D70" s="48"/>
      <c r="E70" s="48"/>
      <c r="F70" s="58"/>
      <c r="G70" s="174"/>
      <c r="H70" s="174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47"/>
      <c r="C71" s="47"/>
      <c r="D71" s="48"/>
      <c r="E71" s="48"/>
      <c r="F71" s="58"/>
      <c r="G71" s="174"/>
      <c r="H71" s="174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47"/>
      <c r="C72" s="47"/>
      <c r="D72" s="48"/>
      <c r="E72" s="48"/>
      <c r="F72" s="58"/>
      <c r="G72" s="174"/>
      <c r="H72" s="174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47"/>
      <c r="C73" s="47"/>
      <c r="D73" s="48"/>
      <c r="E73" s="48"/>
      <c r="F73" s="58"/>
      <c r="G73" s="174"/>
      <c r="H73" s="174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47"/>
      <c r="C74" s="47"/>
      <c r="D74" s="48"/>
      <c r="E74" s="48"/>
      <c r="F74" s="58"/>
      <c r="G74" s="174"/>
      <c r="H74" s="174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47"/>
      <c r="C75" s="47"/>
      <c r="D75" s="48"/>
      <c r="E75" s="48"/>
      <c r="F75" s="58"/>
      <c r="G75" s="174"/>
      <c r="H75" s="174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47"/>
      <c r="C76" s="47"/>
      <c r="D76" s="48"/>
      <c r="E76" s="48"/>
      <c r="F76" s="58"/>
      <c r="G76" s="174"/>
      <c r="H76" s="174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47"/>
      <c r="C77" s="47"/>
      <c r="D77" s="48"/>
      <c r="E77" s="48"/>
      <c r="F77" s="58"/>
      <c r="G77" s="174"/>
      <c r="H77" s="174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Lin, Hsing-Chieh</cp:lastModifiedBy>
  <dcterms:created xsi:type="dcterms:W3CDTF">2016-11-02T11:21:18Z</dcterms:created>
  <dcterms:modified xsi:type="dcterms:W3CDTF">2024-04-10T19:40:41Z</dcterms:modified>
</cp:coreProperties>
</file>