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Validation_Armitage\Validation_Hsu\"/>
    </mc:Choice>
  </mc:AlternateContent>
  <xr:revisionPtr revIDLastSave="0" documentId="13_ncr:1_{5BCA9A49-435A-4FA9-A17D-86AE7A3EE31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9" i="4" l="1"/>
  <c r="R38" i="4"/>
  <c r="R37" i="4"/>
  <c r="R36" i="4"/>
  <c r="R35" i="4"/>
  <c r="R29" i="4"/>
  <c r="R28" i="4"/>
  <c r="O24" i="1"/>
  <c r="O23" i="1"/>
  <c r="N24" i="1"/>
  <c r="J21" i="4"/>
  <c r="J2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22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L24" i="1" l="1"/>
  <c r="M24" i="1"/>
  <c r="O25" i="1" s="1"/>
  <c r="J14" i="4"/>
  <c r="J13" i="4" s="1"/>
  <c r="K16" i="4" s="1"/>
  <c r="J10" i="4"/>
  <c r="J9" i="4"/>
  <c r="J19" i="4"/>
  <c r="J8" i="4" l="1"/>
  <c r="K14" i="4"/>
  <c r="K13" i="4"/>
  <c r="K15" i="4"/>
  <c r="J7" i="4"/>
  <c r="K19" i="4"/>
  <c r="K22" i="4"/>
  <c r="K21" i="4"/>
  <c r="K20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42" i="4"/>
  <c r="K42" i="4" s="1"/>
  <c r="O42" i="4" s="1"/>
  <c r="P42" i="4" s="1"/>
  <c r="J36" i="4"/>
  <c r="K36" i="4" s="1"/>
  <c r="O36" i="4" s="1"/>
  <c r="P36" i="4" s="1"/>
  <c r="J52" i="4"/>
  <c r="K52" i="4" s="1"/>
  <c r="O52" i="4" s="1"/>
  <c r="P52" i="4" s="1"/>
  <c r="J62" i="4"/>
  <c r="K62" i="4" s="1"/>
  <c r="O62" i="4" s="1"/>
  <c r="P62" i="4" s="1"/>
  <c r="J60" i="4"/>
  <c r="K60" i="4" s="1"/>
  <c r="O60" i="4" s="1"/>
  <c r="P60" i="4" s="1"/>
  <c r="J44" i="4"/>
  <c r="K44" i="4" s="1"/>
  <c r="O44" i="4" s="1"/>
  <c r="P44" i="4" s="1"/>
  <c r="J37" i="4"/>
  <c r="K37" i="4" s="1"/>
  <c r="O37" i="4" s="1"/>
  <c r="P37" i="4" s="1"/>
  <c r="J51" i="4"/>
  <c r="K51" i="4" s="1"/>
  <c r="O51" i="4" s="1"/>
  <c r="P51" i="4" s="1"/>
  <c r="J39" i="4"/>
  <c r="K39" i="4" s="1"/>
  <c r="O39" i="4" s="1"/>
  <c r="P39" i="4" s="1"/>
  <c r="J38" i="4"/>
  <c r="K38" i="4" s="1"/>
  <c r="O38" i="4" s="1"/>
  <c r="P38" i="4" s="1"/>
  <c r="J56" i="4"/>
  <c r="K56" i="4" s="1"/>
  <c r="O56" i="4" s="1"/>
  <c r="P56" i="4" s="1"/>
  <c r="J46" i="4"/>
  <c r="K46" i="4" s="1"/>
  <c r="O46" i="4" s="1"/>
  <c r="P46" i="4" s="1"/>
  <c r="J45" i="4"/>
  <c r="K45" i="4" s="1"/>
  <c r="O45" i="4" s="1"/>
  <c r="P45" i="4" s="1"/>
  <c r="J58" i="4"/>
  <c r="K58" i="4" s="1"/>
  <c r="O58" i="4" s="1"/>
  <c r="P58" i="4" s="1"/>
  <c r="J48" i="4"/>
  <c r="K48" i="4" s="1"/>
  <c r="O48" i="4" s="1"/>
  <c r="P48" i="4" s="1"/>
  <c r="J55" i="4"/>
  <c r="K55" i="4" s="1"/>
  <c r="O55" i="4" s="1"/>
  <c r="P55" i="4" s="1"/>
  <c r="J61" i="4"/>
  <c r="K61" i="4" s="1"/>
  <c r="O61" i="4" s="1"/>
  <c r="P61" i="4" s="1"/>
  <c r="J47" i="4"/>
  <c r="K47" i="4" s="1"/>
  <c r="O47" i="4" s="1"/>
  <c r="P47" i="4" s="1"/>
  <c r="J40" i="4"/>
  <c r="K40" i="4" s="1"/>
  <c r="O40" i="4" s="1"/>
  <c r="P40" i="4" s="1"/>
  <c r="J54" i="4"/>
  <c r="K54" i="4" s="1"/>
  <c r="O54" i="4" s="1"/>
  <c r="P54" i="4" s="1"/>
  <c r="J43" i="4"/>
  <c r="K43" i="4" s="1"/>
  <c r="O43" i="4" s="1"/>
  <c r="P43" i="4" s="1"/>
  <c r="J57" i="4"/>
  <c r="K57" i="4" s="1"/>
  <c r="O57" i="4" s="1"/>
  <c r="P57" i="4" s="1"/>
  <c r="J53" i="4"/>
  <c r="K53" i="4" s="1"/>
  <c r="O53" i="4" s="1"/>
  <c r="P53" i="4" s="1"/>
  <c r="J49" i="4"/>
  <c r="K49" i="4" s="1"/>
  <c r="O49" i="4" s="1"/>
  <c r="P49" i="4" s="1"/>
  <c r="J41" i="4"/>
  <c r="K41" i="4" s="1"/>
  <c r="O41" i="4" s="1"/>
  <c r="P41" i="4" s="1"/>
  <c r="J59" i="4"/>
  <c r="K59" i="4" s="1"/>
  <c r="O59" i="4" s="1"/>
  <c r="P59" i="4" s="1"/>
  <c r="J50" i="4"/>
  <c r="K50" i="4" s="1"/>
  <c r="O50" i="4" s="1"/>
  <c r="P50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N35" i="4" s="1"/>
  <c r="Q35" i="4" s="1"/>
  <c r="I31" i="4"/>
  <c r="N31" i="4" s="1"/>
  <c r="Q31" i="4" s="1"/>
  <c r="I33" i="4"/>
  <c r="N33" i="4" s="1"/>
  <c r="Q33" i="4" s="1"/>
  <c r="I30" i="4"/>
  <c r="N30" i="4" s="1"/>
  <c r="Q30" i="4" s="1"/>
  <c r="I32" i="4"/>
  <c r="N32" i="4" s="1"/>
  <c r="Q32" i="4" s="1"/>
  <c r="I28" i="4"/>
  <c r="N28" i="4" s="1"/>
  <c r="Q28" i="4" s="1"/>
  <c r="I29" i="4"/>
  <c r="N29" i="4" s="1"/>
  <c r="Q29" i="4" s="1"/>
  <c r="I34" i="4"/>
  <c r="N34" i="4" s="1"/>
  <c r="Q34" i="4" s="1"/>
  <c r="J32" i="4"/>
  <c r="J28" i="4"/>
  <c r="J35" i="4"/>
  <c r="J31" i="4"/>
  <c r="J29" i="4"/>
  <c r="J30" i="4"/>
  <c r="J33" i="4"/>
  <c r="J34" i="4"/>
  <c r="K7" i="4"/>
  <c r="K8" i="4"/>
  <c r="K9" i="4"/>
  <c r="K10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L41" i="4"/>
  <c r="M41" i="4" s="1"/>
  <c r="N41" i="4"/>
  <c r="Q41" i="4" s="1"/>
  <c r="N62" i="4"/>
  <c r="Q62" i="4" s="1"/>
  <c r="L62" i="4"/>
  <c r="M62" i="4" s="1"/>
  <c r="N50" i="4"/>
  <c r="Q50" i="4" s="1"/>
  <c r="L50" i="4"/>
  <c r="M50" i="4" s="1"/>
  <c r="L47" i="4"/>
  <c r="M47" i="4" s="1"/>
  <c r="N47" i="4"/>
  <c r="Q47" i="4" s="1"/>
  <c r="N55" i="4"/>
  <c r="Q55" i="4" s="1"/>
  <c r="L55" i="4"/>
  <c r="M55" i="4" s="1"/>
  <c r="L56" i="4"/>
  <c r="M56" i="4" s="1"/>
  <c r="N56" i="4"/>
  <c r="Q56" i="4" s="1"/>
  <c r="N51" i="4"/>
  <c r="Q51" i="4" s="1"/>
  <c r="L51" i="4"/>
  <c r="M51" i="4" s="1"/>
  <c r="N59" i="4"/>
  <c r="Q59" i="4" s="1"/>
  <c r="L59" i="4"/>
  <c r="M59" i="4" s="1"/>
  <c r="N42" i="4"/>
  <c r="Q42" i="4" s="1"/>
  <c r="L42" i="4"/>
  <c r="M42" i="4" s="1"/>
  <c r="N46" i="4"/>
  <c r="Q46" i="4" s="1"/>
  <c r="L46" i="4"/>
  <c r="M46" i="4" s="1"/>
  <c r="N57" i="4"/>
  <c r="Q57" i="4" s="1"/>
  <c r="L57" i="4"/>
  <c r="M57" i="4" s="1"/>
  <c r="L40" i="4"/>
  <c r="M40" i="4" s="1"/>
  <c r="N40" i="4"/>
  <c r="Q40" i="4" s="1"/>
  <c r="L48" i="4"/>
  <c r="M48" i="4" s="1"/>
  <c r="N48" i="4"/>
  <c r="Q48" i="4" s="1"/>
  <c r="L49" i="4"/>
  <c r="M49" i="4" s="1"/>
  <c r="N49" i="4"/>
  <c r="Q49" i="4" s="1"/>
  <c r="L58" i="4"/>
  <c r="M58" i="4" s="1"/>
  <c r="N58" i="4"/>
  <c r="Q58" i="4" s="1"/>
  <c r="L45" i="4"/>
  <c r="M45" i="4" s="1"/>
  <c r="N45" i="4"/>
  <c r="Q45" i="4" s="1"/>
  <c r="N37" i="4"/>
  <c r="Q37" i="4" s="1"/>
  <c r="L37" i="4"/>
  <c r="M37" i="4" s="1"/>
  <c r="N43" i="4"/>
  <c r="Q43" i="4" s="1"/>
  <c r="L43" i="4"/>
  <c r="M43" i="4" s="1"/>
  <c r="L54" i="4"/>
  <c r="M54" i="4" s="1"/>
  <c r="N54" i="4"/>
  <c r="Q54" i="4" s="1"/>
  <c r="N39" i="4"/>
  <c r="Q39" i="4" s="1"/>
  <c r="L39" i="4"/>
  <c r="M39" i="4" s="1"/>
  <c r="N52" i="4"/>
  <c r="Q52" i="4" s="1"/>
  <c r="L52" i="4"/>
  <c r="M52" i="4" s="1"/>
  <c r="N38" i="4"/>
  <c r="Q38" i="4" s="1"/>
  <c r="L38" i="4"/>
  <c r="M38" i="4" s="1"/>
  <c r="N44" i="4"/>
  <c r="Q44" i="4" s="1"/>
  <c r="L44" i="4"/>
  <c r="M44" i="4" s="1"/>
  <c r="L36" i="4"/>
  <c r="M36" i="4" s="1"/>
  <c r="N36" i="4"/>
  <c r="Q36" i="4" s="1"/>
  <c r="N61" i="4"/>
  <c r="Q61" i="4" s="1"/>
  <c r="L61" i="4"/>
  <c r="M61" i="4" s="1"/>
  <c r="L53" i="4"/>
  <c r="M53" i="4" s="1"/>
  <c r="N53" i="4"/>
  <c r="Q53" i="4" s="1"/>
  <c r="L60" i="4"/>
  <c r="M60" i="4" s="1"/>
  <c r="N60" i="4"/>
  <c r="Q60" i="4" s="1"/>
  <c r="K35" i="4"/>
  <c r="O35" i="4" s="1"/>
  <c r="P35" i="4" s="1"/>
  <c r="L35" i="4"/>
  <c r="M35" i="4" s="1"/>
  <c r="L30" i="4"/>
  <c r="M30" i="4" s="1"/>
  <c r="K30" i="4"/>
  <c r="O30" i="4" s="1"/>
  <c r="P30" i="4" s="1"/>
  <c r="K28" i="4"/>
  <c r="O28" i="4" s="1"/>
  <c r="L28" i="4"/>
  <c r="M28" i="4" s="1"/>
  <c r="L32" i="4"/>
  <c r="M32" i="4" s="1"/>
  <c r="K32" i="4"/>
  <c r="O32" i="4" s="1"/>
  <c r="P32" i="4" s="1"/>
  <c r="K34" i="4"/>
  <c r="O34" i="4" s="1"/>
  <c r="P34" i="4" s="1"/>
  <c r="L34" i="4"/>
  <c r="M34" i="4" s="1"/>
  <c r="K31" i="4"/>
  <c r="O31" i="4" s="1"/>
  <c r="P31" i="4" s="1"/>
  <c r="L31" i="4"/>
  <c r="M31" i="4" s="1"/>
  <c r="L33" i="4"/>
  <c r="M33" i="4" s="1"/>
  <c r="K33" i="4"/>
  <c r="O33" i="4" s="1"/>
  <c r="P33" i="4" s="1"/>
  <c r="K29" i="4"/>
  <c r="O29" i="4" s="1"/>
  <c r="P29" i="4" s="1"/>
  <c r="L29" i="4"/>
  <c r="M29" i="4" s="1"/>
  <c r="P28" i="4" l="1"/>
  <c r="O70" i="4"/>
  <c r="P7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<sst xmlns="http://schemas.openxmlformats.org/spreadsheetml/2006/main" count="139" uniqueCount="105">
  <si>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</si>
  <si>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</si>
  <si>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</si>
  <si>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</si>
  <si>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</si>
  <si>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</si>
  <si>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</si>
  <si>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</si>
  <si>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</si>
  <si>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</si>
  <si>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</si>
  <si>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</si>
  <si>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</si>
  <si>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HEK293T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</si>
  <si>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</si>
  <si>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</si>
  <si>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</si>
  <si>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</si>
  <si>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</si>
  <si>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</si>
  <si>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</si>
  <si>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</si>
  <si>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</si>
  <si>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</si>
  <si>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</si>
  <si>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cs-FBS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</si>
  <si>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</si>
  <si>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</si>
  <si>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</si>
  <si>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</si>
  <si>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</si>
  <si>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</si>
  <si>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</si>
  <si>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</si>
  <si>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</si>
  <si>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</si>
  <si>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</si>
  <si>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</si>
  <si>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</si>
  <si>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</si>
  <si>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</si>
  <si>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</si>
  <si>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</si>
  <si>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</si>
  <si>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</si>
  <si>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</si>
  <si>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</si>
  <si>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</si>
  <si>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</si>
  <si>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</si>
  <si>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</si>
  <si>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</si>
  <si>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</si>
  <si>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</si>
  <si>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</si>
  <si>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</si>
  <si>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</si>
  <si>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</si>
  <si>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</si>
  <si>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</si>
  <si>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</si>
  <si>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</si>
  <si>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</si>
  <si>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</si>
  <si>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</si>
  <si>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</si>
  <si>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</si>
  <si>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</si>
  <si>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</si>
  <si>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</si>
  <si>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</si>
  <si>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</si>
  <si>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</si>
  <si>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</si>
  <si>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</si>
  <si>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</si>
  <si>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</si>
  <si>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HepG2</t>
    <phoneticPr fontId="18" type="noConversion"/>
  </si>
  <si>
    <t>FBS</t>
    <phoneticPr fontId="18" type="noConversion"/>
  </si>
  <si>
    <t>OptiMEM</t>
    <phoneticPr fontId="18" type="noConversion"/>
  </si>
  <si>
    <t>Caffeine</t>
  </si>
  <si>
    <t>Lamotrigine</t>
  </si>
  <si>
    <t>Venlafaxine</t>
  </si>
  <si>
    <t>Metoprolol</t>
  </si>
  <si>
    <t>Diphenhydramine</t>
  </si>
  <si>
    <t>Propranolol</t>
  </si>
  <si>
    <t>2,4-Dichlorophenoxyacetic</t>
  </si>
  <si>
    <t>(S)-Naproxen</t>
  </si>
  <si>
    <t>Ibuprofen</t>
  </si>
  <si>
    <t>Torasemide</t>
  </si>
  <si>
    <t>Warfarin</t>
  </si>
  <si>
    <t>PPAR</t>
  </si>
  <si>
    <t>58-08-2</t>
  </si>
  <si>
    <t>84057-84-1</t>
  </si>
  <si>
    <t>99300-78-4</t>
  </si>
  <si>
    <t>56392-17-7</t>
  </si>
  <si>
    <t>147-24-0</t>
  </si>
  <si>
    <t>318-98-9</t>
  </si>
  <si>
    <t>15307-79-6</t>
  </si>
  <si>
    <t>94-75-7</t>
  </si>
  <si>
    <t>22204-53-1</t>
  </si>
  <si>
    <t>15687-27-1</t>
  </si>
  <si>
    <t>56211-40-6</t>
  </si>
  <si>
    <t>81-81-2</t>
  </si>
  <si>
    <t>Diclofenac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</si>
</sst>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0.000000000"/>
    <numFmt numFmtId="166" formatCode="0.00000000000"/>
    <numFmt numFmtId="167" formatCode="0.0%"/>
    <numFmt numFmtId="168" formatCode="0.00_);[Red]\(0.00\)"/>
    <numFmt numFmtId="169" formatCode="0.00000_);[Red]\(0.00000\)"/>
    <numFmt numFmtId="170" formatCode="0.000000_);[Red]\(0.000000\)"/>
  </numFmts>
  <fonts count="28">
    <font>
      <sz val="11"/>
      <color theme="1"/>
      <name val="Calibri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  <font>
      <sz val="11"/>
      <color rgb="FFFFC000"/>
      <name val="Helvetica"/>
      <family val="2"/>
    </font>
    <font>
      <sz val="11"/>
      <color rgb="FFFFC000"/>
      <name val="Calibri"/>
      <family val="2"/>
    </font>
    <font>
      <sz val="11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1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65" fontId="0" fillId="3" borderId="0" xfId="0" applyNumberFormat="1" applyFill="1"/>
    <xf numFmtId="166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64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64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64" fontId="1" fillId="4" borderId="7" xfId="0" applyNumberFormat="1" applyFont="1" applyFill="1" applyBorder="1" applyAlignment="1" applyProtection="1">
      <alignment horizontal="center"/>
      <protection locked="0"/>
    </xf>
    <xf numFmtId="167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68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69" fontId="0" fillId="3" borderId="0" xfId="0" applyNumberFormat="1" applyFill="1"/>
    <xf numFmtId="170" fontId="0" fillId="3" borderId="0" xfId="0" applyNumberFormat="1" applyFill="1"/>
    <xf numFmtId="170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9" borderId="7" xfId="0" applyFont="1" applyFill="1" applyBorder="1" applyAlignment="1" applyProtection="1">
      <alignment horizontal="left" vertical="center"/>
      <protection locked="0"/>
    </xf>
    <xf numFmtId="0" fontId="23" fillId="0" borderId="0" xfId="0" applyFont="1" applyAlignment="1">
      <alignment vertical="center"/>
    </xf>
    <xf numFmtId="0" fontId="1" fillId="9" borderId="0" xfId="0" applyFont="1" applyFill="1" applyAlignment="1">
      <alignment vertical="center"/>
    </xf>
    <xf numFmtId="0" fontId="24" fillId="0" borderId="0" xfId="0" applyFont="1" applyAlignment="1">
      <alignment vertical="center"/>
    </xf>
    <xf numFmtId="0" fontId="24" fillId="9" borderId="0" xfId="0" applyFont="1" applyFill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0" fontId="25" fillId="9" borderId="0" xfId="0" applyFont="1" applyFill="1" applyAlignment="1">
      <alignment vertical="center"/>
    </xf>
    <xf numFmtId="0" fontId="26" fillId="9" borderId="7" xfId="0" applyFont="1" applyFill="1" applyBorder="1" applyAlignment="1" applyProtection="1">
      <alignment horizontal="left" vertical="center"/>
      <protection locked="0"/>
    </xf>
    <xf numFmtId="2" fontId="25" fillId="9" borderId="7" xfId="0" applyNumberFormat="1" applyFont="1" applyFill="1" applyBorder="1" applyAlignment="1" applyProtection="1">
      <alignment horizontal="center" vertical="center"/>
      <protection locked="0"/>
    </xf>
    <xf numFmtId="11" fontId="25" fillId="9" borderId="7" xfId="0" applyNumberFormat="1" applyFont="1" applyFill="1" applyBorder="1" applyAlignment="1" applyProtection="1">
      <alignment horizontal="center" vertical="center"/>
      <protection locked="0"/>
    </xf>
    <xf numFmtId="2" fontId="27" fillId="2" borderId="7" xfId="0" applyNumberFormat="1" applyFont="1" applyFill="1" applyBorder="1" applyAlignment="1" applyProtection="1">
      <alignment horizontal="center" vertical="center"/>
      <protection hidden="1"/>
    </xf>
    <xf numFmtId="10" fontId="27" fillId="2" borderId="7" xfId="0" applyNumberFormat="1" applyFont="1" applyFill="1" applyBorder="1" applyAlignment="1" applyProtection="1">
      <alignment horizontal="center" vertical="center"/>
      <protection hidden="1"/>
    </xf>
    <xf numFmtId="11" fontId="27" fillId="2" borderId="7" xfId="0" applyNumberFormat="1" applyFont="1" applyFill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Normal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A10" zoomScale="90" zoomScaleNormal="90" workbookViewId="0">
      <selection activeCell="L17" sqref="L17:N17"/>
    </sheetView>
  </sheetViews>
  <sheetFormatPr defaultColWidth="10.85546875" defaultRowHeight="1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75" thickBot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8">
      <c r="A2" s="7"/>
      <c r="B2" s="116" t="s">
        <v>59</v>
      </c>
      <c r="C2" s="117"/>
      <c r="D2" s="117"/>
      <c r="E2" s="117"/>
      <c r="F2" s="117"/>
      <c r="G2" s="117"/>
      <c r="H2" s="118"/>
      <c r="I2" s="7"/>
      <c r="J2" s="107" t="s">
        <v>58</v>
      </c>
      <c r="K2" s="108"/>
      <c r="L2" s="108"/>
      <c r="M2" s="108"/>
      <c r="N2" s="108"/>
      <c r="O2" s="109"/>
      <c r="P2" s="7"/>
      <c r="Q2" s="107" t="s">
        <v>60</v>
      </c>
      <c r="R2" s="108"/>
      <c r="S2" s="108"/>
      <c r="T2" s="108"/>
      <c r="U2" s="108"/>
      <c r="V2" s="109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10"/>
      <c r="K3" s="111"/>
      <c r="L3" s="111"/>
      <c r="M3" s="111"/>
      <c r="N3" s="111"/>
      <c r="O3" s="112"/>
      <c r="P3" s="7"/>
      <c r="Q3" s="110"/>
      <c r="R3" s="111"/>
      <c r="S3" s="111"/>
      <c r="T3" s="111"/>
      <c r="U3" s="111"/>
      <c r="V3" s="112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3"/>
      <c r="K4" s="114"/>
      <c r="L4" s="114"/>
      <c r="M4" s="114"/>
      <c r="N4" s="114"/>
      <c r="O4" s="115"/>
      <c r="P4" s="7"/>
      <c r="Q4" s="113"/>
      <c r="R4" s="114"/>
      <c r="S4" s="114"/>
      <c r="T4" s="114"/>
      <c r="U4" s="114"/>
      <c r="V4" s="115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22</v>
      </c>
      <c r="L6" s="36" t="s">
        <v>23</v>
      </c>
      <c r="M6" s="36" t="s">
        <v>27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79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75" thickBot="1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24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65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75" thickBot="1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17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25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26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75" thickBot="1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31</v>
      </c>
      <c r="L14" s="36" t="s">
        <v>28</v>
      </c>
      <c r="M14" s="36" t="s">
        <v>29</v>
      </c>
      <c r="N14" s="36" t="s">
        <v>30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>
      <c r="A15" s="7"/>
      <c r="B15" s="12"/>
      <c r="C15" s="7"/>
      <c r="D15" s="7"/>
      <c r="E15" s="7"/>
      <c r="F15" s="7"/>
      <c r="G15" s="7"/>
      <c r="H15" s="15"/>
      <c r="I15" s="7"/>
      <c r="J15" s="12"/>
      <c r="K15" s="32" t="s">
        <v>13</v>
      </c>
      <c r="L15" s="59">
        <v>6.5792300000000001E-3</v>
      </c>
      <c r="M15" s="59">
        <v>6.1257E-4</v>
      </c>
      <c r="N15" s="59">
        <v>7.2789999999999999E-5</v>
      </c>
      <c r="O15" s="15"/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75" thickBot="1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32</v>
      </c>
      <c r="L16" s="59">
        <v>2.5484800000000001E-3</v>
      </c>
      <c r="M16" s="59">
        <v>2.2915000000000001E-4</v>
      </c>
      <c r="N16" s="59">
        <v>9.6669999999999994E-5</v>
      </c>
      <c r="O16" s="1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77</v>
      </c>
      <c r="L17" s="83">
        <v>2.7647346999999998E-3</v>
      </c>
      <c r="M17" s="83">
        <v>2.4305359999999998E-4</v>
      </c>
      <c r="N17" s="83">
        <v>3.0381699999999997E-5</v>
      </c>
      <c r="O17" s="1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33</v>
      </c>
      <c r="L18" s="59">
        <v>2.2457100000000002E-3</v>
      </c>
      <c r="M18" s="59">
        <v>3.0027E-4</v>
      </c>
      <c r="N18" s="59">
        <v>6.6229999999999994E-5</v>
      </c>
      <c r="O18" s="1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75" thickBot="1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34</v>
      </c>
      <c r="L19" s="59">
        <v>3.2730300000000001E-3</v>
      </c>
      <c r="M19" s="59">
        <v>3.9889999999999999E-4</v>
      </c>
      <c r="N19" s="59">
        <v>1.0728E-4</v>
      </c>
      <c r="O19" s="1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75" thickBot="1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75" thickBot="1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/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>
        <v>0.91</v>
      </c>
      <c r="M23" s="88">
        <v>0.08</v>
      </c>
      <c r="N23" s="87">
        <v>0.01</v>
      </c>
      <c r="O23" s="87">
        <f>SUM(L23:N23)</f>
        <v>1</v>
      </c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75" thickBot="1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>
        <f>L23*$O$24</f>
        <v>2.7647346999999998E-3</v>
      </c>
      <c r="M24" s="91">
        <f t="shared" ref="M24:N24" si="0">M23*$O$24</f>
        <v>2.4305359999999998E-4</v>
      </c>
      <c r="N24" s="91">
        <f t="shared" si="0"/>
        <v>3.0381699999999997E-5</v>
      </c>
      <c r="O24" s="89">
        <f>SUM(L17:N17)</f>
        <v>3.0381699999999998E-3</v>
      </c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75" thickBo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>
        <f>SUM(L24:N24)</f>
        <v>3.0381699999999998E-3</v>
      </c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75" thickBo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75" thickBo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75" thickBo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75" thickBo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75" thickBo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2" zoomScale="90" zoomScaleNormal="90" workbookViewId="0">
      <selection activeCell="R35" activeCellId="1" sqref="R28:R29 R35:R39"/>
    </sheetView>
  </sheetViews>
  <sheetFormatPr defaultColWidth="11.42578125" defaultRowHeight="1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75" thickBot="1">
      <c r="A1" s="7"/>
      <c r="B1" s="7"/>
      <c r="C1" s="7"/>
      <c r="D1" s="7"/>
      <c r="E1" s="7"/>
      <c r="F1" s="7"/>
      <c r="G1" s="144"/>
      <c r="H1" s="144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>
      <c r="A2" s="7"/>
      <c r="B2" s="7"/>
      <c r="C2" s="7"/>
      <c r="D2" s="7"/>
      <c r="E2" s="7"/>
      <c r="F2" s="7"/>
      <c r="G2" s="144"/>
      <c r="H2" s="144"/>
      <c r="I2" s="157" t="s">
        <v>20</v>
      </c>
      <c r="J2" s="158"/>
      <c r="K2" s="158"/>
      <c r="L2" s="158"/>
      <c r="M2" s="158"/>
      <c r="N2" s="158"/>
      <c r="O2" s="158"/>
      <c r="P2" s="158"/>
      <c r="Q2" s="159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>
      <c r="A3" s="7"/>
      <c r="B3" s="7"/>
      <c r="C3" s="7"/>
      <c r="D3" s="7"/>
      <c r="E3" s="7"/>
      <c r="F3" s="7"/>
      <c r="G3" s="144"/>
      <c r="H3" s="144"/>
      <c r="I3" s="160"/>
      <c r="J3" s="161"/>
      <c r="K3" s="161"/>
      <c r="L3" s="161"/>
      <c r="M3" s="161"/>
      <c r="N3" s="161"/>
      <c r="O3" s="161"/>
      <c r="P3" s="161"/>
      <c r="Q3" s="162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>
      <c r="A4" s="7"/>
      <c r="B4" s="7"/>
      <c r="C4" s="7"/>
      <c r="D4" s="7"/>
      <c r="E4" s="7"/>
      <c r="F4" s="7"/>
      <c r="G4" s="144"/>
      <c r="H4" s="144"/>
      <c r="I4" s="163"/>
      <c r="J4" s="164"/>
      <c r="K4" s="164"/>
      <c r="L4" s="164"/>
      <c r="M4" s="164"/>
      <c r="N4" s="164"/>
      <c r="O4" s="164"/>
      <c r="P4" s="164"/>
      <c r="Q4" s="165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>
      <c r="A5" s="7"/>
      <c r="B5" s="7"/>
      <c r="C5" s="7"/>
      <c r="D5" s="7"/>
      <c r="E5" s="7"/>
      <c r="F5" s="7"/>
      <c r="G5" s="144"/>
      <c r="H5" s="144"/>
      <c r="I5" s="166" t="s">
        <v>40</v>
      </c>
      <c r="J5" s="167"/>
      <c r="K5" s="167"/>
      <c r="L5" s="167"/>
      <c r="M5" s="167"/>
      <c r="N5" s="167"/>
      <c r="O5" s="167"/>
      <c r="P5" s="167"/>
      <c r="Q5" s="168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>
      <c r="A6" s="7"/>
      <c r="B6" s="7"/>
      <c r="C6" s="7"/>
      <c r="D6" s="7"/>
      <c r="E6" s="7"/>
      <c r="F6" s="7"/>
      <c r="G6" s="144"/>
      <c r="H6" s="144"/>
      <c r="I6" s="50" t="s">
        <v>51</v>
      </c>
      <c r="J6" s="50" t="s">
        <v>52</v>
      </c>
      <c r="K6" s="50" t="s">
        <v>48</v>
      </c>
      <c r="L6" s="136" t="s">
        <v>41</v>
      </c>
      <c r="M6" s="137"/>
      <c r="N6" s="137"/>
      <c r="O6" s="137"/>
      <c r="P6" s="137"/>
      <c r="Q6" s="138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>
      <c r="A7" s="7"/>
      <c r="B7" s="7"/>
      <c r="C7" s="7"/>
      <c r="D7" s="7"/>
      <c r="E7" s="7"/>
      <c r="F7" s="7"/>
      <c r="G7" s="144"/>
      <c r="H7" s="144"/>
      <c r="I7" s="51" t="s">
        <v>21</v>
      </c>
      <c r="J7" s="38">
        <f>SUM(J13,J19)</f>
        <v>220.06076340000004</v>
      </c>
      <c r="K7" s="39">
        <f>J7/J7</f>
        <v>1</v>
      </c>
      <c r="L7" s="119" t="s">
        <v>70</v>
      </c>
      <c r="M7" s="120"/>
      <c r="N7" s="120"/>
      <c r="O7" s="120"/>
      <c r="P7" s="120"/>
      <c r="Q7" s="12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>
      <c r="A8" s="7"/>
      <c r="B8" s="182" t="s">
        <v>3</v>
      </c>
      <c r="C8" s="183"/>
      <c r="D8" s="183"/>
      <c r="E8" s="183"/>
      <c r="F8" s="184"/>
      <c r="G8" s="144"/>
      <c r="H8" s="144"/>
      <c r="I8" s="52" t="s">
        <v>6</v>
      </c>
      <c r="J8" s="38">
        <f>SUM(J14,J20)</f>
        <v>219.94133469400001</v>
      </c>
      <c r="K8" s="40">
        <f>J8/J7</f>
        <v>0.99945729213988521</v>
      </c>
      <c r="L8" s="119" t="s">
        <v>71</v>
      </c>
      <c r="M8" s="120"/>
      <c r="N8" s="120"/>
      <c r="O8" s="120"/>
      <c r="P8" s="120"/>
      <c r="Q8" s="12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>
      <c r="A9" s="7"/>
      <c r="B9" s="185"/>
      <c r="C9" s="186"/>
      <c r="D9" s="186"/>
      <c r="E9" s="186"/>
      <c r="F9" s="187"/>
      <c r="G9" s="144"/>
      <c r="H9" s="144"/>
      <c r="I9" s="51" t="s">
        <v>8</v>
      </c>
      <c r="J9" s="41">
        <f t="shared" ref="J9:J10" si="0">SUM(J15,J21)</f>
        <v>0.11046107199999999</v>
      </c>
      <c r="K9" s="40">
        <f>J9/J7</f>
        <v>5.0195714262436287E-4</v>
      </c>
      <c r="L9" s="119" t="s">
        <v>71</v>
      </c>
      <c r="M9" s="120"/>
      <c r="N9" s="120"/>
      <c r="O9" s="120"/>
      <c r="P9" s="120"/>
      <c r="Q9" s="12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>
      <c r="A10" s="7"/>
      <c r="B10" s="188"/>
      <c r="C10" s="189"/>
      <c r="D10" s="189"/>
      <c r="E10" s="189"/>
      <c r="F10" s="190"/>
      <c r="G10" s="144"/>
      <c r="H10" s="144"/>
      <c r="I10" s="52" t="s">
        <v>9</v>
      </c>
      <c r="J10" s="41">
        <f t="shared" si="0"/>
        <v>8.9676339999999986E-3</v>
      </c>
      <c r="K10" s="40">
        <f>J10/J7</f>
        <v>4.0750717490240229E-5</v>
      </c>
      <c r="L10" s="119" t="s">
        <v>71</v>
      </c>
      <c r="M10" s="120"/>
      <c r="N10" s="120"/>
      <c r="O10" s="120"/>
      <c r="P10" s="120"/>
      <c r="Q10" s="12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>
      <c r="A11" s="7"/>
      <c r="B11" s="147" t="s">
        <v>38</v>
      </c>
      <c r="C11" s="148"/>
      <c r="D11" s="148"/>
      <c r="E11" s="148"/>
      <c r="F11" s="149"/>
      <c r="G11" s="144"/>
      <c r="H11" s="144"/>
      <c r="I11" s="135"/>
      <c r="J11" s="135"/>
      <c r="K11" s="135"/>
      <c r="L11" s="135"/>
      <c r="M11" s="135"/>
      <c r="N11" s="135"/>
      <c r="O11" s="135"/>
      <c r="P11" s="135"/>
      <c r="Q11" s="135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>
      <c r="A12" s="7"/>
      <c r="B12" s="150"/>
      <c r="C12" s="151"/>
      <c r="D12" s="151"/>
      <c r="E12" s="151"/>
      <c r="F12" s="152"/>
      <c r="G12" s="144"/>
      <c r="H12" s="144"/>
      <c r="I12" s="50" t="s">
        <v>53</v>
      </c>
      <c r="J12" s="50" t="s">
        <v>52</v>
      </c>
      <c r="K12" s="50" t="s">
        <v>48</v>
      </c>
      <c r="L12" s="136" t="s">
        <v>41</v>
      </c>
      <c r="M12" s="137"/>
      <c r="N12" s="137"/>
      <c r="O12" s="137"/>
      <c r="P12" s="137"/>
      <c r="Q12" s="138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>
      <c r="A13" s="8"/>
      <c r="B13" s="139" t="s">
        <v>4</v>
      </c>
      <c r="C13" s="140"/>
      <c r="D13" s="172" t="s">
        <v>41</v>
      </c>
      <c r="E13" s="172"/>
      <c r="F13" s="172"/>
      <c r="G13" s="144"/>
      <c r="H13" s="144"/>
      <c r="I13" s="51" t="s">
        <v>5</v>
      </c>
      <c r="J13" s="42">
        <f>SUM(J14:J16)</f>
        <v>220.00000000000003</v>
      </c>
      <c r="K13" s="39">
        <f>J13/J13</f>
        <v>1</v>
      </c>
      <c r="L13" s="119" t="s">
        <v>73</v>
      </c>
      <c r="M13" s="120"/>
      <c r="N13" s="120"/>
      <c r="O13" s="120"/>
      <c r="P13" s="120"/>
      <c r="Q13" s="12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>
      <c r="A14" s="7"/>
      <c r="B14" s="4" t="s">
        <v>35</v>
      </c>
      <c r="C14" s="44">
        <v>220</v>
      </c>
      <c r="D14" s="173" t="s">
        <v>18</v>
      </c>
      <c r="E14" s="173"/>
      <c r="F14" s="173"/>
      <c r="G14" s="144"/>
      <c r="H14" s="144"/>
      <c r="I14" s="52" t="s">
        <v>45</v>
      </c>
      <c r="J14" s="42">
        <f>C14-SUM(J15:J16)</f>
        <v>219.88604000000001</v>
      </c>
      <c r="K14" s="40">
        <f>J14/J13</f>
        <v>0.99948199999999987</v>
      </c>
      <c r="L14" s="141" t="s">
        <v>72</v>
      </c>
      <c r="M14" s="142"/>
      <c r="N14" s="142"/>
      <c r="O14" s="142"/>
      <c r="P14" s="142"/>
      <c r="Q14" s="143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>
      <c r="A15" s="7"/>
      <c r="B15" s="5" t="s">
        <v>15</v>
      </c>
      <c r="C15" s="44" t="s">
        <v>14</v>
      </c>
      <c r="D15" s="174" t="s">
        <v>62</v>
      </c>
      <c r="E15" s="174"/>
      <c r="F15" s="174"/>
      <c r="G15" s="144"/>
      <c r="H15" s="144"/>
      <c r="I15" s="51" t="s">
        <v>46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0.1056</v>
      </c>
      <c r="K15" s="40">
        <f>J15/J13</f>
        <v>4.7999999999999996E-4</v>
      </c>
      <c r="L15" s="119" t="s">
        <v>71</v>
      </c>
      <c r="M15" s="120"/>
      <c r="N15" s="120"/>
      <c r="O15" s="120"/>
      <c r="P15" s="120"/>
      <c r="Q15" s="12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>
      <c r="A16" s="7"/>
      <c r="B16" s="4" t="s">
        <v>36</v>
      </c>
      <c r="C16" s="45">
        <v>0.98</v>
      </c>
      <c r="D16" s="175" t="s">
        <v>42</v>
      </c>
      <c r="E16" s="176"/>
      <c r="F16" s="177"/>
      <c r="G16" s="144"/>
      <c r="H16" s="144"/>
      <c r="I16" s="52" t="s">
        <v>47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8.3599999999999994E-3</v>
      </c>
      <c r="K16" s="40">
        <f>J16/J13</f>
        <v>3.7999999999999995E-5</v>
      </c>
      <c r="L16" s="119" t="s">
        <v>71</v>
      </c>
      <c r="M16" s="120"/>
      <c r="N16" s="120"/>
      <c r="O16" s="120"/>
      <c r="P16" s="120"/>
      <c r="Q16" s="12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>
      <c r="A17" s="7"/>
      <c r="B17" s="5" t="s">
        <v>16</v>
      </c>
      <c r="C17" s="44" t="s">
        <v>78</v>
      </c>
      <c r="D17" s="178" t="s">
        <v>63</v>
      </c>
      <c r="E17" s="179"/>
      <c r="F17" s="180"/>
      <c r="G17" s="144"/>
      <c r="H17" s="144"/>
      <c r="I17" s="141"/>
      <c r="J17" s="142"/>
      <c r="K17" s="142"/>
      <c r="L17" s="142"/>
      <c r="M17" s="142"/>
      <c r="N17" s="142"/>
      <c r="O17" s="142"/>
      <c r="P17" s="142"/>
      <c r="Q17" s="143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>
      <c r="A18" s="7"/>
      <c r="B18" s="4" t="s">
        <v>37</v>
      </c>
      <c r="C18" s="45">
        <v>0.02</v>
      </c>
      <c r="D18" s="175" t="s">
        <v>43</v>
      </c>
      <c r="E18" s="176"/>
      <c r="F18" s="177"/>
      <c r="G18" s="144"/>
      <c r="H18" s="144"/>
      <c r="I18" s="50" t="s">
        <v>31</v>
      </c>
      <c r="J18" s="50" t="s">
        <v>52</v>
      </c>
      <c r="K18" s="50" t="s">
        <v>48</v>
      </c>
      <c r="L18" s="136" t="s">
        <v>41</v>
      </c>
      <c r="M18" s="137"/>
      <c r="N18" s="137"/>
      <c r="O18" s="137"/>
      <c r="P18" s="137"/>
      <c r="Q18" s="138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>
      <c r="A19" s="7"/>
      <c r="B19" s="174"/>
      <c r="C19" s="174"/>
      <c r="D19" s="174"/>
      <c r="E19" s="174"/>
      <c r="F19" s="174"/>
      <c r="G19" s="144"/>
      <c r="H19" s="144"/>
      <c r="I19" s="51" t="s">
        <v>5</v>
      </c>
      <c r="J19" s="42">
        <f>SUM(J20:J22)</f>
        <v>6.0763399999999995E-2</v>
      </c>
      <c r="K19" s="39">
        <f>J19/J19</f>
        <v>1</v>
      </c>
      <c r="L19" s="119" t="s">
        <v>57</v>
      </c>
      <c r="M19" s="120"/>
      <c r="N19" s="120"/>
      <c r="O19" s="120"/>
      <c r="P19" s="120"/>
      <c r="Q19" s="12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>
      <c r="A20" s="7"/>
      <c r="B20" s="139" t="s">
        <v>7</v>
      </c>
      <c r="C20" s="140"/>
      <c r="D20" s="172" t="s">
        <v>41</v>
      </c>
      <c r="E20" s="172"/>
      <c r="F20" s="172"/>
      <c r="G20" s="144"/>
      <c r="H20" s="144"/>
      <c r="I20" s="52" t="s">
        <v>45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5.5294693999999991E-2</v>
      </c>
      <c r="K20" s="40">
        <f>J20/J19</f>
        <v>0.90999999999999992</v>
      </c>
      <c r="L20" s="119" t="s">
        <v>71</v>
      </c>
      <c r="M20" s="120"/>
      <c r="N20" s="120"/>
      <c r="O20" s="120"/>
      <c r="P20" s="120"/>
      <c r="Q20" s="12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>
      <c r="A21" s="7"/>
      <c r="B21" s="4" t="s">
        <v>10</v>
      </c>
      <c r="C21" s="44" t="s">
        <v>77</v>
      </c>
      <c r="D21" s="178" t="s">
        <v>63</v>
      </c>
      <c r="E21" s="179"/>
      <c r="F21" s="180"/>
      <c r="G21" s="144"/>
      <c r="H21" s="144"/>
      <c r="I21" s="51" t="s">
        <v>46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4.8610720000000001E-3</v>
      </c>
      <c r="K21" s="40">
        <f>J21/J19</f>
        <v>0.08</v>
      </c>
      <c r="L21" s="119" t="s">
        <v>71</v>
      </c>
      <c r="M21" s="120"/>
      <c r="N21" s="120"/>
      <c r="O21" s="120"/>
      <c r="P21" s="120"/>
      <c r="Q21" s="12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>
      <c r="A22" s="7"/>
      <c r="B22" s="6" t="s">
        <v>19</v>
      </c>
      <c r="C22" s="46">
        <v>20000</v>
      </c>
      <c r="D22" s="181" t="s">
        <v>69</v>
      </c>
      <c r="E22" s="181"/>
      <c r="F22" s="181"/>
      <c r="G22" s="144"/>
      <c r="H22" s="144"/>
      <c r="I22" s="53" t="s">
        <v>47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6.0763400000000002E-4</v>
      </c>
      <c r="K22" s="40">
        <f>J22/J19</f>
        <v>0.01</v>
      </c>
      <c r="L22" s="119" t="s">
        <v>71</v>
      </c>
      <c r="M22" s="120"/>
      <c r="N22" s="120"/>
      <c r="O22" s="120"/>
      <c r="P22" s="120"/>
      <c r="Q22" s="12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>
      <c r="A23" s="7"/>
      <c r="B23" s="169"/>
      <c r="C23" s="170"/>
      <c r="D23" s="170"/>
      <c r="E23" s="170"/>
      <c r="F23" s="171"/>
      <c r="G23" s="144"/>
      <c r="H23" s="144"/>
      <c r="I23" s="130"/>
      <c r="J23" s="131"/>
      <c r="K23" s="131"/>
      <c r="L23" s="131"/>
      <c r="M23" s="131"/>
      <c r="N23" s="131"/>
      <c r="O23" s="131"/>
      <c r="P23" s="131"/>
      <c r="Q23" s="132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>
      <c r="A24" s="7"/>
      <c r="B24" s="147" t="s">
        <v>39</v>
      </c>
      <c r="C24" s="148"/>
      <c r="D24" s="148"/>
      <c r="E24" s="148"/>
      <c r="F24" s="149"/>
      <c r="G24" s="144"/>
      <c r="H24" s="144"/>
      <c r="I24" s="124" t="s">
        <v>44</v>
      </c>
      <c r="J24" s="125"/>
      <c r="K24" s="125"/>
      <c r="L24" s="125"/>
      <c r="M24" s="125"/>
      <c r="N24" s="125"/>
      <c r="O24" s="125"/>
      <c r="P24" s="125"/>
      <c r="Q24" s="126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>
      <c r="A25" s="7"/>
      <c r="B25" s="150"/>
      <c r="C25" s="151"/>
      <c r="D25" s="151"/>
      <c r="E25" s="151"/>
      <c r="F25" s="152"/>
      <c r="G25" s="144"/>
      <c r="H25" s="144"/>
      <c r="I25" s="127"/>
      <c r="J25" s="128"/>
      <c r="K25" s="128"/>
      <c r="L25" s="128"/>
      <c r="M25" s="128"/>
      <c r="N25" s="128"/>
      <c r="O25" s="128"/>
      <c r="P25" s="128"/>
      <c r="Q25" s="129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>
      <c r="A26" s="7"/>
      <c r="B26" s="145" t="s">
        <v>11</v>
      </c>
      <c r="C26" s="145" t="s">
        <v>12</v>
      </c>
      <c r="D26" s="153" t="s">
        <v>49</v>
      </c>
      <c r="E26" s="153" t="s">
        <v>50</v>
      </c>
      <c r="F26" s="155" t="s">
        <v>68</v>
      </c>
      <c r="G26" s="144"/>
      <c r="H26" s="144"/>
      <c r="I26" s="133" t="s">
        <v>55</v>
      </c>
      <c r="J26" s="133" t="s">
        <v>56</v>
      </c>
      <c r="K26" s="122" t="s">
        <v>76</v>
      </c>
      <c r="L26" s="122" t="s">
        <v>54</v>
      </c>
      <c r="M26" s="122" t="s">
        <v>61</v>
      </c>
      <c r="N26" s="122" t="s">
        <v>64</v>
      </c>
      <c r="O26" s="122" t="s">
        <v>75</v>
      </c>
      <c r="P26" s="122" t="s">
        <v>66</v>
      </c>
      <c r="Q26" s="122" t="s">
        <v>67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>
      <c r="A27" s="7"/>
      <c r="B27" s="146"/>
      <c r="C27" s="146"/>
      <c r="D27" s="154"/>
      <c r="E27" s="154"/>
      <c r="F27" s="156"/>
      <c r="G27" s="144"/>
      <c r="H27" s="144"/>
      <c r="I27" s="134"/>
      <c r="J27" s="134"/>
      <c r="K27" s="123"/>
      <c r="L27" s="123"/>
      <c r="M27" s="123"/>
      <c r="N27" s="123"/>
      <c r="O27" s="123"/>
      <c r="P27" s="123"/>
      <c r="Q27" s="123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94" t="s">
        <v>91</v>
      </c>
      <c r="B28" s="95" t="s">
        <v>80</v>
      </c>
      <c r="C28" s="93" t="s">
        <v>92</v>
      </c>
      <c r="D28" s="98">
        <v>6.5247999999999973E-2</v>
      </c>
      <c r="E28" s="98">
        <v>8.2216000000000289E-2</v>
      </c>
      <c r="F28" s="99">
        <v>2.4399999999999999E-3</v>
      </c>
      <c r="G28" s="144"/>
      <c r="H28" s="144"/>
      <c r="I28" s="55">
        <f t="shared" ref="I28:I47" si="1">IF(D28=0,"",LOG($K$15*10^D28+$K$16*10^E28+$K$14))</f>
        <v>3.7232006014100119E-5</v>
      </c>
      <c r="J28" s="55">
        <f t="shared" ref="J28:J47" si="2">IF(D28=0,"",LOG($K$21*10^D28+$K$22*10^E28+$K$20))</f>
        <v>6.4887661925531635E-3</v>
      </c>
      <c r="K28" s="56">
        <f t="shared" ref="K28:K47" si="3">IF(D28=0,"",1/(1+10^D28*$J$15/$J$14+10^E28*$J$16/$J$14+10^J28*$J$19/$J$14))</f>
        <v>0.99911623509850001</v>
      </c>
      <c r="L28" s="56">
        <f t="shared" ref="L28:L47" si="4">IF(D28=0,"",1/(1+10^I28/10^J28*$J$13/$J$19))</f>
        <v>2.8025230354390907E-4</v>
      </c>
      <c r="M28" s="56">
        <f t="shared" ref="M28:M47" si="5">IF(D28=0,"",1-L28)</f>
        <v>0.99971974769645611</v>
      </c>
      <c r="N28" s="56">
        <f t="shared" ref="N28:N47" si="6">IF(D28=0,"",1/(1/10^E28*$J$20/$J$22+10^D28/10^E28*$J$21/$J$22+10^I28/10^E28*$J$13/$J$22+1))</f>
        <v>3.3363870342655937E-6</v>
      </c>
      <c r="O28" s="57">
        <f t="shared" ref="O28:O47" si="7">IF(D28=0,"",F28*K28*$J$7/$J$14)</f>
        <v>2.4397807458240999E-3</v>
      </c>
      <c r="P28" s="57">
        <f t="shared" ref="P28:P47" si="8">IF(D28=0,"",O28*10^J28)</f>
        <v>2.4765070339127504E-3</v>
      </c>
      <c r="Q28" s="57">
        <f t="shared" ref="Q28:Q47" si="9">IF(D28=0,"",F28*N28*$J$7/$J$22)</f>
        <v>2.9482669201038301E-3</v>
      </c>
      <c r="R28" s="9">
        <f>O28/F28</f>
        <v>0.99991014173118853</v>
      </c>
      <c r="S28" s="11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94" t="s">
        <v>91</v>
      </c>
      <c r="B29" s="95" t="s">
        <v>81</v>
      </c>
      <c r="C29" s="93" t="s">
        <v>93</v>
      </c>
      <c r="D29" s="98">
        <v>2.1823520000000003</v>
      </c>
      <c r="E29" s="98">
        <v>2.5882690000000008</v>
      </c>
      <c r="F29" s="99">
        <v>4.3899999999999999E-4</v>
      </c>
      <c r="G29" s="144"/>
      <c r="H29" s="144"/>
      <c r="I29" s="55">
        <f t="shared" si="1"/>
        <v>3.6330362911661106E-2</v>
      </c>
      <c r="J29" s="55">
        <f t="shared" si="2"/>
        <v>1.2294058595173571</v>
      </c>
      <c r="K29" s="56">
        <f t="shared" si="3"/>
        <v>0.91532981699133897</v>
      </c>
      <c r="L29" s="56">
        <f t="shared" si="4"/>
        <v>4.2897094540694505E-3</v>
      </c>
      <c r="M29" s="56">
        <f t="shared" si="5"/>
        <v>0.99571029054593052</v>
      </c>
      <c r="N29" s="56">
        <f t="shared" si="6"/>
        <v>9.801465565766668E-4</v>
      </c>
      <c r="O29" s="57">
        <f t="shared" si="7"/>
        <v>4.0214908717836075E-4</v>
      </c>
      <c r="P29" s="57">
        <f t="shared" si="8"/>
        <v>6.8201346146287154E-3</v>
      </c>
      <c r="Q29" s="57">
        <f t="shared" si="9"/>
        <v>0.155831800020306</v>
      </c>
      <c r="R29" s="9">
        <f t="shared" ref="R29:R39" si="10">O29/F29</f>
        <v>0.91605714619216572</v>
      </c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96" t="s">
        <v>91</v>
      </c>
      <c r="B30" s="97" t="s">
        <v>82</v>
      </c>
      <c r="C30" s="93" t="s">
        <v>94</v>
      </c>
      <c r="D30" s="98">
        <v>0.35</v>
      </c>
      <c r="E30" s="98">
        <v>0.53</v>
      </c>
      <c r="F30" s="99">
        <v>2.1100000000000001E-4</v>
      </c>
      <c r="G30" s="144"/>
      <c r="H30" s="144"/>
      <c r="I30" s="104">
        <f t="shared" si="1"/>
        <v>2.9754044051326394E-4</v>
      </c>
      <c r="J30" s="104">
        <f t="shared" si="2"/>
        <v>5.0372836382892375E-2</v>
      </c>
      <c r="K30" s="105">
        <f t="shared" si="3"/>
        <v>0.99848799369865526</v>
      </c>
      <c r="L30" s="105">
        <f t="shared" si="4"/>
        <v>3.0985612984477334E-4</v>
      </c>
      <c r="M30" s="105">
        <f t="shared" si="5"/>
        <v>0.9996901438701552</v>
      </c>
      <c r="N30" s="105">
        <f t="shared" si="6"/>
        <v>9.3494756697772685E-6</v>
      </c>
      <c r="O30" s="106">
        <f t="shared" si="7"/>
        <v>2.1084837563740638E-4</v>
      </c>
      <c r="P30" s="106">
        <f t="shared" si="8"/>
        <v>2.3677895306743841E-4</v>
      </c>
      <c r="Q30" s="106">
        <f t="shared" si="9"/>
        <v>7.1444739916178576E-4</v>
      </c>
      <c r="R30" s="9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96" t="s">
        <v>91</v>
      </c>
      <c r="B31" s="97" t="s">
        <v>83</v>
      </c>
      <c r="C31" s="93" t="s">
        <v>95</v>
      </c>
      <c r="D31" s="98">
        <v>0.35</v>
      </c>
      <c r="E31" s="98">
        <v>0.53</v>
      </c>
      <c r="F31" s="99">
        <v>2.31E-4</v>
      </c>
      <c r="G31" s="144"/>
      <c r="H31" s="144"/>
      <c r="I31" s="104">
        <f t="shared" si="1"/>
        <v>2.9754044051326394E-4</v>
      </c>
      <c r="J31" s="104">
        <f t="shared" si="2"/>
        <v>5.0372836382892375E-2</v>
      </c>
      <c r="K31" s="105">
        <f t="shared" si="3"/>
        <v>0.99848799369865526</v>
      </c>
      <c r="L31" s="105">
        <f t="shared" si="4"/>
        <v>3.0985612984477334E-4</v>
      </c>
      <c r="M31" s="105">
        <f t="shared" si="5"/>
        <v>0.9996901438701552</v>
      </c>
      <c r="N31" s="105">
        <f t="shared" si="6"/>
        <v>9.3494756697772685E-6</v>
      </c>
      <c r="O31" s="106">
        <f t="shared" si="7"/>
        <v>2.3083400365990936E-4</v>
      </c>
      <c r="P31" s="106">
        <f t="shared" si="8"/>
        <v>2.5922245572785913E-4</v>
      </c>
      <c r="Q31" s="106">
        <f t="shared" si="9"/>
        <v>7.8216753178375609E-4</v>
      </c>
      <c r="R31" s="9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96" t="s">
        <v>91</v>
      </c>
      <c r="B32" s="97" t="s">
        <v>84</v>
      </c>
      <c r="C32" s="93" t="s">
        <v>96</v>
      </c>
      <c r="D32" s="98">
        <v>0.35</v>
      </c>
      <c r="E32" s="98">
        <v>0.53</v>
      </c>
      <c r="F32" s="99">
        <v>3.6000000000000001E-5</v>
      </c>
      <c r="G32" s="144"/>
      <c r="H32" s="144"/>
      <c r="I32" s="104">
        <f t="shared" si="1"/>
        <v>2.9754044051326394E-4</v>
      </c>
      <c r="J32" s="104">
        <f t="shared" si="2"/>
        <v>5.0372836382892375E-2</v>
      </c>
      <c r="K32" s="105">
        <f t="shared" si="3"/>
        <v>0.99848799369865526</v>
      </c>
      <c r="L32" s="105">
        <f t="shared" si="4"/>
        <v>3.0985612984477334E-4</v>
      </c>
      <c r="M32" s="105">
        <f t="shared" si="5"/>
        <v>0.9996901438701552</v>
      </c>
      <c r="N32" s="105">
        <f t="shared" si="6"/>
        <v>9.3494756697772685E-6</v>
      </c>
      <c r="O32" s="106">
        <f t="shared" si="7"/>
        <v>3.597413044050536E-5</v>
      </c>
      <c r="P32" s="106">
        <f t="shared" si="8"/>
        <v>4.039830478875727E-5</v>
      </c>
      <c r="Q32" s="106">
        <f t="shared" si="9"/>
        <v>1.218962387195464E-4</v>
      </c>
      <c r="R32" s="9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96" t="s">
        <v>91</v>
      </c>
      <c r="B33" s="97" t="s">
        <v>85</v>
      </c>
      <c r="C33" s="93" t="s">
        <v>97</v>
      </c>
      <c r="D33" s="98">
        <v>0.35</v>
      </c>
      <c r="E33" s="98">
        <v>0.53</v>
      </c>
      <c r="F33" s="99">
        <v>1.84E-5</v>
      </c>
      <c r="G33" s="144"/>
      <c r="H33" s="144"/>
      <c r="I33" s="104">
        <f t="shared" si="1"/>
        <v>2.9754044051326394E-4</v>
      </c>
      <c r="J33" s="104">
        <f t="shared" si="2"/>
        <v>5.0372836382892375E-2</v>
      </c>
      <c r="K33" s="105">
        <f t="shared" si="3"/>
        <v>0.99848799369865526</v>
      </c>
      <c r="L33" s="105">
        <f t="shared" si="4"/>
        <v>3.0985612984477334E-4</v>
      </c>
      <c r="M33" s="105">
        <f t="shared" si="5"/>
        <v>0.9996901438701552</v>
      </c>
      <c r="N33" s="105">
        <f t="shared" si="6"/>
        <v>9.3494756697772685E-6</v>
      </c>
      <c r="O33" s="106">
        <f t="shared" si="7"/>
        <v>1.8386777780702734E-5</v>
      </c>
      <c r="P33" s="106">
        <f t="shared" si="8"/>
        <v>2.0648022447587046E-5</v>
      </c>
      <c r="Q33" s="106">
        <f t="shared" si="9"/>
        <v>6.2302522012212591E-5</v>
      </c>
      <c r="R33" s="9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94" t="s">
        <v>91</v>
      </c>
      <c r="B34" s="100" t="s">
        <v>104</v>
      </c>
      <c r="C34" s="101" t="s">
        <v>98</v>
      </c>
      <c r="D34" s="102">
        <v>0.35</v>
      </c>
      <c r="E34" s="102">
        <v>0.53</v>
      </c>
      <c r="F34" s="103">
        <v>2.12E-6</v>
      </c>
      <c r="G34" s="144"/>
      <c r="H34" s="144"/>
      <c r="I34" s="104">
        <f t="shared" si="1"/>
        <v>2.9754044051326394E-4</v>
      </c>
      <c r="J34" s="104">
        <f t="shared" si="2"/>
        <v>5.0372836382892375E-2</v>
      </c>
      <c r="K34" s="105">
        <f t="shared" si="3"/>
        <v>0.99848799369865526</v>
      </c>
      <c r="L34" s="105">
        <f t="shared" si="4"/>
        <v>3.0985612984477334E-4</v>
      </c>
      <c r="M34" s="105">
        <f t="shared" si="5"/>
        <v>0.9996901438701552</v>
      </c>
      <c r="N34" s="105">
        <f t="shared" si="6"/>
        <v>9.3494756697772685E-6</v>
      </c>
      <c r="O34" s="106">
        <f t="shared" si="7"/>
        <v>2.1184765703853149E-6</v>
      </c>
      <c r="P34" s="106">
        <f t="shared" si="8"/>
        <v>2.3790112820045939E-6</v>
      </c>
      <c r="Q34" s="106">
        <f t="shared" si="9"/>
        <v>7.1783340579288416E-6</v>
      </c>
      <c r="R34" s="9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94" t="s">
        <v>91</v>
      </c>
      <c r="B35" s="95" t="s">
        <v>86</v>
      </c>
      <c r="C35" s="93" t="s">
        <v>99</v>
      </c>
      <c r="D35" s="98">
        <v>2.3628240000000003</v>
      </c>
      <c r="E35" s="98">
        <v>2.5674030000000005</v>
      </c>
      <c r="F35" s="99">
        <v>4.9200000000000003E-5</v>
      </c>
      <c r="G35" s="144"/>
      <c r="H35" s="144"/>
      <c r="I35" s="55">
        <f t="shared" si="1"/>
        <v>5.0841714416210687E-2</v>
      </c>
      <c r="J35" s="55">
        <f t="shared" si="2"/>
        <v>1.3626653136460252</v>
      </c>
      <c r="K35" s="56">
        <f t="shared" si="3"/>
        <v>0.88405810660749462</v>
      </c>
      <c r="L35" s="56">
        <f t="shared" si="4"/>
        <v>5.6310649061273111E-3</v>
      </c>
      <c r="M35" s="56">
        <f t="shared" si="5"/>
        <v>0.9943689350938727</v>
      </c>
      <c r="N35" s="56">
        <f t="shared" si="6"/>
        <v>9.0225276072326962E-4</v>
      </c>
      <c r="O35" s="57">
        <f t="shared" si="7"/>
        <v>4.3530220881854031E-5</v>
      </c>
      <c r="P35" s="57">
        <f t="shared" si="8"/>
        <v>1.0033586163096277E-3</v>
      </c>
      <c r="Q35" s="57">
        <f t="shared" si="9"/>
        <v>1.6076587584273425E-2</v>
      </c>
      <c r="R35" s="9">
        <f t="shared" si="10"/>
        <v>0.8847605870295534</v>
      </c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94" t="s">
        <v>91</v>
      </c>
      <c r="B36" s="95" t="s">
        <v>87</v>
      </c>
      <c r="C36" s="93" t="s">
        <v>100</v>
      </c>
      <c r="D36" s="98">
        <v>3.2672240000000001</v>
      </c>
      <c r="E36" s="98">
        <v>3.6253630000000006</v>
      </c>
      <c r="F36" s="99">
        <v>1.77E-5</v>
      </c>
      <c r="G36" s="144"/>
      <c r="H36" s="144"/>
      <c r="I36" s="55">
        <f t="shared" si="1"/>
        <v>0.31132307136990106</v>
      </c>
      <c r="J36" s="55">
        <f t="shared" si="2"/>
        <v>2.2813350548386877</v>
      </c>
      <c r="K36" s="56">
        <f t="shared" si="3"/>
        <v>0.47577210345310766</v>
      </c>
      <c r="L36" s="56">
        <f t="shared" si="4"/>
        <v>2.5129186958839551E-2</v>
      </c>
      <c r="M36" s="56">
        <f t="shared" si="5"/>
        <v>0.97487081304116041</v>
      </c>
      <c r="N36" s="56">
        <f t="shared" si="6"/>
        <v>5.5488934124325413E-3</v>
      </c>
      <c r="O36" s="57">
        <f t="shared" si="7"/>
        <v>8.4278577645882829E-6</v>
      </c>
      <c r="P36" s="57">
        <f t="shared" si="8"/>
        <v>1.6108394323617338E-3</v>
      </c>
      <c r="Q36" s="57">
        <f t="shared" si="9"/>
        <v>3.5569699606116369E-2</v>
      </c>
      <c r="R36" s="9">
        <f t="shared" si="10"/>
        <v>0.47615015619142842</v>
      </c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94" t="s">
        <v>91</v>
      </c>
      <c r="B37" s="95" t="s">
        <v>88</v>
      </c>
      <c r="C37" s="93" t="s">
        <v>101</v>
      </c>
      <c r="D37" s="98">
        <v>2.9091840000000002</v>
      </c>
      <c r="E37" s="98">
        <v>3.4102429999999995</v>
      </c>
      <c r="F37" s="99">
        <v>3.1599999999999998E-4</v>
      </c>
      <c r="G37" s="144"/>
      <c r="H37" s="144"/>
      <c r="I37" s="55">
        <f t="shared" si="1"/>
        <v>0.17220522092565893</v>
      </c>
      <c r="J37" s="55">
        <f t="shared" si="2"/>
        <v>1.9615763735667</v>
      </c>
      <c r="K37" s="56">
        <f t="shared" si="3"/>
        <v>0.66106845773065226</v>
      </c>
      <c r="L37" s="56">
        <f t="shared" si="4"/>
        <v>1.6721191395849599E-2</v>
      </c>
      <c r="M37" s="56">
        <f t="shared" si="5"/>
        <v>0.9832788086041504</v>
      </c>
      <c r="N37" s="56">
        <f t="shared" si="6"/>
        <v>4.6982253561048343E-3</v>
      </c>
      <c r="O37" s="57">
        <f t="shared" si="7"/>
        <v>2.0906362455682171E-4</v>
      </c>
      <c r="P37" s="57">
        <f t="shared" si="8"/>
        <v>1.9136162449021995E-2</v>
      </c>
      <c r="Q37" s="57">
        <f t="shared" si="9"/>
        <v>0.53767702018441155</v>
      </c>
      <c r="R37" s="9">
        <f t="shared" si="10"/>
        <v>0.66159374859753706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94" t="s">
        <v>91</v>
      </c>
      <c r="B38" s="95" t="s">
        <v>89</v>
      </c>
      <c r="C38" s="93" t="s">
        <v>102</v>
      </c>
      <c r="D38" s="98">
        <v>2.857424</v>
      </c>
      <c r="E38" s="98">
        <v>3.3289280000000003</v>
      </c>
      <c r="F38" s="99">
        <v>1.84E-4</v>
      </c>
      <c r="G38" s="144"/>
      <c r="H38" s="144"/>
      <c r="I38" s="55">
        <f t="shared" si="1"/>
        <v>0.15417954710270021</v>
      </c>
      <c r="J38" s="55">
        <f t="shared" si="2"/>
        <v>1.9022697558389419</v>
      </c>
      <c r="K38" s="56">
        <f t="shared" si="3"/>
        <v>0.69013028353904293</v>
      </c>
      <c r="L38" s="56">
        <f t="shared" si="4"/>
        <v>1.5228083503297374E-2</v>
      </c>
      <c r="M38" s="56">
        <f t="shared" si="5"/>
        <v>0.98477191649670259</v>
      </c>
      <c r="N38" s="56">
        <f t="shared" si="6"/>
        <v>4.0672745924941606E-3</v>
      </c>
      <c r="O38" s="57">
        <f t="shared" si="7"/>
        <v>1.2708487476310496E-4</v>
      </c>
      <c r="P38" s="57">
        <f t="shared" si="8"/>
        <v>1.014760657364862E-2</v>
      </c>
      <c r="Q38" s="57">
        <f t="shared" si="9"/>
        <v>0.27103280844691174</v>
      </c>
      <c r="R38" s="9">
        <f t="shared" si="10"/>
        <v>0.69067866719078785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94" t="s">
        <v>91</v>
      </c>
      <c r="B39" s="95" t="s">
        <v>90</v>
      </c>
      <c r="C39" s="93" t="s">
        <v>103</v>
      </c>
      <c r="D39" s="98">
        <v>2.0783680000000002</v>
      </c>
      <c r="E39" s="98">
        <v>2.5770209999999998</v>
      </c>
      <c r="F39" s="99">
        <v>2.42E-4</v>
      </c>
      <c r="G39" s="144"/>
      <c r="H39" s="144"/>
      <c r="I39" s="55">
        <f t="shared" si="1"/>
        <v>2.9920298270100482E-2</v>
      </c>
      <c r="J39" s="55">
        <f t="shared" si="2"/>
        <v>1.1543614159545472</v>
      </c>
      <c r="K39" s="56">
        <f t="shared" si="3"/>
        <v>0.92952290365394941</v>
      </c>
      <c r="L39" s="56">
        <f t="shared" si="4"/>
        <v>3.6649319912756585E-3</v>
      </c>
      <c r="M39" s="56">
        <f t="shared" si="5"/>
        <v>0.99633506800872429</v>
      </c>
      <c r="N39" s="56">
        <f t="shared" si="6"/>
        <v>9.6989674998749966E-4</v>
      </c>
      <c r="O39" s="57">
        <f t="shared" si="7"/>
        <v>2.2512328561540883E-4</v>
      </c>
      <c r="P39" s="57">
        <f t="shared" si="8"/>
        <v>3.2120465789904325E-3</v>
      </c>
      <c r="Q39" s="57">
        <f t="shared" si="9"/>
        <v>8.5004402406029966E-2</v>
      </c>
      <c r="R39" s="9">
        <f t="shared" si="10"/>
        <v>0.93026151080747443</v>
      </c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94"/>
      <c r="B40" s="47"/>
      <c r="C40" s="93"/>
      <c r="D40" s="98"/>
      <c r="E40" s="98"/>
      <c r="F40" s="99"/>
      <c r="G40" s="144"/>
      <c r="H40" s="144"/>
      <c r="I40" s="55" t="str">
        <f t="shared" si="1"/>
        <v/>
      </c>
      <c r="J40" s="55" t="str">
        <f t="shared" si="2"/>
        <v/>
      </c>
      <c r="K40" s="56" t="str">
        <f t="shared" si="3"/>
        <v/>
      </c>
      <c r="L40" s="56" t="str">
        <f t="shared" si="4"/>
        <v/>
      </c>
      <c r="M40" s="56" t="str">
        <f t="shared" si="5"/>
        <v/>
      </c>
      <c r="N40" s="56" t="str">
        <f t="shared" si="6"/>
        <v/>
      </c>
      <c r="O40" s="57" t="str">
        <f t="shared" si="7"/>
        <v/>
      </c>
      <c r="P40" s="57" t="str">
        <f t="shared" si="8"/>
        <v/>
      </c>
      <c r="Q40" s="57" t="str">
        <f t="shared" si="9"/>
        <v/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94"/>
      <c r="B41" s="47"/>
      <c r="C41" s="93"/>
      <c r="D41" s="98"/>
      <c r="E41" s="98"/>
      <c r="F41" s="99"/>
      <c r="G41" s="144"/>
      <c r="H41" s="144"/>
      <c r="I41" s="55" t="str">
        <f t="shared" si="1"/>
        <v/>
      </c>
      <c r="J41" s="55" t="str">
        <f t="shared" si="2"/>
        <v/>
      </c>
      <c r="K41" s="56" t="str">
        <f t="shared" si="3"/>
        <v/>
      </c>
      <c r="L41" s="56" t="str">
        <f t="shared" si="4"/>
        <v/>
      </c>
      <c r="M41" s="56" t="str">
        <f t="shared" si="5"/>
        <v/>
      </c>
      <c r="N41" s="56" t="str">
        <f t="shared" si="6"/>
        <v/>
      </c>
      <c r="O41" s="57" t="str">
        <f t="shared" si="7"/>
        <v/>
      </c>
      <c r="P41" s="57" t="str">
        <f t="shared" si="8"/>
        <v/>
      </c>
      <c r="Q41" s="57" t="str">
        <f t="shared" si="9"/>
        <v/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96"/>
      <c r="B42" s="47"/>
      <c r="C42" s="93"/>
      <c r="D42" s="98"/>
      <c r="E42" s="98"/>
      <c r="F42" s="99"/>
      <c r="G42" s="144"/>
      <c r="H42" s="144"/>
      <c r="I42" s="104" t="str">
        <f t="shared" si="1"/>
        <v/>
      </c>
      <c r="J42" s="104" t="str">
        <f t="shared" si="2"/>
        <v/>
      </c>
      <c r="K42" s="105" t="str">
        <f t="shared" si="3"/>
        <v/>
      </c>
      <c r="L42" s="105" t="str">
        <f t="shared" si="4"/>
        <v/>
      </c>
      <c r="M42" s="105" t="str">
        <f t="shared" si="5"/>
        <v/>
      </c>
      <c r="N42" s="105" t="str">
        <f t="shared" si="6"/>
        <v/>
      </c>
      <c r="O42" s="106" t="str">
        <f t="shared" si="7"/>
        <v/>
      </c>
      <c r="P42" s="106" t="str">
        <f t="shared" si="8"/>
        <v/>
      </c>
      <c r="Q42" s="106" t="str">
        <f t="shared" si="9"/>
        <v/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96"/>
      <c r="B43" s="47"/>
      <c r="C43" s="93"/>
      <c r="D43" s="98"/>
      <c r="E43" s="98"/>
      <c r="F43" s="99"/>
      <c r="G43" s="144"/>
      <c r="H43" s="144"/>
      <c r="I43" s="104" t="str">
        <f t="shared" si="1"/>
        <v/>
      </c>
      <c r="J43" s="104" t="str">
        <f t="shared" si="2"/>
        <v/>
      </c>
      <c r="K43" s="105" t="str">
        <f t="shared" si="3"/>
        <v/>
      </c>
      <c r="L43" s="105" t="str">
        <f t="shared" si="4"/>
        <v/>
      </c>
      <c r="M43" s="105" t="str">
        <f t="shared" si="5"/>
        <v/>
      </c>
      <c r="N43" s="105" t="str">
        <f t="shared" si="6"/>
        <v/>
      </c>
      <c r="O43" s="106" t="str">
        <f t="shared" si="7"/>
        <v/>
      </c>
      <c r="P43" s="106" t="str">
        <f t="shared" si="8"/>
        <v/>
      </c>
      <c r="Q43" s="106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96"/>
      <c r="B44" s="47"/>
      <c r="C44" s="93"/>
      <c r="D44" s="98"/>
      <c r="E44" s="98"/>
      <c r="F44" s="99"/>
      <c r="G44" s="144"/>
      <c r="H44" s="144"/>
      <c r="I44" s="104" t="str">
        <f t="shared" si="1"/>
        <v/>
      </c>
      <c r="J44" s="104" t="str">
        <f t="shared" si="2"/>
        <v/>
      </c>
      <c r="K44" s="105" t="str">
        <f t="shared" si="3"/>
        <v/>
      </c>
      <c r="L44" s="105" t="str">
        <f t="shared" si="4"/>
        <v/>
      </c>
      <c r="M44" s="105" t="str">
        <f t="shared" si="5"/>
        <v/>
      </c>
      <c r="N44" s="105" t="str">
        <f t="shared" si="6"/>
        <v/>
      </c>
      <c r="O44" s="106" t="str">
        <f t="shared" si="7"/>
        <v/>
      </c>
      <c r="P44" s="106" t="str">
        <f t="shared" si="8"/>
        <v/>
      </c>
      <c r="Q44" s="106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96"/>
      <c r="B45" s="47"/>
      <c r="C45" s="93"/>
      <c r="D45" s="98"/>
      <c r="E45" s="98"/>
      <c r="F45" s="99"/>
      <c r="G45" s="144"/>
      <c r="H45" s="144"/>
      <c r="I45" s="104" t="str">
        <f t="shared" si="1"/>
        <v/>
      </c>
      <c r="J45" s="104" t="str">
        <f t="shared" si="2"/>
        <v/>
      </c>
      <c r="K45" s="105" t="str">
        <f t="shared" si="3"/>
        <v/>
      </c>
      <c r="L45" s="105" t="str">
        <f t="shared" si="4"/>
        <v/>
      </c>
      <c r="M45" s="105" t="str">
        <f t="shared" si="5"/>
        <v/>
      </c>
      <c r="N45" s="105" t="str">
        <f t="shared" si="6"/>
        <v/>
      </c>
      <c r="O45" s="106" t="str">
        <f t="shared" si="7"/>
        <v/>
      </c>
      <c r="P45" s="106" t="str">
        <f t="shared" si="8"/>
        <v/>
      </c>
      <c r="Q45" s="106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94"/>
      <c r="B46" s="47"/>
      <c r="C46" s="101"/>
      <c r="D46" s="102"/>
      <c r="E46" s="102"/>
      <c r="F46" s="103"/>
      <c r="G46" s="144"/>
      <c r="H46" s="144"/>
      <c r="I46" s="104" t="str">
        <f t="shared" si="1"/>
        <v/>
      </c>
      <c r="J46" s="104" t="str">
        <f t="shared" si="2"/>
        <v/>
      </c>
      <c r="K46" s="105" t="str">
        <f t="shared" si="3"/>
        <v/>
      </c>
      <c r="L46" s="105" t="str">
        <f t="shared" si="4"/>
        <v/>
      </c>
      <c r="M46" s="105" t="str">
        <f t="shared" si="5"/>
        <v/>
      </c>
      <c r="N46" s="105" t="str">
        <f t="shared" si="6"/>
        <v/>
      </c>
      <c r="O46" s="106" t="str">
        <f t="shared" si="7"/>
        <v/>
      </c>
      <c r="P46" s="106" t="str">
        <f t="shared" si="8"/>
        <v/>
      </c>
      <c r="Q46" s="106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94"/>
      <c r="B47" s="47"/>
      <c r="C47" s="93"/>
      <c r="D47" s="98"/>
      <c r="E47" s="98"/>
      <c r="F47" s="99"/>
      <c r="G47" s="144"/>
      <c r="H47" s="144"/>
      <c r="I47" s="55" t="str">
        <f t="shared" si="1"/>
        <v/>
      </c>
      <c r="J47" s="55" t="str">
        <f t="shared" si="2"/>
        <v/>
      </c>
      <c r="K47" s="56" t="str">
        <f t="shared" si="3"/>
        <v/>
      </c>
      <c r="L47" s="56" t="str">
        <f t="shared" si="4"/>
        <v/>
      </c>
      <c r="M47" s="56" t="str">
        <f t="shared" si="5"/>
        <v/>
      </c>
      <c r="N47" s="56" t="str">
        <f t="shared" si="6"/>
        <v/>
      </c>
      <c r="O47" s="57" t="str">
        <f t="shared" si="7"/>
        <v/>
      </c>
      <c r="P47" s="57" t="str">
        <f t="shared" si="8"/>
        <v/>
      </c>
      <c r="Q47" s="57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94"/>
      <c r="B48" s="47"/>
      <c r="C48" s="93"/>
      <c r="D48" s="98"/>
      <c r="E48" s="98"/>
      <c r="F48" s="99"/>
      <c r="G48" s="144"/>
      <c r="H48" s="144"/>
      <c r="I48" s="55" t="str">
        <f t="shared" ref="I48:I50" si="11">IF(D48=0,"",LOG($K$15*10^D48+$K$16*10^E48+$K$14))</f>
        <v/>
      </c>
      <c r="J48" s="55" t="str">
        <f t="shared" ref="J48:J50" si="12">IF(D48=0,"",LOG($K$21*10^D48+$K$22*10^E48+$K$20))</f>
        <v/>
      </c>
      <c r="K48" s="56" t="str">
        <f t="shared" ref="K48:K50" si="13">IF(D48=0,"",1/(1+10^D48*$J$15/$J$14+10^E48*$J$16/$J$14+10^J48*$J$19/$J$14))</f>
        <v/>
      </c>
      <c r="L48" s="56" t="str">
        <f t="shared" ref="L48:L50" si="14">IF(D48=0,"",1/(1+10^I48/10^J48*$J$13/$J$19))</f>
        <v/>
      </c>
      <c r="M48" s="56" t="str">
        <f t="shared" ref="M48:M92" si="15">IF(D48=0,"",1-L48)</f>
        <v/>
      </c>
      <c r="N48" s="56" t="str">
        <f t="shared" ref="N48:N50" si="16">IF(D48=0,"",1/(1/10^E48*$J$20/$J$22+10^D48/10^E48*$J$21/$J$22+10^I48/10^E48*$J$13/$J$22+1))</f>
        <v/>
      </c>
      <c r="O48" s="57" t="str">
        <f t="shared" ref="O48:O92" si="17">IF(D48=0,"",F48*K48*$J$7/$J$14)</f>
        <v/>
      </c>
      <c r="P48" s="57" t="str">
        <f t="shared" ref="P48:P50" si="18">IF(D48=0,"",O48*10^J48)</f>
        <v/>
      </c>
      <c r="Q48" s="57" t="str">
        <f t="shared" ref="Q48:Q50" si="19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94"/>
      <c r="B49" s="47"/>
      <c r="C49" s="93"/>
      <c r="D49" s="98"/>
      <c r="E49" s="98"/>
      <c r="F49" s="99"/>
      <c r="G49" s="144"/>
      <c r="H49" s="144"/>
      <c r="I49" s="55" t="str">
        <f t="shared" si="11"/>
        <v/>
      </c>
      <c r="J49" s="55" t="str">
        <f t="shared" si="12"/>
        <v/>
      </c>
      <c r="K49" s="56" t="str">
        <f t="shared" si="13"/>
        <v/>
      </c>
      <c r="L49" s="56" t="str">
        <f t="shared" si="14"/>
        <v/>
      </c>
      <c r="M49" s="56" t="str">
        <f t="shared" si="15"/>
        <v/>
      </c>
      <c r="N49" s="56" t="str">
        <f t="shared" si="16"/>
        <v/>
      </c>
      <c r="O49" s="57" t="str">
        <f t="shared" si="17"/>
        <v/>
      </c>
      <c r="P49" s="57" t="str">
        <f t="shared" si="18"/>
        <v/>
      </c>
      <c r="Q49" s="57" t="str">
        <f t="shared" si="19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94"/>
      <c r="B50" s="47"/>
      <c r="C50" s="93"/>
      <c r="D50" s="98"/>
      <c r="E50" s="98"/>
      <c r="F50" s="99"/>
      <c r="G50" s="144"/>
      <c r="H50" s="144"/>
      <c r="I50" s="55" t="str">
        <f t="shared" si="11"/>
        <v/>
      </c>
      <c r="J50" s="55" t="str">
        <f t="shared" si="12"/>
        <v/>
      </c>
      <c r="K50" s="56" t="str">
        <f t="shared" si="13"/>
        <v/>
      </c>
      <c r="L50" s="56" t="str">
        <f t="shared" si="14"/>
        <v/>
      </c>
      <c r="M50" s="56" t="str">
        <f t="shared" si="15"/>
        <v/>
      </c>
      <c r="N50" s="56" t="str">
        <f t="shared" si="16"/>
        <v/>
      </c>
      <c r="O50" s="57" t="str">
        <f t="shared" si="17"/>
        <v/>
      </c>
      <c r="P50" s="57" t="str">
        <f t="shared" si="18"/>
        <v/>
      </c>
      <c r="Q50" s="57" t="str">
        <f t="shared" si="19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94"/>
      <c r="B51" s="47"/>
      <c r="C51" s="93"/>
      <c r="D51" s="98"/>
      <c r="E51" s="98"/>
      <c r="F51" s="99"/>
      <c r="G51" s="144"/>
      <c r="H51" s="144"/>
      <c r="I51" s="55" t="str">
        <f t="shared" ref="I51:I70" si="20">IF(D51=0,"",LOG($K$15*10^D51+$K$16*10^E51+$K$14))</f>
        <v/>
      </c>
      <c r="J51" s="55" t="str">
        <f t="shared" ref="J51:J70" si="21">IF(D51=0,"",LOG($K$21*10^D51+$K$22*10^E51+$K$20))</f>
        <v/>
      </c>
      <c r="K51" s="56" t="str">
        <f t="shared" ref="K51:K70" si="22">IF(D51=0,"",1/(1+10^D51*$J$15/$J$14+10^E51*$J$16/$J$14+10^J51*$J$19/$J$14))</f>
        <v/>
      </c>
      <c r="L51" s="56" t="str">
        <f t="shared" ref="L51:L70" si="23">IF(D51=0,"",1/(1+10^I51/10^J51*$J$13/$J$19))</f>
        <v/>
      </c>
      <c r="M51" s="56" t="str">
        <f t="shared" ref="M51:M70" si="24">IF(D51=0,"",1-L51)</f>
        <v/>
      </c>
      <c r="N51" s="56" t="str">
        <f t="shared" ref="N51:N70" si="25">IF(D51=0,"",1/(1/10^E51*$J$20/$J$22+10^D51/10^E51*$J$21/$J$22+10^I51/10^E51*$J$13/$J$22+1))</f>
        <v/>
      </c>
      <c r="O51" s="57" t="str">
        <f t="shared" ref="O51:O70" si="26">IF(D51=0,"",F51*K51*$J$7/$J$14)</f>
        <v/>
      </c>
      <c r="P51" s="57" t="str">
        <f t="shared" ref="P51:P70" si="27">IF(D51=0,"",O51*10^J51)</f>
        <v/>
      </c>
      <c r="Q51" s="57" t="str">
        <f t="shared" ref="Q51:Q70" si="28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>
      <c r="A52" s="7"/>
      <c r="B52" s="47"/>
      <c r="C52" s="47"/>
      <c r="D52" s="48"/>
      <c r="E52" s="48"/>
      <c r="F52" s="58"/>
      <c r="G52" s="144"/>
      <c r="H52" s="144"/>
      <c r="I52" s="55" t="str">
        <f t="shared" si="20"/>
        <v/>
      </c>
      <c r="J52" s="55" t="str">
        <f t="shared" si="21"/>
        <v/>
      </c>
      <c r="K52" s="56" t="str">
        <f t="shared" si="22"/>
        <v/>
      </c>
      <c r="L52" s="56" t="str">
        <f t="shared" si="23"/>
        <v/>
      </c>
      <c r="M52" s="56" t="str">
        <f t="shared" si="24"/>
        <v/>
      </c>
      <c r="N52" s="56" t="str">
        <f t="shared" si="25"/>
        <v/>
      </c>
      <c r="O52" s="57" t="str">
        <f t="shared" si="26"/>
        <v/>
      </c>
      <c r="P52" s="57" t="str">
        <f t="shared" si="27"/>
        <v/>
      </c>
      <c r="Q52" s="57" t="str">
        <f t="shared" si="28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>
      <c r="A53" s="7"/>
      <c r="B53" s="47"/>
      <c r="C53" s="47"/>
      <c r="D53" s="48"/>
      <c r="E53" s="48"/>
      <c r="F53" s="58"/>
      <c r="G53" s="144"/>
      <c r="H53" s="144"/>
      <c r="I53" s="55" t="str">
        <f t="shared" si="20"/>
        <v/>
      </c>
      <c r="J53" s="55" t="str">
        <f t="shared" si="21"/>
        <v/>
      </c>
      <c r="K53" s="56" t="str">
        <f t="shared" si="22"/>
        <v/>
      </c>
      <c r="L53" s="56" t="str">
        <f t="shared" si="23"/>
        <v/>
      </c>
      <c r="M53" s="56" t="str">
        <f t="shared" si="24"/>
        <v/>
      </c>
      <c r="N53" s="56" t="str">
        <f t="shared" si="25"/>
        <v/>
      </c>
      <c r="O53" s="57" t="str">
        <f t="shared" si="26"/>
        <v/>
      </c>
      <c r="P53" s="57" t="str">
        <f t="shared" si="27"/>
        <v/>
      </c>
      <c r="Q53" s="57" t="str">
        <f t="shared" si="28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>
      <c r="A54" s="7"/>
      <c r="B54" s="47"/>
      <c r="C54" s="47"/>
      <c r="D54" s="48"/>
      <c r="E54" s="48"/>
      <c r="F54" s="58"/>
      <c r="G54" s="144"/>
      <c r="H54" s="144"/>
      <c r="I54" s="55" t="str">
        <f t="shared" si="20"/>
        <v/>
      </c>
      <c r="J54" s="55" t="str">
        <f t="shared" si="21"/>
        <v/>
      </c>
      <c r="K54" s="56" t="str">
        <f t="shared" si="22"/>
        <v/>
      </c>
      <c r="L54" s="56" t="str">
        <f t="shared" si="23"/>
        <v/>
      </c>
      <c r="M54" s="56" t="str">
        <f t="shared" si="24"/>
        <v/>
      </c>
      <c r="N54" s="56" t="str">
        <f t="shared" si="25"/>
        <v/>
      </c>
      <c r="O54" s="57" t="str">
        <f t="shared" si="26"/>
        <v/>
      </c>
      <c r="P54" s="57" t="str">
        <f t="shared" si="27"/>
        <v/>
      </c>
      <c r="Q54" s="57" t="str">
        <f t="shared" si="28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>
      <c r="A55" s="7"/>
      <c r="B55" s="47"/>
      <c r="C55" s="47"/>
      <c r="D55" s="48"/>
      <c r="E55" s="48"/>
      <c r="F55" s="58"/>
      <c r="G55" s="144"/>
      <c r="H55" s="144"/>
      <c r="I55" s="55" t="str">
        <f t="shared" si="20"/>
        <v/>
      </c>
      <c r="J55" s="55" t="str">
        <f t="shared" si="21"/>
        <v/>
      </c>
      <c r="K55" s="56" t="str">
        <f t="shared" si="22"/>
        <v/>
      </c>
      <c r="L55" s="56" t="str">
        <f t="shared" si="23"/>
        <v/>
      </c>
      <c r="M55" s="56" t="str">
        <f t="shared" si="24"/>
        <v/>
      </c>
      <c r="N55" s="56" t="str">
        <f t="shared" si="25"/>
        <v/>
      </c>
      <c r="O55" s="57" t="str">
        <f t="shared" si="26"/>
        <v/>
      </c>
      <c r="P55" s="57" t="str">
        <f t="shared" si="27"/>
        <v/>
      </c>
      <c r="Q55" s="57" t="str">
        <f t="shared" si="28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>
      <c r="A56" s="7"/>
      <c r="B56" s="47"/>
      <c r="C56" s="47"/>
      <c r="D56" s="48"/>
      <c r="E56" s="48"/>
      <c r="F56" s="58"/>
      <c r="G56" s="144"/>
      <c r="H56" s="144"/>
      <c r="I56" s="55" t="str">
        <f t="shared" si="20"/>
        <v/>
      </c>
      <c r="J56" s="55" t="str">
        <f t="shared" si="21"/>
        <v/>
      </c>
      <c r="K56" s="56" t="str">
        <f t="shared" si="22"/>
        <v/>
      </c>
      <c r="L56" s="56" t="str">
        <f t="shared" si="23"/>
        <v/>
      </c>
      <c r="M56" s="56" t="str">
        <f t="shared" si="24"/>
        <v/>
      </c>
      <c r="N56" s="56" t="str">
        <f t="shared" si="25"/>
        <v/>
      </c>
      <c r="O56" s="57" t="str">
        <f t="shared" si="26"/>
        <v/>
      </c>
      <c r="P56" s="57" t="str">
        <f t="shared" si="27"/>
        <v/>
      </c>
      <c r="Q56" s="57" t="str">
        <f t="shared" si="28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>
      <c r="A57" s="7"/>
      <c r="B57" s="92"/>
      <c r="C57" s="92"/>
      <c r="D57" s="98"/>
      <c r="E57" s="98"/>
      <c r="F57" s="99"/>
      <c r="G57" s="144"/>
      <c r="H57" s="144"/>
      <c r="I57" s="55" t="str">
        <f t="shared" si="20"/>
        <v/>
      </c>
      <c r="J57" s="55" t="str">
        <f t="shared" si="21"/>
        <v/>
      </c>
      <c r="K57" s="56" t="str">
        <f t="shared" si="22"/>
        <v/>
      </c>
      <c r="L57" s="56" t="str">
        <f t="shared" si="23"/>
        <v/>
      </c>
      <c r="M57" s="56" t="str">
        <f t="shared" si="24"/>
        <v/>
      </c>
      <c r="N57" s="56" t="str">
        <f t="shared" si="25"/>
        <v/>
      </c>
      <c r="O57" s="57" t="str">
        <f t="shared" si="26"/>
        <v/>
      </c>
      <c r="P57" s="57" t="str">
        <f t="shared" si="27"/>
        <v/>
      </c>
      <c r="Q57" s="57" t="str">
        <f t="shared" si="28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>
      <c r="A58" s="7"/>
      <c r="B58" s="47"/>
      <c r="C58" s="47"/>
      <c r="D58" s="48"/>
      <c r="E58" s="48"/>
      <c r="F58" s="58"/>
      <c r="G58" s="144"/>
      <c r="H58" s="144"/>
      <c r="I58" s="55" t="str">
        <f t="shared" si="20"/>
        <v/>
      </c>
      <c r="J58" s="55" t="str">
        <f t="shared" si="21"/>
        <v/>
      </c>
      <c r="K58" s="56" t="str">
        <f t="shared" si="22"/>
        <v/>
      </c>
      <c r="L58" s="56" t="str">
        <f t="shared" si="23"/>
        <v/>
      </c>
      <c r="M58" s="56" t="str">
        <f t="shared" si="24"/>
        <v/>
      </c>
      <c r="N58" s="56" t="str">
        <f t="shared" si="25"/>
        <v/>
      </c>
      <c r="O58" s="57" t="str">
        <f t="shared" si="26"/>
        <v/>
      </c>
      <c r="P58" s="57" t="str">
        <f t="shared" si="27"/>
        <v/>
      </c>
      <c r="Q58" s="57" t="str">
        <f t="shared" si="28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>
      <c r="A59" s="7"/>
      <c r="B59" s="47"/>
      <c r="C59" s="47"/>
      <c r="D59" s="48"/>
      <c r="E59" s="48"/>
      <c r="F59" s="58"/>
      <c r="G59" s="144"/>
      <c r="H59" s="144"/>
      <c r="I59" s="55" t="str">
        <f t="shared" si="20"/>
        <v/>
      </c>
      <c r="J59" s="55" t="str">
        <f t="shared" si="21"/>
        <v/>
      </c>
      <c r="K59" s="56" t="str">
        <f t="shared" si="22"/>
        <v/>
      </c>
      <c r="L59" s="56" t="str">
        <f t="shared" si="23"/>
        <v/>
      </c>
      <c r="M59" s="56" t="str">
        <f t="shared" si="24"/>
        <v/>
      </c>
      <c r="N59" s="56" t="str">
        <f t="shared" si="25"/>
        <v/>
      </c>
      <c r="O59" s="57" t="str">
        <f t="shared" si="26"/>
        <v/>
      </c>
      <c r="P59" s="57" t="str">
        <f t="shared" si="27"/>
        <v/>
      </c>
      <c r="Q59" s="57" t="str">
        <f t="shared" si="28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>
      <c r="A60" s="7"/>
      <c r="B60" s="47"/>
      <c r="C60" s="47"/>
      <c r="D60" s="48"/>
      <c r="E60" s="48"/>
      <c r="F60" s="58"/>
      <c r="G60" s="144"/>
      <c r="H60" s="144"/>
      <c r="I60" s="55" t="str">
        <f t="shared" si="20"/>
        <v/>
      </c>
      <c r="J60" s="55" t="str">
        <f t="shared" si="21"/>
        <v/>
      </c>
      <c r="K60" s="56" t="str">
        <f t="shared" si="22"/>
        <v/>
      </c>
      <c r="L60" s="56" t="str">
        <f t="shared" si="23"/>
        <v/>
      </c>
      <c r="M60" s="56" t="str">
        <f t="shared" si="24"/>
        <v/>
      </c>
      <c r="N60" s="56" t="str">
        <f t="shared" si="25"/>
        <v/>
      </c>
      <c r="O60" s="57" t="str">
        <f t="shared" si="26"/>
        <v/>
      </c>
      <c r="P60" s="57" t="str">
        <f t="shared" si="27"/>
        <v/>
      </c>
      <c r="Q60" s="57" t="str">
        <f t="shared" si="28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>
      <c r="A61" s="7"/>
      <c r="B61" s="47"/>
      <c r="C61" s="47"/>
      <c r="D61" s="48"/>
      <c r="E61" s="48"/>
      <c r="F61" s="58"/>
      <c r="G61" s="144"/>
      <c r="H61" s="144"/>
      <c r="I61" s="55" t="str">
        <f t="shared" si="20"/>
        <v/>
      </c>
      <c r="J61" s="55" t="str">
        <f t="shared" si="21"/>
        <v/>
      </c>
      <c r="K61" s="56" t="str">
        <f t="shared" si="22"/>
        <v/>
      </c>
      <c r="L61" s="56" t="str">
        <f t="shared" si="23"/>
        <v/>
      </c>
      <c r="M61" s="56" t="str">
        <f t="shared" si="24"/>
        <v/>
      </c>
      <c r="N61" s="56" t="str">
        <f t="shared" si="25"/>
        <v/>
      </c>
      <c r="O61" s="57" t="str">
        <f t="shared" si="26"/>
        <v/>
      </c>
      <c r="P61" s="57" t="str">
        <f t="shared" si="27"/>
        <v/>
      </c>
      <c r="Q61" s="57" t="str">
        <f t="shared" si="28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>
      <c r="A62" s="7"/>
      <c r="B62" s="47"/>
      <c r="C62" s="47"/>
      <c r="D62" s="48"/>
      <c r="E62" s="48"/>
      <c r="F62" s="58"/>
      <c r="G62" s="144"/>
      <c r="H62" s="144"/>
      <c r="I62" s="55" t="str">
        <f t="shared" si="20"/>
        <v/>
      </c>
      <c r="J62" s="55" t="str">
        <f t="shared" si="21"/>
        <v/>
      </c>
      <c r="K62" s="56" t="str">
        <f t="shared" si="22"/>
        <v/>
      </c>
      <c r="L62" s="56" t="str">
        <f t="shared" si="23"/>
        <v/>
      </c>
      <c r="M62" s="56" t="str">
        <f t="shared" si="24"/>
        <v/>
      </c>
      <c r="N62" s="56" t="str">
        <f t="shared" si="25"/>
        <v/>
      </c>
      <c r="O62" s="57" t="str">
        <f t="shared" si="26"/>
        <v/>
      </c>
      <c r="P62" s="57" t="str">
        <f t="shared" si="27"/>
        <v/>
      </c>
      <c r="Q62" s="57" t="str">
        <f t="shared" si="28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>
      <c r="A63" s="7"/>
      <c r="B63" s="47"/>
      <c r="C63" s="47"/>
      <c r="D63" s="48"/>
      <c r="E63" s="48"/>
      <c r="F63" s="58"/>
      <c r="G63" s="144"/>
      <c r="H63" s="144"/>
      <c r="I63" s="55" t="str">
        <f t="shared" si="20"/>
        <v/>
      </c>
      <c r="J63" s="55" t="str">
        <f t="shared" si="21"/>
        <v/>
      </c>
      <c r="K63" s="56" t="str">
        <f t="shared" si="22"/>
        <v/>
      </c>
      <c r="L63" s="56" t="str">
        <f t="shared" si="23"/>
        <v/>
      </c>
      <c r="M63" s="56" t="str">
        <f t="shared" si="24"/>
        <v/>
      </c>
      <c r="N63" s="56" t="str">
        <f t="shared" si="25"/>
        <v/>
      </c>
      <c r="O63" s="57" t="str">
        <f t="shared" si="26"/>
        <v/>
      </c>
      <c r="P63" s="57" t="str">
        <f t="shared" si="27"/>
        <v/>
      </c>
      <c r="Q63" s="57" t="str">
        <f t="shared" si="28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>
      <c r="A64" s="7"/>
      <c r="B64" s="47"/>
      <c r="C64" s="47"/>
      <c r="D64" s="48"/>
      <c r="E64" s="48"/>
      <c r="F64" s="58"/>
      <c r="G64" s="144"/>
      <c r="H64" s="144"/>
      <c r="I64" s="55" t="str">
        <f t="shared" si="20"/>
        <v/>
      </c>
      <c r="J64" s="55" t="str">
        <f t="shared" si="21"/>
        <v/>
      </c>
      <c r="K64" s="56" t="str">
        <f t="shared" si="22"/>
        <v/>
      </c>
      <c r="L64" s="56" t="str">
        <f t="shared" si="23"/>
        <v/>
      </c>
      <c r="M64" s="56" t="str">
        <f t="shared" si="24"/>
        <v/>
      </c>
      <c r="N64" s="56" t="str">
        <f t="shared" si="25"/>
        <v/>
      </c>
      <c r="O64" s="57" t="str">
        <f t="shared" si="26"/>
        <v/>
      </c>
      <c r="P64" s="57" t="str">
        <f t="shared" si="27"/>
        <v/>
      </c>
      <c r="Q64" s="57" t="str">
        <f t="shared" si="28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>
      <c r="A65" s="7"/>
      <c r="B65" s="47"/>
      <c r="C65" s="47"/>
      <c r="D65" s="48"/>
      <c r="E65" s="48"/>
      <c r="F65" s="58"/>
      <c r="G65" s="144"/>
      <c r="H65" s="144"/>
      <c r="I65" s="55" t="str">
        <f t="shared" si="20"/>
        <v/>
      </c>
      <c r="J65" s="55" t="str">
        <f t="shared" si="21"/>
        <v/>
      </c>
      <c r="K65" s="56" t="str">
        <f t="shared" si="22"/>
        <v/>
      </c>
      <c r="L65" s="56" t="str">
        <f t="shared" si="23"/>
        <v/>
      </c>
      <c r="M65" s="56" t="str">
        <f t="shared" si="24"/>
        <v/>
      </c>
      <c r="N65" s="56" t="str">
        <f t="shared" si="25"/>
        <v/>
      </c>
      <c r="O65" s="57" t="str">
        <f t="shared" si="26"/>
        <v/>
      </c>
      <c r="P65" s="57" t="str">
        <f t="shared" si="27"/>
        <v/>
      </c>
      <c r="Q65" s="57" t="str">
        <f t="shared" si="28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>
      <c r="A66" s="7"/>
      <c r="B66" s="47"/>
      <c r="C66" s="47"/>
      <c r="D66" s="48"/>
      <c r="E66" s="48"/>
      <c r="F66" s="58"/>
      <c r="G66" s="144"/>
      <c r="H66" s="144"/>
      <c r="I66" s="55" t="str">
        <f t="shared" si="20"/>
        <v/>
      </c>
      <c r="J66" s="55" t="str">
        <f t="shared" si="21"/>
        <v/>
      </c>
      <c r="K66" s="56" t="str">
        <f t="shared" si="22"/>
        <v/>
      </c>
      <c r="L66" s="56" t="str">
        <f t="shared" si="23"/>
        <v/>
      </c>
      <c r="M66" s="56" t="str">
        <f t="shared" si="24"/>
        <v/>
      </c>
      <c r="N66" s="56" t="str">
        <f t="shared" si="25"/>
        <v/>
      </c>
      <c r="O66" s="57" t="str">
        <f t="shared" si="26"/>
        <v/>
      </c>
      <c r="P66" s="57" t="str">
        <f t="shared" si="27"/>
        <v/>
      </c>
      <c r="Q66" s="57" t="str">
        <f t="shared" si="28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>
      <c r="A67" s="7"/>
      <c r="B67" s="47"/>
      <c r="C67" s="47"/>
      <c r="D67" s="48"/>
      <c r="E67" s="48"/>
      <c r="F67" s="58"/>
      <c r="G67" s="144"/>
      <c r="H67" s="144"/>
      <c r="I67" s="55" t="str">
        <f t="shared" si="20"/>
        <v/>
      </c>
      <c r="J67" s="55" t="str">
        <f t="shared" si="21"/>
        <v/>
      </c>
      <c r="K67" s="56" t="str">
        <f t="shared" si="22"/>
        <v/>
      </c>
      <c r="L67" s="56" t="str">
        <f t="shared" si="23"/>
        <v/>
      </c>
      <c r="M67" s="56" t="str">
        <f t="shared" si="24"/>
        <v/>
      </c>
      <c r="N67" s="56" t="str">
        <f t="shared" si="25"/>
        <v/>
      </c>
      <c r="O67" s="57" t="str">
        <f t="shared" si="26"/>
        <v/>
      </c>
      <c r="P67" s="57" t="str">
        <f t="shared" si="27"/>
        <v/>
      </c>
      <c r="Q67" s="57" t="str">
        <f t="shared" si="28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>
      <c r="A68" s="7"/>
      <c r="B68" s="47"/>
      <c r="C68" s="47"/>
      <c r="D68" s="48"/>
      <c r="E68" s="48"/>
      <c r="F68" s="58"/>
      <c r="G68" s="144"/>
      <c r="H68" s="144"/>
      <c r="I68" s="55" t="str">
        <f t="shared" si="20"/>
        <v/>
      </c>
      <c r="J68" s="55" t="str">
        <f t="shared" si="21"/>
        <v/>
      </c>
      <c r="K68" s="56" t="str">
        <f t="shared" si="22"/>
        <v/>
      </c>
      <c r="L68" s="56" t="str">
        <f t="shared" si="23"/>
        <v/>
      </c>
      <c r="M68" s="56" t="str">
        <f t="shared" si="24"/>
        <v/>
      </c>
      <c r="N68" s="56" t="str">
        <f t="shared" si="25"/>
        <v/>
      </c>
      <c r="O68" s="57" t="str">
        <f t="shared" si="26"/>
        <v/>
      </c>
      <c r="P68" s="57" t="str">
        <f t="shared" si="27"/>
        <v/>
      </c>
      <c r="Q68" s="57" t="str">
        <f t="shared" si="28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>
      <c r="A69" s="7"/>
      <c r="B69" s="47"/>
      <c r="C69" s="47"/>
      <c r="D69" s="48"/>
      <c r="E69" s="48"/>
      <c r="F69" s="58"/>
      <c r="G69" s="144"/>
      <c r="H69" s="144"/>
      <c r="I69" s="55" t="str">
        <f t="shared" si="20"/>
        <v/>
      </c>
      <c r="J69" s="55" t="str">
        <f t="shared" si="21"/>
        <v/>
      </c>
      <c r="K69" s="56" t="str">
        <f t="shared" si="22"/>
        <v/>
      </c>
      <c r="L69" s="56" t="str">
        <f t="shared" si="23"/>
        <v/>
      </c>
      <c r="M69" s="56" t="str">
        <f t="shared" si="24"/>
        <v/>
      </c>
      <c r="N69" s="56" t="str">
        <f t="shared" si="25"/>
        <v/>
      </c>
      <c r="O69" s="57" t="str">
        <f t="shared" si="26"/>
        <v/>
      </c>
      <c r="P69" s="57" t="str">
        <f t="shared" si="27"/>
        <v/>
      </c>
      <c r="Q69" s="57" t="str">
        <f t="shared" si="28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>
      <c r="A70" s="7"/>
      <c r="B70" s="47"/>
      <c r="C70" s="47"/>
      <c r="D70" s="48"/>
      <c r="E70" s="48"/>
      <c r="F70" s="58"/>
      <c r="G70" s="144"/>
      <c r="H70" s="144"/>
      <c r="I70" s="55" t="str">
        <f t="shared" si="20"/>
        <v/>
      </c>
      <c r="J70" s="55" t="str">
        <f t="shared" si="21"/>
        <v/>
      </c>
      <c r="K70" s="56" t="str">
        <f t="shared" si="22"/>
        <v/>
      </c>
      <c r="L70" s="56" t="str">
        <f t="shared" si="23"/>
        <v/>
      </c>
      <c r="M70" s="56" t="str">
        <f t="shared" si="24"/>
        <v/>
      </c>
      <c r="N70" s="56" t="str">
        <f t="shared" si="25"/>
        <v/>
      </c>
      <c r="O70" s="57" t="str">
        <f t="shared" si="26"/>
        <v/>
      </c>
      <c r="P70" s="57" t="str">
        <f t="shared" si="27"/>
        <v/>
      </c>
      <c r="Q70" s="57" t="str">
        <f t="shared" si="28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>
      <c r="A71" s="7"/>
      <c r="B71" s="47"/>
      <c r="C71" s="47"/>
      <c r="D71" s="48"/>
      <c r="E71" s="48"/>
      <c r="F71" s="58"/>
      <c r="G71" s="144"/>
      <c r="H71" s="144"/>
      <c r="I71" s="55" t="str">
        <f t="shared" ref="I71:I122" si="29">IF(D71=0,"",LOG($K$15*10^D71+$K$16*10^E71+$K$14))</f>
        <v/>
      </c>
      <c r="J71" s="55" t="str">
        <f t="shared" ref="J71:J122" si="30">IF(D71=0,"",LOG($K$21*10^D71+$K$22*10^E71+$K$20))</f>
        <v/>
      </c>
      <c r="K71" s="56" t="str">
        <f t="shared" ref="K71:K122" si="31">IF(D71=0,"",1/(1+10^D71*$J$15/$J$14+10^E71*$J$16/$J$14+10^J71*$J$19/$J$14))</f>
        <v/>
      </c>
      <c r="L71" s="56" t="str">
        <f t="shared" ref="L71:L122" si="32">IF(D71=0,"",1/(1+10^I71/10^J71*$J$13/$J$19))</f>
        <v/>
      </c>
      <c r="M71" s="56" t="str">
        <f t="shared" si="15"/>
        <v/>
      </c>
      <c r="N71" s="56" t="str">
        <f t="shared" ref="N71:N122" si="33">IF(D71=0,"",1/(1/10^E71*$J$20/$J$22+10^D71/10^E71*$J$21/$J$22+10^I71/10^E71*$J$13/$J$22+1))</f>
        <v/>
      </c>
      <c r="O71" s="57" t="str">
        <f t="shared" si="17"/>
        <v/>
      </c>
      <c r="P71" s="57" t="str">
        <f t="shared" ref="P71:P122" si="34">IF(D71=0,"",O71*10^J71)</f>
        <v/>
      </c>
      <c r="Q71" s="57" t="str">
        <f t="shared" ref="Q71:Q122" si="35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>
      <c r="A72" s="7"/>
      <c r="B72" s="47"/>
      <c r="C72" s="47"/>
      <c r="D72" s="48"/>
      <c r="E72" s="48"/>
      <c r="F72" s="58"/>
      <c r="G72" s="144"/>
      <c r="H72" s="144"/>
      <c r="I72" s="55" t="str">
        <f t="shared" si="29"/>
        <v/>
      </c>
      <c r="J72" s="55" t="str">
        <f t="shared" si="30"/>
        <v/>
      </c>
      <c r="K72" s="56" t="str">
        <f t="shared" si="31"/>
        <v/>
      </c>
      <c r="L72" s="56" t="str">
        <f t="shared" si="32"/>
        <v/>
      </c>
      <c r="M72" s="56" t="str">
        <f t="shared" si="15"/>
        <v/>
      </c>
      <c r="N72" s="56" t="str">
        <f t="shared" si="33"/>
        <v/>
      </c>
      <c r="O72" s="57" t="str">
        <f t="shared" si="17"/>
        <v/>
      </c>
      <c r="P72" s="57" t="str">
        <f t="shared" si="34"/>
        <v/>
      </c>
      <c r="Q72" s="57" t="str">
        <f t="shared" si="35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>
      <c r="A73" s="7"/>
      <c r="B73" s="47"/>
      <c r="C73" s="47"/>
      <c r="D73" s="48"/>
      <c r="E73" s="48"/>
      <c r="F73" s="58"/>
      <c r="G73" s="144"/>
      <c r="H73" s="144"/>
      <c r="I73" s="55" t="str">
        <f t="shared" si="29"/>
        <v/>
      </c>
      <c r="J73" s="55" t="str">
        <f t="shared" si="30"/>
        <v/>
      </c>
      <c r="K73" s="56" t="str">
        <f t="shared" si="31"/>
        <v/>
      </c>
      <c r="L73" s="56" t="str">
        <f t="shared" si="32"/>
        <v/>
      </c>
      <c r="M73" s="56" t="str">
        <f t="shared" si="15"/>
        <v/>
      </c>
      <c r="N73" s="56" t="str">
        <f t="shared" si="33"/>
        <v/>
      </c>
      <c r="O73" s="57" t="str">
        <f t="shared" si="17"/>
        <v/>
      </c>
      <c r="P73" s="57" t="str">
        <f t="shared" si="34"/>
        <v/>
      </c>
      <c r="Q73" s="57" t="str">
        <f t="shared" si="35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>
      <c r="A74" s="7"/>
      <c r="B74" s="47"/>
      <c r="C74" s="47"/>
      <c r="D74" s="48"/>
      <c r="E74" s="48"/>
      <c r="F74" s="58"/>
      <c r="G74" s="144"/>
      <c r="H74" s="144"/>
      <c r="I74" s="55" t="str">
        <f t="shared" si="29"/>
        <v/>
      </c>
      <c r="J74" s="55" t="str">
        <f t="shared" si="30"/>
        <v/>
      </c>
      <c r="K74" s="56" t="str">
        <f t="shared" si="31"/>
        <v/>
      </c>
      <c r="L74" s="56" t="str">
        <f t="shared" si="32"/>
        <v/>
      </c>
      <c r="M74" s="56" t="str">
        <f t="shared" si="15"/>
        <v/>
      </c>
      <c r="N74" s="56" t="str">
        <f t="shared" si="33"/>
        <v/>
      </c>
      <c r="O74" s="57" t="str">
        <f t="shared" si="17"/>
        <v/>
      </c>
      <c r="P74" s="57" t="str">
        <f t="shared" si="34"/>
        <v/>
      </c>
      <c r="Q74" s="57" t="str">
        <f t="shared" si="35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>
      <c r="A75" s="7"/>
      <c r="B75" s="47"/>
      <c r="C75" s="47"/>
      <c r="D75" s="48"/>
      <c r="E75" s="48"/>
      <c r="F75" s="58"/>
      <c r="G75" s="144"/>
      <c r="H75" s="144"/>
      <c r="I75" s="55" t="str">
        <f t="shared" si="29"/>
        <v/>
      </c>
      <c r="J75" s="55" t="str">
        <f t="shared" si="30"/>
        <v/>
      </c>
      <c r="K75" s="56" t="str">
        <f t="shared" si="31"/>
        <v/>
      </c>
      <c r="L75" s="56" t="str">
        <f t="shared" si="32"/>
        <v/>
      </c>
      <c r="M75" s="56" t="str">
        <f t="shared" si="15"/>
        <v/>
      </c>
      <c r="N75" s="56" t="str">
        <f t="shared" si="33"/>
        <v/>
      </c>
      <c r="O75" s="57" t="str">
        <f t="shared" si="17"/>
        <v/>
      </c>
      <c r="P75" s="57" t="str">
        <f t="shared" si="34"/>
        <v/>
      </c>
      <c r="Q75" s="57" t="str">
        <f t="shared" si="35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>
      <c r="A76" s="7"/>
      <c r="B76" s="47"/>
      <c r="C76" s="47"/>
      <c r="D76" s="48"/>
      <c r="E76" s="48"/>
      <c r="F76" s="58"/>
      <c r="G76" s="144"/>
      <c r="H76" s="144"/>
      <c r="I76" s="55" t="str">
        <f t="shared" si="29"/>
        <v/>
      </c>
      <c r="J76" s="55" t="str">
        <f t="shared" si="30"/>
        <v/>
      </c>
      <c r="K76" s="56" t="str">
        <f t="shared" si="31"/>
        <v/>
      </c>
      <c r="L76" s="56" t="str">
        <f t="shared" si="32"/>
        <v/>
      </c>
      <c r="M76" s="56" t="str">
        <f t="shared" si="15"/>
        <v/>
      </c>
      <c r="N76" s="56" t="str">
        <f t="shared" si="33"/>
        <v/>
      </c>
      <c r="O76" s="57" t="str">
        <f t="shared" si="17"/>
        <v/>
      </c>
      <c r="P76" s="57" t="str">
        <f t="shared" si="34"/>
        <v/>
      </c>
      <c r="Q76" s="57" t="str">
        <f t="shared" si="35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>
      <c r="A77" s="7"/>
      <c r="B77" s="47"/>
      <c r="C77" s="47"/>
      <c r="D77" s="48"/>
      <c r="E77" s="48"/>
      <c r="F77" s="58"/>
      <c r="G77" s="144"/>
      <c r="H77" s="144"/>
      <c r="I77" s="55" t="str">
        <f t="shared" si="29"/>
        <v/>
      </c>
      <c r="J77" s="55" t="str">
        <f t="shared" si="30"/>
        <v/>
      </c>
      <c r="K77" s="56" t="str">
        <f t="shared" si="31"/>
        <v/>
      </c>
      <c r="L77" s="56" t="str">
        <f t="shared" si="32"/>
        <v/>
      </c>
      <c r="M77" s="56" t="str">
        <f t="shared" si="15"/>
        <v/>
      </c>
      <c r="N77" s="56" t="str">
        <f t="shared" si="33"/>
        <v/>
      </c>
      <c r="O77" s="57" t="str">
        <f t="shared" si="17"/>
        <v/>
      </c>
      <c r="P77" s="57" t="str">
        <f t="shared" si="34"/>
        <v/>
      </c>
      <c r="Q77" s="57" t="str">
        <f t="shared" si="35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>
      <c r="A78" s="7"/>
      <c r="B78" s="47"/>
      <c r="C78" s="47"/>
      <c r="D78" s="48"/>
      <c r="E78" s="48"/>
      <c r="F78" s="58"/>
      <c r="G78" s="7"/>
      <c r="H78" s="7"/>
      <c r="I78" s="55" t="str">
        <f t="shared" si="29"/>
        <v/>
      </c>
      <c r="J78" s="55" t="str">
        <f t="shared" si="30"/>
        <v/>
      </c>
      <c r="K78" s="56" t="str">
        <f t="shared" si="31"/>
        <v/>
      </c>
      <c r="L78" s="56" t="str">
        <f t="shared" si="32"/>
        <v/>
      </c>
      <c r="M78" s="56" t="str">
        <f t="shared" si="15"/>
        <v/>
      </c>
      <c r="N78" s="56" t="str">
        <f t="shared" si="33"/>
        <v/>
      </c>
      <c r="O78" s="57" t="str">
        <f t="shared" si="17"/>
        <v/>
      </c>
      <c r="P78" s="57" t="str">
        <f t="shared" si="34"/>
        <v/>
      </c>
      <c r="Q78" s="57" t="str">
        <f t="shared" si="35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>
      <c r="A79" s="7"/>
      <c r="B79" s="47"/>
      <c r="C79" s="47"/>
      <c r="D79" s="48"/>
      <c r="E79" s="48"/>
      <c r="F79" s="58"/>
      <c r="G79" s="7"/>
      <c r="H79" s="7"/>
      <c r="I79" s="55" t="str">
        <f t="shared" si="29"/>
        <v/>
      </c>
      <c r="J79" s="55" t="str">
        <f t="shared" si="30"/>
        <v/>
      </c>
      <c r="K79" s="56" t="str">
        <f t="shared" si="31"/>
        <v/>
      </c>
      <c r="L79" s="56" t="str">
        <f t="shared" si="32"/>
        <v/>
      </c>
      <c r="M79" s="56" t="str">
        <f t="shared" si="15"/>
        <v/>
      </c>
      <c r="N79" s="56" t="str">
        <f t="shared" si="33"/>
        <v/>
      </c>
      <c r="O79" s="57" t="str">
        <f t="shared" si="17"/>
        <v/>
      </c>
      <c r="P79" s="57" t="str">
        <f t="shared" si="34"/>
        <v/>
      </c>
      <c r="Q79" s="57" t="str">
        <f t="shared" si="35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>
      <c r="A80" s="7"/>
      <c r="B80" s="47"/>
      <c r="C80" s="47"/>
      <c r="D80" s="48"/>
      <c r="E80" s="48"/>
      <c r="F80" s="58"/>
      <c r="G80" s="7"/>
      <c r="H80" s="7"/>
      <c r="I80" s="55" t="str">
        <f t="shared" si="29"/>
        <v/>
      </c>
      <c r="J80" s="55" t="str">
        <f t="shared" si="30"/>
        <v/>
      </c>
      <c r="K80" s="56" t="str">
        <f t="shared" si="31"/>
        <v/>
      </c>
      <c r="L80" s="56" t="str">
        <f t="shared" si="32"/>
        <v/>
      </c>
      <c r="M80" s="56" t="str">
        <f t="shared" si="15"/>
        <v/>
      </c>
      <c r="N80" s="56" t="str">
        <f t="shared" si="33"/>
        <v/>
      </c>
      <c r="O80" s="57" t="str">
        <f t="shared" si="17"/>
        <v/>
      </c>
      <c r="P80" s="57" t="str">
        <f t="shared" si="34"/>
        <v/>
      </c>
      <c r="Q80" s="57" t="str">
        <f t="shared" si="35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>
      <c r="A81" s="7"/>
      <c r="B81" s="47"/>
      <c r="C81" s="47"/>
      <c r="D81" s="48"/>
      <c r="E81" s="48"/>
      <c r="F81" s="58"/>
      <c r="G81" s="7"/>
      <c r="H81" s="7"/>
      <c r="I81" s="55" t="str">
        <f t="shared" si="29"/>
        <v/>
      </c>
      <c r="J81" s="55" t="str">
        <f t="shared" si="30"/>
        <v/>
      </c>
      <c r="K81" s="56" t="str">
        <f t="shared" si="31"/>
        <v/>
      </c>
      <c r="L81" s="56" t="str">
        <f t="shared" si="32"/>
        <v/>
      </c>
      <c r="M81" s="56" t="str">
        <f t="shared" si="15"/>
        <v/>
      </c>
      <c r="N81" s="56" t="str">
        <f t="shared" si="33"/>
        <v/>
      </c>
      <c r="O81" s="57" t="str">
        <f t="shared" si="17"/>
        <v/>
      </c>
      <c r="P81" s="57" t="str">
        <f t="shared" si="34"/>
        <v/>
      </c>
      <c r="Q81" s="57" t="str">
        <f t="shared" si="35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>
      <c r="A82" s="7"/>
      <c r="B82" s="47"/>
      <c r="C82" s="47"/>
      <c r="D82" s="48"/>
      <c r="E82" s="48"/>
      <c r="F82" s="58"/>
      <c r="G82" s="7"/>
      <c r="H82" s="7"/>
      <c r="I82" s="55" t="str">
        <f t="shared" si="29"/>
        <v/>
      </c>
      <c r="J82" s="55" t="str">
        <f t="shared" si="30"/>
        <v/>
      </c>
      <c r="K82" s="56" t="str">
        <f t="shared" si="31"/>
        <v/>
      </c>
      <c r="L82" s="56" t="str">
        <f t="shared" si="32"/>
        <v/>
      </c>
      <c r="M82" s="56" t="str">
        <f t="shared" si="15"/>
        <v/>
      </c>
      <c r="N82" s="56" t="str">
        <f t="shared" si="33"/>
        <v/>
      </c>
      <c r="O82" s="57" t="str">
        <f t="shared" si="17"/>
        <v/>
      </c>
      <c r="P82" s="57" t="str">
        <f t="shared" si="34"/>
        <v/>
      </c>
      <c r="Q82" s="57" t="str">
        <f t="shared" si="35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>
      <c r="A83" s="7"/>
      <c r="B83" s="47"/>
      <c r="C83" s="47"/>
      <c r="D83" s="48"/>
      <c r="E83" s="48"/>
      <c r="F83" s="58"/>
      <c r="G83" s="7"/>
      <c r="H83" s="7"/>
      <c r="I83" s="55" t="str">
        <f t="shared" si="29"/>
        <v/>
      </c>
      <c r="J83" s="55" t="str">
        <f t="shared" si="30"/>
        <v/>
      </c>
      <c r="K83" s="56" t="str">
        <f t="shared" si="31"/>
        <v/>
      </c>
      <c r="L83" s="56" t="str">
        <f t="shared" si="32"/>
        <v/>
      </c>
      <c r="M83" s="56" t="str">
        <f t="shared" si="15"/>
        <v/>
      </c>
      <c r="N83" s="56" t="str">
        <f t="shared" si="33"/>
        <v/>
      </c>
      <c r="O83" s="57" t="str">
        <f t="shared" si="17"/>
        <v/>
      </c>
      <c r="P83" s="57" t="str">
        <f t="shared" si="34"/>
        <v/>
      </c>
      <c r="Q83" s="57" t="str">
        <f t="shared" si="35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>
      <c r="A84" s="7"/>
      <c r="B84" s="47"/>
      <c r="C84" s="47"/>
      <c r="D84" s="48"/>
      <c r="E84" s="48"/>
      <c r="F84" s="58"/>
      <c r="G84" s="7"/>
      <c r="H84" s="7"/>
      <c r="I84" s="55" t="str">
        <f t="shared" si="29"/>
        <v/>
      </c>
      <c r="J84" s="55" t="str">
        <f t="shared" si="30"/>
        <v/>
      </c>
      <c r="K84" s="56" t="str">
        <f t="shared" si="31"/>
        <v/>
      </c>
      <c r="L84" s="56" t="str">
        <f t="shared" si="32"/>
        <v/>
      </c>
      <c r="M84" s="56" t="str">
        <f t="shared" si="15"/>
        <v/>
      </c>
      <c r="N84" s="56" t="str">
        <f t="shared" si="33"/>
        <v/>
      </c>
      <c r="O84" s="57" t="str">
        <f t="shared" si="17"/>
        <v/>
      </c>
      <c r="P84" s="57" t="str">
        <f t="shared" si="34"/>
        <v/>
      </c>
      <c r="Q84" s="57" t="str">
        <f t="shared" si="35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>
      <c r="A85" s="7"/>
      <c r="B85" s="47"/>
      <c r="C85" s="47"/>
      <c r="D85" s="48"/>
      <c r="E85" s="48"/>
      <c r="F85" s="58"/>
      <c r="G85" s="7"/>
      <c r="H85" s="7"/>
      <c r="I85" s="55" t="str">
        <f t="shared" si="29"/>
        <v/>
      </c>
      <c r="J85" s="55" t="str">
        <f t="shared" si="30"/>
        <v/>
      </c>
      <c r="K85" s="56" t="str">
        <f t="shared" si="31"/>
        <v/>
      </c>
      <c r="L85" s="56" t="str">
        <f t="shared" si="32"/>
        <v/>
      </c>
      <c r="M85" s="56" t="str">
        <f t="shared" si="15"/>
        <v/>
      </c>
      <c r="N85" s="56" t="str">
        <f t="shared" si="33"/>
        <v/>
      </c>
      <c r="O85" s="57" t="str">
        <f t="shared" si="17"/>
        <v/>
      </c>
      <c r="P85" s="57" t="str">
        <f t="shared" si="34"/>
        <v/>
      </c>
      <c r="Q85" s="57" t="str">
        <f t="shared" si="35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>
      <c r="A86" s="7"/>
      <c r="B86" s="47"/>
      <c r="C86" s="47"/>
      <c r="D86" s="48"/>
      <c r="E86" s="48"/>
      <c r="F86" s="58"/>
      <c r="G86" s="7"/>
      <c r="H86" s="7"/>
      <c r="I86" s="55" t="str">
        <f t="shared" si="29"/>
        <v/>
      </c>
      <c r="J86" s="55" t="str">
        <f t="shared" si="30"/>
        <v/>
      </c>
      <c r="K86" s="56" t="str">
        <f t="shared" si="31"/>
        <v/>
      </c>
      <c r="L86" s="56" t="str">
        <f t="shared" si="32"/>
        <v/>
      </c>
      <c r="M86" s="56" t="str">
        <f t="shared" si="15"/>
        <v/>
      </c>
      <c r="N86" s="56" t="str">
        <f t="shared" si="33"/>
        <v/>
      </c>
      <c r="O86" s="57" t="str">
        <f t="shared" si="17"/>
        <v/>
      </c>
      <c r="P86" s="57" t="str">
        <f t="shared" si="34"/>
        <v/>
      </c>
      <c r="Q86" s="57" t="str">
        <f t="shared" si="35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>
      <c r="A87" s="7"/>
      <c r="B87" s="47"/>
      <c r="C87" s="47"/>
      <c r="D87" s="48"/>
      <c r="E87" s="48"/>
      <c r="F87" s="58"/>
      <c r="G87" s="7"/>
      <c r="H87" s="7"/>
      <c r="I87" s="55" t="str">
        <f t="shared" si="29"/>
        <v/>
      </c>
      <c r="J87" s="55" t="str">
        <f t="shared" si="30"/>
        <v/>
      </c>
      <c r="K87" s="56" t="str">
        <f t="shared" si="31"/>
        <v/>
      </c>
      <c r="L87" s="56" t="str">
        <f t="shared" si="32"/>
        <v/>
      </c>
      <c r="M87" s="56" t="str">
        <f t="shared" si="15"/>
        <v/>
      </c>
      <c r="N87" s="56" t="str">
        <f t="shared" si="33"/>
        <v/>
      </c>
      <c r="O87" s="57" t="str">
        <f t="shared" si="17"/>
        <v/>
      </c>
      <c r="P87" s="57" t="str">
        <f t="shared" si="34"/>
        <v/>
      </c>
      <c r="Q87" s="57" t="str">
        <f t="shared" si="35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>
      <c r="A88" s="7"/>
      <c r="B88" s="47"/>
      <c r="C88" s="47"/>
      <c r="D88" s="48"/>
      <c r="E88" s="48"/>
      <c r="F88" s="58"/>
      <c r="G88" s="7"/>
      <c r="H88" s="7"/>
      <c r="I88" s="55" t="str">
        <f t="shared" si="29"/>
        <v/>
      </c>
      <c r="J88" s="55" t="str">
        <f t="shared" si="30"/>
        <v/>
      </c>
      <c r="K88" s="56" t="str">
        <f t="shared" si="31"/>
        <v/>
      </c>
      <c r="L88" s="56" t="str">
        <f t="shared" si="32"/>
        <v/>
      </c>
      <c r="M88" s="56" t="str">
        <f t="shared" si="15"/>
        <v/>
      </c>
      <c r="N88" s="56" t="str">
        <f t="shared" si="33"/>
        <v/>
      </c>
      <c r="O88" s="57" t="str">
        <f t="shared" si="17"/>
        <v/>
      </c>
      <c r="P88" s="57" t="str">
        <f t="shared" si="34"/>
        <v/>
      </c>
      <c r="Q88" s="57" t="str">
        <f t="shared" si="35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>
      <c r="A89" s="7"/>
      <c r="B89" s="47"/>
      <c r="C89" s="47"/>
      <c r="D89" s="48"/>
      <c r="E89" s="48"/>
      <c r="F89" s="58"/>
      <c r="G89" s="7"/>
      <c r="H89" s="7"/>
      <c r="I89" s="55" t="str">
        <f t="shared" si="29"/>
        <v/>
      </c>
      <c r="J89" s="55" t="str">
        <f t="shared" si="30"/>
        <v/>
      </c>
      <c r="K89" s="56" t="str">
        <f t="shared" si="31"/>
        <v/>
      </c>
      <c r="L89" s="56" t="str">
        <f t="shared" si="32"/>
        <v/>
      </c>
      <c r="M89" s="56" t="str">
        <f t="shared" si="15"/>
        <v/>
      </c>
      <c r="N89" s="56" t="str">
        <f t="shared" si="33"/>
        <v/>
      </c>
      <c r="O89" s="57" t="str">
        <f t="shared" si="17"/>
        <v/>
      </c>
      <c r="P89" s="57" t="str">
        <f t="shared" si="34"/>
        <v/>
      </c>
      <c r="Q89" s="57" t="str">
        <f t="shared" si="35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>
      <c r="A90" s="7"/>
      <c r="B90" s="47"/>
      <c r="C90" s="47"/>
      <c r="D90" s="48"/>
      <c r="E90" s="48"/>
      <c r="F90" s="58"/>
      <c r="G90" s="7"/>
      <c r="H90" s="7"/>
      <c r="I90" s="55" t="str">
        <f t="shared" si="29"/>
        <v/>
      </c>
      <c r="J90" s="55" t="str">
        <f t="shared" si="30"/>
        <v/>
      </c>
      <c r="K90" s="56" t="str">
        <f t="shared" si="31"/>
        <v/>
      </c>
      <c r="L90" s="56" t="str">
        <f t="shared" si="32"/>
        <v/>
      </c>
      <c r="M90" s="56" t="str">
        <f t="shared" si="15"/>
        <v/>
      </c>
      <c r="N90" s="56" t="str">
        <f t="shared" si="33"/>
        <v/>
      </c>
      <c r="O90" s="57" t="str">
        <f t="shared" si="17"/>
        <v/>
      </c>
      <c r="P90" s="57" t="str">
        <f t="shared" si="34"/>
        <v/>
      </c>
      <c r="Q90" s="57" t="str">
        <f t="shared" si="35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>
      <c r="A91" s="7"/>
      <c r="B91" s="47"/>
      <c r="C91" s="47"/>
      <c r="D91" s="48"/>
      <c r="E91" s="48"/>
      <c r="F91" s="58"/>
      <c r="G91" s="7"/>
      <c r="H91" s="7"/>
      <c r="I91" s="55" t="str">
        <f t="shared" si="29"/>
        <v/>
      </c>
      <c r="J91" s="55" t="str">
        <f t="shared" si="30"/>
        <v/>
      </c>
      <c r="K91" s="56" t="str">
        <f t="shared" si="31"/>
        <v/>
      </c>
      <c r="L91" s="56" t="str">
        <f t="shared" si="32"/>
        <v/>
      </c>
      <c r="M91" s="56" t="str">
        <f t="shared" si="15"/>
        <v/>
      </c>
      <c r="N91" s="56" t="str">
        <f t="shared" si="33"/>
        <v/>
      </c>
      <c r="O91" s="57" t="str">
        <f t="shared" si="17"/>
        <v/>
      </c>
      <c r="P91" s="57" t="str">
        <f t="shared" si="34"/>
        <v/>
      </c>
      <c r="Q91" s="57" t="str">
        <f t="shared" si="35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>
      <c r="A92" s="7"/>
      <c r="B92" s="47"/>
      <c r="C92" s="47"/>
      <c r="D92" s="48"/>
      <c r="E92" s="48"/>
      <c r="F92" s="58"/>
      <c r="G92" s="7"/>
      <c r="H92" s="7"/>
      <c r="I92" s="55" t="str">
        <f t="shared" si="29"/>
        <v/>
      </c>
      <c r="J92" s="55" t="str">
        <f t="shared" si="30"/>
        <v/>
      </c>
      <c r="K92" s="56" t="str">
        <f t="shared" si="31"/>
        <v/>
      </c>
      <c r="L92" s="56" t="str">
        <f t="shared" si="32"/>
        <v/>
      </c>
      <c r="M92" s="56" t="str">
        <f t="shared" si="15"/>
        <v/>
      </c>
      <c r="N92" s="56" t="str">
        <f t="shared" si="33"/>
        <v/>
      </c>
      <c r="O92" s="57" t="str">
        <f t="shared" si="17"/>
        <v/>
      </c>
      <c r="P92" s="57" t="str">
        <f t="shared" si="34"/>
        <v/>
      </c>
      <c r="Q92" s="57" t="str">
        <f t="shared" si="35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>
      <c r="A93" s="7"/>
      <c r="B93" s="47"/>
      <c r="C93" s="47"/>
      <c r="D93" s="48"/>
      <c r="E93" s="48"/>
      <c r="F93" s="58"/>
      <c r="G93" s="7"/>
      <c r="H93" s="7"/>
      <c r="I93" s="55" t="str">
        <f t="shared" si="29"/>
        <v/>
      </c>
      <c r="J93" s="55" t="str">
        <f t="shared" si="30"/>
        <v/>
      </c>
      <c r="K93" s="56" t="str">
        <f t="shared" si="31"/>
        <v/>
      </c>
      <c r="L93" s="56" t="str">
        <f t="shared" si="32"/>
        <v/>
      </c>
      <c r="M93" s="56" t="str">
        <f t="shared" ref="M93:M127" si="36">IF(D93=0,"",1-L93)</f>
        <v/>
      </c>
      <c r="N93" s="56" t="str">
        <f t="shared" si="33"/>
        <v/>
      </c>
      <c r="O93" s="57" t="str">
        <f t="shared" ref="O93:O127" si="37">IF(D93=0,"",F93*K93*$J$7/$J$14)</f>
        <v/>
      </c>
      <c r="P93" s="57" t="str">
        <f t="shared" si="34"/>
        <v/>
      </c>
      <c r="Q93" s="57" t="str">
        <f t="shared" si="35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>
      <c r="A94" s="7"/>
      <c r="B94" s="47"/>
      <c r="C94" s="47"/>
      <c r="D94" s="48"/>
      <c r="E94" s="48"/>
      <c r="F94" s="58"/>
      <c r="G94" s="7"/>
      <c r="H94" s="7"/>
      <c r="I94" s="55" t="str">
        <f t="shared" si="29"/>
        <v/>
      </c>
      <c r="J94" s="55" t="str">
        <f t="shared" si="30"/>
        <v/>
      </c>
      <c r="K94" s="56" t="str">
        <f t="shared" si="31"/>
        <v/>
      </c>
      <c r="L94" s="56" t="str">
        <f t="shared" si="32"/>
        <v/>
      </c>
      <c r="M94" s="56" t="str">
        <f t="shared" si="36"/>
        <v/>
      </c>
      <c r="N94" s="56" t="str">
        <f t="shared" si="33"/>
        <v/>
      </c>
      <c r="O94" s="57" t="str">
        <f t="shared" si="37"/>
        <v/>
      </c>
      <c r="P94" s="57" t="str">
        <f t="shared" si="34"/>
        <v/>
      </c>
      <c r="Q94" s="57" t="str">
        <f t="shared" si="35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>
      <c r="A95" s="7"/>
      <c r="B95" s="47"/>
      <c r="C95" s="47"/>
      <c r="D95" s="48"/>
      <c r="E95" s="48"/>
      <c r="F95" s="58"/>
      <c r="G95" s="7"/>
      <c r="H95" s="7"/>
      <c r="I95" s="55" t="str">
        <f t="shared" si="29"/>
        <v/>
      </c>
      <c r="J95" s="55" t="str">
        <f t="shared" si="30"/>
        <v/>
      </c>
      <c r="K95" s="56" t="str">
        <f t="shared" si="31"/>
        <v/>
      </c>
      <c r="L95" s="56" t="str">
        <f t="shared" si="32"/>
        <v/>
      </c>
      <c r="M95" s="56" t="str">
        <f t="shared" si="36"/>
        <v/>
      </c>
      <c r="N95" s="56" t="str">
        <f t="shared" si="33"/>
        <v/>
      </c>
      <c r="O95" s="57" t="str">
        <f t="shared" si="37"/>
        <v/>
      </c>
      <c r="P95" s="57" t="str">
        <f t="shared" si="34"/>
        <v/>
      </c>
      <c r="Q95" s="57" t="str">
        <f t="shared" si="35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>
      <c r="A96" s="7"/>
      <c r="B96" s="47"/>
      <c r="C96" s="47"/>
      <c r="D96" s="48"/>
      <c r="E96" s="48"/>
      <c r="F96" s="58"/>
      <c r="G96" s="7"/>
      <c r="H96" s="7"/>
      <c r="I96" s="55" t="str">
        <f t="shared" si="29"/>
        <v/>
      </c>
      <c r="J96" s="55" t="str">
        <f t="shared" si="30"/>
        <v/>
      </c>
      <c r="K96" s="56" t="str">
        <f t="shared" si="31"/>
        <v/>
      </c>
      <c r="L96" s="56" t="str">
        <f t="shared" si="32"/>
        <v/>
      </c>
      <c r="M96" s="56" t="str">
        <f t="shared" si="36"/>
        <v/>
      </c>
      <c r="N96" s="56" t="str">
        <f t="shared" si="33"/>
        <v/>
      </c>
      <c r="O96" s="57" t="str">
        <f t="shared" si="37"/>
        <v/>
      </c>
      <c r="P96" s="57" t="str">
        <f t="shared" si="34"/>
        <v/>
      </c>
      <c r="Q96" s="57" t="str">
        <f t="shared" si="35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>
      <c r="A97" s="7"/>
      <c r="B97" s="47"/>
      <c r="C97" s="47"/>
      <c r="D97" s="48"/>
      <c r="E97" s="48"/>
      <c r="F97" s="58"/>
      <c r="G97" s="7"/>
      <c r="H97" s="7"/>
      <c r="I97" s="55" t="str">
        <f t="shared" si="29"/>
        <v/>
      </c>
      <c r="J97" s="55" t="str">
        <f t="shared" si="30"/>
        <v/>
      </c>
      <c r="K97" s="56" t="str">
        <f t="shared" si="31"/>
        <v/>
      </c>
      <c r="L97" s="56" t="str">
        <f t="shared" si="32"/>
        <v/>
      </c>
      <c r="M97" s="56" t="str">
        <f t="shared" si="36"/>
        <v/>
      </c>
      <c r="N97" s="56" t="str">
        <f t="shared" si="33"/>
        <v/>
      </c>
      <c r="O97" s="57" t="str">
        <f t="shared" si="37"/>
        <v/>
      </c>
      <c r="P97" s="57" t="str">
        <f t="shared" si="34"/>
        <v/>
      </c>
      <c r="Q97" s="57" t="str">
        <f t="shared" si="35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>
      <c r="A98" s="7"/>
      <c r="B98" s="47"/>
      <c r="C98" s="47"/>
      <c r="D98" s="48"/>
      <c r="E98" s="48"/>
      <c r="F98" s="58"/>
      <c r="G98" s="7"/>
      <c r="H98" s="7"/>
      <c r="I98" s="55" t="str">
        <f t="shared" si="29"/>
        <v/>
      </c>
      <c r="J98" s="55" t="str">
        <f t="shared" si="30"/>
        <v/>
      </c>
      <c r="K98" s="56" t="str">
        <f t="shared" si="31"/>
        <v/>
      </c>
      <c r="L98" s="56" t="str">
        <f t="shared" si="32"/>
        <v/>
      </c>
      <c r="M98" s="56" t="str">
        <f t="shared" si="36"/>
        <v/>
      </c>
      <c r="N98" s="56" t="str">
        <f t="shared" si="33"/>
        <v/>
      </c>
      <c r="O98" s="57" t="str">
        <f t="shared" si="37"/>
        <v/>
      </c>
      <c r="P98" s="57" t="str">
        <f t="shared" si="34"/>
        <v/>
      </c>
      <c r="Q98" s="57" t="str">
        <f t="shared" si="35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>
      <c r="A99" s="7"/>
      <c r="B99" s="47"/>
      <c r="C99" s="47"/>
      <c r="D99" s="48"/>
      <c r="E99" s="48"/>
      <c r="F99" s="58"/>
      <c r="G99" s="7"/>
      <c r="H99" s="7"/>
      <c r="I99" s="55" t="str">
        <f t="shared" si="29"/>
        <v/>
      </c>
      <c r="J99" s="55" t="str">
        <f t="shared" si="30"/>
        <v/>
      </c>
      <c r="K99" s="56" t="str">
        <f t="shared" si="31"/>
        <v/>
      </c>
      <c r="L99" s="56" t="str">
        <f t="shared" si="32"/>
        <v/>
      </c>
      <c r="M99" s="56" t="str">
        <f t="shared" si="36"/>
        <v/>
      </c>
      <c r="N99" s="56" t="str">
        <f t="shared" si="33"/>
        <v/>
      </c>
      <c r="O99" s="57" t="str">
        <f t="shared" si="37"/>
        <v/>
      </c>
      <c r="P99" s="57" t="str">
        <f t="shared" si="34"/>
        <v/>
      </c>
      <c r="Q99" s="57" t="str">
        <f t="shared" si="35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>
      <c r="A100" s="7"/>
      <c r="B100" s="47"/>
      <c r="C100" s="47"/>
      <c r="D100" s="48"/>
      <c r="E100" s="48"/>
      <c r="F100" s="58"/>
      <c r="G100" s="7"/>
      <c r="H100" s="7"/>
      <c r="I100" s="55" t="str">
        <f t="shared" si="29"/>
        <v/>
      </c>
      <c r="J100" s="55" t="str">
        <f t="shared" si="30"/>
        <v/>
      </c>
      <c r="K100" s="56" t="str">
        <f t="shared" si="31"/>
        <v/>
      </c>
      <c r="L100" s="56" t="str">
        <f t="shared" si="32"/>
        <v/>
      </c>
      <c r="M100" s="56" t="str">
        <f t="shared" si="36"/>
        <v/>
      </c>
      <c r="N100" s="56" t="str">
        <f t="shared" si="33"/>
        <v/>
      </c>
      <c r="O100" s="57" t="str">
        <f t="shared" si="37"/>
        <v/>
      </c>
      <c r="P100" s="57" t="str">
        <f t="shared" si="34"/>
        <v/>
      </c>
      <c r="Q100" s="57" t="str">
        <f t="shared" si="35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>
      <c r="A101" s="7"/>
      <c r="B101" s="47"/>
      <c r="C101" s="47"/>
      <c r="D101" s="48"/>
      <c r="E101" s="48"/>
      <c r="F101" s="58"/>
      <c r="G101" s="7"/>
      <c r="H101" s="7"/>
      <c r="I101" s="55" t="str">
        <f t="shared" si="29"/>
        <v/>
      </c>
      <c r="J101" s="55" t="str">
        <f t="shared" si="30"/>
        <v/>
      </c>
      <c r="K101" s="56" t="str">
        <f t="shared" si="31"/>
        <v/>
      </c>
      <c r="L101" s="56" t="str">
        <f t="shared" si="32"/>
        <v/>
      </c>
      <c r="M101" s="56" t="str">
        <f t="shared" si="36"/>
        <v/>
      </c>
      <c r="N101" s="56" t="str">
        <f t="shared" si="33"/>
        <v/>
      </c>
      <c r="O101" s="57" t="str">
        <f t="shared" si="37"/>
        <v/>
      </c>
      <c r="P101" s="57" t="str">
        <f t="shared" si="34"/>
        <v/>
      </c>
      <c r="Q101" s="57" t="str">
        <f t="shared" si="35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>
      <c r="A102" s="7"/>
      <c r="B102" s="47"/>
      <c r="C102" s="47"/>
      <c r="D102" s="48"/>
      <c r="E102" s="48"/>
      <c r="F102" s="58"/>
      <c r="G102" s="7"/>
      <c r="H102" s="7"/>
      <c r="I102" s="55" t="str">
        <f t="shared" si="29"/>
        <v/>
      </c>
      <c r="J102" s="55" t="str">
        <f t="shared" si="30"/>
        <v/>
      </c>
      <c r="K102" s="56" t="str">
        <f t="shared" si="31"/>
        <v/>
      </c>
      <c r="L102" s="56" t="str">
        <f t="shared" si="32"/>
        <v/>
      </c>
      <c r="M102" s="56" t="str">
        <f t="shared" si="36"/>
        <v/>
      </c>
      <c r="N102" s="56" t="str">
        <f t="shared" si="33"/>
        <v/>
      </c>
      <c r="O102" s="57" t="str">
        <f t="shared" si="37"/>
        <v/>
      </c>
      <c r="P102" s="57" t="str">
        <f t="shared" si="34"/>
        <v/>
      </c>
      <c r="Q102" s="57" t="str">
        <f t="shared" si="35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>
      <c r="A103" s="7"/>
      <c r="B103" s="47"/>
      <c r="C103" s="47"/>
      <c r="D103" s="48"/>
      <c r="E103" s="48"/>
      <c r="F103" s="58"/>
      <c r="G103" s="7"/>
      <c r="H103" s="7"/>
      <c r="I103" s="55" t="str">
        <f t="shared" si="29"/>
        <v/>
      </c>
      <c r="J103" s="55" t="str">
        <f t="shared" si="30"/>
        <v/>
      </c>
      <c r="K103" s="56" t="str">
        <f t="shared" si="31"/>
        <v/>
      </c>
      <c r="L103" s="56" t="str">
        <f t="shared" si="32"/>
        <v/>
      </c>
      <c r="M103" s="56" t="str">
        <f t="shared" si="36"/>
        <v/>
      </c>
      <c r="N103" s="56" t="str">
        <f t="shared" si="33"/>
        <v/>
      </c>
      <c r="O103" s="57" t="str">
        <f t="shared" si="37"/>
        <v/>
      </c>
      <c r="P103" s="57" t="str">
        <f t="shared" si="34"/>
        <v/>
      </c>
      <c r="Q103" s="57" t="str">
        <f t="shared" si="35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>
      <c r="A104" s="7"/>
      <c r="B104" s="47"/>
      <c r="C104" s="47"/>
      <c r="D104" s="48"/>
      <c r="E104" s="48"/>
      <c r="F104" s="58"/>
      <c r="G104" s="7"/>
      <c r="H104" s="7"/>
      <c r="I104" s="55" t="str">
        <f t="shared" si="29"/>
        <v/>
      </c>
      <c r="J104" s="55" t="str">
        <f t="shared" si="30"/>
        <v/>
      </c>
      <c r="K104" s="56" t="str">
        <f t="shared" si="31"/>
        <v/>
      </c>
      <c r="L104" s="56" t="str">
        <f t="shared" si="32"/>
        <v/>
      </c>
      <c r="M104" s="56" t="str">
        <f t="shared" si="36"/>
        <v/>
      </c>
      <c r="N104" s="56" t="str">
        <f t="shared" si="33"/>
        <v/>
      </c>
      <c r="O104" s="57" t="str">
        <f t="shared" si="37"/>
        <v/>
      </c>
      <c r="P104" s="57" t="str">
        <f t="shared" si="34"/>
        <v/>
      </c>
      <c r="Q104" s="57" t="str">
        <f t="shared" si="35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>
      <c r="A105" s="7"/>
      <c r="B105" s="47"/>
      <c r="C105" s="47"/>
      <c r="D105" s="48"/>
      <c r="E105" s="48"/>
      <c r="F105" s="58"/>
      <c r="G105" s="7"/>
      <c r="H105" s="7"/>
      <c r="I105" s="55" t="str">
        <f t="shared" si="29"/>
        <v/>
      </c>
      <c r="J105" s="55" t="str">
        <f t="shared" si="30"/>
        <v/>
      </c>
      <c r="K105" s="56" t="str">
        <f t="shared" si="31"/>
        <v/>
      </c>
      <c r="L105" s="56" t="str">
        <f t="shared" si="32"/>
        <v/>
      </c>
      <c r="M105" s="56" t="str">
        <f t="shared" si="36"/>
        <v/>
      </c>
      <c r="N105" s="56" t="str">
        <f t="shared" si="33"/>
        <v/>
      </c>
      <c r="O105" s="57" t="str">
        <f t="shared" si="37"/>
        <v/>
      </c>
      <c r="P105" s="57" t="str">
        <f t="shared" si="34"/>
        <v/>
      </c>
      <c r="Q105" s="57" t="str">
        <f t="shared" si="35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>
      <c r="A106" s="7"/>
      <c r="B106" s="47"/>
      <c r="C106" s="47"/>
      <c r="D106" s="48"/>
      <c r="E106" s="48"/>
      <c r="F106" s="58"/>
      <c r="G106" s="7"/>
      <c r="H106" s="7"/>
      <c r="I106" s="55" t="str">
        <f t="shared" si="29"/>
        <v/>
      </c>
      <c r="J106" s="55" t="str">
        <f t="shared" si="30"/>
        <v/>
      </c>
      <c r="K106" s="56" t="str">
        <f t="shared" si="31"/>
        <v/>
      </c>
      <c r="L106" s="56" t="str">
        <f t="shared" si="32"/>
        <v/>
      </c>
      <c r="M106" s="56" t="str">
        <f t="shared" si="36"/>
        <v/>
      </c>
      <c r="N106" s="56" t="str">
        <f t="shared" si="33"/>
        <v/>
      </c>
      <c r="O106" s="57" t="str">
        <f t="shared" si="37"/>
        <v/>
      </c>
      <c r="P106" s="57" t="str">
        <f t="shared" si="34"/>
        <v/>
      </c>
      <c r="Q106" s="57" t="str">
        <f t="shared" si="35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>
      <c r="A107" s="7"/>
      <c r="B107" s="47"/>
      <c r="C107" s="47"/>
      <c r="D107" s="48"/>
      <c r="E107" s="48"/>
      <c r="F107" s="58"/>
      <c r="G107" s="7"/>
      <c r="H107" s="7"/>
      <c r="I107" s="55" t="str">
        <f t="shared" si="29"/>
        <v/>
      </c>
      <c r="J107" s="55" t="str">
        <f t="shared" si="30"/>
        <v/>
      </c>
      <c r="K107" s="56" t="str">
        <f t="shared" si="31"/>
        <v/>
      </c>
      <c r="L107" s="56" t="str">
        <f t="shared" si="32"/>
        <v/>
      </c>
      <c r="M107" s="56" t="str">
        <f t="shared" si="36"/>
        <v/>
      </c>
      <c r="N107" s="56" t="str">
        <f t="shared" si="33"/>
        <v/>
      </c>
      <c r="O107" s="57" t="str">
        <f t="shared" si="37"/>
        <v/>
      </c>
      <c r="P107" s="57" t="str">
        <f t="shared" si="34"/>
        <v/>
      </c>
      <c r="Q107" s="57" t="str">
        <f t="shared" si="35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>
      <c r="A108" s="7"/>
      <c r="B108" s="47"/>
      <c r="C108" s="47"/>
      <c r="D108" s="48"/>
      <c r="E108" s="48"/>
      <c r="F108" s="58"/>
      <c r="G108" s="7"/>
      <c r="H108" s="7"/>
      <c r="I108" s="55" t="str">
        <f t="shared" si="29"/>
        <v/>
      </c>
      <c r="J108" s="55" t="str">
        <f t="shared" si="30"/>
        <v/>
      </c>
      <c r="K108" s="56" t="str">
        <f t="shared" si="31"/>
        <v/>
      </c>
      <c r="L108" s="56" t="str">
        <f t="shared" si="32"/>
        <v/>
      </c>
      <c r="M108" s="56" t="str">
        <f t="shared" si="36"/>
        <v/>
      </c>
      <c r="N108" s="56" t="str">
        <f t="shared" si="33"/>
        <v/>
      </c>
      <c r="O108" s="57" t="str">
        <f t="shared" si="37"/>
        <v/>
      </c>
      <c r="P108" s="57" t="str">
        <f t="shared" si="34"/>
        <v/>
      </c>
      <c r="Q108" s="57" t="str">
        <f t="shared" si="35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>
      <c r="A109" s="7"/>
      <c r="B109" s="47"/>
      <c r="C109" s="47"/>
      <c r="D109" s="48"/>
      <c r="E109" s="48"/>
      <c r="F109" s="58"/>
      <c r="G109" s="7"/>
      <c r="H109" s="7"/>
      <c r="I109" s="55" t="str">
        <f t="shared" si="29"/>
        <v/>
      </c>
      <c r="J109" s="55" t="str">
        <f t="shared" si="30"/>
        <v/>
      </c>
      <c r="K109" s="56" t="str">
        <f t="shared" si="31"/>
        <v/>
      </c>
      <c r="L109" s="56" t="str">
        <f t="shared" si="32"/>
        <v/>
      </c>
      <c r="M109" s="56" t="str">
        <f t="shared" si="36"/>
        <v/>
      </c>
      <c r="N109" s="56" t="str">
        <f t="shared" si="33"/>
        <v/>
      </c>
      <c r="O109" s="57" t="str">
        <f t="shared" si="37"/>
        <v/>
      </c>
      <c r="P109" s="57" t="str">
        <f t="shared" si="34"/>
        <v/>
      </c>
      <c r="Q109" s="57" t="str">
        <f t="shared" si="35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>
      <c r="A110" s="7"/>
      <c r="B110" s="47"/>
      <c r="C110" s="47"/>
      <c r="D110" s="48"/>
      <c r="E110" s="48"/>
      <c r="F110" s="58"/>
      <c r="G110" s="7"/>
      <c r="H110" s="7"/>
      <c r="I110" s="55" t="str">
        <f t="shared" si="29"/>
        <v/>
      </c>
      <c r="J110" s="55" t="str">
        <f t="shared" si="30"/>
        <v/>
      </c>
      <c r="K110" s="56" t="str">
        <f t="shared" si="31"/>
        <v/>
      </c>
      <c r="L110" s="56" t="str">
        <f t="shared" si="32"/>
        <v/>
      </c>
      <c r="M110" s="56" t="str">
        <f t="shared" si="36"/>
        <v/>
      </c>
      <c r="N110" s="56" t="str">
        <f t="shared" si="33"/>
        <v/>
      </c>
      <c r="O110" s="57" t="str">
        <f t="shared" si="37"/>
        <v/>
      </c>
      <c r="P110" s="57" t="str">
        <f t="shared" si="34"/>
        <v/>
      </c>
      <c r="Q110" s="57" t="str">
        <f t="shared" si="35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>
      <c r="A111" s="7"/>
      <c r="B111" s="47"/>
      <c r="C111" s="47"/>
      <c r="D111" s="48"/>
      <c r="E111" s="48"/>
      <c r="F111" s="58"/>
      <c r="G111" s="7"/>
      <c r="H111" s="7"/>
      <c r="I111" s="55" t="str">
        <f t="shared" si="29"/>
        <v/>
      </c>
      <c r="J111" s="55" t="str">
        <f t="shared" si="30"/>
        <v/>
      </c>
      <c r="K111" s="56" t="str">
        <f t="shared" si="31"/>
        <v/>
      </c>
      <c r="L111" s="56" t="str">
        <f t="shared" si="32"/>
        <v/>
      </c>
      <c r="M111" s="56" t="str">
        <f t="shared" si="36"/>
        <v/>
      </c>
      <c r="N111" s="56" t="str">
        <f t="shared" si="33"/>
        <v/>
      </c>
      <c r="O111" s="57" t="str">
        <f t="shared" si="37"/>
        <v/>
      </c>
      <c r="P111" s="57" t="str">
        <f t="shared" si="34"/>
        <v/>
      </c>
      <c r="Q111" s="57" t="str">
        <f t="shared" si="35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>
      <c r="A112" s="7"/>
      <c r="B112" s="47"/>
      <c r="C112" s="47"/>
      <c r="D112" s="48"/>
      <c r="E112" s="48"/>
      <c r="F112" s="58"/>
      <c r="G112" s="7"/>
      <c r="H112" s="7"/>
      <c r="I112" s="55" t="str">
        <f t="shared" si="29"/>
        <v/>
      </c>
      <c r="J112" s="55" t="str">
        <f t="shared" si="30"/>
        <v/>
      </c>
      <c r="K112" s="56" t="str">
        <f t="shared" si="31"/>
        <v/>
      </c>
      <c r="L112" s="56" t="str">
        <f t="shared" si="32"/>
        <v/>
      </c>
      <c r="M112" s="56" t="str">
        <f t="shared" si="36"/>
        <v/>
      </c>
      <c r="N112" s="56" t="str">
        <f t="shared" si="33"/>
        <v/>
      </c>
      <c r="O112" s="57" t="str">
        <f t="shared" si="37"/>
        <v/>
      </c>
      <c r="P112" s="57" t="str">
        <f t="shared" si="34"/>
        <v/>
      </c>
      <c r="Q112" s="57" t="str">
        <f t="shared" si="35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>
      <c r="A113" s="7"/>
      <c r="B113" s="47"/>
      <c r="C113" s="47"/>
      <c r="D113" s="48"/>
      <c r="E113" s="48"/>
      <c r="F113" s="58"/>
      <c r="G113" s="7"/>
      <c r="H113" s="7"/>
      <c r="I113" s="55" t="str">
        <f t="shared" si="29"/>
        <v/>
      </c>
      <c r="J113" s="55" t="str">
        <f t="shared" si="30"/>
        <v/>
      </c>
      <c r="K113" s="56" t="str">
        <f t="shared" si="31"/>
        <v/>
      </c>
      <c r="L113" s="56" t="str">
        <f t="shared" si="32"/>
        <v/>
      </c>
      <c r="M113" s="56" t="str">
        <f t="shared" si="36"/>
        <v/>
      </c>
      <c r="N113" s="56" t="str">
        <f t="shared" si="33"/>
        <v/>
      </c>
      <c r="O113" s="57" t="str">
        <f t="shared" si="37"/>
        <v/>
      </c>
      <c r="P113" s="57" t="str">
        <f t="shared" si="34"/>
        <v/>
      </c>
      <c r="Q113" s="57" t="str">
        <f t="shared" si="35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>
      <c r="A114" s="7"/>
      <c r="B114" s="47"/>
      <c r="C114" s="47"/>
      <c r="D114" s="48"/>
      <c r="E114" s="48"/>
      <c r="F114" s="58"/>
      <c r="G114" s="7"/>
      <c r="H114" s="7"/>
      <c r="I114" s="55" t="str">
        <f t="shared" si="29"/>
        <v/>
      </c>
      <c r="J114" s="55" t="str">
        <f t="shared" si="30"/>
        <v/>
      </c>
      <c r="K114" s="56" t="str">
        <f t="shared" si="31"/>
        <v/>
      </c>
      <c r="L114" s="56" t="str">
        <f t="shared" si="32"/>
        <v/>
      </c>
      <c r="M114" s="56" t="str">
        <f t="shared" si="36"/>
        <v/>
      </c>
      <c r="N114" s="56" t="str">
        <f t="shared" si="33"/>
        <v/>
      </c>
      <c r="O114" s="57" t="str">
        <f t="shared" si="37"/>
        <v/>
      </c>
      <c r="P114" s="57" t="str">
        <f t="shared" si="34"/>
        <v/>
      </c>
      <c r="Q114" s="57" t="str">
        <f t="shared" si="35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>
      <c r="A115" s="7"/>
      <c r="B115" s="47"/>
      <c r="C115" s="47"/>
      <c r="D115" s="48"/>
      <c r="E115" s="48"/>
      <c r="F115" s="58"/>
      <c r="G115" s="7"/>
      <c r="H115" s="7"/>
      <c r="I115" s="55" t="str">
        <f t="shared" si="29"/>
        <v/>
      </c>
      <c r="J115" s="55" t="str">
        <f t="shared" si="30"/>
        <v/>
      </c>
      <c r="K115" s="56" t="str">
        <f t="shared" si="31"/>
        <v/>
      </c>
      <c r="L115" s="56" t="str">
        <f t="shared" si="32"/>
        <v/>
      </c>
      <c r="M115" s="56" t="str">
        <f t="shared" si="36"/>
        <v/>
      </c>
      <c r="N115" s="56" t="str">
        <f t="shared" si="33"/>
        <v/>
      </c>
      <c r="O115" s="57" t="str">
        <f t="shared" si="37"/>
        <v/>
      </c>
      <c r="P115" s="57" t="str">
        <f t="shared" si="34"/>
        <v/>
      </c>
      <c r="Q115" s="57" t="str">
        <f t="shared" si="35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>
      <c r="A116" s="7"/>
      <c r="B116" s="47"/>
      <c r="C116" s="47"/>
      <c r="D116" s="48"/>
      <c r="E116" s="48"/>
      <c r="F116" s="58"/>
      <c r="G116" s="7"/>
      <c r="H116" s="7"/>
      <c r="I116" s="55" t="str">
        <f t="shared" si="29"/>
        <v/>
      </c>
      <c r="J116" s="55" t="str">
        <f t="shared" si="30"/>
        <v/>
      </c>
      <c r="K116" s="56" t="str">
        <f t="shared" si="31"/>
        <v/>
      </c>
      <c r="L116" s="56" t="str">
        <f t="shared" si="32"/>
        <v/>
      </c>
      <c r="M116" s="56" t="str">
        <f t="shared" si="36"/>
        <v/>
      </c>
      <c r="N116" s="56" t="str">
        <f t="shared" si="33"/>
        <v/>
      </c>
      <c r="O116" s="57" t="str">
        <f t="shared" si="37"/>
        <v/>
      </c>
      <c r="P116" s="57" t="str">
        <f t="shared" si="34"/>
        <v/>
      </c>
      <c r="Q116" s="57" t="str">
        <f t="shared" si="35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>
      <c r="A117" s="7"/>
      <c r="B117" s="47"/>
      <c r="C117" s="47"/>
      <c r="D117" s="48"/>
      <c r="E117" s="48"/>
      <c r="F117" s="58"/>
      <c r="G117" s="7"/>
      <c r="H117" s="7"/>
      <c r="I117" s="55" t="str">
        <f t="shared" si="29"/>
        <v/>
      </c>
      <c r="J117" s="55" t="str">
        <f t="shared" si="30"/>
        <v/>
      </c>
      <c r="K117" s="56" t="str">
        <f t="shared" si="31"/>
        <v/>
      </c>
      <c r="L117" s="56" t="str">
        <f t="shared" si="32"/>
        <v/>
      </c>
      <c r="M117" s="56" t="str">
        <f t="shared" si="36"/>
        <v/>
      </c>
      <c r="N117" s="56" t="str">
        <f t="shared" si="33"/>
        <v/>
      </c>
      <c r="O117" s="57" t="str">
        <f t="shared" si="37"/>
        <v/>
      </c>
      <c r="P117" s="57" t="str">
        <f t="shared" si="34"/>
        <v/>
      </c>
      <c r="Q117" s="57" t="str">
        <f t="shared" si="35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>
      <c r="A118" s="7"/>
      <c r="B118" s="47"/>
      <c r="C118" s="47"/>
      <c r="D118" s="48"/>
      <c r="E118" s="48"/>
      <c r="F118" s="58"/>
      <c r="G118" s="7"/>
      <c r="H118" s="7"/>
      <c r="I118" s="55" t="str">
        <f t="shared" si="29"/>
        <v/>
      </c>
      <c r="J118" s="55" t="str">
        <f t="shared" si="30"/>
        <v/>
      </c>
      <c r="K118" s="56" t="str">
        <f t="shared" si="31"/>
        <v/>
      </c>
      <c r="L118" s="56" t="str">
        <f t="shared" si="32"/>
        <v/>
      </c>
      <c r="M118" s="56" t="str">
        <f t="shared" si="36"/>
        <v/>
      </c>
      <c r="N118" s="56" t="str">
        <f t="shared" si="33"/>
        <v/>
      </c>
      <c r="O118" s="57" t="str">
        <f t="shared" si="37"/>
        <v/>
      </c>
      <c r="P118" s="57" t="str">
        <f t="shared" si="34"/>
        <v/>
      </c>
      <c r="Q118" s="57" t="str">
        <f t="shared" si="35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>
      <c r="A119" s="7"/>
      <c r="B119" s="47"/>
      <c r="C119" s="47"/>
      <c r="D119" s="48"/>
      <c r="E119" s="48"/>
      <c r="F119" s="58"/>
      <c r="G119" s="7"/>
      <c r="H119" s="7"/>
      <c r="I119" s="55" t="str">
        <f t="shared" si="29"/>
        <v/>
      </c>
      <c r="J119" s="55" t="str">
        <f t="shared" si="30"/>
        <v/>
      </c>
      <c r="K119" s="56" t="str">
        <f t="shared" si="31"/>
        <v/>
      </c>
      <c r="L119" s="56" t="str">
        <f t="shared" si="32"/>
        <v/>
      </c>
      <c r="M119" s="56" t="str">
        <f t="shared" si="36"/>
        <v/>
      </c>
      <c r="N119" s="56" t="str">
        <f t="shared" si="33"/>
        <v/>
      </c>
      <c r="O119" s="57" t="str">
        <f t="shared" si="37"/>
        <v/>
      </c>
      <c r="P119" s="57" t="str">
        <f t="shared" si="34"/>
        <v/>
      </c>
      <c r="Q119" s="57" t="str">
        <f t="shared" si="35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>
      <c r="A120" s="7"/>
      <c r="B120" s="47"/>
      <c r="C120" s="47"/>
      <c r="D120" s="48"/>
      <c r="E120" s="48"/>
      <c r="F120" s="58"/>
      <c r="G120" s="7"/>
      <c r="H120" s="7"/>
      <c r="I120" s="55" t="str">
        <f t="shared" si="29"/>
        <v/>
      </c>
      <c r="J120" s="55" t="str">
        <f t="shared" si="30"/>
        <v/>
      </c>
      <c r="K120" s="56" t="str">
        <f t="shared" si="31"/>
        <v/>
      </c>
      <c r="L120" s="56" t="str">
        <f t="shared" si="32"/>
        <v/>
      </c>
      <c r="M120" s="56" t="str">
        <f t="shared" si="36"/>
        <v/>
      </c>
      <c r="N120" s="56" t="str">
        <f t="shared" si="33"/>
        <v/>
      </c>
      <c r="O120" s="57" t="str">
        <f t="shared" si="37"/>
        <v/>
      </c>
      <c r="P120" s="57" t="str">
        <f t="shared" si="34"/>
        <v/>
      </c>
      <c r="Q120" s="57" t="str">
        <f t="shared" si="35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>
      <c r="A121" s="7"/>
      <c r="B121" s="47"/>
      <c r="C121" s="47"/>
      <c r="D121" s="48"/>
      <c r="E121" s="48"/>
      <c r="F121" s="58"/>
      <c r="G121" s="7"/>
      <c r="H121" s="7"/>
      <c r="I121" s="55" t="str">
        <f t="shared" si="29"/>
        <v/>
      </c>
      <c r="J121" s="55" t="str">
        <f t="shared" si="30"/>
        <v/>
      </c>
      <c r="K121" s="56" t="str">
        <f t="shared" si="31"/>
        <v/>
      </c>
      <c r="L121" s="56" t="str">
        <f t="shared" si="32"/>
        <v/>
      </c>
      <c r="M121" s="56" t="str">
        <f t="shared" si="36"/>
        <v/>
      </c>
      <c r="N121" s="56" t="str">
        <f t="shared" si="33"/>
        <v/>
      </c>
      <c r="O121" s="57" t="str">
        <f t="shared" si="37"/>
        <v/>
      </c>
      <c r="P121" s="57" t="str">
        <f t="shared" si="34"/>
        <v/>
      </c>
      <c r="Q121" s="57" t="str">
        <f t="shared" si="35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>
      <c r="A122" s="7"/>
      <c r="B122" s="47"/>
      <c r="C122" s="47"/>
      <c r="D122" s="48"/>
      <c r="E122" s="48"/>
      <c r="F122" s="58"/>
      <c r="G122" s="7"/>
      <c r="H122" s="7"/>
      <c r="I122" s="55" t="str">
        <f t="shared" si="29"/>
        <v/>
      </c>
      <c r="J122" s="55" t="str">
        <f t="shared" si="30"/>
        <v/>
      </c>
      <c r="K122" s="56" t="str">
        <f t="shared" si="31"/>
        <v/>
      </c>
      <c r="L122" s="56" t="str">
        <f t="shared" si="32"/>
        <v/>
      </c>
      <c r="M122" s="56" t="str">
        <f t="shared" si="36"/>
        <v/>
      </c>
      <c r="N122" s="56" t="str">
        <f t="shared" si="33"/>
        <v/>
      </c>
      <c r="O122" s="57" t="str">
        <f t="shared" si="37"/>
        <v/>
      </c>
      <c r="P122" s="57" t="str">
        <f t="shared" si="34"/>
        <v/>
      </c>
      <c r="Q122" s="57" t="str">
        <f t="shared" si="35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8">IF(D123=0,"",LOG($K$15*10^D123+$K$16*10^E123+$K$14))</f>
        <v/>
      </c>
      <c r="J123" s="55" t="str">
        <f t="shared" ref="J123:J127" si="39">IF(D123=0,"",LOG($K$21*10^D123+$K$22*10^E123+$K$20))</f>
        <v/>
      </c>
      <c r="K123" s="56" t="str">
        <f t="shared" ref="K123:K127" si="40">IF(D123=0,"",1/(1+10^D123*$J$15/$J$14+10^E123*$J$16/$J$14+10^J123*$J$19/$J$14))</f>
        <v/>
      </c>
      <c r="L123" s="56" t="str">
        <f t="shared" ref="L123:L127" si="41">IF(D123=0,"",1/(1+10^I123/10^J123*$J$13/$J$19))</f>
        <v/>
      </c>
      <c r="M123" s="56" t="str">
        <f t="shared" si="36"/>
        <v/>
      </c>
      <c r="N123" s="56" t="str">
        <f t="shared" ref="N123:N127" si="42">IF(D123=0,"",1/(1/10^E123*$J$20/$J$22+10^D123/10^E123*$J$21/$J$22+10^I123/10^E123*$J$13/$J$22+1))</f>
        <v/>
      </c>
      <c r="O123" s="57" t="str">
        <f t="shared" si="37"/>
        <v/>
      </c>
      <c r="P123" s="57" t="str">
        <f t="shared" ref="P123:P127" si="43">IF(D123=0,"",O123*10^J123)</f>
        <v/>
      </c>
      <c r="Q123" s="57" t="str">
        <f t="shared" ref="Q123:Q127" si="44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>
      <c r="A124" s="7"/>
      <c r="B124" s="47"/>
      <c r="C124" s="47"/>
      <c r="D124" s="48"/>
      <c r="E124" s="48"/>
      <c r="F124" s="58"/>
      <c r="G124" s="7"/>
      <c r="H124" s="7"/>
      <c r="I124" s="55" t="str">
        <f t="shared" si="38"/>
        <v/>
      </c>
      <c r="J124" s="55" t="str">
        <f t="shared" si="39"/>
        <v/>
      </c>
      <c r="K124" s="56" t="str">
        <f t="shared" si="40"/>
        <v/>
      </c>
      <c r="L124" s="56" t="str">
        <f t="shared" si="41"/>
        <v/>
      </c>
      <c r="M124" s="56" t="str">
        <f t="shared" si="36"/>
        <v/>
      </c>
      <c r="N124" s="56" t="str">
        <f t="shared" si="42"/>
        <v/>
      </c>
      <c r="O124" s="57" t="str">
        <f t="shared" si="37"/>
        <v/>
      </c>
      <c r="P124" s="57" t="str">
        <f t="shared" si="43"/>
        <v/>
      </c>
      <c r="Q124" s="57" t="str">
        <f t="shared" si="44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>
      <c r="A125" s="7"/>
      <c r="B125" s="47"/>
      <c r="C125" s="47"/>
      <c r="D125" s="48"/>
      <c r="E125" s="48"/>
      <c r="F125" s="58"/>
      <c r="G125" s="7"/>
      <c r="H125" s="7"/>
      <c r="I125" s="55" t="str">
        <f t="shared" si="38"/>
        <v/>
      </c>
      <c r="J125" s="55" t="str">
        <f t="shared" si="39"/>
        <v/>
      </c>
      <c r="K125" s="56" t="str">
        <f t="shared" si="40"/>
        <v/>
      </c>
      <c r="L125" s="56" t="str">
        <f t="shared" si="41"/>
        <v/>
      </c>
      <c r="M125" s="56" t="str">
        <f t="shared" si="36"/>
        <v/>
      </c>
      <c r="N125" s="56" t="str">
        <f t="shared" si="42"/>
        <v/>
      </c>
      <c r="O125" s="57" t="str">
        <f t="shared" si="37"/>
        <v/>
      </c>
      <c r="P125" s="57" t="str">
        <f t="shared" si="43"/>
        <v/>
      </c>
      <c r="Q125" s="57" t="str">
        <f t="shared" si="44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>
      <c r="A126" s="7"/>
      <c r="B126" s="47"/>
      <c r="C126" s="47"/>
      <c r="D126" s="48"/>
      <c r="E126" s="48"/>
      <c r="F126" s="58"/>
      <c r="G126" s="7"/>
      <c r="H126" s="7"/>
      <c r="I126" s="55" t="str">
        <f t="shared" si="38"/>
        <v/>
      </c>
      <c r="J126" s="55" t="str">
        <f t="shared" si="39"/>
        <v/>
      </c>
      <c r="K126" s="56" t="str">
        <f t="shared" si="40"/>
        <v/>
      </c>
      <c r="L126" s="56" t="str">
        <f t="shared" si="41"/>
        <v/>
      </c>
      <c r="M126" s="56" t="str">
        <f t="shared" si="36"/>
        <v/>
      </c>
      <c r="N126" s="56" t="str">
        <f t="shared" si="42"/>
        <v/>
      </c>
      <c r="O126" s="57" t="str">
        <f t="shared" si="37"/>
        <v/>
      </c>
      <c r="P126" s="57" t="str">
        <f t="shared" si="43"/>
        <v/>
      </c>
      <c r="Q126" s="57" t="str">
        <f t="shared" si="44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>
      <c r="A127" s="7"/>
      <c r="B127" s="47"/>
      <c r="C127" s="47"/>
      <c r="D127" s="48"/>
      <c r="E127" s="48"/>
      <c r="F127" s="58"/>
      <c r="G127" s="7"/>
      <c r="H127" s="7"/>
      <c r="I127" s="55" t="str">
        <f t="shared" si="38"/>
        <v/>
      </c>
      <c r="J127" s="55" t="str">
        <f t="shared" si="39"/>
        <v/>
      </c>
      <c r="K127" s="56" t="str">
        <f t="shared" si="40"/>
        <v/>
      </c>
      <c r="L127" s="56" t="str">
        <f t="shared" si="41"/>
        <v/>
      </c>
      <c r="M127" s="56" t="str">
        <f t="shared" si="36"/>
        <v/>
      </c>
      <c r="N127" s="56" t="str">
        <f t="shared" si="42"/>
        <v/>
      </c>
      <c r="O127" s="57" t="str">
        <f t="shared" si="37"/>
        <v/>
      </c>
      <c r="P127" s="57" t="str">
        <f t="shared" si="43"/>
        <v/>
      </c>
      <c r="Q127" s="57" t="str">
        <f t="shared" si="44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>
      <c r="A128" s="7"/>
      <c r="B128" s="82" t="s">
        <v>74</v>
      </c>
      <c r="C128" s="49"/>
      <c r="D128" s="49"/>
      <c r="E128" s="49"/>
      <c r="F128" s="49"/>
      <c r="G128" s="7"/>
      <c r="H128" s="7"/>
      <c r="I128" s="82" t="s">
        <v>74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Lin, Hsing-Chieh</cp:lastModifiedBy>
  <dcterms:created xsi:type="dcterms:W3CDTF">2016-11-02T11:21:18Z</dcterms:created>
  <dcterms:modified xsi:type="dcterms:W3CDTF">2024-04-10T19:40:39Z</dcterms:modified>
</cp:coreProperties>
</file>