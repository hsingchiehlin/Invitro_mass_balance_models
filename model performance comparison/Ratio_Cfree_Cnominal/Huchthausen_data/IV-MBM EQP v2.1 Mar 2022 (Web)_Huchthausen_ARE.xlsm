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Armitage\Validation_Hsu\"/>
    </mc:Choice>
  </mc:AlternateContent>
  <xr:revisionPtr revIDLastSave="0" documentId="13_ncr:1_{ADD7C4BF-A88A-4006-8BF7-D92C322AB87D}" xr6:coauthVersionLast="47" xr6:coauthVersionMax="47" xr10:uidLastSave="{00000000-0000-0000-0000-000000000000}"/>
  <bookViews>
    <workbookView xWindow="-98" yWindow="-98" windowWidth="21795" windowHeight="13875" tabRatio="841" firstSheet="2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1" i="2" l="1"/>
  <c r="J24" i="2"/>
  <c r="J23" i="2"/>
  <c r="O1" i="15"/>
</calcChain>
</file>

<file path=xl/sharedStrings.xml><?xml version="1.0" encoding="utf-8"?>
<sst xmlns="http://schemas.openxmlformats.org/spreadsheetml/2006/main" count="529" uniqueCount="298">
  <si>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</si>
  <si>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</si>
  <si>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</si>
  <si>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</si>
  <si>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</si>
  <si>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</si>
  <si>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</si>
  <si>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</si>
  <si>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</si>
  <si>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</si>
  <si>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</si>
  <si>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</si>
  <si>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</si>
  <si>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</si>
  <si>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</si>
  <si>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</si>
  <si>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</si>
  <si>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</si>
  <si>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</si>
  <si>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</si>
  <si>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</si>
  <si>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</si>
  <si>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</si>
  <si>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</si>
  <si>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</si>
  <si>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</si>
  <si>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</si>
  <si>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</si>
  <si>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</si>
  <si>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</si>
  <si>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</si>
  <si>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</si>
  <si>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</si>
  <si>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</si>
  <si>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</si>
  <si>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</si>
  <si>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</si>
  <si>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</si>
  <si>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</si>
  <si>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</si>
  <si>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</si>
  <si>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</si>
  <si>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</si>
  <si>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</si>
  <si>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</si>
  <si>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</si>
  <si>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</si>
  <si>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</si>
  <si>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</si>
  <si>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</si>
  <si>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</si>
  <si>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</si>
  <si>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</si>
  <si>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</si>
  <si>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</si>
  <si>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</si>
  <si>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</si>
  <si>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</si>
  <si>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</si>
  <si>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</si>
  <si>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</si>
  <si>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</si>
  <si>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</si>
  <si>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</si>
  <si>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</si>
  <si>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</si>
  <si>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</si>
  <si>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</si>
  <si>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</si>
  <si>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</si>
  <si>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</si>
  <si>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</si>
  <si>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</si>
  <si>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</si>
  <si>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</si>
  <si>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</si>
  <si>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</si>
  <si>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</si>
  <si>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</si>
  <si>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</si>
  <si>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</si>
  <si>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</si>
  <si>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</si>
  <si>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</si>
  <si>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</si>
  <si>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</si>
  <si>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</si>
  <si>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</si>
  <si>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</si>
  <si>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</si>
  <si>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</si>
  <si>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</si>
  <si>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</si>
  <si>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</si>
  <si>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</si>
  <si>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</si>
  <si>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</si>
  <si>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</si>
  <si>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</si>
  <si>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</si>
  <si>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</si>
  <si>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</si>
  <si>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</si>
  <si>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</si>
  <si>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</si>
  <si>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</si>
  <si>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</si>
  <si>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</si>
  <si>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</si>
  <si>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</si>
  <si>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</si>
  <si>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</si>
  <si>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</si>
  <si>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</si>
  <si>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</si>
  <si>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</si>
  <si>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</si>
  <si>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</si>
  <si>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</si>
  <si>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</si>
  <si>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</si>
  <si>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</si>
  <si>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</si>
  <si>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</si>
  <si>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</si>
  <si>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</si>
  <si>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</si>
  <si>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</si>
  <si>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</si>
  <si>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</si>
  <si>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</si>
  <si>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</si>
  <si>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</si>
  <si>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</si>
  <si>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</si>
  <si>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</si>
  <si>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</si>
  <si>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</si>
  <si>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</si>
  <si>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</si>
  <si>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</si>
  <si>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</si>
  <si>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</si>
  <si>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</si>
  <si>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</si>
  <si>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</si>
  <si>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</si>
  <si>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</si>
  <si>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</si>
  <si>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</si>
  <si>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</si>
  <si>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</si>
  <si>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</si>
  <si>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</si>
  <si>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</si>
  <si>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</si>
  <si>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</si>
  <si>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</si>
  <si>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</si>
  <si>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</si>
  <si>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</si>
  <si>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</si>
  <si>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</si>
  <si>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</si>
  <si>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</si>
  <si>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</si>
  <si>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</si>
  <si>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</si>
  <si>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</si>
  <si>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</si>
  <si>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</si>
  <si>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</si>
  <si>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</si>
  <si>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</si>
  <si>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</si>
  <si>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</si>
  <si>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</si>
  <si>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</si>
  <si>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</si>
  <si>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</si>
  <si>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</si>
  <si>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</si>
  <si>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</si>
  <si>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</si>
  <si>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</si>
  <si>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</si>
  <si>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</si>
  <si>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</si>
  <si>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</si>
  <si>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</si>
  <si>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</si>
  <si>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</si>
  <si>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</si>
  <si>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</si>
  <si>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</si>
  <si>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</si>
  <si>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</si>
  <si>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</si>
  <si>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</si>
  <si>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</si>
  <si>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</si>
  <si>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</si>
  <si>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</si>
  <si>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</si>
  <si>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</si>
  <si>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</si>
  <si>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</si>
  <si>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</si>
  <si>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</si>
  <si>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</si>
  <si>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</si>
  <si>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</si>
  <si>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</si>
  <si>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</si>
  <si>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</si>
  <si>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</si>
  <si>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</si>
  <si>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</si>
  <si>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</si>
  <si>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</si>
  <si>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</si>
  <si>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</si>
  <si>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</si>
  <si>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</si>
  <si>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</si>
  <si>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</si>
  <si>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</si>
  <si>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</si>
  <si>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</si>
  <si>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</si>
  <si>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</si>
  <si>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</si>
  <si>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</si>
  <si>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</si>
  <si>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</si>
  <si>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</si>
  <si>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</si>
  <si>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</si>
  <si>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</si>
  <si>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</si>
  <si>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</si>
  <si>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</si>
  <si>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</si>
  <si>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</si>
  <si>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</si>
  <si>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</si>
  <si>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</si>
  <si>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</si>
  <si>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</si>
  <si>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</si>
  <si>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</si>
  <si>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</si>
  <si>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</si>
  <si>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</si>
  <si>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</si>
  <si>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</si>
  <si>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</si>
  <si>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</si>
  <si>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</si>
  <si>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</si>
  <si>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</si>
  <si>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</si>
  <si>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</si>
  <si>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</si>
  <si>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</si>
  <si>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</si>
  <si>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</si>
  <si>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</si>
  <si>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</si>
  <si>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Caffeine</t>
  </si>
  <si>
    <t>A</t>
  </si>
  <si>
    <t>58-08-2</t>
  </si>
  <si>
    <t>--&gt;</t>
  </si>
  <si>
    <t>Lamotrigine</t>
  </si>
  <si>
    <t>84057-84-1</t>
    <phoneticPr fontId="23" type="noConversion"/>
  </si>
  <si>
    <t>Diclofenac</t>
  </si>
  <si>
    <t>15307-79-6</t>
    <phoneticPr fontId="23" type="noConversion"/>
  </si>
  <si>
    <t>2,4-Dichlorophenoxyacetic</t>
  </si>
  <si>
    <t>94-75-7</t>
    <phoneticPr fontId="23" type="noConversion"/>
  </si>
  <si>
    <t>(S)-Naproxen</t>
  </si>
  <si>
    <t>22204-53-1</t>
    <phoneticPr fontId="23" type="noConversion"/>
  </si>
  <si>
    <t>Ibuprofen</t>
  </si>
  <si>
    <t>15687-27-1</t>
    <phoneticPr fontId="23" type="noConversion"/>
  </si>
  <si>
    <t>Torasemide</t>
  </si>
  <si>
    <t>56211-40-6</t>
    <phoneticPr fontId="23" type="noConversion"/>
  </si>
  <si>
    <t>Warfarin</t>
  </si>
  <si>
    <t>81-81-2</t>
    <phoneticPr fontId="23" type="noConversion"/>
  </si>
  <si>
    <t>84057-84-1</t>
  </si>
  <si>
    <t>15307-79-6</t>
  </si>
  <si>
    <t>94-75-7</t>
  </si>
  <si>
    <t>22204-53-1</t>
  </si>
  <si>
    <t>15687-27-1</t>
  </si>
  <si>
    <t>56211-40-6</t>
  </si>
  <si>
    <t>81-81-2</t>
  </si>
  <si>
    <t>B</t>
  </si>
  <si>
    <t>N</t>
    <phoneticPr fontId="23" type="noConversion"/>
  </si>
  <si>
    <t>B</t>
    <phoneticPr fontId="23" type="noConversion"/>
  </si>
  <si>
    <t>A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</si>
</sst>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  <numFmt numFmtId="183" formatCode="0.00_);[Red]\(0.00\)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6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176" fontId="21" fillId="3" borderId="2" xfId="0" applyNumberFormat="1" applyFont="1" applyFill="1" applyBorder="1" applyAlignment="1">
      <alignment horizontal="center"/>
    </xf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180" fontId="21" fillId="3" borderId="2" xfId="0" applyNumberFormat="1" applyFont="1" applyFill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49" fontId="33" fillId="0" borderId="0" xfId="0" applyNumberFormat="1" applyFont="1" applyAlignment="1">
      <alignment vertical="center"/>
    </xf>
    <xf numFmtId="183" fontId="1" fillId="0" borderId="0" xfId="0" applyNumberFormat="1" applyFont="1" applyAlignment="1">
      <alignment horizontal="center"/>
    </xf>
    <xf numFmtId="11" fontId="1" fillId="4" borderId="9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8"/>
  <sheetViews>
    <sheetView topLeftCell="I1" zoomScale="90" zoomScaleNormal="90" workbookViewId="0">
      <pane ySplit="1" topLeftCell="A2" activePane="bottomLeft" state="frozen"/>
      <selection pane="bottomLeft" activeCell="Z9" sqref="Z9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30" ht="43.5">
      <c r="A1" s="32" t="s">
        <v>5</v>
      </c>
      <c r="B1" s="28" t="s">
        <v>6</v>
      </c>
      <c r="C1" s="28" t="s">
        <v>217</v>
      </c>
      <c r="D1" s="118" t="s">
        <v>7</v>
      </c>
      <c r="E1" s="118" t="s">
        <v>18</v>
      </c>
      <c r="F1" s="29" t="s">
        <v>149</v>
      </c>
      <c r="G1" s="123" t="s">
        <v>167</v>
      </c>
      <c r="H1" s="123" t="s">
        <v>168</v>
      </c>
      <c r="I1" s="119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9" t="s">
        <v>165</v>
      </c>
      <c r="U1" s="31" t="s">
        <v>77</v>
      </c>
      <c r="V1" s="120" t="s">
        <v>166</v>
      </c>
      <c r="W1" s="122" t="s">
        <v>175</v>
      </c>
      <c r="X1" s="122" t="s">
        <v>177</v>
      </c>
      <c r="Y1" s="121" t="s">
        <v>51</v>
      </c>
      <c r="Z1" s="120" t="s">
        <v>134</v>
      </c>
      <c r="AA1" s="6"/>
    </row>
    <row r="2" spans="1:30" s="99" customFormat="1">
      <c r="A2" s="99" t="s">
        <v>269</v>
      </c>
      <c r="B2" s="100" t="str">
        <f>"58-08-2"</f>
        <v>58-08-2</v>
      </c>
      <c r="C2" s="124"/>
      <c r="D2" s="101">
        <v>194.19</v>
      </c>
      <c r="E2" s="101">
        <v>238</v>
      </c>
      <c r="F2" s="100"/>
      <c r="G2" s="101" t="s">
        <v>295</v>
      </c>
      <c r="H2" s="104"/>
      <c r="I2" s="104">
        <v>-7.0000000000000007E-2</v>
      </c>
      <c r="J2" s="104"/>
      <c r="K2" s="100"/>
      <c r="L2" s="100"/>
      <c r="M2" s="100"/>
      <c r="N2" s="100"/>
      <c r="O2" s="104"/>
      <c r="P2" s="104"/>
      <c r="Q2" s="104"/>
      <c r="R2" s="100"/>
      <c r="S2" s="112"/>
      <c r="T2" s="104">
        <v>-9.9499999999999993</v>
      </c>
      <c r="U2" s="104"/>
      <c r="V2" s="112">
        <v>21749.279999999999</v>
      </c>
      <c r="W2" s="112"/>
      <c r="X2" s="104"/>
      <c r="Y2" s="100"/>
      <c r="Z2" s="112">
        <v>3680</v>
      </c>
    </row>
    <row r="3" spans="1:30" s="99" customFormat="1">
      <c r="A3" s="99" t="s">
        <v>273</v>
      </c>
      <c r="B3" s="100" t="s">
        <v>274</v>
      </c>
      <c r="C3" s="124"/>
      <c r="D3" s="101">
        <v>256.08999999999997</v>
      </c>
      <c r="E3" s="101">
        <v>207</v>
      </c>
      <c r="F3" s="101"/>
      <c r="G3" s="101" t="s">
        <v>296</v>
      </c>
      <c r="H3" s="104">
        <v>6.6</v>
      </c>
      <c r="I3" s="104">
        <v>2.57</v>
      </c>
      <c r="J3" s="104"/>
      <c r="K3" s="100"/>
      <c r="L3" s="100"/>
      <c r="M3" s="100"/>
      <c r="N3" s="100"/>
      <c r="O3" s="104"/>
      <c r="P3" s="104"/>
      <c r="Q3" s="104"/>
      <c r="R3" s="100"/>
      <c r="S3" s="112"/>
      <c r="T3" s="104">
        <v>-9.6999999999999993</v>
      </c>
      <c r="U3" s="100"/>
      <c r="V3" s="112">
        <v>249.94383999999999</v>
      </c>
      <c r="W3" s="112"/>
      <c r="X3" s="104"/>
      <c r="Y3" s="100"/>
      <c r="Z3" s="112">
        <v>863</v>
      </c>
      <c r="AA3" s="18"/>
    </row>
    <row r="4" spans="1:30" s="99" customFormat="1">
      <c r="A4" s="99" t="s">
        <v>275</v>
      </c>
      <c r="B4" s="100" t="s">
        <v>276</v>
      </c>
      <c r="C4" s="124"/>
      <c r="D4" s="101">
        <v>296.14999999999998</v>
      </c>
      <c r="E4" s="101">
        <v>284</v>
      </c>
      <c r="F4" s="100"/>
      <c r="G4" s="101" t="s">
        <v>296</v>
      </c>
      <c r="H4" s="104">
        <v>17.600000000000001</v>
      </c>
      <c r="I4" s="104">
        <v>0.7</v>
      </c>
      <c r="J4" s="104"/>
      <c r="K4" s="100"/>
      <c r="L4" s="100"/>
      <c r="M4" s="100"/>
      <c r="N4" s="100"/>
      <c r="O4" s="104"/>
      <c r="P4" s="104"/>
      <c r="Q4" s="104"/>
      <c r="R4" s="100"/>
      <c r="S4" s="112"/>
      <c r="T4" s="104">
        <v>-9.0500000000000007</v>
      </c>
      <c r="U4" s="104"/>
      <c r="V4" s="112">
        <v>7.0187549999999996</v>
      </c>
      <c r="W4" s="112"/>
      <c r="X4" s="104"/>
      <c r="Y4" s="100"/>
      <c r="Z4" s="112">
        <v>89.4</v>
      </c>
      <c r="AA4" s="109"/>
    </row>
    <row r="5" spans="1:30" s="99" customFormat="1">
      <c r="A5" s="99" t="s">
        <v>277</v>
      </c>
      <c r="B5" s="100" t="s">
        <v>278</v>
      </c>
      <c r="C5" s="124"/>
      <c r="D5" s="101">
        <v>221.04</v>
      </c>
      <c r="E5" s="101">
        <v>140</v>
      </c>
      <c r="F5" s="100"/>
      <c r="G5" s="101" t="s">
        <v>297</v>
      </c>
      <c r="H5" s="104">
        <v>2.7</v>
      </c>
      <c r="I5" s="104">
        <v>2.81</v>
      </c>
      <c r="J5" s="104"/>
      <c r="K5" s="100"/>
      <c r="L5" s="100"/>
      <c r="M5" s="100"/>
      <c r="N5" s="100"/>
      <c r="O5" s="104"/>
      <c r="P5" s="104"/>
      <c r="Q5" s="104"/>
      <c r="R5" s="100"/>
      <c r="S5" s="112"/>
      <c r="T5" s="104">
        <v>-7.08</v>
      </c>
      <c r="U5" s="104"/>
      <c r="V5" s="112">
        <v>1644.5376000000001</v>
      </c>
      <c r="W5" s="112"/>
      <c r="X5" s="104"/>
      <c r="Y5" s="100"/>
      <c r="Z5" s="112">
        <v>316</v>
      </c>
    </row>
    <row r="6" spans="1:30" s="99" customFormat="1">
      <c r="A6" s="99" t="s">
        <v>279</v>
      </c>
      <c r="B6" s="100" t="s">
        <v>280</v>
      </c>
      <c r="C6" s="124"/>
      <c r="D6" s="101">
        <v>230.26</v>
      </c>
      <c r="E6" s="101">
        <v>153</v>
      </c>
      <c r="F6" s="100"/>
      <c r="G6" s="101" t="s">
        <v>297</v>
      </c>
      <c r="H6" s="104">
        <v>4.4000000000000004</v>
      </c>
      <c r="I6" s="104">
        <v>3.18</v>
      </c>
      <c r="J6" s="104"/>
      <c r="K6" s="100"/>
      <c r="L6" s="100"/>
      <c r="M6" s="100"/>
      <c r="N6" s="100"/>
      <c r="O6" s="104"/>
      <c r="P6" s="104"/>
      <c r="Q6" s="104"/>
      <c r="R6" s="100"/>
      <c r="S6" s="112"/>
      <c r="T6" s="104">
        <v>-9.64</v>
      </c>
      <c r="U6" s="104"/>
      <c r="V6" s="112">
        <v>13.355079999999999</v>
      </c>
      <c r="W6" s="112"/>
      <c r="X6" s="104"/>
      <c r="Y6" s="100"/>
      <c r="Z6" s="112">
        <v>411</v>
      </c>
    </row>
    <row r="7" spans="1:30" s="99" customFormat="1">
      <c r="A7" s="99" t="s">
        <v>281</v>
      </c>
      <c r="B7" s="100" t="s">
        <v>282</v>
      </c>
      <c r="C7" s="125"/>
      <c r="D7" s="101">
        <v>206.28</v>
      </c>
      <c r="E7" s="101">
        <v>89.1</v>
      </c>
      <c r="F7" s="100"/>
      <c r="G7" s="101" t="s">
        <v>297</v>
      </c>
      <c r="H7" s="104">
        <v>5.4</v>
      </c>
      <c r="I7" s="104">
        <v>3.73</v>
      </c>
      <c r="J7" s="104"/>
      <c r="K7" s="100"/>
      <c r="L7" s="100"/>
      <c r="M7" s="100"/>
      <c r="N7" s="100"/>
      <c r="O7" s="104"/>
      <c r="P7" s="104"/>
      <c r="Q7" s="104"/>
      <c r="R7" s="100"/>
      <c r="S7" s="112"/>
      <c r="T7" s="104">
        <v>-6.22</v>
      </c>
      <c r="U7" s="104"/>
      <c r="V7" s="112">
        <v>35.686439999999997</v>
      </c>
      <c r="W7" s="112"/>
      <c r="X7" s="104"/>
      <c r="Y7" s="100"/>
      <c r="Z7" s="112">
        <v>263</v>
      </c>
    </row>
    <row r="8" spans="1:30" s="99" customFormat="1" ht="13.15">
      <c r="A8" s="99" t="s">
        <v>283</v>
      </c>
      <c r="B8" s="100" t="s">
        <v>284</v>
      </c>
      <c r="C8" s="125"/>
      <c r="D8" s="101">
        <v>348.42</v>
      </c>
      <c r="E8" s="101">
        <v>224</v>
      </c>
      <c r="F8" s="100"/>
      <c r="G8" s="101" t="s">
        <v>297</v>
      </c>
      <c r="H8" s="104">
        <v>4</v>
      </c>
      <c r="I8" s="104">
        <v>3.37</v>
      </c>
      <c r="J8" s="104"/>
      <c r="K8" s="100"/>
      <c r="L8" s="100"/>
      <c r="M8" s="100"/>
      <c r="N8" s="100"/>
      <c r="O8" s="104"/>
      <c r="P8" s="104"/>
      <c r="Q8" s="104"/>
      <c r="R8" s="100"/>
      <c r="S8" s="112"/>
      <c r="T8" s="104">
        <v>-15.3</v>
      </c>
      <c r="U8" s="104"/>
      <c r="V8" s="112">
        <v>79.788179999999997</v>
      </c>
      <c r="W8" s="112"/>
      <c r="X8" s="104"/>
      <c r="Y8" s="100"/>
      <c r="Z8" s="112">
        <v>1100</v>
      </c>
      <c r="AA8" s="15"/>
    </row>
    <row r="9" spans="1:30" s="99" customFormat="1">
      <c r="A9" s="99" t="s">
        <v>285</v>
      </c>
      <c r="B9" s="100" t="s">
        <v>286</v>
      </c>
      <c r="C9" s="124"/>
      <c r="D9" s="101">
        <v>308.33</v>
      </c>
      <c r="E9" s="101">
        <v>161</v>
      </c>
      <c r="F9" s="101"/>
      <c r="G9" s="101" t="s">
        <v>297</v>
      </c>
      <c r="H9" s="104">
        <v>4.5</v>
      </c>
      <c r="I9" s="104">
        <v>2.7</v>
      </c>
      <c r="J9" s="104"/>
      <c r="K9" s="100"/>
      <c r="L9" s="100"/>
      <c r="M9" s="100"/>
      <c r="N9" s="100"/>
      <c r="O9" s="104"/>
      <c r="P9" s="104"/>
      <c r="Q9" s="104"/>
      <c r="R9" s="100"/>
      <c r="S9" s="112"/>
      <c r="T9" s="104">
        <v>-11.6</v>
      </c>
      <c r="U9" s="104"/>
      <c r="V9" s="112">
        <v>29.692178999999999</v>
      </c>
      <c r="W9" s="112"/>
      <c r="X9" s="104"/>
      <c r="Y9" s="100"/>
      <c r="Z9" s="112">
        <v>215</v>
      </c>
      <c r="AA9" s="18"/>
    </row>
    <row r="10" spans="1:30" s="99" customFormat="1" ht="16.149999999999999">
      <c r="B10" s="157"/>
      <c r="C10" s="124"/>
      <c r="D10" s="101"/>
      <c r="E10" s="101"/>
      <c r="F10" s="101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58"/>
      <c r="W10" s="112"/>
      <c r="X10" s="100"/>
      <c r="Y10" s="100"/>
      <c r="Z10" s="158"/>
      <c r="AA10" s="98"/>
    </row>
    <row r="11" spans="1:30" s="99" customFormat="1" ht="16.149999999999999">
      <c r="B11" s="157"/>
      <c r="C11" s="124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58"/>
      <c r="W11" s="112"/>
      <c r="X11" s="104"/>
      <c r="Y11" s="100"/>
      <c r="Z11" s="158"/>
      <c r="AA11" s="18"/>
    </row>
    <row r="12" spans="1:30" s="99" customFormat="1" ht="16.149999999999999">
      <c r="B12" s="157"/>
      <c r="C12" s="124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58"/>
      <c r="W12" s="112"/>
      <c r="X12" s="100"/>
      <c r="Y12" s="100"/>
      <c r="Z12" s="158"/>
      <c r="AA12" s="98"/>
    </row>
    <row r="13" spans="1:30" s="99" customFormat="1" ht="16.149999999999999">
      <c r="B13" s="157"/>
      <c r="C13" s="125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58"/>
      <c r="W13" s="112"/>
      <c r="X13" s="104"/>
      <c r="Y13" s="100"/>
      <c r="Z13" s="158"/>
    </row>
    <row r="14" spans="1:30" s="99" customFormat="1" ht="16.149999999999999">
      <c r="B14" s="157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58"/>
      <c r="W14" s="112"/>
      <c r="X14" s="100"/>
      <c r="Y14" s="100"/>
      <c r="Z14" s="158"/>
      <c r="AA14" s="98"/>
    </row>
    <row r="15" spans="1:30" s="99" customFormat="1" ht="16.149999999999999">
      <c r="B15" s="157"/>
      <c r="C15" s="124"/>
      <c r="D15" s="101"/>
      <c r="E15" s="101"/>
      <c r="F15" s="100"/>
      <c r="G15" s="101"/>
      <c r="H15" s="104"/>
      <c r="I15" s="104"/>
      <c r="J15" s="100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58"/>
      <c r="W15" s="112"/>
      <c r="X15" s="104"/>
      <c r="Y15" s="100"/>
      <c r="Z15" s="158"/>
      <c r="AA15" s="109"/>
    </row>
    <row r="16" spans="1:30" s="99" customFormat="1" ht="16.149999999999999">
      <c r="B16" s="157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58"/>
      <c r="W16" s="112"/>
      <c r="X16" s="104"/>
      <c r="Y16" s="100"/>
      <c r="Z16" s="158"/>
      <c r="AD16" s="109"/>
    </row>
    <row r="17" spans="2:30" s="99" customFormat="1" ht="16.149999999999999">
      <c r="B17" s="157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58"/>
      <c r="W17" s="112"/>
      <c r="X17" s="104"/>
      <c r="Y17" s="100"/>
      <c r="Z17" s="158"/>
      <c r="AA17" s="109"/>
    </row>
    <row r="18" spans="2:30" s="99" customFormat="1" ht="16.149999999999999">
      <c r="B18" s="157"/>
      <c r="C18" s="124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58"/>
      <c r="W18" s="112"/>
      <c r="X18" s="104"/>
      <c r="Y18" s="100"/>
      <c r="Z18" s="158"/>
    </row>
    <row r="19" spans="2:30" s="99" customFormat="1" ht="16.149999999999999">
      <c r="B19" s="157"/>
      <c r="C19" s="125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58"/>
      <c r="W19" s="112"/>
      <c r="X19" s="104"/>
      <c r="Y19" s="100"/>
      <c r="Z19" s="158"/>
      <c r="AA19" s="127"/>
    </row>
    <row r="20" spans="2:30" s="99" customFormat="1" ht="16.149999999999999">
      <c r="B20" s="157"/>
      <c r="C20" s="124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58"/>
      <c r="W20" s="112"/>
      <c r="X20" s="104"/>
      <c r="Y20" s="100"/>
      <c r="Z20" s="158"/>
    </row>
    <row r="21" spans="2:30" s="99" customFormat="1" ht="16.149999999999999">
      <c r="B21" s="157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58"/>
      <c r="W21" s="112"/>
      <c r="X21" s="104"/>
      <c r="Y21" s="100"/>
      <c r="Z21" s="158"/>
      <c r="AA21" s="18"/>
    </row>
    <row r="22" spans="2:30" s="99" customFormat="1" ht="16.149999999999999">
      <c r="B22" s="157"/>
      <c r="C22" s="124"/>
      <c r="D22" s="101"/>
      <c r="E22" s="101"/>
      <c r="F22" s="101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58"/>
      <c r="W22" s="112"/>
      <c r="X22" s="104"/>
      <c r="Y22" s="100"/>
      <c r="Z22" s="158"/>
      <c r="AA22" s="109"/>
      <c r="AD22" s="109"/>
    </row>
    <row r="23" spans="2:30" s="99" customFormat="1" ht="16.149999999999999">
      <c r="B23" s="157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58"/>
      <c r="W23" s="112"/>
      <c r="X23" s="104"/>
      <c r="Y23" s="100"/>
      <c r="Z23" s="158"/>
      <c r="AA23" s="109"/>
    </row>
    <row r="24" spans="2:30" s="99" customFormat="1" ht="16.149999999999999">
      <c r="B24" s="157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58"/>
      <c r="W24" s="112"/>
      <c r="X24" s="104"/>
      <c r="Y24" s="100"/>
      <c r="Z24" s="158"/>
      <c r="AA24" s="24"/>
    </row>
    <row r="25" spans="2:30" s="99" customFormat="1">
      <c r="B25" s="100"/>
      <c r="C25" s="124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1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34"/>
      <c r="AA38" s="100"/>
      <c r="AB38" s="100"/>
      <c r="AC38" s="101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0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5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>
      <c r="A45" s="99"/>
      <c r="B45" s="100"/>
      <c r="C45" s="100"/>
      <c r="D45" s="101"/>
      <c r="H45" s="3"/>
      <c r="I45" s="104"/>
      <c r="T45" s="104"/>
      <c r="U45" s="100"/>
      <c r="V45" s="112"/>
      <c r="AA45" s="1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E49" s="2"/>
      <c r="F49" s="2"/>
      <c r="G49" s="2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100"/>
      <c r="F52" s="100"/>
      <c r="G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1"/>
      <c r="F68" s="101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Y283" s="9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</sheetData>
  <sortState xmlns:xlrd2="http://schemas.microsoft.com/office/spreadsheetml/2017/richdata2" ref="A2:AD1298">
    <sortCondition ref="T2:T1298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98" t="s">
        <v>160</v>
      </c>
    </row>
    <row r="5" spans="1:10" ht="15">
      <c r="A5" s="98" t="s">
        <v>183</v>
      </c>
    </row>
    <row r="6" spans="1:10">
      <c r="A6" s="58"/>
    </row>
    <row r="7" spans="1:10" ht="15.4">
      <c r="A7" s="114" t="s">
        <v>215</v>
      </c>
      <c r="H7" s="115" t="s">
        <v>178</v>
      </c>
    </row>
    <row r="8" spans="1:10">
      <c r="A8" s="11" t="b">
        <v>1</v>
      </c>
    </row>
    <row r="9" spans="1:10" ht="13.15">
      <c r="A9" s="11"/>
      <c r="H9" s="102" t="s">
        <v>179</v>
      </c>
      <c r="I9" s="103" t="s">
        <v>180</v>
      </c>
      <c r="J9" s="103" t="s">
        <v>181</v>
      </c>
    </row>
    <row r="10" spans="1:10" ht="15">
      <c r="A10" s="18" t="s">
        <v>43</v>
      </c>
      <c r="D10" s="17" t="s">
        <v>44</v>
      </c>
      <c r="H10" s="99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238</v>
      </c>
      <c r="I11" s="3">
        <v>3.5</v>
      </c>
      <c r="J11" s="3">
        <v>3.5</v>
      </c>
    </row>
    <row r="12" spans="1:10" ht="15">
      <c r="D12" s="11" t="s">
        <v>53</v>
      </c>
      <c r="H12" s="99" t="s">
        <v>185</v>
      </c>
      <c r="I12" s="3">
        <v>1</v>
      </c>
      <c r="J12" s="3">
        <v>1</v>
      </c>
    </row>
    <row r="13" spans="1:10" ht="15">
      <c r="D13" s="2" t="s">
        <v>42</v>
      </c>
      <c r="H13" s="99" t="s">
        <v>186</v>
      </c>
      <c r="I13" s="3">
        <v>0</v>
      </c>
      <c r="J13" s="3">
        <v>1</v>
      </c>
    </row>
    <row r="14" spans="1:10" ht="15">
      <c r="D14" s="11" t="s">
        <v>54</v>
      </c>
      <c r="H14" s="99" t="s">
        <v>182</v>
      </c>
      <c r="I14" s="3">
        <v>3.5</v>
      </c>
      <c r="J14" s="3">
        <v>3.5</v>
      </c>
    </row>
    <row r="16" spans="1:10" ht="13.9">
      <c r="A16" s="116" t="s">
        <v>49</v>
      </c>
      <c r="H16" s="115" t="s">
        <v>200</v>
      </c>
    </row>
    <row r="17" spans="1:11">
      <c r="A17" s="2" t="s">
        <v>50</v>
      </c>
    </row>
    <row r="18" spans="1:11" ht="13.15">
      <c r="A18" s="11" t="s">
        <v>48</v>
      </c>
      <c r="H18" s="102" t="s">
        <v>179</v>
      </c>
      <c r="I18" s="103" t="s">
        <v>180</v>
      </c>
      <c r="J18" s="103" t="s">
        <v>181</v>
      </c>
    </row>
    <row r="19" spans="1:11">
      <c r="H19" s="99" t="s">
        <v>201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207</v>
      </c>
      <c r="I26" s="111"/>
    </row>
    <row r="27" spans="1:11">
      <c r="A27" s="11"/>
      <c r="H27" s="99" t="s">
        <v>164</v>
      </c>
      <c r="I27" s="100">
        <v>5.0999999999999996</v>
      </c>
    </row>
    <row r="28" spans="1:11" ht="13.9">
      <c r="A28" s="117" t="s">
        <v>163</v>
      </c>
      <c r="H28" s="99" t="s">
        <v>204</v>
      </c>
      <c r="I28" s="3">
        <v>6.7999999999999996E-3</v>
      </c>
      <c r="K28" s="3"/>
    </row>
    <row r="29" spans="1:11">
      <c r="A29" s="11" t="b">
        <v>1</v>
      </c>
      <c r="H29" s="99" t="s">
        <v>205</v>
      </c>
      <c r="I29" s="3">
        <v>500</v>
      </c>
      <c r="J29" s="99" t="s">
        <v>206</v>
      </c>
    </row>
    <row r="31" spans="1:11">
      <c r="A31" s="18" t="s">
        <v>43</v>
      </c>
      <c r="B31" s="99" t="s">
        <v>161</v>
      </c>
    </row>
    <row r="33" spans="1:2">
      <c r="A33" s="18" t="s">
        <v>44</v>
      </c>
      <c r="B33" s="99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2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5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99" t="s">
        <v>228</v>
      </c>
      <c r="B16" s="100">
        <v>12</v>
      </c>
      <c r="C16" s="149">
        <v>6.4</v>
      </c>
      <c r="D16" s="150">
        <v>32</v>
      </c>
      <c r="E16" s="150">
        <v>360</v>
      </c>
      <c r="F16" s="148" t="s">
        <v>105</v>
      </c>
      <c r="G16" s="150">
        <v>220</v>
      </c>
      <c r="H16" s="150">
        <v>20000</v>
      </c>
      <c r="I16" s="151"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C1"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220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143">
        <v>7000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59">
        <v>0.38702399999999998</v>
      </c>
      <c r="C9" s="75" t="s">
        <v>99</v>
      </c>
      <c r="F9" s="76" t="s">
        <v>68</v>
      </c>
      <c r="G9" s="160">
        <v>4.6000000000000001E-4</v>
      </c>
      <c r="H9" s="75" t="s">
        <v>55</v>
      </c>
      <c r="I9" s="76"/>
      <c r="J9" s="76" t="s">
        <v>157</v>
      </c>
      <c r="K9" s="131">
        <v>0.1</v>
      </c>
      <c r="L9" s="76" t="s">
        <v>26</v>
      </c>
      <c r="M9" s="78" t="s">
        <v>147</v>
      </c>
    </row>
    <row r="10" spans="1:13" ht="17.25">
      <c r="A10" s="76" t="s">
        <v>115</v>
      </c>
      <c r="B10" s="159">
        <v>4.1799999999999997E-2</v>
      </c>
      <c r="C10" s="75" t="s">
        <v>99</v>
      </c>
      <c r="F10" s="76" t="s">
        <v>69</v>
      </c>
      <c r="G10" s="161">
        <v>4.1399999999999996E-3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59">
        <v>0</v>
      </c>
      <c r="C11" s="75" t="s">
        <v>99</v>
      </c>
      <c r="F11" s="76" t="s">
        <v>145</v>
      </c>
      <c r="G11" s="162">
        <v>5.1400000000000001E-2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3">
        <v>0.2</v>
      </c>
      <c r="C12" s="75" t="s">
        <v>99</v>
      </c>
      <c r="F12" s="76" t="s">
        <v>45</v>
      </c>
      <c r="G12" s="161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89">
        <v>0.2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9.0909090909090909E-4</v>
      </c>
      <c r="K21" s="76" t="s">
        <v>125</v>
      </c>
      <c r="M21" s="75"/>
    </row>
    <row r="22" spans="1:13" ht="13.15" thickBot="1">
      <c r="A22" s="75"/>
      <c r="C22" s="76"/>
      <c r="F22" s="99" t="s">
        <v>164</v>
      </c>
      <c r="G22" s="88">
        <v>7.4</v>
      </c>
      <c r="J22" s="92">
        <f>B12*(G9+G10)/B6</f>
        <v>4.1818181818181823E-6</v>
      </c>
      <c r="K22" s="78" t="s">
        <v>126</v>
      </c>
      <c r="L22" s="93"/>
    </row>
    <row r="23" spans="1:13" ht="13.15">
      <c r="A23" s="74" t="s">
        <v>142</v>
      </c>
      <c r="B23" s="75"/>
      <c r="C23" s="93"/>
      <c r="D23" s="76"/>
      <c r="E23" s="76"/>
      <c r="F23" s="74" t="s">
        <v>136</v>
      </c>
      <c r="J23" s="92">
        <f>B10/B6</f>
        <v>1.8999999999999998E-4</v>
      </c>
      <c r="K23" s="76" t="s">
        <v>127</v>
      </c>
    </row>
    <row r="24" spans="1:13" ht="13.15" thickBot="1">
      <c r="A24" s="76" t="s">
        <v>143</v>
      </c>
      <c r="B24" s="93"/>
      <c r="C24" s="93"/>
      <c r="D24" s="76"/>
      <c r="E24" s="76"/>
      <c r="F24" s="76" t="s">
        <v>138</v>
      </c>
      <c r="G24" s="75" t="b">
        <v>0</v>
      </c>
      <c r="I24" s="76"/>
      <c r="J24" s="94">
        <f>B9/B6</f>
        <v>1.7591999999999998E-3</v>
      </c>
      <c r="K24" s="76" t="s">
        <v>128</v>
      </c>
    </row>
    <row r="25" spans="1:13">
      <c r="C25" s="93"/>
      <c r="F25" s="76" t="s">
        <v>137</v>
      </c>
    </row>
    <row r="26" spans="1:13">
      <c r="B26" s="75"/>
      <c r="F26" s="95" t="s">
        <v>152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G28" s="75"/>
      <c r="H28" s="75"/>
      <c r="J28" s="96"/>
    </row>
    <row r="29" spans="1:13">
      <c r="B29" s="99"/>
      <c r="C29" s="152"/>
      <c r="J29" s="96"/>
    </row>
    <row r="30" spans="1:13">
      <c r="B30" s="99"/>
      <c r="E30" s="100"/>
    </row>
    <row r="31" spans="1:13">
      <c r="D31" s="100"/>
      <c r="E31" s="100"/>
    </row>
    <row r="32" spans="1:13">
      <c r="B32" s="99"/>
      <c r="D32" s="100"/>
      <c r="E32" s="100"/>
    </row>
    <row r="33" spans="2:5">
      <c r="B33" s="153"/>
      <c r="D33" s="100"/>
      <c r="E33" s="100"/>
    </row>
    <row r="34" spans="2:5">
      <c r="C34" s="100"/>
      <c r="D34" s="100"/>
    </row>
    <row r="35" spans="2:5">
      <c r="C35" s="100"/>
      <c r="D35" s="100"/>
    </row>
    <row r="36" spans="2:5">
      <c r="D36" s="100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9" sqref="N9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5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271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3.058015663378054E-4</v>
      </c>
      <c r="J2" s="67" t="s">
        <v>231</v>
      </c>
      <c r="K2" s="68">
        <v>3.4760873168470354</v>
      </c>
      <c r="L2" s="67" t="s">
        <v>272</v>
      </c>
      <c r="M2" s="68">
        <v>4.2864220219550999</v>
      </c>
      <c r="N2" s="67" t="s">
        <v>231</v>
      </c>
      <c r="P2" s="106" t="s">
        <v>188</v>
      </c>
    </row>
    <row r="3" spans="1:17">
      <c r="A3" s="65" t="s">
        <v>273</v>
      </c>
      <c r="B3" s="66" t="s">
        <v>287</v>
      </c>
      <c r="D3" s="66" t="s">
        <v>294</v>
      </c>
      <c r="E3" s="128">
        <v>6.6</v>
      </c>
      <c r="F3" s="67" t="s">
        <v>231</v>
      </c>
      <c r="G3" s="67" t="s">
        <v>231</v>
      </c>
      <c r="H3" s="67" t="s">
        <v>231</v>
      </c>
      <c r="I3" s="68">
        <v>1.1483290401359546E-2</v>
      </c>
      <c r="J3" s="67" t="s">
        <v>232</v>
      </c>
      <c r="K3" s="68">
        <v>4.083721960938969</v>
      </c>
      <c r="L3" s="67" t="s">
        <v>232</v>
      </c>
      <c r="M3" s="68">
        <v>352.50850753518694</v>
      </c>
      <c r="N3" s="67" t="s">
        <v>232</v>
      </c>
      <c r="P3" s="106" t="s">
        <v>189</v>
      </c>
    </row>
    <row r="4" spans="1:17">
      <c r="A4" s="65" t="s">
        <v>275</v>
      </c>
      <c r="B4" s="66" t="s">
        <v>288</v>
      </c>
      <c r="D4" s="66" t="s">
        <v>294</v>
      </c>
      <c r="E4" s="128">
        <v>17.600000000000001</v>
      </c>
      <c r="F4" s="67" t="s">
        <v>231</v>
      </c>
      <c r="G4" s="67" t="s">
        <v>231</v>
      </c>
      <c r="H4" s="67" t="s">
        <v>231</v>
      </c>
      <c r="I4" s="68">
        <v>8.1730664418395151E-13</v>
      </c>
      <c r="J4" s="67" t="s">
        <v>231</v>
      </c>
      <c r="K4" s="68">
        <v>9.382254270763285E-2</v>
      </c>
      <c r="L4" s="67" t="s">
        <v>231</v>
      </c>
      <c r="M4" s="68">
        <v>0.27287569252024818</v>
      </c>
      <c r="N4" s="67" t="s">
        <v>231</v>
      </c>
    </row>
    <row r="5" spans="1:17">
      <c r="A5" s="65" t="s">
        <v>277</v>
      </c>
      <c r="B5" s="66" t="s">
        <v>289</v>
      </c>
      <c r="D5" s="66" t="s">
        <v>270</v>
      </c>
      <c r="E5" s="128">
        <v>2.7</v>
      </c>
      <c r="F5" s="67" t="s">
        <v>231</v>
      </c>
      <c r="G5" s="67" t="s">
        <v>231</v>
      </c>
      <c r="H5" s="67" t="s">
        <v>231</v>
      </c>
      <c r="I5" s="68">
        <v>4.9781548229303694E-8</v>
      </c>
      <c r="J5" s="67" t="s">
        <v>231</v>
      </c>
      <c r="K5" s="68">
        <v>0.2885389380139764</v>
      </c>
      <c r="L5" s="67" t="s">
        <v>231</v>
      </c>
      <c r="M5" s="68">
        <v>18.344657278398937</v>
      </c>
      <c r="N5" s="67" t="s">
        <v>231</v>
      </c>
      <c r="P5" s="106" t="s">
        <v>190</v>
      </c>
    </row>
    <row r="6" spans="1:17">
      <c r="A6" s="65" t="s">
        <v>279</v>
      </c>
      <c r="B6" s="66" t="s">
        <v>290</v>
      </c>
      <c r="D6" s="66" t="s">
        <v>270</v>
      </c>
      <c r="E6" s="128">
        <v>4.4000000000000004</v>
      </c>
      <c r="F6" s="67" t="s">
        <v>231</v>
      </c>
      <c r="G6" s="67" t="s">
        <v>231</v>
      </c>
      <c r="H6" s="67" t="s">
        <v>231</v>
      </c>
      <c r="I6" s="68">
        <v>2.1765440728958299E-4</v>
      </c>
      <c r="J6" s="67" t="s">
        <v>231</v>
      </c>
      <c r="K6" s="68">
        <v>0.35942714708365375</v>
      </c>
      <c r="L6" s="67" t="s">
        <v>231</v>
      </c>
      <c r="M6" s="68">
        <v>39.676913424876247</v>
      </c>
      <c r="N6" s="67" t="s">
        <v>232</v>
      </c>
      <c r="P6" s="106" t="s">
        <v>191</v>
      </c>
    </row>
    <row r="7" spans="1:17">
      <c r="A7" s="65" t="s">
        <v>281</v>
      </c>
      <c r="B7" s="66" t="s">
        <v>291</v>
      </c>
      <c r="D7" s="66" t="s">
        <v>270</v>
      </c>
      <c r="E7" s="128">
        <v>5.4</v>
      </c>
      <c r="F7" s="67" t="s">
        <v>231</v>
      </c>
      <c r="G7" s="67" t="s">
        <v>231</v>
      </c>
      <c r="H7" s="67" t="s">
        <v>231</v>
      </c>
      <c r="I7" s="68">
        <v>7.5297911740231506E-4</v>
      </c>
      <c r="J7" s="67" t="s">
        <v>231</v>
      </c>
      <c r="K7" s="68">
        <v>0.22484109563714116</v>
      </c>
      <c r="L7" s="67" t="s">
        <v>231</v>
      </c>
      <c r="M7" s="68">
        <v>40.147134424826568</v>
      </c>
      <c r="N7" s="67" t="s">
        <v>232</v>
      </c>
      <c r="P7" s="106" t="s">
        <v>192</v>
      </c>
    </row>
    <row r="8" spans="1:17" ht="17.25">
      <c r="A8" s="65" t="s">
        <v>283</v>
      </c>
      <c r="B8" s="66" t="s">
        <v>292</v>
      </c>
      <c r="D8" s="66" t="s">
        <v>270</v>
      </c>
      <c r="E8" s="128">
        <v>4</v>
      </c>
      <c r="F8" s="67" t="s">
        <v>231</v>
      </c>
      <c r="G8" s="67" t="s">
        <v>231</v>
      </c>
      <c r="H8" s="67" t="s">
        <v>231</v>
      </c>
      <c r="I8" s="68">
        <v>9.4951992378113956E-6</v>
      </c>
      <c r="J8" s="67" t="s">
        <v>231</v>
      </c>
      <c r="K8" s="68">
        <v>0.92458767346794779</v>
      </c>
      <c r="L8" s="67" t="s">
        <v>231</v>
      </c>
      <c r="M8" s="68">
        <v>125.62204504984508</v>
      </c>
      <c r="N8" s="67" t="s">
        <v>232</v>
      </c>
      <c r="P8" s="106" t="s">
        <v>193</v>
      </c>
    </row>
    <row r="9" spans="1:17" ht="17.25">
      <c r="A9" s="65" t="s">
        <v>285</v>
      </c>
      <c r="B9" s="66" t="s">
        <v>293</v>
      </c>
      <c r="D9" s="66" t="s">
        <v>270</v>
      </c>
      <c r="E9" s="128">
        <v>4.5</v>
      </c>
      <c r="F9" s="67" t="s">
        <v>231</v>
      </c>
      <c r="G9" s="67" t="s">
        <v>231</v>
      </c>
      <c r="H9" s="67" t="s">
        <v>231</v>
      </c>
      <c r="I9" s="68">
        <v>1.1176330362664381E-4</v>
      </c>
      <c r="J9" s="67" t="s">
        <v>231</v>
      </c>
      <c r="K9" s="68">
        <v>0.19886455838638861</v>
      </c>
      <c r="L9" s="67" t="s">
        <v>231</v>
      </c>
      <c r="M9" s="68">
        <v>10.517724626713179</v>
      </c>
      <c r="N9" s="67" t="s">
        <v>231</v>
      </c>
      <c r="P9" s="106" t="s">
        <v>194</v>
      </c>
    </row>
    <row r="11" spans="1:17" ht="13.15">
      <c r="P11" s="15" t="s">
        <v>195</v>
      </c>
    </row>
    <row r="12" spans="1:17">
      <c r="P12" s="106" t="s">
        <v>196</v>
      </c>
      <c r="Q12" s="100">
        <f>COUNTIF(F2:F50000,"Yes")</f>
        <v>0</v>
      </c>
    </row>
    <row r="13" spans="1:17">
      <c r="P13" s="106" t="s">
        <v>192</v>
      </c>
      <c r="Q13" s="100">
        <f>COUNTIF(J2:J50000,"Yes")</f>
        <v>1</v>
      </c>
    </row>
    <row r="14" spans="1:17" ht="15">
      <c r="P14" s="106" t="s">
        <v>229</v>
      </c>
      <c r="Q14" s="100">
        <f>COUNTIF(N2:N50000,"Yes")</f>
        <v>4</v>
      </c>
    </row>
    <row r="15" spans="1:17" ht="15">
      <c r="P15" s="106" t="s">
        <v>230</v>
      </c>
      <c r="Q15" s="100">
        <f>COUNTIF(M2:M50000,"&gt;=60")</f>
        <v>2</v>
      </c>
    </row>
    <row r="16" spans="1:17">
      <c r="P16" s="106" t="s">
        <v>197</v>
      </c>
      <c r="Q16" s="100">
        <f>COUNTIF(G2:G50000,"Yes")</f>
        <v>0</v>
      </c>
    </row>
    <row r="17" spans="16:18">
      <c r="Q17" s="100">
        <f>COUNT(I2:I50000)</f>
        <v>8</v>
      </c>
      <c r="R17" s="108"/>
    </row>
    <row r="18" spans="16:18">
      <c r="R18" s="108"/>
    </row>
    <row r="19" spans="16:18">
      <c r="P19" s="106" t="s">
        <v>198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tabSelected="1" workbookViewId="0">
      <pane ySplit="1" topLeftCell="A2" activePane="bottomLeft" state="frozen"/>
      <selection pane="bottomLeft" activeCell="L2" sqref="L2:L9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56" t="s">
        <v>262</v>
      </c>
      <c r="L1" s="156" t="s">
        <v>263</v>
      </c>
      <c r="M1" s="155" t="s">
        <v>233</v>
      </c>
      <c r="N1" s="43" t="s">
        <v>266</v>
      </c>
      <c r="O1" s="43" t="str">
        <f>"---&gt;ng/g"</f>
        <v>---&gt;ng/g</v>
      </c>
      <c r="P1" s="110" t="s">
        <v>32</v>
      </c>
      <c r="Q1" s="56" t="s">
        <v>141</v>
      </c>
      <c r="R1" s="37"/>
      <c r="S1" s="6" t="s">
        <v>17</v>
      </c>
      <c r="T1" s="99" t="s">
        <v>256</v>
      </c>
    </row>
    <row r="2" spans="1:20">
      <c r="A2" s="2" t="s">
        <v>269</v>
      </c>
      <c r="B2" s="16" t="s">
        <v>271</v>
      </c>
      <c r="D2" s="14">
        <v>3680</v>
      </c>
      <c r="E2" s="14">
        <v>3676.6680030997804</v>
      </c>
      <c r="F2" s="14">
        <v>3682.2640463594234</v>
      </c>
      <c r="G2" s="14">
        <v>1.0950234385785675E-12</v>
      </c>
      <c r="H2" s="14">
        <v>641.49743987152067</v>
      </c>
      <c r="I2" s="14">
        <v>2383.7027542045275</v>
      </c>
      <c r="J2" s="14">
        <v>0</v>
      </c>
      <c r="K2" s="14">
        <v>0.99938514828623937</v>
      </c>
      <c r="L2" s="14">
        <v>1.0006152299889737</v>
      </c>
      <c r="M2" s="14">
        <v>0.8210047962059529</v>
      </c>
      <c r="N2" s="14">
        <v>3476.0873168470353</v>
      </c>
      <c r="O2" s="14">
        <v>675021.39605852577</v>
      </c>
      <c r="P2" s="8">
        <v>0.94458894479539002</v>
      </c>
      <c r="Q2" s="54">
        <v>0.27501228738088712</v>
      </c>
      <c r="S2" s="99"/>
    </row>
    <row r="3" spans="1:20">
      <c r="A3" s="2" t="s">
        <v>273</v>
      </c>
      <c r="B3" s="16" t="s">
        <v>287</v>
      </c>
      <c r="D3" s="14">
        <v>863</v>
      </c>
      <c r="E3" s="14">
        <v>848.91378193339654</v>
      </c>
      <c r="F3" s="14">
        <v>682.41436108797018</v>
      </c>
      <c r="G3" s="14">
        <v>3.2307593607817442E-13</v>
      </c>
      <c r="H3" s="14">
        <v>76754.748315607154</v>
      </c>
      <c r="I3" s="14">
        <v>172645.41937496269</v>
      </c>
      <c r="J3" s="14">
        <v>0</v>
      </c>
      <c r="K3" s="14">
        <v>1.2646275477323237</v>
      </c>
      <c r="L3" s="14">
        <v>0.79074665247736975</v>
      </c>
      <c r="M3" s="14">
        <v>0.64880762835768191</v>
      </c>
      <c r="N3" s="14">
        <v>4083.7219609389695</v>
      </c>
      <c r="O3" s="14">
        <v>1045800.3569768606</v>
      </c>
      <c r="P3" s="8">
        <v>4.7320069072293967</v>
      </c>
      <c r="Q3" s="54">
        <v>16.597973243152126</v>
      </c>
      <c r="S3" s="106"/>
      <c r="T3" s="22"/>
    </row>
    <row r="4" spans="1:20">
      <c r="A4" s="2" t="s">
        <v>275</v>
      </c>
      <c r="B4" s="16" t="s">
        <v>288</v>
      </c>
      <c r="D4" s="14">
        <v>89.4</v>
      </c>
      <c r="E4" s="14">
        <v>89.314699326615965</v>
      </c>
      <c r="F4" s="14">
        <v>89.470268170101534</v>
      </c>
      <c r="G4" s="14">
        <v>1.3477434402995162E-23</v>
      </c>
      <c r="H4" s="14">
        <v>10.690025453978464</v>
      </c>
      <c r="I4" s="14">
        <v>0.10900238398062027</v>
      </c>
      <c r="J4" s="14">
        <v>0</v>
      </c>
      <c r="K4" s="14">
        <v>0.99921461987832716</v>
      </c>
      <c r="L4" s="14">
        <v>1.0007859974284288</v>
      </c>
      <c r="M4" s="14">
        <v>0.82114491089002573</v>
      </c>
      <c r="N4" s="14">
        <v>93.822542707632849</v>
      </c>
      <c r="O4" s="14">
        <v>27785.546022865467</v>
      </c>
      <c r="P4" s="8">
        <v>1.0494691578034994</v>
      </c>
      <c r="Q4" s="54">
        <v>1.1924385189443516E-5</v>
      </c>
      <c r="S4" s="99"/>
    </row>
    <row r="5" spans="1:20">
      <c r="A5" s="2" t="s">
        <v>277</v>
      </c>
      <c r="B5" s="16" t="s">
        <v>289</v>
      </c>
      <c r="D5" s="14">
        <v>316</v>
      </c>
      <c r="E5" s="14">
        <v>315.73541737616358</v>
      </c>
      <c r="F5" s="14">
        <v>224.03635666685568</v>
      </c>
      <c r="G5" s="14">
        <v>1.025411830938645E-15</v>
      </c>
      <c r="H5" s="14">
        <v>52369.508920447057</v>
      </c>
      <c r="I5" s="14">
        <v>38.485699328968046</v>
      </c>
      <c r="J5" s="14">
        <v>0</v>
      </c>
      <c r="K5" s="14">
        <v>1.410485354704706</v>
      </c>
      <c r="L5" s="14">
        <v>0.70897581223688511</v>
      </c>
      <c r="M5" s="14">
        <v>0.58171465394036426</v>
      </c>
      <c r="N5" s="14">
        <v>288.53893801397641</v>
      </c>
      <c r="O5" s="14">
        <v>63778.646858609347</v>
      </c>
      <c r="P5" s="8">
        <v>0.91309790510752031</v>
      </c>
      <c r="Q5" s="54">
        <v>3.639145187736927E-3</v>
      </c>
      <c r="S5" s="99"/>
    </row>
    <row r="6" spans="1:20">
      <c r="A6" s="2" t="s">
        <v>279</v>
      </c>
      <c r="B6" s="16" t="s">
        <v>290</v>
      </c>
      <c r="D6" s="14">
        <v>411</v>
      </c>
      <c r="E6" s="14">
        <v>410.65484912407067</v>
      </c>
      <c r="F6" s="14">
        <v>201.73356877163323</v>
      </c>
      <c r="G6" s="14">
        <v>1.2798308711447026E-16</v>
      </c>
      <c r="H6" s="14">
        <v>118948.28136793038</v>
      </c>
      <c r="I6" s="14">
        <v>319.38338012618493</v>
      </c>
      <c r="J6" s="14">
        <v>0</v>
      </c>
      <c r="K6" s="14">
        <v>2.0373406493654058</v>
      </c>
      <c r="L6" s="14">
        <v>0.49083593375093243</v>
      </c>
      <c r="M6" s="14">
        <v>0.40273088364264004</v>
      </c>
      <c r="N6" s="14">
        <v>359.42714708365372</v>
      </c>
      <c r="O6" s="14">
        <v>82761.69488748211</v>
      </c>
      <c r="P6" s="8">
        <v>0.87451860604295306</v>
      </c>
      <c r="Q6" s="54">
        <v>2.9438271940667199E-2</v>
      </c>
      <c r="S6" s="99"/>
    </row>
    <row r="7" spans="1:20">
      <c r="A7" s="2" t="s">
        <v>281</v>
      </c>
      <c r="B7" s="16" t="s">
        <v>291</v>
      </c>
      <c r="D7" s="14">
        <v>263</v>
      </c>
      <c r="E7" s="14">
        <v>262.67023395586165</v>
      </c>
      <c r="F7" s="14">
        <v>51.400259444546997</v>
      </c>
      <c r="G7" s="14">
        <v>8.5654941936081259E-13</v>
      </c>
      <c r="H7" s="14">
        <v>119907.21363897382</v>
      </c>
      <c r="I7" s="14">
        <v>2259.9666491643525</v>
      </c>
      <c r="J7" s="14">
        <v>0</v>
      </c>
      <c r="K7" s="14">
        <v>5.1167056906344355</v>
      </c>
      <c r="L7" s="14">
        <v>0.19543824883858174</v>
      </c>
      <c r="M7" s="14">
        <v>0.16035708317205633</v>
      </c>
      <c r="N7" s="14">
        <v>224.84109563714117</v>
      </c>
      <c r="O7" s="14">
        <v>46380.221208029485</v>
      </c>
      <c r="P7" s="8">
        <v>0.85490910888646832</v>
      </c>
      <c r="Q7" s="54">
        <v>0.2005404708151903</v>
      </c>
    </row>
    <row r="8" spans="1:20">
      <c r="A8" s="2" t="s">
        <v>283</v>
      </c>
      <c r="B8" s="16" t="s">
        <v>292</v>
      </c>
      <c r="D8" s="14">
        <v>1100</v>
      </c>
      <c r="E8" s="14">
        <v>1099.1281761295461</v>
      </c>
      <c r="F8" s="14">
        <v>412.2057984509878</v>
      </c>
      <c r="G8" s="14">
        <v>2.2850185128391642E-22</v>
      </c>
      <c r="H8" s="14">
        <v>390871.58209238615</v>
      </c>
      <c r="I8" s="14">
        <v>550.32633670215944</v>
      </c>
      <c r="J8" s="14">
        <v>0</v>
      </c>
      <c r="K8" s="14">
        <v>2.6685699331102266</v>
      </c>
      <c r="L8" s="14">
        <v>0.37473254404635253</v>
      </c>
      <c r="M8" s="14">
        <v>0.30746805239003222</v>
      </c>
      <c r="N8" s="14">
        <v>924.58767346794775</v>
      </c>
      <c r="O8" s="14">
        <v>322144.83718970238</v>
      </c>
      <c r="P8" s="8">
        <v>0.84053424860722525</v>
      </c>
      <c r="Q8" s="54">
        <v>5.006339495448827E-2</v>
      </c>
    </row>
    <row r="9" spans="1:20">
      <c r="A9" s="2" t="s">
        <v>285</v>
      </c>
      <c r="B9" s="16" t="s">
        <v>293</v>
      </c>
      <c r="D9" s="14">
        <v>215</v>
      </c>
      <c r="E9" s="14">
        <v>214.81313216553642</v>
      </c>
      <c r="F9" s="14">
        <v>163.91689246140695</v>
      </c>
      <c r="G9" s="14">
        <v>1.4256266304260866E-18</v>
      </c>
      <c r="H9" s="14">
        <v>29102.058682744544</v>
      </c>
      <c r="I9" s="14">
        <v>102.13092753182444</v>
      </c>
      <c r="J9" s="14">
        <v>0</v>
      </c>
      <c r="K9" s="14">
        <v>1.3116402877794928</v>
      </c>
      <c r="L9" s="14">
        <v>0.76240415098328818</v>
      </c>
      <c r="M9" s="14">
        <v>0.62555260588178796</v>
      </c>
      <c r="N9" s="14">
        <v>198.86455838638861</v>
      </c>
      <c r="O9" s="14">
        <v>61315.909287275193</v>
      </c>
      <c r="P9" s="8">
        <v>0.92495143435529581</v>
      </c>
      <c r="Q9" s="54">
        <v>9.7309955980499647E-3</v>
      </c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9"/>
  <sheetViews>
    <sheetView workbookViewId="0">
      <pane ySplit="1" topLeftCell="A2" activePane="bottomLeft" state="frozen"/>
      <selection pane="bottomLeft" activeCell="L9" sqref="L9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269</v>
      </c>
      <c r="B2" s="3" t="s">
        <v>271</v>
      </c>
      <c r="D2" s="20">
        <v>9.4678409956150839E-9</v>
      </c>
      <c r="E2" s="20">
        <v>0.99909456605972291</v>
      </c>
      <c r="F2" s="20">
        <v>3.0666366745162477E-4</v>
      </c>
      <c r="G2" s="20">
        <v>1.2307160959208155E-4</v>
      </c>
      <c r="H2" s="20">
        <v>0</v>
      </c>
      <c r="I2" s="20">
        <v>0.9986648307826792</v>
      </c>
      <c r="J2" s="20">
        <v>8.5871722254126357E-4</v>
      </c>
      <c r="K2" s="20">
        <v>4.6707249894851738E-5</v>
      </c>
      <c r="L2" s="20">
        <v>0</v>
      </c>
      <c r="N2" s="99"/>
    </row>
    <row r="3" spans="1:14">
      <c r="A3" s="2" t="s">
        <v>273</v>
      </c>
      <c r="B3" s="3" t="s">
        <v>287</v>
      </c>
      <c r="D3" s="20">
        <v>1.1911574594686721E-8</v>
      </c>
      <c r="E3" s="20">
        <v>0.98367761521830421</v>
      </c>
      <c r="F3" s="20">
        <v>0.15646228648530253</v>
      </c>
      <c r="G3" s="20">
        <v>3.8009999630640681E-2</v>
      </c>
      <c r="H3" s="20">
        <v>0</v>
      </c>
      <c r="I3" s="20">
        <v>0.78920532910236096</v>
      </c>
      <c r="J3" s="20">
        <v>4.3018244611176338E-3</v>
      </c>
      <c r="K3" s="20">
        <v>1.2020548409003566E-2</v>
      </c>
      <c r="L3" s="20">
        <v>0</v>
      </c>
      <c r="N3" s="99"/>
    </row>
    <row r="4" spans="1:14">
      <c r="A4" s="2" t="s">
        <v>275</v>
      </c>
      <c r="B4" s="3" t="s">
        <v>288</v>
      </c>
      <c r="D4" s="20">
        <v>4.7967277212205677E-18</v>
      </c>
      <c r="E4" s="20">
        <v>0.99904585376527921</v>
      </c>
      <c r="F4" s="20">
        <v>2.1035674249036813E-4</v>
      </c>
      <c r="G4" s="20">
        <v>2.3166054760981936E-7</v>
      </c>
      <c r="H4" s="20">
        <v>0</v>
      </c>
      <c r="I4" s="20">
        <v>0.99883526536224121</v>
      </c>
      <c r="J4" s="20">
        <v>9.5406287073045398E-4</v>
      </c>
      <c r="K4" s="20">
        <v>8.3363990418369076E-8</v>
      </c>
      <c r="L4" s="20">
        <v>-3.515717374954477E-17</v>
      </c>
      <c r="N4" s="99"/>
    </row>
    <row r="5" spans="1:14">
      <c r="A5" s="2" t="s">
        <v>277</v>
      </c>
      <c r="B5" s="3" t="s">
        <v>289</v>
      </c>
      <c r="D5" s="20">
        <v>1.0324917745354596E-10</v>
      </c>
      <c r="E5" s="20">
        <v>0.99916271321570749</v>
      </c>
      <c r="F5" s="20">
        <v>0.29154569649636214</v>
      </c>
      <c r="G5" s="20">
        <v>2.3140135672480783E-5</v>
      </c>
      <c r="H5" s="20">
        <v>0</v>
      </c>
      <c r="I5" s="20">
        <v>0.7075938765836729</v>
      </c>
      <c r="J5" s="20">
        <v>8.3008900464320021E-4</v>
      </c>
      <c r="K5" s="20">
        <v>7.1976763997961366E-6</v>
      </c>
      <c r="L5" s="20">
        <v>0</v>
      </c>
      <c r="N5" s="99"/>
    </row>
    <row r="6" spans="1:14">
      <c r="A6" s="2" t="s">
        <v>279</v>
      </c>
      <c r="B6" s="3" t="s">
        <v>290</v>
      </c>
      <c r="D6" s="20">
        <v>9.9080027626774139E-12</v>
      </c>
      <c r="E6" s="20">
        <v>0.99916021684688716</v>
      </c>
      <c r="F6" s="20">
        <v>0.50913337367995892</v>
      </c>
      <c r="G6" s="20">
        <v>1.4764681806319981E-4</v>
      </c>
      <c r="H6" s="20">
        <v>0</v>
      </c>
      <c r="I6" s="20">
        <v>0.48987919634886506</v>
      </c>
      <c r="J6" s="20">
        <v>7.9501691458450281E-4</v>
      </c>
      <c r="K6" s="20">
        <v>4.4766228620235988E-5</v>
      </c>
      <c r="L6" s="20">
        <v>7.4043276740224143E-17</v>
      </c>
    </row>
    <row r="7" spans="1:14">
      <c r="A7" s="2" t="s">
        <v>281</v>
      </c>
      <c r="B7" s="3" t="s">
        <v>291</v>
      </c>
      <c r="D7" s="20">
        <v>1.0362678768623726E-7</v>
      </c>
      <c r="E7" s="20">
        <v>0.99874613671430279</v>
      </c>
      <c r="F7" s="20">
        <v>0.80205616058434492</v>
      </c>
      <c r="G7" s="20">
        <v>1.6326755260122696E-3</v>
      </c>
      <c r="H7" s="20">
        <v>0</v>
      </c>
      <c r="I7" s="20">
        <v>0.19505730060394558</v>
      </c>
      <c r="J7" s="20">
        <v>7.7719009898769855E-4</v>
      </c>
      <c r="K7" s="20">
        <v>4.7656955992203011E-4</v>
      </c>
      <c r="L7" s="20">
        <v>0</v>
      </c>
    </row>
    <row r="8" spans="1:14">
      <c r="A8" s="2" t="s">
        <v>283</v>
      </c>
      <c r="B8" s="3" t="s">
        <v>292</v>
      </c>
      <c r="D8" s="20">
        <v>6.6095576817661772E-18</v>
      </c>
      <c r="E8" s="20">
        <v>0.99920743284504188</v>
      </c>
      <c r="F8" s="20">
        <v>0.62511026110629597</v>
      </c>
      <c r="G8" s="20">
        <v>9.5056367248554788E-5</v>
      </c>
      <c r="H8" s="20">
        <v>0</v>
      </c>
      <c r="I8" s="20">
        <v>0.37400211537149736</v>
      </c>
      <c r="J8" s="20">
        <v>7.6412204418838657E-4</v>
      </c>
      <c r="K8" s="20">
        <v>2.8445110769595603E-5</v>
      </c>
      <c r="L8" s="20">
        <v>1.0147489436019838E-16</v>
      </c>
    </row>
    <row r="9" spans="1:14">
      <c r="A9" s="2" t="s">
        <v>285</v>
      </c>
      <c r="B9" s="3" t="s">
        <v>293</v>
      </c>
      <c r="D9" s="20">
        <v>2.1098068526390287E-13</v>
      </c>
      <c r="E9" s="20">
        <v>0.99913084728156487</v>
      </c>
      <c r="F9" s="20">
        <v>0.23812251923108932</v>
      </c>
      <c r="G9" s="20">
        <v>9.0255238283937878E-5</v>
      </c>
      <c r="H9" s="20">
        <v>0</v>
      </c>
      <c r="I9" s="20">
        <v>0.76091807281219159</v>
      </c>
      <c r="J9" s="20">
        <v>8.408649403229962E-4</v>
      </c>
      <c r="K9" s="20">
        <v>2.8287777901308034E-5</v>
      </c>
      <c r="L9" s="20">
        <v>-8.5390440480583099E-17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9" sqref="K9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216</v>
      </c>
    </row>
    <row r="2" spans="1:23">
      <c r="A2" s="2" t="s">
        <v>269</v>
      </c>
      <c r="B2" s="3" t="s">
        <v>271</v>
      </c>
      <c r="D2" s="14">
        <v>7.6651640700499726E-9</v>
      </c>
      <c r="E2" s="14">
        <v>0.80851904700165711</v>
      </c>
      <c r="F2" s="14">
        <v>2.4827490516883544E-4</v>
      </c>
      <c r="G2" s="14">
        <v>9.9638775125749241E-5</v>
      </c>
      <c r="H2" s="14">
        <v>0</v>
      </c>
      <c r="I2" s="14">
        <v>6.9521746336940712E-4</v>
      </c>
      <c r="J2" s="14">
        <v>3.781418951487197E-5</v>
      </c>
      <c r="K2" s="14">
        <v>0</v>
      </c>
      <c r="L2" s="21"/>
      <c r="M2" s="99"/>
    </row>
    <row r="3" spans="1:23">
      <c r="A3" s="2" t="s">
        <v>273</v>
      </c>
      <c r="B3" s="3" t="s">
        <v>287</v>
      </c>
      <c r="D3" s="14">
        <v>2.2615315525472206E-9</v>
      </c>
      <c r="E3" s="14">
        <v>0.14983852378337426</v>
      </c>
      <c r="F3" s="14">
        <v>2.9705929712099538E-2</v>
      </c>
      <c r="G3" s="14">
        <v>7.2165785298734398E-3</v>
      </c>
      <c r="H3" s="14">
        <v>0</v>
      </c>
      <c r="I3" s="14">
        <v>8.1674439218779385E-4</v>
      </c>
      <c r="J3" s="14">
        <v>2.2822213209334171E-3</v>
      </c>
      <c r="K3" s="14">
        <v>0</v>
      </c>
      <c r="L3" s="21"/>
      <c r="M3" s="99"/>
    </row>
    <row r="4" spans="1:23">
      <c r="A4" s="2" t="s">
        <v>275</v>
      </c>
      <c r="B4" s="3" t="s">
        <v>288</v>
      </c>
      <c r="D4" s="14">
        <v>9.4342040820966136E-20</v>
      </c>
      <c r="E4" s="14">
        <v>1.9645091999144562E-2</v>
      </c>
      <c r="F4" s="14">
        <v>4.1372964113005611E-6</v>
      </c>
      <c r="G4" s="14">
        <v>4.5562996503899271E-9</v>
      </c>
      <c r="H4" s="14">
        <v>0</v>
      </c>
      <c r="I4" s="14">
        <v>1.8764508541526569E-5</v>
      </c>
      <c r="J4" s="14">
        <v>1.639602963548483E-9</v>
      </c>
      <c r="K4" s="14">
        <v>-6.9147129330604657E-19</v>
      </c>
      <c r="L4" s="21"/>
    </row>
    <row r="5" spans="1:23">
      <c r="A5" s="2" t="s">
        <v>277</v>
      </c>
      <c r="B5" s="3" t="s">
        <v>289</v>
      </c>
      <c r="D5" s="14">
        <v>7.1778828165705155E-12</v>
      </c>
      <c r="E5" s="14">
        <v>4.9191926300096944E-2</v>
      </c>
      <c r="F5" s="14">
        <v>2.02682568204271E-2</v>
      </c>
      <c r="G5" s="14">
        <v>1.6087022319508642E-6</v>
      </c>
      <c r="H5" s="14">
        <v>0</v>
      </c>
      <c r="I5" s="14">
        <v>5.7707787602795287E-5</v>
      </c>
      <c r="J5" s="14">
        <v>5.0038246331382743E-7</v>
      </c>
      <c r="K5" s="14">
        <v>0</v>
      </c>
      <c r="L5" s="21"/>
    </row>
    <row r="6" spans="1:23">
      <c r="A6" s="2" t="s">
        <v>279</v>
      </c>
      <c r="B6" s="3" t="s">
        <v>290</v>
      </c>
      <c r="D6" s="14">
        <v>8.9588160980129189E-13</v>
      </c>
      <c r="E6" s="14">
        <v>4.4294876933864386E-2</v>
      </c>
      <c r="F6" s="14">
        <v>4.6035839648141889E-2</v>
      </c>
      <c r="G6" s="14">
        <v>1.335022528927453E-5</v>
      </c>
      <c r="H6" s="14">
        <v>0</v>
      </c>
      <c r="I6" s="14">
        <v>7.1885429416730751E-5</v>
      </c>
      <c r="J6" s="14">
        <v>4.0477623918417391E-6</v>
      </c>
      <c r="K6" s="14">
        <v>6.6949930828510677E-18</v>
      </c>
      <c r="L6" s="21"/>
      <c r="M6" s="12"/>
    </row>
    <row r="7" spans="1:23">
      <c r="A7" s="2" t="s">
        <v>281</v>
      </c>
      <c r="B7" s="3" t="s">
        <v>291</v>
      </c>
      <c r="D7" s="14">
        <v>5.9958459355256877E-9</v>
      </c>
      <c r="E7" s="14">
        <v>1.1286015412944292E-2</v>
      </c>
      <c r="F7" s="14">
        <v>4.64069694514102E-2</v>
      </c>
      <c r="G7" s="14">
        <v>9.4466605935069928E-5</v>
      </c>
      <c r="H7" s="14">
        <v>0</v>
      </c>
      <c r="I7" s="14">
        <v>4.4968219127428239E-5</v>
      </c>
      <c r="J7" s="14">
        <v>2.7574314737088663E-5</v>
      </c>
      <c r="K7" s="14">
        <v>0</v>
      </c>
      <c r="L7" s="21"/>
      <c r="M7" s="12"/>
    </row>
    <row r="8" spans="1:23">
      <c r="A8" s="2" t="s">
        <v>283</v>
      </c>
      <c r="B8" s="3" t="s">
        <v>292</v>
      </c>
      <c r="D8" s="14">
        <v>1.5995129589874151E-18</v>
      </c>
      <c r="E8" s="14">
        <v>9.0508511919902362E-2</v>
      </c>
      <c r="F8" s="14">
        <v>0.15127668318772364</v>
      </c>
      <c r="G8" s="14">
        <v>2.300364087415026E-5</v>
      </c>
      <c r="H8" s="14">
        <v>0</v>
      </c>
      <c r="I8" s="14">
        <v>1.8491753469358958E-4</v>
      </c>
      <c r="J8" s="14">
        <v>6.8837168062421363E-6</v>
      </c>
      <c r="K8" s="14">
        <v>2.4556924435168009E-17</v>
      </c>
      <c r="L8" s="21"/>
      <c r="M8" s="12"/>
    </row>
    <row r="9" spans="1:23">
      <c r="A9" s="2" t="s">
        <v>285</v>
      </c>
      <c r="B9" s="3" t="s">
        <v>293</v>
      </c>
      <c r="D9" s="14">
        <v>9.9793864129826063E-15</v>
      </c>
      <c r="E9" s="14">
        <v>3.5991424844016663E-2</v>
      </c>
      <c r="F9" s="14">
        <v>1.1263195159630524E-2</v>
      </c>
      <c r="G9" s="14">
        <v>4.2690727708302613E-6</v>
      </c>
      <c r="H9" s="14">
        <v>0</v>
      </c>
      <c r="I9" s="14">
        <v>3.9772911677277722E-5</v>
      </c>
      <c r="J9" s="14">
        <v>1.33801189473187E-6</v>
      </c>
      <c r="K9" s="14">
        <v>-4.0389678347315804E-18</v>
      </c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9" sqref="R9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3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9" t="s">
        <v>269</v>
      </c>
      <c r="B2" s="99" t="s">
        <v>271</v>
      </c>
      <c r="D2" s="100" t="s">
        <v>176</v>
      </c>
      <c r="F2" s="104">
        <v>-0.18886282922884523</v>
      </c>
      <c r="G2" s="104">
        <v>-9.5266915123134623</v>
      </c>
      <c r="H2" s="104">
        <v>6.5979999999999983E-2</v>
      </c>
      <c r="I2" s="104">
        <v>-8.0595885351553057E-2</v>
      </c>
      <c r="J2" s="104">
        <v>-1.711847788201391E-2</v>
      </c>
      <c r="K2" s="112">
        <v>3680</v>
      </c>
      <c r="L2" s="112">
        <v>3657.954921358446</v>
      </c>
      <c r="M2" s="112">
        <v>3476.0873168470353</v>
      </c>
      <c r="N2" s="112">
        <v>4286.4220219550998</v>
      </c>
      <c r="O2" s="112">
        <v>3058.5743503649678</v>
      </c>
      <c r="P2" s="112">
        <v>3539.9444715065501</v>
      </c>
      <c r="Q2" s="108">
        <v>0.83113433433830641</v>
      </c>
      <c r="R2" s="68">
        <v>0.96194143247460595</v>
      </c>
    </row>
    <row r="3" spans="1:22">
      <c r="A3" s="99" t="s">
        <v>273</v>
      </c>
      <c r="B3" s="99" t="s">
        <v>287</v>
      </c>
      <c r="D3" s="100" t="s">
        <v>294</v>
      </c>
      <c r="E3" s="104">
        <v>6.6</v>
      </c>
      <c r="F3" s="104">
        <v>2.4031069023673401</v>
      </c>
      <c r="G3" s="104">
        <v>-9.3247435464568422</v>
      </c>
      <c r="H3" s="104">
        <v>2.6911570941690734</v>
      </c>
      <c r="I3" s="104">
        <v>0.70906480391398219</v>
      </c>
      <c r="J3" s="104">
        <v>0.67592102546407318</v>
      </c>
      <c r="K3" s="112">
        <v>863</v>
      </c>
      <c r="L3" s="112">
        <v>1117.5815140711572</v>
      </c>
      <c r="M3" s="112">
        <v>4083.7219609389695</v>
      </c>
      <c r="N3" s="112">
        <v>352508.50753518695</v>
      </c>
      <c r="O3" s="112">
        <v>3492.3114005043203</v>
      </c>
      <c r="P3" s="112">
        <v>3235.7069611837996</v>
      </c>
      <c r="Q3" s="108">
        <v>4.0467107769459103</v>
      </c>
      <c r="R3" s="68">
        <v>3.7493707545582842</v>
      </c>
    </row>
    <row r="4" spans="1:22">
      <c r="A4" s="99" t="s">
        <v>275</v>
      </c>
      <c r="B4" s="99" t="s">
        <v>288</v>
      </c>
      <c r="D4" s="100" t="s">
        <v>294</v>
      </c>
      <c r="E4" s="104">
        <v>17.600000000000001</v>
      </c>
      <c r="F4" s="104">
        <v>-2.9142427426031139</v>
      </c>
      <c r="G4" s="104">
        <v>-18.822071512340866</v>
      </c>
      <c r="H4" s="104">
        <v>-0.15169999975338092</v>
      </c>
      <c r="I4" s="104">
        <v>-8.3369596538768381E-2</v>
      </c>
      <c r="J4" s="104">
        <v>-1.8043227045830171E-2</v>
      </c>
      <c r="K4" s="112">
        <v>89.4</v>
      </c>
      <c r="L4" s="112">
        <v>98.076169635977237</v>
      </c>
      <c r="M4" s="112">
        <v>93.822542707632849</v>
      </c>
      <c r="N4" s="112">
        <v>272.87569252024821</v>
      </c>
      <c r="O4" s="112">
        <v>73.842967724679298</v>
      </c>
      <c r="P4" s="112">
        <v>85.829288430907027</v>
      </c>
      <c r="Q4" s="108">
        <v>0.82598397902325826</v>
      </c>
      <c r="R4" s="68">
        <v>0.9600591547081323</v>
      </c>
      <c r="T4" s="142"/>
    </row>
    <row r="5" spans="1:22">
      <c r="A5" s="99" t="s">
        <v>277</v>
      </c>
      <c r="B5" s="99" t="s">
        <v>289</v>
      </c>
      <c r="D5" s="100" t="s">
        <v>270</v>
      </c>
      <c r="E5" s="104">
        <v>2.7</v>
      </c>
      <c r="F5" s="104">
        <v>-0.76501911886042939</v>
      </c>
      <c r="G5" s="104">
        <v>-11.33942017754115</v>
      </c>
      <c r="H5" s="104">
        <v>1.9921379792700096</v>
      </c>
      <c r="I5" s="104">
        <v>0.67933639872452811</v>
      </c>
      <c r="J5" s="104">
        <v>0.89280991783566754</v>
      </c>
      <c r="K5" s="112">
        <v>316</v>
      </c>
      <c r="L5" s="112">
        <v>224.8270778226007</v>
      </c>
      <c r="M5" s="112">
        <v>288.53893801397641</v>
      </c>
      <c r="N5" s="112">
        <v>18344.657278398936</v>
      </c>
      <c r="O5" s="112">
        <v>1070.6681909395199</v>
      </c>
      <c r="P5" s="112">
        <v>1750.3641883922271</v>
      </c>
      <c r="Q5" s="108">
        <v>3.3881904776567091</v>
      </c>
      <c r="R5" s="68">
        <v>5.5391271784564147</v>
      </c>
    </row>
    <row r="6" spans="1:22">
      <c r="A6" s="99" t="s">
        <v>279</v>
      </c>
      <c r="B6" s="99" t="s">
        <v>290</v>
      </c>
      <c r="D6" s="100" t="s">
        <v>270</v>
      </c>
      <c r="E6" s="104">
        <v>4.4000000000000004</v>
      </c>
      <c r="F6" s="104">
        <v>0.19953414135793085</v>
      </c>
      <c r="G6" s="104">
        <v>-12.197625589792782</v>
      </c>
      <c r="H6" s="104">
        <v>2.371867296303324</v>
      </c>
      <c r="I6" s="104">
        <v>1.0327323529891499</v>
      </c>
      <c r="J6" s="104">
        <v>1.261115156757965</v>
      </c>
      <c r="K6" s="112">
        <v>411</v>
      </c>
      <c r="L6" s="112">
        <v>204.0077654331823</v>
      </c>
      <c r="M6" s="112">
        <v>359.42714708365372</v>
      </c>
      <c r="N6" s="112">
        <v>39676.913424876249</v>
      </c>
      <c r="O6" s="112">
        <v>2175.2567474654065</v>
      </c>
      <c r="P6" s="112">
        <v>3680.3856461506571</v>
      </c>
      <c r="Q6" s="108">
        <v>5.2925954926165604</v>
      </c>
      <c r="R6" s="68">
        <v>8.9547096013397987</v>
      </c>
    </row>
    <row r="7" spans="1:22">
      <c r="A7" s="99" t="s">
        <v>281</v>
      </c>
      <c r="B7" s="99" t="s">
        <v>291</v>
      </c>
      <c r="D7" s="100" t="s">
        <v>270</v>
      </c>
      <c r="E7" s="104">
        <v>5.4</v>
      </c>
      <c r="F7" s="104">
        <v>1.6431367190965502</v>
      </c>
      <c r="G7" s="104">
        <v>-7.7782128860961048</v>
      </c>
      <c r="H7" s="104">
        <v>2.9638513113755822</v>
      </c>
      <c r="I7" s="104">
        <v>1.6065690659269836</v>
      </c>
      <c r="J7" s="104">
        <v>1.8411474861463284</v>
      </c>
      <c r="K7" s="112">
        <v>263</v>
      </c>
      <c r="L7" s="112">
        <v>52.570451210108921</v>
      </c>
      <c r="M7" s="112">
        <v>224.84109563714117</v>
      </c>
      <c r="N7" s="112">
        <v>40147.134424826567</v>
      </c>
      <c r="O7" s="112">
        <v>2077.4681632771249</v>
      </c>
      <c r="P7" s="112">
        <v>3565.437248263147</v>
      </c>
      <c r="Q7" s="108">
        <v>7.8991184915480037</v>
      </c>
      <c r="R7" s="68">
        <v>13.556795620772421</v>
      </c>
    </row>
    <row r="8" spans="1:22">
      <c r="A8" s="99" t="s">
        <v>283</v>
      </c>
      <c r="B8" s="99" t="s">
        <v>292</v>
      </c>
      <c r="D8" s="100" t="s">
        <v>270</v>
      </c>
      <c r="E8" s="104">
        <v>4</v>
      </c>
      <c r="F8" s="104">
        <v>0.12550620047403147</v>
      </c>
      <c r="G8" s="104">
        <v>-18.256224373654454</v>
      </c>
      <c r="H8" s="104">
        <v>2.5625726636878023</v>
      </c>
      <c r="I8" s="104">
        <v>1.2254336280959819</v>
      </c>
      <c r="J8" s="104">
        <v>1.4585969552071982</v>
      </c>
      <c r="K8" s="112">
        <v>1100</v>
      </c>
      <c r="L8" s="112">
        <v>418.61088667681219</v>
      </c>
      <c r="M8" s="112">
        <v>924.58767346794775</v>
      </c>
      <c r="N8" s="112">
        <v>125622.04504984508</v>
      </c>
      <c r="O8" s="112">
        <v>6927.0404671237766</v>
      </c>
      <c r="P8" s="112">
        <v>11849.80085794669</v>
      </c>
      <c r="Q8" s="108">
        <v>6.2973095155670693</v>
      </c>
      <c r="R8" s="68">
        <v>10.772546234496989</v>
      </c>
    </row>
    <row r="9" spans="1:22">
      <c r="A9" s="99" t="s">
        <v>285</v>
      </c>
      <c r="B9" s="99" t="s">
        <v>293</v>
      </c>
      <c r="D9" s="100" t="s">
        <v>270</v>
      </c>
      <c r="E9" s="104">
        <v>4.5</v>
      </c>
      <c r="F9" s="104">
        <v>-0.20546643601300729</v>
      </c>
      <c r="G9" s="104">
        <v>-14.06061791280632</v>
      </c>
      <c r="H9" s="104">
        <v>1.8851869137271886</v>
      </c>
      <c r="I9" s="104">
        <v>0.58375950608851102</v>
      </c>
      <c r="J9" s="104">
        <v>0.78998697840060883</v>
      </c>
      <c r="K9" s="112">
        <v>215</v>
      </c>
      <c r="L9" s="112">
        <v>164.20830737178852</v>
      </c>
      <c r="M9" s="112">
        <v>198.86455838638861</v>
      </c>
      <c r="N9" s="112">
        <v>10517.724626713178</v>
      </c>
      <c r="O9" s="112">
        <v>628.61279738703956</v>
      </c>
      <c r="P9" s="112">
        <v>1010.6730623146852</v>
      </c>
      <c r="Q9" s="108">
        <v>2.923780452962975</v>
      </c>
      <c r="R9" s="68">
        <v>4.7008049409985357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9" sqref="W9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5" t="s">
        <v>169</v>
      </c>
      <c r="G1" s="105" t="s">
        <v>170</v>
      </c>
      <c r="H1" s="113" t="s">
        <v>208</v>
      </c>
      <c r="I1" s="105" t="s">
        <v>237</v>
      </c>
      <c r="J1" s="105" t="s">
        <v>236</v>
      </c>
      <c r="K1" s="113" t="s">
        <v>239</v>
      </c>
      <c r="L1" s="105" t="s">
        <v>171</v>
      </c>
      <c r="M1" s="105" t="s">
        <v>172</v>
      </c>
      <c r="N1" s="113" t="s">
        <v>209</v>
      </c>
      <c r="O1" s="105" t="s">
        <v>173</v>
      </c>
      <c r="P1" s="105" t="s">
        <v>174</v>
      </c>
      <c r="Q1" s="113" t="s">
        <v>210</v>
      </c>
      <c r="R1" s="105" t="s">
        <v>165</v>
      </c>
      <c r="S1" s="105" t="s">
        <v>211</v>
      </c>
      <c r="T1" s="113" t="s">
        <v>212</v>
      </c>
      <c r="U1" s="113" t="s">
        <v>213</v>
      </c>
      <c r="V1" s="113" t="s">
        <v>214</v>
      </c>
      <c r="W1" s="38" t="s">
        <v>199</v>
      </c>
    </row>
    <row r="2" spans="1:23">
      <c r="A2" s="99" t="s">
        <v>269</v>
      </c>
      <c r="B2" s="99" t="s">
        <v>271</v>
      </c>
      <c r="D2" s="104" t="s">
        <v>176</v>
      </c>
      <c r="F2" s="104">
        <v>-0.18886282922884523</v>
      </c>
      <c r="H2" s="104">
        <v>-0.18886282922884523</v>
      </c>
      <c r="I2" s="104">
        <v>-0.18886282922884523</v>
      </c>
      <c r="K2" s="104">
        <v>-0.18886282922884523</v>
      </c>
      <c r="L2" s="104">
        <v>6.5979999999999983E-2</v>
      </c>
      <c r="N2" s="104">
        <v>6.5979999999999983E-2</v>
      </c>
      <c r="O2" s="104">
        <v>-0.75891999999999993</v>
      </c>
      <c r="Q2" s="104">
        <v>-0.75891999999999993</v>
      </c>
      <c r="R2" s="104">
        <v>-9.5266915123134623</v>
      </c>
      <c r="S2" s="104">
        <v>-9.5266915123134623</v>
      </c>
      <c r="T2" s="104">
        <v>-7.126762829228845</v>
      </c>
      <c r="V2" s="104">
        <v>-7.126762829228845</v>
      </c>
      <c r="W2" s="109">
        <v>28596.15968986983</v>
      </c>
    </row>
    <row r="3" spans="1:23">
      <c r="A3" s="99" t="s">
        <v>273</v>
      </c>
      <c r="B3" s="99" t="s">
        <v>287</v>
      </c>
      <c r="D3" s="104" t="s">
        <v>294</v>
      </c>
      <c r="E3" s="104">
        <v>6.6</v>
      </c>
      <c r="F3" s="104">
        <v>2.4669771707711545</v>
      </c>
      <c r="G3" s="104">
        <v>-1.0330228292288453</v>
      </c>
      <c r="H3" s="104">
        <v>2.4031069023673401</v>
      </c>
      <c r="I3" s="104">
        <v>2.4669771707711545</v>
      </c>
      <c r="J3" s="104">
        <v>-1.0330228292288453</v>
      </c>
      <c r="K3" s="104">
        <v>2.4031069023673401</v>
      </c>
      <c r="L3" s="104">
        <v>2.7482199999999999</v>
      </c>
      <c r="M3" s="104">
        <v>1.7482199999999997</v>
      </c>
      <c r="N3" s="104">
        <v>2.6911570941690734</v>
      </c>
      <c r="O3" s="104">
        <v>2.1081199999999995</v>
      </c>
      <c r="P3" s="104">
        <v>1.1081200000000002</v>
      </c>
      <c r="Q3" s="104">
        <v>2.0510570941690731</v>
      </c>
      <c r="R3" s="104">
        <v>-9.2608515123134616</v>
      </c>
      <c r="S3" s="104">
        <v>-9.3247435464568422</v>
      </c>
      <c r="T3" s="104">
        <v>-4.5501228292288465</v>
      </c>
      <c r="U3" s="104">
        <v>-8.0501228292288456</v>
      </c>
      <c r="V3" s="104">
        <v>-4.61399309763266</v>
      </c>
      <c r="W3" s="109">
        <v>367.07710774259778</v>
      </c>
    </row>
    <row r="4" spans="1:23">
      <c r="A4" s="99" t="s">
        <v>275</v>
      </c>
      <c r="B4" s="99" t="s">
        <v>288</v>
      </c>
      <c r="D4" s="104" t="s">
        <v>294</v>
      </c>
      <c r="E4" s="104">
        <v>17.600000000000001</v>
      </c>
      <c r="F4" s="104">
        <v>0.58575717077115463</v>
      </c>
      <c r="G4" s="104">
        <v>-2.9142428292288449</v>
      </c>
      <c r="H4" s="104">
        <v>-2.9142427426031139</v>
      </c>
      <c r="I4" s="104">
        <v>0.58575717077115463</v>
      </c>
      <c r="J4" s="104">
        <v>-2.9142428292288449</v>
      </c>
      <c r="K4" s="104">
        <v>-2.9142427426031139</v>
      </c>
      <c r="L4" s="104">
        <v>0.84829999999999983</v>
      </c>
      <c r="M4" s="104">
        <v>-0.15170000000000008</v>
      </c>
      <c r="N4" s="104">
        <v>-0.15169999975338092</v>
      </c>
      <c r="O4" s="104">
        <v>7.7300000000000021E-2</v>
      </c>
      <c r="P4" s="104">
        <v>-0.92269999999999985</v>
      </c>
      <c r="Q4" s="104">
        <v>-0.9226999997533808</v>
      </c>
      <c r="R4" s="104">
        <v>-8.6220715123134628</v>
      </c>
      <c r="S4" s="104">
        <v>-18.822071512340866</v>
      </c>
      <c r="T4" s="104">
        <v>-6.3752428292288457</v>
      </c>
      <c r="U4" s="104">
        <v>-9.8752428292288439</v>
      </c>
      <c r="V4" s="104">
        <v>-9.8752427426031133</v>
      </c>
      <c r="W4" s="109">
        <v>144711455696.11774</v>
      </c>
    </row>
    <row r="5" spans="1:23">
      <c r="A5" s="99" t="s">
        <v>277</v>
      </c>
      <c r="B5" s="99" t="s">
        <v>289</v>
      </c>
      <c r="D5" s="104" t="s">
        <v>270</v>
      </c>
      <c r="E5" s="104">
        <v>2.7</v>
      </c>
      <c r="F5" s="104">
        <v>2.7084171707711544</v>
      </c>
      <c r="G5" s="104">
        <v>-0.79158282922884515</v>
      </c>
      <c r="H5" s="104">
        <v>-0.76501911886042939</v>
      </c>
      <c r="I5" s="104">
        <v>2.7084171707711544</v>
      </c>
      <c r="J5" s="104">
        <v>-0.79158282922884515</v>
      </c>
      <c r="K5" s="104">
        <v>-0.76501911886042939</v>
      </c>
      <c r="L5" s="104">
        <v>2.9920599999999995</v>
      </c>
      <c r="M5" s="104">
        <v>1.9920599999999999</v>
      </c>
      <c r="N5" s="104">
        <v>1.9921379792700096</v>
      </c>
      <c r="O5" s="104">
        <v>2.3687600000000004</v>
      </c>
      <c r="P5" s="104">
        <v>2.3687600000000004</v>
      </c>
      <c r="Q5" s="104">
        <v>2.3687600000000004</v>
      </c>
      <c r="R5" s="104">
        <v>-6.6394115123134627</v>
      </c>
      <c r="S5" s="104">
        <v>-11.33942017754115</v>
      </c>
      <c r="T5" s="104">
        <v>-4.3158828292288458</v>
      </c>
      <c r="U5" s="104">
        <v>-7.8158828292288449</v>
      </c>
      <c r="V5" s="104">
        <v>-7.7893191188604298</v>
      </c>
      <c r="W5" s="109">
        <v>104144251.24233645</v>
      </c>
    </row>
    <row r="6" spans="1:23">
      <c r="A6" s="99" t="s">
        <v>279</v>
      </c>
      <c r="B6" s="99" t="s">
        <v>290</v>
      </c>
      <c r="D6" s="104" t="s">
        <v>270</v>
      </c>
      <c r="E6" s="104">
        <v>4.4000000000000004</v>
      </c>
      <c r="F6" s="104">
        <v>3.0806371707711548</v>
      </c>
      <c r="G6" s="104">
        <v>-0.4193628292288451</v>
      </c>
      <c r="H6" s="104">
        <v>0.19953414135793085</v>
      </c>
      <c r="I6" s="104">
        <v>3.0806371707711548</v>
      </c>
      <c r="J6" s="104">
        <v>-0.4193628292288451</v>
      </c>
      <c r="K6" s="104">
        <v>0.19953414135793085</v>
      </c>
      <c r="L6" s="104">
        <v>3.3679800000000002</v>
      </c>
      <c r="M6" s="104">
        <v>2.3679800000000002</v>
      </c>
      <c r="N6" s="104">
        <v>2.371867296303324</v>
      </c>
      <c r="O6" s="104">
        <v>2.7705799999999998</v>
      </c>
      <c r="P6" s="104">
        <v>2.7705799999999998</v>
      </c>
      <c r="Q6" s="104">
        <v>2.7705799999999998</v>
      </c>
      <c r="R6" s="104">
        <v>-9.1971915123134647</v>
      </c>
      <c r="S6" s="104">
        <v>-12.197625589792782</v>
      </c>
      <c r="T6" s="104">
        <v>-3.9547628292288457</v>
      </c>
      <c r="U6" s="104">
        <v>-7.4547628292288444</v>
      </c>
      <c r="V6" s="104">
        <v>-6.8358658586420695</v>
      </c>
      <c r="W6" s="109">
        <v>16805.188979099901</v>
      </c>
    </row>
    <row r="7" spans="1:23">
      <c r="A7" s="99" t="s">
        <v>281</v>
      </c>
      <c r="B7" s="99" t="s">
        <v>291</v>
      </c>
      <c r="D7" s="104" t="s">
        <v>270</v>
      </c>
      <c r="E7" s="104">
        <v>5.4</v>
      </c>
      <c r="F7" s="104">
        <v>3.6339371707711541</v>
      </c>
      <c r="G7" s="104">
        <v>0.13393717077115466</v>
      </c>
      <c r="H7" s="104">
        <v>1.6431367190965502</v>
      </c>
      <c r="I7" s="104">
        <v>3.6339371707711541</v>
      </c>
      <c r="J7" s="104">
        <v>0.13393717077115466</v>
      </c>
      <c r="K7" s="104">
        <v>1.6431367190965502</v>
      </c>
      <c r="L7" s="104">
        <v>3.9267799999999999</v>
      </c>
      <c r="M7" s="104">
        <v>2.9267799999999995</v>
      </c>
      <c r="N7" s="104">
        <v>2.9638513113755822</v>
      </c>
      <c r="O7" s="104">
        <v>3.3678799999999995</v>
      </c>
      <c r="P7" s="104">
        <v>3.3678799999999995</v>
      </c>
      <c r="Q7" s="104">
        <v>3.3678799999999995</v>
      </c>
      <c r="R7" s="104">
        <v>-5.7738915123134635</v>
      </c>
      <c r="S7" s="104">
        <v>-7.7782128860961048</v>
      </c>
      <c r="T7" s="104">
        <v>-3.4179628292288453</v>
      </c>
      <c r="U7" s="104">
        <v>-6.9179628292288458</v>
      </c>
      <c r="V7" s="104">
        <v>-5.4087632809034494</v>
      </c>
      <c r="W7" s="109">
        <v>4496.6328499680267</v>
      </c>
    </row>
    <row r="8" spans="1:23">
      <c r="A8" s="99" t="s">
        <v>283</v>
      </c>
      <c r="B8" s="99" t="s">
        <v>292</v>
      </c>
      <c r="D8" s="104" t="s">
        <v>270</v>
      </c>
      <c r="E8" s="104">
        <v>4</v>
      </c>
      <c r="F8" s="104">
        <v>3.2717771707711547</v>
      </c>
      <c r="G8" s="104">
        <v>-0.22822282922884518</v>
      </c>
      <c r="H8" s="104">
        <v>0.12550620047403147</v>
      </c>
      <c r="I8" s="104">
        <v>3.2717771707711547</v>
      </c>
      <c r="J8" s="104">
        <v>-0.22822282922884518</v>
      </c>
      <c r="K8" s="104">
        <v>0.12550620047403147</v>
      </c>
      <c r="L8" s="104">
        <v>3.5610200000000001</v>
      </c>
      <c r="M8" s="104">
        <v>2.5610200000000001</v>
      </c>
      <c r="N8" s="104">
        <v>2.5625726636878023</v>
      </c>
      <c r="O8" s="104">
        <v>2.9769200000000002</v>
      </c>
      <c r="P8" s="104">
        <v>2.9769200000000002</v>
      </c>
      <c r="Q8" s="104">
        <v>2.9769200000000002</v>
      </c>
      <c r="R8" s="104">
        <v>-14.856051512313464</v>
      </c>
      <c r="S8" s="104">
        <v>-18.256224373654454</v>
      </c>
      <c r="T8" s="104">
        <v>-3.7693228292288454</v>
      </c>
      <c r="U8" s="104">
        <v>-7.2693228292288454</v>
      </c>
      <c r="V8" s="104">
        <v>-6.9155937995259684</v>
      </c>
      <c r="W8" s="109">
        <v>251382.04176843681</v>
      </c>
    </row>
    <row r="9" spans="1:23">
      <c r="A9" s="99" t="s">
        <v>285</v>
      </c>
      <c r="B9" s="99" t="s">
        <v>293</v>
      </c>
      <c r="D9" s="104" t="s">
        <v>270</v>
      </c>
      <c r="E9" s="104">
        <v>4.5</v>
      </c>
      <c r="F9" s="104">
        <v>2.5977571707711546</v>
      </c>
      <c r="G9" s="104">
        <v>-0.90224282922884524</v>
      </c>
      <c r="H9" s="104">
        <v>-0.20546643601300729</v>
      </c>
      <c r="I9" s="104">
        <v>2.5977571707711546</v>
      </c>
      <c r="J9" s="104">
        <v>-0.90224282922884524</v>
      </c>
      <c r="K9" s="104">
        <v>-0.20546643601300729</v>
      </c>
      <c r="L9" s="104">
        <v>2.8803000000000001</v>
      </c>
      <c r="M9" s="104">
        <v>1.8803000000000003</v>
      </c>
      <c r="N9" s="104">
        <v>1.8851869137271886</v>
      </c>
      <c r="O9" s="104">
        <v>2.2493000000000003</v>
      </c>
      <c r="P9" s="104">
        <v>2.2493000000000003</v>
      </c>
      <c r="Q9" s="104">
        <v>2.2493000000000003</v>
      </c>
      <c r="R9" s="104">
        <v>-11.160071512313463</v>
      </c>
      <c r="S9" s="104">
        <v>-14.06061791280632</v>
      </c>
      <c r="T9" s="104">
        <v>-4.4232428292288466</v>
      </c>
      <c r="U9" s="104">
        <v>-7.9232428292288448</v>
      </c>
      <c r="V9" s="104">
        <v>-7.2264664360130082</v>
      </c>
      <c r="W9" s="109">
        <v>29883.488882228998</v>
      </c>
    </row>
    <row r="10" spans="1:23">
      <c r="U10" s="104">
        <v>-7.4547628292288444</v>
      </c>
      <c r="V10" s="104">
        <v>-7.0112310619648177</v>
      </c>
      <c r="W10" s="109">
        <v>29871.255476848626</v>
      </c>
    </row>
    <row r="11" spans="1:23">
      <c r="U11" s="104">
        <v>-6.9179628292288458</v>
      </c>
      <c r="V11" s="104">
        <v>-6.2606166011021189</v>
      </c>
      <c r="W11" s="109">
        <v>39724.008701257342</v>
      </c>
    </row>
    <row r="12" spans="1:23">
      <c r="U12" s="104">
        <v>-7.2693228292288454</v>
      </c>
      <c r="V12" s="104">
        <v>-4.5643488836151542</v>
      </c>
      <c r="W12" s="109">
        <v>625.03968782777258</v>
      </c>
    </row>
    <row r="13" spans="1:23">
      <c r="U13" s="104">
        <v>-7.9232428292288448</v>
      </c>
      <c r="V13" s="104">
        <v>-6.8832213369033042</v>
      </c>
      <c r="W13" s="109">
        <v>11919.446594505627</v>
      </c>
    </row>
    <row r="14" spans="1:23">
      <c r="V14" s="104">
        <v>-5.972553040415324</v>
      </c>
      <c r="W14" s="109">
        <v>28963.800082798571</v>
      </c>
    </row>
    <row r="15" spans="1:23">
      <c r="V15" s="104">
        <v>-2.9274330404153242</v>
      </c>
      <c r="W15" s="109">
        <v>12.56089672323527</v>
      </c>
    </row>
    <row r="16" spans="1:23">
      <c r="V16" s="104">
        <v>-5.7285530404153233</v>
      </c>
      <c r="W16" s="109">
        <v>8979.8909576819369</v>
      </c>
    </row>
    <row r="17" spans="22:23">
      <c r="V17" s="104">
        <v>-4.069353040415324</v>
      </c>
      <c r="W17" s="109">
        <v>626.53166819857029</v>
      </c>
    </row>
    <row r="18" spans="22:23">
      <c r="V18" s="104">
        <v>-6.6850330404153233</v>
      </c>
      <c r="W18" s="109">
        <v>812705.20350070496</v>
      </c>
    </row>
    <row r="19" spans="22:23">
      <c r="V19" s="104">
        <v>-2.8103130404153247</v>
      </c>
      <c r="W19" s="109">
        <v>6.1546452767517135</v>
      </c>
    </row>
    <row r="20" spans="22:23">
      <c r="V20" s="104">
        <v>-5.2307930404153238</v>
      </c>
      <c r="W20" s="109">
        <v>4474.3438472499129</v>
      </c>
    </row>
    <row r="21" spans="22:23">
      <c r="V21" s="104">
        <v>-4.2255130404153238</v>
      </c>
      <c r="W21" s="109">
        <v>72.21058573154545</v>
      </c>
    </row>
    <row r="22" spans="22:23">
      <c r="V22" s="104">
        <v>-0.95591304041532443</v>
      </c>
      <c r="W22" s="99">
        <v>0.15737376506224787</v>
      </c>
    </row>
    <row r="23" spans="22:23">
      <c r="V23" s="104">
        <v>-3.6301530404153244</v>
      </c>
      <c r="W23" s="99">
        <v>24.127633886971566</v>
      </c>
    </row>
    <row r="24" spans="22:23">
      <c r="V24" s="104">
        <v>-2.9274330404153242</v>
      </c>
      <c r="W24" s="99">
        <v>37.759750885799207</v>
      </c>
    </row>
    <row r="25" spans="22:23">
      <c r="V25" s="104">
        <v>-3.5032730404153236</v>
      </c>
      <c r="W25" s="99">
        <v>62.15313329585608</v>
      </c>
    </row>
    <row r="26" spans="22:23">
      <c r="V26" s="104">
        <v>-5.6309530404153234</v>
      </c>
      <c r="W26" s="99">
        <v>10408.697633503043</v>
      </c>
    </row>
    <row r="27" spans="22:23">
      <c r="V27" s="104">
        <v>-3.532553040415324</v>
      </c>
      <c r="W27" s="99">
        <v>160.11066480410554</v>
      </c>
    </row>
    <row r="28" spans="22:23">
      <c r="V28" s="104">
        <v>-3.7960730404153242</v>
      </c>
      <c r="W28" s="99">
        <v>254.32592954033385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2025-01-17T12:10:40Z</dcterms:modified>
</cp:coreProperties>
</file>