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Validation_Armitage\Validation_Hsu\"/>
    </mc:Choice>
  </mc:AlternateContent>
  <xr:revisionPtr revIDLastSave="0" documentId="13_ncr:1_{55F4F64A-2D06-4502-98CC-340C1D7D7A15}" xr6:coauthVersionLast="47" xr6:coauthVersionMax="47" xr10:uidLastSave="{00000000-0000-0000-0000-000000000000}"/>
  <bookViews>
    <workbookView xWindow="-98" yWindow="-98" windowWidth="21795" windowHeight="13875" tabRatio="841" firstSheet="2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2" l="1"/>
  <c r="B11" i="2"/>
  <c r="B10" i="2"/>
  <c r="B9" i="2"/>
  <c r="I16" i="18"/>
  <c r="B2" i="8" l="1"/>
  <c r="Q17" i="17"/>
  <c r="Q15" i="17"/>
  <c r="Q14" i="17"/>
  <c r="Q16" i="17"/>
  <c r="Q13" i="17"/>
  <c r="Q12" i="17"/>
  <c r="B6" i="2" l="1"/>
  <c r="B5" i="2"/>
  <c r="B4" i="2" l="1"/>
  <c r="I6" i="18"/>
  <c r="I7" i="18"/>
  <c r="I8" i="18"/>
  <c r="I9" i="18"/>
  <c r="I10" i="18"/>
  <c r="I11" i="18"/>
  <c r="I12" i="18"/>
  <c r="I13" i="18"/>
  <c r="I14" i="18"/>
  <c r="I15" i="18"/>
  <c r="I5" i="18"/>
  <c r="J22" i="2" l="1"/>
  <c r="F14" i="18"/>
  <c r="F13" i="18"/>
  <c r="F12" i="18"/>
  <c r="J21" i="2" l="1"/>
  <c r="J24" i="2"/>
  <c r="J23" i="2"/>
  <c r="O1" i="15"/>
</calcChain>
</file>

<file path=xl/sharedStrings.xml><?xml version="1.0" encoding="utf-8"?>
<sst xmlns="http://schemas.openxmlformats.org/spreadsheetml/2006/main" count="529" uniqueCount="298">
  <si>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</si>
  <si>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</si>
  <si>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</si>
  <si>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</si>
  <si>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</si>
  <si>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</si>
  <si>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</si>
  <si>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</si>
  <si>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</si>
  <si>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</si>
  <si>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</si>
  <si>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</si>
  <si>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</si>
  <si>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</si>
  <si>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</si>
  <si>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</si>
  <si>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</si>
  <si>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</si>
  <si>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</si>
  <si>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</si>
  <si>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</si>
  <si>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</si>
  <si>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</si>
  <si>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</si>
  <si>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</si>
  <si>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</si>
  <si>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</si>
  <si>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</si>
  <si>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</si>
  <si>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</si>
  <si>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</si>
  <si>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</si>
  <si>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</si>
  <si>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</si>
  <si>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</si>
  <si>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</si>
  <si>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</si>
  <si>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</si>
  <si>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</si>
  <si>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</si>
  <si>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</si>
  <si>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</si>
  <si>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</si>
  <si>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</si>
  <si>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</si>
  <si>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</si>
  <si>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</si>
  <si>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</si>
  <si>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</si>
  <si>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</si>
  <si>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</si>
  <si>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</si>
  <si>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</si>
  <si>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</si>
  <si>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</si>
  <si>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</si>
  <si>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</si>
  <si>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</si>
  <si>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</si>
  <si>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</si>
  <si>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</si>
  <si>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</si>
  <si>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</si>
  <si>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</si>
  <si>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</si>
  <si>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</si>
  <si>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</si>
  <si>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</si>
  <si>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</si>
  <si>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</si>
  <si>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</si>
  <si>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</si>
  <si>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</si>
  <si>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</si>
  <si>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</si>
  <si>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</si>
  <si>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</si>
  <si>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</si>
  <si>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</si>
  <si>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</si>
  <si>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</si>
  <si>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</si>
  <si>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</si>
  <si>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</si>
  <si>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</si>
  <si>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</si>
  <si>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</si>
  <si>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</si>
  <si>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</si>
  <si>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</si>
  <si>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</si>
  <si>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</si>
  <si>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</si>
  <si>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</si>
  <si>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</si>
  <si>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</si>
  <si>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</si>
  <si>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</si>
  <si>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</si>
  <si>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</si>
  <si>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</si>
  <si>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</si>
  <si>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</si>
  <si>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</si>
  <si>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</si>
  <si>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</si>
  <si>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</si>
  <si>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</si>
  <si>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</si>
  <si>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</si>
  <si>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</si>
  <si>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</si>
  <si>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</si>
  <si>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</si>
  <si>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</si>
  <si>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</si>
  <si>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</si>
  <si>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</si>
  <si>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</si>
  <si>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</si>
  <si>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</si>
  <si>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</si>
  <si>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</si>
  <si>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</si>
  <si>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</si>
  <si>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</si>
  <si>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</si>
  <si>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</si>
  <si>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</si>
  <si>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</si>
  <si>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</si>
  <si>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</si>
  <si>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</si>
  <si>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</si>
  <si>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</si>
  <si>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</si>
  <si>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</si>
  <si>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</si>
  <si>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</si>
  <si>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</si>
  <si>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</si>
  <si>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</si>
  <si>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</si>
  <si>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</si>
  <si>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</si>
  <si>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</si>
  <si>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</si>
  <si>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</si>
  <si>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</si>
  <si>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</si>
  <si>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</si>
  <si>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</si>
  <si>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</si>
  <si>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</si>
  <si>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</si>
  <si>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</si>
  <si>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</si>
  <si>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</si>
  <si>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</si>
  <si>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</si>
  <si>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</si>
  <si>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</si>
  <si>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</si>
  <si>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</si>
  <si>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</si>
  <si>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</si>
  <si>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</si>
  <si>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</si>
  <si>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</si>
  <si>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</si>
  <si>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</si>
  <si>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</si>
  <si>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</si>
  <si>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</si>
  <si>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</si>
  <si>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</si>
  <si>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</si>
  <si>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</si>
  <si>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</si>
  <si>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</si>
  <si>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</si>
  <si>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</si>
  <si>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</si>
  <si>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</si>
  <si>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</si>
  <si>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</si>
  <si>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</si>
  <si>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</si>
  <si>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</si>
  <si>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</si>
  <si>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</si>
  <si>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</si>
  <si>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</si>
  <si>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</si>
  <si>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</si>
  <si>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</si>
  <si>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</si>
  <si>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</si>
  <si>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</si>
  <si>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</si>
  <si>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</si>
  <si>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</si>
  <si>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</si>
  <si>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</si>
  <si>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</si>
  <si>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</si>
  <si>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</si>
  <si>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</si>
  <si>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</si>
  <si>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</si>
  <si>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</si>
  <si>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</si>
  <si>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</si>
  <si>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</si>
  <si>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</si>
  <si>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</si>
  <si>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</si>
  <si>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</si>
  <si>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</si>
  <si>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</si>
  <si>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</si>
  <si>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</si>
  <si>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</si>
  <si>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</si>
  <si>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</si>
  <si>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</si>
  <si>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</si>
  <si>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</si>
  <si>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</si>
  <si>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</si>
  <si>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</si>
  <si>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</si>
  <si>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</si>
  <si>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</si>
  <si>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</si>
  <si>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</si>
  <si>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</si>
  <si>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</si>
  <si>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</si>
  <si>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</si>
  <si>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</si>
  <si>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</si>
  <si>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</si>
  <si>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</si>
  <si>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</si>
  <si>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</si>
  <si>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</si>
  <si>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</si>
  <si>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</si>
  <si>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</si>
  <si>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</si>
  <si>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</si>
  <si>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</si>
  <si>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</si>
  <si>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</si>
  <si>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</si>
  <si>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</si>
  <si>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</si>
  <si>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</si>
  <si>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</si>
  <si>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</si>
  <si>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</si>
  <si>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</si>
  <si>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</si>
  <si>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</si>
  <si>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</si>
  <si>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</si>
  <si>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</si>
  <si>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</si>
  <si>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Caffeine</t>
  </si>
  <si>
    <t>A</t>
  </si>
  <si>
    <t>58-08-2</t>
  </si>
  <si>
    <t>--&gt;</t>
  </si>
  <si>
    <t>Lamotrigine</t>
  </si>
  <si>
    <t>84057-84-1</t>
    <phoneticPr fontId="23" type="noConversion"/>
  </si>
  <si>
    <t>Diclofenac</t>
  </si>
  <si>
    <t>15307-79-6</t>
    <phoneticPr fontId="23" type="noConversion"/>
  </si>
  <si>
    <t>2,4-Dichlorophenoxyacetic</t>
  </si>
  <si>
    <t>94-75-7</t>
    <phoneticPr fontId="23" type="noConversion"/>
  </si>
  <si>
    <t>(S)-Naproxen</t>
  </si>
  <si>
    <t>22204-53-1</t>
    <phoneticPr fontId="23" type="noConversion"/>
  </si>
  <si>
    <t>Ibuprofen</t>
  </si>
  <si>
    <t>15687-27-1</t>
    <phoneticPr fontId="23" type="noConversion"/>
  </si>
  <si>
    <t>Torasemide</t>
  </si>
  <si>
    <t>56211-40-6</t>
    <phoneticPr fontId="23" type="noConversion"/>
  </si>
  <si>
    <t>Warfarin</t>
  </si>
  <si>
    <t>81-81-2</t>
    <phoneticPr fontId="23" type="noConversion"/>
  </si>
  <si>
    <t>84057-84-1</t>
  </si>
  <si>
    <t>15307-79-6</t>
  </si>
  <si>
    <t>94-75-7</t>
  </si>
  <si>
    <t>22204-53-1</t>
  </si>
  <si>
    <t>15687-27-1</t>
  </si>
  <si>
    <t>56211-40-6</t>
  </si>
  <si>
    <t>81-81-2</t>
  </si>
  <si>
    <t>B</t>
  </si>
  <si>
    <t>N</t>
    <phoneticPr fontId="23" type="noConversion"/>
  </si>
  <si>
    <t>B</t>
    <phoneticPr fontId="23" type="noConversion"/>
  </si>
  <si>
    <t>A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</si>
</sst>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  <numFmt numFmtId="183" formatCode="0.00_);[Red]\(0.00\)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176" fontId="21" fillId="3" borderId="2" xfId="0" applyNumberFormat="1" applyFont="1" applyFill="1" applyBorder="1" applyAlignment="1">
      <alignment horizontal="center"/>
    </xf>
    <xf numFmtId="0" fontId="21" fillId="0" borderId="0" xfId="0" applyFont="1" applyAlignment="1">
      <alignment horizontal="left"/>
    </xf>
    <xf numFmtId="0" fontId="21" fillId="4" borderId="7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8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0" xfId="0" applyFont="1" applyBorder="1"/>
    <xf numFmtId="0" fontId="7" fillId="0" borderId="10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180" fontId="21" fillId="3" borderId="2" xfId="0" applyNumberFormat="1" applyFont="1" applyFill="1" applyBorder="1" applyAlignment="1">
      <alignment horizontal="center"/>
    </xf>
    <xf numFmtId="0" fontId="29" fillId="6" borderId="1" xfId="0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49" fontId="33" fillId="0" borderId="0" xfId="0" applyNumberFormat="1" applyFont="1" applyAlignment="1">
      <alignment vertical="center"/>
    </xf>
    <xf numFmtId="183" fontId="1" fillId="0" borderId="0" xfId="0" applyNumberFormat="1" applyFont="1" applyAlignment="1">
      <alignment horizontal="center"/>
    </xf>
    <xf numFmtId="11" fontId="1" fillId="4" borderId="8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  <xf numFmtId="11" fontId="1" fillId="4" borderId="9" xfId="0" applyNumberFormat="1" applyFont="1" applyFill="1" applyBorder="1" applyAlignment="1">
      <alignment horizontal="center"/>
    </xf>
    <xf numFmtId="0" fontId="29" fillId="0" borderId="0" xfId="0" applyFont="1"/>
    <xf numFmtId="0" fontId="29" fillId="0" borderId="0" xfId="0" applyFont="1" applyAlignment="1">
      <alignment horizontal="center"/>
    </xf>
    <xf numFmtId="0" fontId="29" fillId="0" borderId="0" xfId="2" applyFont="1" applyBorder="1">
      <protection locked="0"/>
    </xf>
    <xf numFmtId="2" fontId="29" fillId="0" borderId="0" xfId="0" applyNumberFormat="1" applyFont="1" applyAlignment="1">
      <alignment horizontal="center"/>
    </xf>
    <xf numFmtId="11" fontId="29" fillId="0" borderId="0" xfId="0" applyNumberFormat="1" applyFont="1"/>
    <xf numFmtId="10" fontId="35" fillId="0" borderId="0" xfId="0" applyNumberFormat="1" applyFont="1" applyAlignment="1">
      <alignment horizontal="left"/>
    </xf>
    <xf numFmtId="178" fontId="1" fillId="0" borderId="0" xfId="0" applyNumberFormat="1" applyFont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M23" sqref="M23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98"/>
  <sheetViews>
    <sheetView topLeftCell="F1" zoomScale="70" zoomScaleNormal="70" workbookViewId="0">
      <pane ySplit="1" topLeftCell="A2" activePane="bottomLeft" state="frozen"/>
      <selection pane="bottomLeft" activeCell="Z9" sqref="Z9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30" ht="43.5">
      <c r="A1" s="32" t="s">
        <v>5</v>
      </c>
      <c r="B1" s="28" t="s">
        <v>6</v>
      </c>
      <c r="C1" s="28" t="s">
        <v>217</v>
      </c>
      <c r="D1" s="118" t="s">
        <v>7</v>
      </c>
      <c r="E1" s="118" t="s">
        <v>18</v>
      </c>
      <c r="F1" s="29" t="s">
        <v>149</v>
      </c>
      <c r="G1" s="123" t="s">
        <v>167</v>
      </c>
      <c r="H1" s="123" t="s">
        <v>168</v>
      </c>
      <c r="I1" s="119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19" t="s">
        <v>165</v>
      </c>
      <c r="U1" s="31" t="s">
        <v>77</v>
      </c>
      <c r="V1" s="120" t="s">
        <v>166</v>
      </c>
      <c r="W1" s="122" t="s">
        <v>175</v>
      </c>
      <c r="X1" s="122" t="s">
        <v>177</v>
      </c>
      <c r="Y1" s="121" t="s">
        <v>51</v>
      </c>
      <c r="Z1" s="120" t="s">
        <v>134</v>
      </c>
      <c r="AA1" s="6"/>
    </row>
    <row r="2" spans="1:30" s="99" customFormat="1">
      <c r="A2" s="99" t="s">
        <v>269</v>
      </c>
      <c r="B2" s="100" t="str">
        <f>"58-08-2"</f>
        <v>58-08-2</v>
      </c>
      <c r="C2" s="124"/>
      <c r="D2" s="101">
        <v>194.19</v>
      </c>
      <c r="E2" s="101">
        <v>238</v>
      </c>
      <c r="F2" s="100"/>
      <c r="G2" s="101" t="s">
        <v>295</v>
      </c>
      <c r="H2" s="104"/>
      <c r="I2" s="104">
        <v>-7.0000000000000007E-2</v>
      </c>
      <c r="J2" s="104"/>
      <c r="K2" s="100"/>
      <c r="L2" s="100"/>
      <c r="M2" s="100"/>
      <c r="N2" s="100"/>
      <c r="O2" s="104"/>
      <c r="P2" s="104"/>
      <c r="Q2" s="104"/>
      <c r="R2" s="100"/>
      <c r="S2" s="112"/>
      <c r="T2" s="104">
        <v>-9.9499999999999993</v>
      </c>
      <c r="U2" s="104"/>
      <c r="V2" s="112">
        <v>21749.279999999999</v>
      </c>
      <c r="W2" s="112"/>
      <c r="X2" s="104"/>
      <c r="Y2" s="100"/>
      <c r="Z2" s="112">
        <v>2440</v>
      </c>
    </row>
    <row r="3" spans="1:30" s="99" customFormat="1">
      <c r="A3" s="99" t="s">
        <v>273</v>
      </c>
      <c r="B3" s="100" t="s">
        <v>274</v>
      </c>
      <c r="C3" s="124"/>
      <c r="D3" s="101">
        <v>256.08999999999997</v>
      </c>
      <c r="E3" s="101">
        <v>207</v>
      </c>
      <c r="F3" s="101"/>
      <c r="G3" s="101" t="s">
        <v>296</v>
      </c>
      <c r="H3" s="104">
        <v>6.6</v>
      </c>
      <c r="I3" s="104">
        <v>2.57</v>
      </c>
      <c r="J3" s="104"/>
      <c r="K3" s="100"/>
      <c r="L3" s="100"/>
      <c r="M3" s="100"/>
      <c r="N3" s="100"/>
      <c r="O3" s="104"/>
      <c r="P3" s="104"/>
      <c r="Q3" s="104"/>
      <c r="R3" s="100"/>
      <c r="S3" s="112"/>
      <c r="T3" s="104">
        <v>-9.6999999999999993</v>
      </c>
      <c r="U3" s="100"/>
      <c r="V3" s="112">
        <v>249.94383999999999</v>
      </c>
      <c r="W3" s="112"/>
      <c r="X3" s="104"/>
      <c r="Y3" s="100"/>
      <c r="Z3" s="112">
        <v>439</v>
      </c>
      <c r="AA3" s="18"/>
    </row>
    <row r="4" spans="1:30" s="162" customFormat="1">
      <c r="A4" s="99" t="s">
        <v>275</v>
      </c>
      <c r="B4" s="100" t="s">
        <v>276</v>
      </c>
      <c r="C4" s="164"/>
      <c r="D4" s="101">
        <v>296.14999999999998</v>
      </c>
      <c r="E4" s="101">
        <v>284</v>
      </c>
      <c r="F4" s="163"/>
      <c r="G4" s="101" t="s">
        <v>296</v>
      </c>
      <c r="H4" s="104">
        <v>17.600000000000001</v>
      </c>
      <c r="I4" s="104">
        <v>0.7</v>
      </c>
      <c r="J4" s="165"/>
      <c r="K4" s="163"/>
      <c r="L4" s="163"/>
      <c r="M4" s="163"/>
      <c r="N4" s="163"/>
      <c r="O4" s="165"/>
      <c r="P4" s="165"/>
      <c r="Q4" s="165"/>
      <c r="R4" s="163"/>
      <c r="S4" s="133"/>
      <c r="T4" s="104">
        <v>-9.0500000000000007</v>
      </c>
      <c r="U4" s="165"/>
      <c r="V4" s="112">
        <v>7.0187549999999996</v>
      </c>
      <c r="W4" s="133"/>
      <c r="X4" s="165"/>
      <c r="Y4" s="163"/>
      <c r="Z4" s="112">
        <v>2.12</v>
      </c>
      <c r="AA4" s="166"/>
    </row>
    <row r="5" spans="1:30" s="99" customFormat="1">
      <c r="A5" s="99" t="s">
        <v>277</v>
      </c>
      <c r="B5" s="100" t="s">
        <v>278</v>
      </c>
      <c r="C5" s="124"/>
      <c r="D5" s="101">
        <v>221.04</v>
      </c>
      <c r="E5" s="101">
        <v>140</v>
      </c>
      <c r="F5" s="100"/>
      <c r="G5" s="101" t="s">
        <v>297</v>
      </c>
      <c r="H5" s="104">
        <v>2.7</v>
      </c>
      <c r="I5" s="104">
        <v>2.81</v>
      </c>
      <c r="J5" s="104"/>
      <c r="K5" s="100"/>
      <c r="L5" s="100"/>
      <c r="M5" s="100"/>
      <c r="N5" s="100"/>
      <c r="O5" s="104"/>
      <c r="P5" s="104"/>
      <c r="Q5" s="104"/>
      <c r="R5" s="100"/>
      <c r="S5" s="112"/>
      <c r="T5" s="104">
        <v>-7.08</v>
      </c>
      <c r="U5" s="104"/>
      <c r="V5" s="112">
        <v>1644.5376000000001</v>
      </c>
      <c r="W5" s="112"/>
      <c r="X5" s="104"/>
      <c r="Y5" s="100"/>
      <c r="Z5" s="112">
        <v>49.2</v>
      </c>
    </row>
    <row r="6" spans="1:30" s="162" customFormat="1">
      <c r="A6" s="99" t="s">
        <v>279</v>
      </c>
      <c r="B6" s="100" t="s">
        <v>280</v>
      </c>
      <c r="C6" s="164"/>
      <c r="D6" s="101">
        <v>230.26</v>
      </c>
      <c r="E6" s="101">
        <v>153</v>
      </c>
      <c r="F6" s="163"/>
      <c r="G6" s="101" t="s">
        <v>297</v>
      </c>
      <c r="H6" s="104">
        <v>4.4000000000000004</v>
      </c>
      <c r="I6" s="104">
        <v>3.18</v>
      </c>
      <c r="J6" s="165"/>
      <c r="K6" s="163"/>
      <c r="L6" s="163"/>
      <c r="M6" s="163"/>
      <c r="N6" s="163"/>
      <c r="O6" s="165"/>
      <c r="P6" s="165"/>
      <c r="Q6" s="165"/>
      <c r="R6" s="163"/>
      <c r="S6" s="133"/>
      <c r="T6" s="104">
        <v>-9.64</v>
      </c>
      <c r="U6" s="165"/>
      <c r="V6" s="112">
        <v>13.355079999999999</v>
      </c>
      <c r="W6" s="133"/>
      <c r="X6" s="165"/>
      <c r="Y6" s="163"/>
      <c r="Z6" s="112">
        <v>17.7</v>
      </c>
    </row>
    <row r="7" spans="1:30" s="99" customFormat="1">
      <c r="A7" s="99" t="s">
        <v>281</v>
      </c>
      <c r="B7" s="100" t="s">
        <v>282</v>
      </c>
      <c r="C7" s="125"/>
      <c r="D7" s="101">
        <v>206.28</v>
      </c>
      <c r="E7" s="101">
        <v>89.1</v>
      </c>
      <c r="F7" s="100"/>
      <c r="G7" s="101" t="s">
        <v>297</v>
      </c>
      <c r="H7" s="104">
        <v>5.4</v>
      </c>
      <c r="I7" s="104">
        <v>3.73</v>
      </c>
      <c r="J7" s="104"/>
      <c r="K7" s="100"/>
      <c r="L7" s="100"/>
      <c r="M7" s="100"/>
      <c r="N7" s="100"/>
      <c r="O7" s="104"/>
      <c r="P7" s="104"/>
      <c r="Q7" s="104"/>
      <c r="R7" s="100"/>
      <c r="S7" s="112"/>
      <c r="T7" s="104">
        <v>-6.22</v>
      </c>
      <c r="U7" s="104"/>
      <c r="V7" s="112">
        <v>35.686439999999997</v>
      </c>
      <c r="W7" s="112"/>
      <c r="X7" s="104"/>
      <c r="Y7" s="100"/>
      <c r="Z7" s="112">
        <v>316</v>
      </c>
    </row>
    <row r="8" spans="1:30" s="162" customFormat="1" ht="13.15">
      <c r="A8" s="99" t="s">
        <v>283</v>
      </c>
      <c r="B8" s="100" t="s">
        <v>284</v>
      </c>
      <c r="C8" s="164"/>
      <c r="D8" s="101">
        <v>348.42</v>
      </c>
      <c r="E8" s="101">
        <v>224</v>
      </c>
      <c r="F8" s="163"/>
      <c r="G8" s="101" t="s">
        <v>297</v>
      </c>
      <c r="H8" s="104">
        <v>4</v>
      </c>
      <c r="I8" s="104">
        <v>3.37</v>
      </c>
      <c r="J8" s="165"/>
      <c r="K8" s="163"/>
      <c r="L8" s="163"/>
      <c r="M8" s="163"/>
      <c r="N8" s="163"/>
      <c r="O8" s="165"/>
      <c r="P8" s="165"/>
      <c r="Q8" s="165"/>
      <c r="R8" s="163"/>
      <c r="S8" s="133"/>
      <c r="T8" s="104">
        <v>-15.3</v>
      </c>
      <c r="U8" s="165"/>
      <c r="V8" s="112">
        <v>79.788179999999997</v>
      </c>
      <c r="W8" s="133"/>
      <c r="X8" s="165"/>
      <c r="Y8" s="163"/>
      <c r="Z8" s="112">
        <v>184</v>
      </c>
      <c r="AA8" s="167"/>
    </row>
    <row r="9" spans="1:30" s="99" customFormat="1">
      <c r="A9" s="99" t="s">
        <v>285</v>
      </c>
      <c r="B9" s="100" t="s">
        <v>286</v>
      </c>
      <c r="C9" s="124"/>
      <c r="D9" s="101">
        <v>308.33</v>
      </c>
      <c r="E9" s="101">
        <v>161</v>
      </c>
      <c r="F9" s="101"/>
      <c r="G9" s="101" t="s">
        <v>297</v>
      </c>
      <c r="H9" s="104">
        <v>4.5</v>
      </c>
      <c r="I9" s="104">
        <v>2.7</v>
      </c>
      <c r="J9" s="104"/>
      <c r="K9" s="100"/>
      <c r="L9" s="100"/>
      <c r="M9" s="100"/>
      <c r="N9" s="100"/>
      <c r="O9" s="104"/>
      <c r="P9" s="104"/>
      <c r="Q9" s="104"/>
      <c r="R9" s="100"/>
      <c r="S9" s="112"/>
      <c r="T9" s="104">
        <v>-11.6</v>
      </c>
      <c r="U9" s="104"/>
      <c r="V9" s="112">
        <v>29.692178999999999</v>
      </c>
      <c r="W9" s="112"/>
      <c r="X9" s="104"/>
      <c r="Y9" s="100"/>
      <c r="Z9" s="112">
        <v>242</v>
      </c>
      <c r="AA9" s="18"/>
    </row>
    <row r="10" spans="1:30" s="99" customFormat="1" ht="16.149999999999999">
      <c r="B10" s="155"/>
      <c r="C10" s="124"/>
      <c r="D10" s="101"/>
      <c r="E10" s="101"/>
      <c r="F10" s="101"/>
      <c r="G10" s="101"/>
      <c r="H10" s="104"/>
      <c r="I10" s="104"/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/>
      <c r="U10" s="100"/>
      <c r="V10" s="156"/>
      <c r="W10" s="112"/>
      <c r="X10" s="100"/>
      <c r="Y10" s="100"/>
      <c r="Z10" s="156"/>
      <c r="AA10" s="98"/>
    </row>
    <row r="11" spans="1:30" s="99" customFormat="1" ht="16.149999999999999">
      <c r="B11" s="155"/>
      <c r="C11" s="124"/>
      <c r="D11" s="101"/>
      <c r="E11" s="101"/>
      <c r="F11" s="100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56"/>
      <c r="W11" s="112"/>
      <c r="X11" s="104"/>
      <c r="Y11" s="100"/>
      <c r="Z11" s="156"/>
      <c r="AA11" s="18"/>
    </row>
    <row r="12" spans="1:30" s="99" customFormat="1" ht="16.149999999999999">
      <c r="B12" s="155"/>
      <c r="C12" s="124"/>
      <c r="D12" s="101"/>
      <c r="E12" s="101"/>
      <c r="F12" s="101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56"/>
      <c r="W12" s="112"/>
      <c r="X12" s="100"/>
      <c r="Y12" s="100"/>
      <c r="Z12" s="156"/>
      <c r="AA12" s="98"/>
    </row>
    <row r="13" spans="1:30" s="99" customFormat="1" ht="16.149999999999999">
      <c r="B13" s="155"/>
      <c r="C13" s="125"/>
      <c r="D13" s="101"/>
      <c r="E13" s="101"/>
      <c r="F13" s="100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56"/>
      <c r="W13" s="112"/>
      <c r="X13" s="104"/>
      <c r="Y13" s="100"/>
      <c r="Z13" s="156"/>
    </row>
    <row r="14" spans="1:30" s="99" customFormat="1" ht="16.149999999999999">
      <c r="B14" s="155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56"/>
      <c r="W14" s="112"/>
      <c r="X14" s="100"/>
      <c r="Y14" s="100"/>
      <c r="Z14" s="156"/>
      <c r="AA14" s="98"/>
    </row>
    <row r="15" spans="1:30" s="99" customFormat="1" ht="16.149999999999999">
      <c r="B15" s="155"/>
      <c r="C15" s="124"/>
      <c r="D15" s="101"/>
      <c r="E15" s="101"/>
      <c r="F15" s="100"/>
      <c r="G15" s="101"/>
      <c r="H15" s="104"/>
      <c r="I15" s="104"/>
      <c r="J15" s="100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56"/>
      <c r="W15" s="112"/>
      <c r="X15" s="104"/>
      <c r="Y15" s="100"/>
      <c r="Z15" s="156"/>
      <c r="AA15" s="109"/>
    </row>
    <row r="16" spans="1:30" s="99" customFormat="1" ht="16.149999999999999">
      <c r="B16" s="155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56"/>
      <c r="W16" s="112"/>
      <c r="X16" s="104"/>
      <c r="Y16" s="100"/>
      <c r="Z16" s="156"/>
      <c r="AD16" s="109"/>
    </row>
    <row r="17" spans="2:30" s="99" customFormat="1" ht="16.149999999999999">
      <c r="B17" s="155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56"/>
      <c r="W17" s="112"/>
      <c r="X17" s="104"/>
      <c r="Y17" s="100"/>
      <c r="Z17" s="156"/>
      <c r="AA17" s="109"/>
    </row>
    <row r="18" spans="2:30" s="99" customFormat="1" ht="16.149999999999999">
      <c r="B18" s="155"/>
      <c r="C18" s="124"/>
      <c r="D18" s="101"/>
      <c r="E18" s="101"/>
      <c r="F18" s="100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56"/>
      <c r="W18" s="112"/>
      <c r="X18" s="104"/>
      <c r="Y18" s="100"/>
      <c r="Z18" s="156"/>
    </row>
    <row r="19" spans="2:30" s="99" customFormat="1" ht="16.149999999999999">
      <c r="B19" s="155"/>
      <c r="C19" s="125"/>
      <c r="D19" s="101"/>
      <c r="E19" s="101"/>
      <c r="F19" s="100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56"/>
      <c r="W19" s="112"/>
      <c r="X19" s="104"/>
      <c r="Y19" s="100"/>
      <c r="Z19" s="156"/>
      <c r="AA19" s="127"/>
    </row>
    <row r="20" spans="2:30" s="99" customFormat="1" ht="16.149999999999999">
      <c r="B20" s="155"/>
      <c r="C20" s="124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56"/>
      <c r="W20" s="112"/>
      <c r="X20" s="104"/>
      <c r="Y20" s="100"/>
      <c r="Z20" s="156"/>
    </row>
    <row r="21" spans="2:30" s="99" customFormat="1" ht="16.149999999999999">
      <c r="B21" s="155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56"/>
      <c r="W21" s="112"/>
      <c r="X21" s="104"/>
      <c r="Y21" s="100"/>
      <c r="Z21" s="156"/>
      <c r="AA21" s="18"/>
    </row>
    <row r="22" spans="2:30" s="99" customFormat="1" ht="16.149999999999999">
      <c r="B22" s="155"/>
      <c r="C22" s="124"/>
      <c r="D22" s="101"/>
      <c r="E22" s="101"/>
      <c r="F22" s="101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56"/>
      <c r="W22" s="112"/>
      <c r="X22" s="104"/>
      <c r="Y22" s="100"/>
      <c r="Z22" s="156"/>
      <c r="AA22" s="109"/>
      <c r="AD22" s="109"/>
    </row>
    <row r="23" spans="2:30" s="99" customFormat="1" ht="16.149999999999999">
      <c r="B23" s="155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56"/>
      <c r="W23" s="112"/>
      <c r="X23" s="104"/>
      <c r="Y23" s="100"/>
      <c r="Z23" s="156"/>
      <c r="AA23" s="109"/>
    </row>
    <row r="24" spans="2:30" s="99" customFormat="1" ht="16.149999999999999">
      <c r="B24" s="155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56"/>
      <c r="W24" s="112"/>
      <c r="X24" s="104"/>
      <c r="Y24" s="100"/>
      <c r="Z24" s="156"/>
      <c r="AA24" s="24"/>
    </row>
    <row r="25" spans="2:30" s="99" customFormat="1">
      <c r="B25" s="100"/>
      <c r="C25" s="124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</row>
    <row r="26" spans="2:30" s="99" customFormat="1">
      <c r="B26" s="100"/>
      <c r="C26" s="124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>
      <c r="B27" s="100"/>
      <c r="C27" s="124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1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33"/>
      <c r="AA38" s="100"/>
      <c r="AB38" s="100"/>
      <c r="AC38" s="101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33"/>
      <c r="AA39" s="100"/>
      <c r="AB39" s="100"/>
      <c r="AC39" s="101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33"/>
      <c r="AA40" s="100"/>
      <c r="AB40" s="100"/>
      <c r="AC40" s="101"/>
    </row>
    <row r="41" spans="1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3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0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3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3"/>
      <c r="AA43" s="100"/>
      <c r="AB43" s="100"/>
      <c r="AC43" s="101"/>
    </row>
    <row r="44" spans="1:29" s="99" customFormat="1">
      <c r="B44" s="100"/>
      <c r="C44" s="125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3"/>
      <c r="AA44" s="100"/>
      <c r="AB44" s="100"/>
      <c r="AC44" s="101"/>
    </row>
    <row r="45" spans="1:29">
      <c r="A45" s="99"/>
      <c r="B45" s="100"/>
      <c r="C45" s="100"/>
      <c r="D45" s="101"/>
      <c r="H45" s="3"/>
      <c r="I45" s="104"/>
      <c r="T45" s="104"/>
      <c r="U45" s="100"/>
      <c r="V45" s="112"/>
      <c r="AA45" s="11"/>
    </row>
    <row r="46" spans="1:29">
      <c r="A46" s="99"/>
      <c r="B46" s="100"/>
      <c r="C46" s="100"/>
      <c r="D46" s="101"/>
      <c r="H46" s="3"/>
      <c r="I46" s="104"/>
      <c r="T46" s="104"/>
      <c r="U46" s="100"/>
      <c r="V46" s="112"/>
      <c r="AA46" s="11"/>
    </row>
    <row r="47" spans="1:29">
      <c r="A47" s="99"/>
      <c r="B47" s="100"/>
      <c r="C47" s="100"/>
      <c r="D47" s="101"/>
      <c r="H47" s="3"/>
      <c r="I47" s="104"/>
      <c r="T47" s="104"/>
      <c r="U47" s="100"/>
      <c r="V47" s="112"/>
      <c r="AA47" s="1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E49" s="2"/>
      <c r="F49" s="2"/>
      <c r="G49" s="2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E50" s="2"/>
      <c r="F50" s="2"/>
      <c r="G50" s="2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E51" s="2"/>
      <c r="F51" s="2"/>
      <c r="G51" s="2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100"/>
      <c r="F52" s="100"/>
      <c r="G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100"/>
      <c r="F53" s="100"/>
      <c r="G53" s="101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100"/>
      <c r="F54" s="100"/>
      <c r="G54" s="101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1"/>
      <c r="F68" s="101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1"/>
      <c r="F73" s="101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Y283" s="9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A1187" s="11"/>
    </row>
    <row r="1188" spans="1:27">
      <c r="AA1188" s="11"/>
    </row>
    <row r="1189" spans="1:27"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</sheetData>
  <sortState xmlns:xlrd2="http://schemas.microsoft.com/office/spreadsheetml/2017/richdata2" ref="A2:AD1298">
    <sortCondition ref="T2:T1298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98" t="s">
        <v>160</v>
      </c>
    </row>
    <row r="5" spans="1:10" ht="15">
      <c r="A5" s="98" t="s">
        <v>183</v>
      </c>
    </row>
    <row r="6" spans="1:10">
      <c r="A6" s="58"/>
    </row>
    <row r="7" spans="1:10" ht="15.4">
      <c r="A7" s="114" t="s">
        <v>215</v>
      </c>
      <c r="H7" s="115" t="s">
        <v>178</v>
      </c>
    </row>
    <row r="8" spans="1:10">
      <c r="A8" s="11" t="b">
        <v>1</v>
      </c>
    </row>
    <row r="9" spans="1:10" ht="13.15">
      <c r="A9" s="11"/>
      <c r="H9" s="102" t="s">
        <v>179</v>
      </c>
      <c r="I9" s="103" t="s">
        <v>180</v>
      </c>
      <c r="J9" s="103" t="s">
        <v>181</v>
      </c>
    </row>
    <row r="10" spans="1:10" ht="15">
      <c r="A10" s="18" t="s">
        <v>43</v>
      </c>
      <c r="D10" s="17" t="s">
        <v>44</v>
      </c>
      <c r="H10" s="99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238</v>
      </c>
      <c r="I11" s="3">
        <v>3.5</v>
      </c>
      <c r="J11" s="3">
        <v>3.5</v>
      </c>
    </row>
    <row r="12" spans="1:10" ht="15">
      <c r="D12" s="11" t="s">
        <v>53</v>
      </c>
      <c r="H12" s="99" t="s">
        <v>185</v>
      </c>
      <c r="I12" s="3">
        <v>1</v>
      </c>
      <c r="J12" s="3">
        <v>1</v>
      </c>
    </row>
    <row r="13" spans="1:10" ht="15">
      <c r="D13" s="2" t="s">
        <v>42</v>
      </c>
      <c r="H13" s="99" t="s">
        <v>186</v>
      </c>
      <c r="I13" s="3">
        <v>0</v>
      </c>
      <c r="J13" s="3">
        <v>1</v>
      </c>
    </row>
    <row r="14" spans="1:10" ht="15">
      <c r="D14" s="11" t="s">
        <v>54</v>
      </c>
      <c r="H14" s="99" t="s">
        <v>182</v>
      </c>
      <c r="I14" s="3">
        <v>3.5</v>
      </c>
      <c r="J14" s="3">
        <v>3.5</v>
      </c>
    </row>
    <row r="16" spans="1:10" ht="13.9">
      <c r="A16" s="116" t="s">
        <v>49</v>
      </c>
      <c r="H16" s="115" t="s">
        <v>200</v>
      </c>
    </row>
    <row r="17" spans="1:11">
      <c r="A17" s="2" t="s">
        <v>50</v>
      </c>
    </row>
    <row r="18" spans="1:11" ht="13.15">
      <c r="A18" s="11" t="s">
        <v>48</v>
      </c>
      <c r="H18" s="102" t="s">
        <v>179</v>
      </c>
      <c r="I18" s="103" t="s">
        <v>180</v>
      </c>
      <c r="J18" s="103" t="s">
        <v>181</v>
      </c>
    </row>
    <row r="19" spans="1:11">
      <c r="H19" s="99" t="s">
        <v>201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207</v>
      </c>
      <c r="I26" s="111"/>
    </row>
    <row r="27" spans="1:11">
      <c r="A27" s="11"/>
      <c r="H27" s="99" t="s">
        <v>164</v>
      </c>
      <c r="I27" s="100">
        <v>5.0999999999999996</v>
      </c>
    </row>
    <row r="28" spans="1:11" ht="13.9">
      <c r="A28" s="117" t="s">
        <v>163</v>
      </c>
      <c r="H28" s="99" t="s">
        <v>204</v>
      </c>
      <c r="I28" s="3">
        <v>6.7999999999999996E-3</v>
      </c>
      <c r="K28" s="3"/>
    </row>
    <row r="29" spans="1:11">
      <c r="A29" s="11" t="b">
        <v>1</v>
      </c>
      <c r="H29" s="99" t="s">
        <v>205</v>
      </c>
      <c r="I29" s="3">
        <v>500</v>
      </c>
      <c r="J29" s="99" t="s">
        <v>206</v>
      </c>
    </row>
    <row r="31" spans="1:11">
      <c r="A31" s="18" t="s">
        <v>43</v>
      </c>
      <c r="B31" s="99" t="s">
        <v>161</v>
      </c>
    </row>
    <row r="33" spans="1:2">
      <c r="A33" s="18" t="s">
        <v>44</v>
      </c>
      <c r="B33" s="99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topLeftCell="A7"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6.9349999999999996</v>
      </c>
      <c r="K5" s="132">
        <v>7.3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2.774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1.387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0.69350000000000001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0.14599999999999999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0.1168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4.088E-2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2.2630000000000001E-2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2">
        <v>2000</v>
      </c>
      <c r="I13" s="49">
        <f t="shared" si="0"/>
        <v>1.46E-2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1.6789999999999999E-2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8.7600000000000004E-3</v>
      </c>
    </row>
    <row r="16" spans="1:15" ht="13.15" thickBot="1">
      <c r="A16" s="99" t="s">
        <v>228</v>
      </c>
      <c r="B16" s="100">
        <v>12</v>
      </c>
      <c r="C16" s="148">
        <v>6.4</v>
      </c>
      <c r="D16" s="149">
        <v>32</v>
      </c>
      <c r="E16" s="149">
        <v>360</v>
      </c>
      <c r="F16" s="147" t="s">
        <v>105</v>
      </c>
      <c r="G16" s="149">
        <v>220</v>
      </c>
      <c r="H16" s="149">
        <v>20000</v>
      </c>
      <c r="I16" s="49">
        <f t="shared" si="0"/>
        <v>0.14599999999999999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B1" workbookViewId="0">
      <selection activeCell="G22" sqref="G22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220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142">
        <v>7000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57">
        <f>K9*B6*K16/(1/0.733)/1000</f>
        <v>7.740480000000001E-2</v>
      </c>
      <c r="C9" s="75" t="s">
        <v>99</v>
      </c>
      <c r="F9" s="76" t="s">
        <v>68</v>
      </c>
      <c r="G9" s="158">
        <v>1E-3</v>
      </c>
      <c r="H9" s="75" t="s">
        <v>55</v>
      </c>
      <c r="I9" s="76"/>
      <c r="J9" s="76" t="s">
        <v>157</v>
      </c>
      <c r="K9" s="131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57">
        <f>K9*B6*K17/1000</f>
        <v>8.3599999999999994E-3</v>
      </c>
      <c r="C10" s="75" t="s">
        <v>99</v>
      </c>
      <c r="F10" s="76" t="s">
        <v>69</v>
      </c>
      <c r="G10" s="159">
        <v>8.9999999999999993E-3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57">
        <f>K10*B6/1000/1000/K11</f>
        <v>0</v>
      </c>
      <c r="C11" s="75" t="s">
        <v>99</v>
      </c>
      <c r="F11" s="76" t="s">
        <v>145</v>
      </c>
      <c r="G11" s="160">
        <v>8.43E-2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61">
        <f>G13/1000000/G12*1000000</f>
        <v>0.14599999999999999</v>
      </c>
      <c r="C12" s="75" t="s">
        <v>99</v>
      </c>
      <c r="F12" s="76" t="s">
        <v>45</v>
      </c>
      <c r="G12" s="159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89">
        <v>0.14599999999999999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2">
        <v>0.15</v>
      </c>
      <c r="H21" s="76" t="s">
        <v>23</v>
      </c>
      <c r="J21" s="91">
        <f>B12/B6</f>
        <v>6.6363636363636364E-4</v>
      </c>
      <c r="K21" s="76" t="s">
        <v>125</v>
      </c>
      <c r="M21" s="75"/>
    </row>
    <row r="22" spans="1:13" ht="13.15" thickBot="1">
      <c r="A22" s="75"/>
      <c r="C22" s="76"/>
      <c r="F22" s="99" t="s">
        <v>164</v>
      </c>
      <c r="G22" s="88">
        <v>7.4</v>
      </c>
      <c r="J22" s="92">
        <f>B12*(G9+G10)/B6</f>
        <v>6.636363636363635E-6</v>
      </c>
      <c r="K22" s="78" t="s">
        <v>126</v>
      </c>
      <c r="L22" s="93"/>
    </row>
    <row r="23" spans="1:13" ht="13.15">
      <c r="A23" s="74" t="s">
        <v>142</v>
      </c>
      <c r="B23" s="75"/>
      <c r="C23" s="93"/>
      <c r="D23" s="76"/>
      <c r="E23" s="76"/>
      <c r="F23" s="74" t="s">
        <v>136</v>
      </c>
      <c r="J23" s="92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3"/>
      <c r="C24" s="93"/>
      <c r="D24" s="76"/>
      <c r="E24" s="76"/>
      <c r="F24" s="76" t="s">
        <v>138</v>
      </c>
      <c r="G24" s="75" t="b">
        <v>0</v>
      </c>
      <c r="I24" s="76"/>
      <c r="J24" s="94">
        <f>B9/B6</f>
        <v>3.5184000000000002E-4</v>
      </c>
      <c r="K24" s="76" t="s">
        <v>128</v>
      </c>
    </row>
    <row r="25" spans="1:13">
      <c r="C25" s="93"/>
      <c r="F25" s="76" t="s">
        <v>137</v>
      </c>
    </row>
    <row r="26" spans="1:13">
      <c r="B26" s="75"/>
      <c r="F26" s="95" t="s">
        <v>152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G28" s="75"/>
      <c r="H28" s="75"/>
      <c r="J28" s="96"/>
    </row>
    <row r="29" spans="1:13">
      <c r="B29" s="99"/>
      <c r="C29" s="150"/>
      <c r="J29" s="96"/>
    </row>
    <row r="30" spans="1:13">
      <c r="B30" s="99"/>
      <c r="E30" s="100"/>
    </row>
    <row r="31" spans="1:13">
      <c r="D31" s="100"/>
      <c r="E31" s="100"/>
    </row>
    <row r="32" spans="1:13">
      <c r="B32" s="99"/>
      <c r="D32" s="100"/>
      <c r="E32" s="100"/>
    </row>
    <row r="33" spans="2:5">
      <c r="B33" s="151"/>
      <c r="D33" s="100"/>
      <c r="E33" s="100"/>
    </row>
    <row r="34" spans="2:5">
      <c r="C34" s="100"/>
      <c r="D34" s="100"/>
    </row>
    <row r="35" spans="2:5">
      <c r="C35" s="100"/>
      <c r="D35" s="100"/>
    </row>
    <row r="36" spans="2:5">
      <c r="D36" s="100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9" sqref="N9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5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269</v>
      </c>
      <c r="B2" s="66" t="s">
        <v>271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2.0256448818305948E-4</v>
      </c>
      <c r="J2" s="67" t="s">
        <v>231</v>
      </c>
      <c r="K2" s="68">
        <v>2.2261515106553929</v>
      </c>
      <c r="L2" s="67" t="s">
        <v>272</v>
      </c>
      <c r="M2" s="68">
        <v>2.8393474023438547</v>
      </c>
      <c r="N2" s="67" t="s">
        <v>231</v>
      </c>
      <c r="P2" s="106" t="s">
        <v>188</v>
      </c>
    </row>
    <row r="3" spans="1:17">
      <c r="A3" s="65" t="s">
        <v>273</v>
      </c>
      <c r="B3" s="66" t="s">
        <v>287</v>
      </c>
      <c r="D3" s="66" t="s">
        <v>294</v>
      </c>
      <c r="E3" s="128">
        <v>6.6</v>
      </c>
      <c r="F3" s="67" t="s">
        <v>231</v>
      </c>
      <c r="G3" s="67" t="s">
        <v>231</v>
      </c>
      <c r="H3" s="67" t="s">
        <v>231</v>
      </c>
      <c r="I3" s="68">
        <v>6.9047347393933305E-3</v>
      </c>
      <c r="J3" s="67" t="s">
        <v>231</v>
      </c>
      <c r="K3" s="68">
        <v>3.6373850416477418</v>
      </c>
      <c r="L3" s="67" t="s">
        <v>232</v>
      </c>
      <c r="M3" s="68">
        <v>211.95821518384082</v>
      </c>
      <c r="N3" s="67" t="s">
        <v>232</v>
      </c>
      <c r="P3" s="106" t="s">
        <v>189</v>
      </c>
    </row>
    <row r="4" spans="1:17">
      <c r="A4" s="65" t="s">
        <v>275</v>
      </c>
      <c r="B4" s="66" t="s">
        <v>288</v>
      </c>
      <c r="D4" s="66" t="s">
        <v>294</v>
      </c>
      <c r="E4" s="128">
        <v>17.600000000000001</v>
      </c>
      <c r="F4" s="67" t="s">
        <v>231</v>
      </c>
      <c r="G4" s="67" t="s">
        <v>231</v>
      </c>
      <c r="H4" s="67" t="s">
        <v>231</v>
      </c>
      <c r="I4" s="68">
        <v>1.9359656781778371E-14</v>
      </c>
      <c r="J4" s="67" t="s">
        <v>231</v>
      </c>
      <c r="K4" s="68">
        <v>2.1729746906422203E-3</v>
      </c>
      <c r="L4" s="67" t="s">
        <v>231</v>
      </c>
      <c r="M4" s="68">
        <v>6.463644690612713E-3</v>
      </c>
      <c r="N4" s="67" t="s">
        <v>231</v>
      </c>
    </row>
    <row r="5" spans="1:17">
      <c r="A5" s="65" t="s">
        <v>277</v>
      </c>
      <c r="B5" s="66" t="s">
        <v>289</v>
      </c>
      <c r="D5" s="66" t="s">
        <v>270</v>
      </c>
      <c r="E5" s="128">
        <v>2.7</v>
      </c>
      <c r="F5" s="67" t="s">
        <v>231</v>
      </c>
      <c r="G5" s="67" t="s">
        <v>231</v>
      </c>
      <c r="H5" s="67" t="s">
        <v>231</v>
      </c>
      <c r="I5" s="68">
        <v>1.0094885351612725E-8</v>
      </c>
      <c r="J5" s="67" t="s">
        <v>231</v>
      </c>
      <c r="K5" s="68">
        <v>7.4752172801875141E-2</v>
      </c>
      <c r="L5" s="67" t="s">
        <v>231</v>
      </c>
      <c r="M5" s="68">
        <v>3.7199970396070476</v>
      </c>
      <c r="N5" s="67" t="s">
        <v>231</v>
      </c>
      <c r="P5" s="106" t="s">
        <v>190</v>
      </c>
    </row>
    <row r="6" spans="1:17">
      <c r="A6" s="65" t="s">
        <v>279</v>
      </c>
      <c r="B6" s="66" t="s">
        <v>290</v>
      </c>
      <c r="D6" s="66" t="s">
        <v>270</v>
      </c>
      <c r="E6" s="128">
        <v>4.4000000000000004</v>
      </c>
      <c r="F6" s="67" t="s">
        <v>231</v>
      </c>
      <c r="G6" s="67" t="s">
        <v>231</v>
      </c>
      <c r="H6" s="67" t="s">
        <v>231</v>
      </c>
      <c r="I6" s="68">
        <v>1.5795525142418321E-5</v>
      </c>
      <c r="J6" s="67" t="s">
        <v>231</v>
      </c>
      <c r="K6" s="68">
        <v>3.9465037871838637E-2</v>
      </c>
      <c r="L6" s="67" t="s">
        <v>231</v>
      </c>
      <c r="M6" s="68">
        <v>2.8794164629175545</v>
      </c>
      <c r="N6" s="67" t="s">
        <v>231</v>
      </c>
      <c r="P6" s="106" t="s">
        <v>191</v>
      </c>
    </row>
    <row r="7" spans="1:17">
      <c r="A7" s="65" t="s">
        <v>281</v>
      </c>
      <c r="B7" s="66" t="s">
        <v>291</v>
      </c>
      <c r="D7" s="66" t="s">
        <v>270</v>
      </c>
      <c r="E7" s="128">
        <v>5.4</v>
      </c>
      <c r="F7" s="67" t="s">
        <v>231</v>
      </c>
      <c r="G7" s="67" t="s">
        <v>231</v>
      </c>
      <c r="H7" s="67" t="s">
        <v>231</v>
      </c>
      <c r="I7" s="68">
        <v>2.5297128751202921E-3</v>
      </c>
      <c r="J7" s="67" t="s">
        <v>231</v>
      </c>
      <c r="K7" s="68">
        <v>1.4126163391566922</v>
      </c>
      <c r="L7" s="67" t="s">
        <v>232</v>
      </c>
      <c r="M7" s="68">
        <v>134.8785384700187</v>
      </c>
      <c r="N7" s="67" t="s">
        <v>232</v>
      </c>
      <c r="P7" s="106" t="s">
        <v>192</v>
      </c>
    </row>
    <row r="8" spans="1:17" ht="17.25">
      <c r="A8" s="65" t="s">
        <v>283</v>
      </c>
      <c r="B8" s="66" t="s">
        <v>292</v>
      </c>
      <c r="D8" s="66" t="s">
        <v>270</v>
      </c>
      <c r="E8" s="128">
        <v>4</v>
      </c>
      <c r="F8" s="67" t="s">
        <v>231</v>
      </c>
      <c r="G8" s="67" t="s">
        <v>231</v>
      </c>
      <c r="H8" s="67" t="s">
        <v>231</v>
      </c>
      <c r="I8" s="68">
        <v>3.1729541265088705E-6</v>
      </c>
      <c r="J8" s="67" t="s">
        <v>231</v>
      </c>
      <c r="K8" s="68">
        <v>0.5066607436458368</v>
      </c>
      <c r="L8" s="67" t="s">
        <v>231</v>
      </c>
      <c r="M8" s="68">
        <v>41.97836993605447</v>
      </c>
      <c r="N8" s="67" t="s">
        <v>232</v>
      </c>
      <c r="P8" s="106" t="s">
        <v>193</v>
      </c>
    </row>
    <row r="9" spans="1:17" ht="17.25">
      <c r="A9" s="65" t="s">
        <v>285</v>
      </c>
      <c r="B9" s="66" t="s">
        <v>293</v>
      </c>
      <c r="D9" s="66" t="s">
        <v>270</v>
      </c>
      <c r="E9" s="128">
        <v>4.5</v>
      </c>
      <c r="F9" s="67" t="s">
        <v>231</v>
      </c>
      <c r="G9" s="67" t="s">
        <v>231</v>
      </c>
      <c r="H9" s="67" t="s">
        <v>231</v>
      </c>
      <c r="I9" s="68">
        <v>1.5520555377275999E-4</v>
      </c>
      <c r="J9" s="67" t="s">
        <v>231</v>
      </c>
      <c r="K9" s="68">
        <v>0.33824445707383283</v>
      </c>
      <c r="L9" s="67" t="s">
        <v>231</v>
      </c>
      <c r="M9" s="68">
        <v>14.605950451962626</v>
      </c>
      <c r="N9" s="67" t="s">
        <v>231</v>
      </c>
      <c r="P9" s="106" t="s">
        <v>194</v>
      </c>
    </row>
    <row r="11" spans="1:17" ht="13.15">
      <c r="P11" s="15" t="s">
        <v>195</v>
      </c>
    </row>
    <row r="12" spans="1:17">
      <c r="P12" s="106" t="s">
        <v>196</v>
      </c>
      <c r="Q12" s="100">
        <f>COUNTIF(F2:F50000,"Yes")</f>
        <v>0</v>
      </c>
    </row>
    <row r="13" spans="1:17">
      <c r="P13" s="106" t="s">
        <v>192</v>
      </c>
      <c r="Q13" s="100">
        <f>COUNTIF(J2:J50000,"Yes")</f>
        <v>0</v>
      </c>
    </row>
    <row r="14" spans="1:17" ht="15">
      <c r="P14" s="106" t="s">
        <v>229</v>
      </c>
      <c r="Q14" s="100">
        <f>COUNTIF(N2:N50000,"Yes")</f>
        <v>3</v>
      </c>
    </row>
    <row r="15" spans="1:17" ht="15">
      <c r="P15" s="106" t="s">
        <v>230</v>
      </c>
      <c r="Q15" s="100">
        <f>COUNTIF(M2:M50000,"&gt;=60")</f>
        <v>2</v>
      </c>
    </row>
    <row r="16" spans="1:17">
      <c r="P16" s="106" t="s">
        <v>197</v>
      </c>
      <c r="Q16" s="100">
        <f>COUNTIF(G2:G50000,"Yes")</f>
        <v>0</v>
      </c>
    </row>
    <row r="17" spans="16:18">
      <c r="Q17" s="100">
        <f>COUNT(I2:I50000)</f>
        <v>8</v>
      </c>
      <c r="R17" s="108"/>
    </row>
    <row r="18" spans="16:18">
      <c r="R18" s="108"/>
    </row>
    <row r="19" spans="16:18">
      <c r="P19" s="106" t="s">
        <v>198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4" customFormat="1">
      <c r="B47" s="135"/>
      <c r="C47" s="135"/>
      <c r="D47" s="135"/>
      <c r="E47" s="136"/>
      <c r="F47" s="137"/>
      <c r="G47" s="137"/>
      <c r="H47" s="137"/>
      <c r="I47" s="138"/>
      <c r="J47" s="137"/>
      <c r="K47" s="138"/>
      <c r="L47" s="137"/>
      <c r="M47" s="138"/>
      <c r="N47" s="137"/>
      <c r="P47" s="126"/>
      <c r="Q47" s="126"/>
      <c r="R47" s="126"/>
    </row>
    <row r="48" spans="2:18" s="134" customFormat="1">
      <c r="B48" s="135"/>
      <c r="C48" s="135"/>
      <c r="D48" s="135"/>
      <c r="E48" s="136"/>
      <c r="F48" s="137"/>
      <c r="G48" s="137"/>
      <c r="H48" s="137"/>
      <c r="I48" s="138"/>
      <c r="J48" s="137"/>
      <c r="K48" s="138"/>
      <c r="L48" s="137"/>
      <c r="M48" s="138"/>
      <c r="N48" s="137"/>
      <c r="P48" s="126"/>
      <c r="Q48" s="126"/>
      <c r="R48" s="126"/>
    </row>
    <row r="49" spans="2:18" s="134" customFormat="1">
      <c r="B49" s="135"/>
      <c r="C49" s="135"/>
      <c r="D49" s="135"/>
      <c r="E49" s="136"/>
      <c r="F49" s="137"/>
      <c r="G49" s="137"/>
      <c r="H49" s="137"/>
      <c r="I49" s="138"/>
      <c r="J49" s="137"/>
      <c r="K49" s="138"/>
      <c r="L49" s="137"/>
      <c r="M49" s="138"/>
      <c r="N49" s="137"/>
      <c r="P49" s="126"/>
      <c r="Q49" s="126"/>
      <c r="R49" s="126"/>
    </row>
    <row r="50" spans="2:18" s="134" customFormat="1">
      <c r="B50" s="135"/>
      <c r="C50" s="135"/>
      <c r="D50" s="135"/>
      <c r="E50" s="136"/>
      <c r="F50" s="137"/>
      <c r="G50" s="137"/>
      <c r="H50" s="137"/>
      <c r="I50" s="138"/>
      <c r="J50" s="137"/>
      <c r="K50" s="138"/>
      <c r="L50" s="137"/>
      <c r="M50" s="138"/>
      <c r="N50" s="137"/>
      <c r="P50" s="126"/>
      <c r="Q50" s="126"/>
      <c r="R50" s="126"/>
    </row>
    <row r="51" spans="2:18" s="134" customFormat="1">
      <c r="B51" s="135"/>
      <c r="C51" s="135"/>
      <c r="D51" s="135"/>
      <c r="E51" s="136"/>
      <c r="F51" s="137"/>
      <c r="G51" s="137"/>
      <c r="H51" s="137"/>
      <c r="I51" s="138"/>
      <c r="J51" s="137"/>
      <c r="K51" s="138"/>
      <c r="L51" s="137"/>
      <c r="M51" s="138"/>
      <c r="N51" s="137"/>
      <c r="P51" s="126"/>
      <c r="Q51" s="126"/>
      <c r="R51" s="126"/>
    </row>
    <row r="52" spans="2:18" s="134" customFormat="1">
      <c r="B52" s="135"/>
      <c r="C52" s="135"/>
      <c r="D52" s="135"/>
      <c r="E52" s="136"/>
      <c r="F52" s="137"/>
      <c r="G52" s="137"/>
      <c r="H52" s="137"/>
      <c r="I52" s="138"/>
      <c r="J52" s="137"/>
      <c r="K52" s="138"/>
      <c r="L52" s="137"/>
      <c r="M52" s="138"/>
      <c r="N52" s="137"/>
      <c r="P52" s="126"/>
      <c r="Q52" s="126"/>
      <c r="R52" s="126"/>
    </row>
    <row r="53" spans="2:18" s="134" customFormat="1">
      <c r="B53" s="135"/>
      <c r="C53" s="135"/>
      <c r="D53" s="135"/>
      <c r="E53" s="136"/>
      <c r="F53" s="137"/>
      <c r="G53" s="137"/>
      <c r="H53" s="137"/>
      <c r="I53" s="138"/>
      <c r="J53" s="137"/>
      <c r="K53" s="138"/>
      <c r="L53" s="137"/>
      <c r="M53" s="138"/>
      <c r="N53" s="137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tabSelected="1" workbookViewId="0">
      <pane ySplit="1" topLeftCell="A2" activePane="bottomLeft" state="frozen"/>
      <selection pane="bottomLeft" activeCell="L2" sqref="L2:L9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54" t="s">
        <v>262</v>
      </c>
      <c r="L1" s="154" t="s">
        <v>263</v>
      </c>
      <c r="M1" s="153" t="s">
        <v>233</v>
      </c>
      <c r="N1" s="43" t="s">
        <v>266</v>
      </c>
      <c r="O1" s="43" t="str">
        <f>"---&gt;ng/g"</f>
        <v>---&gt;ng/g</v>
      </c>
      <c r="P1" s="110" t="s">
        <v>32</v>
      </c>
      <c r="Q1" s="56" t="s">
        <v>141</v>
      </c>
      <c r="R1" s="37"/>
      <c r="S1" s="6" t="s">
        <v>17</v>
      </c>
      <c r="T1" s="99" t="s">
        <v>256</v>
      </c>
    </row>
    <row r="2" spans="1:20">
      <c r="A2" s="2" t="s">
        <v>269</v>
      </c>
      <c r="B2" s="16" t="s">
        <v>271</v>
      </c>
      <c r="D2" s="14">
        <v>2440</v>
      </c>
      <c r="E2" s="14">
        <v>2438.4087658799713</v>
      </c>
      <c r="F2" s="14">
        <v>2439.1501352930291</v>
      </c>
      <c r="G2" s="14">
        <v>7.2534900667936608E-13</v>
      </c>
      <c r="H2" s="14">
        <v>424.93111508386966</v>
      </c>
      <c r="I2" s="14">
        <v>1578.9766356284865</v>
      </c>
      <c r="J2" s="14">
        <v>0</v>
      </c>
      <c r="K2" s="14">
        <v>1.0003484265665625</v>
      </c>
      <c r="L2" s="14">
        <v>0.99965169479222504</v>
      </c>
      <c r="M2" s="14">
        <v>0.82021421557702068</v>
      </c>
      <c r="N2" s="14">
        <v>2226.1515106553929</v>
      </c>
      <c r="O2" s="14">
        <v>432296.36185417074</v>
      </c>
      <c r="P2" s="8">
        <v>0.91235717649811188</v>
      </c>
      <c r="Q2" s="54">
        <v>0.1821695156911787</v>
      </c>
      <c r="S2" s="99"/>
    </row>
    <row r="3" spans="1:20">
      <c r="A3" s="2" t="s">
        <v>273</v>
      </c>
      <c r="B3" s="16" t="s">
        <v>287</v>
      </c>
      <c r="D3" s="14">
        <v>439</v>
      </c>
      <c r="E3" s="14">
        <v>430.34851858488139</v>
      </c>
      <c r="F3" s="14">
        <v>410.32578476872402</v>
      </c>
      <c r="G3" s="14">
        <v>1.9426083999729583E-13</v>
      </c>
      <c r="H3" s="14">
        <v>46151.508721352133</v>
      </c>
      <c r="I3" s="14">
        <v>103809.16819923859</v>
      </c>
      <c r="J3" s="14">
        <v>0</v>
      </c>
      <c r="K3" s="14">
        <v>1.0698815826244941</v>
      </c>
      <c r="L3" s="14">
        <v>0.93468288102215047</v>
      </c>
      <c r="M3" s="14">
        <v>0.76690730387867445</v>
      </c>
      <c r="N3" s="14">
        <v>3637.3850416477417</v>
      </c>
      <c r="O3" s="14">
        <v>931497.9353155701</v>
      </c>
      <c r="P3" s="8">
        <v>8.2856151290381366</v>
      </c>
      <c r="Q3" s="54">
        <v>9.9801188030518695</v>
      </c>
      <c r="S3" s="106"/>
      <c r="T3" s="22"/>
    </row>
    <row r="4" spans="1:20">
      <c r="A4" s="2" t="s">
        <v>275</v>
      </c>
      <c r="B4" s="16" t="s">
        <v>288</v>
      </c>
      <c r="D4" s="14">
        <v>2.12</v>
      </c>
      <c r="E4" s="14">
        <v>2.1185577584439166</v>
      </c>
      <c r="F4" s="14">
        <v>2.1192947546343306</v>
      </c>
      <c r="G4" s="14">
        <v>3.1924187353381334E-25</v>
      </c>
      <c r="H4" s="14">
        <v>0.25321612793706605</v>
      </c>
      <c r="I4" s="14">
        <v>2.5819547134202313E-3</v>
      </c>
      <c r="J4" s="14">
        <v>0</v>
      </c>
      <c r="K4" s="14">
        <v>1.0003327736097714</v>
      </c>
      <c r="L4" s="14">
        <v>0.99966733709166544</v>
      </c>
      <c r="M4" s="14">
        <v>0.82022705008371144</v>
      </c>
      <c r="N4" s="14">
        <v>2.1729746906422203</v>
      </c>
      <c r="O4" s="14">
        <v>643.52645463369356</v>
      </c>
      <c r="P4" s="8">
        <v>1.0249880616236888</v>
      </c>
      <c r="Q4" s="54">
        <v>2.8245457961723088E-7</v>
      </c>
      <c r="S4" s="99"/>
    </row>
    <row r="5" spans="1:20">
      <c r="A5" s="2" t="s">
        <v>277</v>
      </c>
      <c r="B5" s="16" t="s">
        <v>289</v>
      </c>
      <c r="D5" s="14">
        <v>49.2</v>
      </c>
      <c r="E5" s="14">
        <v>49.149930508727309</v>
      </c>
      <c r="F5" s="14">
        <v>45.430915983718478</v>
      </c>
      <c r="G5" s="14">
        <v>2.0793678058850722E-16</v>
      </c>
      <c r="H5" s="14">
        <v>10619.681534150781</v>
      </c>
      <c r="I5" s="14">
        <v>7.8042715869949042</v>
      </c>
      <c r="J5" s="14">
        <v>0</v>
      </c>
      <c r="K5" s="14">
        <v>1.082962976525331</v>
      </c>
      <c r="L5" s="14">
        <v>0.92339260129509093</v>
      </c>
      <c r="M5" s="14">
        <v>0.75764362936262208</v>
      </c>
      <c r="N5" s="14">
        <v>74.752172801875133</v>
      </c>
      <c r="O5" s="14">
        <v>16523.220276126478</v>
      </c>
      <c r="P5" s="8">
        <v>1.5193531057291694</v>
      </c>
      <c r="Q5" s="54">
        <v>7.3795923901082117E-4</v>
      </c>
      <c r="S5" s="99"/>
    </row>
    <row r="6" spans="1:20">
      <c r="A6" s="2" t="s">
        <v>279</v>
      </c>
      <c r="B6" s="16" t="s">
        <v>290</v>
      </c>
      <c r="D6" s="14">
        <v>17.7</v>
      </c>
      <c r="E6" s="14">
        <v>17.672474326711384</v>
      </c>
      <c r="F6" s="14">
        <v>14.640124669575734</v>
      </c>
      <c r="G6" s="14">
        <v>9.2879353811168236E-18</v>
      </c>
      <c r="H6" s="14">
        <v>8632.2652152631854</v>
      </c>
      <c r="I6" s="14">
        <v>23.178157858947934</v>
      </c>
      <c r="J6" s="14">
        <v>0</v>
      </c>
      <c r="K6" s="14">
        <v>1.2090060979318793</v>
      </c>
      <c r="L6" s="14">
        <v>0.82712568754665161</v>
      </c>
      <c r="M6" s="14">
        <v>0.67865662663202764</v>
      </c>
      <c r="N6" s="14">
        <v>39.465037871838639</v>
      </c>
      <c r="O6" s="14">
        <v>9087.2196203695639</v>
      </c>
      <c r="P6" s="8">
        <v>2.229663156601053</v>
      </c>
      <c r="Q6" s="54">
        <v>2.1363820304796154E-3</v>
      </c>
      <c r="S6" s="99"/>
    </row>
    <row r="7" spans="1:20">
      <c r="A7" s="2" t="s">
        <v>281</v>
      </c>
      <c r="B7" s="16" t="s">
        <v>291</v>
      </c>
      <c r="D7" s="14">
        <v>316</v>
      </c>
      <c r="E7" s="14">
        <v>314.6413593092127</v>
      </c>
      <c r="F7" s="14">
        <v>172.68460053709606</v>
      </c>
      <c r="G7" s="14">
        <v>2.8776682437211983E-12</v>
      </c>
      <c r="H7" s="14">
        <v>402840.94890807255</v>
      </c>
      <c r="I7" s="14">
        <v>7592.5966572043862</v>
      </c>
      <c r="J7" s="14">
        <v>0</v>
      </c>
      <c r="K7" s="14">
        <v>1.8299257664965727</v>
      </c>
      <c r="L7" s="14">
        <v>0.54647025486422807</v>
      </c>
      <c r="M7" s="14">
        <v>0.44837884411609913</v>
      </c>
      <c r="N7" s="14">
        <v>1412.616339156692</v>
      </c>
      <c r="O7" s="14">
        <v>291394.49844124244</v>
      </c>
      <c r="P7" s="8">
        <v>4.4703048707490263</v>
      </c>
      <c r="Q7" s="54">
        <v>0.6737368929353954</v>
      </c>
    </row>
    <row r="8" spans="1:20">
      <c r="A8" s="2" t="s">
        <v>283</v>
      </c>
      <c r="B8" s="16" t="s">
        <v>292</v>
      </c>
      <c r="D8" s="14">
        <v>184</v>
      </c>
      <c r="E8" s="14">
        <v>183.65330564008087</v>
      </c>
      <c r="F8" s="14">
        <v>137.74435442677594</v>
      </c>
      <c r="G8" s="14">
        <v>7.6357101498097096E-23</v>
      </c>
      <c r="H8" s="14">
        <v>130615.22652377249</v>
      </c>
      <c r="I8" s="14">
        <v>183.89927132988834</v>
      </c>
      <c r="J8" s="14">
        <v>0</v>
      </c>
      <c r="K8" s="14">
        <v>1.3358079230594768</v>
      </c>
      <c r="L8" s="14">
        <v>0.74861062188465177</v>
      </c>
      <c r="M8" s="14">
        <v>0.61423501525635682</v>
      </c>
      <c r="N8" s="14">
        <v>506.66074364583676</v>
      </c>
      <c r="O8" s="14">
        <v>176530.73630108245</v>
      </c>
      <c r="P8" s="8">
        <v>2.7535909980751998</v>
      </c>
      <c r="Q8" s="54">
        <v>1.6729386253984589E-2</v>
      </c>
    </row>
    <row r="9" spans="1:20">
      <c r="A9" s="2" t="s">
        <v>285</v>
      </c>
      <c r="B9" s="16" t="s">
        <v>293</v>
      </c>
      <c r="D9" s="14">
        <v>242</v>
      </c>
      <c r="E9" s="14">
        <v>241.76708279037601</v>
      </c>
      <c r="F9" s="14">
        <v>227.63117447002213</v>
      </c>
      <c r="G9" s="14">
        <v>1.9797658396680224E-18</v>
      </c>
      <c r="H9" s="14">
        <v>40413.990882656253</v>
      </c>
      <c r="I9" s="14">
        <v>141.82908567068847</v>
      </c>
      <c r="J9" s="14">
        <v>0</v>
      </c>
      <c r="K9" s="14">
        <v>1.0631232763413527</v>
      </c>
      <c r="L9" s="14">
        <v>0.94062468789265341</v>
      </c>
      <c r="M9" s="14">
        <v>0.77178255641592208</v>
      </c>
      <c r="N9" s="14">
        <v>338.24445707383285</v>
      </c>
      <c r="O9" s="14">
        <v>104290.91344957487</v>
      </c>
      <c r="P9" s="8">
        <v>1.3977043680736894</v>
      </c>
      <c r="Q9" s="54">
        <v>1.3513420877401349E-2</v>
      </c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O15"/>
  <sheetViews>
    <sheetView workbookViewId="0">
      <pane ySplit="1" topLeftCell="A2" activePane="bottomLeft" state="frozen"/>
      <selection pane="bottomLeft" activeCell="L9" sqref="L9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5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5">
      <c r="A2" s="2" t="s">
        <v>269</v>
      </c>
      <c r="B2" s="3" t="s">
        <v>271</v>
      </c>
      <c r="D2" s="20">
        <v>9.4587240066236275E-9</v>
      </c>
      <c r="E2" s="20">
        <v>0.9993478548688407</v>
      </c>
      <c r="F2" s="20">
        <v>6.1273673578323253E-5</v>
      </c>
      <c r="G2" s="20">
        <v>2.459061973519774E-5</v>
      </c>
      <c r="H2" s="20">
        <v>0</v>
      </c>
      <c r="I2" s="20">
        <v>0.99926199057552723</v>
      </c>
      <c r="J2" s="20">
        <v>6.054733989487469E-4</v>
      </c>
      <c r="K2" s="20">
        <v>4.6662273486469949E-5</v>
      </c>
      <c r="L2" s="20">
        <v>0</v>
      </c>
      <c r="N2" s="99"/>
    </row>
    <row r="3" spans="1:15">
      <c r="A3" s="2" t="s">
        <v>273</v>
      </c>
      <c r="B3" s="3" t="s">
        <v>287</v>
      </c>
      <c r="D3" s="20">
        <v>1.4079787533454866E-8</v>
      </c>
      <c r="E3" s="20">
        <v>0.98029275304073216</v>
      </c>
      <c r="F3" s="20">
        <v>3.6988489358816719E-2</v>
      </c>
      <c r="G3" s="20">
        <v>8.9857594341026577E-3</v>
      </c>
      <c r="H3" s="20">
        <v>0</v>
      </c>
      <c r="I3" s="20">
        <v>0.93431850424781282</v>
      </c>
      <c r="J3" s="20">
        <v>5.4986354947253084E-3</v>
      </c>
      <c r="K3" s="20">
        <v>1.420859738475494E-2</v>
      </c>
      <c r="L3" s="20">
        <v>0</v>
      </c>
      <c r="N3" s="99"/>
    </row>
    <row r="4" spans="1:15">
      <c r="A4" s="2" t="s">
        <v>275</v>
      </c>
      <c r="B4" s="3" t="s">
        <v>288</v>
      </c>
      <c r="D4" s="20">
        <v>4.7913660264508862E-18</v>
      </c>
      <c r="E4" s="20">
        <v>0.99931969737920567</v>
      </c>
      <c r="F4" s="20">
        <v>4.2024321911970438E-5</v>
      </c>
      <c r="G4" s="20">
        <v>4.6280320334890931E-8</v>
      </c>
      <c r="H4" s="20">
        <v>0</v>
      </c>
      <c r="I4" s="20">
        <v>0.9992776267769734</v>
      </c>
      <c r="J4" s="20">
        <v>6.8021934998662977E-4</v>
      </c>
      <c r="K4" s="20">
        <v>8.3270807670174181E-8</v>
      </c>
      <c r="L4" s="20">
        <v>0</v>
      </c>
      <c r="N4" s="99"/>
    </row>
    <row r="5" spans="1:15">
      <c r="A5" s="2" t="s">
        <v>277</v>
      </c>
      <c r="B5" s="3" t="s">
        <v>289</v>
      </c>
      <c r="D5" s="20">
        <v>1.3447500592383133E-10</v>
      </c>
      <c r="E5" s="20">
        <v>0.99898232741315651</v>
      </c>
      <c r="F5" s="20">
        <v>7.5943673800317302E-2</v>
      </c>
      <c r="G5" s="20">
        <v>6.0276894371098843E-6</v>
      </c>
      <c r="H5" s="20">
        <v>0</v>
      </c>
      <c r="I5" s="20">
        <v>0.92303262592340207</v>
      </c>
      <c r="J5" s="20">
        <v>1.0082979701657214E-3</v>
      </c>
      <c r="K5" s="20">
        <v>9.3744822028813626E-6</v>
      </c>
      <c r="L5" s="20">
        <v>0</v>
      </c>
      <c r="N5" s="99"/>
    </row>
    <row r="6" spans="1:15">
      <c r="A6" s="2" t="s">
        <v>279</v>
      </c>
      <c r="B6" s="3" t="s">
        <v>290</v>
      </c>
      <c r="D6" s="20">
        <v>1.6696339924966041E-11</v>
      </c>
      <c r="E6" s="20">
        <v>0.99844487721533248</v>
      </c>
      <c r="F6" s="20">
        <v>0.1715918753298418</v>
      </c>
      <c r="G6" s="20">
        <v>4.9761016872317596E-5</v>
      </c>
      <c r="H6" s="20">
        <v>0</v>
      </c>
      <c r="I6" s="20">
        <v>0.82680324086861834</v>
      </c>
      <c r="J6" s="20">
        <v>1.4796855493806986E-3</v>
      </c>
      <c r="K6" s="20">
        <v>7.5437218590381882E-5</v>
      </c>
      <c r="L6" s="20">
        <v>0</v>
      </c>
    </row>
    <row r="7" spans="1:15">
      <c r="A7" s="99" t="s">
        <v>281</v>
      </c>
      <c r="B7" s="100" t="s">
        <v>291</v>
      </c>
      <c r="C7" s="100"/>
      <c r="D7" s="168">
        <v>2.8975370693395267E-7</v>
      </c>
      <c r="E7" s="168">
        <v>0.9957005041430782</v>
      </c>
      <c r="F7" s="168">
        <v>0.44853025146777292</v>
      </c>
      <c r="G7" s="168">
        <v>9.1303377523343891E-4</v>
      </c>
      <c r="H7" s="168">
        <v>0</v>
      </c>
      <c r="I7" s="168">
        <v>0.54625721890007184</v>
      </c>
      <c r="J7" s="168">
        <v>2.9666568687698072E-3</v>
      </c>
      <c r="K7" s="168">
        <v>1.3325492344450065E-3</v>
      </c>
      <c r="L7" s="168">
        <v>0</v>
      </c>
      <c r="M7" s="99"/>
      <c r="N7" s="99"/>
      <c r="O7" s="99"/>
    </row>
    <row r="8" spans="1:15">
      <c r="A8" s="99" t="s">
        <v>283</v>
      </c>
      <c r="B8" s="100" t="s">
        <v>292</v>
      </c>
      <c r="C8" s="100"/>
      <c r="D8" s="168">
        <v>1.3204044231390308E-17</v>
      </c>
      <c r="E8" s="168">
        <v>0.99811579152217855</v>
      </c>
      <c r="F8" s="168">
        <v>0.2497590288050224</v>
      </c>
      <c r="G8" s="168">
        <v>3.7979197339868239E-5</v>
      </c>
      <c r="H8" s="168">
        <v>0</v>
      </c>
      <c r="I8" s="168">
        <v>0.74831878351981629</v>
      </c>
      <c r="J8" s="168">
        <v>1.8273831169044507E-3</v>
      </c>
      <c r="K8" s="168">
        <v>5.6825360917067214E-5</v>
      </c>
      <c r="L8" s="168">
        <v>0</v>
      </c>
      <c r="M8" s="99"/>
      <c r="N8" s="99"/>
      <c r="O8" s="99"/>
    </row>
    <row r="9" spans="1:15">
      <c r="A9" s="99" t="s">
        <v>285</v>
      </c>
      <c r="B9" s="100" t="s">
        <v>293</v>
      </c>
      <c r="C9" s="100"/>
      <c r="D9" s="168">
        <v>2.6029979109083692E-13</v>
      </c>
      <c r="E9" s="168">
        <v>0.99903753219163638</v>
      </c>
      <c r="F9" s="168">
        <v>5.8757266744437105E-2</v>
      </c>
      <c r="G9" s="168">
        <v>2.2270682873909764E-5</v>
      </c>
      <c r="H9" s="168">
        <v>0</v>
      </c>
      <c r="I9" s="168">
        <v>0.94025799476432537</v>
      </c>
      <c r="J9" s="168">
        <v>9.2756744426708484E-4</v>
      </c>
      <c r="K9" s="168">
        <v>3.4900363836263812E-5</v>
      </c>
      <c r="L9" s="168">
        <v>-2.0756228391858762E-17</v>
      </c>
      <c r="M9" s="99"/>
      <c r="N9" s="99"/>
      <c r="O9" s="99"/>
    </row>
    <row r="10" spans="1:15">
      <c r="A10" s="99"/>
      <c r="B10" s="100"/>
      <c r="C10" s="100"/>
      <c r="D10" s="168"/>
      <c r="E10" s="168"/>
      <c r="F10" s="168"/>
      <c r="G10" s="168"/>
      <c r="H10" s="168"/>
      <c r="I10" s="168"/>
      <c r="J10" s="168"/>
      <c r="K10" s="168"/>
      <c r="L10" s="168"/>
      <c r="M10" s="99"/>
      <c r="N10" s="99"/>
      <c r="O10" s="99"/>
    </row>
    <row r="11" spans="1:15">
      <c r="A11" s="99"/>
      <c r="B11" s="100"/>
      <c r="C11" s="100"/>
      <c r="D11" s="168"/>
      <c r="E11" s="168"/>
      <c r="F11" s="168"/>
      <c r="G11" s="168"/>
      <c r="H11" s="168"/>
      <c r="I11" s="168"/>
      <c r="J11" s="168"/>
      <c r="K11" s="168"/>
      <c r="L11" s="168"/>
      <c r="M11" s="99"/>
      <c r="N11" s="99"/>
      <c r="O11" s="99"/>
    </row>
    <row r="12" spans="1:15">
      <c r="A12" s="99"/>
      <c r="B12" s="100"/>
      <c r="C12" s="100"/>
      <c r="D12" s="168"/>
      <c r="E12" s="168"/>
      <c r="F12" s="168"/>
      <c r="G12" s="168"/>
      <c r="H12" s="168"/>
      <c r="I12" s="168"/>
      <c r="J12" s="168"/>
      <c r="K12" s="168"/>
      <c r="L12" s="168"/>
      <c r="M12" s="99"/>
      <c r="N12" s="99"/>
      <c r="O12" s="99"/>
    </row>
    <row r="13" spans="1:15">
      <c r="A13" s="99"/>
      <c r="B13" s="100"/>
      <c r="C13" s="100"/>
      <c r="D13" s="168"/>
      <c r="E13" s="168"/>
      <c r="F13" s="168"/>
      <c r="G13" s="168"/>
      <c r="H13" s="168"/>
      <c r="I13" s="168"/>
      <c r="J13" s="168"/>
      <c r="K13" s="168"/>
      <c r="L13" s="168"/>
      <c r="M13" s="99"/>
      <c r="N13" s="99"/>
      <c r="O13" s="99"/>
    </row>
    <row r="14" spans="1:15">
      <c r="A14" s="99"/>
      <c r="B14" s="100"/>
      <c r="C14" s="100"/>
      <c r="D14" s="168"/>
      <c r="E14" s="168"/>
      <c r="F14" s="168"/>
      <c r="G14" s="168"/>
      <c r="H14" s="168"/>
      <c r="I14" s="168"/>
      <c r="J14" s="168"/>
      <c r="K14" s="168"/>
      <c r="L14" s="168"/>
      <c r="M14" s="99"/>
      <c r="N14" s="99"/>
      <c r="O14" s="99"/>
    </row>
    <row r="15" spans="1:15">
      <c r="A15" s="99"/>
      <c r="B15" s="100"/>
      <c r="C15" s="100"/>
      <c r="D15" s="168"/>
      <c r="E15" s="168"/>
      <c r="F15" s="168"/>
      <c r="G15" s="168"/>
      <c r="H15" s="168"/>
      <c r="I15" s="168"/>
      <c r="J15" s="168"/>
      <c r="K15" s="168"/>
      <c r="L15" s="168"/>
      <c r="M15" s="99"/>
      <c r="N15" s="99"/>
      <c r="O15" s="99"/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workbookViewId="0">
      <pane ySplit="1" topLeftCell="A2" activePane="bottomLeft" state="frozen"/>
      <selection pane="bottomLeft" activeCell="K9" sqref="K9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216</v>
      </c>
    </row>
    <row r="2" spans="1:23">
      <c r="A2" s="2" t="s">
        <v>269</v>
      </c>
      <c r="B2" s="3" t="s">
        <v>271</v>
      </c>
      <c r="D2" s="14">
        <v>5.0774430467555631E-9</v>
      </c>
      <c r="E2" s="14">
        <v>0.53640383654094304</v>
      </c>
      <c r="F2" s="14">
        <v>3.2891707976843919E-5</v>
      </c>
      <c r="G2" s="14">
        <v>1.3200244673854147E-5</v>
      </c>
      <c r="H2" s="14">
        <v>0</v>
      </c>
      <c r="I2" s="14">
        <v>3.2501812055568734E-4</v>
      </c>
      <c r="J2" s="14">
        <v>2.5048308407537069E-5</v>
      </c>
      <c r="K2" s="14">
        <v>0</v>
      </c>
      <c r="L2" s="21"/>
      <c r="M2" s="99"/>
    </row>
    <row r="3" spans="1:23">
      <c r="A3" s="2" t="s">
        <v>273</v>
      </c>
      <c r="B3" s="3" t="s">
        <v>287</v>
      </c>
      <c r="D3" s="14">
        <v>1.3598258799810709E-9</v>
      </c>
      <c r="E3" s="14">
        <v>9.0236481140253746E-2</v>
      </c>
      <c r="F3" s="14">
        <v>3.5723483022745183E-3</v>
      </c>
      <c r="G3" s="14">
        <v>8.678446461456346E-4</v>
      </c>
      <c r="H3" s="14">
        <v>0</v>
      </c>
      <c r="I3" s="14">
        <v>5.3105821608057026E-4</v>
      </c>
      <c r="J3" s="14">
        <v>1.372266335419632E-3</v>
      </c>
      <c r="K3" s="14">
        <v>0</v>
      </c>
      <c r="L3" s="21"/>
      <c r="M3" s="99"/>
    </row>
    <row r="4" spans="1:23">
      <c r="A4" s="2" t="s">
        <v>275</v>
      </c>
      <c r="B4" s="3" t="s">
        <v>288</v>
      </c>
      <c r="D4" s="14">
        <v>2.2346931147366934E-21</v>
      </c>
      <c r="E4" s="14">
        <v>4.6606308512878045E-4</v>
      </c>
      <c r="F4" s="14">
        <v>1.9600143739743012E-8</v>
      </c>
      <c r="G4" s="14">
        <v>2.1585141404193133E-11</v>
      </c>
      <c r="H4" s="14">
        <v>0</v>
      </c>
      <c r="I4" s="14">
        <v>3.1725430483376413E-7</v>
      </c>
      <c r="J4" s="14">
        <v>3.8837504697369238E-11</v>
      </c>
      <c r="K4" s="14">
        <v>0</v>
      </c>
      <c r="L4" s="21"/>
    </row>
    <row r="5" spans="1:23">
      <c r="A5" s="2" t="s">
        <v>277</v>
      </c>
      <c r="B5" s="3" t="s">
        <v>289</v>
      </c>
      <c r="D5" s="14">
        <v>1.4555574641195504E-12</v>
      </c>
      <c r="E5" s="14">
        <v>9.9909051429949054E-3</v>
      </c>
      <c r="F5" s="14">
        <v>8.2201432521463455E-4</v>
      </c>
      <c r="G5" s="14">
        <v>6.5243710467277404E-8</v>
      </c>
      <c r="H5" s="14">
        <v>0</v>
      </c>
      <c r="I5" s="14">
        <v>1.0913817229073769E-5</v>
      </c>
      <c r="J5" s="14">
        <v>1.014693953639879E-7</v>
      </c>
      <c r="K5" s="14">
        <v>0</v>
      </c>
      <c r="L5" s="21"/>
    </row>
    <row r="6" spans="1:23">
      <c r="A6" s="2" t="s">
        <v>279</v>
      </c>
      <c r="B6" s="3" t="s">
        <v>290</v>
      </c>
      <c r="D6" s="14">
        <v>6.5015547667817757E-14</v>
      </c>
      <c r="E6" s="14">
        <v>3.2195718199423996E-3</v>
      </c>
      <c r="F6" s="14">
        <v>6.6817876253440396E-4</v>
      </c>
      <c r="G6" s="14">
        <v>1.9376939970080471E-7</v>
      </c>
      <c r="H6" s="14">
        <v>0</v>
      </c>
      <c r="I6" s="14">
        <v>5.7618955292884402E-6</v>
      </c>
      <c r="J6" s="14">
        <v>2.9375252919094707E-7</v>
      </c>
      <c r="K6" s="14">
        <v>0</v>
      </c>
      <c r="L6" s="21"/>
      <c r="M6" s="12"/>
    </row>
    <row r="7" spans="1:23">
      <c r="A7" s="2" t="s">
        <v>281</v>
      </c>
      <c r="B7" s="3" t="s">
        <v>291</v>
      </c>
      <c r="D7" s="14">
        <v>2.0143677706048391E-8</v>
      </c>
      <c r="E7" s="14">
        <v>3.7975801857932992E-2</v>
      </c>
      <c r="F7" s="14">
        <v>3.1181823082039574E-2</v>
      </c>
      <c r="G7" s="14">
        <v>6.3474108054228673E-5</v>
      </c>
      <c r="H7" s="14">
        <v>0</v>
      </c>
      <c r="I7" s="14">
        <v>2.0624198551687703E-4</v>
      </c>
      <c r="J7" s="14">
        <v>9.2638822778616861E-5</v>
      </c>
      <c r="K7" s="14">
        <v>0</v>
      </c>
      <c r="L7" s="21"/>
      <c r="M7" s="12"/>
    </row>
    <row r="8" spans="1:23">
      <c r="A8" s="2" t="s">
        <v>283</v>
      </c>
      <c r="B8" s="3" t="s">
        <v>292</v>
      </c>
      <c r="D8" s="14">
        <v>5.3449971048667973E-19</v>
      </c>
      <c r="E8" s="14">
        <v>3.0291944356882164E-2</v>
      </c>
      <c r="F8" s="14">
        <v>1.0110245486027307E-2</v>
      </c>
      <c r="G8" s="14">
        <v>1.5373979083178664E-6</v>
      </c>
      <c r="H8" s="14">
        <v>0</v>
      </c>
      <c r="I8" s="14">
        <v>7.3972468572292162E-5</v>
      </c>
      <c r="J8" s="14">
        <v>2.3002906099228809E-6</v>
      </c>
      <c r="K8" s="14">
        <v>0</v>
      </c>
      <c r="L8" s="21"/>
      <c r="M8" s="12"/>
    </row>
    <row r="9" spans="1:23">
      <c r="A9" s="2" t="s">
        <v>285</v>
      </c>
      <c r="B9" s="3" t="s">
        <v>293</v>
      </c>
      <c r="D9" s="14">
        <v>1.3858360877676158E-14</v>
      </c>
      <c r="E9" s="14">
        <v>5.0059335641252679E-2</v>
      </c>
      <c r="F9" s="14">
        <v>3.1282368814738314E-3</v>
      </c>
      <c r="G9" s="14">
        <v>1.1856911562069558E-6</v>
      </c>
      <c r="H9" s="14">
        <v>0</v>
      </c>
      <c r="I9" s="14">
        <v>4.9383690732779592E-5</v>
      </c>
      <c r="J9" s="14">
        <v>1.8580953706426852E-6</v>
      </c>
      <c r="K9" s="14">
        <v>-1.1050615995825604E-18</v>
      </c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9" sqref="R9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3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3" t="s">
        <v>168</v>
      </c>
      <c r="F1" s="139" t="s">
        <v>218</v>
      </c>
      <c r="G1" s="139" t="s">
        <v>211</v>
      </c>
      <c r="H1" s="139" t="s">
        <v>219</v>
      </c>
      <c r="I1" s="139" t="s">
        <v>220</v>
      </c>
      <c r="J1" s="139" t="s">
        <v>221</v>
      </c>
      <c r="K1" s="140" t="s">
        <v>224</v>
      </c>
      <c r="L1" s="140" t="s">
        <v>227</v>
      </c>
      <c r="M1" s="140" t="s">
        <v>225</v>
      </c>
      <c r="N1" s="140" t="s">
        <v>226</v>
      </c>
      <c r="O1" s="140" t="s">
        <v>267</v>
      </c>
      <c r="P1" s="140" t="s">
        <v>268</v>
      </c>
      <c r="Q1" s="37" t="s">
        <v>222</v>
      </c>
      <c r="R1" s="37" t="s">
        <v>223</v>
      </c>
      <c r="S1" s="144"/>
      <c r="T1" s="37"/>
      <c r="U1" s="145"/>
      <c r="V1" s="146"/>
    </row>
    <row r="2" spans="1:22">
      <c r="A2" s="99" t="s">
        <v>269</v>
      </c>
      <c r="B2" s="99" t="s">
        <v>271</v>
      </c>
      <c r="D2" s="100" t="s">
        <v>176</v>
      </c>
      <c r="F2" s="104">
        <v>-0.18886282922884523</v>
      </c>
      <c r="G2" s="104">
        <v>-9.5266915123134623</v>
      </c>
      <c r="H2" s="104">
        <v>6.5979999999999983E-2</v>
      </c>
      <c r="I2" s="104">
        <v>-8.0595885351553057E-2</v>
      </c>
      <c r="J2" s="104">
        <v>-1.711847788201391E-2</v>
      </c>
      <c r="K2" s="112">
        <v>2440</v>
      </c>
      <c r="L2" s="112">
        <v>2423.0642597737956</v>
      </c>
      <c r="M2" s="112">
        <v>2226.1515106553929</v>
      </c>
      <c r="N2" s="112">
        <v>2839.3474023438548</v>
      </c>
      <c r="O2" s="112">
        <v>2026.0149588871452</v>
      </c>
      <c r="P2" s="112">
        <v>2344.8769365525854</v>
      </c>
      <c r="Q2" s="108">
        <v>0.83033399954391196</v>
      </c>
      <c r="R2" s="68">
        <v>0.9610151379313876</v>
      </c>
    </row>
    <row r="3" spans="1:22">
      <c r="A3" s="99" t="s">
        <v>273</v>
      </c>
      <c r="B3" s="99" t="s">
        <v>287</v>
      </c>
      <c r="D3" s="100" t="s">
        <v>294</v>
      </c>
      <c r="E3" s="104">
        <v>6.6</v>
      </c>
      <c r="F3" s="104">
        <v>2.4031069023673401</v>
      </c>
      <c r="G3" s="104">
        <v>-9.3247435464568422</v>
      </c>
      <c r="H3" s="104">
        <v>2.6911570941690734</v>
      </c>
      <c r="I3" s="104">
        <v>0.70906480391398219</v>
      </c>
      <c r="J3" s="104">
        <v>0.67592102546407318</v>
      </c>
      <c r="K3" s="112">
        <v>439</v>
      </c>
      <c r="L3" s="112">
        <v>554.97074975599003</v>
      </c>
      <c r="M3" s="112">
        <v>3637.3850416477417</v>
      </c>
      <c r="N3" s="112">
        <v>211958.21518384083</v>
      </c>
      <c r="O3" s="112">
        <v>2099.8758199990029</v>
      </c>
      <c r="P3" s="112">
        <v>1945.5833198067946</v>
      </c>
      <c r="Q3" s="108">
        <v>4.7833162186765437</v>
      </c>
      <c r="R3" s="68">
        <v>4.4318526647079608</v>
      </c>
    </row>
    <row r="4" spans="1:22">
      <c r="A4" s="99" t="s">
        <v>275</v>
      </c>
      <c r="B4" s="99" t="s">
        <v>288</v>
      </c>
      <c r="D4" s="100" t="s">
        <v>294</v>
      </c>
      <c r="E4" s="104">
        <v>17.600000000000001</v>
      </c>
      <c r="F4" s="104">
        <v>-2.9142427426031139</v>
      </c>
      <c r="G4" s="104">
        <v>-18.822071512340866</v>
      </c>
      <c r="H4" s="104">
        <v>-0.15169999975338092</v>
      </c>
      <c r="I4" s="104">
        <v>-8.3369596538768381E-2</v>
      </c>
      <c r="J4" s="104">
        <v>-1.8043227045830171E-2</v>
      </c>
      <c r="K4" s="112">
        <v>2.12</v>
      </c>
      <c r="L4" s="112">
        <v>2.3286347355991173</v>
      </c>
      <c r="M4" s="112">
        <v>2.1729746906422203</v>
      </c>
      <c r="N4" s="112">
        <v>6.4636446906127132</v>
      </c>
      <c r="O4" s="112">
        <v>1.7491287034930478</v>
      </c>
      <c r="P4" s="112">
        <v>2.0330503583580786</v>
      </c>
      <c r="Q4" s="108">
        <v>0.82506070919483387</v>
      </c>
      <c r="R4" s="68">
        <v>0.9589860180934332</v>
      </c>
      <c r="T4" s="141"/>
    </row>
    <row r="5" spans="1:22">
      <c r="A5" s="99" t="s">
        <v>277</v>
      </c>
      <c r="B5" s="99" t="s">
        <v>289</v>
      </c>
      <c r="D5" s="100" t="s">
        <v>270</v>
      </c>
      <c r="E5" s="104">
        <v>2.7</v>
      </c>
      <c r="F5" s="104">
        <v>-0.76501911886042939</v>
      </c>
      <c r="G5" s="104">
        <v>-11.33942017754115</v>
      </c>
      <c r="H5" s="104">
        <v>1.9921379792700096</v>
      </c>
      <c r="I5" s="104">
        <v>0.67933639872452811</v>
      </c>
      <c r="J5" s="104">
        <v>0.89280991783566754</v>
      </c>
      <c r="K5" s="112">
        <v>49.2</v>
      </c>
      <c r="L5" s="112">
        <v>45.488475070396227</v>
      </c>
      <c r="M5" s="112">
        <v>74.752172801875133</v>
      </c>
      <c r="N5" s="112">
        <v>3719.9970396070476</v>
      </c>
      <c r="O5" s="112">
        <v>217.11403163613971</v>
      </c>
      <c r="P5" s="112">
        <v>354.94528462630223</v>
      </c>
      <c r="Q5" s="108">
        <v>4.4128868218727586</v>
      </c>
      <c r="R5" s="68">
        <v>7.2143350533801254</v>
      </c>
    </row>
    <row r="6" spans="1:22">
      <c r="A6" s="99" t="s">
        <v>279</v>
      </c>
      <c r="B6" s="99" t="s">
        <v>290</v>
      </c>
      <c r="D6" s="100" t="s">
        <v>270</v>
      </c>
      <c r="E6" s="104">
        <v>4.4000000000000004</v>
      </c>
      <c r="F6" s="104">
        <v>0.19953414135793085</v>
      </c>
      <c r="G6" s="104">
        <v>-12.197625589792782</v>
      </c>
      <c r="H6" s="104">
        <v>2.371867296303324</v>
      </c>
      <c r="I6" s="104">
        <v>1.0327323529891499</v>
      </c>
      <c r="J6" s="104">
        <v>1.261115156757965</v>
      </c>
      <c r="K6" s="112">
        <v>17.7</v>
      </c>
      <c r="L6" s="112">
        <v>14.714381978700457</v>
      </c>
      <c r="M6" s="112">
        <v>39.465037871838639</v>
      </c>
      <c r="N6" s="112">
        <v>2879.4164629175543</v>
      </c>
      <c r="O6" s="112">
        <v>157.86182817833239</v>
      </c>
      <c r="P6" s="112">
        <v>267.09141676245991</v>
      </c>
      <c r="Q6" s="108">
        <v>8.918747354708044</v>
      </c>
      <c r="R6" s="68">
        <v>15.089910551551407</v>
      </c>
    </row>
    <row r="7" spans="1:22">
      <c r="A7" s="99" t="s">
        <v>281</v>
      </c>
      <c r="B7" s="99" t="s">
        <v>291</v>
      </c>
      <c r="D7" s="100" t="s">
        <v>270</v>
      </c>
      <c r="E7" s="104">
        <v>5.4</v>
      </c>
      <c r="F7" s="104">
        <v>1.6431367190965502</v>
      </c>
      <c r="G7" s="104">
        <v>-7.7782128860961048</v>
      </c>
      <c r="H7" s="104">
        <v>2.9638513113755822</v>
      </c>
      <c r="I7" s="104">
        <v>1.6065690659269836</v>
      </c>
      <c r="J7" s="104">
        <v>1.8411474861463284</v>
      </c>
      <c r="K7" s="112">
        <v>316</v>
      </c>
      <c r="L7" s="112">
        <v>174.20321884720136</v>
      </c>
      <c r="M7" s="112">
        <v>1412.616339156692</v>
      </c>
      <c r="N7" s="112">
        <v>134878.53847001871</v>
      </c>
      <c r="O7" s="112">
        <v>6979.4737182421768</v>
      </c>
      <c r="P7" s="112">
        <v>11978.463019639936</v>
      </c>
      <c r="Q7" s="108">
        <v>22.086942146336003</v>
      </c>
      <c r="R7" s="68">
        <v>37.906528543164356</v>
      </c>
    </row>
    <row r="8" spans="1:22">
      <c r="A8" s="99" t="s">
        <v>283</v>
      </c>
      <c r="B8" s="99" t="s">
        <v>292</v>
      </c>
      <c r="D8" s="100" t="s">
        <v>270</v>
      </c>
      <c r="E8" s="104">
        <v>4</v>
      </c>
      <c r="F8" s="104">
        <v>0.12550620047403147</v>
      </c>
      <c r="G8" s="104">
        <v>-18.256224373654454</v>
      </c>
      <c r="H8" s="104">
        <v>2.5625726636878023</v>
      </c>
      <c r="I8" s="104">
        <v>1.2254336280959819</v>
      </c>
      <c r="J8" s="104">
        <v>1.4585969552071982</v>
      </c>
      <c r="K8" s="112">
        <v>184</v>
      </c>
      <c r="L8" s="112">
        <v>138.66774415402577</v>
      </c>
      <c r="M8" s="112">
        <v>506.66074364583676</v>
      </c>
      <c r="N8" s="112">
        <v>41978.369936054471</v>
      </c>
      <c r="O8" s="112">
        <v>2314.767819418651</v>
      </c>
      <c r="P8" s="112">
        <v>3959.7773136561045</v>
      </c>
      <c r="Q8" s="108">
        <v>12.580259888144841</v>
      </c>
      <c r="R8" s="68">
        <v>21.520528878565788</v>
      </c>
    </row>
    <row r="9" spans="1:22">
      <c r="A9" s="99" t="s">
        <v>285</v>
      </c>
      <c r="B9" s="99" t="s">
        <v>293</v>
      </c>
      <c r="D9" s="100" t="s">
        <v>270</v>
      </c>
      <c r="E9" s="104">
        <v>4.5</v>
      </c>
      <c r="F9" s="104">
        <v>-0.20546643601300729</v>
      </c>
      <c r="G9" s="104">
        <v>-14.06061791280632</v>
      </c>
      <c r="H9" s="104">
        <v>1.8851869137271886</v>
      </c>
      <c r="I9" s="104">
        <v>0.58375950608851102</v>
      </c>
      <c r="J9" s="104">
        <v>0.78998697840060883</v>
      </c>
      <c r="K9" s="112">
        <v>242</v>
      </c>
      <c r="L9" s="112">
        <v>227.6749618016207</v>
      </c>
      <c r="M9" s="112">
        <v>338.24445707383285</v>
      </c>
      <c r="N9" s="112">
        <v>14605.950451962626</v>
      </c>
      <c r="O9" s="112">
        <v>872.95377070296661</v>
      </c>
      <c r="P9" s="112">
        <v>1403.5203616007532</v>
      </c>
      <c r="Q9" s="108">
        <v>3.6072469863758951</v>
      </c>
      <c r="R9" s="68">
        <v>5.7996709157055921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8"/>
  <sheetViews>
    <sheetView workbookViewId="0">
      <selection activeCell="W9" sqref="W9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5" t="s">
        <v>169</v>
      </c>
      <c r="G1" s="105" t="s">
        <v>170</v>
      </c>
      <c r="H1" s="113" t="s">
        <v>208</v>
      </c>
      <c r="I1" s="105" t="s">
        <v>237</v>
      </c>
      <c r="J1" s="105" t="s">
        <v>236</v>
      </c>
      <c r="K1" s="113" t="s">
        <v>239</v>
      </c>
      <c r="L1" s="105" t="s">
        <v>171</v>
      </c>
      <c r="M1" s="105" t="s">
        <v>172</v>
      </c>
      <c r="N1" s="113" t="s">
        <v>209</v>
      </c>
      <c r="O1" s="105" t="s">
        <v>173</v>
      </c>
      <c r="P1" s="105" t="s">
        <v>174</v>
      </c>
      <c r="Q1" s="113" t="s">
        <v>210</v>
      </c>
      <c r="R1" s="105" t="s">
        <v>165</v>
      </c>
      <c r="S1" s="105" t="s">
        <v>211</v>
      </c>
      <c r="T1" s="113" t="s">
        <v>212</v>
      </c>
      <c r="U1" s="113" t="s">
        <v>213</v>
      </c>
      <c r="V1" s="113" t="s">
        <v>214</v>
      </c>
      <c r="W1" s="38" t="s">
        <v>199</v>
      </c>
    </row>
    <row r="2" spans="1:23">
      <c r="A2" s="99" t="s">
        <v>269</v>
      </c>
      <c r="B2" s="99" t="s">
        <v>271</v>
      </c>
      <c r="D2" s="104" t="s">
        <v>176</v>
      </c>
      <c r="F2" s="104">
        <v>-0.18886282922884523</v>
      </c>
      <c r="H2" s="104">
        <v>-0.18886282922884523</v>
      </c>
      <c r="I2" s="104">
        <v>-0.18886282922884523</v>
      </c>
      <c r="K2" s="104">
        <v>-0.18886282922884523</v>
      </c>
      <c r="L2" s="104">
        <v>6.5979999999999983E-2</v>
      </c>
      <c r="N2" s="104">
        <v>6.5979999999999983E-2</v>
      </c>
      <c r="O2" s="104">
        <v>-0.75891999999999993</v>
      </c>
      <c r="Q2" s="104">
        <v>-0.75891999999999993</v>
      </c>
      <c r="R2" s="104">
        <v>-9.5266915123134623</v>
      </c>
      <c r="S2" s="104">
        <v>-9.5266915123134623</v>
      </c>
      <c r="T2" s="104">
        <v>-7.126762829228845</v>
      </c>
      <c r="V2" s="104">
        <v>-7.126762829228845</v>
      </c>
      <c r="W2" s="109">
        <v>28596.15968986983</v>
      </c>
    </row>
    <row r="3" spans="1:23">
      <c r="A3" s="99" t="s">
        <v>273</v>
      </c>
      <c r="B3" s="99" t="s">
        <v>287</v>
      </c>
      <c r="D3" s="104" t="s">
        <v>294</v>
      </c>
      <c r="E3" s="104">
        <v>6.6</v>
      </c>
      <c r="F3" s="104">
        <v>2.4669771707711545</v>
      </c>
      <c r="G3" s="104">
        <v>-1.0330228292288453</v>
      </c>
      <c r="H3" s="104">
        <v>2.4031069023673401</v>
      </c>
      <c r="I3" s="104">
        <v>2.4669771707711545</v>
      </c>
      <c r="J3" s="104">
        <v>-1.0330228292288453</v>
      </c>
      <c r="K3" s="104">
        <v>2.4031069023673401</v>
      </c>
      <c r="L3" s="104">
        <v>2.7482199999999999</v>
      </c>
      <c r="M3" s="104">
        <v>1.7482199999999997</v>
      </c>
      <c r="N3" s="104">
        <v>2.6911570941690734</v>
      </c>
      <c r="O3" s="104">
        <v>2.1081199999999995</v>
      </c>
      <c r="P3" s="104">
        <v>1.1081200000000002</v>
      </c>
      <c r="Q3" s="104">
        <v>2.0510570941690731</v>
      </c>
      <c r="R3" s="104">
        <v>-9.2608515123134616</v>
      </c>
      <c r="S3" s="104">
        <v>-9.3247435464568422</v>
      </c>
      <c r="T3" s="104">
        <v>-4.5501228292288465</v>
      </c>
      <c r="U3" s="104">
        <v>-8.0501228292288456</v>
      </c>
      <c r="V3" s="104">
        <v>-4.61399309763266</v>
      </c>
      <c r="W3" s="109">
        <v>367.07710774259778</v>
      </c>
    </row>
    <row r="4" spans="1:23">
      <c r="A4" s="99" t="s">
        <v>275</v>
      </c>
      <c r="B4" s="99" t="s">
        <v>288</v>
      </c>
      <c r="D4" s="104" t="s">
        <v>294</v>
      </c>
      <c r="E4" s="104">
        <v>17.600000000000001</v>
      </c>
      <c r="F4" s="104">
        <v>0.58575717077115463</v>
      </c>
      <c r="G4" s="104">
        <v>-2.9142428292288449</v>
      </c>
      <c r="H4" s="104">
        <v>-2.9142427426031139</v>
      </c>
      <c r="I4" s="104">
        <v>0.58575717077115463</v>
      </c>
      <c r="J4" s="104">
        <v>-2.9142428292288449</v>
      </c>
      <c r="K4" s="104">
        <v>-2.9142427426031139</v>
      </c>
      <c r="L4" s="104">
        <v>0.84829999999999983</v>
      </c>
      <c r="M4" s="104">
        <v>-0.15170000000000008</v>
      </c>
      <c r="N4" s="104">
        <v>-0.15169999975338092</v>
      </c>
      <c r="O4" s="104">
        <v>7.7300000000000021E-2</v>
      </c>
      <c r="P4" s="104">
        <v>-0.92269999999999985</v>
      </c>
      <c r="Q4" s="104">
        <v>-0.9226999997533808</v>
      </c>
      <c r="R4" s="104">
        <v>-8.6220715123134628</v>
      </c>
      <c r="S4" s="104">
        <v>-18.822071512340866</v>
      </c>
      <c r="T4" s="104">
        <v>-6.3752428292288457</v>
      </c>
      <c r="U4" s="104">
        <v>-9.8752428292288439</v>
      </c>
      <c r="V4" s="104">
        <v>-9.8752427426031133</v>
      </c>
      <c r="W4" s="109">
        <v>144711455696.11774</v>
      </c>
    </row>
    <row r="5" spans="1:23">
      <c r="A5" s="99" t="s">
        <v>277</v>
      </c>
      <c r="B5" s="99" t="s">
        <v>289</v>
      </c>
      <c r="D5" s="104" t="s">
        <v>270</v>
      </c>
      <c r="E5" s="104">
        <v>2.7</v>
      </c>
      <c r="F5" s="104">
        <v>2.7084171707711544</v>
      </c>
      <c r="G5" s="104">
        <v>-0.79158282922884515</v>
      </c>
      <c r="H5" s="104">
        <v>-0.76501911886042939</v>
      </c>
      <c r="I5" s="104">
        <v>2.7084171707711544</v>
      </c>
      <c r="J5" s="104">
        <v>-0.79158282922884515</v>
      </c>
      <c r="K5" s="104">
        <v>-0.76501911886042939</v>
      </c>
      <c r="L5" s="104">
        <v>2.9920599999999995</v>
      </c>
      <c r="M5" s="104">
        <v>1.9920599999999999</v>
      </c>
      <c r="N5" s="104">
        <v>1.9921379792700096</v>
      </c>
      <c r="O5" s="104">
        <v>2.3687600000000004</v>
      </c>
      <c r="P5" s="104">
        <v>2.3687600000000004</v>
      </c>
      <c r="Q5" s="104">
        <v>2.3687600000000004</v>
      </c>
      <c r="R5" s="104">
        <v>-6.6394115123134627</v>
      </c>
      <c r="S5" s="104">
        <v>-11.33942017754115</v>
      </c>
      <c r="T5" s="104">
        <v>-4.3158828292288458</v>
      </c>
      <c r="U5" s="104">
        <v>-7.8158828292288449</v>
      </c>
      <c r="V5" s="104">
        <v>-7.7893191188604298</v>
      </c>
      <c r="W5" s="109">
        <v>104144251.24233645</v>
      </c>
    </row>
    <row r="6" spans="1:23">
      <c r="A6" s="99" t="s">
        <v>279</v>
      </c>
      <c r="B6" s="99" t="s">
        <v>290</v>
      </c>
      <c r="D6" s="104" t="s">
        <v>270</v>
      </c>
      <c r="E6" s="104">
        <v>4.4000000000000004</v>
      </c>
      <c r="F6" s="104">
        <v>3.0806371707711548</v>
      </c>
      <c r="G6" s="104">
        <v>-0.4193628292288451</v>
      </c>
      <c r="H6" s="104">
        <v>0.19953414135793085</v>
      </c>
      <c r="I6" s="104">
        <v>3.0806371707711548</v>
      </c>
      <c r="J6" s="104">
        <v>-0.4193628292288451</v>
      </c>
      <c r="K6" s="104">
        <v>0.19953414135793085</v>
      </c>
      <c r="L6" s="104">
        <v>3.3679800000000002</v>
      </c>
      <c r="M6" s="104">
        <v>2.3679800000000002</v>
      </c>
      <c r="N6" s="104">
        <v>2.371867296303324</v>
      </c>
      <c r="O6" s="104">
        <v>2.7705799999999998</v>
      </c>
      <c r="P6" s="104">
        <v>2.7705799999999998</v>
      </c>
      <c r="Q6" s="104">
        <v>2.7705799999999998</v>
      </c>
      <c r="R6" s="104">
        <v>-9.1971915123134647</v>
      </c>
      <c r="S6" s="104">
        <v>-12.197625589792782</v>
      </c>
      <c r="T6" s="104">
        <v>-3.9547628292288457</v>
      </c>
      <c r="U6" s="104">
        <v>-7.4547628292288444</v>
      </c>
      <c r="V6" s="104">
        <v>-6.8358658586420695</v>
      </c>
      <c r="W6" s="109">
        <v>16805.188979099901</v>
      </c>
    </row>
    <row r="7" spans="1:23">
      <c r="A7" s="99" t="s">
        <v>281</v>
      </c>
      <c r="B7" s="99" t="s">
        <v>291</v>
      </c>
      <c r="D7" s="104" t="s">
        <v>270</v>
      </c>
      <c r="E7" s="104">
        <v>5.4</v>
      </c>
      <c r="F7" s="104">
        <v>3.6339371707711541</v>
      </c>
      <c r="G7" s="104">
        <v>0.13393717077115466</v>
      </c>
      <c r="H7" s="104">
        <v>1.6431367190965502</v>
      </c>
      <c r="I7" s="104">
        <v>3.6339371707711541</v>
      </c>
      <c r="J7" s="104">
        <v>0.13393717077115466</v>
      </c>
      <c r="K7" s="104">
        <v>1.6431367190965502</v>
      </c>
      <c r="L7" s="104">
        <v>3.9267799999999999</v>
      </c>
      <c r="M7" s="104">
        <v>2.9267799999999995</v>
      </c>
      <c r="N7" s="104">
        <v>2.9638513113755822</v>
      </c>
      <c r="O7" s="104">
        <v>3.3678799999999995</v>
      </c>
      <c r="P7" s="104">
        <v>3.3678799999999995</v>
      </c>
      <c r="Q7" s="104">
        <v>3.3678799999999995</v>
      </c>
      <c r="R7" s="104">
        <v>-5.7738915123134635</v>
      </c>
      <c r="S7" s="104">
        <v>-7.7782128860961048</v>
      </c>
      <c r="T7" s="104">
        <v>-3.4179628292288453</v>
      </c>
      <c r="U7" s="104">
        <v>-6.9179628292288458</v>
      </c>
      <c r="V7" s="104">
        <v>-5.4087632809034494</v>
      </c>
      <c r="W7" s="109">
        <v>4496.6328499680267</v>
      </c>
    </row>
    <row r="8" spans="1:23">
      <c r="A8" s="99" t="s">
        <v>283</v>
      </c>
      <c r="B8" s="99" t="s">
        <v>292</v>
      </c>
      <c r="D8" s="104" t="s">
        <v>270</v>
      </c>
      <c r="E8" s="104">
        <v>4</v>
      </c>
      <c r="F8" s="104">
        <v>3.2717771707711547</v>
      </c>
      <c r="G8" s="104">
        <v>-0.22822282922884518</v>
      </c>
      <c r="H8" s="104">
        <v>0.12550620047403147</v>
      </c>
      <c r="I8" s="104">
        <v>3.2717771707711547</v>
      </c>
      <c r="J8" s="104">
        <v>-0.22822282922884518</v>
      </c>
      <c r="K8" s="104">
        <v>0.12550620047403147</v>
      </c>
      <c r="L8" s="104">
        <v>3.5610200000000001</v>
      </c>
      <c r="M8" s="104">
        <v>2.5610200000000001</v>
      </c>
      <c r="N8" s="104">
        <v>2.5625726636878023</v>
      </c>
      <c r="O8" s="104">
        <v>2.9769200000000002</v>
      </c>
      <c r="P8" s="104">
        <v>2.9769200000000002</v>
      </c>
      <c r="Q8" s="104">
        <v>2.9769200000000002</v>
      </c>
      <c r="R8" s="104">
        <v>-14.856051512313464</v>
      </c>
      <c r="S8" s="104">
        <v>-18.256224373654454</v>
      </c>
      <c r="T8" s="104">
        <v>-3.7693228292288454</v>
      </c>
      <c r="U8" s="104">
        <v>-7.2693228292288454</v>
      </c>
      <c r="V8" s="104">
        <v>-6.9155937995259684</v>
      </c>
      <c r="W8" s="109">
        <v>251382.04176843681</v>
      </c>
    </row>
    <row r="9" spans="1:23">
      <c r="A9" s="99" t="s">
        <v>285</v>
      </c>
      <c r="B9" s="99" t="s">
        <v>293</v>
      </c>
      <c r="D9" s="104" t="s">
        <v>270</v>
      </c>
      <c r="E9" s="104">
        <v>4.5</v>
      </c>
      <c r="F9" s="104">
        <v>2.5977571707711546</v>
      </c>
      <c r="G9" s="104">
        <v>-0.90224282922884524</v>
      </c>
      <c r="H9" s="104">
        <v>-0.20546643601300729</v>
      </c>
      <c r="I9" s="104">
        <v>2.5977571707711546</v>
      </c>
      <c r="J9" s="104">
        <v>-0.90224282922884524</v>
      </c>
      <c r="K9" s="104">
        <v>-0.20546643601300729</v>
      </c>
      <c r="L9" s="104">
        <v>2.8803000000000001</v>
      </c>
      <c r="M9" s="104">
        <v>1.8803000000000003</v>
      </c>
      <c r="N9" s="104">
        <v>1.8851869137271886</v>
      </c>
      <c r="O9" s="104">
        <v>2.2493000000000003</v>
      </c>
      <c r="P9" s="104">
        <v>2.2493000000000003</v>
      </c>
      <c r="Q9" s="104">
        <v>2.2493000000000003</v>
      </c>
      <c r="R9" s="104">
        <v>-11.160071512313463</v>
      </c>
      <c r="S9" s="104">
        <v>-14.06061791280632</v>
      </c>
      <c r="T9" s="104">
        <v>-4.4232428292288466</v>
      </c>
      <c r="U9" s="104">
        <v>-7.9232428292288448</v>
      </c>
      <c r="V9" s="104">
        <v>-7.2264664360130082</v>
      </c>
      <c r="W9" s="109">
        <v>29883.488882228998</v>
      </c>
    </row>
    <row r="10" spans="1:23">
      <c r="U10" s="104">
        <v>-7.4547628292288444</v>
      </c>
      <c r="V10" s="104">
        <v>-7.0112310619648177</v>
      </c>
      <c r="W10" s="109">
        <v>29871.255476848626</v>
      </c>
    </row>
    <row r="11" spans="1:23">
      <c r="U11" s="104">
        <v>-6.9179628292288458</v>
      </c>
      <c r="V11" s="104">
        <v>-6.2606166011021189</v>
      </c>
      <c r="W11" s="109">
        <v>39724.008701257342</v>
      </c>
    </row>
    <row r="12" spans="1:23">
      <c r="U12" s="104">
        <v>-7.2693228292288454</v>
      </c>
      <c r="V12" s="104">
        <v>-4.5643488836151542</v>
      </c>
      <c r="W12" s="109">
        <v>625.03968782777258</v>
      </c>
    </row>
    <row r="13" spans="1:23">
      <c r="U13" s="104">
        <v>-7.9232428292288448</v>
      </c>
      <c r="V13" s="104">
        <v>-6.8832213369033042</v>
      </c>
      <c r="W13" s="109">
        <v>11919.446594505627</v>
      </c>
    </row>
    <row r="14" spans="1:23">
      <c r="V14" s="104">
        <v>-5.972553040415324</v>
      </c>
      <c r="W14" s="109">
        <v>28963.800082798571</v>
      </c>
    </row>
    <row r="15" spans="1:23">
      <c r="V15" s="104">
        <v>-2.9274330404153242</v>
      </c>
      <c r="W15" s="109">
        <v>12.56089672323527</v>
      </c>
    </row>
    <row r="16" spans="1:23">
      <c r="V16" s="104">
        <v>-5.7285530404153233</v>
      </c>
      <c r="W16" s="109">
        <v>8979.8909576819369</v>
      </c>
    </row>
    <row r="17" spans="22:23">
      <c r="V17" s="104">
        <v>-4.069353040415324</v>
      </c>
      <c r="W17" s="109">
        <v>626.53166819857029</v>
      </c>
    </row>
    <row r="18" spans="22:23">
      <c r="V18" s="104">
        <v>-6.6850330404153233</v>
      </c>
      <c r="W18" s="109">
        <v>812705.20350070496</v>
      </c>
    </row>
    <row r="19" spans="22:23">
      <c r="V19" s="104">
        <v>-2.8103130404153247</v>
      </c>
      <c r="W19" s="109">
        <v>6.1546452767517135</v>
      </c>
    </row>
    <row r="20" spans="22:23">
      <c r="V20" s="104">
        <v>-5.2307930404153238</v>
      </c>
      <c r="W20" s="109">
        <v>4474.3438472499129</v>
      </c>
    </row>
    <row r="21" spans="22:23">
      <c r="V21" s="104">
        <v>-4.2255130404153238</v>
      </c>
      <c r="W21" s="109">
        <v>72.21058573154545</v>
      </c>
    </row>
    <row r="22" spans="22:23">
      <c r="V22" s="104">
        <v>-0.95591304041532443</v>
      </c>
      <c r="W22" s="99">
        <v>0.15737376506224787</v>
      </c>
    </row>
    <row r="23" spans="22:23">
      <c r="V23" s="104">
        <v>-3.6301530404153244</v>
      </c>
      <c r="W23" s="99">
        <v>24.127633886971566</v>
      </c>
    </row>
    <row r="24" spans="22:23">
      <c r="V24" s="104">
        <v>-2.9274330404153242</v>
      </c>
      <c r="W24" s="99">
        <v>37.759750885799207</v>
      </c>
    </row>
    <row r="25" spans="22:23">
      <c r="V25" s="104">
        <v>-3.5032730404153236</v>
      </c>
      <c r="W25" s="99">
        <v>62.15313329585608</v>
      </c>
    </row>
    <row r="26" spans="22:23">
      <c r="V26" s="104">
        <v>-5.6309530404153234</v>
      </c>
      <c r="W26" s="99">
        <v>10408.697633503043</v>
      </c>
    </row>
    <row r="27" spans="22:23">
      <c r="V27" s="104">
        <v>-3.532553040415324</v>
      </c>
      <c r="W27" s="99">
        <v>160.11066480410554</v>
      </c>
    </row>
    <row r="28" spans="22:23">
      <c r="V28" s="104">
        <v>-3.7960730404153242</v>
      </c>
      <c r="W28" s="99">
        <v>254.32592954033385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2025-01-17T12:10:10Z</dcterms:modified>
</cp:coreProperties>
</file>