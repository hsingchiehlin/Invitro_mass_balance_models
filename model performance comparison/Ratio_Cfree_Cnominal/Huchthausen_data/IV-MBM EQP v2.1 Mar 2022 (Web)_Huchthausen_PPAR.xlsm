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Armitage\Validation_Hsu\"/>
    </mc:Choice>
  </mc:AlternateContent>
  <xr:revisionPtr revIDLastSave="0" documentId="13_ncr:1_{F0A79F0A-4106-4CDC-847B-A814614BB2AC}" xr6:coauthVersionLast="47" xr6:coauthVersionMax="47" xr10:uidLastSave="{00000000-0000-0000-0000-000000000000}"/>
  <bookViews>
    <workbookView xWindow="4290" yWindow="1890" windowWidth="21600" windowHeight="12735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5" l="1"/>
  <c r="G12" i="15"/>
  <c r="G11" i="15"/>
  <c r="G10" i="15"/>
  <c r="G9" i="15"/>
  <c r="G8" i="15"/>
  <c r="G7" i="15"/>
  <c r="G6" i="15"/>
  <c r="G5" i="15"/>
  <c r="G4" i="15"/>
  <c r="G3" i="15"/>
  <c r="G2" i="15"/>
  <c r="B12" i="2"/>
  <c r="B11" i="2"/>
  <c r="B10" i="2"/>
  <c r="B9" i="2"/>
  <c r="I16" i="18"/>
  <c r="B2" i="8" l="1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1" i="2" l="1"/>
  <c r="J24" i="2"/>
  <c r="J23" i="2"/>
  <c r="P1" i="15"/>
</calcChain>
</file>

<file path=xl/sharedStrings.xml><?xml version="1.0" encoding="utf-8"?>
<sst xmlns="http://schemas.openxmlformats.org/spreadsheetml/2006/main" count="625" uniqueCount="307">
  <si>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</si>
  <si>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</si>
  <si>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</si>
  <si>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</si>
  <si>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</si>
  <si>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</si>
  <si>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</si>
  <si>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</si>
  <si>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</si>
  <si>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</si>
  <si>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</si>
  <si>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</si>
  <si>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</si>
  <si>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</si>
  <si>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</si>
  <si>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</si>
  <si>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</si>
  <si>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</si>
  <si>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</si>
  <si>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</si>
  <si>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</si>
  <si>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</si>
  <si>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</si>
  <si>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</si>
  <si>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</si>
  <si>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</si>
  <si>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</si>
  <si>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</si>
  <si>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</si>
  <si>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</si>
  <si>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</si>
  <si>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</si>
  <si>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</si>
  <si>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</si>
  <si>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</si>
  <si>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</si>
  <si>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</si>
  <si>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</si>
  <si>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</si>
  <si>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</si>
  <si>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</si>
  <si>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</si>
  <si>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</si>
  <si>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</si>
  <si>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</si>
  <si>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</si>
  <si>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</si>
  <si>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</si>
  <si>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</si>
  <si>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</si>
  <si>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</si>
  <si>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</si>
  <si>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</si>
  <si>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</si>
  <si>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</si>
  <si>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</si>
  <si>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</si>
  <si>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</si>
  <si>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</si>
  <si>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</si>
  <si>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</si>
  <si>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</si>
  <si>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</si>
  <si>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</si>
  <si>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</si>
  <si>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</si>
  <si>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</si>
  <si>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</si>
  <si>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</si>
  <si>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</si>
  <si>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</si>
  <si>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</si>
  <si>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</si>
  <si>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</si>
  <si>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</si>
  <si>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</si>
  <si>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</si>
  <si>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</si>
  <si>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</si>
  <si>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</si>
  <si>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</si>
  <si>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</si>
  <si>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</si>
  <si>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</si>
  <si>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</si>
  <si>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</si>
  <si>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</si>
  <si>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</si>
  <si>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</si>
  <si>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</si>
  <si>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</si>
  <si>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</si>
  <si>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</si>
  <si>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</si>
  <si>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</si>
  <si>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</si>
  <si>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</si>
  <si>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</si>
  <si>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</si>
  <si>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</si>
  <si>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</si>
  <si>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</si>
  <si>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</si>
  <si>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</si>
  <si>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</si>
  <si>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</si>
  <si>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</si>
  <si>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</si>
  <si>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</si>
  <si>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</si>
  <si>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</si>
  <si>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</si>
  <si>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</si>
  <si>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</si>
  <si>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</si>
  <si>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</si>
  <si>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</si>
  <si>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</si>
  <si>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</si>
  <si>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</si>
  <si>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</si>
  <si>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</si>
  <si>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</si>
  <si>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</si>
  <si>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</si>
  <si>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</si>
  <si>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</si>
  <si>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</si>
  <si>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</si>
  <si>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</si>
  <si>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</si>
  <si>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</si>
  <si>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</si>
  <si>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</si>
  <si>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</si>
  <si>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</si>
  <si>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</si>
  <si>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</si>
  <si>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</si>
  <si>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</si>
  <si>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</si>
  <si>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</si>
  <si>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</si>
  <si>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</si>
  <si>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</si>
  <si>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</si>
  <si>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</si>
  <si>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</si>
  <si>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</si>
  <si>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</si>
  <si>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</si>
  <si>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</si>
  <si>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</si>
  <si>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</si>
  <si>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</si>
  <si>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</si>
  <si>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</si>
  <si>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</si>
  <si>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</si>
  <si>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</si>
  <si>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</si>
  <si>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</si>
  <si>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</si>
  <si>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</si>
  <si>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</si>
  <si>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</si>
  <si>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</si>
  <si>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</si>
  <si>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</si>
  <si>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</si>
  <si>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</si>
  <si>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</si>
  <si>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</si>
  <si>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</si>
  <si>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</si>
  <si>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</si>
  <si>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</si>
  <si>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</si>
  <si>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</si>
  <si>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</si>
  <si>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</si>
  <si>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</si>
  <si>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</si>
  <si>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</si>
  <si>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</si>
  <si>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</si>
  <si>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</si>
  <si>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</si>
  <si>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</si>
  <si>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</si>
  <si>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</si>
  <si>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</si>
  <si>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</si>
  <si>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</si>
  <si>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</si>
  <si>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</si>
  <si>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</si>
  <si>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</si>
  <si>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</si>
  <si>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</si>
  <si>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</si>
  <si>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</si>
  <si>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</si>
  <si>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</si>
  <si>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</si>
  <si>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</si>
  <si>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</si>
  <si>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</si>
  <si>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</si>
  <si>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</si>
  <si>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</si>
  <si>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</si>
  <si>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</si>
  <si>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</si>
  <si>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</si>
  <si>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</si>
  <si>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</si>
  <si>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</si>
  <si>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</si>
  <si>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</si>
  <si>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</si>
  <si>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</si>
  <si>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</si>
  <si>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</si>
  <si>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</si>
  <si>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</si>
  <si>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</si>
  <si>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</si>
  <si>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</si>
  <si>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</si>
  <si>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</si>
  <si>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</si>
  <si>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</si>
  <si>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</si>
  <si>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</si>
  <si>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</si>
  <si>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</si>
  <si>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</si>
  <si>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</si>
  <si>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</si>
  <si>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</si>
  <si>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</si>
  <si>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</si>
  <si>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</si>
  <si>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</si>
  <si>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</si>
  <si>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</si>
  <si>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</si>
  <si>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</si>
  <si>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</si>
  <si>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</si>
  <si>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</si>
  <si>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</si>
  <si>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</si>
  <si>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</si>
  <si>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</si>
  <si>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</si>
  <si>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</si>
  <si>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</si>
  <si>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</si>
  <si>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</si>
  <si>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</si>
  <si>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</si>
  <si>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</si>
  <si>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</si>
  <si>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</si>
  <si>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</si>
  <si>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</si>
  <si>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</si>
  <si>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Caffeine</t>
  </si>
  <si>
    <t>A</t>
  </si>
  <si>
    <t>58-08-2</t>
  </si>
  <si>
    <t>--&gt;</t>
  </si>
  <si>
    <t>Lamotrigine</t>
  </si>
  <si>
    <t>84057-84-1</t>
    <phoneticPr fontId="24" type="noConversion"/>
  </si>
  <si>
    <t>Venlafaxine</t>
  </si>
  <si>
    <t>99300-78-4</t>
    <phoneticPr fontId="24" type="noConversion"/>
  </si>
  <si>
    <t>Metoprolol</t>
  </si>
  <si>
    <t>56392-17-7</t>
    <phoneticPr fontId="24" type="noConversion"/>
  </si>
  <si>
    <t>Diphenhydramine</t>
  </si>
  <si>
    <t>147-24-0</t>
    <phoneticPr fontId="24" type="noConversion"/>
  </si>
  <si>
    <t>Propranolol</t>
  </si>
  <si>
    <t>318-98-9</t>
    <phoneticPr fontId="24" type="noConversion"/>
  </si>
  <si>
    <t>Diclofenac</t>
  </si>
  <si>
    <t>15307-79-6</t>
    <phoneticPr fontId="24" type="noConversion"/>
  </si>
  <si>
    <t>2,4-Dichlorophenoxyacetic</t>
  </si>
  <si>
    <t>94-75-7</t>
    <phoneticPr fontId="24" type="noConversion"/>
  </si>
  <si>
    <t>(S)-Naproxen</t>
  </si>
  <si>
    <t>22204-53-1</t>
    <phoneticPr fontId="24" type="noConversion"/>
  </si>
  <si>
    <t>Ibuprofen</t>
  </si>
  <si>
    <t>15687-27-1</t>
    <phoneticPr fontId="24" type="noConversion"/>
  </si>
  <si>
    <t>Torasemide</t>
  </si>
  <si>
    <t>56211-40-6</t>
    <phoneticPr fontId="24" type="noConversion"/>
  </si>
  <si>
    <t>Warfarin</t>
  </si>
  <si>
    <t>81-81-2</t>
    <phoneticPr fontId="24" type="noConversion"/>
  </si>
  <si>
    <t>84057-84-1</t>
  </si>
  <si>
    <t>99300-78-4</t>
  </si>
  <si>
    <t>56392-17-7</t>
  </si>
  <si>
    <t>147-24-0</t>
  </si>
  <si>
    <t>318-98-9</t>
  </si>
  <si>
    <t>15307-79-6</t>
  </si>
  <si>
    <t>94-75-7</t>
  </si>
  <si>
    <t>22204-53-1</t>
  </si>
  <si>
    <t>15687-27-1</t>
  </si>
  <si>
    <t>56211-40-6</t>
  </si>
  <si>
    <t>81-81-2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</si>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</sst>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  <numFmt numFmtId="171" formatCode="0.00_);[Red]\(0.00\)"/>
  </numFmts>
  <fonts count="3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12"/>
      <color theme="1"/>
      <name val="Calibri"/>
      <family val="1"/>
      <charset val="136"/>
      <scheme val="minor"/>
    </font>
    <font>
      <sz val="9"/>
      <name val="Calibri"/>
      <family val="3"/>
      <charset val="136"/>
      <scheme val="minor"/>
    </font>
    <font>
      <b/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2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65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64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7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8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65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65" fontId="22" fillId="4" borderId="2" xfId="0" applyNumberFormat="1" applyFont="1" applyFill="1" applyBorder="1" applyAlignment="1">
      <alignment horizontal="center"/>
    </xf>
    <xf numFmtId="165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65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0" xfId="0" applyFont="1" applyBorder="1"/>
    <xf numFmtId="0" fontId="7" fillId="0" borderId="10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68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65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70" fontId="1" fillId="0" borderId="0" xfId="0" applyNumberFormat="1" applyFont="1"/>
    <xf numFmtId="0" fontId="32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49" fontId="34" fillId="0" borderId="0" xfId="0" applyNumberFormat="1" applyFont="1" applyAlignment="1">
      <alignment vertical="center"/>
    </xf>
    <xf numFmtId="171" fontId="1" fillId="0" borderId="0" xfId="0" applyNumberFormat="1" applyFont="1" applyAlignment="1">
      <alignment horizontal="center"/>
    </xf>
    <xf numFmtId="11" fontId="1" fillId="4" borderId="8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11" fontId="1" fillId="4" borderId="9" xfId="0" applyNumberFormat="1" applyFont="1" applyFill="1" applyBorder="1" applyAlignment="1">
      <alignment horizont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2" applyFont="1" applyBorder="1">
      <protection locked="0"/>
    </xf>
    <xf numFmtId="2" fontId="30" fillId="0" borderId="0" xfId="0" applyNumberFormat="1" applyFont="1" applyAlignment="1">
      <alignment horizontal="center"/>
    </xf>
    <xf numFmtId="11" fontId="30" fillId="0" borderId="0" xfId="0" applyNumberFormat="1" applyFont="1"/>
    <xf numFmtId="10" fontId="36" fillId="0" borderId="0" xfId="0" applyNumberFormat="1" applyFont="1" applyAlignment="1">
      <alignment horizontal="left"/>
    </xf>
    <xf numFmtId="164" fontId="32" fillId="0" borderId="0" xfId="0" applyNumberFormat="1" applyFont="1" applyAlignment="1">
      <alignment horizontal="center"/>
    </xf>
    <xf numFmtId="2" fontId="32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75">
      <c r="A1" s="25" t="s">
        <v>234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240</v>
      </c>
    </row>
    <row r="14" spans="1:15" ht="18">
      <c r="M14" s="1" t="s">
        <v>241</v>
      </c>
      <c r="N14" s="1" t="s">
        <v>245</v>
      </c>
    </row>
    <row r="15" spans="1:15" ht="18">
      <c r="M15" s="1" t="s">
        <v>242</v>
      </c>
      <c r="N15" s="1" t="s">
        <v>246</v>
      </c>
    </row>
    <row r="16" spans="1:15" ht="18">
      <c r="M16" s="1" t="s">
        <v>243</v>
      </c>
      <c r="N16" s="1" t="s">
        <v>247</v>
      </c>
    </row>
    <row r="17" spans="13:14" ht="18">
      <c r="M17" s="1" t="s">
        <v>244</v>
      </c>
      <c r="N17" s="1" t="s">
        <v>248</v>
      </c>
    </row>
    <row r="18" spans="13:14" ht="18">
      <c r="M18" s="1" t="s">
        <v>251</v>
      </c>
      <c r="N18" s="1" t="s">
        <v>249</v>
      </c>
    </row>
    <row r="19" spans="13:14" ht="18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70" zoomScaleNormal="70" workbookViewId="0">
      <pane ySplit="1" topLeftCell="A2" activePane="bottomLeft" state="frozen"/>
      <selection pane="bottomLeft" activeCell="Z13" sqref="Z1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217</v>
      </c>
      <c r="D1" s="118" t="s">
        <v>7</v>
      </c>
      <c r="E1" s="118" t="s">
        <v>18</v>
      </c>
      <c r="F1" s="29" t="s">
        <v>149</v>
      </c>
      <c r="G1" s="123" t="s">
        <v>167</v>
      </c>
      <c r="H1" s="123" t="s">
        <v>168</v>
      </c>
      <c r="I1" s="119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9" t="s">
        <v>165</v>
      </c>
      <c r="U1" s="31" t="s">
        <v>77</v>
      </c>
      <c r="V1" s="120" t="s">
        <v>166</v>
      </c>
      <c r="W1" s="122" t="s">
        <v>175</v>
      </c>
      <c r="X1" s="122" t="s">
        <v>177</v>
      </c>
      <c r="Y1" s="121" t="s">
        <v>51</v>
      </c>
      <c r="Z1" s="120" t="s">
        <v>134</v>
      </c>
      <c r="AA1" s="6"/>
    </row>
    <row r="2" spans="1:27" s="99" customFormat="1">
      <c r="A2" s="99" t="s">
        <v>269</v>
      </c>
      <c r="B2" s="100" t="str">
        <f>"58-08-2"</f>
        <v>58-08-2</v>
      </c>
      <c r="C2" s="124"/>
      <c r="D2" s="101">
        <v>194.19</v>
      </c>
      <c r="E2" s="101">
        <v>238</v>
      </c>
      <c r="F2" s="100"/>
      <c r="G2" s="101" t="s">
        <v>176</v>
      </c>
      <c r="H2" s="104"/>
      <c r="I2" s="104">
        <v>-7.0000000000000007E-2</v>
      </c>
      <c r="J2" s="104"/>
      <c r="K2" s="100"/>
      <c r="L2" s="100"/>
      <c r="M2" s="100"/>
      <c r="N2" s="100"/>
      <c r="O2" s="104"/>
      <c r="P2" s="104"/>
      <c r="Q2" s="104"/>
      <c r="R2" s="100"/>
      <c r="S2" s="112"/>
      <c r="T2" s="104">
        <v>-9.9499999999999993</v>
      </c>
      <c r="U2" s="104"/>
      <c r="V2" s="112">
        <v>21749.279999999999</v>
      </c>
      <c r="W2" s="112"/>
      <c r="X2" s="104"/>
      <c r="Y2" s="100"/>
      <c r="Z2" s="112">
        <v>2440</v>
      </c>
    </row>
    <row r="3" spans="1:27" s="99" customFormat="1">
      <c r="A3" s="99" t="s">
        <v>273</v>
      </c>
      <c r="B3" s="100" t="s">
        <v>274</v>
      </c>
      <c r="C3" s="124"/>
      <c r="D3" s="101">
        <v>256.08999999999997</v>
      </c>
      <c r="E3" s="101">
        <v>207</v>
      </c>
      <c r="F3" s="101"/>
      <c r="G3" s="101" t="s">
        <v>306</v>
      </c>
      <c r="H3" s="104">
        <v>5.34</v>
      </c>
      <c r="I3" s="104">
        <v>2.57</v>
      </c>
      <c r="J3" s="104"/>
      <c r="K3" s="100"/>
      <c r="L3" s="100"/>
      <c r="M3" s="100"/>
      <c r="N3" s="100"/>
      <c r="O3" s="104"/>
      <c r="P3" s="104"/>
      <c r="Q3" s="104"/>
      <c r="R3" s="100"/>
      <c r="S3" s="112"/>
      <c r="T3" s="104">
        <v>-9.6999999999999993</v>
      </c>
      <c r="U3" s="100"/>
      <c r="V3" s="112">
        <v>249.94383999999999</v>
      </c>
      <c r="W3" s="112"/>
      <c r="X3" s="104"/>
      <c r="Y3" s="100"/>
      <c r="Z3" s="112">
        <v>439</v>
      </c>
      <c r="AA3" s="18"/>
    </row>
    <row r="4" spans="1:27" s="99" customFormat="1">
      <c r="A4" s="99" t="s">
        <v>275</v>
      </c>
      <c r="B4" s="100" t="s">
        <v>276</v>
      </c>
      <c r="C4" s="124"/>
      <c r="D4" s="101">
        <v>277.39999999999998</v>
      </c>
      <c r="E4" s="101">
        <v>115</v>
      </c>
      <c r="F4" s="100"/>
      <c r="G4" s="101" t="s">
        <v>306</v>
      </c>
      <c r="H4" s="104">
        <v>8.4</v>
      </c>
      <c r="I4" s="104">
        <v>0.43</v>
      </c>
      <c r="J4" s="104"/>
      <c r="K4" s="100"/>
      <c r="L4" s="100"/>
      <c r="M4" s="100"/>
      <c r="N4" s="100"/>
      <c r="O4" s="104"/>
      <c r="P4" s="104"/>
      <c r="Q4" s="104"/>
      <c r="R4" s="100"/>
      <c r="S4" s="112"/>
      <c r="T4" s="104">
        <v>-8.4600000000000009</v>
      </c>
      <c r="U4" s="104"/>
      <c r="V4" s="112">
        <v>665.76</v>
      </c>
      <c r="W4" s="112"/>
      <c r="X4" s="100"/>
      <c r="Y4" s="100"/>
      <c r="Z4" s="112">
        <v>211</v>
      </c>
    </row>
    <row r="5" spans="1:27" s="99" customFormat="1">
      <c r="A5" s="99" t="s">
        <v>277</v>
      </c>
      <c r="B5" s="100" t="s">
        <v>278</v>
      </c>
      <c r="C5" s="124"/>
      <c r="D5" s="101">
        <v>267.36</v>
      </c>
      <c r="E5" s="101">
        <v>87</v>
      </c>
      <c r="F5" s="101"/>
      <c r="G5" s="101" t="s">
        <v>306</v>
      </c>
      <c r="H5" s="104">
        <v>9.68</v>
      </c>
      <c r="I5" s="104">
        <v>1.88</v>
      </c>
      <c r="J5" s="104"/>
      <c r="K5" s="100"/>
      <c r="L5" s="100"/>
      <c r="M5" s="100"/>
      <c r="N5" s="100"/>
      <c r="O5" s="104"/>
      <c r="P5" s="104"/>
      <c r="Q5" s="104"/>
      <c r="R5" s="100"/>
      <c r="S5" s="112"/>
      <c r="T5" s="104">
        <v>-10.5</v>
      </c>
      <c r="U5" s="100"/>
      <c r="V5" s="112">
        <v>16897.151999999998</v>
      </c>
      <c r="W5" s="112"/>
      <c r="X5" s="104"/>
      <c r="Y5" s="100"/>
      <c r="Z5" s="112">
        <v>231</v>
      </c>
      <c r="AA5" s="109"/>
    </row>
    <row r="6" spans="1:27" s="99" customFormat="1">
      <c r="A6" s="99" t="s">
        <v>279</v>
      </c>
      <c r="B6" s="100" t="s">
        <v>280</v>
      </c>
      <c r="C6" s="125"/>
      <c r="D6" s="101">
        <v>255.35</v>
      </c>
      <c r="E6" s="101">
        <v>89.1</v>
      </c>
      <c r="F6" s="100"/>
      <c r="G6" s="101" t="s">
        <v>306</v>
      </c>
      <c r="H6" s="104">
        <v>8.98</v>
      </c>
      <c r="I6" s="104">
        <v>2.94</v>
      </c>
      <c r="J6" s="100"/>
      <c r="K6" s="100"/>
      <c r="L6" s="100"/>
      <c r="M6" s="100"/>
      <c r="N6" s="100"/>
      <c r="O6" s="104"/>
      <c r="P6" s="104"/>
      <c r="Q6" s="104"/>
      <c r="R6" s="100"/>
      <c r="S6" s="112"/>
      <c r="T6" s="104">
        <v>-7.6</v>
      </c>
      <c r="U6" s="104"/>
      <c r="V6" s="112">
        <v>242.83785</v>
      </c>
      <c r="W6" s="112"/>
      <c r="X6" s="104"/>
      <c r="Y6" s="126"/>
      <c r="Z6" s="112">
        <v>36</v>
      </c>
    </row>
    <row r="7" spans="1:27" s="99" customFormat="1">
      <c r="A7" s="99" t="s">
        <v>281</v>
      </c>
      <c r="B7" s="100" t="s">
        <v>282</v>
      </c>
      <c r="C7" s="124"/>
      <c r="D7" s="101">
        <v>259.33999999999997</v>
      </c>
      <c r="E7" s="101">
        <v>164</v>
      </c>
      <c r="F7" s="101"/>
      <c r="G7" s="169" t="s">
        <v>306</v>
      </c>
      <c r="H7" s="170">
        <v>9.42</v>
      </c>
      <c r="I7" s="104">
        <v>2.75</v>
      </c>
      <c r="J7" s="104"/>
      <c r="K7" s="100"/>
      <c r="L7" s="100"/>
      <c r="M7" s="100"/>
      <c r="N7" s="100"/>
      <c r="O7" s="104"/>
      <c r="P7" s="104"/>
      <c r="Q7" s="104"/>
      <c r="R7" s="100"/>
      <c r="S7" s="112"/>
      <c r="T7" s="104">
        <v>-9.51</v>
      </c>
      <c r="U7" s="104"/>
      <c r="V7" s="112">
        <v>625.00940000000003</v>
      </c>
      <c r="W7" s="112"/>
      <c r="X7" s="104"/>
      <c r="Y7" s="100"/>
      <c r="Z7" s="112">
        <v>18.399999999999999</v>
      </c>
      <c r="AA7" s="24"/>
    </row>
    <row r="8" spans="1:27" s="163" customFormat="1">
      <c r="A8" s="99" t="s">
        <v>283</v>
      </c>
      <c r="B8" s="100" t="s">
        <v>284</v>
      </c>
      <c r="C8" s="165"/>
      <c r="D8" s="101">
        <v>296.14999999999998</v>
      </c>
      <c r="E8" s="101">
        <v>284</v>
      </c>
      <c r="F8" s="164"/>
      <c r="G8" s="101" t="s">
        <v>270</v>
      </c>
      <c r="H8" s="104">
        <v>4.1500000000000004</v>
      </c>
      <c r="I8" s="104">
        <v>0.7</v>
      </c>
      <c r="J8" s="166"/>
      <c r="K8" s="164"/>
      <c r="L8" s="164"/>
      <c r="M8" s="164"/>
      <c r="N8" s="164"/>
      <c r="O8" s="166"/>
      <c r="P8" s="166"/>
      <c r="Q8" s="166"/>
      <c r="R8" s="164"/>
      <c r="S8" s="134"/>
      <c r="T8" s="104">
        <v>-9.0500000000000007</v>
      </c>
      <c r="U8" s="166"/>
      <c r="V8" s="112">
        <v>7.0187549999999996</v>
      </c>
      <c r="W8" s="134"/>
      <c r="X8" s="166"/>
      <c r="Y8" s="164"/>
      <c r="Z8" s="112">
        <v>2.12</v>
      </c>
      <c r="AA8" s="167"/>
    </row>
    <row r="9" spans="1:27" s="99" customFormat="1">
      <c r="A9" s="99" t="s">
        <v>285</v>
      </c>
      <c r="B9" s="100" t="s">
        <v>286</v>
      </c>
      <c r="C9" s="124"/>
      <c r="D9" s="101">
        <v>221.04</v>
      </c>
      <c r="E9" s="101">
        <v>140</v>
      </c>
      <c r="F9" s="100"/>
      <c r="G9" s="101" t="s">
        <v>270</v>
      </c>
      <c r="H9" s="104">
        <v>2.9</v>
      </c>
      <c r="I9" s="104">
        <v>2.81</v>
      </c>
      <c r="J9" s="104"/>
      <c r="K9" s="100"/>
      <c r="L9" s="100"/>
      <c r="M9" s="100"/>
      <c r="N9" s="100"/>
      <c r="O9" s="104"/>
      <c r="P9" s="104"/>
      <c r="Q9" s="104"/>
      <c r="R9" s="100"/>
      <c r="S9" s="112"/>
      <c r="T9" s="104">
        <v>-7.08</v>
      </c>
      <c r="U9" s="104"/>
      <c r="V9" s="112">
        <v>1644.5376000000001</v>
      </c>
      <c r="W9" s="112"/>
      <c r="X9" s="104"/>
      <c r="Y9" s="100"/>
      <c r="Z9" s="112">
        <v>49.2</v>
      </c>
    </row>
    <row r="10" spans="1:27" s="163" customFormat="1">
      <c r="A10" s="99" t="s">
        <v>287</v>
      </c>
      <c r="B10" s="100" t="s">
        <v>288</v>
      </c>
      <c r="C10" s="165"/>
      <c r="D10" s="101">
        <v>230.26</v>
      </c>
      <c r="E10" s="101">
        <v>153</v>
      </c>
      <c r="F10" s="164"/>
      <c r="G10" s="101" t="s">
        <v>270</v>
      </c>
      <c r="H10" s="104">
        <v>4.1500000000000004</v>
      </c>
      <c r="I10" s="104">
        <v>3.18</v>
      </c>
      <c r="J10" s="166"/>
      <c r="K10" s="164"/>
      <c r="L10" s="164"/>
      <c r="M10" s="164"/>
      <c r="N10" s="164"/>
      <c r="O10" s="166"/>
      <c r="P10" s="166"/>
      <c r="Q10" s="166"/>
      <c r="R10" s="164"/>
      <c r="S10" s="134"/>
      <c r="T10" s="104">
        <v>-9.64</v>
      </c>
      <c r="U10" s="166"/>
      <c r="V10" s="112">
        <v>13.355079999999999</v>
      </c>
      <c r="W10" s="134"/>
      <c r="X10" s="166"/>
      <c r="Y10" s="164"/>
      <c r="Z10" s="112">
        <v>17.7</v>
      </c>
    </row>
    <row r="11" spans="1:27" s="99" customFormat="1">
      <c r="A11" s="99" t="s">
        <v>289</v>
      </c>
      <c r="B11" s="100" t="s">
        <v>290</v>
      </c>
      <c r="C11" s="125"/>
      <c r="D11" s="101">
        <v>206.28</v>
      </c>
      <c r="E11" s="101">
        <v>89.1</v>
      </c>
      <c r="F11" s="100"/>
      <c r="G11" s="101" t="s">
        <v>270</v>
      </c>
      <c r="H11" s="104">
        <v>4.45</v>
      </c>
      <c r="I11" s="104">
        <v>3.73</v>
      </c>
      <c r="J11" s="104"/>
      <c r="K11" s="100"/>
      <c r="L11" s="100"/>
      <c r="M11" s="100"/>
      <c r="N11" s="100"/>
      <c r="O11" s="104"/>
      <c r="P11" s="104"/>
      <c r="Q11" s="104"/>
      <c r="R11" s="100"/>
      <c r="S11" s="112"/>
      <c r="T11" s="104">
        <v>-6.22</v>
      </c>
      <c r="U11" s="104"/>
      <c r="V11" s="112">
        <v>35.686439999999997</v>
      </c>
      <c r="W11" s="112"/>
      <c r="X11" s="104"/>
      <c r="Y11" s="100"/>
      <c r="Z11" s="112">
        <v>316</v>
      </c>
    </row>
    <row r="12" spans="1:27" s="163" customFormat="1">
      <c r="A12" s="99" t="s">
        <v>291</v>
      </c>
      <c r="B12" s="100" t="s">
        <v>292</v>
      </c>
      <c r="C12" s="165"/>
      <c r="D12" s="101">
        <v>348.42</v>
      </c>
      <c r="E12" s="101">
        <v>224</v>
      </c>
      <c r="F12" s="164"/>
      <c r="G12" s="101" t="s">
        <v>270</v>
      </c>
      <c r="H12" s="104">
        <v>6.68</v>
      </c>
      <c r="I12" s="104">
        <v>3.37</v>
      </c>
      <c r="J12" s="166"/>
      <c r="K12" s="164"/>
      <c r="L12" s="164"/>
      <c r="M12" s="164"/>
      <c r="N12" s="164"/>
      <c r="O12" s="166"/>
      <c r="P12" s="166"/>
      <c r="Q12" s="166"/>
      <c r="R12" s="164"/>
      <c r="S12" s="134"/>
      <c r="T12" s="104">
        <v>-15.3</v>
      </c>
      <c r="U12" s="166"/>
      <c r="V12" s="112">
        <v>79.788179999999997</v>
      </c>
      <c r="W12" s="134"/>
      <c r="X12" s="166"/>
      <c r="Y12" s="164"/>
      <c r="Z12" s="112">
        <v>184</v>
      </c>
      <c r="AA12" s="168"/>
    </row>
    <row r="13" spans="1:27" s="99" customFormat="1">
      <c r="A13" s="99" t="s">
        <v>293</v>
      </c>
      <c r="B13" s="100" t="s">
        <v>294</v>
      </c>
      <c r="C13" s="124"/>
      <c r="D13" s="101">
        <v>308.33</v>
      </c>
      <c r="E13" s="101">
        <v>161</v>
      </c>
      <c r="F13" s="101"/>
      <c r="G13" s="101" t="s">
        <v>270</v>
      </c>
      <c r="H13" s="104">
        <v>4.9000000000000004</v>
      </c>
      <c r="I13" s="104">
        <v>2.7</v>
      </c>
      <c r="J13" s="104"/>
      <c r="K13" s="100"/>
      <c r="L13" s="100"/>
      <c r="M13" s="100"/>
      <c r="N13" s="100"/>
      <c r="O13" s="104"/>
      <c r="P13" s="104"/>
      <c r="Q13" s="104"/>
      <c r="R13" s="100"/>
      <c r="S13" s="112"/>
      <c r="T13" s="104">
        <v>-11.6</v>
      </c>
      <c r="U13" s="104"/>
      <c r="V13" s="112">
        <v>29.692178999999999</v>
      </c>
      <c r="W13" s="112"/>
      <c r="X13" s="104"/>
      <c r="Y13" s="100"/>
      <c r="Z13" s="112">
        <v>242</v>
      </c>
      <c r="AA13" s="18"/>
    </row>
    <row r="14" spans="1:27" s="99" customFormat="1" ht="15.75">
      <c r="B14" s="156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57"/>
      <c r="W14" s="112"/>
      <c r="X14" s="100"/>
      <c r="Y14" s="100"/>
      <c r="Z14" s="157"/>
      <c r="AA14" s="98"/>
    </row>
    <row r="15" spans="1:27" s="99" customFormat="1" ht="15.75">
      <c r="B15" s="156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57"/>
      <c r="W15" s="112"/>
      <c r="X15" s="104"/>
      <c r="Y15" s="100"/>
      <c r="Z15" s="157"/>
      <c r="AA15" s="18"/>
    </row>
    <row r="16" spans="1:27" s="99" customFormat="1" ht="15.75">
      <c r="B16" s="156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57"/>
      <c r="W16" s="112"/>
      <c r="X16" s="100"/>
      <c r="Y16" s="100"/>
      <c r="Z16" s="157"/>
      <c r="AA16" s="98"/>
    </row>
    <row r="17" spans="2:30" s="99" customFormat="1" ht="15.75">
      <c r="B17" s="156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57"/>
      <c r="W17" s="112"/>
      <c r="X17" s="104"/>
      <c r="Y17" s="100"/>
      <c r="Z17" s="157"/>
    </row>
    <row r="18" spans="2:30" s="99" customFormat="1" ht="15.75">
      <c r="B18" s="156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57"/>
      <c r="W18" s="112"/>
      <c r="X18" s="100"/>
      <c r="Y18" s="100"/>
      <c r="Z18" s="157"/>
      <c r="AA18" s="98"/>
    </row>
    <row r="19" spans="2:30" s="99" customFormat="1" ht="15.75">
      <c r="B19" s="156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57"/>
      <c r="W19" s="112"/>
      <c r="X19" s="104"/>
      <c r="Y19" s="100"/>
      <c r="Z19" s="157"/>
      <c r="AA19" s="109"/>
    </row>
    <row r="20" spans="2:30" s="99" customFormat="1" ht="15.75">
      <c r="B20" s="156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57"/>
      <c r="W20" s="112"/>
      <c r="X20" s="104"/>
      <c r="Y20" s="100"/>
      <c r="Z20" s="157"/>
      <c r="AD20" s="109"/>
    </row>
    <row r="21" spans="2:30" s="99" customFormat="1" ht="15.75">
      <c r="B21" s="156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57"/>
      <c r="W21" s="112"/>
      <c r="X21" s="104"/>
      <c r="Y21" s="100"/>
      <c r="Z21" s="157"/>
      <c r="AA21" s="109"/>
    </row>
    <row r="22" spans="2:30" s="99" customFormat="1" ht="15.75">
      <c r="B22" s="156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57"/>
      <c r="W22" s="112"/>
      <c r="X22" s="104"/>
      <c r="Y22" s="100"/>
      <c r="Z22" s="157"/>
    </row>
    <row r="23" spans="2:30" s="99" customFormat="1" ht="15.75">
      <c r="B23" s="156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57"/>
      <c r="W23" s="112"/>
      <c r="X23" s="104"/>
      <c r="Y23" s="100"/>
      <c r="Z23" s="157"/>
      <c r="AA23" s="128"/>
    </row>
    <row r="24" spans="2:30" s="99" customFormat="1" ht="15.75">
      <c r="B24" s="156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57"/>
      <c r="W24" s="112"/>
      <c r="X24" s="104"/>
      <c r="Y24" s="100"/>
      <c r="Z24" s="157"/>
    </row>
    <row r="25" spans="2:30" s="99" customFormat="1" ht="15.75">
      <c r="B25" s="156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57"/>
      <c r="W25" s="112"/>
      <c r="X25" s="104"/>
      <c r="Y25" s="100"/>
      <c r="Z25" s="157"/>
      <c r="AA25" s="18"/>
    </row>
    <row r="26" spans="2:30" s="99" customFormat="1" ht="15.75">
      <c r="B26" s="156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57"/>
      <c r="W26" s="112"/>
      <c r="X26" s="104"/>
      <c r="Y26" s="100"/>
      <c r="Z26" s="157"/>
      <c r="AA26" s="109"/>
      <c r="AD26" s="109"/>
    </row>
    <row r="27" spans="2:30" s="99" customFormat="1" ht="15.75">
      <c r="B27" s="156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57"/>
      <c r="W27" s="112"/>
      <c r="X27" s="104"/>
      <c r="Y27" s="100"/>
      <c r="Z27" s="157"/>
      <c r="AA27" s="109"/>
    </row>
    <row r="28" spans="2:30" s="99" customFormat="1" ht="15.75">
      <c r="B28" s="156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57"/>
      <c r="W28" s="112"/>
      <c r="X28" s="104"/>
      <c r="Y28" s="100"/>
      <c r="Z28" s="157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140</v>
      </c>
    </row>
    <row r="3" spans="1:10" ht="15.75">
      <c r="A3" s="57" t="s">
        <v>150</v>
      </c>
    </row>
    <row r="4" spans="1:10" ht="15.75">
      <c r="A4" s="98" t="s">
        <v>160</v>
      </c>
    </row>
    <row r="5" spans="1:10" ht="15.75">
      <c r="A5" s="98" t="s">
        <v>183</v>
      </c>
    </row>
    <row r="6" spans="1:10">
      <c r="A6" s="58"/>
    </row>
    <row r="7" spans="1:10" ht="16.5">
      <c r="A7" s="114" t="s">
        <v>215</v>
      </c>
      <c r="H7" s="115" t="s">
        <v>178</v>
      </c>
    </row>
    <row r="8" spans="1:10">
      <c r="A8" s="11" t="b">
        <v>1</v>
      </c>
    </row>
    <row r="9" spans="1:10">
      <c r="A9" s="11"/>
      <c r="H9" s="102" t="s">
        <v>179</v>
      </c>
      <c r="I9" s="103" t="s">
        <v>180</v>
      </c>
      <c r="J9" s="103" t="s">
        <v>181</v>
      </c>
    </row>
    <row r="10" spans="1:10" ht="15.75">
      <c r="A10" s="18" t="s">
        <v>43</v>
      </c>
      <c r="D10" s="17" t="s">
        <v>44</v>
      </c>
      <c r="H10" s="99" t="s">
        <v>184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238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185</v>
      </c>
      <c r="I12" s="3">
        <v>1</v>
      </c>
      <c r="J12" s="3">
        <v>1</v>
      </c>
    </row>
    <row r="13" spans="1:10" ht="15.75">
      <c r="D13" s="2" t="s">
        <v>42</v>
      </c>
      <c r="H13" s="99" t="s">
        <v>186</v>
      </c>
      <c r="I13" s="3">
        <v>0</v>
      </c>
      <c r="J13" s="3">
        <v>1</v>
      </c>
    </row>
    <row r="14" spans="1:10" ht="15.75">
      <c r="D14" s="11" t="s">
        <v>54</v>
      </c>
      <c r="H14" s="99" t="s">
        <v>182</v>
      </c>
      <c r="I14" s="3">
        <v>3.5</v>
      </c>
      <c r="J14" s="3">
        <v>3.5</v>
      </c>
    </row>
    <row r="16" spans="1:10" ht="15">
      <c r="A16" s="116" t="s">
        <v>49</v>
      </c>
      <c r="H16" s="115" t="s">
        <v>200</v>
      </c>
    </row>
    <row r="17" spans="1:11">
      <c r="A17" s="2" t="s">
        <v>50</v>
      </c>
    </row>
    <row r="18" spans="1:11">
      <c r="A18" s="11" t="s">
        <v>48</v>
      </c>
      <c r="H18" s="102" t="s">
        <v>179</v>
      </c>
      <c r="I18" s="103" t="s">
        <v>180</v>
      </c>
      <c r="J18" s="103" t="s">
        <v>181</v>
      </c>
    </row>
    <row r="19" spans="1:11">
      <c r="H19" s="99" t="s">
        <v>201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203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207</v>
      </c>
      <c r="I26" s="111"/>
    </row>
    <row r="27" spans="1:11">
      <c r="A27" s="11"/>
      <c r="H27" s="99" t="s">
        <v>164</v>
      </c>
      <c r="I27" s="100">
        <v>5.0999999999999996</v>
      </c>
    </row>
    <row r="28" spans="1:11" ht="15">
      <c r="A28" s="117" t="s">
        <v>163</v>
      </c>
      <c r="H28" s="99" t="s">
        <v>204</v>
      </c>
      <c r="I28" s="3">
        <v>6.7999999999999996E-3</v>
      </c>
      <c r="K28" s="3"/>
    </row>
    <row r="29" spans="1:11">
      <c r="A29" s="11" t="b">
        <v>1</v>
      </c>
      <c r="H29" s="99" t="s">
        <v>205</v>
      </c>
      <c r="I29" s="3">
        <v>500</v>
      </c>
      <c r="J29" s="99" t="s">
        <v>206</v>
      </c>
    </row>
    <row r="31" spans="1:11">
      <c r="A31" s="18" t="s">
        <v>43</v>
      </c>
      <c r="B31" s="99" t="s">
        <v>161</v>
      </c>
    </row>
    <row r="33" spans="1:2">
      <c r="A33" s="18" t="s">
        <v>44</v>
      </c>
      <c r="B33" s="99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.75">
      <c r="A1" s="48" t="s">
        <v>130</v>
      </c>
    </row>
    <row r="2" spans="1:15" ht="15.75">
      <c r="A2" s="48"/>
    </row>
    <row r="3" spans="1:15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3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3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5" thickBot="1">
      <c r="A16" s="99" t="s">
        <v>228</v>
      </c>
      <c r="B16" s="100">
        <v>12</v>
      </c>
      <c r="C16" s="149">
        <v>6.4</v>
      </c>
      <c r="D16" s="150">
        <v>32</v>
      </c>
      <c r="E16" s="150">
        <v>360</v>
      </c>
      <c r="F16" s="148" t="s">
        <v>105</v>
      </c>
      <c r="G16" s="150">
        <v>220</v>
      </c>
      <c r="H16" s="150">
        <v>20000</v>
      </c>
      <c r="I16" s="49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132</v>
      </c>
      <c r="B1" s="75"/>
      <c r="F1" s="74" t="s">
        <v>131</v>
      </c>
      <c r="I1" s="76"/>
    </row>
    <row r="2" spans="1:13" ht="13.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5" thickBot="1">
      <c r="A6" s="76" t="s">
        <v>113</v>
      </c>
      <c r="B6" s="85">
        <f>VLOOKUP($B$3,'Well Plate Characteristics'!A5:G16,7,)</f>
        <v>220</v>
      </c>
      <c r="C6" s="75" t="s">
        <v>99</v>
      </c>
      <c r="F6" s="76" t="s">
        <v>133</v>
      </c>
      <c r="G6" s="86">
        <v>1</v>
      </c>
      <c r="I6" s="76"/>
    </row>
    <row r="7" spans="1:13" ht="13.5" thickBot="1">
      <c r="B7" s="87"/>
      <c r="I7" s="76"/>
    </row>
    <row r="8" spans="1:13" ht="13.5" thickBot="1">
      <c r="A8" s="76" t="s">
        <v>114</v>
      </c>
      <c r="B8" s="143">
        <v>7000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58">
        <f>K9*B6*K16/(1/0.733)/1000</f>
        <v>7.740480000000001E-2</v>
      </c>
      <c r="C9" s="75" t="s">
        <v>99</v>
      </c>
      <c r="F9" s="76" t="s">
        <v>68</v>
      </c>
      <c r="G9" s="159">
        <v>1E-3</v>
      </c>
      <c r="H9" s="75" t="s">
        <v>55</v>
      </c>
      <c r="I9" s="76"/>
      <c r="J9" s="76" t="s">
        <v>157</v>
      </c>
      <c r="K9" s="132">
        <v>0.02</v>
      </c>
      <c r="L9" s="76" t="s">
        <v>26</v>
      </c>
      <c r="M9" s="78" t="s">
        <v>147</v>
      </c>
    </row>
    <row r="10" spans="1:13" ht="18">
      <c r="A10" s="76" t="s">
        <v>115</v>
      </c>
      <c r="B10" s="158">
        <f>K9*B6*K17/1000</f>
        <v>8.3599999999999994E-3</v>
      </c>
      <c r="C10" s="75" t="s">
        <v>99</v>
      </c>
      <c r="F10" s="76" t="s">
        <v>69</v>
      </c>
      <c r="G10" s="160">
        <v>8.9999999999999993E-3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5" thickBot="1">
      <c r="A11" s="76" t="s">
        <v>20</v>
      </c>
      <c r="B11" s="158">
        <f>K10*B6/1000/1000/K11</f>
        <v>0</v>
      </c>
      <c r="C11" s="75" t="s">
        <v>99</v>
      </c>
      <c r="F11" s="76" t="s">
        <v>145</v>
      </c>
      <c r="G11" s="16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5" thickBot="1">
      <c r="A12" s="76" t="s">
        <v>22</v>
      </c>
      <c r="B12" s="162">
        <f>G13/1000000/G12*1000000</f>
        <v>0.14599999999999999</v>
      </c>
      <c r="C12" s="75" t="s">
        <v>99</v>
      </c>
      <c r="F12" s="76" t="s">
        <v>45</v>
      </c>
      <c r="G12" s="160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116</v>
      </c>
      <c r="D13" s="76"/>
      <c r="E13" s="76"/>
      <c r="F13" s="76" t="s">
        <v>19</v>
      </c>
      <c r="G13" s="89">
        <v>0.14599999999999999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164</v>
      </c>
      <c r="G14" s="88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6.6363636363636364E-4</v>
      </c>
      <c r="K21" s="76" t="s">
        <v>125</v>
      </c>
      <c r="M21" s="75"/>
    </row>
    <row r="22" spans="1:13" ht="13.5" thickBot="1">
      <c r="A22" s="75"/>
      <c r="C22" s="76"/>
      <c r="F22" s="99" t="s">
        <v>164</v>
      </c>
      <c r="G22" s="88">
        <v>7.4</v>
      </c>
      <c r="J22" s="92">
        <f>B12*(G9+G10)/B6</f>
        <v>6.636363636363635E-6</v>
      </c>
      <c r="K22" s="78" t="s">
        <v>126</v>
      </c>
      <c r="L22" s="93"/>
    </row>
    <row r="23" spans="1:13">
      <c r="A23" s="74" t="s">
        <v>142</v>
      </c>
      <c r="B23" s="75"/>
      <c r="C23" s="93"/>
      <c r="D23" s="76"/>
      <c r="E23" s="76"/>
      <c r="F23" s="74" t="s">
        <v>136</v>
      </c>
      <c r="J23" s="92">
        <f>B10/B6</f>
        <v>3.7999999999999995E-5</v>
      </c>
      <c r="K23" s="76" t="s">
        <v>127</v>
      </c>
    </row>
    <row r="24" spans="1:13" ht="13.5" thickBot="1">
      <c r="A24" s="76" t="s">
        <v>143</v>
      </c>
      <c r="B24" s="93"/>
      <c r="C24" s="93"/>
      <c r="D24" s="76"/>
      <c r="E24" s="76"/>
      <c r="F24" s="76" t="s">
        <v>138</v>
      </c>
      <c r="G24" s="75" t="b">
        <v>0</v>
      </c>
      <c r="I24" s="76"/>
      <c r="J24" s="94">
        <f>B9/B6</f>
        <v>3.5184000000000002E-4</v>
      </c>
      <c r="K24" s="76" t="s">
        <v>128</v>
      </c>
    </row>
    <row r="25" spans="1:13">
      <c r="C25" s="93"/>
      <c r="F25" s="76" t="s">
        <v>137</v>
      </c>
    </row>
    <row r="26" spans="1:13">
      <c r="B26" s="75"/>
      <c r="F26" s="95" t="s">
        <v>152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G28" s="75"/>
      <c r="H28" s="75"/>
      <c r="J28" s="96"/>
    </row>
    <row r="29" spans="1:13">
      <c r="B29" s="99"/>
      <c r="C29" s="151"/>
      <c r="J29" s="96"/>
    </row>
    <row r="30" spans="1:13">
      <c r="B30" s="99"/>
      <c r="E30" s="100"/>
    </row>
    <row r="31" spans="1:13">
      <c r="D31" s="100"/>
      <c r="E31" s="100"/>
    </row>
    <row r="32" spans="1:13">
      <c r="B32" s="99"/>
      <c r="D32" s="100"/>
      <c r="E32" s="100"/>
    </row>
    <row r="33" spans="2:5">
      <c r="B33" s="152"/>
      <c r="D33" s="100"/>
      <c r="E33" s="100"/>
    </row>
    <row r="34" spans="2:5">
      <c r="C34" s="100"/>
      <c r="D34" s="100"/>
    </row>
    <row r="35" spans="2:5">
      <c r="C35" s="100"/>
      <c r="D35" s="100"/>
    </row>
    <row r="36" spans="2:5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3" sqref="N1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5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271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2.0256448818305948E-4</v>
      </c>
      <c r="J2" s="67" t="s">
        <v>231</v>
      </c>
      <c r="K2" s="68">
        <v>2.2261515106553929</v>
      </c>
      <c r="L2" s="67" t="s">
        <v>272</v>
      </c>
      <c r="M2" s="68">
        <v>2.8393474023438547</v>
      </c>
      <c r="N2" s="67" t="s">
        <v>231</v>
      </c>
      <c r="P2" s="106" t="s">
        <v>188</v>
      </c>
    </row>
    <row r="3" spans="1:17">
      <c r="A3" s="65" t="s">
        <v>273</v>
      </c>
      <c r="B3" s="66" t="s">
        <v>295</v>
      </c>
      <c r="D3" s="66" t="s">
        <v>306</v>
      </c>
      <c r="E3" s="129">
        <v>5.34</v>
      </c>
      <c r="F3" s="67" t="s">
        <v>231</v>
      </c>
      <c r="G3" s="67" t="s">
        <v>231</v>
      </c>
      <c r="H3" s="67" t="s">
        <v>231</v>
      </c>
      <c r="I3" s="68">
        <v>7.8723909746957841E-3</v>
      </c>
      <c r="J3" s="67" t="s">
        <v>231</v>
      </c>
      <c r="K3" s="68">
        <v>2.9597633988378957</v>
      </c>
      <c r="L3" s="67" t="s">
        <v>232</v>
      </c>
      <c r="M3" s="68">
        <v>227.01225803079905</v>
      </c>
      <c r="N3" s="67" t="s">
        <v>232</v>
      </c>
      <c r="P3" s="106" t="s">
        <v>189</v>
      </c>
    </row>
    <row r="4" spans="1:17">
      <c r="A4" s="65" t="s">
        <v>275</v>
      </c>
      <c r="B4" s="66" t="s">
        <v>296</v>
      </c>
      <c r="D4" s="66" t="s">
        <v>306</v>
      </c>
      <c r="E4" s="129">
        <v>8.4</v>
      </c>
      <c r="F4" s="67" t="s">
        <v>231</v>
      </c>
      <c r="G4" s="67" t="s">
        <v>231</v>
      </c>
      <c r="H4" s="67" t="s">
        <v>231</v>
      </c>
      <c r="I4" s="68">
        <v>1.107845012395491E-3</v>
      </c>
      <c r="J4" s="67" t="s">
        <v>231</v>
      </c>
      <c r="K4" s="68">
        <v>0.20457096193014809</v>
      </c>
      <c r="L4" s="67" t="s">
        <v>231</v>
      </c>
      <c r="M4" s="68">
        <v>0.3828718970888732</v>
      </c>
      <c r="N4" s="67" t="s">
        <v>231</v>
      </c>
    </row>
    <row r="5" spans="1:17">
      <c r="A5" s="65" t="s">
        <v>277</v>
      </c>
      <c r="B5" s="66" t="s">
        <v>297</v>
      </c>
      <c r="D5" s="66" t="s">
        <v>306</v>
      </c>
      <c r="E5" s="129">
        <v>9.68</v>
      </c>
      <c r="F5" s="67" t="s">
        <v>231</v>
      </c>
      <c r="G5" s="67" t="s">
        <v>231</v>
      </c>
      <c r="H5" s="67" t="s">
        <v>231</v>
      </c>
      <c r="I5" s="68">
        <v>4.9733094764204718E-6</v>
      </c>
      <c r="J5" s="67" t="s">
        <v>231</v>
      </c>
      <c r="K5" s="68">
        <v>0.66707031913453363</v>
      </c>
      <c r="L5" s="67" t="s">
        <v>231</v>
      </c>
      <c r="M5" s="68">
        <v>11.186632756821128</v>
      </c>
      <c r="N5" s="67" t="s">
        <v>231</v>
      </c>
      <c r="P5" s="106" t="s">
        <v>190</v>
      </c>
    </row>
    <row r="6" spans="1:17">
      <c r="A6" s="65" t="s">
        <v>279</v>
      </c>
      <c r="B6" s="66" t="s">
        <v>298</v>
      </c>
      <c r="D6" s="66" t="s">
        <v>306</v>
      </c>
      <c r="E6" s="129">
        <v>8.98</v>
      </c>
      <c r="F6" s="67" t="s">
        <v>231</v>
      </c>
      <c r="G6" s="67" t="s">
        <v>231</v>
      </c>
      <c r="H6" s="67" t="s">
        <v>231</v>
      </c>
      <c r="I6" s="68">
        <v>2.3803033412009332E-4</v>
      </c>
      <c r="J6" s="67" t="s">
        <v>231</v>
      </c>
      <c r="K6" s="68">
        <v>0.8727279882273884</v>
      </c>
      <c r="L6" s="67" t="s">
        <v>231</v>
      </c>
      <c r="M6" s="68">
        <v>20.755522529960366</v>
      </c>
      <c r="N6" s="67" t="s">
        <v>232</v>
      </c>
      <c r="P6" s="106" t="s">
        <v>191</v>
      </c>
    </row>
    <row r="7" spans="1:17">
      <c r="A7" s="65" t="s">
        <v>281</v>
      </c>
      <c r="B7" s="66" t="s">
        <v>299</v>
      </c>
      <c r="D7" s="66" t="s">
        <v>306</v>
      </c>
      <c r="E7" s="129">
        <v>9.42</v>
      </c>
      <c r="F7" s="67" t="s">
        <v>231</v>
      </c>
      <c r="G7" s="67" t="s">
        <v>231</v>
      </c>
      <c r="H7" s="67" t="s">
        <v>231</v>
      </c>
      <c r="I7" s="68">
        <v>3.4699666919353613E-6</v>
      </c>
      <c r="J7" s="67" t="s">
        <v>231</v>
      </c>
      <c r="K7" s="68">
        <v>0.29289344014460367</v>
      </c>
      <c r="L7" s="67" t="s">
        <v>231</v>
      </c>
      <c r="M7" s="68">
        <v>6.7501224181377122</v>
      </c>
      <c r="N7" s="67" t="s">
        <v>231</v>
      </c>
      <c r="P7" s="106" t="s">
        <v>192</v>
      </c>
    </row>
    <row r="8" spans="1:17" ht="18">
      <c r="A8" s="65" t="s">
        <v>283</v>
      </c>
      <c r="B8" s="66" t="s">
        <v>300</v>
      </c>
      <c r="D8" s="66" t="s">
        <v>270</v>
      </c>
      <c r="E8" s="129">
        <v>4.1500000000000004</v>
      </c>
      <c r="F8" s="67" t="s">
        <v>231</v>
      </c>
      <c r="G8" s="67" t="s">
        <v>231</v>
      </c>
      <c r="H8" s="67" t="s">
        <v>231</v>
      </c>
      <c r="I8" s="68">
        <v>1.7239467551176835E-7</v>
      </c>
      <c r="J8" s="67" t="s">
        <v>231</v>
      </c>
      <c r="K8" s="68">
        <v>1.9172584825121633E-3</v>
      </c>
      <c r="L8" s="67" t="s">
        <v>231</v>
      </c>
      <c r="M8" s="68">
        <v>1.2533511588137959E-3</v>
      </c>
      <c r="N8" s="67" t="s">
        <v>231</v>
      </c>
      <c r="P8" s="106" t="s">
        <v>193</v>
      </c>
    </row>
    <row r="9" spans="1:17" ht="18">
      <c r="A9" s="65" t="s">
        <v>285</v>
      </c>
      <c r="B9" s="66" t="s">
        <v>301</v>
      </c>
      <c r="D9" s="66" t="s">
        <v>270</v>
      </c>
      <c r="E9" s="129">
        <v>2.9</v>
      </c>
      <c r="F9" s="67" t="s">
        <v>231</v>
      </c>
      <c r="G9" s="67" t="s">
        <v>231</v>
      </c>
      <c r="H9" s="67" t="s">
        <v>231</v>
      </c>
      <c r="I9" s="68">
        <v>1.5999118644918301E-8</v>
      </c>
      <c r="J9" s="67" t="s">
        <v>231</v>
      </c>
      <c r="K9" s="68">
        <v>7.4757532422148679E-2</v>
      </c>
      <c r="L9" s="67" t="s">
        <v>231</v>
      </c>
      <c r="M9" s="68">
        <v>3.72047193220628</v>
      </c>
      <c r="N9" s="67" t="s">
        <v>231</v>
      </c>
      <c r="P9" s="106" t="s">
        <v>194</v>
      </c>
    </row>
    <row r="10" spans="1:17">
      <c r="A10" s="65" t="s">
        <v>287</v>
      </c>
      <c r="B10" s="66" t="s">
        <v>302</v>
      </c>
      <c r="D10" s="66" t="s">
        <v>270</v>
      </c>
      <c r="E10" s="129">
        <v>4.1500000000000004</v>
      </c>
      <c r="F10" s="67" t="s">
        <v>231</v>
      </c>
      <c r="G10" s="67" t="s">
        <v>231</v>
      </c>
      <c r="H10" s="67" t="s">
        <v>231</v>
      </c>
      <c r="I10" s="68">
        <v>8.8867830349834428E-6</v>
      </c>
      <c r="J10" s="67" t="s">
        <v>231</v>
      </c>
      <c r="K10" s="68">
        <v>3.9312165594206055E-2</v>
      </c>
      <c r="L10" s="67" t="s">
        <v>231</v>
      </c>
      <c r="M10" s="68">
        <v>2.8658695275641302</v>
      </c>
      <c r="N10" s="67" t="s">
        <v>231</v>
      </c>
    </row>
    <row r="11" spans="1:17">
      <c r="A11" s="65" t="s">
        <v>289</v>
      </c>
      <c r="B11" s="66" t="s">
        <v>303</v>
      </c>
      <c r="D11" s="66" t="s">
        <v>270</v>
      </c>
      <c r="E11" s="129">
        <v>4.45</v>
      </c>
      <c r="F11" s="67" t="s">
        <v>231</v>
      </c>
      <c r="G11" s="67" t="s">
        <v>231</v>
      </c>
      <c r="H11" s="67" t="s">
        <v>231</v>
      </c>
      <c r="I11" s="68">
        <v>2.8698926271979831E-4</v>
      </c>
      <c r="J11" s="67" t="s">
        <v>231</v>
      </c>
      <c r="K11" s="68">
        <v>1.282991218224151</v>
      </c>
      <c r="L11" s="67" t="s">
        <v>232</v>
      </c>
      <c r="M11" s="68">
        <v>123.40934256761894</v>
      </c>
      <c r="N11" s="67" t="s">
        <v>232</v>
      </c>
      <c r="P11" s="15" t="s">
        <v>195</v>
      </c>
    </row>
    <row r="12" spans="1:17">
      <c r="A12" s="65" t="s">
        <v>291</v>
      </c>
      <c r="B12" s="66" t="s">
        <v>304</v>
      </c>
      <c r="D12" s="66" t="s">
        <v>270</v>
      </c>
      <c r="E12" s="129">
        <v>6.68</v>
      </c>
      <c r="F12" s="67" t="s">
        <v>231</v>
      </c>
      <c r="G12" s="67" t="s">
        <v>231</v>
      </c>
      <c r="H12" s="67" t="s">
        <v>231</v>
      </c>
      <c r="I12" s="68">
        <v>1.2459890481746696E-3</v>
      </c>
      <c r="J12" s="67" t="s">
        <v>231</v>
      </c>
      <c r="K12" s="68">
        <v>1.3040327426362235</v>
      </c>
      <c r="L12" s="67" t="s">
        <v>232</v>
      </c>
      <c r="M12" s="68">
        <v>112.61515027244792</v>
      </c>
      <c r="N12" s="67" t="s">
        <v>232</v>
      </c>
      <c r="P12" s="106" t="s">
        <v>196</v>
      </c>
      <c r="Q12" s="100">
        <f>COUNTIF(F2:F50000,"Yes")</f>
        <v>0</v>
      </c>
    </row>
    <row r="13" spans="1:17">
      <c r="A13" s="65" t="s">
        <v>293</v>
      </c>
      <c r="B13" s="66" t="s">
        <v>305</v>
      </c>
      <c r="D13" s="66" t="s">
        <v>270</v>
      </c>
      <c r="E13" s="129">
        <v>4.9000000000000004</v>
      </c>
      <c r="F13" s="67" t="s">
        <v>231</v>
      </c>
      <c r="G13" s="67" t="s">
        <v>231</v>
      </c>
      <c r="H13" s="67" t="s">
        <v>231</v>
      </c>
      <c r="I13" s="68">
        <v>3.8908860949440953E-4</v>
      </c>
      <c r="J13" s="67" t="s">
        <v>231</v>
      </c>
      <c r="K13" s="68">
        <v>0.34161934618777401</v>
      </c>
      <c r="L13" s="67" t="s">
        <v>231</v>
      </c>
      <c r="M13" s="68">
        <v>14.904926090750324</v>
      </c>
      <c r="N13" s="67" t="s">
        <v>231</v>
      </c>
      <c r="P13" s="106" t="s">
        <v>192</v>
      </c>
      <c r="Q13" s="100">
        <f>COUNTIF(J2:J50000,"Yes")</f>
        <v>0</v>
      </c>
    </row>
    <row r="14" spans="1:17" ht="15.75">
      <c r="P14" s="106" t="s">
        <v>229</v>
      </c>
      <c r="Q14" s="100">
        <f>COUNTIF(N2:N50000,"Yes")</f>
        <v>4</v>
      </c>
    </row>
    <row r="15" spans="1:17" ht="15.75">
      <c r="P15" s="106" t="s">
        <v>230</v>
      </c>
      <c r="Q15" s="100">
        <f>COUNTIF(M2:M50000,"&gt;=60")</f>
        <v>3</v>
      </c>
    </row>
    <row r="16" spans="1:17">
      <c r="P16" s="106" t="s">
        <v>197</v>
      </c>
      <c r="Q16" s="100">
        <f>COUNTIF(G2:G50000,"Yes")</f>
        <v>0</v>
      </c>
    </row>
    <row r="17" spans="16:18">
      <c r="Q17" s="100">
        <f>COUNT(I2:I50000)</f>
        <v>12</v>
      </c>
      <c r="R17" s="108"/>
    </row>
    <row r="18" spans="16:18">
      <c r="R18" s="108"/>
    </row>
    <row r="19" spans="16:18">
      <c r="P19" s="106" t="s">
        <v>198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7"/>
      <c r="Q47" s="127"/>
      <c r="R47" s="127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7"/>
      <c r="Q48" s="127"/>
      <c r="R48" s="127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7"/>
      <c r="Q49" s="127"/>
      <c r="R49" s="127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7"/>
      <c r="Q50" s="127"/>
      <c r="R50" s="127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7"/>
      <c r="Q51" s="127"/>
      <c r="R51" s="127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7"/>
      <c r="Q52" s="127"/>
      <c r="R52" s="127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25"/>
  <sheetViews>
    <sheetView tabSelected="1" workbookViewId="0">
      <pane ySplit="1" topLeftCell="A2" activePane="bottomLeft" state="frozen"/>
      <selection pane="bottomLeft" activeCell="G8" activeCellId="1" sqref="G2:G3 G8:G1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6" width="8.140625" style="14" customWidth="1"/>
    <col min="7" max="7" width="8.140625" style="108" customWidth="1"/>
    <col min="8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2.75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55" t="s">
        <v>262</v>
      </c>
      <c r="M1" s="155" t="s">
        <v>263</v>
      </c>
      <c r="N1" s="154" t="s">
        <v>233</v>
      </c>
      <c r="O1" s="43" t="s">
        <v>266</v>
      </c>
      <c r="P1" s="43" t="str">
        <f>"---&gt;ng/g"</f>
        <v>---&gt;ng/g</v>
      </c>
      <c r="Q1" s="110" t="s">
        <v>32</v>
      </c>
      <c r="R1" s="56" t="s">
        <v>141</v>
      </c>
      <c r="S1" s="37"/>
      <c r="T1" s="6" t="s">
        <v>17</v>
      </c>
      <c r="U1" s="99" t="s">
        <v>256</v>
      </c>
    </row>
    <row r="2" spans="1:21">
      <c r="A2" s="2" t="s">
        <v>269</v>
      </c>
      <c r="B2" s="16" t="s">
        <v>271</v>
      </c>
      <c r="D2" s="14">
        <v>2440</v>
      </c>
      <c r="E2" s="14">
        <v>2438.4087658799713</v>
      </c>
      <c r="F2" s="14">
        <v>2439.1501352930291</v>
      </c>
      <c r="G2" s="108">
        <f t="shared" ref="G2:G13" si="0">F2/D2</f>
        <v>0.99965169479222504</v>
      </c>
      <c r="H2" s="14">
        <v>7.2534900667936608E-13</v>
      </c>
      <c r="I2" s="14">
        <v>424.93111508386966</v>
      </c>
      <c r="J2" s="14">
        <v>1578.9766356284865</v>
      </c>
      <c r="K2" s="14">
        <v>0</v>
      </c>
      <c r="L2" s="14">
        <v>1.0003484265665625</v>
      </c>
      <c r="M2" s="14">
        <v>0.99965169479222504</v>
      </c>
      <c r="N2" s="14">
        <v>0.82021421557702068</v>
      </c>
      <c r="O2" s="14">
        <v>2226.1515106553929</v>
      </c>
      <c r="P2" s="14">
        <v>432296.36185417074</v>
      </c>
      <c r="Q2" s="8">
        <v>0.91235717649811188</v>
      </c>
      <c r="R2" s="54">
        <v>0.1821695156911787</v>
      </c>
      <c r="T2" s="99"/>
    </row>
    <row r="3" spans="1:21">
      <c r="A3" s="2" t="s">
        <v>273</v>
      </c>
      <c r="B3" s="16" t="s">
        <v>295</v>
      </c>
      <c r="D3" s="14">
        <v>439</v>
      </c>
      <c r="E3" s="14">
        <v>429.92439112444367</v>
      </c>
      <c r="F3" s="14">
        <v>407.34519716006361</v>
      </c>
      <c r="G3" s="108">
        <f t="shared" si="0"/>
        <v>0.92789338760834539</v>
      </c>
      <c r="H3" s="14">
        <v>2.2148530555511274E-13</v>
      </c>
      <c r="I3" s="14">
        <v>51843.524729261509</v>
      </c>
      <c r="J3" s="14">
        <v>118351.78092888312</v>
      </c>
      <c r="K3" s="14">
        <v>0</v>
      </c>
      <c r="L3" s="14">
        <v>1.0777100185803783</v>
      </c>
      <c r="M3" s="14">
        <v>0.92789338760834539</v>
      </c>
      <c r="N3" s="14">
        <v>0.76133652453264733</v>
      </c>
      <c r="O3" s="14">
        <v>2959.7633988378957</v>
      </c>
      <c r="P3" s="14">
        <v>757965.80880839669</v>
      </c>
      <c r="Q3" s="8">
        <v>6.7420578561227691</v>
      </c>
      <c r="R3" s="54">
        <v>11.378232334508635</v>
      </c>
      <c r="T3" s="106"/>
      <c r="U3" s="22"/>
    </row>
    <row r="4" spans="1:21">
      <c r="A4" s="2" t="s">
        <v>275</v>
      </c>
      <c r="B4" s="16" t="s">
        <v>296</v>
      </c>
      <c r="D4" s="14">
        <v>211</v>
      </c>
      <c r="E4" s="14">
        <v>210.86147150656316</v>
      </c>
      <c r="F4" s="14">
        <v>210.93398778039185</v>
      </c>
      <c r="G4" s="108">
        <f t="shared" si="0"/>
        <v>0.99968714587863439</v>
      </c>
      <c r="H4" s="14">
        <v>1.7744442771305124E-13</v>
      </c>
      <c r="I4" s="14">
        <v>23.327267723684667</v>
      </c>
      <c r="J4" s="14">
        <v>39.651739256671128</v>
      </c>
      <c r="K4" s="14">
        <v>0</v>
      </c>
      <c r="L4" s="14">
        <v>1.0003129520296981</v>
      </c>
      <c r="M4" s="14">
        <v>0.99968714587863428</v>
      </c>
      <c r="N4" s="14">
        <v>0.82024330319341943</v>
      </c>
      <c r="O4" s="14">
        <v>204.57096193014809</v>
      </c>
      <c r="P4" s="14">
        <v>56747.984839423072</v>
      </c>
      <c r="Q4" s="8">
        <v>0.96953062526136535</v>
      </c>
      <c r="R4" s="54">
        <v>4.4193891149141634E-3</v>
      </c>
      <c r="T4" s="99"/>
    </row>
    <row r="5" spans="1:21">
      <c r="A5" s="2" t="s">
        <v>277</v>
      </c>
      <c r="B5" s="16" t="s">
        <v>297</v>
      </c>
      <c r="D5" s="14">
        <v>231</v>
      </c>
      <c r="E5" s="14">
        <v>230.55254331312489</v>
      </c>
      <c r="F5" s="14">
        <v>230.44558196221206</v>
      </c>
      <c r="G5" s="108">
        <f t="shared" si="0"/>
        <v>0.99759992191433788</v>
      </c>
      <c r="H5" s="14">
        <v>1.0358661086495288E-16</v>
      </c>
      <c r="I5" s="14">
        <v>551.17472750243712</v>
      </c>
      <c r="J5" s="14">
        <v>75.603696329420316</v>
      </c>
      <c r="K5" s="14">
        <v>0</v>
      </c>
      <c r="L5" s="14">
        <v>1.0024058523190904</v>
      </c>
      <c r="M5" s="14">
        <v>0.99759992191433788</v>
      </c>
      <c r="N5" s="14">
        <v>0.81853073593071424</v>
      </c>
      <c r="O5" s="14">
        <v>667.07031913453363</v>
      </c>
      <c r="P5" s="14">
        <v>178347.92052380892</v>
      </c>
      <c r="Q5" s="8">
        <v>2.8877502992836956</v>
      </c>
      <c r="R5" s="54">
        <v>7.6233003183544161E-3</v>
      </c>
      <c r="T5" s="99"/>
    </row>
    <row r="6" spans="1:21">
      <c r="A6" s="2" t="s">
        <v>279</v>
      </c>
      <c r="B6" s="16" t="s">
        <v>298</v>
      </c>
      <c r="D6" s="14">
        <v>36</v>
      </c>
      <c r="E6" s="14">
        <v>35.384227868675922</v>
      </c>
      <c r="F6" s="14">
        <v>34.885358339083204</v>
      </c>
      <c r="G6" s="108">
        <f t="shared" si="0"/>
        <v>0.96903773164120011</v>
      </c>
      <c r="H6" s="14">
        <v>6.2049203799009162E-14</v>
      </c>
      <c r="I6" s="14">
        <v>1389.0577152896817</v>
      </c>
      <c r="J6" s="14">
        <v>624.82029316064938</v>
      </c>
      <c r="K6" s="14">
        <v>0</v>
      </c>
      <c r="L6" s="14">
        <v>1.0319515611702352</v>
      </c>
      <c r="M6" s="14">
        <v>0.96903773164120022</v>
      </c>
      <c r="N6" s="14">
        <v>0.79509545881160482</v>
      </c>
      <c r="O6" s="14">
        <v>872.72798822738844</v>
      </c>
      <c r="P6" s="14">
        <v>222851.09179386363</v>
      </c>
      <c r="Q6" s="8">
        <v>24.242444117427453</v>
      </c>
      <c r="R6" s="54">
        <v>5.8553805568523944E-2</v>
      </c>
      <c r="T6" s="99"/>
    </row>
    <row r="7" spans="1:21">
      <c r="A7" s="2" t="s">
        <v>281</v>
      </c>
      <c r="B7" s="16" t="s">
        <v>299</v>
      </c>
      <c r="D7" s="14">
        <v>18.399999999999999</v>
      </c>
      <c r="E7" s="14">
        <v>18.200965907240899</v>
      </c>
      <c r="F7" s="14">
        <v>18.066254684416482</v>
      </c>
      <c r="G7" s="108">
        <f t="shared" si="0"/>
        <v>0.98186166763133065</v>
      </c>
      <c r="H7" s="14">
        <v>1.4553545726432282E-16</v>
      </c>
      <c r="I7" s="14">
        <v>394.41408438637581</v>
      </c>
      <c r="J7" s="14">
        <v>78.513686844408468</v>
      </c>
      <c r="K7" s="14">
        <v>0</v>
      </c>
      <c r="L7" s="14">
        <v>1.0184734092048087</v>
      </c>
      <c r="M7" s="14">
        <v>0.98186166763133065</v>
      </c>
      <c r="N7" s="14">
        <v>0.80561749829150675</v>
      </c>
      <c r="O7" s="14">
        <v>292.89344014460369</v>
      </c>
      <c r="P7" s="14">
        <v>75958.984767101501</v>
      </c>
      <c r="Q7" s="8">
        <v>15.91812174698933</v>
      </c>
      <c r="R7" s="54">
        <v>7.4549609246682552E-3</v>
      </c>
    </row>
    <row r="8" spans="1:21">
      <c r="A8" s="2" t="s">
        <v>283</v>
      </c>
      <c r="B8" s="16" t="s">
        <v>300</v>
      </c>
      <c r="D8" s="14">
        <v>2.12</v>
      </c>
      <c r="E8" s="14">
        <v>2.118727147423038</v>
      </c>
      <c r="F8" s="14">
        <v>2.1186621646330885</v>
      </c>
      <c r="G8" s="108">
        <f t="shared" si="0"/>
        <v>0.99936894558164546</v>
      </c>
      <c r="H8" s="14">
        <v>2.8427982901758444E-18</v>
      </c>
      <c r="I8" s="14">
        <v>2.5314054510698449</v>
      </c>
      <c r="J8" s="14">
        <v>7.1672185729065264E-3</v>
      </c>
      <c r="K8" s="14">
        <v>0</v>
      </c>
      <c r="L8" s="14">
        <v>1.0006314528994966</v>
      </c>
      <c r="M8" s="14">
        <v>0.99936894558164557</v>
      </c>
      <c r="N8" s="14">
        <v>0.81998221984974018</v>
      </c>
      <c r="O8" s="14">
        <v>1.9172584825121632</v>
      </c>
      <c r="P8" s="14">
        <v>567.79609959597713</v>
      </c>
      <c r="Q8" s="8">
        <v>0.90436720873215248</v>
      </c>
      <c r="R8" s="54">
        <v>7.8406243862946877E-7</v>
      </c>
    </row>
    <row r="9" spans="1:21">
      <c r="A9" s="2" t="s">
        <v>285</v>
      </c>
      <c r="B9" s="16" t="s">
        <v>301</v>
      </c>
      <c r="D9" s="14">
        <v>49.2</v>
      </c>
      <c r="E9" s="14">
        <v>49.149910942947017</v>
      </c>
      <c r="F9" s="14">
        <v>45.43088838585718</v>
      </c>
      <c r="G9" s="108">
        <f t="shared" si="0"/>
        <v>0.92339204036295075</v>
      </c>
      <c r="H9" s="14">
        <v>3.2955354195740239E-16</v>
      </c>
      <c r="I9" s="14">
        <v>10619.675083026219</v>
      </c>
      <c r="J9" s="14">
        <v>8.0750896378045685</v>
      </c>
      <c r="K9" s="14">
        <v>0</v>
      </c>
      <c r="L9" s="14">
        <v>1.0829636343918858</v>
      </c>
      <c r="M9" s="14">
        <v>0.92339204036295075</v>
      </c>
      <c r="N9" s="14">
        <v>0.75764316911780105</v>
      </c>
      <c r="O9" s="14">
        <v>74.757532422148671</v>
      </c>
      <c r="P9" s="14">
        <v>16524.404966591741</v>
      </c>
      <c r="Q9" s="8">
        <v>1.5194620411005828</v>
      </c>
      <c r="R9" s="54">
        <v>7.6356735380515124E-4</v>
      </c>
    </row>
    <row r="10" spans="1:21">
      <c r="A10" s="2" t="s">
        <v>287</v>
      </c>
      <c r="B10" s="16" t="s">
        <v>302</v>
      </c>
      <c r="D10" s="14">
        <v>17.7</v>
      </c>
      <c r="E10" s="14">
        <v>17.673019326354023</v>
      </c>
      <c r="F10" s="14">
        <v>14.640818566548795</v>
      </c>
      <c r="G10" s="108">
        <f t="shared" si="0"/>
        <v>0.82716489076546862</v>
      </c>
      <c r="H10" s="14">
        <v>5.2255221545799434E-18</v>
      </c>
      <c r="I10" s="14">
        <v>8632.6743581385872</v>
      </c>
      <c r="J10" s="14">
        <v>15.478693361373873</v>
      </c>
      <c r="K10" s="14">
        <v>0</v>
      </c>
      <c r="L10" s="14">
        <v>1.2089487974696165</v>
      </c>
      <c r="M10" s="14">
        <v>0.82716489076546862</v>
      </c>
      <c r="N10" s="14">
        <v>0.67868879287306705</v>
      </c>
      <c r="O10" s="14">
        <v>39.312165594206057</v>
      </c>
      <c r="P10" s="14">
        <v>9052.0192497218868</v>
      </c>
      <c r="Q10" s="8">
        <v>2.2210263047574044</v>
      </c>
      <c r="R10" s="54">
        <v>1.4267053729542704E-3</v>
      </c>
    </row>
    <row r="11" spans="1:21">
      <c r="A11" s="2" t="s">
        <v>289</v>
      </c>
      <c r="B11" s="16" t="s">
        <v>303</v>
      </c>
      <c r="D11" s="14">
        <v>316</v>
      </c>
      <c r="E11" s="14">
        <v>315.08919228328489</v>
      </c>
      <c r="F11" s="14">
        <v>173.06676155756247</v>
      </c>
      <c r="G11" s="108">
        <f t="shared" si="0"/>
        <v>0.54767962518215973</v>
      </c>
      <c r="H11" s="14">
        <v>3.2646388281454773E-13</v>
      </c>
      <c r="I11" s="14">
        <v>403732.45925492182</v>
      </c>
      <c r="J11" s="14">
        <v>1070.2791525338218</v>
      </c>
      <c r="K11" s="14">
        <v>0</v>
      </c>
      <c r="L11" s="14">
        <v>1.8258849773120505</v>
      </c>
      <c r="M11" s="14">
        <v>0.54767962518215973</v>
      </c>
      <c r="N11" s="14">
        <v>0.44937113246196209</v>
      </c>
      <c r="O11" s="14">
        <v>1282.991218224151</v>
      </c>
      <c r="P11" s="14">
        <v>264655.42849527788</v>
      </c>
      <c r="Q11" s="8">
        <v>4.0600987918485796</v>
      </c>
      <c r="R11" s="54">
        <v>9.4972324141234091E-2</v>
      </c>
    </row>
    <row r="12" spans="1:21">
      <c r="A12" s="2" t="s">
        <v>291</v>
      </c>
      <c r="B12" s="16" t="s">
        <v>304</v>
      </c>
      <c r="D12" s="14">
        <v>184</v>
      </c>
      <c r="E12" s="14">
        <v>180.84252201073028</v>
      </c>
      <c r="F12" s="14">
        <v>134.49235082451179</v>
      </c>
      <c r="G12" s="108">
        <f t="shared" si="0"/>
        <v>0.73093668926365107</v>
      </c>
      <c r="H12" s="14">
        <v>2.9984710910923621E-20</v>
      </c>
      <c r="I12" s="14">
        <v>127531.53435407524</v>
      </c>
      <c r="J12" s="14">
        <v>40313.332555949441</v>
      </c>
      <c r="K12" s="14">
        <v>0</v>
      </c>
      <c r="L12" s="14">
        <v>1.3681075456855292</v>
      </c>
      <c r="M12" s="14">
        <v>0.73093668926365107</v>
      </c>
      <c r="N12" s="14">
        <v>0.59973355354082569</v>
      </c>
      <c r="O12" s="14">
        <v>1304.0327426362235</v>
      </c>
      <c r="P12" s="14">
        <v>454351.08818931301</v>
      </c>
      <c r="Q12" s="8">
        <v>7.0871344708490405</v>
      </c>
      <c r="R12" s="54">
        <v>3.6673191070126907</v>
      </c>
    </row>
    <row r="13" spans="1:21">
      <c r="A13" s="2" t="s">
        <v>293</v>
      </c>
      <c r="B13" s="16" t="s">
        <v>305</v>
      </c>
      <c r="D13" s="14">
        <v>242</v>
      </c>
      <c r="E13" s="14">
        <v>241.75467426076284</v>
      </c>
      <c r="F13" s="14">
        <v>227.61338151057325</v>
      </c>
      <c r="G13" s="108">
        <f t="shared" si="0"/>
        <v>0.94055116326683164</v>
      </c>
      <c r="H13" s="14">
        <v>4.9631235413700656E-18</v>
      </c>
      <c r="I13" s="14">
        <v>40410.83189310829</v>
      </c>
      <c r="J13" s="14">
        <v>312.59098859049152</v>
      </c>
      <c r="K13" s="14">
        <v>0</v>
      </c>
      <c r="L13" s="14">
        <v>1.0632063826561904</v>
      </c>
      <c r="M13" s="14">
        <v>0.94055116326683164</v>
      </c>
      <c r="N13" s="14">
        <v>0.77172222946043534</v>
      </c>
      <c r="O13" s="14">
        <v>341.619346187774</v>
      </c>
      <c r="P13" s="14">
        <v>105331.49301007636</v>
      </c>
      <c r="Q13" s="8">
        <v>1.4116501908585704</v>
      </c>
      <c r="R13" s="54">
        <v>2.9783549483738056E-2</v>
      </c>
    </row>
    <row r="21" spans="21:22">
      <c r="U21" s="22"/>
    </row>
    <row r="22" spans="21:22">
      <c r="U22" s="22"/>
      <c r="V22" s="22"/>
    </row>
    <row r="23" spans="21:22">
      <c r="U23" s="22"/>
      <c r="V23" s="22"/>
    </row>
    <row r="24" spans="21:22">
      <c r="U24" s="22"/>
      <c r="V24" s="22"/>
    </row>
    <row r="25" spans="21:22">
      <c r="U25" s="22"/>
      <c r="V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15"/>
  <sheetViews>
    <sheetView workbookViewId="0">
      <pane ySplit="1" topLeftCell="A2" activePane="bottomLeft" state="frozen"/>
      <selection pane="bottomLeft" activeCell="I8" activeCellId="1" sqref="I2:I3 I8:I1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5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5">
      <c r="A2" s="2" t="s">
        <v>269</v>
      </c>
      <c r="B2" s="3" t="s">
        <v>271</v>
      </c>
      <c r="D2" s="20">
        <v>9.4587240066236275E-9</v>
      </c>
      <c r="E2" s="20">
        <v>0.9993478548688407</v>
      </c>
      <c r="F2" s="20">
        <v>6.1273673578323253E-5</v>
      </c>
      <c r="G2" s="20">
        <v>2.459061973519774E-5</v>
      </c>
      <c r="H2" s="20">
        <v>0</v>
      </c>
      <c r="I2" s="20">
        <v>0.99926199057552723</v>
      </c>
      <c r="J2" s="20">
        <v>6.054733989487469E-4</v>
      </c>
      <c r="K2" s="20">
        <v>4.6662273486469949E-5</v>
      </c>
      <c r="L2" s="20">
        <v>0</v>
      </c>
      <c r="N2" s="99"/>
    </row>
    <row r="3" spans="1:15">
      <c r="A3" s="2" t="s">
        <v>273</v>
      </c>
      <c r="B3" s="3" t="s">
        <v>295</v>
      </c>
      <c r="D3" s="20">
        <v>1.6052983421886408E-8</v>
      </c>
      <c r="E3" s="20">
        <v>0.97932663126296959</v>
      </c>
      <c r="F3" s="20">
        <v>4.1550400320599937E-2</v>
      </c>
      <c r="G3" s="20">
        <v>1.0244573292249563E-2</v>
      </c>
      <c r="H3" s="20">
        <v>0</v>
      </c>
      <c r="I3" s="20">
        <v>0.92753165765012013</v>
      </c>
      <c r="J3" s="20">
        <v>4.4742747590632917E-3</v>
      </c>
      <c r="K3" s="20">
        <v>1.6199077924983818E-2</v>
      </c>
      <c r="L3" s="20">
        <v>0</v>
      </c>
      <c r="N3" s="99"/>
    </row>
    <row r="4" spans="1:15">
      <c r="A4" s="2" t="s">
        <v>275</v>
      </c>
      <c r="B4" s="3" t="s">
        <v>296</v>
      </c>
      <c r="D4" s="20">
        <v>2.6758099827474337E-8</v>
      </c>
      <c r="E4" s="20">
        <v>0.9993434668557496</v>
      </c>
      <c r="F4" s="20">
        <v>3.8897942539816185E-5</v>
      </c>
      <c r="G4" s="20">
        <v>7.1410715248981172E-6</v>
      </c>
      <c r="H4" s="20">
        <v>0</v>
      </c>
      <c r="I4" s="20">
        <v>0.99929742784168485</v>
      </c>
      <c r="J4" s="20">
        <v>6.4341577858254234E-4</v>
      </c>
      <c r="K4" s="20">
        <v>1.3090607567873706E-5</v>
      </c>
      <c r="L4" s="20">
        <v>0</v>
      </c>
      <c r="N4" s="99"/>
    </row>
    <row r="5" spans="1:15">
      <c r="A5" s="2" t="s">
        <v>277</v>
      </c>
      <c r="B5" s="3" t="s">
        <v>297</v>
      </c>
      <c r="D5" s="20">
        <v>1.4268128218313069E-11</v>
      </c>
      <c r="E5" s="20">
        <v>0.99806295806547562</v>
      </c>
      <c r="F5" s="20">
        <v>8.3950353300630957E-4</v>
      </c>
      <c r="G5" s="20">
        <v>1.243697169055399E-5</v>
      </c>
      <c r="H5" s="20">
        <v>0</v>
      </c>
      <c r="I5" s="20">
        <v>0.99721101756077879</v>
      </c>
      <c r="J5" s="20">
        <v>1.916416107706452E-3</v>
      </c>
      <c r="K5" s="20">
        <v>2.0625812549660213E-5</v>
      </c>
      <c r="L5" s="20">
        <v>0</v>
      </c>
      <c r="N5" s="99"/>
    </row>
    <row r="6" spans="1:15">
      <c r="A6" s="2" t="s">
        <v>279</v>
      </c>
      <c r="B6" s="3" t="s">
        <v>298</v>
      </c>
      <c r="D6" s="20">
        <v>5.4841468004174759E-8</v>
      </c>
      <c r="E6" s="20">
        <v>0.98289521857433115</v>
      </c>
      <c r="F6" s="20">
        <v>1.3575724070764491E-2</v>
      </c>
      <c r="G6" s="20">
        <v>6.5953253166957425E-4</v>
      </c>
      <c r="H6" s="20">
        <v>0</v>
      </c>
      <c r="I6" s="20">
        <v>0.96865996197189708</v>
      </c>
      <c r="J6" s="20">
        <v>1.608816745974731E-2</v>
      </c>
      <c r="K6" s="20">
        <v>1.0165591244535406E-3</v>
      </c>
      <c r="L6" s="20">
        <v>0</v>
      </c>
    </row>
    <row r="7" spans="1:15">
      <c r="A7" s="99" t="s">
        <v>281</v>
      </c>
      <c r="B7" s="100" t="s">
        <v>299</v>
      </c>
      <c r="C7" s="100"/>
      <c r="D7" s="171">
        <v>2.5166704566458988E-10</v>
      </c>
      <c r="E7" s="171">
        <v>0.98918292974135313</v>
      </c>
      <c r="F7" s="171">
        <v>7.5418832310055707E-3</v>
      </c>
      <c r="G7" s="171">
        <v>1.6214783152649574E-4</v>
      </c>
      <c r="H7" s="171">
        <v>0</v>
      </c>
      <c r="I7" s="171">
        <v>0.9814788986788211</v>
      </c>
      <c r="J7" s="171">
        <v>1.0563844432092918E-2</v>
      </c>
      <c r="K7" s="171">
        <v>2.5322557488682926E-4</v>
      </c>
      <c r="L7" s="171">
        <v>0</v>
      </c>
      <c r="M7" s="99"/>
      <c r="N7" s="99"/>
      <c r="O7" s="99"/>
    </row>
    <row r="8" spans="1:15">
      <c r="A8" s="99" t="s">
        <v>283</v>
      </c>
      <c r="B8" s="100" t="s">
        <v>300</v>
      </c>
      <c r="C8" s="100"/>
      <c r="D8" s="171">
        <v>4.2666355126995943E-11</v>
      </c>
      <c r="E8" s="171">
        <v>0.99939959784105559</v>
      </c>
      <c r="F8" s="171">
        <v>4.2011778014359167E-4</v>
      </c>
      <c r="G8" s="171">
        <v>1.2846901215587169E-7</v>
      </c>
      <c r="H8" s="171">
        <v>0</v>
      </c>
      <c r="I8" s="171">
        <v>0.99897935159189988</v>
      </c>
      <c r="J8" s="171">
        <v>6.0017096579497375E-4</v>
      </c>
      <c r="K8" s="171">
        <v>2.3115048308651786E-7</v>
      </c>
      <c r="L8" s="171">
        <v>0</v>
      </c>
      <c r="M8" s="99"/>
      <c r="N8" s="99"/>
      <c r="O8" s="99"/>
    </row>
    <row r="9" spans="1:15">
      <c r="A9" s="99" t="s">
        <v>285</v>
      </c>
      <c r="B9" s="100" t="s">
        <v>301</v>
      </c>
      <c r="C9" s="100"/>
      <c r="D9" s="171">
        <v>2.131259048135455E-10</v>
      </c>
      <c r="E9" s="171">
        <v>0.99898192973469535</v>
      </c>
      <c r="F9" s="171">
        <v>7.5943627666909444E-2</v>
      </c>
      <c r="G9" s="171">
        <v>6.2368578503368613E-6</v>
      </c>
      <c r="H9" s="171">
        <v>0</v>
      </c>
      <c r="I9" s="171">
        <v>0.92303206520993553</v>
      </c>
      <c r="J9" s="171">
        <v>1.0083702636394774E-3</v>
      </c>
      <c r="K9" s="171">
        <v>9.6997885391914505E-6</v>
      </c>
      <c r="L9" s="171">
        <v>0</v>
      </c>
      <c r="M9" s="99"/>
      <c r="N9" s="99"/>
      <c r="O9" s="99"/>
    </row>
    <row r="10" spans="1:15">
      <c r="A10" s="99" t="s">
        <v>287</v>
      </c>
      <c r="B10" s="100" t="s">
        <v>302</v>
      </c>
      <c r="C10" s="100"/>
      <c r="D10" s="171">
        <v>9.3935940118283528E-12</v>
      </c>
      <c r="E10" s="171">
        <v>0.99847566815559463</v>
      </c>
      <c r="F10" s="171">
        <v>0.17160000825804977</v>
      </c>
      <c r="G10" s="171">
        <v>3.3231093092215097E-5</v>
      </c>
      <c r="H10" s="171">
        <v>0</v>
      </c>
      <c r="I10" s="171">
        <v>0.82684242880445269</v>
      </c>
      <c r="J10" s="171">
        <v>1.4739538204299135E-3</v>
      </c>
      <c r="K10" s="171">
        <v>5.0378014581718575E-5</v>
      </c>
      <c r="L10" s="171">
        <v>0</v>
      </c>
      <c r="M10" s="99"/>
      <c r="N10" s="99"/>
      <c r="O10" s="99"/>
    </row>
    <row r="11" spans="1:15">
      <c r="A11" s="99" t="s">
        <v>289</v>
      </c>
      <c r="B11" s="100" t="s">
        <v>303</v>
      </c>
      <c r="C11" s="100"/>
      <c r="D11" s="171">
        <v>3.2871794874882536E-8</v>
      </c>
      <c r="E11" s="171">
        <v>0.99711769709900278</v>
      </c>
      <c r="F11" s="171">
        <v>0.44952287488687254</v>
      </c>
      <c r="G11" s="171">
        <v>1.2870445505153554E-4</v>
      </c>
      <c r="H11" s="171">
        <v>0</v>
      </c>
      <c r="I11" s="171">
        <v>0.54746611775707865</v>
      </c>
      <c r="J11" s="171">
        <v>2.6944291982267839E-3</v>
      </c>
      <c r="K11" s="171">
        <v>1.8784083097554206E-4</v>
      </c>
      <c r="L11" s="171">
        <v>0</v>
      </c>
      <c r="M11" s="99"/>
      <c r="N11" s="99"/>
      <c r="O11" s="99"/>
    </row>
    <row r="12" spans="1:15">
      <c r="A12" s="99" t="s">
        <v>291</v>
      </c>
      <c r="B12" s="100" t="s">
        <v>304</v>
      </c>
      <c r="C12" s="100"/>
      <c r="D12" s="171">
        <v>5.1851031713553687E-15</v>
      </c>
      <c r="E12" s="171">
        <v>0.98283979353657769</v>
      </c>
      <c r="F12" s="171">
        <v>0.24386247308227088</v>
      </c>
      <c r="G12" s="171">
        <v>8.3255795495982537E-3</v>
      </c>
      <c r="H12" s="171">
        <v>0</v>
      </c>
      <c r="I12" s="171">
        <v>0.73065174090470852</v>
      </c>
      <c r="J12" s="171">
        <v>4.703280148836181E-3</v>
      </c>
      <c r="K12" s="171">
        <v>1.2456926314581148E-2</v>
      </c>
      <c r="L12" s="171">
        <v>0</v>
      </c>
      <c r="M12" s="99"/>
      <c r="N12" s="99"/>
      <c r="O12" s="99"/>
    </row>
    <row r="13" spans="1:15">
      <c r="A13" s="99" t="s">
        <v>293</v>
      </c>
      <c r="B13" s="100" t="s">
        <v>305</v>
      </c>
      <c r="C13" s="100"/>
      <c r="D13" s="171">
        <v>6.5255193068351728E-13</v>
      </c>
      <c r="E13" s="171">
        <v>0.99898625727587953</v>
      </c>
      <c r="F13" s="171">
        <v>5.8752673939137287E-2</v>
      </c>
      <c r="G13" s="171">
        <v>4.9084535398506928E-5</v>
      </c>
      <c r="H13" s="171">
        <v>0</v>
      </c>
      <c r="I13" s="171">
        <v>0.94018449880134369</v>
      </c>
      <c r="J13" s="171">
        <v>9.3682239938796023E-4</v>
      </c>
      <c r="K13" s="171">
        <v>7.6920324079901995E-5</v>
      </c>
      <c r="L13" s="171">
        <v>7.6470315127900699E-17</v>
      </c>
      <c r="M13" s="99"/>
      <c r="N13" s="99"/>
      <c r="O13" s="99"/>
    </row>
    <row r="14" spans="1:15">
      <c r="A14" s="99"/>
      <c r="B14" s="100"/>
      <c r="C14" s="100"/>
      <c r="D14" s="171"/>
      <c r="E14" s="171"/>
      <c r="F14" s="171"/>
      <c r="G14" s="171"/>
      <c r="H14" s="171"/>
      <c r="I14" s="171"/>
      <c r="J14" s="171"/>
      <c r="K14" s="171"/>
      <c r="L14" s="171"/>
      <c r="M14" s="99"/>
      <c r="N14" s="99"/>
      <c r="O14" s="99"/>
    </row>
    <row r="15" spans="1:15">
      <c r="A15" s="99"/>
      <c r="B15" s="100"/>
      <c r="C15" s="100"/>
      <c r="D15" s="171"/>
      <c r="E15" s="171"/>
      <c r="F15" s="171"/>
      <c r="G15" s="171"/>
      <c r="H15" s="171"/>
      <c r="I15" s="171"/>
      <c r="J15" s="171"/>
      <c r="K15" s="171"/>
      <c r="L15" s="171"/>
      <c r="M15" s="99"/>
      <c r="N15" s="99"/>
      <c r="O15" s="99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13" sqref="K1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216</v>
      </c>
    </row>
    <row r="2" spans="1:23">
      <c r="A2" s="2" t="s">
        <v>269</v>
      </c>
      <c r="B2" s="3" t="s">
        <v>271</v>
      </c>
      <c r="D2" s="14">
        <v>5.0774430467555631E-9</v>
      </c>
      <c r="E2" s="14">
        <v>0.53640383654094304</v>
      </c>
      <c r="F2" s="14">
        <v>3.2891707976843919E-5</v>
      </c>
      <c r="G2" s="14">
        <v>1.3200244673854147E-5</v>
      </c>
      <c r="H2" s="14">
        <v>0</v>
      </c>
      <c r="I2" s="14">
        <v>3.2501812055568734E-4</v>
      </c>
      <c r="J2" s="14">
        <v>2.5048308407537069E-5</v>
      </c>
      <c r="K2" s="14">
        <v>0</v>
      </c>
      <c r="L2" s="21"/>
      <c r="M2" s="99"/>
    </row>
    <row r="3" spans="1:23">
      <c r="A3" s="2" t="s">
        <v>273</v>
      </c>
      <c r="B3" s="3" t="s">
        <v>295</v>
      </c>
      <c r="D3" s="14">
        <v>1.5503971388857892E-9</v>
      </c>
      <c r="E3" s="14">
        <v>8.9581007495848602E-2</v>
      </c>
      <c r="F3" s="14">
        <v>4.012937662963542E-3</v>
      </c>
      <c r="G3" s="14">
        <v>9.8942088856546271E-4</v>
      </c>
      <c r="H3" s="14">
        <v>0</v>
      </c>
      <c r="I3" s="14">
        <v>4.3212545623033276E-4</v>
      </c>
      <c r="J3" s="14">
        <v>1.5645069459949371E-3</v>
      </c>
      <c r="K3" s="14">
        <v>0</v>
      </c>
      <c r="L3" s="21"/>
      <c r="M3" s="99"/>
    </row>
    <row r="4" spans="1:23">
      <c r="A4" s="2" t="s">
        <v>275</v>
      </c>
      <c r="B4" s="3" t="s">
        <v>296</v>
      </c>
      <c r="D4" s="14">
        <v>1.2421109939913587E-9</v>
      </c>
      <c r="E4" s="14">
        <v>4.6387386600411015E-2</v>
      </c>
      <c r="F4" s="14">
        <v>1.8056424926982674E-6</v>
      </c>
      <c r="G4" s="14">
        <v>3.3148854018577064E-7</v>
      </c>
      <c r="H4" s="14">
        <v>0</v>
      </c>
      <c r="I4" s="14">
        <v>2.9867360441801616E-5</v>
      </c>
      <c r="J4" s="14">
        <v>6.0766600330069738E-7</v>
      </c>
      <c r="K4" s="14">
        <v>0</v>
      </c>
      <c r="L4" s="21"/>
    </row>
    <row r="5" spans="1:23">
      <c r="A5" s="2" t="s">
        <v>277</v>
      </c>
      <c r="B5" s="3" t="s">
        <v>297</v>
      </c>
      <c r="D5" s="14">
        <v>7.2510627605467022E-13</v>
      </c>
      <c r="E5" s="14">
        <v>5.0678263912438778E-2</v>
      </c>
      <c r="F5" s="14">
        <v>4.2663569547380654E-5</v>
      </c>
      <c r="G5" s="14">
        <v>6.3204690131395385E-7</v>
      </c>
      <c r="H5" s="14">
        <v>0</v>
      </c>
      <c r="I5" s="14">
        <v>9.7392266593641902E-5</v>
      </c>
      <c r="J5" s="14">
        <v>1.0482037937737321E-6</v>
      </c>
      <c r="K5" s="14">
        <v>0</v>
      </c>
      <c r="L5" s="21"/>
    </row>
    <row r="6" spans="1:23">
      <c r="A6" s="2" t="s">
        <v>279</v>
      </c>
      <c r="B6" s="3" t="s">
        <v>298</v>
      </c>
      <c r="D6" s="14">
        <v>4.3434442659306413E-10</v>
      </c>
      <c r="E6" s="14">
        <v>7.6717868988174249E-3</v>
      </c>
      <c r="F6" s="14">
        <v>1.0751973464045476E-4</v>
      </c>
      <c r="G6" s="14">
        <v>5.2234976508230287E-6</v>
      </c>
      <c r="H6" s="14">
        <v>0</v>
      </c>
      <c r="I6" s="14">
        <v>1.2741828628119869E-4</v>
      </c>
      <c r="J6" s="14">
        <v>8.051148265672041E-6</v>
      </c>
      <c r="K6" s="14">
        <v>0</v>
      </c>
      <c r="L6" s="21"/>
      <c r="M6" s="12"/>
    </row>
    <row r="7" spans="1:23">
      <c r="A7" s="2" t="s">
        <v>281</v>
      </c>
      <c r="B7" s="3" t="s">
        <v>299</v>
      </c>
      <c r="D7" s="14">
        <v>1.0187482008502599E-12</v>
      </c>
      <c r="E7" s="14">
        <v>3.9730265818518681E-3</v>
      </c>
      <c r="F7" s="14">
        <v>3.0529543319110546E-5</v>
      </c>
      <c r="G7" s="14">
        <v>6.563744220192548E-7</v>
      </c>
      <c r="H7" s="14">
        <v>0</v>
      </c>
      <c r="I7" s="14">
        <v>4.2762442261112133E-5</v>
      </c>
      <c r="J7" s="14">
        <v>1.025057127141885E-6</v>
      </c>
      <c r="K7" s="14">
        <v>0</v>
      </c>
      <c r="L7" s="21"/>
      <c r="M7" s="12"/>
    </row>
    <row r="8" spans="1:23">
      <c r="A8" s="2" t="s">
        <v>283</v>
      </c>
      <c r="B8" s="3" t="s">
        <v>300</v>
      </c>
      <c r="D8" s="14">
        <v>1.9899588031230912E-14</v>
      </c>
      <c r="E8" s="14">
        <v>4.6592396958246215E-4</v>
      </c>
      <c r="F8" s="14">
        <v>1.9594293265897119E-7</v>
      </c>
      <c r="G8" s="14">
        <v>5.9917947269498567E-11</v>
      </c>
      <c r="H8" s="14">
        <v>0</v>
      </c>
      <c r="I8" s="14">
        <v>2.7991973844677577E-7</v>
      </c>
      <c r="J8" s="14">
        <v>1.0780858531155195E-10</v>
      </c>
      <c r="K8" s="14">
        <v>0</v>
      </c>
      <c r="L8" s="21"/>
      <c r="M8" s="12"/>
    </row>
    <row r="9" spans="1:23">
      <c r="A9" s="2" t="s">
        <v>285</v>
      </c>
      <c r="B9" s="3" t="s">
        <v>301</v>
      </c>
      <c r="D9" s="14">
        <v>2.3068747937018167E-12</v>
      </c>
      <c r="E9" s="14">
        <v>9.990899073832344E-3</v>
      </c>
      <c r="F9" s="14">
        <v>8.2201382586662792E-4</v>
      </c>
      <c r="G9" s="14">
        <v>6.7507749372046186E-8</v>
      </c>
      <c r="H9" s="14">
        <v>0</v>
      </c>
      <c r="I9" s="14">
        <v>1.0914599733633705E-5</v>
      </c>
      <c r="J9" s="14">
        <v>1.0499051114820828E-7</v>
      </c>
      <c r="K9" s="14">
        <v>0</v>
      </c>
      <c r="L9" s="21"/>
      <c r="M9" s="12"/>
    </row>
    <row r="10" spans="1:23">
      <c r="A10" s="2" t="s">
        <v>287</v>
      </c>
      <c r="B10" s="3" t="s">
        <v>302</v>
      </c>
      <c r="D10" s="14">
        <v>3.6578655082059605E-14</v>
      </c>
      <c r="E10" s="14">
        <v>3.2197244177645384E-3</v>
      </c>
      <c r="F10" s="14">
        <v>6.6821043215684582E-4</v>
      </c>
      <c r="G10" s="14">
        <v>1.2940187650108559E-7</v>
      </c>
      <c r="H10" s="14">
        <v>0</v>
      </c>
      <c r="I10" s="14">
        <v>5.7395761767540838E-6</v>
      </c>
      <c r="J10" s="14">
        <v>1.9617198878121214E-7</v>
      </c>
      <c r="K10" s="14">
        <v>0</v>
      </c>
      <c r="L10" s="21"/>
      <c r="M10" s="12"/>
    </row>
    <row r="11" spans="1:23">
      <c r="A11" s="2" t="s">
        <v>289</v>
      </c>
      <c r="B11" s="3" t="s">
        <v>303</v>
      </c>
      <c r="D11" s="14">
        <v>2.2852471797018341E-9</v>
      </c>
      <c r="E11" s="14">
        <v>3.805984450647211E-2</v>
      </c>
      <c r="F11" s="14">
        <v>3.1250830262135383E-2</v>
      </c>
      <c r="G11" s="14">
        <v>8.9475337151827523E-6</v>
      </c>
      <c r="H11" s="14">
        <v>0</v>
      </c>
      <c r="I11" s="14">
        <v>1.8731671786072603E-4</v>
      </c>
      <c r="J11" s="14">
        <v>1.3058694569419684E-5</v>
      </c>
      <c r="K11" s="14">
        <v>0</v>
      </c>
      <c r="L11" s="21"/>
      <c r="M11" s="12"/>
    </row>
    <row r="12" spans="1:23">
      <c r="A12" s="2" t="s">
        <v>291</v>
      </c>
      <c r="B12" s="3" t="s">
        <v>304</v>
      </c>
      <c r="D12" s="14">
        <v>2.0989297637646535E-16</v>
      </c>
      <c r="E12" s="14">
        <v>2.9576782471822601E-2</v>
      </c>
      <c r="F12" s="14">
        <v>9.8715529103703265E-3</v>
      </c>
      <c r="G12" s="14">
        <v>3.3701946016773728E-4</v>
      </c>
      <c r="H12" s="14">
        <v>0</v>
      </c>
      <c r="I12" s="14">
        <v>1.9038878042488861E-4</v>
      </c>
      <c r="J12" s="14">
        <v>5.0425637721424488E-4</v>
      </c>
      <c r="K12" s="14">
        <v>0</v>
      </c>
      <c r="L12" s="21"/>
      <c r="M12" s="12"/>
    </row>
    <row r="13" spans="1:23">
      <c r="A13" s="2" t="s">
        <v>293</v>
      </c>
      <c r="B13" s="3" t="s">
        <v>305</v>
      </c>
      <c r="D13" s="14">
        <v>3.474186478959046E-14</v>
      </c>
      <c r="E13" s="14">
        <v>5.0055422716183538E-2</v>
      </c>
      <c r="F13" s="14">
        <v>3.1279923605196688E-3</v>
      </c>
      <c r="G13" s="14">
        <v>2.6132606646165088E-6</v>
      </c>
      <c r="H13" s="14">
        <v>0</v>
      </c>
      <c r="I13" s="14">
        <v>4.9876424543414998E-5</v>
      </c>
      <c r="J13" s="14">
        <v>4.0952380540139815E-6</v>
      </c>
      <c r="K13" s="14">
        <v>4.0712795774094331E-18</v>
      </c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3" sqref="R1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217</v>
      </c>
      <c r="D1" s="28" t="s">
        <v>167</v>
      </c>
      <c r="E1" s="113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9" t="s">
        <v>269</v>
      </c>
      <c r="B2" s="99" t="s">
        <v>271</v>
      </c>
      <c r="D2" s="100" t="s">
        <v>176</v>
      </c>
      <c r="F2" s="104">
        <v>-0.18886282922884523</v>
      </c>
      <c r="G2" s="104">
        <v>-9.5266915123134623</v>
      </c>
      <c r="H2" s="104">
        <v>6.5979999999999983E-2</v>
      </c>
      <c r="I2" s="104">
        <v>-8.0595885351553057E-2</v>
      </c>
      <c r="J2" s="104">
        <v>-1.711847788201391E-2</v>
      </c>
      <c r="K2" s="112">
        <v>2440</v>
      </c>
      <c r="L2" s="112">
        <v>2423.0642597737956</v>
      </c>
      <c r="M2" s="112">
        <v>2226.1515106553929</v>
      </c>
      <c r="N2" s="112">
        <v>2839.3474023438548</v>
      </c>
      <c r="O2" s="112">
        <v>2026.0149588871452</v>
      </c>
      <c r="P2" s="112">
        <v>2344.8769365525854</v>
      </c>
      <c r="Q2" s="108">
        <v>0.83033399954391196</v>
      </c>
      <c r="R2" s="68">
        <v>0.9610151379313876</v>
      </c>
    </row>
    <row r="3" spans="1:22">
      <c r="A3" s="99" t="s">
        <v>273</v>
      </c>
      <c r="B3" s="99" t="s">
        <v>295</v>
      </c>
      <c r="D3" s="100" t="s">
        <v>306</v>
      </c>
      <c r="E3" s="104">
        <v>5.34</v>
      </c>
      <c r="F3" s="104">
        <v>2.4632121973832968</v>
      </c>
      <c r="G3" s="104">
        <v>-9.2646176818460013</v>
      </c>
      <c r="H3" s="104">
        <v>2.7448319205210736</v>
      </c>
      <c r="I3" s="104">
        <v>0.7563764011363916</v>
      </c>
      <c r="J3" s="104">
        <v>0.7194861815745387</v>
      </c>
      <c r="K3" s="112">
        <v>439</v>
      </c>
      <c r="L3" s="112">
        <v>418.68625207053572</v>
      </c>
      <c r="M3" s="112">
        <v>2959.7633988378957</v>
      </c>
      <c r="N3" s="112">
        <v>227012.25803079904</v>
      </c>
      <c r="O3" s="112">
        <v>2324.5505841234876</v>
      </c>
      <c r="P3" s="112">
        <v>2135.2502513601712</v>
      </c>
      <c r="Q3" s="108">
        <v>5.2951038362721823</v>
      </c>
      <c r="R3" s="68">
        <v>4.8638957889753334</v>
      </c>
    </row>
    <row r="4" spans="1:22">
      <c r="A4" s="99" t="s">
        <v>275</v>
      </c>
      <c r="B4" s="99" t="s">
        <v>296</v>
      </c>
      <c r="D4" s="100" t="s">
        <v>306</v>
      </c>
      <c r="E4" s="104">
        <v>8.4</v>
      </c>
      <c r="F4" s="104">
        <v>-0.72588432155438687</v>
      </c>
      <c r="G4" s="104">
        <v>-9.0750841974716892</v>
      </c>
      <c r="H4" s="104">
        <v>-0.16638268949424379</v>
      </c>
      <c r="I4" s="104">
        <v>-8.2989103124555319E-2</v>
      </c>
      <c r="J4" s="104">
        <v>-1.8191277293194946E-2</v>
      </c>
      <c r="K4" s="112">
        <v>211</v>
      </c>
      <c r="L4" s="112">
        <v>221.69014986584122</v>
      </c>
      <c r="M4" s="112">
        <v>204.57096193014809</v>
      </c>
      <c r="N4" s="112">
        <v>382.8718970888732</v>
      </c>
      <c r="O4" s="112">
        <v>174.24385065689231</v>
      </c>
      <c r="P4" s="112">
        <v>202.28109034797328</v>
      </c>
      <c r="Q4" s="108">
        <v>0.82580024008005826</v>
      </c>
      <c r="R4" s="68">
        <v>0.95867815330793027</v>
      </c>
      <c r="T4" s="142"/>
    </row>
    <row r="5" spans="1:22">
      <c r="A5" s="99" t="s">
        <v>277</v>
      </c>
      <c r="B5" s="99" t="s">
        <v>297</v>
      </c>
      <c r="D5" s="100" t="s">
        <v>306</v>
      </c>
      <c r="E5" s="104">
        <v>9.68</v>
      </c>
      <c r="F5" s="104">
        <v>-0.48402535731967916</v>
      </c>
      <c r="G5" s="104">
        <v>-12.347264762265171</v>
      </c>
      <c r="H5" s="104">
        <v>1.0671209096898753</v>
      </c>
      <c r="I5" s="104">
        <v>-5.175170870882536E-2</v>
      </c>
      <c r="J5" s="104">
        <v>1.4589424095533404E-2</v>
      </c>
      <c r="K5" s="112">
        <v>231</v>
      </c>
      <c r="L5" s="112">
        <v>496.37364181064311</v>
      </c>
      <c r="M5" s="112">
        <v>667.07031913453363</v>
      </c>
      <c r="N5" s="112">
        <v>11186.632756821127</v>
      </c>
      <c r="O5" s="112">
        <v>204.55809834525743</v>
      </c>
      <c r="P5" s="112">
        <v>238.31852949022286</v>
      </c>
      <c r="Q5" s="108">
        <v>0.88553289326951268</v>
      </c>
      <c r="R5" s="68">
        <v>1.0316819458451205</v>
      </c>
    </row>
    <row r="6" spans="1:22">
      <c r="A6" s="99" t="s">
        <v>279</v>
      </c>
      <c r="B6" s="99" t="s">
        <v>298</v>
      </c>
      <c r="D6" s="100" t="s">
        <v>306</v>
      </c>
      <c r="E6" s="104">
        <v>8.98</v>
      </c>
      <c r="F6" s="104">
        <v>1.253111937916598</v>
      </c>
      <c r="G6" s="104">
        <v>-8.7499069752652456</v>
      </c>
      <c r="H6" s="104">
        <v>2.2142771026602857</v>
      </c>
      <c r="I6" s="104">
        <v>0.28320981937518519</v>
      </c>
      <c r="J6" s="104">
        <v>0.35226792569751297</v>
      </c>
      <c r="K6" s="112">
        <v>36</v>
      </c>
      <c r="L6" s="112">
        <v>137.84712128064112</v>
      </c>
      <c r="M6" s="112">
        <v>872.72798822738844</v>
      </c>
      <c r="N6" s="112">
        <v>20755.522529960366</v>
      </c>
      <c r="O6" s="112">
        <v>66.965791717987074</v>
      </c>
      <c r="P6" s="112">
        <v>78.507493890078266</v>
      </c>
      <c r="Q6" s="108">
        <v>1.8601608810551964</v>
      </c>
      <c r="R6" s="68">
        <v>2.1807637191688407</v>
      </c>
    </row>
    <row r="7" spans="1:22">
      <c r="A7" s="99" t="s">
        <v>281</v>
      </c>
      <c r="B7" s="99" t="s">
        <v>299</v>
      </c>
      <c r="D7" s="100" t="s">
        <v>306</v>
      </c>
      <c r="E7" s="104">
        <v>9.42</v>
      </c>
      <c r="F7" s="104">
        <v>0.63807724313625658</v>
      </c>
      <c r="G7" s="104">
        <v>-11.093899313542053</v>
      </c>
      <c r="H7" s="104">
        <v>1.9665842867520158</v>
      </c>
      <c r="I7" s="104">
        <v>0.14589301693312309</v>
      </c>
      <c r="J7" s="104">
        <v>0.22135675040696284</v>
      </c>
      <c r="K7" s="112">
        <v>18.399999999999999</v>
      </c>
      <c r="L7" s="112">
        <v>68.344387977500048</v>
      </c>
      <c r="M7" s="112">
        <v>292.89344014460369</v>
      </c>
      <c r="N7" s="112">
        <v>6750.122418137712</v>
      </c>
      <c r="O7" s="112">
        <v>25.279073069050284</v>
      </c>
      <c r="P7" s="112">
        <v>30.076332590572036</v>
      </c>
      <c r="Q7" s="108">
        <v>1.3738626667962111</v>
      </c>
      <c r="R7" s="68">
        <v>1.6345832929658715</v>
      </c>
    </row>
    <row r="8" spans="1:22">
      <c r="A8" s="99" t="s">
        <v>283</v>
      </c>
      <c r="B8" s="99" t="s">
        <v>300</v>
      </c>
      <c r="D8" s="100" t="s">
        <v>270</v>
      </c>
      <c r="E8" s="104">
        <v>4.1500000000000004</v>
      </c>
      <c r="F8" s="104">
        <v>-2.4707110619648174</v>
      </c>
      <c r="G8" s="104">
        <v>-11.872315665405687</v>
      </c>
      <c r="H8" s="104">
        <v>-0.14950877691100511</v>
      </c>
      <c r="I8" s="104">
        <v>-7.4399275918755794E-2</v>
      </c>
      <c r="J8" s="104">
        <v>-4.1486450578519787E-3</v>
      </c>
      <c r="K8" s="112">
        <v>2.12</v>
      </c>
      <c r="L8" s="112">
        <v>2.1044779913680793</v>
      </c>
      <c r="M8" s="112">
        <v>1.9172584825121632</v>
      </c>
      <c r="N8" s="112">
        <v>1.253351158813796</v>
      </c>
      <c r="O8" s="112">
        <v>1.7850995275474135</v>
      </c>
      <c r="P8" s="112">
        <v>2.0985197742777157</v>
      </c>
      <c r="Q8" s="108">
        <v>0.84202807903179877</v>
      </c>
      <c r="R8" s="68">
        <v>0.98986781805552626</v>
      </c>
    </row>
    <row r="9" spans="1:22">
      <c r="A9" s="99" t="s">
        <v>285</v>
      </c>
      <c r="B9" s="99" t="s">
        <v>301</v>
      </c>
      <c r="D9" s="100" t="s">
        <v>270</v>
      </c>
      <c r="E9" s="104">
        <v>2.9</v>
      </c>
      <c r="F9" s="104">
        <v>-0.75020387745085804</v>
      </c>
      <c r="G9" s="104">
        <v>-11.139425245693701</v>
      </c>
      <c r="H9" s="104">
        <v>1.9921835808834203</v>
      </c>
      <c r="I9" s="104">
        <v>0.67934149289788037</v>
      </c>
      <c r="J9" s="104">
        <v>0.89281054955147798</v>
      </c>
      <c r="K9" s="112">
        <v>49.2</v>
      </c>
      <c r="L9" s="112">
        <v>45.488468111727542</v>
      </c>
      <c r="M9" s="112">
        <v>74.757532422148671</v>
      </c>
      <c r="N9" s="112">
        <v>3720.4719322062801</v>
      </c>
      <c r="O9" s="112">
        <v>217.11644645668011</v>
      </c>
      <c r="P9" s="112">
        <v>354.94558530430118</v>
      </c>
      <c r="Q9" s="108">
        <v>4.4129359035910589</v>
      </c>
      <c r="R9" s="68">
        <v>7.2143411647215681</v>
      </c>
    </row>
    <row r="10" spans="1:22">
      <c r="A10" s="99" t="s">
        <v>287</v>
      </c>
      <c r="B10" s="99" t="s">
        <v>302</v>
      </c>
      <c r="D10" s="100" t="s">
        <v>270</v>
      </c>
      <c r="E10" s="104">
        <v>4.1500000000000004</v>
      </c>
      <c r="F10" s="104">
        <v>2.4168938035182792E-2</v>
      </c>
      <c r="G10" s="104">
        <v>-12.447435665405685</v>
      </c>
      <c r="H10" s="104">
        <v>2.3701712230889953</v>
      </c>
      <c r="I10" s="104">
        <v>1.0325323772510655</v>
      </c>
      <c r="J10" s="104">
        <v>1.2610911157259397</v>
      </c>
      <c r="K10" s="112">
        <v>17.7</v>
      </c>
      <c r="L10" s="112">
        <v>14.714932634353463</v>
      </c>
      <c r="M10" s="112">
        <v>39.312165594206057</v>
      </c>
      <c r="N10" s="112">
        <v>2865.8695275641303</v>
      </c>
      <c r="O10" s="112">
        <v>157.79663439321928</v>
      </c>
      <c r="P10" s="112">
        <v>267.08929053239473</v>
      </c>
      <c r="Q10" s="108">
        <v>8.9150640900123879</v>
      </c>
      <c r="R10" s="68">
        <v>15.089790425559025</v>
      </c>
    </row>
    <row r="11" spans="1:22">
      <c r="A11" s="99" t="s">
        <v>289</v>
      </c>
      <c r="B11" s="99" t="s">
        <v>303</v>
      </c>
      <c r="D11" s="100" t="s">
        <v>270</v>
      </c>
      <c r="E11" s="104">
        <v>4.45</v>
      </c>
      <c r="F11" s="104">
        <v>0.79128339889788069</v>
      </c>
      <c r="G11" s="104">
        <v>-8.724378525568893</v>
      </c>
      <c r="H11" s="104">
        <v>2.9311387165398459</v>
      </c>
      <c r="I11" s="104">
        <v>1.6027000001251428</v>
      </c>
      <c r="J11" s="104">
        <v>1.8406885949430936</v>
      </c>
      <c r="K11" s="112">
        <v>316</v>
      </c>
      <c r="L11" s="112">
        <v>174.60905200523737</v>
      </c>
      <c r="M11" s="112">
        <v>1282.991218224151</v>
      </c>
      <c r="N11" s="112">
        <v>123409.34256761894</v>
      </c>
      <c r="O11" s="112">
        <v>6932.8797474634875</v>
      </c>
      <c r="P11" s="112">
        <v>11992.293865045935</v>
      </c>
      <c r="Q11" s="108">
        <v>21.939492871719899</v>
      </c>
      <c r="R11" s="68">
        <v>37.950297041284607</v>
      </c>
    </row>
    <row r="12" spans="1:22">
      <c r="A12" s="99" t="s">
        <v>291</v>
      </c>
      <c r="B12" s="99" t="s">
        <v>304</v>
      </c>
      <c r="D12" s="100" t="s">
        <v>270</v>
      </c>
      <c r="E12" s="104">
        <v>6.68</v>
      </c>
      <c r="F12" s="104">
        <v>2.4767511163848455</v>
      </c>
      <c r="G12" s="104">
        <v>-15.651797718723627</v>
      </c>
      <c r="H12" s="104">
        <v>2.9484888017118567</v>
      </c>
      <c r="I12" s="104">
        <v>1.2928377324284681</v>
      </c>
      <c r="J12" s="104">
        <v>1.4671969405667538</v>
      </c>
      <c r="K12" s="112">
        <v>184</v>
      </c>
      <c r="L12" s="112">
        <v>135.47188433940235</v>
      </c>
      <c r="M12" s="112">
        <v>1304.0327426362235</v>
      </c>
      <c r="N12" s="112">
        <v>112615.15027244791</v>
      </c>
      <c r="O12" s="112">
        <v>2639.5829669067207</v>
      </c>
      <c r="P12" s="112">
        <v>3943.6151409529703</v>
      </c>
      <c r="Q12" s="108">
        <v>14.345559602753918</v>
      </c>
      <c r="R12" s="68">
        <v>21.432690983440057</v>
      </c>
    </row>
    <row r="13" spans="1:22">
      <c r="A13" s="99" t="s">
        <v>293</v>
      </c>
      <c r="B13" s="99" t="s">
        <v>305</v>
      </c>
      <c r="D13" s="100" t="s">
        <v>270</v>
      </c>
      <c r="E13" s="104">
        <v>4.9000000000000004</v>
      </c>
      <c r="F13" s="104">
        <v>0.13777866309669651</v>
      </c>
      <c r="G13" s="104">
        <v>-13.661442705146145</v>
      </c>
      <c r="H13" s="104">
        <v>1.892449729275355</v>
      </c>
      <c r="I13" s="104">
        <v>0.58455687682968094</v>
      </c>
      <c r="J13" s="104">
        <v>0.79008748046166655</v>
      </c>
      <c r="K13" s="112">
        <v>242</v>
      </c>
      <c r="L13" s="112">
        <v>227.67381631284755</v>
      </c>
      <c r="M13" s="112">
        <v>341.619346187774</v>
      </c>
      <c r="N13" s="112">
        <v>14904.926090750325</v>
      </c>
      <c r="O13" s="112">
        <v>874.48963779920962</v>
      </c>
      <c r="P13" s="112">
        <v>1403.7354616143477</v>
      </c>
      <c r="Q13" s="108">
        <v>3.6135935446248331</v>
      </c>
      <c r="R13" s="68">
        <v>5.8005597587369744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13" sqref="W1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5" t="s">
        <v>169</v>
      </c>
      <c r="G1" s="105" t="s">
        <v>170</v>
      </c>
      <c r="H1" s="113" t="s">
        <v>208</v>
      </c>
      <c r="I1" s="105" t="s">
        <v>237</v>
      </c>
      <c r="J1" s="105" t="s">
        <v>236</v>
      </c>
      <c r="K1" s="113" t="s">
        <v>239</v>
      </c>
      <c r="L1" s="105" t="s">
        <v>171</v>
      </c>
      <c r="M1" s="105" t="s">
        <v>172</v>
      </c>
      <c r="N1" s="113" t="s">
        <v>209</v>
      </c>
      <c r="O1" s="105" t="s">
        <v>173</v>
      </c>
      <c r="P1" s="105" t="s">
        <v>174</v>
      </c>
      <c r="Q1" s="113" t="s">
        <v>210</v>
      </c>
      <c r="R1" s="105" t="s">
        <v>165</v>
      </c>
      <c r="S1" s="105" t="s">
        <v>211</v>
      </c>
      <c r="T1" s="113" t="s">
        <v>212</v>
      </c>
      <c r="U1" s="113" t="s">
        <v>213</v>
      </c>
      <c r="V1" s="113" t="s">
        <v>214</v>
      </c>
      <c r="W1" s="38" t="s">
        <v>199</v>
      </c>
    </row>
    <row r="2" spans="1:23">
      <c r="A2" s="99" t="s">
        <v>269</v>
      </c>
      <c r="B2" s="99" t="s">
        <v>271</v>
      </c>
      <c r="D2" s="104" t="s">
        <v>176</v>
      </c>
      <c r="F2" s="104">
        <v>-0.18886282922884523</v>
      </c>
      <c r="H2" s="104">
        <v>-0.18886282922884523</v>
      </c>
      <c r="I2" s="104">
        <v>-0.18886282922884523</v>
      </c>
      <c r="K2" s="104">
        <v>-0.18886282922884523</v>
      </c>
      <c r="L2" s="104">
        <v>6.5979999999999983E-2</v>
      </c>
      <c r="N2" s="104">
        <v>6.5979999999999983E-2</v>
      </c>
      <c r="O2" s="104">
        <v>-0.75891999999999993</v>
      </c>
      <c r="Q2" s="104">
        <v>-0.75891999999999993</v>
      </c>
      <c r="R2" s="104">
        <v>-9.5266915123134623</v>
      </c>
      <c r="S2" s="104">
        <v>-9.5266915123134623</v>
      </c>
      <c r="T2" s="104">
        <v>-7.126762829228845</v>
      </c>
      <c r="V2" s="104">
        <v>-7.126762829228845</v>
      </c>
      <c r="W2" s="109">
        <v>28596.15968986983</v>
      </c>
    </row>
    <row r="3" spans="1:23">
      <c r="A3" s="99" t="s">
        <v>273</v>
      </c>
      <c r="B3" s="99" t="s">
        <v>295</v>
      </c>
      <c r="D3" s="104" t="s">
        <v>306</v>
      </c>
      <c r="E3" s="104">
        <v>5.34</v>
      </c>
      <c r="F3" s="104">
        <v>2.4669771707711545</v>
      </c>
      <c r="G3" s="104">
        <v>-1.0330228292288453</v>
      </c>
      <c r="H3" s="104">
        <v>2.4632121973832968</v>
      </c>
      <c r="I3" s="104">
        <v>2.4669771707711545</v>
      </c>
      <c r="J3" s="104">
        <v>-1.0330228292288453</v>
      </c>
      <c r="K3" s="104">
        <v>2.4632121973832968</v>
      </c>
      <c r="L3" s="104">
        <v>2.7482199999999999</v>
      </c>
      <c r="M3" s="104">
        <v>1.7482199999999997</v>
      </c>
      <c r="N3" s="104">
        <v>2.7448319205210736</v>
      </c>
      <c r="O3" s="104">
        <v>2.1081199999999995</v>
      </c>
      <c r="P3" s="104">
        <v>1.1081200000000002</v>
      </c>
      <c r="Q3" s="104">
        <v>2.1047319205210737</v>
      </c>
      <c r="R3" s="104">
        <v>-9.2608515123134616</v>
      </c>
      <c r="S3" s="104">
        <v>-9.2646176818460013</v>
      </c>
      <c r="T3" s="104">
        <v>-4.5501228292288465</v>
      </c>
      <c r="U3" s="104">
        <v>-8.0501228292288456</v>
      </c>
      <c r="V3" s="104">
        <v>-4.5538878026167033</v>
      </c>
      <c r="W3" s="109">
        <v>319.61815231844884</v>
      </c>
    </row>
    <row r="4" spans="1:23">
      <c r="A4" s="99" t="s">
        <v>275</v>
      </c>
      <c r="B4" s="99" t="s">
        <v>296</v>
      </c>
      <c r="D4" s="104" t="s">
        <v>306</v>
      </c>
      <c r="E4" s="104">
        <v>8.4</v>
      </c>
      <c r="F4" s="104">
        <v>0.31413717077115466</v>
      </c>
      <c r="G4" s="104">
        <v>-3.1858628292288445</v>
      </c>
      <c r="H4" s="104">
        <v>-0.72588432155438687</v>
      </c>
      <c r="I4" s="104">
        <v>0.31413717077115466</v>
      </c>
      <c r="J4" s="104">
        <v>-3.1858628292288445</v>
      </c>
      <c r="K4" s="104">
        <v>-0.72588432155438687</v>
      </c>
      <c r="L4" s="104">
        <v>0.57397999999999993</v>
      </c>
      <c r="M4" s="104">
        <v>-0.42601999999999995</v>
      </c>
      <c r="N4" s="104">
        <v>-0.16638268949424379</v>
      </c>
      <c r="O4" s="104">
        <v>-0.21591999999999989</v>
      </c>
      <c r="P4" s="104">
        <v>-1.2159199999999997</v>
      </c>
      <c r="Q4" s="104">
        <v>-0.95628268949424378</v>
      </c>
      <c r="R4" s="104">
        <v>-8.0336915123134638</v>
      </c>
      <c r="S4" s="104">
        <v>-9.0750841974716892</v>
      </c>
      <c r="T4" s="104">
        <v>-6.6387628292288454</v>
      </c>
      <c r="U4" s="104">
        <v>-10.138762829228844</v>
      </c>
      <c r="V4" s="104">
        <v>-7.6787843215543878</v>
      </c>
      <c r="W4" s="109">
        <v>9562.5388555063</v>
      </c>
    </row>
    <row r="5" spans="1:23">
      <c r="A5" s="99" t="s">
        <v>277</v>
      </c>
      <c r="B5" s="99" t="s">
        <v>297</v>
      </c>
      <c r="D5" s="104" t="s">
        <v>306</v>
      </c>
      <c r="E5" s="104">
        <v>9.68</v>
      </c>
      <c r="F5" s="104">
        <v>1.7728371707711545</v>
      </c>
      <c r="G5" s="104">
        <v>-1.7271628292288452</v>
      </c>
      <c r="H5" s="104">
        <v>-0.48402535731967916</v>
      </c>
      <c r="I5" s="104">
        <v>1.7728371707711545</v>
      </c>
      <c r="J5" s="104">
        <v>-1.7271628292288452</v>
      </c>
      <c r="K5" s="104">
        <v>-0.48402535731967916</v>
      </c>
      <c r="L5" s="104">
        <v>2.0471799999999991</v>
      </c>
      <c r="M5" s="104">
        <v>1.0471799999999996</v>
      </c>
      <c r="N5" s="104">
        <v>1.0671209096898753</v>
      </c>
      <c r="O5" s="104">
        <v>1.3587799999999999</v>
      </c>
      <c r="P5" s="104">
        <v>0.35877999999999993</v>
      </c>
      <c r="Q5" s="104">
        <v>0.3787209096898756</v>
      </c>
      <c r="R5" s="104">
        <v>-10.064991512313462</v>
      </c>
      <c r="S5" s="104">
        <v>-12.347264762265171</v>
      </c>
      <c r="T5" s="104">
        <v>-5.2235628292288458</v>
      </c>
      <c r="U5" s="104">
        <v>-8.723562829228845</v>
      </c>
      <c r="V5" s="104">
        <v>-7.4804253573196791</v>
      </c>
      <c r="W5" s="109">
        <v>4142376.6974241952</v>
      </c>
    </row>
    <row r="6" spans="1:23">
      <c r="A6" s="99" t="s">
        <v>279</v>
      </c>
      <c r="B6" s="99" t="s">
        <v>298</v>
      </c>
      <c r="D6" s="104" t="s">
        <v>306</v>
      </c>
      <c r="E6" s="104">
        <v>8.98</v>
      </c>
      <c r="F6" s="104">
        <v>2.8391971707711545</v>
      </c>
      <c r="G6" s="104">
        <v>-0.66080282922884526</v>
      </c>
      <c r="H6" s="104">
        <v>1.253111937916598</v>
      </c>
      <c r="I6" s="104">
        <v>2.8391971707711545</v>
      </c>
      <c r="J6" s="104">
        <v>-0.66080282922884526</v>
      </c>
      <c r="K6" s="104">
        <v>1.253111937916598</v>
      </c>
      <c r="L6" s="104">
        <v>3.1241399999999997</v>
      </c>
      <c r="M6" s="104">
        <v>2.1241399999999997</v>
      </c>
      <c r="N6" s="104">
        <v>2.2142771026602857</v>
      </c>
      <c r="O6" s="104">
        <v>2.5099399999999998</v>
      </c>
      <c r="P6" s="104">
        <v>1.5099399999999998</v>
      </c>
      <c r="Q6" s="104">
        <v>1.6000771026602858</v>
      </c>
      <c r="R6" s="104">
        <v>-7.1586315123134625</v>
      </c>
      <c r="S6" s="104">
        <v>-8.7499069752652456</v>
      </c>
      <c r="T6" s="104">
        <v>-4.1890028292288459</v>
      </c>
      <c r="U6" s="104">
        <v>-7.689002829228845</v>
      </c>
      <c r="V6" s="104">
        <v>-5.7750880620834018</v>
      </c>
      <c r="W6" s="109">
        <v>11950.736513757478</v>
      </c>
    </row>
    <row r="7" spans="1:23">
      <c r="A7" s="99" t="s">
        <v>281</v>
      </c>
      <c r="B7" s="99" t="s">
        <v>299</v>
      </c>
      <c r="D7" s="104" t="s">
        <v>306</v>
      </c>
      <c r="E7" s="104">
        <v>9.42</v>
      </c>
      <c r="F7" s="104">
        <v>2.6480571707711547</v>
      </c>
      <c r="G7" s="104">
        <v>-0.85194282922884523</v>
      </c>
      <c r="H7" s="104">
        <v>0.63807724313625658</v>
      </c>
      <c r="I7" s="104">
        <v>2.6480571707711547</v>
      </c>
      <c r="J7" s="104">
        <v>-0.85194282922884523</v>
      </c>
      <c r="K7" s="104">
        <v>0.63807724313625658</v>
      </c>
      <c r="L7" s="104">
        <v>2.9310999999999998</v>
      </c>
      <c r="M7" s="104">
        <v>1.9310999999999998</v>
      </c>
      <c r="N7" s="104">
        <v>1.9665842867520158</v>
      </c>
      <c r="O7" s="104">
        <v>2.3036000000000003</v>
      </c>
      <c r="P7" s="104">
        <v>1.3036000000000003</v>
      </c>
      <c r="Q7" s="104">
        <v>1.3390842867520163</v>
      </c>
      <c r="R7" s="104">
        <v>-9.0697715123134621</v>
      </c>
      <c r="S7" s="104">
        <v>-11.093899313542053</v>
      </c>
      <c r="T7" s="104">
        <v>-4.3744428292288458</v>
      </c>
      <c r="U7" s="104">
        <v>-7.8744428292288458</v>
      </c>
      <c r="V7" s="104">
        <v>-6.3844227568637439</v>
      </c>
      <c r="W7" s="109">
        <v>83552.063371558252</v>
      </c>
    </row>
    <row r="8" spans="1:23">
      <c r="A8" s="99" t="s">
        <v>283</v>
      </c>
      <c r="B8" s="99" t="s">
        <v>300</v>
      </c>
      <c r="D8" s="104" t="s">
        <v>270</v>
      </c>
      <c r="E8" s="104">
        <v>4.1500000000000004</v>
      </c>
      <c r="F8" s="104">
        <v>0.58575717077115463</v>
      </c>
      <c r="G8" s="104">
        <v>-2.9142428292288449</v>
      </c>
      <c r="H8" s="104">
        <v>-2.4707110619648174</v>
      </c>
      <c r="I8" s="104">
        <v>0.58575717077115463</v>
      </c>
      <c r="J8" s="104">
        <v>-2.9142428292288449</v>
      </c>
      <c r="K8" s="104">
        <v>-2.4707110619648174</v>
      </c>
      <c r="L8" s="104">
        <v>0.84829999999999983</v>
      </c>
      <c r="M8" s="104">
        <v>-0.15170000000000008</v>
      </c>
      <c r="N8" s="104">
        <v>-0.14950877691100511</v>
      </c>
      <c r="O8" s="104">
        <v>7.7300000000000021E-2</v>
      </c>
      <c r="P8" s="104">
        <v>7.7300000000000021E-2</v>
      </c>
      <c r="Q8" s="104">
        <v>7.7300000000000021E-2</v>
      </c>
      <c r="R8" s="104">
        <v>-8.6220715123134628</v>
      </c>
      <c r="S8" s="104">
        <v>-11.872315665405687</v>
      </c>
      <c r="T8" s="104">
        <v>-6.3752428292288457</v>
      </c>
      <c r="U8" s="104">
        <v>-9.8752428292288439</v>
      </c>
      <c r="V8" s="104">
        <v>-9.4317110619648172</v>
      </c>
      <c r="W8" s="109">
        <v>16246.023058549605</v>
      </c>
    </row>
    <row r="9" spans="1:23">
      <c r="A9" s="99" t="s">
        <v>285</v>
      </c>
      <c r="B9" s="99" t="s">
        <v>301</v>
      </c>
      <c r="D9" s="104" t="s">
        <v>270</v>
      </c>
      <c r="E9" s="104">
        <v>2.9</v>
      </c>
      <c r="F9" s="104">
        <v>2.7084171707711544</v>
      </c>
      <c r="G9" s="104">
        <v>-0.79158282922884515</v>
      </c>
      <c r="H9" s="104">
        <v>-0.75020387745085804</v>
      </c>
      <c r="I9" s="104">
        <v>2.7084171707711544</v>
      </c>
      <c r="J9" s="104">
        <v>-0.79158282922884515</v>
      </c>
      <c r="K9" s="104">
        <v>-0.75020387745085804</v>
      </c>
      <c r="L9" s="104">
        <v>2.9920599999999995</v>
      </c>
      <c r="M9" s="104">
        <v>1.9920599999999999</v>
      </c>
      <c r="N9" s="104">
        <v>1.9921835808834203</v>
      </c>
      <c r="O9" s="104">
        <v>2.3687600000000004</v>
      </c>
      <c r="P9" s="104">
        <v>2.3687600000000004</v>
      </c>
      <c r="Q9" s="104">
        <v>2.3687600000000004</v>
      </c>
      <c r="R9" s="104">
        <v>-6.6394115123134627</v>
      </c>
      <c r="S9" s="104">
        <v>-11.139425245693701</v>
      </c>
      <c r="T9" s="104">
        <v>-4.3158828292288458</v>
      </c>
      <c r="U9" s="104">
        <v>-7.8158828292288449</v>
      </c>
      <c r="V9" s="104">
        <v>-7.7745038774508588</v>
      </c>
      <c r="W9" s="109">
        <v>65711347.043996654</v>
      </c>
    </row>
    <row r="10" spans="1:23">
      <c r="A10" s="99" t="s">
        <v>287</v>
      </c>
      <c r="B10" s="99" t="s">
        <v>302</v>
      </c>
      <c r="D10" s="104" t="s">
        <v>270</v>
      </c>
      <c r="E10" s="104">
        <v>4.1500000000000004</v>
      </c>
      <c r="F10" s="104">
        <v>3.0806371707711548</v>
      </c>
      <c r="G10" s="104">
        <v>-0.4193628292288451</v>
      </c>
      <c r="H10" s="104">
        <v>2.4168938035182792E-2</v>
      </c>
      <c r="I10" s="104">
        <v>3.0806371707711548</v>
      </c>
      <c r="J10" s="104">
        <v>-0.4193628292288451</v>
      </c>
      <c r="K10" s="104">
        <v>2.4168938035182792E-2</v>
      </c>
      <c r="L10" s="104">
        <v>3.3679800000000002</v>
      </c>
      <c r="M10" s="104">
        <v>2.3679800000000002</v>
      </c>
      <c r="N10" s="104">
        <v>2.3701712230889953</v>
      </c>
      <c r="O10" s="104">
        <v>2.7705799999999998</v>
      </c>
      <c r="P10" s="104">
        <v>2.7705799999999998</v>
      </c>
      <c r="Q10" s="104">
        <v>2.7705799999999998</v>
      </c>
      <c r="R10" s="104">
        <v>-9.1971915123134647</v>
      </c>
      <c r="S10" s="104">
        <v>-12.447435665405685</v>
      </c>
      <c r="T10" s="104">
        <v>-3.9547628292288457</v>
      </c>
      <c r="U10" s="104">
        <v>-7.4547628292288444</v>
      </c>
      <c r="V10" s="104">
        <v>-7.0112310619648177</v>
      </c>
      <c r="W10" s="109">
        <v>29871.255476848626</v>
      </c>
    </row>
    <row r="11" spans="1:23">
      <c r="A11" s="99" t="s">
        <v>289</v>
      </c>
      <c r="B11" s="99" t="s">
        <v>303</v>
      </c>
      <c r="D11" s="104" t="s">
        <v>270</v>
      </c>
      <c r="E11" s="104">
        <v>4.45</v>
      </c>
      <c r="F11" s="104">
        <v>3.6339371707711541</v>
      </c>
      <c r="G11" s="104">
        <v>0.13393717077115466</v>
      </c>
      <c r="H11" s="104">
        <v>0.79128339889788069</v>
      </c>
      <c r="I11" s="104">
        <v>3.6339371707711541</v>
      </c>
      <c r="J11" s="104">
        <v>0.13393717077115466</v>
      </c>
      <c r="K11" s="104">
        <v>0.79128339889788069</v>
      </c>
      <c r="L11" s="104">
        <v>3.9267799999999999</v>
      </c>
      <c r="M11" s="104">
        <v>2.9267799999999995</v>
      </c>
      <c r="N11" s="104">
        <v>2.9311387165398459</v>
      </c>
      <c r="O11" s="104">
        <v>3.3678799999999995</v>
      </c>
      <c r="P11" s="104">
        <v>3.3678799999999995</v>
      </c>
      <c r="Q11" s="104">
        <v>3.3678799999999995</v>
      </c>
      <c r="R11" s="104">
        <v>-5.7738915123134635</v>
      </c>
      <c r="S11" s="104">
        <v>-8.724378525568893</v>
      </c>
      <c r="T11" s="104">
        <v>-3.4179628292288453</v>
      </c>
      <c r="U11" s="104">
        <v>-6.9179628292288458</v>
      </c>
      <c r="V11" s="104">
        <v>-6.2606166011021189</v>
      </c>
      <c r="W11" s="109">
        <v>39724.008701257342</v>
      </c>
    </row>
    <row r="12" spans="1:23">
      <c r="A12" s="99" t="s">
        <v>291</v>
      </c>
      <c r="B12" s="99" t="s">
        <v>304</v>
      </c>
      <c r="D12" s="104" t="s">
        <v>270</v>
      </c>
      <c r="E12" s="104">
        <v>6.68</v>
      </c>
      <c r="F12" s="104">
        <v>3.2717771707711547</v>
      </c>
      <c r="G12" s="104">
        <v>-0.22822282922884518</v>
      </c>
      <c r="H12" s="104">
        <v>2.4767511163848455</v>
      </c>
      <c r="I12" s="104">
        <v>3.2717771707711547</v>
      </c>
      <c r="J12" s="104">
        <v>-0.22822282922884518</v>
      </c>
      <c r="K12" s="104">
        <v>2.4767511163848455</v>
      </c>
      <c r="L12" s="104">
        <v>3.5610200000000001</v>
      </c>
      <c r="M12" s="104">
        <v>2.5610200000000001</v>
      </c>
      <c r="N12" s="104">
        <v>2.9484888017118567</v>
      </c>
      <c r="O12" s="104">
        <v>2.9769200000000002</v>
      </c>
      <c r="P12" s="104">
        <v>2.9769200000000002</v>
      </c>
      <c r="Q12" s="104">
        <v>2.9769200000000002</v>
      </c>
      <c r="R12" s="104">
        <v>-14.856051512313464</v>
      </c>
      <c r="S12" s="104">
        <v>-15.651797718723627</v>
      </c>
      <c r="T12" s="104">
        <v>-3.7693228292288454</v>
      </c>
      <c r="U12" s="104">
        <v>-7.2693228292288454</v>
      </c>
      <c r="V12" s="104">
        <v>-4.5643488836151542</v>
      </c>
      <c r="W12" s="109">
        <v>625.03968782777258</v>
      </c>
    </row>
    <row r="13" spans="1:23">
      <c r="A13" s="99" t="s">
        <v>293</v>
      </c>
      <c r="B13" s="99" t="s">
        <v>305</v>
      </c>
      <c r="D13" s="104" t="s">
        <v>270</v>
      </c>
      <c r="E13" s="104">
        <v>4.9000000000000004</v>
      </c>
      <c r="F13" s="104">
        <v>2.5977571707711546</v>
      </c>
      <c r="G13" s="104">
        <v>-0.90224282922884524</v>
      </c>
      <c r="H13" s="104">
        <v>0.13777866309669651</v>
      </c>
      <c r="I13" s="104">
        <v>2.5977571707711546</v>
      </c>
      <c r="J13" s="104">
        <v>-0.90224282922884524</v>
      </c>
      <c r="K13" s="104">
        <v>0.13777866309669651</v>
      </c>
      <c r="L13" s="104">
        <v>2.8803000000000001</v>
      </c>
      <c r="M13" s="104">
        <v>1.8803000000000003</v>
      </c>
      <c r="N13" s="104">
        <v>1.892449729275355</v>
      </c>
      <c r="O13" s="104">
        <v>2.2493000000000003</v>
      </c>
      <c r="P13" s="104">
        <v>2.2493000000000003</v>
      </c>
      <c r="Q13" s="104">
        <v>2.2493000000000003</v>
      </c>
      <c r="R13" s="104">
        <v>-11.160071512313463</v>
      </c>
      <c r="S13" s="104">
        <v>-13.661442705146145</v>
      </c>
      <c r="T13" s="104">
        <v>-4.4232428292288466</v>
      </c>
      <c r="U13" s="104">
        <v>-7.9232428292288448</v>
      </c>
      <c r="V13" s="104">
        <v>-6.8832213369033042</v>
      </c>
      <c r="W13" s="109">
        <v>11919.446594505627</v>
      </c>
    </row>
    <row r="14" spans="1:23">
      <c r="V14" s="104">
        <v>-5.972553040415324</v>
      </c>
      <c r="W14" s="109">
        <v>28963.800082798571</v>
      </c>
    </row>
    <row r="15" spans="1:23">
      <c r="V15" s="104">
        <v>-2.9274330404153242</v>
      </c>
      <c r="W15" s="109">
        <v>12.56089672323527</v>
      </c>
    </row>
    <row r="16" spans="1:23">
      <c r="V16" s="104">
        <v>-5.7285530404153233</v>
      </c>
      <c r="W16" s="109">
        <v>8979.8909576819369</v>
      </c>
    </row>
    <row r="17" spans="22:23">
      <c r="V17" s="104">
        <v>-4.069353040415324</v>
      </c>
      <c r="W17" s="109">
        <v>626.53166819857029</v>
      </c>
    </row>
    <row r="18" spans="22:23">
      <c r="V18" s="104">
        <v>-6.6850330404153233</v>
      </c>
      <c r="W18" s="109">
        <v>812705.20350070496</v>
      </c>
    </row>
    <row r="19" spans="22:23">
      <c r="V19" s="104">
        <v>-2.8103130404153247</v>
      </c>
      <c r="W19" s="109">
        <v>6.1546452767517135</v>
      </c>
    </row>
    <row r="20" spans="22:23">
      <c r="V20" s="104">
        <v>-5.2307930404153238</v>
      </c>
      <c r="W20" s="109">
        <v>4474.3438472499129</v>
      </c>
    </row>
    <row r="21" spans="22:23">
      <c r="V21" s="104">
        <v>-4.2255130404153238</v>
      </c>
      <c r="W21" s="109">
        <v>72.21058573154545</v>
      </c>
    </row>
    <row r="22" spans="22:23">
      <c r="V22" s="104">
        <v>-0.95591304041532443</v>
      </c>
      <c r="W22" s="99">
        <v>0.15737376506224787</v>
      </c>
    </row>
    <row r="23" spans="22:23">
      <c r="V23" s="104">
        <v>-3.6301530404153244</v>
      </c>
      <c r="W23" s="99">
        <v>24.127633886971566</v>
      </c>
    </row>
    <row r="24" spans="22:23">
      <c r="V24" s="104">
        <v>-2.9274330404153242</v>
      </c>
      <c r="W24" s="99">
        <v>37.759750885799207</v>
      </c>
    </row>
    <row r="25" spans="22:23">
      <c r="V25" s="104">
        <v>-3.5032730404153236</v>
      </c>
      <c r="W25" s="99">
        <v>62.15313329585608</v>
      </c>
    </row>
    <row r="26" spans="22:23">
      <c r="V26" s="104">
        <v>-5.6309530404153234</v>
      </c>
      <c r="W26" s="99">
        <v>10408.697633503043</v>
      </c>
    </row>
    <row r="27" spans="22:23">
      <c r="V27" s="104">
        <v>-3.532553040415324</v>
      </c>
      <c r="W27" s="99">
        <v>160.11066480410554</v>
      </c>
    </row>
    <row r="28" spans="22:23">
      <c r="V28" s="104">
        <v>-3.7960730404153242</v>
      </c>
      <c r="W28" s="99">
        <v>254.32592954033385</v>
      </c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2024-04-10T19:46:07Z</dcterms:modified>
</cp:coreProperties>
</file>