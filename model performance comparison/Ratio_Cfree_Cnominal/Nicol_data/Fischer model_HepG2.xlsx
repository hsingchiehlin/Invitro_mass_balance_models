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Validation_Unilever\"/>
    </mc:Choice>
  </mc:AlternateContent>
  <xr:revisionPtr revIDLastSave="0" documentId="13_ncr:1_{A522DC97-F9FF-4CEF-9A95-B2612FE9E50F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C16" i="4" l="1"/>
  <c r="J21" i="4" l="1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J10" i="4"/>
  <c r="J9" i="4"/>
  <c r="J19" i="4"/>
  <c r="J8" i="4" l="1"/>
  <c r="K14" i="4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J36" i="4"/>
  <c r="K36" i="4" s="1"/>
  <c r="O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J51" i="4"/>
  <c r="K51" i="4" s="1"/>
  <c r="O51" i="4" s="1"/>
  <c r="P51" i="4" s="1"/>
  <c r="J39" i="4"/>
  <c r="K39" i="4" s="1"/>
  <c r="O39" i="4" s="1"/>
  <c r="P39" i="4" s="1"/>
  <c r="J38" i="4"/>
  <c r="K38" i="4" s="1"/>
  <c r="O38" i="4" s="1"/>
  <c r="J56" i="4"/>
  <c r="K56" i="4" s="1"/>
  <c r="O56" i="4" s="1"/>
  <c r="P56" i="4" s="1"/>
  <c r="J46" i="4"/>
  <c r="K46" i="4" s="1"/>
  <c r="O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J40" i="4"/>
  <c r="K40" i="4" s="1"/>
  <c r="O40" i="4" s="1"/>
  <c r="P40" i="4" s="1"/>
  <c r="J54" i="4"/>
  <c r="K54" i="4" s="1"/>
  <c r="O54" i="4" s="1"/>
  <c r="J43" i="4"/>
  <c r="K43" i="4" s="1"/>
  <c r="O43" i="4" s="1"/>
  <c r="J57" i="4"/>
  <c r="K57" i="4" s="1"/>
  <c r="O57" i="4" s="1"/>
  <c r="P57" i="4" s="1"/>
  <c r="J53" i="4"/>
  <c r="K53" i="4" s="1"/>
  <c r="O53" i="4" s="1"/>
  <c r="J49" i="4"/>
  <c r="K49" i="4" s="1"/>
  <c r="O49" i="4" s="1"/>
  <c r="J41" i="4"/>
  <c r="K41" i="4" s="1"/>
  <c r="O41" i="4" s="1"/>
  <c r="J59" i="4"/>
  <c r="K59" i="4" s="1"/>
  <c r="O59" i="4" s="1"/>
  <c r="P59" i="4" s="1"/>
  <c r="J50" i="4"/>
  <c r="K50" i="4" s="1"/>
  <c r="O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I28" i="4"/>
  <c r="N28" i="4" s="1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P41" i="4" l="1"/>
  <c r="P54" i="4"/>
  <c r="P47" i="4"/>
  <c r="P38" i="4"/>
  <c r="P37" i="4"/>
  <c r="P50" i="4"/>
  <c r="P36" i="4"/>
  <c r="P49" i="4"/>
  <c r="P46" i="4"/>
  <c r="P53" i="4"/>
  <c r="P43" i="4"/>
  <c r="P42" i="4"/>
  <c r="L66" i="4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O28" i="4" s="1"/>
  <c r="R28" i="4" s="1"/>
  <c r="L28" i="4"/>
  <c r="M28" i="4" s="1"/>
  <c r="L32" i="4"/>
  <c r="M32" i="4" s="1"/>
  <c r="K32" i="4"/>
  <c r="O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L29" i="4"/>
  <c r="M29" i="4" s="1"/>
  <c r="P29" i="4" l="1"/>
  <c r="P32" i="4"/>
  <c r="P28" i="4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<sst xmlns="http://schemas.openxmlformats.org/spreadsheetml/2006/main" count="163" uniqueCount="139">
  <si>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</si>
  <si>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</si>
  <si>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</si>
  <si>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</si>
  <si>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</si>
  <si>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</si>
  <si>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</si>
  <si>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</si>
  <si>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</si>
  <si>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</si>
  <si>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</si>
  <si>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</si>
  <si>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</si>
  <si>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</si>
  <si>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</si>
  <si>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</si>
  <si>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</si>
  <si>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</si>
  <si>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</si>
  <si>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</si>
  <si>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</si>
  <si>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</si>
  <si>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</si>
  <si>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</si>
  <si>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</si>
  <si>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</si>
  <si>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</si>
  <si>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</si>
  <si>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</si>
  <si>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</si>
  <si>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</si>
  <si>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</si>
  <si>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</si>
  <si>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</si>
  <si>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</si>
  <si>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</si>
  <si>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</si>
  <si>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</si>
  <si>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</si>
  <si>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</si>
  <si>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</si>
  <si>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</si>
  <si>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</si>
  <si>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</si>
  <si>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</si>
  <si>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</si>
  <si>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</si>
  <si>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</si>
  <si>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</si>
  <si>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</si>
  <si>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</si>
  <si>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</si>
  <si>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</si>
  <si>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</si>
  <si>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</si>
  <si>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</si>
  <si>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</si>
  <si>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</si>
  <si>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</si>
  <si>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</si>
  <si>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</si>
  <si>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</si>
  <si>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</si>
  <si>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</si>
  <si>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</si>
  <si>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</si>
  <si>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</si>
  <si>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</si>
  <si>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</si>
  <si>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</si>
  <si>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</si>
  <si>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</si>
  <si>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</si>
  <si>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</si>
  <si>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</si>
  <si>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</si>
  <si>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</si>
  <si>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</si>
  <si>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</si>
  <si>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</si>
  <si>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</si>
  <si>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</si>
  <si>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</si>
  <si>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</si>
  <si>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</si>
  <si>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</si>
  <si>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</si>
  <si>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Chlorpyrifos</t>
  </si>
  <si>
    <t>2921-88-2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</si>
  <si>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</si>
  <si>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</si>
  <si>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</si>
  <si>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</si>
  <si>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</si>
  <si>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</si>
  <si>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</si>
  <si>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</si>
  <si>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</si>
  <si>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</si>
  <si>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</si>
  <si>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</si>
  <si>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</si>
  <si>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</si>
  <si>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</si>
  <si>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</si>
  <si>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</si>
  <si>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</si>
  <si>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</si>
  <si>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</si>
  <si>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</si>
  <si>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</si>
  <si>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</si>
  <si>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</si>
  <si>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</si>
  <si>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</si>
  <si>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Ibuprofen</t>
  </si>
  <si>
    <t>15687-27-1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</si>
  <si>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</si>
  <si>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</si>
  <si>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</si>
  <si>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</si>
  <si>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</si>
  <si>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</si>
  <si>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</si>
  <si>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</si>
  <si>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</si>
  <si>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</si>
  <si>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</si>
  <si>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</si>
  <si>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</si>
  <si>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</si>
  <si>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</si>
  <si>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</si>
  <si>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</si>
  <si>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</si>
  <si>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</si>
  <si>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</si>
  <si>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Warfarin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</si>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</sst>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00000"/>
    <numFmt numFmtId="178" formatCode="0.00000000000"/>
    <numFmt numFmtId="179" formatCode="0.0%"/>
  </numFmts>
  <fonts count="21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72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2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20" fillId="2" borderId="7" xfId="0" applyNumberFormat="1" applyFont="1" applyFill="1" applyBorder="1" applyAlignment="1" applyProtection="1">
      <alignment horizontal="center" vertical="center"/>
      <protection hidden="1"/>
    </xf>
    <xf numFmtId="11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7" borderId="7" xfId="0" applyNumberFormat="1" applyFont="1" applyFill="1" applyBorder="1" applyAlignment="1" applyProtection="1">
      <alignment horizontal="center" vertical="center"/>
      <protection hidden="1"/>
    </xf>
    <xf numFmtId="0" fontId="4" fillId="8" borderId="7" xfId="0" applyFont="1" applyFill="1" applyBorder="1" applyAlignment="1" applyProtection="1">
      <alignment horizontal="left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zoomScale="90" zoomScaleNormal="90" workbookViewId="0">
      <selection activeCell="K7" sqref="K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97" t="s">
        <v>59</v>
      </c>
      <c r="C2" s="98"/>
      <c r="D2" s="98"/>
      <c r="E2" s="98"/>
      <c r="F2" s="98"/>
      <c r="G2" s="98"/>
      <c r="H2" s="99"/>
      <c r="I2" s="7"/>
      <c r="J2" s="88" t="s">
        <v>58</v>
      </c>
      <c r="K2" s="89"/>
      <c r="L2" s="89"/>
      <c r="M2" s="89"/>
      <c r="N2" s="89"/>
      <c r="O2" s="90"/>
      <c r="P2" s="7"/>
      <c r="Q2" s="88" t="s">
        <v>60</v>
      </c>
      <c r="R2" s="89"/>
      <c r="S2" s="89"/>
      <c r="T2" s="89"/>
      <c r="U2" s="89"/>
      <c r="V2" s="90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91"/>
      <c r="K3" s="92"/>
      <c r="L3" s="92"/>
      <c r="M3" s="92"/>
      <c r="N3" s="92"/>
      <c r="O3" s="93"/>
      <c r="P3" s="7"/>
      <c r="Q3" s="91"/>
      <c r="R3" s="92"/>
      <c r="S3" s="92"/>
      <c r="T3" s="92"/>
      <c r="U3" s="92"/>
      <c r="V3" s="93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94"/>
      <c r="K4" s="95"/>
      <c r="L4" s="95"/>
      <c r="M4" s="95"/>
      <c r="N4" s="95"/>
      <c r="O4" s="96"/>
      <c r="P4" s="7"/>
      <c r="Q4" s="94"/>
      <c r="R4" s="95"/>
      <c r="S4" s="95"/>
      <c r="T4" s="95"/>
      <c r="U4" s="95"/>
      <c r="V4" s="96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32" t="s">
        <v>14</v>
      </c>
      <c r="L7" s="33">
        <v>0</v>
      </c>
      <c r="M7" s="34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32" t="s">
        <v>17</v>
      </c>
      <c r="L10" s="33">
        <v>52.76</v>
      </c>
      <c r="M10" s="33">
        <v>1.57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59">
        <v>2.6539699999999999E-3</v>
      </c>
      <c r="M17" s="59">
        <v>2.8729E-4</v>
      </c>
      <c r="N17" s="59">
        <v>9.6910000000000006E-5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7"/>
      <c r="M23" s="7"/>
      <c r="N23" s="7"/>
      <c r="O23" s="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D32" zoomScale="90" zoomScaleNormal="90" workbookViewId="0">
      <selection activeCell="R28" sqref="R28:R57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25"/>
      <c r="H1" s="12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25"/>
      <c r="H2" s="125"/>
      <c r="I2" s="138" t="s">
        <v>20</v>
      </c>
      <c r="J2" s="139"/>
      <c r="K2" s="139"/>
      <c r="L2" s="139"/>
      <c r="M2" s="139"/>
      <c r="N2" s="139"/>
      <c r="O2" s="139"/>
      <c r="P2" s="139"/>
      <c r="Q2" s="14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25"/>
      <c r="H3" s="125"/>
      <c r="I3" s="141"/>
      <c r="J3" s="142"/>
      <c r="K3" s="142"/>
      <c r="L3" s="142"/>
      <c r="M3" s="142"/>
      <c r="N3" s="142"/>
      <c r="O3" s="142"/>
      <c r="P3" s="142"/>
      <c r="Q3" s="14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25"/>
      <c r="H4" s="125"/>
      <c r="I4" s="144"/>
      <c r="J4" s="145"/>
      <c r="K4" s="145"/>
      <c r="L4" s="145"/>
      <c r="M4" s="145"/>
      <c r="N4" s="145"/>
      <c r="O4" s="145"/>
      <c r="P4" s="145"/>
      <c r="Q4" s="14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25"/>
      <c r="H5" s="125"/>
      <c r="I5" s="147" t="s">
        <v>40</v>
      </c>
      <c r="J5" s="148"/>
      <c r="K5" s="148"/>
      <c r="L5" s="148"/>
      <c r="M5" s="148"/>
      <c r="N5" s="148"/>
      <c r="O5" s="148"/>
      <c r="P5" s="148"/>
      <c r="Q5" s="14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25"/>
      <c r="H6" s="125"/>
      <c r="I6" s="50" t="s">
        <v>51</v>
      </c>
      <c r="J6" s="50" t="s">
        <v>52</v>
      </c>
      <c r="K6" s="50" t="s">
        <v>48</v>
      </c>
      <c r="L6" s="117" t="s">
        <v>41</v>
      </c>
      <c r="M6" s="118"/>
      <c r="N6" s="118"/>
      <c r="O6" s="118"/>
      <c r="P6" s="118"/>
      <c r="Q6" s="11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25"/>
      <c r="H7" s="125"/>
      <c r="I7" s="51" t="s">
        <v>21</v>
      </c>
      <c r="J7" s="38">
        <f>SUM(J13,J19)</f>
        <v>300</v>
      </c>
      <c r="K7" s="39">
        <f>J7/J7</f>
        <v>1</v>
      </c>
      <c r="L7" s="100" t="s">
        <v>70</v>
      </c>
      <c r="M7" s="101"/>
      <c r="N7" s="101"/>
      <c r="O7" s="101"/>
      <c r="P7" s="101"/>
      <c r="Q7" s="10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63" t="s">
        <v>3</v>
      </c>
      <c r="C8" s="164"/>
      <c r="D8" s="164"/>
      <c r="E8" s="164"/>
      <c r="F8" s="165"/>
      <c r="G8" s="125"/>
      <c r="H8" s="125"/>
      <c r="I8" s="52" t="s">
        <v>6</v>
      </c>
      <c r="J8" s="38">
        <f>SUM(J14,J20)</f>
        <v>298.42452548330402</v>
      </c>
      <c r="K8" s="40">
        <f>J8/J7</f>
        <v>0.99474841827768012</v>
      </c>
      <c r="L8" s="100" t="s">
        <v>71</v>
      </c>
      <c r="M8" s="101"/>
      <c r="N8" s="101"/>
      <c r="O8" s="101"/>
      <c r="P8" s="101"/>
      <c r="Q8" s="10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66"/>
      <c r="C9" s="167"/>
      <c r="D9" s="167"/>
      <c r="E9" s="167"/>
      <c r="F9" s="168"/>
      <c r="G9" s="125"/>
      <c r="H9" s="125"/>
      <c r="I9" s="51" t="s">
        <v>8</v>
      </c>
      <c r="J9" s="41">
        <f t="shared" ref="J9:J10" si="0">SUM(J15,J21)</f>
        <v>1.5299472759226713</v>
      </c>
      <c r="K9" s="40">
        <f>J9/J7</f>
        <v>5.0998242530755711E-3</v>
      </c>
      <c r="L9" s="100" t="s">
        <v>71</v>
      </c>
      <c r="M9" s="101"/>
      <c r="N9" s="101"/>
      <c r="O9" s="101"/>
      <c r="P9" s="101"/>
      <c r="Q9" s="102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69"/>
      <c r="C10" s="170"/>
      <c r="D10" s="170"/>
      <c r="E10" s="170"/>
      <c r="F10" s="171"/>
      <c r="G10" s="125"/>
      <c r="H10" s="125"/>
      <c r="I10" s="52" t="s">
        <v>9</v>
      </c>
      <c r="J10" s="41">
        <f t="shared" si="0"/>
        <v>4.5527240773286466E-2</v>
      </c>
      <c r="K10" s="40">
        <f>J10/J7</f>
        <v>1.5175746924428823E-4</v>
      </c>
      <c r="L10" s="100" t="s">
        <v>71</v>
      </c>
      <c r="M10" s="101"/>
      <c r="N10" s="101"/>
      <c r="O10" s="101"/>
      <c r="P10" s="101"/>
      <c r="Q10" s="102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28" t="s">
        <v>38</v>
      </c>
      <c r="C11" s="129"/>
      <c r="D11" s="129"/>
      <c r="E11" s="129"/>
      <c r="F11" s="130"/>
      <c r="G11" s="125"/>
      <c r="H11" s="125"/>
      <c r="I11" s="116"/>
      <c r="J11" s="116"/>
      <c r="K11" s="116"/>
      <c r="L11" s="116"/>
      <c r="M11" s="116"/>
      <c r="N11" s="116"/>
      <c r="O11" s="116"/>
      <c r="P11" s="116"/>
      <c r="Q11" s="11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31"/>
      <c r="C12" s="132"/>
      <c r="D12" s="132"/>
      <c r="E12" s="132"/>
      <c r="F12" s="133"/>
      <c r="G12" s="125"/>
      <c r="H12" s="125"/>
      <c r="I12" s="50" t="s">
        <v>53</v>
      </c>
      <c r="J12" s="50" t="s">
        <v>52</v>
      </c>
      <c r="K12" s="50" t="s">
        <v>48</v>
      </c>
      <c r="L12" s="117" t="s">
        <v>41</v>
      </c>
      <c r="M12" s="118"/>
      <c r="N12" s="118"/>
      <c r="O12" s="118"/>
      <c r="P12" s="118"/>
      <c r="Q12" s="11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20" t="s">
        <v>4</v>
      </c>
      <c r="C13" s="121"/>
      <c r="D13" s="153" t="s">
        <v>41</v>
      </c>
      <c r="E13" s="153"/>
      <c r="F13" s="153"/>
      <c r="G13" s="125"/>
      <c r="H13" s="125"/>
      <c r="I13" s="51" t="s">
        <v>5</v>
      </c>
      <c r="J13" s="42">
        <f>SUM(J14:J16)</f>
        <v>300</v>
      </c>
      <c r="K13" s="39">
        <f>J13/J13</f>
        <v>1</v>
      </c>
      <c r="L13" s="100" t="s">
        <v>73</v>
      </c>
      <c r="M13" s="101"/>
      <c r="N13" s="101"/>
      <c r="O13" s="101"/>
      <c r="P13" s="101"/>
      <c r="Q13" s="102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300</v>
      </c>
      <c r="D14" s="154" t="s">
        <v>18</v>
      </c>
      <c r="E14" s="154"/>
      <c r="F14" s="154"/>
      <c r="G14" s="125"/>
      <c r="H14" s="125"/>
      <c r="I14" s="52" t="s">
        <v>45</v>
      </c>
      <c r="J14" s="42">
        <f>C14-SUM(J15:J16)</f>
        <v>298.42452548330402</v>
      </c>
      <c r="K14" s="40">
        <f>J14/J13</f>
        <v>0.99474841827768012</v>
      </c>
      <c r="L14" s="122" t="s">
        <v>72</v>
      </c>
      <c r="M14" s="123"/>
      <c r="N14" s="123"/>
      <c r="O14" s="123"/>
      <c r="P14" s="123"/>
      <c r="Q14" s="12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32" t="s">
        <v>14</v>
      </c>
      <c r="D15" s="155" t="s">
        <v>62</v>
      </c>
      <c r="E15" s="155"/>
      <c r="F15" s="155"/>
      <c r="G15" s="125"/>
      <c r="H15" s="125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1.5299472759226713</v>
      </c>
      <c r="K15" s="40">
        <f>J15/J13</f>
        <v>5.0998242530755711E-3</v>
      </c>
      <c r="L15" s="100" t="s">
        <v>71</v>
      </c>
      <c r="M15" s="101"/>
      <c r="N15" s="101"/>
      <c r="O15" s="101"/>
      <c r="P15" s="101"/>
      <c r="Q15" s="102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f>1-C18</f>
        <v>0.90333919156414766</v>
      </c>
      <c r="D16" s="156" t="s">
        <v>42</v>
      </c>
      <c r="E16" s="157"/>
      <c r="F16" s="158"/>
      <c r="G16" s="125"/>
      <c r="H16" s="125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4.5527240773286466E-2</v>
      </c>
      <c r="K16" s="40">
        <f>J16/J13</f>
        <v>1.5175746924428823E-4</v>
      </c>
      <c r="L16" s="100" t="s">
        <v>71</v>
      </c>
      <c r="M16" s="101"/>
      <c r="N16" s="101"/>
      <c r="O16" s="101"/>
      <c r="P16" s="101"/>
      <c r="Q16" s="102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59" t="s">
        <v>63</v>
      </c>
      <c r="E17" s="160"/>
      <c r="F17" s="161"/>
      <c r="G17" s="125"/>
      <c r="H17" s="125"/>
      <c r="I17" s="122"/>
      <c r="J17" s="123"/>
      <c r="K17" s="123"/>
      <c r="L17" s="123"/>
      <c r="M17" s="123"/>
      <c r="N17" s="123"/>
      <c r="O17" s="123"/>
      <c r="P17" s="123"/>
      <c r="Q17" s="12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9.6660808435852369E-2</v>
      </c>
      <c r="D18" s="156" t="s">
        <v>43</v>
      </c>
      <c r="E18" s="157"/>
      <c r="F18" s="158"/>
      <c r="G18" s="125"/>
      <c r="H18" s="125"/>
      <c r="I18" s="50" t="s">
        <v>31</v>
      </c>
      <c r="J18" s="50" t="s">
        <v>52</v>
      </c>
      <c r="K18" s="50" t="s">
        <v>48</v>
      </c>
      <c r="L18" s="117" t="s">
        <v>41</v>
      </c>
      <c r="M18" s="118"/>
      <c r="N18" s="118"/>
      <c r="O18" s="118"/>
      <c r="P18" s="118"/>
      <c r="Q18" s="11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55"/>
      <c r="C19" s="155"/>
      <c r="D19" s="155"/>
      <c r="E19" s="155"/>
      <c r="F19" s="155"/>
      <c r="G19" s="125"/>
      <c r="H19" s="125"/>
      <c r="I19" s="51" t="s">
        <v>5</v>
      </c>
      <c r="J19" s="42">
        <f>SUM(J20:J22)</f>
        <v>3.0381700000000004E-36</v>
      </c>
      <c r="K19" s="39">
        <f>J19/J19</f>
        <v>1</v>
      </c>
      <c r="L19" s="100" t="s">
        <v>57</v>
      </c>
      <c r="M19" s="101"/>
      <c r="N19" s="101"/>
      <c r="O19" s="101"/>
      <c r="P19" s="101"/>
      <c r="Q19" s="102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20" t="s">
        <v>7</v>
      </c>
      <c r="C20" s="121"/>
      <c r="D20" s="153" t="s">
        <v>41</v>
      </c>
      <c r="E20" s="153"/>
      <c r="F20" s="153"/>
      <c r="G20" s="125"/>
      <c r="H20" s="125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2.6539700000000002E-36</v>
      </c>
      <c r="K20" s="40">
        <f>J20/J19</f>
        <v>0.87354229684316542</v>
      </c>
      <c r="L20" s="100" t="s">
        <v>71</v>
      </c>
      <c r="M20" s="101"/>
      <c r="N20" s="101"/>
      <c r="O20" s="101"/>
      <c r="P20" s="101"/>
      <c r="Q20" s="102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77</v>
      </c>
      <c r="D21" s="159" t="s">
        <v>63</v>
      </c>
      <c r="E21" s="160"/>
      <c r="F21" s="161"/>
      <c r="G21" s="125"/>
      <c r="H21" s="125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2.8729000000000005E-37</v>
      </c>
      <c r="K21" s="40">
        <f>J21/J19</f>
        <v>9.4560212233021856E-2</v>
      </c>
      <c r="L21" s="100" t="s">
        <v>71</v>
      </c>
      <c r="M21" s="101"/>
      <c r="N21" s="101"/>
      <c r="O21" s="101"/>
      <c r="P21" s="101"/>
      <c r="Q21" s="102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1.0000000000000001E-30</v>
      </c>
      <c r="D22" s="162" t="s">
        <v>69</v>
      </c>
      <c r="E22" s="162"/>
      <c r="F22" s="162"/>
      <c r="G22" s="125"/>
      <c r="H22" s="125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9.6910000000000015E-38</v>
      </c>
      <c r="K22" s="40">
        <f>J22/J19</f>
        <v>3.1897490923812694E-2</v>
      </c>
      <c r="L22" s="100" t="s">
        <v>71</v>
      </c>
      <c r="M22" s="101"/>
      <c r="N22" s="101"/>
      <c r="O22" s="101"/>
      <c r="P22" s="101"/>
      <c r="Q22" s="10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50"/>
      <c r="C23" s="151"/>
      <c r="D23" s="151"/>
      <c r="E23" s="151"/>
      <c r="F23" s="152"/>
      <c r="G23" s="125"/>
      <c r="H23" s="125"/>
      <c r="I23" s="111"/>
      <c r="J23" s="112"/>
      <c r="K23" s="112"/>
      <c r="L23" s="112"/>
      <c r="M23" s="112"/>
      <c r="N23" s="112"/>
      <c r="O23" s="112"/>
      <c r="P23" s="112"/>
      <c r="Q23" s="11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28" t="s">
        <v>39</v>
      </c>
      <c r="C24" s="129"/>
      <c r="D24" s="129"/>
      <c r="E24" s="129"/>
      <c r="F24" s="130"/>
      <c r="G24" s="125"/>
      <c r="H24" s="125"/>
      <c r="I24" s="105" t="s">
        <v>44</v>
      </c>
      <c r="J24" s="106"/>
      <c r="K24" s="106"/>
      <c r="L24" s="106"/>
      <c r="M24" s="106"/>
      <c r="N24" s="106"/>
      <c r="O24" s="106"/>
      <c r="P24" s="106"/>
      <c r="Q24" s="10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31"/>
      <c r="C25" s="132"/>
      <c r="D25" s="132"/>
      <c r="E25" s="132"/>
      <c r="F25" s="133"/>
      <c r="G25" s="125"/>
      <c r="H25" s="125"/>
      <c r="I25" s="108"/>
      <c r="J25" s="109"/>
      <c r="K25" s="109"/>
      <c r="L25" s="109"/>
      <c r="M25" s="109"/>
      <c r="N25" s="109"/>
      <c r="O25" s="109"/>
      <c r="P25" s="109"/>
      <c r="Q25" s="11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26" t="s">
        <v>11</v>
      </c>
      <c r="C26" s="126" t="s">
        <v>12</v>
      </c>
      <c r="D26" s="134" t="s">
        <v>49</v>
      </c>
      <c r="E26" s="134" t="s">
        <v>50</v>
      </c>
      <c r="F26" s="136" t="s">
        <v>68</v>
      </c>
      <c r="G26" s="125"/>
      <c r="H26" s="125"/>
      <c r="I26" s="114" t="s">
        <v>55</v>
      </c>
      <c r="J26" s="114" t="s">
        <v>56</v>
      </c>
      <c r="K26" s="103" t="s">
        <v>76</v>
      </c>
      <c r="L26" s="103" t="s">
        <v>54</v>
      </c>
      <c r="M26" s="103" t="s">
        <v>61</v>
      </c>
      <c r="N26" s="103" t="s">
        <v>64</v>
      </c>
      <c r="O26" s="103" t="s">
        <v>75</v>
      </c>
      <c r="P26" s="103" t="s">
        <v>66</v>
      </c>
      <c r="Q26" s="103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27"/>
      <c r="C27" s="127"/>
      <c r="D27" s="135"/>
      <c r="E27" s="135"/>
      <c r="F27" s="137"/>
      <c r="G27" s="125"/>
      <c r="H27" s="125"/>
      <c r="I27" s="115"/>
      <c r="J27" s="115"/>
      <c r="K27" s="104"/>
      <c r="L27" s="104"/>
      <c r="M27" s="104"/>
      <c r="N27" s="104"/>
      <c r="O27" s="104"/>
      <c r="P27" s="104"/>
      <c r="Q27" s="104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47" t="s">
        <v>79</v>
      </c>
      <c r="C28" s="47" t="s">
        <v>80</v>
      </c>
      <c r="D28" s="48">
        <v>-0.1223633442417989</v>
      </c>
      <c r="E28" s="48">
        <v>-0.65153095448481257</v>
      </c>
      <c r="F28" s="58">
        <v>1.0000000000000001E-5</v>
      </c>
      <c r="G28" s="125"/>
      <c r="H28" s="125"/>
      <c r="I28" s="55">
        <f t="shared" ref="I28:I47" si="1">IF(D28=0,"",LOG($K$15*10^D28+$K$16*10^E28+$K$14))</f>
        <v>-5.9543910027850503E-4</v>
      </c>
      <c r="J28" s="55">
        <f t="shared" ref="J28:J47" si="2">IF(D28=0,"",LOG($K$21*10^D28+$K$22*10^E28+$K$20))</f>
        <v>-2.1363007670010294E-2</v>
      </c>
      <c r="K28" s="56">
        <f t="shared" ref="K28:K47" si="3">IF(D28=0,"",1/(1+10^D28*$J$15/$J$14+10^E28*$J$16/$J$14+10^J28*$J$19/$J$14))</f>
        <v>0.99611320267635428</v>
      </c>
      <c r="L28" s="56">
        <f t="shared" ref="L28:L47" si="4">IF(D28=0,"",1/(1+10^I28/10^J28*$J$13/$J$19))</f>
        <v>9.6543546341963657E-39</v>
      </c>
      <c r="M28" s="56">
        <f t="shared" ref="M28:M47" si="5">IF(D28=0,"",1-L28)</f>
        <v>1</v>
      </c>
      <c r="N28" s="56">
        <f t="shared" ref="N28:N47" si="6">IF(D28=0,"",1/(1/10^E28*$J$20/$J$22+10^D28/10^E28*$J$21/$J$22+10^I28/10^E28*$J$13/$J$22+1))</f>
        <v>7.2162542031819394E-41</v>
      </c>
      <c r="O28" s="57">
        <f t="shared" ref="O28:O47" si="7">IF(D28=0,"",F28*K28*$J$7/$J$14)</f>
        <v>1.0013719895137277E-5</v>
      </c>
      <c r="P28" s="57">
        <f t="shared" ref="P28:P47" si="8">IF(D28=0,"",O28*10^J28)</f>
        <v>9.5330623048048989E-6</v>
      </c>
      <c r="Q28" s="57">
        <f t="shared" ref="Q28:Q47" si="9">IF(D28=0,"",F28*N28*$J$7/$J$22)</f>
        <v>2.2339038911924274E-6</v>
      </c>
      <c r="R28" s="9">
        <f>O28/F28</f>
        <v>1.0013719895137276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87" t="s">
        <v>81</v>
      </c>
      <c r="C29" s="47" t="s">
        <v>82</v>
      </c>
      <c r="D29" s="48">
        <v>1.8253520000000001</v>
      </c>
      <c r="E29" s="48">
        <v>2.0793489999999997</v>
      </c>
      <c r="F29" s="58">
        <v>1.0000000000000001E-5</v>
      </c>
      <c r="G29" s="125"/>
      <c r="H29" s="125"/>
      <c r="I29" s="55">
        <f t="shared" si="1"/>
        <v>0.13164636702909191</v>
      </c>
      <c r="J29" s="55">
        <f t="shared" si="2"/>
        <v>1.0424856784642524</v>
      </c>
      <c r="K29" s="56">
        <f t="shared" si="3"/>
        <v>0.73462700702377792</v>
      </c>
      <c r="L29" s="56">
        <f t="shared" si="4"/>
        <v>8.247648194967044E-38</v>
      </c>
      <c r="M29" s="56">
        <f t="shared" si="5"/>
        <v>1</v>
      </c>
      <c r="N29" s="56">
        <f t="shared" si="6"/>
        <v>2.8638480523969026E-38</v>
      </c>
      <c r="O29" s="57">
        <f t="shared" si="7"/>
        <v>7.3850532810669902E-6</v>
      </c>
      <c r="P29" s="57">
        <f t="shared" si="8"/>
        <v>8.1440289993322073E-5</v>
      </c>
      <c r="Q29" s="57">
        <f t="shared" si="9"/>
        <v>8.8654877279854577E-4</v>
      </c>
      <c r="R29" s="9">
        <f t="shared" ref="R29:R57" si="10">O29/F29</f>
        <v>0.738505328106699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87" t="s">
        <v>83</v>
      </c>
      <c r="C30" s="47" t="s">
        <v>84</v>
      </c>
      <c r="D30" s="48">
        <v>2.848199987724402</v>
      </c>
      <c r="E30" s="48">
        <v>3.5741999825375301</v>
      </c>
      <c r="F30" s="58">
        <v>1.0000000000000001E-5</v>
      </c>
      <c r="G30" s="125"/>
      <c r="H30" s="125"/>
      <c r="I30" s="55">
        <f t="shared" si="1"/>
        <v>0.71260981758513819</v>
      </c>
      <c r="J30" s="55">
        <f t="shared" si="2"/>
        <v>2.2723110153039068</v>
      </c>
      <c r="K30" s="86">
        <f t="shared" si="3"/>
        <v>0.19279840631530765</v>
      </c>
      <c r="L30" s="56">
        <f t="shared" si="4"/>
        <v>3.6744472243375255E-37</v>
      </c>
      <c r="M30" s="56">
        <f t="shared" si="5"/>
        <v>1</v>
      </c>
      <c r="N30" s="56">
        <f t="shared" si="6"/>
        <v>2.3487538435783921E-37</v>
      </c>
      <c r="O30" s="57">
        <f t="shared" si="7"/>
        <v>1.9381624818174754E-6</v>
      </c>
      <c r="P30" s="57">
        <f t="shared" si="8"/>
        <v>3.6282833656485903E-4</v>
      </c>
      <c r="Q30" s="57">
        <f t="shared" si="9"/>
        <v>7.2709333719277423E-3</v>
      </c>
      <c r="R30" s="9">
        <f t="shared" si="10"/>
        <v>0.19381624818174753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7"/>
      <c r="B31" s="47" t="s">
        <v>85</v>
      </c>
      <c r="C31" s="47" t="s">
        <v>86</v>
      </c>
      <c r="D31" s="48">
        <v>-0.98996462433878363</v>
      </c>
      <c r="E31" s="48">
        <v>-1.885724324763622</v>
      </c>
      <c r="F31" s="58">
        <v>1.0000000000000001E-5</v>
      </c>
      <c r="G31" s="125"/>
      <c r="H31" s="125"/>
      <c r="I31" s="55">
        <f t="shared" si="1"/>
        <v>-2.0580843529421572E-3</v>
      </c>
      <c r="J31" s="55">
        <f t="shared" si="2"/>
        <v>-5.3727409846454792E-2</v>
      </c>
      <c r="K31" s="56">
        <f t="shared" si="3"/>
        <v>0.99947363318430105</v>
      </c>
      <c r="L31" s="56">
        <f t="shared" si="4"/>
        <v>8.9912793470842175E-39</v>
      </c>
      <c r="M31" s="56">
        <f t="shared" si="5"/>
        <v>1</v>
      </c>
      <c r="N31" s="56">
        <f t="shared" si="6"/>
        <v>4.2226112306732045E-42</v>
      </c>
      <c r="O31" s="57">
        <f t="shared" si="7"/>
        <v>1.0047501607640677E-5</v>
      </c>
      <c r="P31" s="57">
        <f t="shared" si="8"/>
        <v>8.8783175534129614E-6</v>
      </c>
      <c r="Q31" s="57">
        <f t="shared" si="9"/>
        <v>1.3071750791476229E-7</v>
      </c>
      <c r="R31" s="9">
        <f t="shared" si="10"/>
        <v>1.0047501607640676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47" t="s">
        <v>87</v>
      </c>
      <c r="C32" s="47" t="s">
        <v>88</v>
      </c>
      <c r="D32" s="48">
        <v>3.3511520000000004</v>
      </c>
      <c r="E32" s="48">
        <v>4.2962190000000007</v>
      </c>
      <c r="F32" s="58">
        <v>1.0000000000000001E-5</v>
      </c>
      <c r="G32" s="125"/>
      <c r="H32" s="125"/>
      <c r="I32" s="55">
        <f t="shared" si="1"/>
        <v>1.188756138930017</v>
      </c>
      <c r="J32" s="55">
        <f t="shared" si="2"/>
        <v>2.9263689728846836</v>
      </c>
      <c r="K32" s="56">
        <f t="shared" si="3"/>
        <v>6.441056642218651E-2</v>
      </c>
      <c r="L32" s="56">
        <f t="shared" si="4"/>
        <v>5.5348218949312704E-37</v>
      </c>
      <c r="M32" s="56">
        <f t="shared" si="5"/>
        <v>1</v>
      </c>
      <c r="N32" s="56">
        <f t="shared" si="6"/>
        <v>4.1372350940017382E-37</v>
      </c>
      <c r="O32" s="57">
        <f t="shared" si="7"/>
        <v>6.4750609539754562E-7</v>
      </c>
      <c r="P32" s="57">
        <f t="shared" si="8"/>
        <v>5.4652852489471668E-4</v>
      </c>
      <c r="Q32" s="57">
        <f t="shared" si="9"/>
        <v>1.2807455661959769E-2</v>
      </c>
      <c r="R32" s="9">
        <f t="shared" si="10"/>
        <v>6.4750609539754561E-2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47" t="s">
        <v>89</v>
      </c>
      <c r="C33" s="47" t="s">
        <v>90</v>
      </c>
      <c r="D33" s="48">
        <v>-7.2373500000194575</v>
      </c>
      <c r="E33" s="48">
        <v>-10.772850000027681</v>
      </c>
      <c r="F33" s="58">
        <v>1.0000000000000001E-5</v>
      </c>
      <c r="G33" s="125"/>
      <c r="H33" s="125"/>
      <c r="I33" s="55">
        <f t="shared" si="1"/>
        <v>-2.2867426119237313E-3</v>
      </c>
      <c r="J33" s="55">
        <f t="shared" si="2"/>
        <v>-5.8716058948248731E-2</v>
      </c>
      <c r="K33" s="56">
        <f t="shared" si="3"/>
        <v>0.9999999997031781</v>
      </c>
      <c r="L33" s="56">
        <f t="shared" si="4"/>
        <v>8.8932704560683238E-39</v>
      </c>
      <c r="M33" s="56">
        <f t="shared" si="5"/>
        <v>1</v>
      </c>
      <c r="N33" s="56">
        <f t="shared" si="6"/>
        <v>5.4787827717507093E-51</v>
      </c>
      <c r="O33" s="57">
        <f t="shared" si="7"/>
        <v>1.0052793061330932E-5</v>
      </c>
      <c r="P33" s="57">
        <f t="shared" si="8"/>
        <v>8.7815399955252553E-6</v>
      </c>
      <c r="Q33" s="57">
        <f t="shared" si="9"/>
        <v>1.6960425462028815E-16</v>
      </c>
      <c r="R33" s="9">
        <f t="shared" si="10"/>
        <v>1.0052793061330931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47" t="s">
        <v>91</v>
      </c>
      <c r="C34" s="47" t="s">
        <v>92</v>
      </c>
      <c r="D34" s="48">
        <v>0.89837073464087869</v>
      </c>
      <c r="E34" s="48">
        <v>0.80049921406660218</v>
      </c>
      <c r="F34" s="58">
        <v>1.0000000000000001E-5</v>
      </c>
      <c r="G34" s="125"/>
      <c r="H34" s="125"/>
      <c r="I34" s="55">
        <f t="shared" si="1"/>
        <v>1.5386877609496322E-2</v>
      </c>
      <c r="J34" s="55">
        <f t="shared" si="2"/>
        <v>0.26086747897772927</v>
      </c>
      <c r="K34" s="56">
        <f t="shared" si="3"/>
        <v>0.96012190831163979</v>
      </c>
      <c r="L34" s="56">
        <f t="shared" si="4"/>
        <v>1.7822614672490652E-38</v>
      </c>
      <c r="M34" s="56">
        <f t="shared" si="5"/>
        <v>1</v>
      </c>
      <c r="N34" s="56">
        <f t="shared" si="6"/>
        <v>1.9695167347418257E-39</v>
      </c>
      <c r="O34" s="57">
        <f t="shared" si="7"/>
        <v>9.6519068607719636E-6</v>
      </c>
      <c r="P34" s="57">
        <f t="shared" si="8"/>
        <v>1.7598700539295681E-5</v>
      </c>
      <c r="Q34" s="57">
        <f t="shared" si="9"/>
        <v>6.096945830384353E-5</v>
      </c>
      <c r="R34" s="9">
        <f t="shared" si="10"/>
        <v>0.96519068607719627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7"/>
      <c r="B35" s="47" t="s">
        <v>93</v>
      </c>
      <c r="C35" s="47" t="s">
        <v>94</v>
      </c>
      <c r="D35" s="48">
        <v>5.1201999877244022</v>
      </c>
      <c r="E35" s="48">
        <v>6.8061999825375299</v>
      </c>
      <c r="F35" s="58">
        <v>1.0000000000000001E-5</v>
      </c>
      <c r="G35" s="125"/>
      <c r="H35" s="125"/>
      <c r="I35" s="55">
        <f t="shared" si="1"/>
        <v>3.2161354663663526</v>
      </c>
      <c r="J35" s="55">
        <f t="shared" si="2"/>
        <v>5.3357094299621073</v>
      </c>
      <c r="K35" s="56">
        <f t="shared" si="3"/>
        <v>6.0475266503206301E-4</v>
      </c>
      <c r="L35" s="56">
        <f t="shared" si="4"/>
        <v>1.3337203567472012E-36</v>
      </c>
      <c r="M35" s="56">
        <f t="shared" si="5"/>
        <v>1</v>
      </c>
      <c r="N35" s="56">
        <f t="shared" si="6"/>
        <v>1.2569322084526718E-36</v>
      </c>
      <c r="O35" s="57">
        <f t="shared" si="7"/>
        <v>6.0794533966602276E-9</v>
      </c>
      <c r="P35" s="57">
        <f t="shared" si="8"/>
        <v>1.3169641824656315E-3</v>
      </c>
      <c r="Q35" s="57">
        <f t="shared" si="9"/>
        <v>3.8910294348963113E-2</v>
      </c>
      <c r="R35" s="9">
        <f t="shared" si="10"/>
        <v>6.0794533966602267E-4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47" t="s">
        <v>95</v>
      </c>
      <c r="C36" s="47" t="s">
        <v>96</v>
      </c>
      <c r="D36" s="48">
        <v>1.6430320000000003</v>
      </c>
      <c r="E36" s="48">
        <v>1.9699289999999996</v>
      </c>
      <c r="F36" s="58">
        <v>1.0000000000000001E-5</v>
      </c>
      <c r="G36" s="125"/>
      <c r="H36" s="125"/>
      <c r="I36" s="55">
        <f t="shared" si="1"/>
        <v>9.0992645106186959E-2</v>
      </c>
      <c r="J36" s="55">
        <f t="shared" si="2"/>
        <v>0.90344400080625353</v>
      </c>
      <c r="K36" s="86">
        <f t="shared" si="3"/>
        <v>0.80671589141972888</v>
      </c>
      <c r="L36" s="56">
        <f t="shared" si="4"/>
        <v>6.575702735159066E-38</v>
      </c>
      <c r="M36" s="56">
        <f t="shared" si="5"/>
        <v>1</v>
      </c>
      <c r="N36" s="56">
        <f t="shared" si="6"/>
        <v>2.4444642702823918E-38</v>
      </c>
      <c r="O36" s="57">
        <f t="shared" si="7"/>
        <v>8.1097479181367992E-6</v>
      </c>
      <c r="P36" s="57">
        <f t="shared" si="8"/>
        <v>6.4930889994559878E-5</v>
      </c>
      <c r="Q36" s="57">
        <f t="shared" si="9"/>
        <v>7.5672199059407435E-4</v>
      </c>
      <c r="R36" s="9">
        <f t="shared" si="10"/>
        <v>0.81097479181367982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47" t="s">
        <v>97</v>
      </c>
      <c r="C37" s="47" t="s">
        <v>98</v>
      </c>
      <c r="D37" s="48">
        <v>1.9888079999999992</v>
      </c>
      <c r="E37" s="48">
        <v>1.7269960000000002</v>
      </c>
      <c r="F37" s="58">
        <v>1.0000000000000001E-5</v>
      </c>
      <c r="G37" s="125"/>
      <c r="H37" s="125"/>
      <c r="I37" s="55">
        <f t="shared" si="1"/>
        <v>0.17604780001944342</v>
      </c>
      <c r="J37" s="55">
        <f t="shared" si="2"/>
        <v>1.071520391934325</v>
      </c>
      <c r="K37" s="56">
        <f t="shared" si="3"/>
        <v>0.66323197724760508</v>
      </c>
      <c r="L37" s="56">
        <f t="shared" si="4"/>
        <v>7.9609227231742511E-38</v>
      </c>
      <c r="M37" s="56">
        <f t="shared" si="5"/>
        <v>1</v>
      </c>
      <c r="N37" s="56">
        <f t="shared" si="6"/>
        <v>1.1486706880865131E-38</v>
      </c>
      <c r="O37" s="57">
        <f t="shared" si="7"/>
        <v>6.6673338209065293E-6</v>
      </c>
      <c r="P37" s="57">
        <f t="shared" si="8"/>
        <v>7.8609057983992857E-5</v>
      </c>
      <c r="Q37" s="57">
        <f t="shared" si="9"/>
        <v>3.5558890354551016E-4</v>
      </c>
      <c r="R37" s="9">
        <f t="shared" si="10"/>
        <v>0.66673338209065292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47" t="s">
        <v>99</v>
      </c>
      <c r="C38" s="47" t="s">
        <v>100</v>
      </c>
      <c r="D38" s="48">
        <v>0.57692000000000121</v>
      </c>
      <c r="E38" s="48">
        <v>0.1355349999999973</v>
      </c>
      <c r="F38" s="58">
        <v>1.0000000000000001E-5</v>
      </c>
      <c r="G38" s="125"/>
      <c r="H38" s="125"/>
      <c r="I38" s="55">
        <f t="shared" si="1"/>
        <v>6.1269165998999722E-3</v>
      </c>
      <c r="J38" s="55">
        <f t="shared" si="2"/>
        <v>0.10520011769628689</v>
      </c>
      <c r="K38" s="56">
        <f t="shared" si="3"/>
        <v>0.98081328720797933</v>
      </c>
      <c r="L38" s="56">
        <f t="shared" si="4"/>
        <v>1.2722252693286475E-38</v>
      </c>
      <c r="M38" s="56">
        <f t="shared" si="5"/>
        <v>1</v>
      </c>
      <c r="N38" s="56">
        <f t="shared" si="6"/>
        <v>4.3516646707809315E-40</v>
      </c>
      <c r="O38" s="57">
        <f t="shared" si="7"/>
        <v>9.859913011032195E-6</v>
      </c>
      <c r="P38" s="57">
        <f t="shared" si="8"/>
        <v>1.2562416875902082E-5</v>
      </c>
      <c r="Q38" s="57">
        <f t="shared" si="9"/>
        <v>1.3471255817090901E-5</v>
      </c>
      <c r="R38" s="9">
        <f t="shared" si="10"/>
        <v>0.98599130110321942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7"/>
      <c r="B39" s="47" t="s">
        <v>101</v>
      </c>
      <c r="C39" s="47" t="s">
        <v>102</v>
      </c>
      <c r="D39" s="48">
        <v>4.3320999877244022</v>
      </c>
      <c r="E39" s="48">
        <v>5.6850999825375297</v>
      </c>
      <c r="F39" s="58">
        <v>1.0000000000000001E-5</v>
      </c>
      <c r="G39" s="125"/>
      <c r="H39" s="125"/>
      <c r="I39" s="55">
        <f t="shared" si="1"/>
        <v>2.2649340284107091</v>
      </c>
      <c r="J39" s="55">
        <f t="shared" si="2"/>
        <v>4.2425358088051919</v>
      </c>
      <c r="K39" s="56">
        <f t="shared" si="3"/>
        <v>5.4047950339141705E-3</v>
      </c>
      <c r="L39" s="56">
        <f t="shared" si="4"/>
        <v>9.6181732734107031E-37</v>
      </c>
      <c r="M39" s="56">
        <f t="shared" si="5"/>
        <v>1</v>
      </c>
      <c r="N39" s="56">
        <f t="shared" si="6"/>
        <v>8.4998897569395189E-37</v>
      </c>
      <c r="O39" s="57">
        <f t="shared" si="7"/>
        <v>5.4333286030975558E-8</v>
      </c>
      <c r="P39" s="57">
        <f t="shared" si="8"/>
        <v>9.4973355079643778E-4</v>
      </c>
      <c r="Q39" s="57">
        <f t="shared" si="9"/>
        <v>2.6312732711607216E-2</v>
      </c>
      <c r="R39" s="9">
        <f t="shared" si="10"/>
        <v>5.4333286030975557E-3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47" t="s">
        <v>103</v>
      </c>
      <c r="C40" s="47" t="s">
        <v>104</v>
      </c>
      <c r="D40" s="48">
        <v>2.713299987724402</v>
      </c>
      <c r="E40" s="48">
        <v>3.3822999825375302</v>
      </c>
      <c r="F40" s="58">
        <v>1.0000000000000001E-5</v>
      </c>
      <c r="G40" s="125"/>
      <c r="H40" s="125"/>
      <c r="I40" s="55">
        <f t="shared" si="1"/>
        <v>0.60164447667090892</v>
      </c>
      <c r="J40" s="55">
        <f t="shared" si="2"/>
        <v>2.1026490087304119</v>
      </c>
      <c r="K40" s="56">
        <f t="shared" si="3"/>
        <v>0.24892515176882185</v>
      </c>
      <c r="L40" s="56">
        <f t="shared" si="4"/>
        <v>3.2099284232795837E-37</v>
      </c>
      <c r="M40" s="56">
        <f t="shared" si="5"/>
        <v>1</v>
      </c>
      <c r="N40" s="56">
        <f t="shared" si="6"/>
        <v>1.9494084521127915E-37</v>
      </c>
      <c r="O40" s="57">
        <f t="shared" si="7"/>
        <v>2.5023930392351264E-6</v>
      </c>
      <c r="P40" s="57">
        <f t="shared" si="8"/>
        <v>3.1696005390872636E-4</v>
      </c>
      <c r="Q40" s="57">
        <f t="shared" si="9"/>
        <v>6.0346975093781589E-3</v>
      </c>
      <c r="R40" s="9">
        <f t="shared" si="10"/>
        <v>0.25023930392351262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47" t="s">
        <v>105</v>
      </c>
      <c r="C41" s="47" t="s">
        <v>106</v>
      </c>
      <c r="D41" s="48">
        <v>3.598704000000001</v>
      </c>
      <c r="E41" s="48">
        <v>4.3131730000000008</v>
      </c>
      <c r="F41" s="58">
        <v>1.0000000000000001E-5</v>
      </c>
      <c r="G41" s="125"/>
      <c r="H41" s="125"/>
      <c r="I41" s="55">
        <f t="shared" si="1"/>
        <v>1.3866457069131444</v>
      </c>
      <c r="J41" s="55">
        <f t="shared" si="2"/>
        <v>3.0137813622000369</v>
      </c>
      <c r="K41" s="56">
        <f t="shared" si="3"/>
        <v>4.0838290144090232E-2</v>
      </c>
      <c r="L41" s="56">
        <f t="shared" si="4"/>
        <v>4.2916714951113972E-37</v>
      </c>
      <c r="M41" s="56">
        <f t="shared" si="5"/>
        <v>1</v>
      </c>
      <c r="N41" s="56">
        <f t="shared" si="6"/>
        <v>2.7275620040869779E-37</v>
      </c>
      <c r="O41" s="57">
        <f t="shared" si="7"/>
        <v>4.1053887991898658E-7</v>
      </c>
      <c r="P41" s="57">
        <f t="shared" si="8"/>
        <v>4.2377531492096212E-4</v>
      </c>
      <c r="Q41" s="57">
        <f t="shared" si="9"/>
        <v>8.4435930371075576E-3</v>
      </c>
      <c r="R41" s="9">
        <f t="shared" si="10"/>
        <v>4.1053887991898651E-2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7"/>
      <c r="B42" s="47" t="s">
        <v>107</v>
      </c>
      <c r="C42" s="47" t="s">
        <v>108</v>
      </c>
      <c r="D42" s="48">
        <v>-1.2627122753537208</v>
      </c>
      <c r="E42" s="48">
        <v>-2.2737174621228986</v>
      </c>
      <c r="F42" s="58">
        <v>1.0000000000000001E-5</v>
      </c>
      <c r="G42" s="125"/>
      <c r="H42" s="125"/>
      <c r="I42" s="55">
        <f t="shared" si="1"/>
        <v>-2.1648125628206212E-3</v>
      </c>
      <c r="J42" s="55">
        <f t="shared" si="2"/>
        <v>-5.6072269123615688E-2</v>
      </c>
      <c r="K42" s="56">
        <f t="shared" si="3"/>
        <v>0.99971928479761296</v>
      </c>
      <c r="L42" s="56">
        <f t="shared" si="4"/>
        <v>8.9450620960670439E-39</v>
      </c>
      <c r="M42" s="56">
        <f t="shared" si="5"/>
        <v>1</v>
      </c>
      <c r="N42" s="56">
        <f t="shared" si="6"/>
        <v>1.7286007189384254E-42</v>
      </c>
      <c r="O42" s="57">
        <f t="shared" si="7"/>
        <v>1.0049971092475218E-5</v>
      </c>
      <c r="P42" s="57">
        <f t="shared" si="8"/>
        <v>8.8326809520866605E-6</v>
      </c>
      <c r="Q42" s="57">
        <f t="shared" si="9"/>
        <v>5.3511527776444902E-8</v>
      </c>
      <c r="R42" s="9">
        <f t="shared" si="10"/>
        <v>1.0049971092475216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87" t="s">
        <v>109</v>
      </c>
      <c r="C43" s="47" t="s">
        <v>110</v>
      </c>
      <c r="D43" s="48">
        <v>2.1582748772295566</v>
      </c>
      <c r="E43" s="48">
        <v>2.5927572197209185</v>
      </c>
      <c r="F43" s="58">
        <v>1.0000000000000001E-5</v>
      </c>
      <c r="G43" s="125"/>
      <c r="H43" s="125"/>
      <c r="I43" s="55">
        <f t="shared" si="1"/>
        <v>0.25246259798372345</v>
      </c>
      <c r="J43" s="55">
        <f t="shared" si="2"/>
        <v>1.4309786108559837</v>
      </c>
      <c r="K43" s="56">
        <f t="shared" si="3"/>
        <v>0.55622519797691783</v>
      </c>
      <c r="L43" s="56">
        <f t="shared" si="4"/>
        <v>1.5275900790921898E-37</v>
      </c>
      <c r="M43" s="56">
        <f t="shared" si="5"/>
        <v>1</v>
      </c>
      <c r="N43" s="56">
        <f t="shared" si="6"/>
        <v>7.0719952545981828E-38</v>
      </c>
      <c r="O43" s="57">
        <f t="shared" si="7"/>
        <v>5.5916168124194968E-6</v>
      </c>
      <c r="P43" s="57">
        <f t="shared" si="8"/>
        <v>1.508398225667612E-4</v>
      </c>
      <c r="Q43" s="57">
        <f t="shared" si="9"/>
        <v>2.1892462866365237E-3</v>
      </c>
      <c r="R43" s="9">
        <f t="shared" si="10"/>
        <v>0.55916168124194965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87" t="s">
        <v>111</v>
      </c>
      <c r="C44" s="47" t="s">
        <v>112</v>
      </c>
      <c r="D44" s="48">
        <v>0.51229998772440222</v>
      </c>
      <c r="E44" s="48">
        <v>0.25129998253752994</v>
      </c>
      <c r="F44" s="58">
        <v>1.0000000000000001E-5</v>
      </c>
      <c r="G44" s="125"/>
      <c r="H44" s="125"/>
      <c r="I44" s="55">
        <f t="shared" si="1"/>
        <v>5.0128695514360909E-3</v>
      </c>
      <c r="J44" s="55">
        <f t="shared" si="2"/>
        <v>9.2738409446529238E-2</v>
      </c>
      <c r="K44" s="56">
        <f t="shared" si="3"/>
        <v>0.98333248753680669</v>
      </c>
      <c r="L44" s="56">
        <f t="shared" si="4"/>
        <v>1.239413882223258E-38</v>
      </c>
      <c r="M44" s="56">
        <f t="shared" si="5"/>
        <v>1</v>
      </c>
      <c r="N44" s="56">
        <f t="shared" si="6"/>
        <v>5.6955340403099668E-40</v>
      </c>
      <c r="O44" s="57">
        <f t="shared" si="7"/>
        <v>9.8852380106254494E-6</v>
      </c>
      <c r="P44" s="57">
        <f t="shared" si="8"/>
        <v>1.2238425258197446E-5</v>
      </c>
      <c r="Q44" s="57">
        <f t="shared" si="9"/>
        <v>1.7631412775698998E-5</v>
      </c>
      <c r="R44" s="9">
        <f t="shared" si="10"/>
        <v>0.98852380106254489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47" t="s">
        <v>113</v>
      </c>
      <c r="C45" s="47" t="s">
        <v>114</v>
      </c>
      <c r="D45" s="48">
        <v>0.92271245461153151</v>
      </c>
      <c r="E45" s="48">
        <v>0.83512616782767168</v>
      </c>
      <c r="F45" s="58">
        <v>1.0000000000000001E-5</v>
      </c>
      <c r="G45" s="125"/>
      <c r="H45" s="125"/>
      <c r="I45" s="55">
        <f t="shared" si="1"/>
        <v>1.6394313607087763E-2</v>
      </c>
      <c r="J45" s="55">
        <f t="shared" si="2"/>
        <v>0.2748968182073846</v>
      </c>
      <c r="K45" s="56">
        <f t="shared" si="3"/>
        <v>0.9578972879256985</v>
      </c>
      <c r="L45" s="56">
        <f t="shared" si="4"/>
        <v>1.8365100991682406E-38</v>
      </c>
      <c r="M45" s="56">
        <f t="shared" si="5"/>
        <v>1</v>
      </c>
      <c r="N45" s="56">
        <f t="shared" si="6"/>
        <v>2.1280370898705404E-39</v>
      </c>
      <c r="O45" s="57">
        <f t="shared" si="7"/>
        <v>9.6295432123854385E-6</v>
      </c>
      <c r="P45" s="57">
        <f t="shared" si="8"/>
        <v>1.8134371340328952E-5</v>
      </c>
      <c r="Q45" s="57">
        <f t="shared" si="9"/>
        <v>6.5876702813039121E-5</v>
      </c>
      <c r="R45" s="9">
        <f t="shared" si="10"/>
        <v>0.96295432123854374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7"/>
      <c r="B46" s="47" t="s">
        <v>115</v>
      </c>
      <c r="C46" s="47" t="s">
        <v>116</v>
      </c>
      <c r="D46" s="48">
        <v>1.6452318246143236</v>
      </c>
      <c r="E46" s="48">
        <v>1.8629354124795308</v>
      </c>
      <c r="F46" s="58">
        <v>1.0000000000000001E-5</v>
      </c>
      <c r="G46" s="125"/>
      <c r="H46" s="125"/>
      <c r="I46" s="55">
        <f t="shared" si="1"/>
        <v>9.0303999495995046E-2</v>
      </c>
      <c r="J46" s="55">
        <f t="shared" si="2"/>
        <v>0.86792168019773652</v>
      </c>
      <c r="K46" s="56">
        <f t="shared" si="3"/>
        <v>0.80799608738038742</v>
      </c>
      <c r="L46" s="56">
        <f t="shared" si="4"/>
        <v>6.068879255931269E-38</v>
      </c>
      <c r="M46" s="56">
        <f t="shared" si="5"/>
        <v>1</v>
      </c>
      <c r="N46" s="56">
        <f t="shared" si="6"/>
        <v>1.9137215695704943E-38</v>
      </c>
      <c r="O46" s="57">
        <f t="shared" si="7"/>
        <v>8.1226174632110707E-6</v>
      </c>
      <c r="P46" s="57">
        <f t="shared" si="8"/>
        <v>5.9926329888695525E-5</v>
      </c>
      <c r="Q46" s="57">
        <f t="shared" si="9"/>
        <v>5.9242232057697686E-4</v>
      </c>
      <c r="R46" s="9">
        <f t="shared" si="10"/>
        <v>0.81226174632110704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47" t="s">
        <v>117</v>
      </c>
      <c r="C47" s="47" t="s">
        <v>118</v>
      </c>
      <c r="D47" s="48">
        <v>2.8951366557581992</v>
      </c>
      <c r="E47" s="48">
        <v>3.6409690455151855</v>
      </c>
      <c r="F47" s="58">
        <v>1.0000000000000001E-5</v>
      </c>
      <c r="G47" s="125"/>
      <c r="H47" s="125"/>
      <c r="I47" s="55">
        <f t="shared" si="1"/>
        <v>0.75316139585195241</v>
      </c>
      <c r="J47" s="55">
        <f t="shared" si="2"/>
        <v>2.3318271604657981</v>
      </c>
      <c r="K47" s="56">
        <f t="shared" si="3"/>
        <v>0.17561105881568231</v>
      </c>
      <c r="L47" s="56">
        <f t="shared" si="4"/>
        <v>3.8384561259920428E-37</v>
      </c>
      <c r="M47" s="56">
        <f t="shared" si="5"/>
        <v>1</v>
      </c>
      <c r="N47" s="56">
        <f t="shared" si="6"/>
        <v>2.4949106018779518E-37</v>
      </c>
      <c r="O47" s="57">
        <f t="shared" si="7"/>
        <v>1.7653816340792731E-6</v>
      </c>
      <c r="P47" s="57">
        <f t="shared" si="8"/>
        <v>3.7902317441012619E-4</v>
      </c>
      <c r="Q47" s="57">
        <f t="shared" si="9"/>
        <v>7.7233843830707407E-3</v>
      </c>
      <c r="R47" s="9">
        <f t="shared" si="10"/>
        <v>0.1765381634079273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47" t="s">
        <v>119</v>
      </c>
      <c r="C48" s="47" t="s">
        <v>120</v>
      </c>
      <c r="D48" s="48">
        <v>-1.7616394390778063</v>
      </c>
      <c r="E48" s="48">
        <v>-2.9834589203782875</v>
      </c>
      <c r="F48" s="58">
        <v>1.0000000000000001E-5</v>
      </c>
      <c r="G48" s="125"/>
      <c r="H48" s="125"/>
      <c r="I48" s="83">
        <f t="shared" ref="I48:I50" si="11">IF(D48=0,"",LOG($K$15*10^D48+$K$16*10^E48+$K$14))</f>
        <v>-2.2481289635832413E-3</v>
      </c>
      <c r="J48" s="83">
        <f t="shared" ref="J48:J50" si="12">IF(D48=0,"",LOG($K$21*10^D48+$K$22*10^E48+$K$20))</f>
        <v>-5.7886483676924415E-2</v>
      </c>
      <c r="K48" s="84">
        <f t="shared" ref="K48:K50" si="13">IF(D48=0,"",1/(1+10^D48*$J$15/$J$14+10^E48*$J$16/$J$14+10^J48*$J$19/$J$14))</f>
        <v>0.99991109244463416</v>
      </c>
      <c r="L48" s="84">
        <f t="shared" ref="L48:L50" si="14">IF(D48=0,"",1/(1+10^I48/10^J48*$J$13/$J$19))</f>
        <v>8.9094821405150025E-39</v>
      </c>
      <c r="M48" s="84">
        <f t="shared" ref="M48:M92" si="15">IF(D48=0,"",1-L48)</f>
        <v>1</v>
      </c>
      <c r="N48" s="84">
        <f t="shared" ref="N48:N50" si="16">IF(D48=0,"",1/(1/10^E48*$J$20/$J$22+10^D48/10^E48*$J$21/$J$22+10^I48/10^E48*$J$13/$J$22+1))</f>
        <v>3.3731569378809204E-43</v>
      </c>
      <c r="O48" s="85">
        <f t="shared" ref="O48:O92" si="17">IF(D48=0,"",F48*K48*$J$7/$J$14)</f>
        <v>1.0051899295058874E-5</v>
      </c>
      <c r="P48" s="85">
        <f t="shared" ref="P48:P50" si="18">IF(D48=0,"",O48*10^J48)</f>
        <v>8.7975480047347597E-6</v>
      </c>
      <c r="Q48" s="85">
        <f t="shared" ref="Q48:Q50" si="19">IF(D48=0,"",F48*N48*$J$7/$J$22)</f>
        <v>1.0442132714521474E-8</v>
      </c>
      <c r="R48" s="9">
        <f t="shared" si="10"/>
        <v>1.0051899295058873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47" t="s">
        <v>121</v>
      </c>
      <c r="C49" s="47" t="s">
        <v>122</v>
      </c>
      <c r="D49" s="48">
        <v>1.1365502998865107</v>
      </c>
      <c r="E49" s="48">
        <v>1.1393180322329237</v>
      </c>
      <c r="F49" s="58">
        <v>1.0000000000000001E-5</v>
      </c>
      <c r="G49" s="125"/>
      <c r="H49" s="125"/>
      <c r="I49" s="55">
        <f t="shared" si="11"/>
        <v>2.8034222802740122E-2</v>
      </c>
      <c r="J49" s="55">
        <f t="shared" si="12"/>
        <v>0.41632864919457246</v>
      </c>
      <c r="K49" s="56">
        <f t="shared" si="13"/>
        <v>0.9325648335686878</v>
      </c>
      <c r="L49" s="56">
        <f t="shared" si="14"/>
        <v>2.4761972828795106E-38</v>
      </c>
      <c r="M49" s="56">
        <f t="shared" si="15"/>
        <v>1</v>
      </c>
      <c r="N49" s="56">
        <f t="shared" si="16"/>
        <v>4.1737953250596352E-39</v>
      </c>
      <c r="O49" s="57">
        <f t="shared" si="17"/>
        <v>9.3748812909232103E-6</v>
      </c>
      <c r="P49" s="57">
        <f t="shared" si="18"/>
        <v>2.4450876180854041E-5</v>
      </c>
      <c r="Q49" s="57">
        <f t="shared" si="19"/>
        <v>1.2920633551933653E-4</v>
      </c>
      <c r="R49" s="9">
        <f t="shared" si="10"/>
        <v>0.93748812909232093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47" t="s">
        <v>123</v>
      </c>
      <c r="C50" s="47" t="s">
        <v>124</v>
      </c>
      <c r="D50" s="48">
        <v>-0.16497034264114602</v>
      </c>
      <c r="E50" s="48">
        <v>-0.71214090995430623</v>
      </c>
      <c r="F50" s="58">
        <v>1.0000000000000001E-5</v>
      </c>
      <c r="G50" s="125"/>
      <c r="H50" s="125"/>
      <c r="I50" s="55">
        <f t="shared" si="11"/>
        <v>-7.5375052843166363E-4</v>
      </c>
      <c r="J50" s="55">
        <f t="shared" si="12"/>
        <v>-2.4841044273260518E-2</v>
      </c>
      <c r="K50" s="56">
        <f t="shared" si="13"/>
        <v>0.99647637756323659</v>
      </c>
      <c r="L50" s="56">
        <f t="shared" si="14"/>
        <v>9.5808385674962699E-39</v>
      </c>
      <c r="M50" s="56">
        <f t="shared" si="15"/>
        <v>1</v>
      </c>
      <c r="N50" s="56">
        <f t="shared" si="16"/>
        <v>6.2785618874171645E-41</v>
      </c>
      <c r="O50" s="57">
        <f t="shared" si="17"/>
        <v>1.0017370817121261E-5</v>
      </c>
      <c r="P50" s="57">
        <f t="shared" si="18"/>
        <v>9.4604698560280717E-6</v>
      </c>
      <c r="Q50" s="57">
        <f t="shared" si="19"/>
        <v>1.943626629063202E-6</v>
      </c>
      <c r="R50" s="9">
        <f t="shared" si="10"/>
        <v>1.0017370817121261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47" t="s">
        <v>125</v>
      </c>
      <c r="C51" s="47" t="s">
        <v>126</v>
      </c>
      <c r="D51" s="48">
        <v>-2.7256879443499291</v>
      </c>
      <c r="E51" s="48">
        <v>-4.3548518644977863</v>
      </c>
      <c r="F51" s="58">
        <v>1.0000000000000001E-5</v>
      </c>
      <c r="G51" s="125"/>
      <c r="H51" s="125"/>
      <c r="I51" s="55">
        <f t="shared" ref="I51:I70" si="20">IF(D51=0,"",LOG($K$15*10^D51+$K$16*10^E51+$K$14))</f>
        <v>-2.2825524935015497E-3</v>
      </c>
      <c r="J51" s="55">
        <f t="shared" ref="J51:J70" si="21">IF(D51=0,"",LOG($K$21*10^D51+$K$22*10^E51+$K$20))</f>
        <v>-5.8626956352040294E-2</v>
      </c>
      <c r="K51" s="56">
        <f t="shared" ref="K51:K70" si="22">IF(D51=0,"",1/(1+10^D51*$J$15/$J$14+10^E51*$J$16/$J$14+10^J51*$J$19/$J$14))</f>
        <v>0.9999903516455072</v>
      </c>
      <c r="L51" s="56">
        <f t="shared" ref="L51:L70" si="23">IF(D51=0,"",1/(1+10^I51/10^J51*$J$13/$J$19))</f>
        <v>8.8950094223436973E-39</v>
      </c>
      <c r="M51" s="56">
        <f t="shared" ref="M51:M70" si="24">IF(D51=0,"",1-L51)</f>
        <v>1</v>
      </c>
      <c r="N51" s="56">
        <f t="shared" ref="N51:N70" si="25">IF(D51=0,"",1/(1/10^E51*$J$20/$J$22+10^D51/10^E51*$J$21/$J$22+10^I51/10^E51*$J$13/$J$22+1))</f>
        <v>1.4344255981109346E-44</v>
      </c>
      <c r="O51" s="57">
        <f t="shared" ref="O51:O70" si="26">IF(D51=0,"",F51*K51*$J$7/$J$14)</f>
        <v>1.0052696071403694E-5</v>
      </c>
      <c r="P51" s="57">
        <f t="shared" ref="P51:P70" si="27">IF(D51=0,"",O51*10^J51)</f>
        <v>8.7832571143257582E-6</v>
      </c>
      <c r="Q51" s="57">
        <f t="shared" ref="Q51:Q70" si="28">IF(D51=0,"",F51*N51*$J$7/$J$22)</f>
        <v>4.4404878695003647E-10</v>
      </c>
      <c r="R51" s="9">
        <f t="shared" si="10"/>
        <v>1.0052696071403693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 t="s">
        <v>127</v>
      </c>
      <c r="C52" s="47" t="s">
        <v>128</v>
      </c>
      <c r="D52" s="48">
        <v>-0.21545001227559774</v>
      </c>
      <c r="E52" s="48">
        <v>-0.78395001746247006</v>
      </c>
      <c r="F52" s="58">
        <v>1.0000000000000001E-5</v>
      </c>
      <c r="G52" s="125"/>
      <c r="H52" s="125"/>
      <c r="I52" s="55">
        <f t="shared" si="20"/>
        <v>-9.2225289384114328E-4</v>
      </c>
      <c r="J52" s="55">
        <f t="shared" si="21"/>
        <v>-2.8554234727833281E-2</v>
      </c>
      <c r="K52" s="56">
        <f t="shared" si="22"/>
        <v>0.99686307647705219</v>
      </c>
      <c r="L52" s="56">
        <f t="shared" si="23"/>
        <v>9.5029585395557171E-39</v>
      </c>
      <c r="M52" s="56">
        <f t="shared" si="24"/>
        <v>1</v>
      </c>
      <c r="N52" s="56">
        <f t="shared" si="25"/>
        <v>5.3237735508681026E-41</v>
      </c>
      <c r="O52" s="57">
        <f t="shared" si="26"/>
        <v>1.0021258221280044E-5</v>
      </c>
      <c r="P52" s="57">
        <f t="shared" si="27"/>
        <v>9.3835682725677437E-6</v>
      </c>
      <c r="Q52" s="57">
        <f t="shared" si="28"/>
        <v>1.6480570274073168E-6</v>
      </c>
      <c r="R52" s="9">
        <f t="shared" si="10"/>
        <v>1.0021258221280043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 t="s">
        <v>129</v>
      </c>
      <c r="C53" s="47" t="s">
        <v>130</v>
      </c>
      <c r="D53" s="48">
        <v>1.0310160000000004</v>
      </c>
      <c r="E53" s="48">
        <v>0.78085199999999966</v>
      </c>
      <c r="F53" s="58">
        <v>1.0000000000000001E-5</v>
      </c>
      <c r="G53" s="125"/>
      <c r="H53" s="125"/>
      <c r="I53" s="55">
        <f t="shared" si="20"/>
        <v>2.1370520703130572E-2</v>
      </c>
      <c r="J53" s="55">
        <f t="shared" si="21"/>
        <v>0.31842339965265243</v>
      </c>
      <c r="K53" s="56">
        <f t="shared" si="22"/>
        <v>0.94698420762724345</v>
      </c>
      <c r="L53" s="56">
        <f t="shared" si="23"/>
        <v>2.0069830065878705E-38</v>
      </c>
      <c r="M53" s="56">
        <f t="shared" si="24"/>
        <v>1</v>
      </c>
      <c r="N53" s="56">
        <f t="shared" si="25"/>
        <v>1.8566447682539376E-39</v>
      </c>
      <c r="O53" s="57">
        <f t="shared" si="26"/>
        <v>9.5198362744508197E-6</v>
      </c>
      <c r="P53" s="57">
        <f t="shared" si="27"/>
        <v>1.9817683078180655E-5</v>
      </c>
      <c r="Q53" s="57">
        <f t="shared" si="28"/>
        <v>5.7475330768360456E-5</v>
      </c>
      <c r="R53" s="9">
        <f t="shared" si="10"/>
        <v>0.95198362744508191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 t="s">
        <v>131</v>
      </c>
      <c r="C54" s="47" t="s">
        <v>132</v>
      </c>
      <c r="D54" s="48">
        <v>-1.8497486811018407</v>
      </c>
      <c r="E54" s="48">
        <v>-3.1087974195955765</v>
      </c>
      <c r="F54" s="58">
        <v>1.0000000000000001E-5</v>
      </c>
      <c r="G54" s="125"/>
      <c r="H54" s="125"/>
      <c r="I54" s="55">
        <f t="shared" si="20"/>
        <v>-2.255223699802863E-3</v>
      </c>
      <c r="J54" s="55">
        <f t="shared" si="21"/>
        <v>-5.8039797695071449E-2</v>
      </c>
      <c r="K54" s="56">
        <f t="shared" si="22"/>
        <v>0.9999274273595028</v>
      </c>
      <c r="L54" s="56">
        <f t="shared" si="23"/>
        <v>8.9064829801402721E-39</v>
      </c>
      <c r="M54" s="56">
        <f t="shared" si="24"/>
        <v>1</v>
      </c>
      <c r="N54" s="56">
        <f t="shared" si="25"/>
        <v>2.5275813542736579E-43</v>
      </c>
      <c r="O54" s="57">
        <f t="shared" si="26"/>
        <v>1.0052063506577772E-5</v>
      </c>
      <c r="P54" s="57">
        <f t="shared" si="27"/>
        <v>8.7945865242632285E-6</v>
      </c>
      <c r="Q54" s="57">
        <f t="shared" si="28"/>
        <v>7.8245217860086406E-9</v>
      </c>
      <c r="R54" s="9">
        <f t="shared" si="10"/>
        <v>1.0052063506577771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 t="s">
        <v>133</v>
      </c>
      <c r="C55" s="47" t="s">
        <v>134</v>
      </c>
      <c r="D55" s="48">
        <v>-1.4544244920654867</v>
      </c>
      <c r="E55" s="48">
        <v>-2.5464348408255515</v>
      </c>
      <c r="F55" s="58">
        <v>1.0000000000000001E-5</v>
      </c>
      <c r="G55" s="125"/>
      <c r="H55" s="125"/>
      <c r="I55" s="55">
        <f t="shared" si="20"/>
        <v>-2.2083624388552618E-3</v>
      </c>
      <c r="J55" s="55">
        <f t="shared" si="21"/>
        <v>-5.7023160665230277E-2</v>
      </c>
      <c r="K55" s="56">
        <f t="shared" si="22"/>
        <v>0.99981953897013542</v>
      </c>
      <c r="L55" s="56">
        <f t="shared" si="23"/>
        <v>8.9263933000278588E-39</v>
      </c>
      <c r="M55" s="56">
        <f t="shared" si="24"/>
        <v>1</v>
      </c>
      <c r="N55" s="56">
        <f t="shared" si="25"/>
        <v>9.2261574208616936E-43</v>
      </c>
      <c r="O55" s="57">
        <f t="shared" si="26"/>
        <v>1.0050978926925419E-5</v>
      </c>
      <c r="P55" s="57">
        <f t="shared" si="27"/>
        <v>8.814246701166681E-6</v>
      </c>
      <c r="Q55" s="57">
        <f t="shared" si="28"/>
        <v>2.8561007390965923E-8</v>
      </c>
      <c r="R55" s="9">
        <f t="shared" si="10"/>
        <v>1.0050978926925418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 t="s">
        <v>135</v>
      </c>
      <c r="C56" s="47" t="s">
        <v>136</v>
      </c>
      <c r="D56" s="48">
        <v>2.3179513188981593</v>
      </c>
      <c r="E56" s="48">
        <v>2.8199025804044244</v>
      </c>
      <c r="F56" s="58">
        <v>1.0000000000000001E-5</v>
      </c>
      <c r="G56" s="125"/>
      <c r="H56" s="125"/>
      <c r="I56" s="55">
        <f t="shared" si="20"/>
        <v>0.33354419420746501</v>
      </c>
      <c r="J56" s="55">
        <f t="shared" si="21"/>
        <v>1.6191635897655268</v>
      </c>
      <c r="K56" s="56">
        <f t="shared" si="22"/>
        <v>0.46149719217602042</v>
      </c>
      <c r="L56" s="56">
        <f t="shared" si="23"/>
        <v>1.9548354757879667E-37</v>
      </c>
      <c r="M56" s="56">
        <f t="shared" si="24"/>
        <v>1</v>
      </c>
      <c r="N56" s="56">
        <f t="shared" si="25"/>
        <v>9.8993282469413863E-38</v>
      </c>
      <c r="O56" s="57">
        <f t="shared" si="26"/>
        <v>4.6393357727078616E-6</v>
      </c>
      <c r="P56" s="57">
        <f t="shared" si="27"/>
        <v>1.9302759316838428E-4</v>
      </c>
      <c r="Q56" s="57">
        <f t="shared" si="28"/>
        <v>3.0644912538256275E-3</v>
      </c>
      <c r="R56" s="9">
        <f t="shared" si="10"/>
        <v>0.4639335772707861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47" t="s">
        <v>137</v>
      </c>
      <c r="C57" s="47" t="s">
        <v>138</v>
      </c>
      <c r="D57" s="48">
        <v>3.46</v>
      </c>
      <c r="E57" s="48">
        <v>2.6247999825375303</v>
      </c>
      <c r="F57" s="58">
        <v>1.0000000000000001E-5</v>
      </c>
      <c r="G57" s="125"/>
      <c r="H57" s="125"/>
      <c r="I57" s="55">
        <f t="shared" si="20"/>
        <v>1.1977426869383703</v>
      </c>
      <c r="J57" s="55">
        <f t="shared" si="21"/>
        <v>2.4579318909163166</v>
      </c>
      <c r="K57" s="56">
        <f t="shared" si="22"/>
        <v>6.30914589520431E-2</v>
      </c>
      <c r="L57" s="56">
        <f t="shared" si="23"/>
        <v>1.8436565484675477E-37</v>
      </c>
      <c r="M57" s="56">
        <f t="shared" si="24"/>
        <v>1</v>
      </c>
      <c r="N57" s="56">
        <f t="shared" si="25"/>
        <v>8.635840936127066E-39</v>
      </c>
      <c r="O57" s="57">
        <f t="shared" si="26"/>
        <v>6.3424538097060211E-7</v>
      </c>
      <c r="P57" s="57">
        <f t="shared" si="27"/>
        <v>1.8204937990312081E-4</v>
      </c>
      <c r="Q57" s="57">
        <f t="shared" si="28"/>
        <v>2.6733590762956553E-4</v>
      </c>
      <c r="R57" s="9">
        <f t="shared" si="10"/>
        <v>6.342453809706021E-2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25"/>
      <c r="H58" s="125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25"/>
      <c r="H59" s="125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25"/>
      <c r="H60" s="125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25"/>
      <c r="H61" s="125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25"/>
      <c r="H62" s="125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25"/>
      <c r="H63" s="125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25"/>
      <c r="H64" s="125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25"/>
      <c r="H65" s="125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25"/>
      <c r="H66" s="125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25"/>
      <c r="H67" s="125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25"/>
      <c r="H68" s="125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25"/>
      <c r="H69" s="125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25"/>
      <c r="H70" s="125"/>
      <c r="I70" s="55" t="str">
        <f t="shared" si="20"/>
        <v/>
      </c>
      <c r="J70" s="55" t="str">
        <f t="shared" si="21"/>
        <v/>
      </c>
      <c r="K70" s="56" t="str">
        <f t="shared" si="22"/>
        <v/>
      </c>
      <c r="L70" s="56" t="str">
        <f t="shared" si="23"/>
        <v/>
      </c>
      <c r="M70" s="56" t="str">
        <f t="shared" si="24"/>
        <v/>
      </c>
      <c r="N70" s="56" t="str">
        <f t="shared" si="25"/>
        <v/>
      </c>
      <c r="O70" s="57" t="str">
        <f t="shared" si="26"/>
        <v/>
      </c>
      <c r="P70" s="57" t="str">
        <f t="shared" si="27"/>
        <v/>
      </c>
      <c r="Q70" s="57" t="str">
        <f t="shared" si="28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25"/>
      <c r="H71" s="125"/>
      <c r="I71" s="55" t="str">
        <f t="shared" ref="I71:I122" si="29">IF(D71=0,"",LOG($K$15*10^D71+$K$16*10^E71+$K$14))</f>
        <v/>
      </c>
      <c r="J71" s="55" t="str">
        <f t="shared" ref="J71:J122" si="30">IF(D71=0,"",LOG($K$21*10^D71+$K$22*10^E71+$K$20))</f>
        <v/>
      </c>
      <c r="K71" s="56" t="str">
        <f t="shared" ref="K71:K122" si="31">IF(D71=0,"",1/(1+10^D71*$J$15/$J$14+10^E71*$J$16/$J$14+10^J71*$J$19/$J$14))</f>
        <v/>
      </c>
      <c r="L71" s="56" t="str">
        <f t="shared" ref="L71:L122" si="32">IF(D71=0,"",1/(1+10^I71/10^J71*$J$13/$J$19))</f>
        <v/>
      </c>
      <c r="M71" s="56" t="str">
        <f t="shared" si="15"/>
        <v/>
      </c>
      <c r="N71" s="56" t="str">
        <f t="shared" ref="N71:N122" si="33">IF(D71=0,"",1/(1/10^E71*$J$20/$J$22+10^D71/10^E71*$J$21/$J$22+10^I71/10^E71*$J$13/$J$22+1))</f>
        <v/>
      </c>
      <c r="O71" s="57" t="str">
        <f t="shared" si="17"/>
        <v/>
      </c>
      <c r="P71" s="57" t="str">
        <f t="shared" ref="P71:P122" si="34">IF(D71=0,"",O71*10^J71)</f>
        <v/>
      </c>
      <c r="Q71" s="57" t="str">
        <f t="shared" ref="Q71:Q122" si="35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25"/>
      <c r="H72" s="125"/>
      <c r="I72" s="55" t="str">
        <f t="shared" si="29"/>
        <v/>
      </c>
      <c r="J72" s="55" t="str">
        <f t="shared" si="30"/>
        <v/>
      </c>
      <c r="K72" s="56" t="str">
        <f t="shared" si="31"/>
        <v/>
      </c>
      <c r="L72" s="56" t="str">
        <f t="shared" si="32"/>
        <v/>
      </c>
      <c r="M72" s="56" t="str">
        <f t="shared" si="15"/>
        <v/>
      </c>
      <c r="N72" s="56" t="str">
        <f t="shared" si="33"/>
        <v/>
      </c>
      <c r="O72" s="57" t="str">
        <f t="shared" si="17"/>
        <v/>
      </c>
      <c r="P72" s="57" t="str">
        <f t="shared" si="34"/>
        <v/>
      </c>
      <c r="Q72" s="57" t="str">
        <f t="shared" si="35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25"/>
      <c r="H73" s="125"/>
      <c r="I73" s="55" t="str">
        <f t="shared" si="29"/>
        <v/>
      </c>
      <c r="J73" s="55" t="str">
        <f t="shared" si="30"/>
        <v/>
      </c>
      <c r="K73" s="56" t="str">
        <f t="shared" si="31"/>
        <v/>
      </c>
      <c r="L73" s="56" t="str">
        <f t="shared" si="32"/>
        <v/>
      </c>
      <c r="M73" s="56" t="str">
        <f t="shared" si="15"/>
        <v/>
      </c>
      <c r="N73" s="56" t="str">
        <f t="shared" si="33"/>
        <v/>
      </c>
      <c r="O73" s="57" t="str">
        <f t="shared" si="17"/>
        <v/>
      </c>
      <c r="P73" s="57" t="str">
        <f t="shared" si="34"/>
        <v/>
      </c>
      <c r="Q73" s="57" t="str">
        <f t="shared" si="35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25"/>
      <c r="H74" s="125"/>
      <c r="I74" s="55" t="str">
        <f t="shared" si="29"/>
        <v/>
      </c>
      <c r="J74" s="55" t="str">
        <f t="shared" si="30"/>
        <v/>
      </c>
      <c r="K74" s="56" t="str">
        <f t="shared" si="31"/>
        <v/>
      </c>
      <c r="L74" s="56" t="str">
        <f t="shared" si="32"/>
        <v/>
      </c>
      <c r="M74" s="56" t="str">
        <f t="shared" si="15"/>
        <v/>
      </c>
      <c r="N74" s="56" t="str">
        <f t="shared" si="33"/>
        <v/>
      </c>
      <c r="O74" s="57" t="str">
        <f t="shared" si="17"/>
        <v/>
      </c>
      <c r="P74" s="57" t="str">
        <f t="shared" si="34"/>
        <v/>
      </c>
      <c r="Q74" s="57" t="str">
        <f t="shared" si="35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25"/>
      <c r="H75" s="125"/>
      <c r="I75" s="55" t="str">
        <f t="shared" si="29"/>
        <v/>
      </c>
      <c r="J75" s="55" t="str">
        <f t="shared" si="30"/>
        <v/>
      </c>
      <c r="K75" s="56" t="str">
        <f t="shared" si="31"/>
        <v/>
      </c>
      <c r="L75" s="56" t="str">
        <f t="shared" si="32"/>
        <v/>
      </c>
      <c r="M75" s="56" t="str">
        <f t="shared" si="15"/>
        <v/>
      </c>
      <c r="N75" s="56" t="str">
        <f t="shared" si="33"/>
        <v/>
      </c>
      <c r="O75" s="57" t="str">
        <f t="shared" si="17"/>
        <v/>
      </c>
      <c r="P75" s="57" t="str">
        <f t="shared" si="34"/>
        <v/>
      </c>
      <c r="Q75" s="57" t="str">
        <f t="shared" si="35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25"/>
      <c r="H76" s="125"/>
      <c r="I76" s="55" t="str">
        <f t="shared" si="29"/>
        <v/>
      </c>
      <c r="J76" s="55" t="str">
        <f t="shared" si="30"/>
        <v/>
      </c>
      <c r="K76" s="56" t="str">
        <f t="shared" si="31"/>
        <v/>
      </c>
      <c r="L76" s="56" t="str">
        <f t="shared" si="32"/>
        <v/>
      </c>
      <c r="M76" s="56" t="str">
        <f t="shared" si="15"/>
        <v/>
      </c>
      <c r="N76" s="56" t="str">
        <f t="shared" si="33"/>
        <v/>
      </c>
      <c r="O76" s="57" t="str">
        <f t="shared" si="17"/>
        <v/>
      </c>
      <c r="P76" s="57" t="str">
        <f t="shared" si="34"/>
        <v/>
      </c>
      <c r="Q76" s="57" t="str">
        <f t="shared" si="35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25"/>
      <c r="H77" s="125"/>
      <c r="I77" s="55" t="str">
        <f t="shared" si="29"/>
        <v/>
      </c>
      <c r="J77" s="55" t="str">
        <f t="shared" si="30"/>
        <v/>
      </c>
      <c r="K77" s="56" t="str">
        <f t="shared" si="31"/>
        <v/>
      </c>
      <c r="L77" s="56" t="str">
        <f t="shared" si="32"/>
        <v/>
      </c>
      <c r="M77" s="56" t="str">
        <f t="shared" si="15"/>
        <v/>
      </c>
      <c r="N77" s="56" t="str">
        <f t="shared" si="33"/>
        <v/>
      </c>
      <c r="O77" s="57" t="str">
        <f t="shared" si="17"/>
        <v/>
      </c>
      <c r="P77" s="57" t="str">
        <f t="shared" si="34"/>
        <v/>
      </c>
      <c r="Q77" s="57" t="str">
        <f t="shared" si="35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9"/>
        <v/>
      </c>
      <c r="J78" s="55" t="str">
        <f t="shared" si="30"/>
        <v/>
      </c>
      <c r="K78" s="56" t="str">
        <f t="shared" si="31"/>
        <v/>
      </c>
      <c r="L78" s="56" t="str">
        <f t="shared" si="32"/>
        <v/>
      </c>
      <c r="M78" s="56" t="str">
        <f t="shared" si="15"/>
        <v/>
      </c>
      <c r="N78" s="56" t="str">
        <f t="shared" si="33"/>
        <v/>
      </c>
      <c r="O78" s="57" t="str">
        <f t="shared" si="17"/>
        <v/>
      </c>
      <c r="P78" s="57" t="str">
        <f t="shared" si="34"/>
        <v/>
      </c>
      <c r="Q78" s="57" t="str">
        <f t="shared" si="35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9"/>
        <v/>
      </c>
      <c r="J79" s="55" t="str">
        <f t="shared" si="30"/>
        <v/>
      </c>
      <c r="K79" s="56" t="str">
        <f t="shared" si="31"/>
        <v/>
      </c>
      <c r="L79" s="56" t="str">
        <f t="shared" si="32"/>
        <v/>
      </c>
      <c r="M79" s="56" t="str">
        <f t="shared" si="15"/>
        <v/>
      </c>
      <c r="N79" s="56" t="str">
        <f t="shared" si="33"/>
        <v/>
      </c>
      <c r="O79" s="57" t="str">
        <f t="shared" si="17"/>
        <v/>
      </c>
      <c r="P79" s="57" t="str">
        <f t="shared" si="34"/>
        <v/>
      </c>
      <c r="Q79" s="57" t="str">
        <f t="shared" si="35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9"/>
        <v/>
      </c>
      <c r="J80" s="55" t="str">
        <f t="shared" si="30"/>
        <v/>
      </c>
      <c r="K80" s="56" t="str">
        <f t="shared" si="31"/>
        <v/>
      </c>
      <c r="L80" s="56" t="str">
        <f t="shared" si="32"/>
        <v/>
      </c>
      <c r="M80" s="56" t="str">
        <f t="shared" si="15"/>
        <v/>
      </c>
      <c r="N80" s="56" t="str">
        <f t="shared" si="33"/>
        <v/>
      </c>
      <c r="O80" s="57" t="str">
        <f t="shared" si="17"/>
        <v/>
      </c>
      <c r="P80" s="57" t="str">
        <f t="shared" si="34"/>
        <v/>
      </c>
      <c r="Q80" s="57" t="str">
        <f t="shared" si="35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9"/>
        <v/>
      </c>
      <c r="J81" s="55" t="str">
        <f t="shared" si="30"/>
        <v/>
      </c>
      <c r="K81" s="56" t="str">
        <f t="shared" si="31"/>
        <v/>
      </c>
      <c r="L81" s="56" t="str">
        <f t="shared" si="32"/>
        <v/>
      </c>
      <c r="M81" s="56" t="str">
        <f t="shared" si="15"/>
        <v/>
      </c>
      <c r="N81" s="56" t="str">
        <f t="shared" si="33"/>
        <v/>
      </c>
      <c r="O81" s="57" t="str">
        <f t="shared" si="17"/>
        <v/>
      </c>
      <c r="P81" s="57" t="str">
        <f t="shared" si="34"/>
        <v/>
      </c>
      <c r="Q81" s="57" t="str">
        <f t="shared" si="35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9"/>
        <v/>
      </c>
      <c r="J82" s="55" t="str">
        <f t="shared" si="30"/>
        <v/>
      </c>
      <c r="K82" s="56" t="str">
        <f t="shared" si="31"/>
        <v/>
      </c>
      <c r="L82" s="56" t="str">
        <f t="shared" si="32"/>
        <v/>
      </c>
      <c r="M82" s="56" t="str">
        <f t="shared" si="15"/>
        <v/>
      </c>
      <c r="N82" s="56" t="str">
        <f t="shared" si="33"/>
        <v/>
      </c>
      <c r="O82" s="57" t="str">
        <f t="shared" si="17"/>
        <v/>
      </c>
      <c r="P82" s="57" t="str">
        <f t="shared" si="34"/>
        <v/>
      </c>
      <c r="Q82" s="57" t="str">
        <f t="shared" si="35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9"/>
        <v/>
      </c>
      <c r="J83" s="55" t="str">
        <f t="shared" si="30"/>
        <v/>
      </c>
      <c r="K83" s="56" t="str">
        <f t="shared" si="31"/>
        <v/>
      </c>
      <c r="L83" s="56" t="str">
        <f t="shared" si="32"/>
        <v/>
      </c>
      <c r="M83" s="56" t="str">
        <f t="shared" si="15"/>
        <v/>
      </c>
      <c r="N83" s="56" t="str">
        <f t="shared" si="33"/>
        <v/>
      </c>
      <c r="O83" s="57" t="str">
        <f t="shared" si="17"/>
        <v/>
      </c>
      <c r="P83" s="57" t="str">
        <f t="shared" si="34"/>
        <v/>
      </c>
      <c r="Q83" s="57" t="str">
        <f t="shared" si="35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9"/>
        <v/>
      </c>
      <c r="J84" s="55" t="str">
        <f t="shared" si="30"/>
        <v/>
      </c>
      <c r="K84" s="56" t="str">
        <f t="shared" si="31"/>
        <v/>
      </c>
      <c r="L84" s="56" t="str">
        <f t="shared" si="32"/>
        <v/>
      </c>
      <c r="M84" s="56" t="str">
        <f t="shared" si="15"/>
        <v/>
      </c>
      <c r="N84" s="56" t="str">
        <f t="shared" si="33"/>
        <v/>
      </c>
      <c r="O84" s="57" t="str">
        <f t="shared" si="17"/>
        <v/>
      </c>
      <c r="P84" s="57" t="str">
        <f t="shared" si="34"/>
        <v/>
      </c>
      <c r="Q84" s="57" t="str">
        <f t="shared" si="35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9"/>
        <v/>
      </c>
      <c r="J85" s="55" t="str">
        <f t="shared" si="30"/>
        <v/>
      </c>
      <c r="K85" s="56" t="str">
        <f t="shared" si="31"/>
        <v/>
      </c>
      <c r="L85" s="56" t="str">
        <f t="shared" si="32"/>
        <v/>
      </c>
      <c r="M85" s="56" t="str">
        <f t="shared" si="15"/>
        <v/>
      </c>
      <c r="N85" s="56" t="str">
        <f t="shared" si="33"/>
        <v/>
      </c>
      <c r="O85" s="57" t="str">
        <f t="shared" si="17"/>
        <v/>
      </c>
      <c r="P85" s="57" t="str">
        <f t="shared" si="34"/>
        <v/>
      </c>
      <c r="Q85" s="57" t="str">
        <f t="shared" si="35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9"/>
        <v/>
      </c>
      <c r="J86" s="55" t="str">
        <f t="shared" si="30"/>
        <v/>
      </c>
      <c r="K86" s="56" t="str">
        <f t="shared" si="31"/>
        <v/>
      </c>
      <c r="L86" s="56" t="str">
        <f t="shared" si="32"/>
        <v/>
      </c>
      <c r="M86" s="56" t="str">
        <f t="shared" si="15"/>
        <v/>
      </c>
      <c r="N86" s="56" t="str">
        <f t="shared" si="33"/>
        <v/>
      </c>
      <c r="O86" s="57" t="str">
        <f t="shared" si="17"/>
        <v/>
      </c>
      <c r="P86" s="57" t="str">
        <f t="shared" si="34"/>
        <v/>
      </c>
      <c r="Q86" s="57" t="str">
        <f t="shared" si="35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9"/>
        <v/>
      </c>
      <c r="J87" s="55" t="str">
        <f t="shared" si="30"/>
        <v/>
      </c>
      <c r="K87" s="56" t="str">
        <f t="shared" si="31"/>
        <v/>
      </c>
      <c r="L87" s="56" t="str">
        <f t="shared" si="32"/>
        <v/>
      </c>
      <c r="M87" s="56" t="str">
        <f t="shared" si="15"/>
        <v/>
      </c>
      <c r="N87" s="56" t="str">
        <f t="shared" si="33"/>
        <v/>
      </c>
      <c r="O87" s="57" t="str">
        <f t="shared" si="17"/>
        <v/>
      </c>
      <c r="P87" s="57" t="str">
        <f t="shared" si="34"/>
        <v/>
      </c>
      <c r="Q87" s="57" t="str">
        <f t="shared" si="35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9"/>
        <v/>
      </c>
      <c r="J88" s="55" t="str">
        <f t="shared" si="30"/>
        <v/>
      </c>
      <c r="K88" s="56" t="str">
        <f t="shared" si="31"/>
        <v/>
      </c>
      <c r="L88" s="56" t="str">
        <f t="shared" si="32"/>
        <v/>
      </c>
      <c r="M88" s="56" t="str">
        <f t="shared" si="15"/>
        <v/>
      </c>
      <c r="N88" s="56" t="str">
        <f t="shared" si="33"/>
        <v/>
      </c>
      <c r="O88" s="57" t="str">
        <f t="shared" si="17"/>
        <v/>
      </c>
      <c r="P88" s="57" t="str">
        <f t="shared" si="34"/>
        <v/>
      </c>
      <c r="Q88" s="57" t="str">
        <f t="shared" si="35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9"/>
        <v/>
      </c>
      <c r="J89" s="55" t="str">
        <f t="shared" si="30"/>
        <v/>
      </c>
      <c r="K89" s="56" t="str">
        <f t="shared" si="31"/>
        <v/>
      </c>
      <c r="L89" s="56" t="str">
        <f t="shared" si="32"/>
        <v/>
      </c>
      <c r="M89" s="56" t="str">
        <f t="shared" si="15"/>
        <v/>
      </c>
      <c r="N89" s="56" t="str">
        <f t="shared" si="33"/>
        <v/>
      </c>
      <c r="O89" s="57" t="str">
        <f t="shared" si="17"/>
        <v/>
      </c>
      <c r="P89" s="57" t="str">
        <f t="shared" si="34"/>
        <v/>
      </c>
      <c r="Q89" s="57" t="str">
        <f t="shared" si="35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9"/>
        <v/>
      </c>
      <c r="J90" s="55" t="str">
        <f t="shared" si="30"/>
        <v/>
      </c>
      <c r="K90" s="56" t="str">
        <f t="shared" si="31"/>
        <v/>
      </c>
      <c r="L90" s="56" t="str">
        <f t="shared" si="32"/>
        <v/>
      </c>
      <c r="M90" s="56" t="str">
        <f t="shared" si="15"/>
        <v/>
      </c>
      <c r="N90" s="56" t="str">
        <f t="shared" si="33"/>
        <v/>
      </c>
      <c r="O90" s="57" t="str">
        <f t="shared" si="17"/>
        <v/>
      </c>
      <c r="P90" s="57" t="str">
        <f t="shared" si="34"/>
        <v/>
      </c>
      <c r="Q90" s="57" t="str">
        <f t="shared" si="35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9"/>
        <v/>
      </c>
      <c r="J91" s="55" t="str">
        <f t="shared" si="30"/>
        <v/>
      </c>
      <c r="K91" s="56" t="str">
        <f t="shared" si="31"/>
        <v/>
      </c>
      <c r="L91" s="56" t="str">
        <f t="shared" si="32"/>
        <v/>
      </c>
      <c r="M91" s="56" t="str">
        <f t="shared" si="15"/>
        <v/>
      </c>
      <c r="N91" s="56" t="str">
        <f t="shared" si="33"/>
        <v/>
      </c>
      <c r="O91" s="57" t="str">
        <f t="shared" si="17"/>
        <v/>
      </c>
      <c r="P91" s="57" t="str">
        <f t="shared" si="34"/>
        <v/>
      </c>
      <c r="Q91" s="57" t="str">
        <f t="shared" si="35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9"/>
        <v/>
      </c>
      <c r="J92" s="55" t="str">
        <f t="shared" si="30"/>
        <v/>
      </c>
      <c r="K92" s="56" t="str">
        <f t="shared" si="31"/>
        <v/>
      </c>
      <c r="L92" s="56" t="str">
        <f t="shared" si="32"/>
        <v/>
      </c>
      <c r="M92" s="56" t="str">
        <f t="shared" si="15"/>
        <v/>
      </c>
      <c r="N92" s="56" t="str">
        <f t="shared" si="33"/>
        <v/>
      </c>
      <c r="O92" s="57" t="str">
        <f t="shared" si="17"/>
        <v/>
      </c>
      <c r="P92" s="57" t="str">
        <f t="shared" si="34"/>
        <v/>
      </c>
      <c r="Q92" s="57" t="str">
        <f t="shared" si="35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9"/>
        <v/>
      </c>
      <c r="J93" s="55" t="str">
        <f t="shared" si="30"/>
        <v/>
      </c>
      <c r="K93" s="56" t="str">
        <f t="shared" si="31"/>
        <v/>
      </c>
      <c r="L93" s="56" t="str">
        <f t="shared" si="32"/>
        <v/>
      </c>
      <c r="M93" s="56" t="str">
        <f t="shared" ref="M93:M127" si="36">IF(D93=0,"",1-L93)</f>
        <v/>
      </c>
      <c r="N93" s="56" t="str">
        <f t="shared" si="33"/>
        <v/>
      </c>
      <c r="O93" s="57" t="str">
        <f t="shared" ref="O93:O127" si="37">IF(D93=0,"",F93*K93*$J$7/$J$14)</f>
        <v/>
      </c>
      <c r="P93" s="57" t="str">
        <f t="shared" si="34"/>
        <v/>
      </c>
      <c r="Q93" s="57" t="str">
        <f t="shared" si="35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9"/>
        <v/>
      </c>
      <c r="J94" s="55" t="str">
        <f t="shared" si="30"/>
        <v/>
      </c>
      <c r="K94" s="56" t="str">
        <f t="shared" si="31"/>
        <v/>
      </c>
      <c r="L94" s="56" t="str">
        <f t="shared" si="32"/>
        <v/>
      </c>
      <c r="M94" s="56" t="str">
        <f t="shared" si="36"/>
        <v/>
      </c>
      <c r="N94" s="56" t="str">
        <f t="shared" si="33"/>
        <v/>
      </c>
      <c r="O94" s="57" t="str">
        <f t="shared" si="37"/>
        <v/>
      </c>
      <c r="P94" s="57" t="str">
        <f t="shared" si="34"/>
        <v/>
      </c>
      <c r="Q94" s="57" t="str">
        <f t="shared" si="35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9"/>
        <v/>
      </c>
      <c r="J95" s="55" t="str">
        <f t="shared" si="30"/>
        <v/>
      </c>
      <c r="K95" s="56" t="str">
        <f t="shared" si="31"/>
        <v/>
      </c>
      <c r="L95" s="56" t="str">
        <f t="shared" si="32"/>
        <v/>
      </c>
      <c r="M95" s="56" t="str">
        <f t="shared" si="36"/>
        <v/>
      </c>
      <c r="N95" s="56" t="str">
        <f t="shared" si="33"/>
        <v/>
      </c>
      <c r="O95" s="57" t="str">
        <f t="shared" si="37"/>
        <v/>
      </c>
      <c r="P95" s="57" t="str">
        <f t="shared" si="34"/>
        <v/>
      </c>
      <c r="Q95" s="57" t="str">
        <f t="shared" si="35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9"/>
        <v/>
      </c>
      <c r="J96" s="55" t="str">
        <f t="shared" si="30"/>
        <v/>
      </c>
      <c r="K96" s="56" t="str">
        <f t="shared" si="31"/>
        <v/>
      </c>
      <c r="L96" s="56" t="str">
        <f t="shared" si="32"/>
        <v/>
      </c>
      <c r="M96" s="56" t="str">
        <f t="shared" si="36"/>
        <v/>
      </c>
      <c r="N96" s="56" t="str">
        <f t="shared" si="33"/>
        <v/>
      </c>
      <c r="O96" s="57" t="str">
        <f t="shared" si="37"/>
        <v/>
      </c>
      <c r="P96" s="57" t="str">
        <f t="shared" si="34"/>
        <v/>
      </c>
      <c r="Q96" s="57" t="str">
        <f t="shared" si="35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9"/>
        <v/>
      </c>
      <c r="J97" s="55" t="str">
        <f t="shared" si="30"/>
        <v/>
      </c>
      <c r="K97" s="56" t="str">
        <f t="shared" si="31"/>
        <v/>
      </c>
      <c r="L97" s="56" t="str">
        <f t="shared" si="32"/>
        <v/>
      </c>
      <c r="M97" s="56" t="str">
        <f t="shared" si="36"/>
        <v/>
      </c>
      <c r="N97" s="56" t="str">
        <f t="shared" si="33"/>
        <v/>
      </c>
      <c r="O97" s="57" t="str">
        <f t="shared" si="37"/>
        <v/>
      </c>
      <c r="P97" s="57" t="str">
        <f t="shared" si="34"/>
        <v/>
      </c>
      <c r="Q97" s="57" t="str">
        <f t="shared" si="35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9"/>
        <v/>
      </c>
      <c r="J98" s="55" t="str">
        <f t="shared" si="30"/>
        <v/>
      </c>
      <c r="K98" s="56" t="str">
        <f t="shared" si="31"/>
        <v/>
      </c>
      <c r="L98" s="56" t="str">
        <f t="shared" si="32"/>
        <v/>
      </c>
      <c r="M98" s="56" t="str">
        <f t="shared" si="36"/>
        <v/>
      </c>
      <c r="N98" s="56" t="str">
        <f t="shared" si="33"/>
        <v/>
      </c>
      <c r="O98" s="57" t="str">
        <f t="shared" si="37"/>
        <v/>
      </c>
      <c r="P98" s="57" t="str">
        <f t="shared" si="34"/>
        <v/>
      </c>
      <c r="Q98" s="57" t="str">
        <f t="shared" si="35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9"/>
        <v/>
      </c>
      <c r="J99" s="55" t="str">
        <f t="shared" si="30"/>
        <v/>
      </c>
      <c r="K99" s="56" t="str">
        <f t="shared" si="31"/>
        <v/>
      </c>
      <c r="L99" s="56" t="str">
        <f t="shared" si="32"/>
        <v/>
      </c>
      <c r="M99" s="56" t="str">
        <f t="shared" si="36"/>
        <v/>
      </c>
      <c r="N99" s="56" t="str">
        <f t="shared" si="33"/>
        <v/>
      </c>
      <c r="O99" s="57" t="str">
        <f t="shared" si="37"/>
        <v/>
      </c>
      <c r="P99" s="57" t="str">
        <f t="shared" si="34"/>
        <v/>
      </c>
      <c r="Q99" s="57" t="str">
        <f t="shared" si="35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2025-02-03T13:53:57Z</dcterms:modified>
</cp:coreProperties>
</file>