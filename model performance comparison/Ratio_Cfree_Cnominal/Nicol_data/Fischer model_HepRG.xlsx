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Validation_Unilever\"/>
    </mc:Choice>
  </mc:AlternateContent>
  <xr:revisionPtr revIDLastSave="0" documentId="13_ncr:1_{E50E235F-4C6D-44DE-9A7B-408188FBE237}" xr6:coauthVersionLast="47" xr6:coauthVersionMax="47" xr10:uidLastSave="{00000000-0000-0000-0000-000000000000}"/>
  <bookViews>
    <workbookView xWindow="43140" yWindow="1110" windowWidth="16200" windowHeight="999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8" i="4" l="1"/>
  <c r="C16" i="4"/>
  <c r="J21" i="4" l="1"/>
  <c r="J2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22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J10" i="4"/>
  <c r="J9" i="4"/>
  <c r="J19" i="4"/>
  <c r="J8" i="4" l="1"/>
  <c r="K14" i="4"/>
  <c r="K13" i="4"/>
  <c r="K15" i="4"/>
  <c r="J7" i="4"/>
  <c r="K19" i="4"/>
  <c r="K22" i="4"/>
  <c r="K21" i="4"/>
  <c r="K20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42" i="4"/>
  <c r="K42" i="4" s="1"/>
  <c r="O42" i="4" s="1"/>
  <c r="R42" i="4" s="1"/>
  <c r="J36" i="4"/>
  <c r="K36" i="4" s="1"/>
  <c r="O36" i="4" s="1"/>
  <c r="J52" i="4"/>
  <c r="K52" i="4" s="1"/>
  <c r="O52" i="4" s="1"/>
  <c r="P52" i="4" s="1"/>
  <c r="J62" i="4"/>
  <c r="K62" i="4" s="1"/>
  <c r="O62" i="4" s="1"/>
  <c r="P62" i="4" s="1"/>
  <c r="J60" i="4"/>
  <c r="K60" i="4" s="1"/>
  <c r="O60" i="4" s="1"/>
  <c r="P60" i="4" s="1"/>
  <c r="J44" i="4"/>
  <c r="K44" i="4" s="1"/>
  <c r="O44" i="4" s="1"/>
  <c r="P44" i="4" s="1"/>
  <c r="J37" i="4"/>
  <c r="K37" i="4" s="1"/>
  <c r="O37" i="4" s="1"/>
  <c r="J51" i="4"/>
  <c r="K51" i="4" s="1"/>
  <c r="O51" i="4" s="1"/>
  <c r="P51" i="4" s="1"/>
  <c r="J39" i="4"/>
  <c r="K39" i="4" s="1"/>
  <c r="O39" i="4" s="1"/>
  <c r="P39" i="4" s="1"/>
  <c r="J38" i="4"/>
  <c r="K38" i="4" s="1"/>
  <c r="O38" i="4" s="1"/>
  <c r="J56" i="4"/>
  <c r="K56" i="4" s="1"/>
  <c r="O56" i="4" s="1"/>
  <c r="P56" i="4" s="1"/>
  <c r="J46" i="4"/>
  <c r="K46" i="4" s="1"/>
  <c r="O46" i="4" s="1"/>
  <c r="J45" i="4"/>
  <c r="K45" i="4" s="1"/>
  <c r="O45" i="4" s="1"/>
  <c r="P45" i="4" s="1"/>
  <c r="J58" i="4"/>
  <c r="K58" i="4" s="1"/>
  <c r="O58" i="4" s="1"/>
  <c r="P58" i="4" s="1"/>
  <c r="J48" i="4"/>
  <c r="K48" i="4" s="1"/>
  <c r="O48" i="4" s="1"/>
  <c r="P48" i="4" s="1"/>
  <c r="J55" i="4"/>
  <c r="K55" i="4" s="1"/>
  <c r="O55" i="4" s="1"/>
  <c r="P55" i="4" s="1"/>
  <c r="J61" i="4"/>
  <c r="K61" i="4" s="1"/>
  <c r="O61" i="4" s="1"/>
  <c r="P61" i="4" s="1"/>
  <c r="J47" i="4"/>
  <c r="K47" i="4" s="1"/>
  <c r="O47" i="4" s="1"/>
  <c r="J40" i="4"/>
  <c r="K40" i="4" s="1"/>
  <c r="O40" i="4" s="1"/>
  <c r="P40" i="4" s="1"/>
  <c r="J54" i="4"/>
  <c r="K54" i="4" s="1"/>
  <c r="O54" i="4" s="1"/>
  <c r="J43" i="4"/>
  <c r="K43" i="4" s="1"/>
  <c r="O43" i="4" s="1"/>
  <c r="J57" i="4"/>
  <c r="K57" i="4" s="1"/>
  <c r="O57" i="4" s="1"/>
  <c r="P57" i="4" s="1"/>
  <c r="J53" i="4"/>
  <c r="K53" i="4" s="1"/>
  <c r="O53" i="4" s="1"/>
  <c r="J49" i="4"/>
  <c r="K49" i="4" s="1"/>
  <c r="O49" i="4" s="1"/>
  <c r="J41" i="4"/>
  <c r="K41" i="4" s="1"/>
  <c r="O41" i="4" s="1"/>
  <c r="J59" i="4"/>
  <c r="K59" i="4" s="1"/>
  <c r="O59" i="4" s="1"/>
  <c r="P59" i="4" s="1"/>
  <c r="J50" i="4"/>
  <c r="K50" i="4" s="1"/>
  <c r="O50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N35" i="4" s="1"/>
  <c r="Q35" i="4" s="1"/>
  <c r="I31" i="4"/>
  <c r="N31" i="4" s="1"/>
  <c r="Q31" i="4" s="1"/>
  <c r="I33" i="4"/>
  <c r="N33" i="4" s="1"/>
  <c r="Q33" i="4" s="1"/>
  <c r="I30" i="4"/>
  <c r="N30" i="4" s="1"/>
  <c r="Q30" i="4" s="1"/>
  <c r="I32" i="4"/>
  <c r="N32" i="4" s="1"/>
  <c r="Q32" i="4" s="1"/>
  <c r="N28" i="4"/>
  <c r="Q28" i="4" s="1"/>
  <c r="I29" i="4"/>
  <c r="N29" i="4" s="1"/>
  <c r="Q29" i="4" s="1"/>
  <c r="I34" i="4"/>
  <c r="N34" i="4" s="1"/>
  <c r="Q34" i="4" s="1"/>
  <c r="J32" i="4"/>
  <c r="J28" i="4"/>
  <c r="J35" i="4"/>
  <c r="J31" i="4"/>
  <c r="J29" i="4"/>
  <c r="J30" i="4"/>
  <c r="J33" i="4"/>
  <c r="J34" i="4"/>
  <c r="K7" i="4"/>
  <c r="K8" i="4"/>
  <c r="K9" i="4"/>
  <c r="K10" i="4"/>
  <c r="P54" i="4" l="1"/>
  <c r="R54" i="4"/>
  <c r="P43" i="4"/>
  <c r="R43" i="4"/>
  <c r="P37" i="4"/>
  <c r="R37" i="4"/>
  <c r="P47" i="4"/>
  <c r="R47" i="4"/>
  <c r="P50" i="4"/>
  <c r="R50" i="4"/>
  <c r="P36" i="4"/>
  <c r="R36" i="4"/>
  <c r="P41" i="4"/>
  <c r="R41" i="4"/>
  <c r="P49" i="4"/>
  <c r="R49" i="4"/>
  <c r="P46" i="4"/>
  <c r="R46" i="4"/>
  <c r="P53" i="4"/>
  <c r="R53" i="4"/>
  <c r="P38" i="4"/>
  <c r="R38" i="4"/>
  <c r="P42" i="4"/>
  <c r="L66" i="4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L41" i="4"/>
  <c r="M41" i="4" s="1"/>
  <c r="N41" i="4"/>
  <c r="Q41" i="4" s="1"/>
  <c r="N62" i="4"/>
  <c r="Q62" i="4" s="1"/>
  <c r="L62" i="4"/>
  <c r="M62" i="4" s="1"/>
  <c r="N50" i="4"/>
  <c r="Q50" i="4" s="1"/>
  <c r="L50" i="4"/>
  <c r="M50" i="4" s="1"/>
  <c r="L47" i="4"/>
  <c r="M47" i="4" s="1"/>
  <c r="N47" i="4"/>
  <c r="Q47" i="4" s="1"/>
  <c r="N55" i="4"/>
  <c r="Q55" i="4" s="1"/>
  <c r="L55" i="4"/>
  <c r="M55" i="4" s="1"/>
  <c r="L56" i="4"/>
  <c r="M56" i="4" s="1"/>
  <c r="N56" i="4"/>
  <c r="Q56" i="4" s="1"/>
  <c r="N51" i="4"/>
  <c r="Q51" i="4" s="1"/>
  <c r="L51" i="4"/>
  <c r="M51" i="4" s="1"/>
  <c r="N59" i="4"/>
  <c r="Q59" i="4" s="1"/>
  <c r="L59" i="4"/>
  <c r="M59" i="4" s="1"/>
  <c r="N42" i="4"/>
  <c r="Q42" i="4" s="1"/>
  <c r="L42" i="4"/>
  <c r="M42" i="4" s="1"/>
  <c r="N46" i="4"/>
  <c r="Q46" i="4" s="1"/>
  <c r="L46" i="4"/>
  <c r="M46" i="4" s="1"/>
  <c r="N57" i="4"/>
  <c r="Q57" i="4" s="1"/>
  <c r="L57" i="4"/>
  <c r="M57" i="4" s="1"/>
  <c r="L40" i="4"/>
  <c r="M40" i="4" s="1"/>
  <c r="N40" i="4"/>
  <c r="Q40" i="4" s="1"/>
  <c r="L48" i="4"/>
  <c r="M48" i="4" s="1"/>
  <c r="N48" i="4"/>
  <c r="Q48" i="4" s="1"/>
  <c r="L49" i="4"/>
  <c r="M49" i="4" s="1"/>
  <c r="N49" i="4"/>
  <c r="Q49" i="4" s="1"/>
  <c r="L58" i="4"/>
  <c r="M58" i="4" s="1"/>
  <c r="N58" i="4"/>
  <c r="Q58" i="4" s="1"/>
  <c r="L45" i="4"/>
  <c r="M45" i="4" s="1"/>
  <c r="N45" i="4"/>
  <c r="Q45" i="4" s="1"/>
  <c r="N37" i="4"/>
  <c r="Q37" i="4" s="1"/>
  <c r="L37" i="4"/>
  <c r="M37" i="4" s="1"/>
  <c r="N43" i="4"/>
  <c r="Q43" i="4" s="1"/>
  <c r="L43" i="4"/>
  <c r="M43" i="4" s="1"/>
  <c r="L54" i="4"/>
  <c r="M54" i="4" s="1"/>
  <c r="N54" i="4"/>
  <c r="Q54" i="4" s="1"/>
  <c r="N39" i="4"/>
  <c r="Q39" i="4" s="1"/>
  <c r="L39" i="4"/>
  <c r="M39" i="4" s="1"/>
  <c r="N52" i="4"/>
  <c r="Q52" i="4" s="1"/>
  <c r="L52" i="4"/>
  <c r="M52" i="4" s="1"/>
  <c r="N38" i="4"/>
  <c r="Q38" i="4" s="1"/>
  <c r="L38" i="4"/>
  <c r="M38" i="4" s="1"/>
  <c r="N44" i="4"/>
  <c r="Q44" i="4" s="1"/>
  <c r="L44" i="4"/>
  <c r="M44" i="4" s="1"/>
  <c r="L36" i="4"/>
  <c r="M36" i="4" s="1"/>
  <c r="N36" i="4"/>
  <c r="Q36" i="4" s="1"/>
  <c r="N61" i="4"/>
  <c r="Q61" i="4" s="1"/>
  <c r="L61" i="4"/>
  <c r="M61" i="4" s="1"/>
  <c r="L53" i="4"/>
  <c r="M53" i="4" s="1"/>
  <c r="N53" i="4"/>
  <c r="Q53" i="4" s="1"/>
  <c r="L60" i="4"/>
  <c r="M60" i="4" s="1"/>
  <c r="N60" i="4"/>
  <c r="Q60" i="4" s="1"/>
  <c r="K35" i="4"/>
  <c r="O35" i="4" s="1"/>
  <c r="P35" i="4" s="1"/>
  <c r="L35" i="4"/>
  <c r="M35" i="4" s="1"/>
  <c r="L30" i="4"/>
  <c r="M30" i="4" s="1"/>
  <c r="K30" i="4"/>
  <c r="O30" i="4" s="1"/>
  <c r="P30" i="4" s="1"/>
  <c r="K28" i="4"/>
  <c r="O28" i="4" s="1"/>
  <c r="R28" i="4" s="1"/>
  <c r="L28" i="4"/>
  <c r="M28" i="4" s="1"/>
  <c r="L32" i="4"/>
  <c r="M32" i="4" s="1"/>
  <c r="K32" i="4"/>
  <c r="O32" i="4" s="1"/>
  <c r="K34" i="4"/>
  <c r="O34" i="4" s="1"/>
  <c r="P34" i="4" s="1"/>
  <c r="L34" i="4"/>
  <c r="M34" i="4" s="1"/>
  <c r="K31" i="4"/>
  <c r="O31" i="4" s="1"/>
  <c r="P31" i="4" s="1"/>
  <c r="L31" i="4"/>
  <c r="M31" i="4" s="1"/>
  <c r="L33" i="4"/>
  <c r="M33" i="4" s="1"/>
  <c r="K33" i="4"/>
  <c r="O33" i="4" s="1"/>
  <c r="P33" i="4" s="1"/>
  <c r="K29" i="4"/>
  <c r="O29" i="4" s="1"/>
  <c r="L29" i="4"/>
  <c r="M29" i="4" s="1"/>
  <c r="P29" i="4" l="1"/>
  <c r="R29" i="4"/>
  <c r="P32" i="4"/>
  <c r="R32" i="4"/>
  <c r="P28" i="4"/>
  <c r="O70" i="4"/>
  <c r="P7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<sst xmlns="http://schemas.openxmlformats.org/spreadsheetml/2006/main" count="163" uniqueCount="140">
  <si>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</si>
  <si>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</si>
  <si>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</si>
  <si>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</si>
  <si>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</si>
  <si>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</si>
  <si>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</si>
  <si>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</si>
  <si>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</si>
  <si>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</si>
  <si>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</si>
  <si>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</si>
  <si>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</si>
  <si>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HEK293T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</si>
  <si>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</si>
  <si>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</si>
  <si>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</si>
  <si>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</si>
  <si>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</si>
  <si>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</si>
  <si>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</si>
  <si>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</si>
  <si>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</si>
  <si>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</si>
  <si>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</si>
  <si>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cs-FBS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</si>
  <si>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</si>
  <si>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</si>
  <si>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</si>
  <si>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</si>
  <si>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</si>
  <si>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</si>
  <si>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</si>
  <si>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</si>
  <si>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</si>
  <si>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</si>
  <si>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</si>
  <si>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</si>
  <si>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</si>
  <si>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</si>
  <si>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</si>
  <si>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</si>
  <si>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</si>
  <si>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</si>
  <si>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</si>
  <si>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</si>
  <si>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</si>
  <si>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</si>
  <si>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</si>
  <si>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</si>
  <si>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</si>
  <si>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</si>
  <si>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</si>
  <si>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</si>
  <si>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</si>
  <si>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</si>
  <si>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</si>
  <si>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</si>
  <si>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</si>
  <si>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</si>
  <si>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</si>
  <si>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</si>
  <si>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</si>
  <si>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</si>
  <si>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</si>
  <si>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</si>
  <si>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</si>
  <si>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</si>
  <si>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</si>
  <si>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</si>
  <si>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</si>
  <si>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</si>
  <si>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</si>
  <si>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</si>
  <si>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</si>
  <si>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</si>
  <si>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</si>
  <si>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HepG2</t>
    <phoneticPr fontId="18" type="noConversion"/>
  </si>
  <si>
    <t>FBS</t>
    <phoneticPr fontId="18" type="noConversion"/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</si>
  <si>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</si>
  <si>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</si>
  <si>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</si>
  <si>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</si>
  <si>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</si>
  <si>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</si>
  <si>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</si>
  <si>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</si>
  <si>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Chlorpyrifos</t>
  </si>
  <si>
    <t>2921-88-2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</si>
  <si>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</si>
  <si>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</si>
  <si>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</si>
  <si>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</si>
  <si>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</si>
  <si>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</si>
  <si>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</si>
  <si>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</si>
  <si>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</si>
  <si>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</si>
  <si>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</si>
  <si>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</si>
  <si>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</si>
  <si>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</si>
  <si>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</si>
  <si>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</si>
  <si>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</si>
  <si>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</si>
  <si>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</si>
  <si>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</si>
  <si>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</si>
  <si>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</si>
  <si>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</si>
  <si>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</si>
  <si>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</si>
  <si>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</si>
  <si>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Ibuprofen</t>
  </si>
  <si>
    <t>15687-27-1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</si>
  <si>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</si>
  <si>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</si>
  <si>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</si>
  <si>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</si>
  <si>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</si>
  <si>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</si>
  <si>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</si>
  <si>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</si>
  <si>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</si>
  <si>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</si>
  <si>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</si>
  <si>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</si>
  <si>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</si>
  <si>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</si>
  <si>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</si>
  <si>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</si>
  <si>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</si>
  <si>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</si>
  <si>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</si>
  <si>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</si>
  <si>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Warfarin</t>
  </si>
  <si>
    <t>129-06-6</t>
  </si>
  <si>
    <t>HepRG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</si>
</sst>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"/>
    <numFmt numFmtId="177" formatCode="0.000000000"/>
    <numFmt numFmtId="178" formatCode="0.00000000000"/>
    <numFmt numFmtId="179" formatCode="0.0%"/>
    <numFmt numFmtId="180" formatCode="0.000E+00"/>
  </numFmts>
  <fonts count="21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rgb="FFFF0000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9" fillId="0" borderId="0"/>
  </cellStyleXfs>
  <cellXfs count="173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2" fontId="20" fillId="2" borderId="7" xfId="0" applyNumberFormat="1" applyFont="1" applyFill="1" applyBorder="1" applyAlignment="1" applyProtection="1">
      <alignment horizontal="center" vertical="center"/>
      <protection hidden="1"/>
    </xf>
    <xf numFmtId="10" fontId="20" fillId="2" borderId="7" xfId="0" applyNumberFormat="1" applyFont="1" applyFill="1" applyBorder="1" applyAlignment="1" applyProtection="1">
      <alignment horizontal="center" vertical="center"/>
      <protection hidden="1"/>
    </xf>
    <xf numFmtId="11" fontId="20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7" borderId="7" xfId="0" applyNumberFormat="1" applyFont="1" applyFill="1" applyBorder="1" applyAlignment="1" applyProtection="1">
      <alignment horizontal="center" vertical="center"/>
      <protection hidden="1"/>
    </xf>
    <xf numFmtId="0" fontId="4" fillId="8" borderId="7" xfId="0" applyFont="1" applyFill="1" applyBorder="1" applyAlignment="1" applyProtection="1">
      <alignment horizontal="left" vertical="center"/>
      <protection locked="0"/>
    </xf>
    <xf numFmtId="180" fontId="0" fillId="3" borderId="0" xfId="0" applyNumberFormat="1" applyFill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zoomScale="90" zoomScaleNormal="90" workbookViewId="0">
      <selection activeCell="K7" sqref="K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98" t="s">
        <v>59</v>
      </c>
      <c r="C2" s="99"/>
      <c r="D2" s="99"/>
      <c r="E2" s="99"/>
      <c r="F2" s="99"/>
      <c r="G2" s="99"/>
      <c r="H2" s="100"/>
      <c r="I2" s="7"/>
      <c r="J2" s="89" t="s">
        <v>58</v>
      </c>
      <c r="K2" s="90"/>
      <c r="L2" s="90"/>
      <c r="M2" s="90"/>
      <c r="N2" s="90"/>
      <c r="O2" s="91"/>
      <c r="P2" s="7"/>
      <c r="Q2" s="89" t="s">
        <v>60</v>
      </c>
      <c r="R2" s="90"/>
      <c r="S2" s="90"/>
      <c r="T2" s="90"/>
      <c r="U2" s="90"/>
      <c r="V2" s="91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92"/>
      <c r="K3" s="93"/>
      <c r="L3" s="93"/>
      <c r="M3" s="93"/>
      <c r="N3" s="93"/>
      <c r="O3" s="94"/>
      <c r="P3" s="7"/>
      <c r="Q3" s="92"/>
      <c r="R3" s="93"/>
      <c r="S3" s="93"/>
      <c r="T3" s="93"/>
      <c r="U3" s="93"/>
      <c r="V3" s="94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95"/>
      <c r="K4" s="96"/>
      <c r="L4" s="96"/>
      <c r="M4" s="96"/>
      <c r="N4" s="96"/>
      <c r="O4" s="97"/>
      <c r="P4" s="7"/>
      <c r="Q4" s="95"/>
      <c r="R4" s="96"/>
      <c r="S4" s="96"/>
      <c r="T4" s="96"/>
      <c r="U4" s="96"/>
      <c r="V4" s="9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22</v>
      </c>
      <c r="L6" s="36" t="s">
        <v>23</v>
      </c>
      <c r="M6" s="36" t="s">
        <v>27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32" t="s">
        <v>14</v>
      </c>
      <c r="L7" s="33">
        <v>0</v>
      </c>
      <c r="M7" s="34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24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65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32" t="s">
        <v>17</v>
      </c>
      <c r="L10" s="33">
        <v>52.76</v>
      </c>
      <c r="M10" s="33">
        <v>1.57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25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26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31</v>
      </c>
      <c r="L14" s="36" t="s">
        <v>28</v>
      </c>
      <c r="M14" s="36" t="s">
        <v>29</v>
      </c>
      <c r="N14" s="36" t="s">
        <v>30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/>
      <c r="K15" s="32" t="s">
        <v>13</v>
      </c>
      <c r="L15" s="59">
        <v>6.5792300000000001E-3</v>
      </c>
      <c r="M15" s="59">
        <v>6.1257E-4</v>
      </c>
      <c r="N15" s="59">
        <v>7.2789999999999999E-5</v>
      </c>
      <c r="O15" s="15"/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32</v>
      </c>
      <c r="L16" s="59">
        <v>2.5484800000000001E-3</v>
      </c>
      <c r="M16" s="59">
        <v>2.2915000000000001E-4</v>
      </c>
      <c r="N16" s="59">
        <v>9.6669999999999994E-5</v>
      </c>
      <c r="O16" s="1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77</v>
      </c>
      <c r="L17" s="59">
        <v>2.6539699999999999E-3</v>
      </c>
      <c r="M17" s="59">
        <v>2.8729E-4</v>
      </c>
      <c r="N17" s="59">
        <v>9.6910000000000006E-5</v>
      </c>
      <c r="O17" s="1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33</v>
      </c>
      <c r="L18" s="59">
        <v>2.2457100000000002E-3</v>
      </c>
      <c r="M18" s="59">
        <v>3.0027E-4</v>
      </c>
      <c r="N18" s="59">
        <v>6.6229999999999994E-5</v>
      </c>
      <c r="O18" s="1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34</v>
      </c>
      <c r="L19" s="59">
        <v>3.2730300000000001E-3</v>
      </c>
      <c r="M19" s="59">
        <v>3.9889999999999999E-4</v>
      </c>
      <c r="N19" s="59">
        <v>1.0728E-4</v>
      </c>
      <c r="O19" s="1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/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7"/>
      <c r="M23" s="7"/>
      <c r="N23" s="7"/>
      <c r="O23" s="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7"/>
      <c r="M24" s="7"/>
      <c r="N24" s="7"/>
      <c r="O24" s="7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4" zoomScale="90" zoomScaleNormal="90" workbookViewId="0">
      <selection activeCell="B8" sqref="B8:F10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26"/>
      <c r="H1" s="12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26"/>
      <c r="H2" s="126"/>
      <c r="I2" s="139" t="s">
        <v>20</v>
      </c>
      <c r="J2" s="140"/>
      <c r="K2" s="140"/>
      <c r="L2" s="140"/>
      <c r="M2" s="140"/>
      <c r="N2" s="140"/>
      <c r="O2" s="140"/>
      <c r="P2" s="140"/>
      <c r="Q2" s="141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26"/>
      <c r="H3" s="126"/>
      <c r="I3" s="142"/>
      <c r="J3" s="143"/>
      <c r="K3" s="143"/>
      <c r="L3" s="143"/>
      <c r="M3" s="143"/>
      <c r="N3" s="143"/>
      <c r="O3" s="143"/>
      <c r="P3" s="143"/>
      <c r="Q3" s="144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26"/>
      <c r="H4" s="126"/>
      <c r="I4" s="145"/>
      <c r="J4" s="146"/>
      <c r="K4" s="146"/>
      <c r="L4" s="146"/>
      <c r="M4" s="146"/>
      <c r="N4" s="146"/>
      <c r="O4" s="146"/>
      <c r="P4" s="146"/>
      <c r="Q4" s="14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26"/>
      <c r="H5" s="126"/>
      <c r="I5" s="148" t="s">
        <v>40</v>
      </c>
      <c r="J5" s="149"/>
      <c r="K5" s="149"/>
      <c r="L5" s="149"/>
      <c r="M5" s="149"/>
      <c r="N5" s="149"/>
      <c r="O5" s="149"/>
      <c r="P5" s="149"/>
      <c r="Q5" s="150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26"/>
      <c r="H6" s="126"/>
      <c r="I6" s="50" t="s">
        <v>51</v>
      </c>
      <c r="J6" s="50" t="s">
        <v>52</v>
      </c>
      <c r="K6" s="50" t="s">
        <v>48</v>
      </c>
      <c r="L6" s="118" t="s">
        <v>41</v>
      </c>
      <c r="M6" s="119"/>
      <c r="N6" s="119"/>
      <c r="O6" s="119"/>
      <c r="P6" s="119"/>
      <c r="Q6" s="120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26"/>
      <c r="H7" s="126"/>
      <c r="I7" s="51" t="s">
        <v>21</v>
      </c>
      <c r="J7" s="38">
        <f>SUM(J13,J19)</f>
        <v>300</v>
      </c>
      <c r="K7" s="39">
        <f>J7/J7</f>
        <v>1</v>
      </c>
      <c r="L7" s="101" t="s">
        <v>70</v>
      </c>
      <c r="M7" s="102"/>
      <c r="N7" s="102"/>
      <c r="O7" s="102"/>
      <c r="P7" s="102"/>
      <c r="Q7" s="103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64" t="s">
        <v>3</v>
      </c>
      <c r="C8" s="165"/>
      <c r="D8" s="165"/>
      <c r="E8" s="165"/>
      <c r="F8" s="166"/>
      <c r="G8" s="126"/>
      <c r="H8" s="126"/>
      <c r="I8" s="52" t="s">
        <v>6</v>
      </c>
      <c r="J8" s="38">
        <f>SUM(J14,J20)</f>
        <v>300</v>
      </c>
      <c r="K8" s="40">
        <f>J8/J7</f>
        <v>1</v>
      </c>
      <c r="L8" s="101" t="s">
        <v>71</v>
      </c>
      <c r="M8" s="102"/>
      <c r="N8" s="102"/>
      <c r="O8" s="102"/>
      <c r="P8" s="102"/>
      <c r="Q8" s="103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67"/>
      <c r="C9" s="168"/>
      <c r="D9" s="168"/>
      <c r="E9" s="168"/>
      <c r="F9" s="169"/>
      <c r="G9" s="126"/>
      <c r="H9" s="126"/>
      <c r="I9" s="51" t="s">
        <v>8</v>
      </c>
      <c r="J9" s="41">
        <f t="shared" ref="J9:J10" si="0">SUM(J15,J21)</f>
        <v>3.6563600000000008E-37</v>
      </c>
      <c r="K9" s="40">
        <f>J9/J7</f>
        <v>1.2187866666666669E-39</v>
      </c>
      <c r="L9" s="101" t="s">
        <v>71</v>
      </c>
      <c r="M9" s="102"/>
      <c r="N9" s="102"/>
      <c r="O9" s="102"/>
      <c r="P9" s="102"/>
      <c r="Q9" s="103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70"/>
      <c r="C10" s="171"/>
      <c r="D10" s="171"/>
      <c r="E10" s="171"/>
      <c r="F10" s="172"/>
      <c r="G10" s="126"/>
      <c r="H10" s="126"/>
      <c r="I10" s="52" t="s">
        <v>9</v>
      </c>
      <c r="J10" s="41">
        <f t="shared" si="0"/>
        <v>8.7976000000000012E-38</v>
      </c>
      <c r="K10" s="40">
        <f>J10/J7</f>
        <v>2.9325333333333336E-40</v>
      </c>
      <c r="L10" s="101" t="s">
        <v>71</v>
      </c>
      <c r="M10" s="102"/>
      <c r="N10" s="102"/>
      <c r="O10" s="102"/>
      <c r="P10" s="102"/>
      <c r="Q10" s="103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29" t="s">
        <v>38</v>
      </c>
      <c r="C11" s="130"/>
      <c r="D11" s="130"/>
      <c r="E11" s="130"/>
      <c r="F11" s="131"/>
      <c r="G11" s="126"/>
      <c r="H11" s="126"/>
      <c r="I11" s="117"/>
      <c r="J11" s="117"/>
      <c r="K11" s="117"/>
      <c r="L11" s="117"/>
      <c r="M11" s="117"/>
      <c r="N11" s="117"/>
      <c r="O11" s="117"/>
      <c r="P11" s="117"/>
      <c r="Q11" s="11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32"/>
      <c r="C12" s="133"/>
      <c r="D12" s="133"/>
      <c r="E12" s="133"/>
      <c r="F12" s="134"/>
      <c r="G12" s="126"/>
      <c r="H12" s="126"/>
      <c r="I12" s="50" t="s">
        <v>53</v>
      </c>
      <c r="J12" s="50" t="s">
        <v>52</v>
      </c>
      <c r="K12" s="50" t="s">
        <v>48</v>
      </c>
      <c r="L12" s="118" t="s">
        <v>41</v>
      </c>
      <c r="M12" s="119"/>
      <c r="N12" s="119"/>
      <c r="O12" s="119"/>
      <c r="P12" s="119"/>
      <c r="Q12" s="120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21" t="s">
        <v>4</v>
      </c>
      <c r="C13" s="122"/>
      <c r="D13" s="154" t="s">
        <v>41</v>
      </c>
      <c r="E13" s="154"/>
      <c r="F13" s="154"/>
      <c r="G13" s="126"/>
      <c r="H13" s="126"/>
      <c r="I13" s="51" t="s">
        <v>5</v>
      </c>
      <c r="J13" s="42">
        <f>SUM(J14:J16)</f>
        <v>300</v>
      </c>
      <c r="K13" s="39">
        <f>J13/J13</f>
        <v>1</v>
      </c>
      <c r="L13" s="101" t="s">
        <v>73</v>
      </c>
      <c r="M13" s="102"/>
      <c r="N13" s="102"/>
      <c r="O13" s="102"/>
      <c r="P13" s="102"/>
      <c r="Q13" s="103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35</v>
      </c>
      <c r="C14" s="44">
        <v>300</v>
      </c>
      <c r="D14" s="155" t="s">
        <v>18</v>
      </c>
      <c r="E14" s="155"/>
      <c r="F14" s="155"/>
      <c r="G14" s="126"/>
      <c r="H14" s="126"/>
      <c r="I14" s="52" t="s">
        <v>45</v>
      </c>
      <c r="J14" s="42">
        <f>C14-SUM(J15:J16)</f>
        <v>300</v>
      </c>
      <c r="K14" s="40">
        <f>J14/J13</f>
        <v>1</v>
      </c>
      <c r="L14" s="123" t="s">
        <v>72</v>
      </c>
      <c r="M14" s="124"/>
      <c r="N14" s="124"/>
      <c r="O14" s="124"/>
      <c r="P14" s="124"/>
      <c r="Q14" s="125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15</v>
      </c>
      <c r="C15" s="32" t="s">
        <v>14</v>
      </c>
      <c r="D15" s="156" t="s">
        <v>62</v>
      </c>
      <c r="E15" s="156"/>
      <c r="F15" s="156"/>
      <c r="G15" s="126"/>
      <c r="H15" s="126"/>
      <c r="I15" s="51" t="s">
        <v>46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</v>
      </c>
      <c r="K15" s="40">
        <f>J15/J13</f>
        <v>0</v>
      </c>
      <c r="L15" s="101" t="s">
        <v>71</v>
      </c>
      <c r="M15" s="102"/>
      <c r="N15" s="102"/>
      <c r="O15" s="102"/>
      <c r="P15" s="102"/>
      <c r="Q15" s="103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36</v>
      </c>
      <c r="C16" s="45">
        <f>1-C18</f>
        <v>1</v>
      </c>
      <c r="D16" s="157" t="s">
        <v>42</v>
      </c>
      <c r="E16" s="158"/>
      <c r="F16" s="159"/>
      <c r="G16" s="126"/>
      <c r="H16" s="126"/>
      <c r="I16" s="52" t="s">
        <v>47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0</v>
      </c>
      <c r="K16" s="40">
        <f>J16/J13</f>
        <v>0</v>
      </c>
      <c r="L16" s="101" t="s">
        <v>71</v>
      </c>
      <c r="M16" s="102"/>
      <c r="N16" s="102"/>
      <c r="O16" s="102"/>
      <c r="P16" s="102"/>
      <c r="Q16" s="103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16</v>
      </c>
      <c r="C17" s="44" t="s">
        <v>78</v>
      </c>
      <c r="D17" s="160" t="s">
        <v>63</v>
      </c>
      <c r="E17" s="161"/>
      <c r="F17" s="162"/>
      <c r="G17" s="126"/>
      <c r="H17" s="126"/>
      <c r="I17" s="123"/>
      <c r="J17" s="124"/>
      <c r="K17" s="124"/>
      <c r="L17" s="124"/>
      <c r="M17" s="124"/>
      <c r="N17" s="124"/>
      <c r="O17" s="124"/>
      <c r="P17" s="124"/>
      <c r="Q17" s="125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37</v>
      </c>
      <c r="C18" s="45">
        <v>0</v>
      </c>
      <c r="D18" s="157" t="s">
        <v>43</v>
      </c>
      <c r="E18" s="158"/>
      <c r="F18" s="159"/>
      <c r="G18" s="126"/>
      <c r="H18" s="126"/>
      <c r="I18" s="50" t="s">
        <v>31</v>
      </c>
      <c r="J18" s="50" t="s">
        <v>52</v>
      </c>
      <c r="K18" s="50" t="s">
        <v>48</v>
      </c>
      <c r="L18" s="118" t="s">
        <v>41</v>
      </c>
      <c r="M18" s="119"/>
      <c r="N18" s="119"/>
      <c r="O18" s="119"/>
      <c r="P18" s="119"/>
      <c r="Q18" s="120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56"/>
      <c r="C19" s="156"/>
      <c r="D19" s="156"/>
      <c r="E19" s="156"/>
      <c r="F19" s="156"/>
      <c r="G19" s="126"/>
      <c r="H19" s="126"/>
      <c r="I19" s="51" t="s">
        <v>5</v>
      </c>
      <c r="J19" s="42">
        <f>SUM(J20:J22)</f>
        <v>3.9136960000000006E-36</v>
      </c>
      <c r="K19" s="39">
        <f>J19/J19</f>
        <v>1</v>
      </c>
      <c r="L19" s="101" t="s">
        <v>57</v>
      </c>
      <c r="M19" s="102"/>
      <c r="N19" s="102"/>
      <c r="O19" s="102"/>
      <c r="P19" s="102"/>
      <c r="Q19" s="103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21" t="s">
        <v>7</v>
      </c>
      <c r="C20" s="122"/>
      <c r="D20" s="154" t="s">
        <v>41</v>
      </c>
      <c r="E20" s="154"/>
      <c r="F20" s="154"/>
      <c r="G20" s="126"/>
      <c r="H20" s="126"/>
      <c r="I20" s="52" t="s">
        <v>45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3.4600840000000007E-36</v>
      </c>
      <c r="K20" s="40">
        <f>J20/J19</f>
        <v>0.88409626092573368</v>
      </c>
      <c r="L20" s="101" t="s">
        <v>71</v>
      </c>
      <c r="M20" s="102"/>
      <c r="N20" s="102"/>
      <c r="O20" s="102"/>
      <c r="P20" s="102"/>
      <c r="Q20" s="103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139</v>
      </c>
      <c r="D21" s="160" t="s">
        <v>63</v>
      </c>
      <c r="E21" s="161"/>
      <c r="F21" s="162"/>
      <c r="G21" s="126"/>
      <c r="H21" s="126"/>
      <c r="I21" s="51" t="s">
        <v>46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3.6563600000000008E-37</v>
      </c>
      <c r="K21" s="40">
        <f>J21/J19</f>
        <v>9.3424732018020817E-2</v>
      </c>
      <c r="L21" s="101" t="s">
        <v>71</v>
      </c>
      <c r="M21" s="102"/>
      <c r="N21" s="102"/>
      <c r="O21" s="102"/>
      <c r="P21" s="102"/>
      <c r="Q21" s="103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19</v>
      </c>
      <c r="C22" s="46">
        <v>1.0000000000000001E-30</v>
      </c>
      <c r="D22" s="163" t="s">
        <v>69</v>
      </c>
      <c r="E22" s="163"/>
      <c r="F22" s="163"/>
      <c r="G22" s="126"/>
      <c r="H22" s="126"/>
      <c r="I22" s="53" t="s">
        <v>47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8.7976000000000012E-38</v>
      </c>
      <c r="K22" s="40">
        <f>J22/J19</f>
        <v>2.2479007056245552E-2</v>
      </c>
      <c r="L22" s="101" t="s">
        <v>71</v>
      </c>
      <c r="M22" s="102"/>
      <c r="N22" s="102"/>
      <c r="O22" s="102"/>
      <c r="P22" s="102"/>
      <c r="Q22" s="103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51"/>
      <c r="C23" s="152"/>
      <c r="D23" s="152"/>
      <c r="E23" s="152"/>
      <c r="F23" s="153"/>
      <c r="G23" s="126"/>
      <c r="H23" s="126"/>
      <c r="I23" s="112"/>
      <c r="J23" s="113"/>
      <c r="K23" s="113"/>
      <c r="L23" s="113"/>
      <c r="M23" s="113"/>
      <c r="N23" s="113"/>
      <c r="O23" s="113"/>
      <c r="P23" s="113"/>
      <c r="Q23" s="114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29" t="s">
        <v>39</v>
      </c>
      <c r="C24" s="130"/>
      <c r="D24" s="130"/>
      <c r="E24" s="130"/>
      <c r="F24" s="131"/>
      <c r="G24" s="126"/>
      <c r="H24" s="126"/>
      <c r="I24" s="106" t="s">
        <v>44</v>
      </c>
      <c r="J24" s="107"/>
      <c r="K24" s="107"/>
      <c r="L24" s="107"/>
      <c r="M24" s="107"/>
      <c r="N24" s="107"/>
      <c r="O24" s="107"/>
      <c r="P24" s="107"/>
      <c r="Q24" s="108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32"/>
      <c r="C25" s="133"/>
      <c r="D25" s="133"/>
      <c r="E25" s="133"/>
      <c r="F25" s="134"/>
      <c r="G25" s="126"/>
      <c r="H25" s="126"/>
      <c r="I25" s="109"/>
      <c r="J25" s="110"/>
      <c r="K25" s="110"/>
      <c r="L25" s="110"/>
      <c r="M25" s="110"/>
      <c r="N25" s="110"/>
      <c r="O25" s="110"/>
      <c r="P25" s="110"/>
      <c r="Q25" s="111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27" t="s">
        <v>11</v>
      </c>
      <c r="C26" s="127" t="s">
        <v>12</v>
      </c>
      <c r="D26" s="135" t="s">
        <v>49</v>
      </c>
      <c r="E26" s="135" t="s">
        <v>50</v>
      </c>
      <c r="F26" s="137" t="s">
        <v>68</v>
      </c>
      <c r="G26" s="126"/>
      <c r="H26" s="126"/>
      <c r="I26" s="115" t="s">
        <v>55</v>
      </c>
      <c r="J26" s="115" t="s">
        <v>56</v>
      </c>
      <c r="K26" s="104" t="s">
        <v>76</v>
      </c>
      <c r="L26" s="104" t="s">
        <v>54</v>
      </c>
      <c r="M26" s="104" t="s">
        <v>61</v>
      </c>
      <c r="N26" s="104" t="s">
        <v>64</v>
      </c>
      <c r="O26" s="104" t="s">
        <v>75</v>
      </c>
      <c r="P26" s="104" t="s">
        <v>66</v>
      </c>
      <c r="Q26" s="104" t="s">
        <v>67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28"/>
      <c r="C27" s="128"/>
      <c r="D27" s="136"/>
      <c r="E27" s="136"/>
      <c r="F27" s="138"/>
      <c r="G27" s="126"/>
      <c r="H27" s="126"/>
      <c r="I27" s="116"/>
      <c r="J27" s="116"/>
      <c r="K27" s="105"/>
      <c r="L27" s="105"/>
      <c r="M27" s="105"/>
      <c r="N27" s="105"/>
      <c r="O27" s="105"/>
      <c r="P27" s="105"/>
      <c r="Q27" s="105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47" t="s">
        <v>79</v>
      </c>
      <c r="C28" s="47" t="s">
        <v>80</v>
      </c>
      <c r="D28" s="48">
        <v>0.97789599999999988</v>
      </c>
      <c r="E28" s="48">
        <v>1.067612</v>
      </c>
      <c r="F28" s="58">
        <v>1.0000000000000001E-5</v>
      </c>
      <c r="G28" s="126"/>
      <c r="H28" s="126"/>
      <c r="I28" s="55">
        <f>IF(D28=0,"",LOG($K$15*10^D28+$K$16*10^E28+$K$14))</f>
        <v>0</v>
      </c>
      <c r="J28" s="55">
        <f t="shared" ref="J28:J47" si="1">IF(D28=0,"",LOG($K$21*10^D28+$K$22*10^E28+$K$20))</f>
        <v>0.30848772388839846</v>
      </c>
      <c r="K28" s="56">
        <f t="shared" ref="K28:K47" si="2">IF(D28=0,"",1/(1+10^D28*$J$15/$J$14+10^E28*$J$16/$J$14+10^J28*$J$19/$J$14))</f>
        <v>1</v>
      </c>
      <c r="L28" s="56">
        <f t="shared" ref="L28:L47" si="3">IF(D28=0,"",1/(1+10^I28/10^J28*$J$13/$J$19))</f>
        <v>2.6543216998837619E-38</v>
      </c>
      <c r="M28" s="56">
        <f t="shared" ref="M28:M47" si="4">IF(D28=0,"",1-L28)</f>
        <v>1</v>
      </c>
      <c r="N28" s="56">
        <f t="shared" ref="N28:N47" si="5">IF(D28=0,"",1/(1/10^E28*$J$20/$J$22+10^D28/10^E28*$J$21/$J$22+10^I28/10^E28*$J$13/$J$22+1))</f>
        <v>3.4265333044063756E-39</v>
      </c>
      <c r="O28" s="57">
        <f t="shared" ref="O28:O47" si="6">IF(D28=0,"",F28*K28*$J$7/$J$14)</f>
        <v>1.0000000000000001E-5</v>
      </c>
      <c r="P28" s="57">
        <f t="shared" ref="P28:P47" si="7">IF(D28=0,"",O28*10^J28)</f>
        <v>2.0346406822735552E-5</v>
      </c>
      <c r="Q28" s="57">
        <f t="shared" ref="Q28:Q47" si="8">IF(D28=0,"",F28*N28*$J$7/$J$22)</f>
        <v>1.1684550233267171E-4</v>
      </c>
      <c r="R28" s="88">
        <f>O28/F28</f>
        <v>1</v>
      </c>
      <c r="S28" s="11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87" t="s">
        <v>81</v>
      </c>
      <c r="C29" s="47" t="s">
        <v>82</v>
      </c>
      <c r="D29" s="48">
        <v>1.8253520000000001</v>
      </c>
      <c r="E29" s="48">
        <v>2.0793489999999997</v>
      </c>
      <c r="F29" s="58">
        <v>1.0000000000000001E-5</v>
      </c>
      <c r="G29" s="126"/>
      <c r="H29" s="126"/>
      <c r="I29" s="55">
        <f t="shared" ref="I29:I47" si="9">IF(D29=0,"",LOG($K$15*10^D29+$K$16*10^E29+$K$14))</f>
        <v>0</v>
      </c>
      <c r="J29" s="55">
        <f t="shared" si="1"/>
        <v>0.99262717207612505</v>
      </c>
      <c r="K29" s="56">
        <f t="shared" si="2"/>
        <v>1</v>
      </c>
      <c r="L29" s="56">
        <f t="shared" si="3"/>
        <v>1.282605227866513E-37</v>
      </c>
      <c r="M29" s="56">
        <f t="shared" si="4"/>
        <v>1</v>
      </c>
      <c r="N29" s="56">
        <f t="shared" si="5"/>
        <v>3.5203995542221366E-38</v>
      </c>
      <c r="O29" s="57">
        <f t="shared" si="6"/>
        <v>1.0000000000000001E-5</v>
      </c>
      <c r="P29" s="57">
        <f t="shared" si="7"/>
        <v>9.8316672618403139E-5</v>
      </c>
      <c r="Q29" s="57">
        <f t="shared" si="8"/>
        <v>1.2004636108332283E-3</v>
      </c>
      <c r="R29" s="9">
        <f t="shared" ref="R29:R54" si="10">O29/F29</f>
        <v>1</v>
      </c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87" t="s">
        <v>83</v>
      </c>
      <c r="C30" s="47" t="s">
        <v>84</v>
      </c>
      <c r="D30" s="48"/>
      <c r="E30" s="48"/>
      <c r="F30" s="58">
        <v>1.0000000000000001E-5</v>
      </c>
      <c r="G30" s="126"/>
      <c r="H30" s="126"/>
      <c r="I30" s="55" t="str">
        <f t="shared" si="9"/>
        <v/>
      </c>
      <c r="J30" s="55" t="str">
        <f t="shared" si="1"/>
        <v/>
      </c>
      <c r="K30" s="86" t="str">
        <f t="shared" si="2"/>
        <v/>
      </c>
      <c r="L30" s="56" t="str">
        <f t="shared" si="3"/>
        <v/>
      </c>
      <c r="M30" s="56" t="str">
        <f t="shared" si="4"/>
        <v/>
      </c>
      <c r="N30" s="56" t="str">
        <f t="shared" si="5"/>
        <v/>
      </c>
      <c r="O30" s="57" t="str">
        <f t="shared" si="6"/>
        <v/>
      </c>
      <c r="P30" s="57" t="str">
        <f t="shared" si="7"/>
        <v/>
      </c>
      <c r="Q30" s="57" t="str">
        <f t="shared" si="8"/>
        <v/>
      </c>
      <c r="R30" s="9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7"/>
      <c r="B31" s="47" t="s">
        <v>85</v>
      </c>
      <c r="C31" s="47" t="s">
        <v>86</v>
      </c>
      <c r="D31" s="48"/>
      <c r="E31" s="48"/>
      <c r="F31" s="58">
        <v>1.0000000000000001E-5</v>
      </c>
      <c r="G31" s="126"/>
      <c r="H31" s="126"/>
      <c r="I31" s="55" t="str">
        <f t="shared" si="9"/>
        <v/>
      </c>
      <c r="J31" s="55" t="str">
        <f t="shared" si="1"/>
        <v/>
      </c>
      <c r="K31" s="56" t="str">
        <f t="shared" si="2"/>
        <v/>
      </c>
      <c r="L31" s="56" t="str">
        <f t="shared" si="3"/>
        <v/>
      </c>
      <c r="M31" s="56" t="str">
        <f t="shared" si="4"/>
        <v/>
      </c>
      <c r="N31" s="56" t="str">
        <f t="shared" si="5"/>
        <v/>
      </c>
      <c r="O31" s="57" t="str">
        <f t="shared" si="6"/>
        <v/>
      </c>
      <c r="P31" s="57" t="str">
        <f t="shared" si="7"/>
        <v/>
      </c>
      <c r="Q31" s="57" t="str">
        <f t="shared" si="8"/>
        <v/>
      </c>
      <c r="R31" s="9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47" t="s">
        <v>87</v>
      </c>
      <c r="C32" s="47" t="s">
        <v>88</v>
      </c>
      <c r="D32" s="48">
        <v>3.3511520000000004</v>
      </c>
      <c r="E32" s="48">
        <v>4.2962190000000007</v>
      </c>
      <c r="F32" s="58">
        <v>1.0000000000000001E-5</v>
      </c>
      <c r="G32" s="126"/>
      <c r="H32" s="126"/>
      <c r="I32" s="55">
        <f t="shared" si="9"/>
        <v>0</v>
      </c>
      <c r="J32" s="55">
        <f t="shared" si="1"/>
        <v>2.8163863803871312</v>
      </c>
      <c r="K32" s="56">
        <f t="shared" si="2"/>
        <v>1</v>
      </c>
      <c r="L32" s="56">
        <f t="shared" si="3"/>
        <v>8.5477579200697994E-36</v>
      </c>
      <c r="M32" s="56">
        <f t="shared" si="4"/>
        <v>1</v>
      </c>
      <c r="N32" s="56">
        <f t="shared" si="5"/>
        <v>5.8004536035797971E-36</v>
      </c>
      <c r="O32" s="57">
        <f t="shared" si="6"/>
        <v>1.0000000000000001E-5</v>
      </c>
      <c r="P32" s="57">
        <f t="shared" si="7"/>
        <v>6.5521884582270557E-3</v>
      </c>
      <c r="Q32" s="57">
        <f t="shared" si="8"/>
        <v>0.19779668103504808</v>
      </c>
      <c r="R32" s="9">
        <f t="shared" si="10"/>
        <v>1</v>
      </c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47" t="s">
        <v>89</v>
      </c>
      <c r="C33" s="47" t="s">
        <v>90</v>
      </c>
      <c r="D33" s="48"/>
      <c r="E33" s="48"/>
      <c r="F33" s="58">
        <v>1.0000000000000001E-5</v>
      </c>
      <c r="G33" s="126"/>
      <c r="H33" s="126"/>
      <c r="I33" s="55" t="str">
        <f t="shared" si="9"/>
        <v/>
      </c>
      <c r="J33" s="55" t="str">
        <f t="shared" si="1"/>
        <v/>
      </c>
      <c r="K33" s="56" t="str">
        <f t="shared" si="2"/>
        <v/>
      </c>
      <c r="L33" s="56" t="str">
        <f t="shared" si="3"/>
        <v/>
      </c>
      <c r="M33" s="56" t="str">
        <f t="shared" si="4"/>
        <v/>
      </c>
      <c r="N33" s="56" t="str">
        <f t="shared" si="5"/>
        <v/>
      </c>
      <c r="O33" s="57" t="str">
        <f t="shared" si="6"/>
        <v/>
      </c>
      <c r="P33" s="57" t="str">
        <f t="shared" si="7"/>
        <v/>
      </c>
      <c r="Q33" s="57" t="str">
        <f t="shared" si="8"/>
        <v/>
      </c>
      <c r="R33" s="9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47" t="s">
        <v>91</v>
      </c>
      <c r="C34" s="47" t="s">
        <v>92</v>
      </c>
      <c r="D34" s="48"/>
      <c r="E34" s="48"/>
      <c r="F34" s="58">
        <v>1.0000000000000001E-5</v>
      </c>
      <c r="G34" s="126"/>
      <c r="H34" s="126"/>
      <c r="I34" s="55" t="str">
        <f t="shared" si="9"/>
        <v/>
      </c>
      <c r="J34" s="55" t="str">
        <f t="shared" si="1"/>
        <v/>
      </c>
      <c r="K34" s="56" t="str">
        <f t="shared" si="2"/>
        <v/>
      </c>
      <c r="L34" s="56" t="str">
        <f t="shared" si="3"/>
        <v/>
      </c>
      <c r="M34" s="56" t="str">
        <f t="shared" si="4"/>
        <v/>
      </c>
      <c r="N34" s="56" t="str">
        <f t="shared" si="5"/>
        <v/>
      </c>
      <c r="O34" s="57" t="str">
        <f t="shared" si="6"/>
        <v/>
      </c>
      <c r="P34" s="57" t="str">
        <f t="shared" si="7"/>
        <v/>
      </c>
      <c r="Q34" s="57" t="str">
        <f t="shared" si="8"/>
        <v/>
      </c>
      <c r="R34" s="9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7"/>
      <c r="B35" s="47" t="s">
        <v>93</v>
      </c>
      <c r="C35" s="47" t="s">
        <v>94</v>
      </c>
      <c r="D35" s="48"/>
      <c r="E35" s="48"/>
      <c r="F35" s="58">
        <v>1.0000000000000001E-5</v>
      </c>
      <c r="G35" s="126"/>
      <c r="H35" s="126"/>
      <c r="I35" s="55" t="str">
        <f t="shared" si="9"/>
        <v/>
      </c>
      <c r="J35" s="55" t="str">
        <f t="shared" si="1"/>
        <v/>
      </c>
      <c r="K35" s="56" t="str">
        <f t="shared" si="2"/>
        <v/>
      </c>
      <c r="L35" s="56" t="str">
        <f t="shared" si="3"/>
        <v/>
      </c>
      <c r="M35" s="56" t="str">
        <f t="shared" si="4"/>
        <v/>
      </c>
      <c r="N35" s="56" t="str">
        <f t="shared" si="5"/>
        <v/>
      </c>
      <c r="O35" s="57" t="str">
        <f t="shared" si="6"/>
        <v/>
      </c>
      <c r="P35" s="57" t="str">
        <f t="shared" si="7"/>
        <v/>
      </c>
      <c r="Q35" s="57" t="str">
        <f t="shared" si="8"/>
        <v/>
      </c>
      <c r="R35" s="9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47" t="s">
        <v>95</v>
      </c>
      <c r="C36" s="47" t="s">
        <v>96</v>
      </c>
      <c r="D36" s="48">
        <v>1.6430320000000003</v>
      </c>
      <c r="E36" s="48">
        <v>1.9699289999999996</v>
      </c>
      <c r="F36" s="58">
        <v>1.0000000000000001E-5</v>
      </c>
      <c r="G36" s="126"/>
      <c r="H36" s="126"/>
      <c r="I36" s="55">
        <f t="shared" si="9"/>
        <v>0</v>
      </c>
      <c r="J36" s="55">
        <f t="shared" si="1"/>
        <v>0.85054360152384245</v>
      </c>
      <c r="K36" s="86">
        <f t="shared" si="2"/>
        <v>1</v>
      </c>
      <c r="L36" s="56">
        <f t="shared" si="3"/>
        <v>9.247182635612551E-38</v>
      </c>
      <c r="M36" s="56">
        <f t="shared" si="4"/>
        <v>1</v>
      </c>
      <c r="N36" s="56">
        <f t="shared" si="5"/>
        <v>2.7363519604852452E-38</v>
      </c>
      <c r="O36" s="57">
        <f t="shared" si="6"/>
        <v>1.0000000000000001E-5</v>
      </c>
      <c r="P36" s="57">
        <f t="shared" si="7"/>
        <v>7.0883246697846876E-5</v>
      </c>
      <c r="Q36" s="57">
        <f t="shared" si="8"/>
        <v>9.3310174154948337E-4</v>
      </c>
      <c r="R36" s="9">
        <f t="shared" si="10"/>
        <v>1</v>
      </c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47" t="s">
        <v>97</v>
      </c>
      <c r="C37" s="47" t="s">
        <v>98</v>
      </c>
      <c r="D37" s="48">
        <v>1.9888079999999992</v>
      </c>
      <c r="E37" s="48">
        <v>1.7269960000000002</v>
      </c>
      <c r="F37" s="58">
        <v>1.0000000000000001E-5</v>
      </c>
      <c r="G37" s="126"/>
      <c r="H37" s="126"/>
      <c r="I37" s="55">
        <f t="shared" si="9"/>
        <v>0</v>
      </c>
      <c r="J37" s="55">
        <f t="shared" si="1"/>
        <v>1.0487430475844253</v>
      </c>
      <c r="K37" s="56">
        <f t="shared" si="2"/>
        <v>1</v>
      </c>
      <c r="L37" s="56">
        <f t="shared" si="3"/>
        <v>1.4595160703939305E-37</v>
      </c>
      <c r="M37" s="56">
        <f t="shared" si="4"/>
        <v>1</v>
      </c>
      <c r="N37" s="56">
        <f t="shared" si="5"/>
        <v>1.564007953735363E-38</v>
      </c>
      <c r="O37" s="57">
        <f t="shared" si="6"/>
        <v>1.0000000000000001E-5</v>
      </c>
      <c r="P37" s="57">
        <f t="shared" si="7"/>
        <v>1.1187757585621856E-4</v>
      </c>
      <c r="Q37" s="57">
        <f t="shared" si="8"/>
        <v>5.3332998331432312E-4</v>
      </c>
      <c r="R37" s="9">
        <f t="shared" si="10"/>
        <v>1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47" t="s">
        <v>99</v>
      </c>
      <c r="C38" s="47" t="s">
        <v>100</v>
      </c>
      <c r="D38" s="48">
        <v>0.57692000000000121</v>
      </c>
      <c r="E38" s="48">
        <v>0.1355349999999973</v>
      </c>
      <c r="F38" s="58">
        <v>1.0000000000000001E-5</v>
      </c>
      <c r="G38" s="126"/>
      <c r="H38" s="126"/>
      <c r="I38" s="55">
        <f t="shared" si="9"/>
        <v>0</v>
      </c>
      <c r="J38" s="55">
        <f t="shared" si="1"/>
        <v>0.10294432946993946</v>
      </c>
      <c r="K38" s="56">
        <f t="shared" si="2"/>
        <v>1</v>
      </c>
      <c r="L38" s="56">
        <f t="shared" si="3"/>
        <v>1.6535227066668062E-38</v>
      </c>
      <c r="M38" s="56">
        <f t="shared" si="4"/>
        <v>1</v>
      </c>
      <c r="N38" s="56">
        <f t="shared" si="5"/>
        <v>4.0066181802291625E-40</v>
      </c>
      <c r="O38" s="57">
        <f t="shared" si="6"/>
        <v>1.0000000000000001E-5</v>
      </c>
      <c r="P38" s="57">
        <f t="shared" si="7"/>
        <v>1.2674893808820147E-5</v>
      </c>
      <c r="Q38" s="57">
        <f t="shared" si="8"/>
        <v>1.3662651792179102E-5</v>
      </c>
      <c r="R38" s="9">
        <f t="shared" si="10"/>
        <v>1</v>
      </c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7"/>
      <c r="B39" s="47" t="s">
        <v>101</v>
      </c>
      <c r="C39" s="47" t="s">
        <v>102</v>
      </c>
      <c r="D39" s="48"/>
      <c r="E39" s="48"/>
      <c r="F39" s="58">
        <v>1.0000000000000001E-5</v>
      </c>
      <c r="G39" s="126"/>
      <c r="H39" s="126"/>
      <c r="I39" s="55" t="str">
        <f t="shared" si="9"/>
        <v/>
      </c>
      <c r="J39" s="55" t="str">
        <f t="shared" si="1"/>
        <v/>
      </c>
      <c r="K39" s="56" t="str">
        <f t="shared" si="2"/>
        <v/>
      </c>
      <c r="L39" s="56" t="str">
        <f t="shared" si="3"/>
        <v/>
      </c>
      <c r="M39" s="56" t="str">
        <f t="shared" si="4"/>
        <v/>
      </c>
      <c r="N39" s="56" t="str">
        <f t="shared" si="5"/>
        <v/>
      </c>
      <c r="O39" s="57" t="str">
        <f t="shared" si="6"/>
        <v/>
      </c>
      <c r="P39" s="57" t="str">
        <f t="shared" si="7"/>
        <v/>
      </c>
      <c r="Q39" s="57" t="str">
        <f t="shared" si="8"/>
        <v/>
      </c>
      <c r="R39" s="9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47" t="s">
        <v>103</v>
      </c>
      <c r="C40" s="47" t="s">
        <v>104</v>
      </c>
      <c r="D40" s="48"/>
      <c r="E40" s="48"/>
      <c r="F40" s="58">
        <v>1.0000000000000001E-5</v>
      </c>
      <c r="G40" s="126"/>
      <c r="H40" s="126"/>
      <c r="I40" s="55" t="str">
        <f t="shared" si="9"/>
        <v/>
      </c>
      <c r="J40" s="55" t="str">
        <f t="shared" si="1"/>
        <v/>
      </c>
      <c r="K40" s="56" t="str">
        <f t="shared" si="2"/>
        <v/>
      </c>
      <c r="L40" s="56" t="str">
        <f t="shared" si="3"/>
        <v/>
      </c>
      <c r="M40" s="56" t="str">
        <f t="shared" si="4"/>
        <v/>
      </c>
      <c r="N40" s="56" t="str">
        <f t="shared" si="5"/>
        <v/>
      </c>
      <c r="O40" s="57" t="str">
        <f t="shared" si="6"/>
        <v/>
      </c>
      <c r="P40" s="57" t="str">
        <f t="shared" si="7"/>
        <v/>
      </c>
      <c r="Q40" s="57" t="str">
        <f t="shared" si="8"/>
        <v/>
      </c>
      <c r="R40" s="9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47" t="s">
        <v>105</v>
      </c>
      <c r="C41" s="47" t="s">
        <v>106</v>
      </c>
      <c r="D41" s="48">
        <v>3.598704000000001</v>
      </c>
      <c r="E41" s="48">
        <v>4.3131730000000008</v>
      </c>
      <c r="F41" s="58">
        <v>1.0000000000000001E-5</v>
      </c>
      <c r="G41" s="126"/>
      <c r="H41" s="126"/>
      <c r="I41" s="55">
        <f t="shared" si="9"/>
        <v>0</v>
      </c>
      <c r="J41" s="55">
        <f t="shared" si="1"/>
        <v>2.9211839291051609</v>
      </c>
      <c r="K41" s="56">
        <f t="shared" si="2"/>
        <v>1</v>
      </c>
      <c r="L41" s="56">
        <f t="shared" si="3"/>
        <v>1.0880522785917089E-35</v>
      </c>
      <c r="M41" s="56">
        <f t="shared" si="4"/>
        <v>1</v>
      </c>
      <c r="N41" s="56">
        <f t="shared" si="5"/>
        <v>6.0313698033436872E-36</v>
      </c>
      <c r="O41" s="57">
        <f t="shared" si="6"/>
        <v>1.0000000000000001E-5</v>
      </c>
      <c r="P41" s="57">
        <f t="shared" si="7"/>
        <v>8.3403433372830349E-3</v>
      </c>
      <c r="Q41" s="57">
        <f t="shared" si="8"/>
        <v>0.20567097174264642</v>
      </c>
      <c r="R41" s="9">
        <f t="shared" si="10"/>
        <v>1</v>
      </c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7"/>
      <c r="B42" s="47" t="s">
        <v>107</v>
      </c>
      <c r="C42" s="47" t="s">
        <v>108</v>
      </c>
      <c r="D42" s="48">
        <v>2.0168880000000002</v>
      </c>
      <c r="E42" s="48">
        <v>2.2161360000000005</v>
      </c>
      <c r="F42" s="58">
        <v>1.0000000000000001E-5</v>
      </c>
      <c r="G42" s="126"/>
      <c r="H42" s="126"/>
      <c r="I42" s="55">
        <f t="shared" si="9"/>
        <v>0</v>
      </c>
      <c r="J42" s="55">
        <f t="shared" si="1"/>
        <v>1.1551707744460811</v>
      </c>
      <c r="K42" s="56">
        <f t="shared" si="2"/>
        <v>1</v>
      </c>
      <c r="L42" s="56">
        <f t="shared" si="3"/>
        <v>1.8648186681491356E-37</v>
      </c>
      <c r="M42" s="56">
        <f t="shared" si="4"/>
        <v>1</v>
      </c>
      <c r="N42" s="56">
        <f t="shared" si="5"/>
        <v>4.8236851988345164E-38</v>
      </c>
      <c r="O42" s="57">
        <f t="shared" si="6"/>
        <v>1.0000000000000001E-5</v>
      </c>
      <c r="P42" s="57">
        <f t="shared" si="7"/>
        <v>1.4294559425278319E-4</v>
      </c>
      <c r="Q42" s="57">
        <f t="shared" si="8"/>
        <v>1.6448867414412508E-3</v>
      </c>
      <c r="R42" s="9">
        <f t="shared" si="10"/>
        <v>1</v>
      </c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87" t="s">
        <v>109</v>
      </c>
      <c r="C43" s="47" t="s">
        <v>110</v>
      </c>
      <c r="D43" s="48">
        <v>4.2132720000000008</v>
      </c>
      <c r="E43" s="48">
        <v>4.705258999999999</v>
      </c>
      <c r="F43" s="58">
        <v>1.0000000000000001E-5</v>
      </c>
      <c r="G43" s="126"/>
      <c r="H43" s="126"/>
      <c r="I43" s="55">
        <f t="shared" si="9"/>
        <v>0</v>
      </c>
      <c r="J43" s="55">
        <f t="shared" si="1"/>
        <v>3.4261628681049148</v>
      </c>
      <c r="K43" s="56">
        <f t="shared" si="2"/>
        <v>1</v>
      </c>
      <c r="L43" s="56">
        <f t="shared" si="3"/>
        <v>3.4803963280498809E-35</v>
      </c>
      <c r="M43" s="56">
        <f t="shared" si="4"/>
        <v>1</v>
      </c>
      <c r="N43" s="56">
        <f t="shared" si="5"/>
        <v>1.4876540787886969E-35</v>
      </c>
      <c r="O43" s="57">
        <f t="shared" si="6"/>
        <v>1.0000000000000001E-5</v>
      </c>
      <c r="P43" s="57">
        <f t="shared" si="7"/>
        <v>2.6678589712000222E-2</v>
      </c>
      <c r="Q43" s="57">
        <f t="shared" si="8"/>
        <v>0.5072931522649462</v>
      </c>
      <c r="R43" s="9">
        <f t="shared" si="10"/>
        <v>1</v>
      </c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87" t="s">
        <v>111</v>
      </c>
      <c r="C44" s="47" t="s">
        <v>112</v>
      </c>
      <c r="D44" s="48"/>
      <c r="E44" s="48"/>
      <c r="F44" s="58">
        <v>1.0000000000000001E-5</v>
      </c>
      <c r="G44" s="126"/>
      <c r="H44" s="126"/>
      <c r="I44" s="55" t="str">
        <f t="shared" si="9"/>
        <v/>
      </c>
      <c r="J44" s="55" t="str">
        <f t="shared" si="1"/>
        <v/>
      </c>
      <c r="K44" s="56" t="str">
        <f t="shared" si="2"/>
        <v/>
      </c>
      <c r="L44" s="56" t="str">
        <f t="shared" si="3"/>
        <v/>
      </c>
      <c r="M44" s="56" t="str">
        <f t="shared" si="4"/>
        <v/>
      </c>
      <c r="N44" s="56" t="str">
        <f t="shared" si="5"/>
        <v/>
      </c>
      <c r="O44" s="57" t="str">
        <f t="shared" si="6"/>
        <v/>
      </c>
      <c r="P44" s="57" t="str">
        <f t="shared" si="7"/>
        <v/>
      </c>
      <c r="Q44" s="57" t="str">
        <f t="shared" si="8"/>
        <v/>
      </c>
      <c r="R44" s="9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47" t="s">
        <v>113</v>
      </c>
      <c r="C45" s="47" t="s">
        <v>114</v>
      </c>
      <c r="D45" s="48"/>
      <c r="E45" s="48"/>
      <c r="F45" s="58">
        <v>1.0000000000000001E-5</v>
      </c>
      <c r="G45" s="126"/>
      <c r="H45" s="126"/>
      <c r="I45" s="55" t="str">
        <f t="shared" si="9"/>
        <v/>
      </c>
      <c r="J45" s="55" t="str">
        <f t="shared" si="1"/>
        <v/>
      </c>
      <c r="K45" s="56" t="str">
        <f t="shared" si="2"/>
        <v/>
      </c>
      <c r="L45" s="56" t="str">
        <f t="shared" si="3"/>
        <v/>
      </c>
      <c r="M45" s="56" t="str">
        <f t="shared" si="4"/>
        <v/>
      </c>
      <c r="N45" s="56" t="str">
        <f t="shared" si="5"/>
        <v/>
      </c>
      <c r="O45" s="57" t="str">
        <f t="shared" si="6"/>
        <v/>
      </c>
      <c r="P45" s="57" t="str">
        <f t="shared" si="7"/>
        <v/>
      </c>
      <c r="Q45" s="57" t="str">
        <f t="shared" si="8"/>
        <v/>
      </c>
      <c r="R45" s="9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7"/>
      <c r="B46" s="47" t="s">
        <v>115</v>
      </c>
      <c r="C46" s="47" t="s">
        <v>116</v>
      </c>
      <c r="D46" s="48">
        <v>2.9091840000000002</v>
      </c>
      <c r="E46" s="48">
        <v>3.4102429999999995</v>
      </c>
      <c r="F46" s="58">
        <v>1.0000000000000001E-5</v>
      </c>
      <c r="G46" s="126"/>
      <c r="H46" s="126"/>
      <c r="I46" s="55">
        <f t="shared" si="9"/>
        <v>0</v>
      </c>
      <c r="J46" s="55">
        <f t="shared" si="1"/>
        <v>2.1286974379361929</v>
      </c>
      <c r="K46" s="56">
        <f t="shared" si="2"/>
        <v>1</v>
      </c>
      <c r="L46" s="56">
        <f t="shared" si="3"/>
        <v>1.7545399915526914E-36</v>
      </c>
      <c r="M46" s="56">
        <f t="shared" si="4"/>
        <v>1</v>
      </c>
      <c r="N46" s="56">
        <f t="shared" si="5"/>
        <v>7.5419900884267763E-37</v>
      </c>
      <c r="O46" s="57">
        <f t="shared" si="6"/>
        <v>1.0000000000000001E-5</v>
      </c>
      <c r="P46" s="57">
        <f t="shared" si="7"/>
        <v>1.3449230534661031E-3</v>
      </c>
      <c r="Q46" s="57">
        <f t="shared" si="8"/>
        <v>2.5718343940711472E-2</v>
      </c>
      <c r="R46" s="9">
        <f t="shared" si="10"/>
        <v>1</v>
      </c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47" t="s">
        <v>117</v>
      </c>
      <c r="C47" s="47" t="s">
        <v>118</v>
      </c>
      <c r="D47" s="48">
        <v>2.7542720000000003</v>
      </c>
      <c r="E47" s="48">
        <v>3.4524839999999992</v>
      </c>
      <c r="F47" s="58">
        <v>1.0000000000000001E-5</v>
      </c>
      <c r="G47" s="126"/>
      <c r="H47" s="126"/>
      <c r="I47" s="55">
        <f t="shared" si="9"/>
        <v>0</v>
      </c>
      <c r="J47" s="55">
        <f t="shared" si="1"/>
        <v>2.0706209788057328</v>
      </c>
      <c r="K47" s="56">
        <f t="shared" si="2"/>
        <v>1</v>
      </c>
      <c r="L47" s="56">
        <f t="shared" si="3"/>
        <v>1.5349237728686395E-36</v>
      </c>
      <c r="M47" s="56">
        <f t="shared" si="4"/>
        <v>1</v>
      </c>
      <c r="N47" s="56">
        <f t="shared" si="5"/>
        <v>8.3124100225191908E-37</v>
      </c>
      <c r="O47" s="57">
        <f t="shared" si="6"/>
        <v>1.0000000000000001E-5</v>
      </c>
      <c r="P47" s="57">
        <f t="shared" si="7"/>
        <v>1.1765786914992675E-3</v>
      </c>
      <c r="Q47" s="57">
        <f t="shared" si="8"/>
        <v>2.834549202914155E-2</v>
      </c>
      <c r="R47" s="9">
        <f t="shared" si="10"/>
        <v>1</v>
      </c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47" t="s">
        <v>119</v>
      </c>
      <c r="C48" s="47" t="s">
        <v>120</v>
      </c>
      <c r="D48" s="48"/>
      <c r="E48" s="48"/>
      <c r="F48" s="58">
        <v>1.0000000000000001E-5</v>
      </c>
      <c r="G48" s="126"/>
      <c r="H48" s="126"/>
      <c r="I48" s="83" t="str">
        <f t="shared" ref="I48:I50" si="11">IF(D48=0,"",LOG($K$15*10^D48+$K$16*10^E48+$K$14))</f>
        <v/>
      </c>
      <c r="J48" s="83" t="str">
        <f t="shared" ref="J48:J50" si="12">IF(D48=0,"",LOG($K$21*10^D48+$K$22*10^E48+$K$20))</f>
        <v/>
      </c>
      <c r="K48" s="84" t="str">
        <f t="shared" ref="K48:K50" si="13">IF(D48=0,"",1/(1+10^D48*$J$15/$J$14+10^E48*$J$16/$J$14+10^J48*$J$19/$J$14))</f>
        <v/>
      </c>
      <c r="L48" s="84" t="str">
        <f t="shared" ref="L48:L50" si="14">IF(D48=0,"",1/(1+10^I48/10^J48*$J$13/$J$19))</f>
        <v/>
      </c>
      <c r="M48" s="84" t="str">
        <f t="shared" ref="M48:M92" si="15">IF(D48=0,"",1-L48)</f>
        <v/>
      </c>
      <c r="N48" s="84" t="str">
        <f t="shared" ref="N48:N50" si="16">IF(D48=0,"",1/(1/10^E48*$J$20/$J$22+10^D48/10^E48*$J$21/$J$22+10^I48/10^E48*$J$13/$J$22+1))</f>
        <v/>
      </c>
      <c r="O48" s="85" t="str">
        <f t="shared" ref="O48:O92" si="17">IF(D48=0,"",F48*K48*$J$7/$J$14)</f>
        <v/>
      </c>
      <c r="P48" s="85" t="str">
        <f t="shared" ref="P48:P50" si="18">IF(D48=0,"",O48*10^J48)</f>
        <v/>
      </c>
      <c r="Q48" s="85" t="str">
        <f t="shared" ref="Q48:Q50" si="19">IF(D48=0,"",F48*N48*$J$7/$J$22)</f>
        <v/>
      </c>
      <c r="R48" s="9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47" t="s">
        <v>121</v>
      </c>
      <c r="C49" s="47" t="s">
        <v>122</v>
      </c>
      <c r="D49" s="48">
        <v>2.3368320000000007</v>
      </c>
      <c r="E49" s="48">
        <v>2.6380540000000012</v>
      </c>
      <c r="F49" s="58">
        <v>1.0000000000000001E-5</v>
      </c>
      <c r="G49" s="126"/>
      <c r="H49" s="126"/>
      <c r="I49" s="55">
        <f t="shared" si="11"/>
        <v>0</v>
      </c>
      <c r="J49" s="55">
        <f t="shared" si="12"/>
        <v>1.4905655210846163</v>
      </c>
      <c r="K49" s="56">
        <f t="shared" si="13"/>
        <v>1</v>
      </c>
      <c r="L49" s="56">
        <f t="shared" si="14"/>
        <v>4.0367453601343622E-37</v>
      </c>
      <c r="M49" s="56">
        <f t="shared" si="15"/>
        <v>1</v>
      </c>
      <c r="N49" s="56">
        <f t="shared" si="16"/>
        <v>1.2743741613736915E-37</v>
      </c>
      <c r="O49" s="57">
        <f t="shared" si="17"/>
        <v>1.0000000000000001E-5</v>
      </c>
      <c r="P49" s="57">
        <f t="shared" si="18"/>
        <v>3.094322114033151E-4</v>
      </c>
      <c r="Q49" s="57">
        <f t="shared" si="19"/>
        <v>4.3456425435585552E-3</v>
      </c>
      <c r="R49" s="9">
        <f t="shared" si="10"/>
        <v>1</v>
      </c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47" t="s">
        <v>123</v>
      </c>
      <c r="C50" s="47" t="s">
        <v>124</v>
      </c>
      <c r="D50" s="48">
        <v>9.5872000000000845E-2</v>
      </c>
      <c r="E50" s="48">
        <v>7.4959000000001108E-2</v>
      </c>
      <c r="F50" s="58">
        <v>1.0000000000000001E-5</v>
      </c>
      <c r="G50" s="126"/>
      <c r="H50" s="126"/>
      <c r="I50" s="55">
        <f t="shared" si="11"/>
        <v>0</v>
      </c>
      <c r="J50" s="55">
        <f t="shared" si="12"/>
        <v>1.1702453081905635E-2</v>
      </c>
      <c r="K50" s="56">
        <f t="shared" si="13"/>
        <v>1</v>
      </c>
      <c r="L50" s="56">
        <f t="shared" si="14"/>
        <v>1.3401959054906384E-38</v>
      </c>
      <c r="M50" s="56">
        <f t="shared" si="15"/>
        <v>1</v>
      </c>
      <c r="N50" s="56">
        <f t="shared" si="16"/>
        <v>3.4849933789235628E-40</v>
      </c>
      <c r="O50" s="57">
        <f t="shared" si="17"/>
        <v>1.0000000000000001E-5</v>
      </c>
      <c r="P50" s="57">
        <f t="shared" si="18"/>
        <v>1.0273122175232606E-5</v>
      </c>
      <c r="Q50" s="57">
        <f t="shared" si="19"/>
        <v>1.188390031005125E-5</v>
      </c>
      <c r="R50" s="9">
        <f t="shared" si="10"/>
        <v>1</v>
      </c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47" t="s">
        <v>125</v>
      </c>
      <c r="C51" s="47" t="s">
        <v>126</v>
      </c>
      <c r="D51" s="48"/>
      <c r="E51" s="48"/>
      <c r="F51" s="58">
        <v>1.0000000000000001E-5</v>
      </c>
      <c r="G51" s="126"/>
      <c r="H51" s="126"/>
      <c r="I51" s="55" t="str">
        <f t="shared" ref="I51:I70" si="20">IF(D51=0,"",LOG($K$15*10^D51+$K$16*10^E51+$K$14))</f>
        <v/>
      </c>
      <c r="J51" s="55" t="str">
        <f t="shared" ref="J51:J70" si="21">IF(D51=0,"",LOG($K$21*10^D51+$K$22*10^E51+$K$20))</f>
        <v/>
      </c>
      <c r="K51" s="56" t="str">
        <f t="shared" ref="K51:K70" si="22">IF(D51=0,"",1/(1+10^D51*$J$15/$J$14+10^E51*$J$16/$J$14+10^J51*$J$19/$J$14))</f>
        <v/>
      </c>
      <c r="L51" s="56" t="str">
        <f t="shared" ref="L51:L70" si="23">IF(D51=0,"",1/(1+10^I51/10^J51*$J$13/$J$19))</f>
        <v/>
      </c>
      <c r="M51" s="56" t="str">
        <f t="shared" ref="M51:M70" si="24">IF(D51=0,"",1-L51)</f>
        <v/>
      </c>
      <c r="N51" s="56" t="str">
        <f t="shared" ref="N51:N70" si="25">IF(D51=0,"",1/(1/10^E51*$J$20/$J$22+10^D51/10^E51*$J$21/$J$22+10^I51/10^E51*$J$13/$J$22+1))</f>
        <v/>
      </c>
      <c r="O51" s="57" t="str">
        <f t="shared" ref="O51:O70" si="26">IF(D51=0,"",F51*K51*$J$7/$J$14)</f>
        <v/>
      </c>
      <c r="P51" s="57" t="str">
        <f t="shared" ref="P51:P70" si="27">IF(D51=0,"",O51*10^J51)</f>
        <v/>
      </c>
      <c r="Q51" s="57" t="str">
        <f t="shared" ref="Q51:Q70" si="28">IF(D51=0,"",F51*N51*$J$7/$J$22)</f>
        <v/>
      </c>
      <c r="R51" s="9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 t="s">
        <v>127</v>
      </c>
      <c r="C52" s="47" t="s">
        <v>128</v>
      </c>
      <c r="D52" s="48"/>
      <c r="E52" s="48"/>
      <c r="F52" s="58">
        <v>1.0000000000000001E-5</v>
      </c>
      <c r="G52" s="126"/>
      <c r="H52" s="126"/>
      <c r="I52" s="55" t="str">
        <f t="shared" si="20"/>
        <v/>
      </c>
      <c r="J52" s="55" t="str">
        <f t="shared" si="21"/>
        <v/>
      </c>
      <c r="K52" s="56" t="str">
        <f t="shared" si="22"/>
        <v/>
      </c>
      <c r="L52" s="56" t="str">
        <f t="shared" si="23"/>
        <v/>
      </c>
      <c r="M52" s="56" t="str">
        <f t="shared" si="24"/>
        <v/>
      </c>
      <c r="N52" s="56" t="str">
        <f t="shared" si="25"/>
        <v/>
      </c>
      <c r="O52" s="57" t="str">
        <f t="shared" si="26"/>
        <v/>
      </c>
      <c r="P52" s="57" t="str">
        <f t="shared" si="27"/>
        <v/>
      </c>
      <c r="Q52" s="57" t="str">
        <f t="shared" si="28"/>
        <v/>
      </c>
      <c r="R52" s="9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 t="s">
        <v>129</v>
      </c>
      <c r="C53" s="47" t="s">
        <v>130</v>
      </c>
      <c r="D53" s="48">
        <v>1.0310160000000004</v>
      </c>
      <c r="E53" s="48">
        <v>0.78085199999999966</v>
      </c>
      <c r="F53" s="58">
        <v>1.0000000000000001E-5</v>
      </c>
      <c r="G53" s="126"/>
      <c r="H53" s="126"/>
      <c r="I53" s="55">
        <f t="shared" si="20"/>
        <v>0</v>
      </c>
      <c r="J53" s="55">
        <f t="shared" si="21"/>
        <v>0.30604318571697814</v>
      </c>
      <c r="K53" s="56">
        <f t="shared" si="22"/>
        <v>1</v>
      </c>
      <c r="L53" s="56">
        <f t="shared" si="23"/>
        <v>2.6394231371613337E-38</v>
      </c>
      <c r="M53" s="56">
        <f t="shared" si="24"/>
        <v>1</v>
      </c>
      <c r="N53" s="56">
        <f t="shared" si="25"/>
        <v>1.770496030219798E-39</v>
      </c>
      <c r="O53" s="57">
        <f t="shared" si="26"/>
        <v>1.0000000000000001E-5</v>
      </c>
      <c r="P53" s="57">
        <f t="shared" si="27"/>
        <v>2.0232203552560036E-5</v>
      </c>
      <c r="Q53" s="57">
        <f t="shared" si="28"/>
        <v>6.0374284926109326E-5</v>
      </c>
      <c r="R53" s="9">
        <f t="shared" si="10"/>
        <v>1</v>
      </c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 t="s">
        <v>131</v>
      </c>
      <c r="C54" s="47" t="s">
        <v>132</v>
      </c>
      <c r="D54" s="48">
        <v>-0.1224400000000001</v>
      </c>
      <c r="E54" s="48">
        <v>-0.24365499999999995</v>
      </c>
      <c r="F54" s="58">
        <v>1.0000000000000001E-5</v>
      </c>
      <c r="G54" s="126"/>
      <c r="H54" s="126"/>
      <c r="I54" s="55">
        <f t="shared" si="20"/>
        <v>0</v>
      </c>
      <c r="J54" s="55">
        <f t="shared" si="21"/>
        <v>-1.4395700402630798E-2</v>
      </c>
      <c r="K54" s="56">
        <f t="shared" si="22"/>
        <v>1</v>
      </c>
      <c r="L54" s="56">
        <f t="shared" si="23"/>
        <v>1.2620313208524052E-38</v>
      </c>
      <c r="M54" s="56">
        <f t="shared" si="24"/>
        <v>1</v>
      </c>
      <c r="N54" s="56">
        <f t="shared" si="25"/>
        <v>1.6733545052795978E-40</v>
      </c>
      <c r="O54" s="57">
        <f t="shared" si="26"/>
        <v>1.0000000000000001E-5</v>
      </c>
      <c r="P54" s="57">
        <f t="shared" si="27"/>
        <v>9.673960273248651E-6</v>
      </c>
      <c r="Q54" s="57">
        <f t="shared" si="28"/>
        <v>5.7061738608697751E-6</v>
      </c>
      <c r="R54" s="9">
        <f t="shared" si="10"/>
        <v>1</v>
      </c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 t="s">
        <v>133</v>
      </c>
      <c r="C55" s="47" t="s">
        <v>134</v>
      </c>
      <c r="D55" s="48"/>
      <c r="E55" s="48"/>
      <c r="F55" s="58">
        <v>1.0000000000000001E-5</v>
      </c>
      <c r="G55" s="126"/>
      <c r="H55" s="126"/>
      <c r="I55" s="55" t="str">
        <f t="shared" si="20"/>
        <v/>
      </c>
      <c r="J55" s="55" t="str">
        <f t="shared" si="21"/>
        <v/>
      </c>
      <c r="K55" s="56" t="str">
        <f t="shared" si="22"/>
        <v/>
      </c>
      <c r="L55" s="56" t="str">
        <f t="shared" si="23"/>
        <v/>
      </c>
      <c r="M55" s="56" t="str">
        <f t="shared" si="24"/>
        <v/>
      </c>
      <c r="N55" s="56" t="str">
        <f t="shared" si="25"/>
        <v/>
      </c>
      <c r="O55" s="57" t="str">
        <f t="shared" si="26"/>
        <v/>
      </c>
      <c r="P55" s="57" t="str">
        <f t="shared" si="27"/>
        <v/>
      </c>
      <c r="Q55" s="57" t="str">
        <f t="shared" si="28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 t="s">
        <v>135</v>
      </c>
      <c r="C56" s="47" t="s">
        <v>136</v>
      </c>
      <c r="D56" s="48"/>
      <c r="E56" s="48"/>
      <c r="F56" s="58">
        <v>1.0000000000000001E-5</v>
      </c>
      <c r="G56" s="126"/>
      <c r="H56" s="126"/>
      <c r="I56" s="55" t="str">
        <f t="shared" si="20"/>
        <v/>
      </c>
      <c r="J56" s="55" t="str">
        <f t="shared" si="21"/>
        <v/>
      </c>
      <c r="K56" s="56" t="str">
        <f t="shared" si="22"/>
        <v/>
      </c>
      <c r="L56" s="56" t="str">
        <f t="shared" si="23"/>
        <v/>
      </c>
      <c r="M56" s="56" t="str">
        <f t="shared" si="24"/>
        <v/>
      </c>
      <c r="N56" s="56" t="str">
        <f t="shared" si="25"/>
        <v/>
      </c>
      <c r="O56" s="57" t="str">
        <f t="shared" si="26"/>
        <v/>
      </c>
      <c r="P56" s="57" t="str">
        <f t="shared" si="27"/>
        <v/>
      </c>
      <c r="Q56" s="57" t="str">
        <f t="shared" si="28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47" t="s">
        <v>137</v>
      </c>
      <c r="C57" s="47" t="s">
        <v>138</v>
      </c>
      <c r="D57" s="48"/>
      <c r="E57" s="48"/>
      <c r="F57" s="58">
        <v>1.0000000000000001E-5</v>
      </c>
      <c r="G57" s="126"/>
      <c r="H57" s="126"/>
      <c r="I57" s="55" t="str">
        <f t="shared" si="20"/>
        <v/>
      </c>
      <c r="J57" s="55" t="str">
        <f t="shared" si="21"/>
        <v/>
      </c>
      <c r="K57" s="56" t="str">
        <f t="shared" si="22"/>
        <v/>
      </c>
      <c r="L57" s="56" t="str">
        <f t="shared" si="23"/>
        <v/>
      </c>
      <c r="M57" s="56" t="str">
        <f t="shared" si="24"/>
        <v/>
      </c>
      <c r="N57" s="56" t="str">
        <f t="shared" si="25"/>
        <v/>
      </c>
      <c r="O57" s="57" t="str">
        <f t="shared" si="26"/>
        <v/>
      </c>
      <c r="P57" s="57" t="str">
        <f t="shared" si="27"/>
        <v/>
      </c>
      <c r="Q57" s="57" t="str">
        <f t="shared" si="28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26"/>
      <c r="H58" s="126"/>
      <c r="I58" s="55" t="str">
        <f t="shared" si="20"/>
        <v/>
      </c>
      <c r="J58" s="55" t="str">
        <f t="shared" si="21"/>
        <v/>
      </c>
      <c r="K58" s="56" t="str">
        <f t="shared" si="22"/>
        <v/>
      </c>
      <c r="L58" s="56" t="str">
        <f t="shared" si="23"/>
        <v/>
      </c>
      <c r="M58" s="56" t="str">
        <f t="shared" si="24"/>
        <v/>
      </c>
      <c r="N58" s="56" t="str">
        <f t="shared" si="25"/>
        <v/>
      </c>
      <c r="O58" s="57" t="str">
        <f t="shared" si="26"/>
        <v/>
      </c>
      <c r="P58" s="57" t="str">
        <f t="shared" si="27"/>
        <v/>
      </c>
      <c r="Q58" s="57" t="str">
        <f t="shared" si="28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26"/>
      <c r="H59" s="126"/>
      <c r="I59" s="55" t="str">
        <f t="shared" si="20"/>
        <v/>
      </c>
      <c r="J59" s="55" t="str">
        <f t="shared" si="21"/>
        <v/>
      </c>
      <c r="K59" s="56" t="str">
        <f t="shared" si="22"/>
        <v/>
      </c>
      <c r="L59" s="56" t="str">
        <f t="shared" si="23"/>
        <v/>
      </c>
      <c r="M59" s="56" t="str">
        <f t="shared" si="24"/>
        <v/>
      </c>
      <c r="N59" s="56" t="str">
        <f t="shared" si="25"/>
        <v/>
      </c>
      <c r="O59" s="57" t="str">
        <f t="shared" si="26"/>
        <v/>
      </c>
      <c r="P59" s="57" t="str">
        <f t="shared" si="27"/>
        <v/>
      </c>
      <c r="Q59" s="57" t="str">
        <f t="shared" si="28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26"/>
      <c r="H60" s="126"/>
      <c r="I60" s="55" t="str">
        <f t="shared" si="20"/>
        <v/>
      </c>
      <c r="J60" s="55" t="str">
        <f t="shared" si="21"/>
        <v/>
      </c>
      <c r="K60" s="56" t="str">
        <f t="shared" si="22"/>
        <v/>
      </c>
      <c r="L60" s="56" t="str">
        <f t="shared" si="23"/>
        <v/>
      </c>
      <c r="M60" s="56" t="str">
        <f t="shared" si="24"/>
        <v/>
      </c>
      <c r="N60" s="56" t="str">
        <f t="shared" si="25"/>
        <v/>
      </c>
      <c r="O60" s="57" t="str">
        <f t="shared" si="26"/>
        <v/>
      </c>
      <c r="P60" s="57" t="str">
        <f t="shared" si="27"/>
        <v/>
      </c>
      <c r="Q60" s="57" t="str">
        <f t="shared" si="28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26"/>
      <c r="H61" s="126"/>
      <c r="I61" s="55" t="str">
        <f t="shared" si="20"/>
        <v/>
      </c>
      <c r="J61" s="55" t="str">
        <f t="shared" si="21"/>
        <v/>
      </c>
      <c r="K61" s="56" t="str">
        <f t="shared" si="22"/>
        <v/>
      </c>
      <c r="L61" s="56" t="str">
        <f t="shared" si="23"/>
        <v/>
      </c>
      <c r="M61" s="56" t="str">
        <f t="shared" si="24"/>
        <v/>
      </c>
      <c r="N61" s="56" t="str">
        <f t="shared" si="25"/>
        <v/>
      </c>
      <c r="O61" s="57" t="str">
        <f t="shared" si="26"/>
        <v/>
      </c>
      <c r="P61" s="57" t="str">
        <f t="shared" si="27"/>
        <v/>
      </c>
      <c r="Q61" s="57" t="str">
        <f t="shared" si="28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26"/>
      <c r="H62" s="126"/>
      <c r="I62" s="55" t="str">
        <f t="shared" si="20"/>
        <v/>
      </c>
      <c r="J62" s="55" t="str">
        <f t="shared" si="21"/>
        <v/>
      </c>
      <c r="K62" s="56" t="str">
        <f t="shared" si="22"/>
        <v/>
      </c>
      <c r="L62" s="56" t="str">
        <f t="shared" si="23"/>
        <v/>
      </c>
      <c r="M62" s="56" t="str">
        <f t="shared" si="24"/>
        <v/>
      </c>
      <c r="N62" s="56" t="str">
        <f t="shared" si="25"/>
        <v/>
      </c>
      <c r="O62" s="57" t="str">
        <f t="shared" si="26"/>
        <v/>
      </c>
      <c r="P62" s="57" t="str">
        <f t="shared" si="27"/>
        <v/>
      </c>
      <c r="Q62" s="57" t="str">
        <f t="shared" si="28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26"/>
      <c r="H63" s="126"/>
      <c r="I63" s="55" t="str">
        <f t="shared" si="20"/>
        <v/>
      </c>
      <c r="J63" s="55" t="str">
        <f t="shared" si="21"/>
        <v/>
      </c>
      <c r="K63" s="56" t="str">
        <f t="shared" si="22"/>
        <v/>
      </c>
      <c r="L63" s="56" t="str">
        <f t="shared" si="23"/>
        <v/>
      </c>
      <c r="M63" s="56" t="str">
        <f t="shared" si="24"/>
        <v/>
      </c>
      <c r="N63" s="56" t="str">
        <f t="shared" si="25"/>
        <v/>
      </c>
      <c r="O63" s="57" t="str">
        <f t="shared" si="26"/>
        <v/>
      </c>
      <c r="P63" s="57" t="str">
        <f t="shared" si="27"/>
        <v/>
      </c>
      <c r="Q63" s="57" t="str">
        <f t="shared" si="28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26"/>
      <c r="H64" s="126"/>
      <c r="I64" s="55" t="str">
        <f t="shared" si="20"/>
        <v/>
      </c>
      <c r="J64" s="55" t="str">
        <f t="shared" si="21"/>
        <v/>
      </c>
      <c r="K64" s="56" t="str">
        <f t="shared" si="22"/>
        <v/>
      </c>
      <c r="L64" s="56" t="str">
        <f t="shared" si="23"/>
        <v/>
      </c>
      <c r="M64" s="56" t="str">
        <f t="shared" si="24"/>
        <v/>
      </c>
      <c r="N64" s="56" t="str">
        <f t="shared" si="25"/>
        <v/>
      </c>
      <c r="O64" s="57" t="str">
        <f t="shared" si="26"/>
        <v/>
      </c>
      <c r="P64" s="57" t="str">
        <f t="shared" si="27"/>
        <v/>
      </c>
      <c r="Q64" s="57" t="str">
        <f t="shared" si="28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26"/>
      <c r="H65" s="126"/>
      <c r="I65" s="55" t="str">
        <f t="shared" si="20"/>
        <v/>
      </c>
      <c r="J65" s="55" t="str">
        <f t="shared" si="21"/>
        <v/>
      </c>
      <c r="K65" s="56" t="str">
        <f t="shared" si="22"/>
        <v/>
      </c>
      <c r="L65" s="56" t="str">
        <f t="shared" si="23"/>
        <v/>
      </c>
      <c r="M65" s="56" t="str">
        <f t="shared" si="24"/>
        <v/>
      </c>
      <c r="N65" s="56" t="str">
        <f t="shared" si="25"/>
        <v/>
      </c>
      <c r="O65" s="57" t="str">
        <f t="shared" si="26"/>
        <v/>
      </c>
      <c r="P65" s="57" t="str">
        <f t="shared" si="27"/>
        <v/>
      </c>
      <c r="Q65" s="57" t="str">
        <f t="shared" si="28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26"/>
      <c r="H66" s="126"/>
      <c r="I66" s="55" t="str">
        <f t="shared" si="20"/>
        <v/>
      </c>
      <c r="J66" s="55" t="str">
        <f t="shared" si="21"/>
        <v/>
      </c>
      <c r="K66" s="56" t="str">
        <f t="shared" si="22"/>
        <v/>
      </c>
      <c r="L66" s="56" t="str">
        <f t="shared" si="23"/>
        <v/>
      </c>
      <c r="M66" s="56" t="str">
        <f t="shared" si="24"/>
        <v/>
      </c>
      <c r="N66" s="56" t="str">
        <f t="shared" si="25"/>
        <v/>
      </c>
      <c r="O66" s="57" t="str">
        <f t="shared" si="26"/>
        <v/>
      </c>
      <c r="P66" s="57" t="str">
        <f t="shared" si="27"/>
        <v/>
      </c>
      <c r="Q66" s="57" t="str">
        <f t="shared" si="28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26"/>
      <c r="H67" s="126"/>
      <c r="I67" s="55" t="str">
        <f t="shared" si="20"/>
        <v/>
      </c>
      <c r="J67" s="55" t="str">
        <f t="shared" si="21"/>
        <v/>
      </c>
      <c r="K67" s="56" t="str">
        <f t="shared" si="22"/>
        <v/>
      </c>
      <c r="L67" s="56" t="str">
        <f t="shared" si="23"/>
        <v/>
      </c>
      <c r="M67" s="56" t="str">
        <f t="shared" si="24"/>
        <v/>
      </c>
      <c r="N67" s="56" t="str">
        <f t="shared" si="25"/>
        <v/>
      </c>
      <c r="O67" s="57" t="str">
        <f t="shared" si="26"/>
        <v/>
      </c>
      <c r="P67" s="57" t="str">
        <f t="shared" si="27"/>
        <v/>
      </c>
      <c r="Q67" s="57" t="str">
        <f t="shared" si="28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26"/>
      <c r="H68" s="126"/>
      <c r="I68" s="55" t="str">
        <f t="shared" si="20"/>
        <v/>
      </c>
      <c r="J68" s="55" t="str">
        <f t="shared" si="21"/>
        <v/>
      </c>
      <c r="K68" s="56" t="str">
        <f t="shared" si="22"/>
        <v/>
      </c>
      <c r="L68" s="56" t="str">
        <f t="shared" si="23"/>
        <v/>
      </c>
      <c r="M68" s="56" t="str">
        <f t="shared" si="24"/>
        <v/>
      </c>
      <c r="N68" s="56" t="str">
        <f t="shared" si="25"/>
        <v/>
      </c>
      <c r="O68" s="57" t="str">
        <f t="shared" si="26"/>
        <v/>
      </c>
      <c r="P68" s="57" t="str">
        <f t="shared" si="27"/>
        <v/>
      </c>
      <c r="Q68" s="57" t="str">
        <f t="shared" si="28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26"/>
      <c r="H69" s="126"/>
      <c r="I69" s="55" t="str">
        <f t="shared" si="20"/>
        <v/>
      </c>
      <c r="J69" s="55" t="str">
        <f t="shared" si="21"/>
        <v/>
      </c>
      <c r="K69" s="56" t="str">
        <f t="shared" si="22"/>
        <v/>
      </c>
      <c r="L69" s="56" t="str">
        <f t="shared" si="23"/>
        <v/>
      </c>
      <c r="M69" s="56" t="str">
        <f t="shared" si="24"/>
        <v/>
      </c>
      <c r="N69" s="56" t="str">
        <f t="shared" si="25"/>
        <v/>
      </c>
      <c r="O69" s="57" t="str">
        <f t="shared" si="26"/>
        <v/>
      </c>
      <c r="P69" s="57" t="str">
        <f t="shared" si="27"/>
        <v/>
      </c>
      <c r="Q69" s="57" t="str">
        <f t="shared" si="28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26"/>
      <c r="H70" s="126"/>
      <c r="I70" s="55" t="str">
        <f t="shared" si="20"/>
        <v/>
      </c>
      <c r="J70" s="55" t="str">
        <f t="shared" si="21"/>
        <v/>
      </c>
      <c r="K70" s="56" t="str">
        <f t="shared" si="22"/>
        <v/>
      </c>
      <c r="L70" s="56" t="str">
        <f t="shared" si="23"/>
        <v/>
      </c>
      <c r="M70" s="56" t="str">
        <f t="shared" si="24"/>
        <v/>
      </c>
      <c r="N70" s="56" t="str">
        <f t="shared" si="25"/>
        <v/>
      </c>
      <c r="O70" s="57" t="str">
        <f t="shared" si="26"/>
        <v/>
      </c>
      <c r="P70" s="57" t="str">
        <f t="shared" si="27"/>
        <v/>
      </c>
      <c r="Q70" s="57" t="str">
        <f t="shared" si="28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26"/>
      <c r="H71" s="126"/>
      <c r="I71" s="55" t="str">
        <f t="shared" ref="I71:I122" si="29">IF(D71=0,"",LOG($K$15*10^D71+$K$16*10^E71+$K$14))</f>
        <v/>
      </c>
      <c r="J71" s="55" t="str">
        <f t="shared" ref="J71:J122" si="30">IF(D71=0,"",LOG($K$21*10^D71+$K$22*10^E71+$K$20))</f>
        <v/>
      </c>
      <c r="K71" s="56" t="str">
        <f t="shared" ref="K71:K122" si="31">IF(D71=0,"",1/(1+10^D71*$J$15/$J$14+10^E71*$J$16/$J$14+10^J71*$J$19/$J$14))</f>
        <v/>
      </c>
      <c r="L71" s="56" t="str">
        <f t="shared" ref="L71:L122" si="32">IF(D71=0,"",1/(1+10^I71/10^J71*$J$13/$J$19))</f>
        <v/>
      </c>
      <c r="M71" s="56" t="str">
        <f t="shared" si="15"/>
        <v/>
      </c>
      <c r="N71" s="56" t="str">
        <f t="shared" ref="N71:N122" si="33">IF(D71=0,"",1/(1/10^E71*$J$20/$J$22+10^D71/10^E71*$J$21/$J$22+10^I71/10^E71*$J$13/$J$22+1))</f>
        <v/>
      </c>
      <c r="O71" s="57" t="str">
        <f t="shared" si="17"/>
        <v/>
      </c>
      <c r="P71" s="57" t="str">
        <f t="shared" ref="P71:P122" si="34">IF(D71=0,"",O71*10^J71)</f>
        <v/>
      </c>
      <c r="Q71" s="57" t="str">
        <f t="shared" ref="Q71:Q122" si="35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26"/>
      <c r="H72" s="126"/>
      <c r="I72" s="55" t="str">
        <f t="shared" si="29"/>
        <v/>
      </c>
      <c r="J72" s="55" t="str">
        <f t="shared" si="30"/>
        <v/>
      </c>
      <c r="K72" s="56" t="str">
        <f t="shared" si="31"/>
        <v/>
      </c>
      <c r="L72" s="56" t="str">
        <f t="shared" si="32"/>
        <v/>
      </c>
      <c r="M72" s="56" t="str">
        <f t="shared" si="15"/>
        <v/>
      </c>
      <c r="N72" s="56" t="str">
        <f t="shared" si="33"/>
        <v/>
      </c>
      <c r="O72" s="57" t="str">
        <f t="shared" si="17"/>
        <v/>
      </c>
      <c r="P72" s="57" t="str">
        <f t="shared" si="34"/>
        <v/>
      </c>
      <c r="Q72" s="57" t="str">
        <f t="shared" si="35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26"/>
      <c r="H73" s="126"/>
      <c r="I73" s="55" t="str">
        <f t="shared" si="29"/>
        <v/>
      </c>
      <c r="J73" s="55" t="str">
        <f t="shared" si="30"/>
        <v/>
      </c>
      <c r="K73" s="56" t="str">
        <f t="shared" si="31"/>
        <v/>
      </c>
      <c r="L73" s="56" t="str">
        <f t="shared" si="32"/>
        <v/>
      </c>
      <c r="M73" s="56" t="str">
        <f t="shared" si="15"/>
        <v/>
      </c>
      <c r="N73" s="56" t="str">
        <f t="shared" si="33"/>
        <v/>
      </c>
      <c r="O73" s="57" t="str">
        <f t="shared" si="17"/>
        <v/>
      </c>
      <c r="P73" s="57" t="str">
        <f t="shared" si="34"/>
        <v/>
      </c>
      <c r="Q73" s="57" t="str">
        <f t="shared" si="35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26"/>
      <c r="H74" s="126"/>
      <c r="I74" s="55" t="str">
        <f t="shared" si="29"/>
        <v/>
      </c>
      <c r="J74" s="55" t="str">
        <f t="shared" si="30"/>
        <v/>
      </c>
      <c r="K74" s="56" t="str">
        <f t="shared" si="31"/>
        <v/>
      </c>
      <c r="L74" s="56" t="str">
        <f t="shared" si="32"/>
        <v/>
      </c>
      <c r="M74" s="56" t="str">
        <f t="shared" si="15"/>
        <v/>
      </c>
      <c r="N74" s="56" t="str">
        <f t="shared" si="33"/>
        <v/>
      </c>
      <c r="O74" s="57" t="str">
        <f t="shared" si="17"/>
        <v/>
      </c>
      <c r="P74" s="57" t="str">
        <f t="shared" si="34"/>
        <v/>
      </c>
      <c r="Q74" s="57" t="str">
        <f t="shared" si="35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26"/>
      <c r="H75" s="126"/>
      <c r="I75" s="55" t="str">
        <f t="shared" si="29"/>
        <v/>
      </c>
      <c r="J75" s="55" t="str">
        <f t="shared" si="30"/>
        <v/>
      </c>
      <c r="K75" s="56" t="str">
        <f t="shared" si="31"/>
        <v/>
      </c>
      <c r="L75" s="56" t="str">
        <f t="shared" si="32"/>
        <v/>
      </c>
      <c r="M75" s="56" t="str">
        <f t="shared" si="15"/>
        <v/>
      </c>
      <c r="N75" s="56" t="str">
        <f t="shared" si="33"/>
        <v/>
      </c>
      <c r="O75" s="57" t="str">
        <f t="shared" si="17"/>
        <v/>
      </c>
      <c r="P75" s="57" t="str">
        <f t="shared" si="34"/>
        <v/>
      </c>
      <c r="Q75" s="57" t="str">
        <f t="shared" si="35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26"/>
      <c r="H76" s="126"/>
      <c r="I76" s="55" t="str">
        <f t="shared" si="29"/>
        <v/>
      </c>
      <c r="J76" s="55" t="str">
        <f t="shared" si="30"/>
        <v/>
      </c>
      <c r="K76" s="56" t="str">
        <f t="shared" si="31"/>
        <v/>
      </c>
      <c r="L76" s="56" t="str">
        <f t="shared" si="32"/>
        <v/>
      </c>
      <c r="M76" s="56" t="str">
        <f t="shared" si="15"/>
        <v/>
      </c>
      <c r="N76" s="56" t="str">
        <f t="shared" si="33"/>
        <v/>
      </c>
      <c r="O76" s="57" t="str">
        <f t="shared" si="17"/>
        <v/>
      </c>
      <c r="P76" s="57" t="str">
        <f t="shared" si="34"/>
        <v/>
      </c>
      <c r="Q76" s="57" t="str">
        <f t="shared" si="35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26"/>
      <c r="H77" s="126"/>
      <c r="I77" s="55" t="str">
        <f t="shared" si="29"/>
        <v/>
      </c>
      <c r="J77" s="55" t="str">
        <f t="shared" si="30"/>
        <v/>
      </c>
      <c r="K77" s="56" t="str">
        <f t="shared" si="31"/>
        <v/>
      </c>
      <c r="L77" s="56" t="str">
        <f t="shared" si="32"/>
        <v/>
      </c>
      <c r="M77" s="56" t="str">
        <f t="shared" si="15"/>
        <v/>
      </c>
      <c r="N77" s="56" t="str">
        <f t="shared" si="33"/>
        <v/>
      </c>
      <c r="O77" s="57" t="str">
        <f t="shared" si="17"/>
        <v/>
      </c>
      <c r="P77" s="57" t="str">
        <f t="shared" si="34"/>
        <v/>
      </c>
      <c r="Q77" s="57" t="str">
        <f t="shared" si="35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29"/>
        <v/>
      </c>
      <c r="J78" s="55" t="str">
        <f t="shared" si="30"/>
        <v/>
      </c>
      <c r="K78" s="56" t="str">
        <f t="shared" si="31"/>
        <v/>
      </c>
      <c r="L78" s="56" t="str">
        <f t="shared" si="32"/>
        <v/>
      </c>
      <c r="M78" s="56" t="str">
        <f t="shared" si="15"/>
        <v/>
      </c>
      <c r="N78" s="56" t="str">
        <f t="shared" si="33"/>
        <v/>
      </c>
      <c r="O78" s="57" t="str">
        <f t="shared" si="17"/>
        <v/>
      </c>
      <c r="P78" s="57" t="str">
        <f t="shared" si="34"/>
        <v/>
      </c>
      <c r="Q78" s="57" t="str">
        <f t="shared" si="35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29"/>
        <v/>
      </c>
      <c r="J79" s="55" t="str">
        <f t="shared" si="30"/>
        <v/>
      </c>
      <c r="K79" s="56" t="str">
        <f t="shared" si="31"/>
        <v/>
      </c>
      <c r="L79" s="56" t="str">
        <f t="shared" si="32"/>
        <v/>
      </c>
      <c r="M79" s="56" t="str">
        <f t="shared" si="15"/>
        <v/>
      </c>
      <c r="N79" s="56" t="str">
        <f t="shared" si="33"/>
        <v/>
      </c>
      <c r="O79" s="57" t="str">
        <f t="shared" si="17"/>
        <v/>
      </c>
      <c r="P79" s="57" t="str">
        <f t="shared" si="34"/>
        <v/>
      </c>
      <c r="Q79" s="57" t="str">
        <f t="shared" si="35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29"/>
        <v/>
      </c>
      <c r="J80" s="55" t="str">
        <f t="shared" si="30"/>
        <v/>
      </c>
      <c r="K80" s="56" t="str">
        <f t="shared" si="31"/>
        <v/>
      </c>
      <c r="L80" s="56" t="str">
        <f t="shared" si="32"/>
        <v/>
      </c>
      <c r="M80" s="56" t="str">
        <f t="shared" si="15"/>
        <v/>
      </c>
      <c r="N80" s="56" t="str">
        <f t="shared" si="33"/>
        <v/>
      </c>
      <c r="O80" s="57" t="str">
        <f t="shared" si="17"/>
        <v/>
      </c>
      <c r="P80" s="57" t="str">
        <f t="shared" si="34"/>
        <v/>
      </c>
      <c r="Q80" s="57" t="str">
        <f t="shared" si="35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29"/>
        <v/>
      </c>
      <c r="J81" s="55" t="str">
        <f t="shared" si="30"/>
        <v/>
      </c>
      <c r="K81" s="56" t="str">
        <f t="shared" si="31"/>
        <v/>
      </c>
      <c r="L81" s="56" t="str">
        <f t="shared" si="32"/>
        <v/>
      </c>
      <c r="M81" s="56" t="str">
        <f t="shared" si="15"/>
        <v/>
      </c>
      <c r="N81" s="56" t="str">
        <f t="shared" si="33"/>
        <v/>
      </c>
      <c r="O81" s="57" t="str">
        <f t="shared" si="17"/>
        <v/>
      </c>
      <c r="P81" s="57" t="str">
        <f t="shared" si="34"/>
        <v/>
      </c>
      <c r="Q81" s="57" t="str">
        <f t="shared" si="35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29"/>
        <v/>
      </c>
      <c r="J82" s="55" t="str">
        <f t="shared" si="30"/>
        <v/>
      </c>
      <c r="K82" s="56" t="str">
        <f t="shared" si="31"/>
        <v/>
      </c>
      <c r="L82" s="56" t="str">
        <f t="shared" si="32"/>
        <v/>
      </c>
      <c r="M82" s="56" t="str">
        <f t="shared" si="15"/>
        <v/>
      </c>
      <c r="N82" s="56" t="str">
        <f t="shared" si="33"/>
        <v/>
      </c>
      <c r="O82" s="57" t="str">
        <f t="shared" si="17"/>
        <v/>
      </c>
      <c r="P82" s="57" t="str">
        <f t="shared" si="34"/>
        <v/>
      </c>
      <c r="Q82" s="57" t="str">
        <f t="shared" si="35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29"/>
        <v/>
      </c>
      <c r="J83" s="55" t="str">
        <f t="shared" si="30"/>
        <v/>
      </c>
      <c r="K83" s="56" t="str">
        <f t="shared" si="31"/>
        <v/>
      </c>
      <c r="L83" s="56" t="str">
        <f t="shared" si="32"/>
        <v/>
      </c>
      <c r="M83" s="56" t="str">
        <f t="shared" si="15"/>
        <v/>
      </c>
      <c r="N83" s="56" t="str">
        <f t="shared" si="33"/>
        <v/>
      </c>
      <c r="O83" s="57" t="str">
        <f t="shared" si="17"/>
        <v/>
      </c>
      <c r="P83" s="57" t="str">
        <f t="shared" si="34"/>
        <v/>
      </c>
      <c r="Q83" s="57" t="str">
        <f t="shared" si="35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29"/>
        <v/>
      </c>
      <c r="J84" s="55" t="str">
        <f t="shared" si="30"/>
        <v/>
      </c>
      <c r="K84" s="56" t="str">
        <f t="shared" si="31"/>
        <v/>
      </c>
      <c r="L84" s="56" t="str">
        <f t="shared" si="32"/>
        <v/>
      </c>
      <c r="M84" s="56" t="str">
        <f t="shared" si="15"/>
        <v/>
      </c>
      <c r="N84" s="56" t="str">
        <f t="shared" si="33"/>
        <v/>
      </c>
      <c r="O84" s="57" t="str">
        <f t="shared" si="17"/>
        <v/>
      </c>
      <c r="P84" s="57" t="str">
        <f t="shared" si="34"/>
        <v/>
      </c>
      <c r="Q84" s="57" t="str">
        <f t="shared" si="35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29"/>
        <v/>
      </c>
      <c r="J85" s="55" t="str">
        <f t="shared" si="30"/>
        <v/>
      </c>
      <c r="K85" s="56" t="str">
        <f t="shared" si="31"/>
        <v/>
      </c>
      <c r="L85" s="56" t="str">
        <f t="shared" si="32"/>
        <v/>
      </c>
      <c r="M85" s="56" t="str">
        <f t="shared" si="15"/>
        <v/>
      </c>
      <c r="N85" s="56" t="str">
        <f t="shared" si="33"/>
        <v/>
      </c>
      <c r="O85" s="57" t="str">
        <f t="shared" si="17"/>
        <v/>
      </c>
      <c r="P85" s="57" t="str">
        <f t="shared" si="34"/>
        <v/>
      </c>
      <c r="Q85" s="57" t="str">
        <f t="shared" si="35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29"/>
        <v/>
      </c>
      <c r="J86" s="55" t="str">
        <f t="shared" si="30"/>
        <v/>
      </c>
      <c r="K86" s="56" t="str">
        <f t="shared" si="31"/>
        <v/>
      </c>
      <c r="L86" s="56" t="str">
        <f t="shared" si="32"/>
        <v/>
      </c>
      <c r="M86" s="56" t="str">
        <f t="shared" si="15"/>
        <v/>
      </c>
      <c r="N86" s="56" t="str">
        <f t="shared" si="33"/>
        <v/>
      </c>
      <c r="O86" s="57" t="str">
        <f t="shared" si="17"/>
        <v/>
      </c>
      <c r="P86" s="57" t="str">
        <f t="shared" si="34"/>
        <v/>
      </c>
      <c r="Q86" s="57" t="str">
        <f t="shared" si="35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29"/>
        <v/>
      </c>
      <c r="J87" s="55" t="str">
        <f t="shared" si="30"/>
        <v/>
      </c>
      <c r="K87" s="56" t="str">
        <f t="shared" si="31"/>
        <v/>
      </c>
      <c r="L87" s="56" t="str">
        <f t="shared" si="32"/>
        <v/>
      </c>
      <c r="M87" s="56" t="str">
        <f t="shared" si="15"/>
        <v/>
      </c>
      <c r="N87" s="56" t="str">
        <f t="shared" si="33"/>
        <v/>
      </c>
      <c r="O87" s="57" t="str">
        <f t="shared" si="17"/>
        <v/>
      </c>
      <c r="P87" s="57" t="str">
        <f t="shared" si="34"/>
        <v/>
      </c>
      <c r="Q87" s="57" t="str">
        <f t="shared" si="35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29"/>
        <v/>
      </c>
      <c r="J88" s="55" t="str">
        <f t="shared" si="30"/>
        <v/>
      </c>
      <c r="K88" s="56" t="str">
        <f t="shared" si="31"/>
        <v/>
      </c>
      <c r="L88" s="56" t="str">
        <f t="shared" si="32"/>
        <v/>
      </c>
      <c r="M88" s="56" t="str">
        <f t="shared" si="15"/>
        <v/>
      </c>
      <c r="N88" s="56" t="str">
        <f t="shared" si="33"/>
        <v/>
      </c>
      <c r="O88" s="57" t="str">
        <f t="shared" si="17"/>
        <v/>
      </c>
      <c r="P88" s="57" t="str">
        <f t="shared" si="34"/>
        <v/>
      </c>
      <c r="Q88" s="57" t="str">
        <f t="shared" si="35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29"/>
        <v/>
      </c>
      <c r="J89" s="55" t="str">
        <f t="shared" si="30"/>
        <v/>
      </c>
      <c r="K89" s="56" t="str">
        <f t="shared" si="31"/>
        <v/>
      </c>
      <c r="L89" s="56" t="str">
        <f t="shared" si="32"/>
        <v/>
      </c>
      <c r="M89" s="56" t="str">
        <f t="shared" si="15"/>
        <v/>
      </c>
      <c r="N89" s="56" t="str">
        <f t="shared" si="33"/>
        <v/>
      </c>
      <c r="O89" s="57" t="str">
        <f t="shared" si="17"/>
        <v/>
      </c>
      <c r="P89" s="57" t="str">
        <f t="shared" si="34"/>
        <v/>
      </c>
      <c r="Q89" s="57" t="str">
        <f t="shared" si="35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29"/>
        <v/>
      </c>
      <c r="J90" s="55" t="str">
        <f t="shared" si="30"/>
        <v/>
      </c>
      <c r="K90" s="56" t="str">
        <f t="shared" si="31"/>
        <v/>
      </c>
      <c r="L90" s="56" t="str">
        <f t="shared" si="32"/>
        <v/>
      </c>
      <c r="M90" s="56" t="str">
        <f t="shared" si="15"/>
        <v/>
      </c>
      <c r="N90" s="56" t="str">
        <f t="shared" si="33"/>
        <v/>
      </c>
      <c r="O90" s="57" t="str">
        <f t="shared" si="17"/>
        <v/>
      </c>
      <c r="P90" s="57" t="str">
        <f t="shared" si="34"/>
        <v/>
      </c>
      <c r="Q90" s="57" t="str">
        <f t="shared" si="35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29"/>
        <v/>
      </c>
      <c r="J91" s="55" t="str">
        <f t="shared" si="30"/>
        <v/>
      </c>
      <c r="K91" s="56" t="str">
        <f t="shared" si="31"/>
        <v/>
      </c>
      <c r="L91" s="56" t="str">
        <f t="shared" si="32"/>
        <v/>
      </c>
      <c r="M91" s="56" t="str">
        <f t="shared" si="15"/>
        <v/>
      </c>
      <c r="N91" s="56" t="str">
        <f t="shared" si="33"/>
        <v/>
      </c>
      <c r="O91" s="57" t="str">
        <f t="shared" si="17"/>
        <v/>
      </c>
      <c r="P91" s="57" t="str">
        <f t="shared" si="34"/>
        <v/>
      </c>
      <c r="Q91" s="57" t="str">
        <f t="shared" si="35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29"/>
        <v/>
      </c>
      <c r="J92" s="55" t="str">
        <f t="shared" si="30"/>
        <v/>
      </c>
      <c r="K92" s="56" t="str">
        <f t="shared" si="31"/>
        <v/>
      </c>
      <c r="L92" s="56" t="str">
        <f t="shared" si="32"/>
        <v/>
      </c>
      <c r="M92" s="56" t="str">
        <f t="shared" si="15"/>
        <v/>
      </c>
      <c r="N92" s="56" t="str">
        <f t="shared" si="33"/>
        <v/>
      </c>
      <c r="O92" s="57" t="str">
        <f t="shared" si="17"/>
        <v/>
      </c>
      <c r="P92" s="57" t="str">
        <f t="shared" si="34"/>
        <v/>
      </c>
      <c r="Q92" s="57" t="str">
        <f t="shared" si="35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29"/>
        <v/>
      </c>
      <c r="J93" s="55" t="str">
        <f t="shared" si="30"/>
        <v/>
      </c>
      <c r="K93" s="56" t="str">
        <f t="shared" si="31"/>
        <v/>
      </c>
      <c r="L93" s="56" t="str">
        <f t="shared" si="32"/>
        <v/>
      </c>
      <c r="M93" s="56" t="str">
        <f t="shared" ref="M93:M127" si="36">IF(D93=0,"",1-L93)</f>
        <v/>
      </c>
      <c r="N93" s="56" t="str">
        <f t="shared" si="33"/>
        <v/>
      </c>
      <c r="O93" s="57" t="str">
        <f t="shared" ref="O93:O127" si="37">IF(D93=0,"",F93*K93*$J$7/$J$14)</f>
        <v/>
      </c>
      <c r="P93" s="57" t="str">
        <f t="shared" si="34"/>
        <v/>
      </c>
      <c r="Q93" s="57" t="str">
        <f t="shared" si="35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29"/>
        <v/>
      </c>
      <c r="J94" s="55" t="str">
        <f t="shared" si="30"/>
        <v/>
      </c>
      <c r="K94" s="56" t="str">
        <f t="shared" si="31"/>
        <v/>
      </c>
      <c r="L94" s="56" t="str">
        <f t="shared" si="32"/>
        <v/>
      </c>
      <c r="M94" s="56" t="str">
        <f t="shared" si="36"/>
        <v/>
      </c>
      <c r="N94" s="56" t="str">
        <f t="shared" si="33"/>
        <v/>
      </c>
      <c r="O94" s="57" t="str">
        <f t="shared" si="37"/>
        <v/>
      </c>
      <c r="P94" s="57" t="str">
        <f t="shared" si="34"/>
        <v/>
      </c>
      <c r="Q94" s="57" t="str">
        <f t="shared" si="35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29"/>
        <v/>
      </c>
      <c r="J95" s="55" t="str">
        <f t="shared" si="30"/>
        <v/>
      </c>
      <c r="K95" s="56" t="str">
        <f t="shared" si="31"/>
        <v/>
      </c>
      <c r="L95" s="56" t="str">
        <f t="shared" si="32"/>
        <v/>
      </c>
      <c r="M95" s="56" t="str">
        <f t="shared" si="36"/>
        <v/>
      </c>
      <c r="N95" s="56" t="str">
        <f t="shared" si="33"/>
        <v/>
      </c>
      <c r="O95" s="57" t="str">
        <f t="shared" si="37"/>
        <v/>
      </c>
      <c r="P95" s="57" t="str">
        <f t="shared" si="34"/>
        <v/>
      </c>
      <c r="Q95" s="57" t="str">
        <f t="shared" si="35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29"/>
        <v/>
      </c>
      <c r="J96" s="55" t="str">
        <f t="shared" si="30"/>
        <v/>
      </c>
      <c r="K96" s="56" t="str">
        <f t="shared" si="31"/>
        <v/>
      </c>
      <c r="L96" s="56" t="str">
        <f t="shared" si="32"/>
        <v/>
      </c>
      <c r="M96" s="56" t="str">
        <f t="shared" si="36"/>
        <v/>
      </c>
      <c r="N96" s="56" t="str">
        <f t="shared" si="33"/>
        <v/>
      </c>
      <c r="O96" s="57" t="str">
        <f t="shared" si="37"/>
        <v/>
      </c>
      <c r="P96" s="57" t="str">
        <f t="shared" si="34"/>
        <v/>
      </c>
      <c r="Q96" s="57" t="str">
        <f t="shared" si="35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29"/>
        <v/>
      </c>
      <c r="J97" s="55" t="str">
        <f t="shared" si="30"/>
        <v/>
      </c>
      <c r="K97" s="56" t="str">
        <f t="shared" si="31"/>
        <v/>
      </c>
      <c r="L97" s="56" t="str">
        <f t="shared" si="32"/>
        <v/>
      </c>
      <c r="M97" s="56" t="str">
        <f t="shared" si="36"/>
        <v/>
      </c>
      <c r="N97" s="56" t="str">
        <f t="shared" si="33"/>
        <v/>
      </c>
      <c r="O97" s="57" t="str">
        <f t="shared" si="37"/>
        <v/>
      </c>
      <c r="P97" s="57" t="str">
        <f t="shared" si="34"/>
        <v/>
      </c>
      <c r="Q97" s="57" t="str">
        <f t="shared" si="35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29"/>
        <v/>
      </c>
      <c r="J98" s="55" t="str">
        <f t="shared" si="30"/>
        <v/>
      </c>
      <c r="K98" s="56" t="str">
        <f t="shared" si="31"/>
        <v/>
      </c>
      <c r="L98" s="56" t="str">
        <f t="shared" si="32"/>
        <v/>
      </c>
      <c r="M98" s="56" t="str">
        <f t="shared" si="36"/>
        <v/>
      </c>
      <c r="N98" s="56" t="str">
        <f t="shared" si="33"/>
        <v/>
      </c>
      <c r="O98" s="57" t="str">
        <f t="shared" si="37"/>
        <v/>
      </c>
      <c r="P98" s="57" t="str">
        <f t="shared" si="34"/>
        <v/>
      </c>
      <c r="Q98" s="57" t="str">
        <f t="shared" si="35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29"/>
        <v/>
      </c>
      <c r="J99" s="55" t="str">
        <f t="shared" si="30"/>
        <v/>
      </c>
      <c r="K99" s="56" t="str">
        <f t="shared" si="31"/>
        <v/>
      </c>
      <c r="L99" s="56" t="str">
        <f t="shared" si="32"/>
        <v/>
      </c>
      <c r="M99" s="56" t="str">
        <f t="shared" si="36"/>
        <v/>
      </c>
      <c r="N99" s="56" t="str">
        <f t="shared" si="33"/>
        <v/>
      </c>
      <c r="O99" s="57" t="str">
        <f t="shared" si="37"/>
        <v/>
      </c>
      <c r="P99" s="57" t="str">
        <f t="shared" si="34"/>
        <v/>
      </c>
      <c r="Q99" s="57" t="str">
        <f t="shared" si="35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29"/>
        <v/>
      </c>
      <c r="J100" s="55" t="str">
        <f t="shared" si="30"/>
        <v/>
      </c>
      <c r="K100" s="56" t="str">
        <f t="shared" si="31"/>
        <v/>
      </c>
      <c r="L100" s="56" t="str">
        <f t="shared" si="32"/>
        <v/>
      </c>
      <c r="M100" s="56" t="str">
        <f t="shared" si="36"/>
        <v/>
      </c>
      <c r="N100" s="56" t="str">
        <f t="shared" si="33"/>
        <v/>
      </c>
      <c r="O100" s="57" t="str">
        <f t="shared" si="37"/>
        <v/>
      </c>
      <c r="P100" s="57" t="str">
        <f t="shared" si="34"/>
        <v/>
      </c>
      <c r="Q100" s="57" t="str">
        <f t="shared" si="35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29"/>
        <v/>
      </c>
      <c r="J101" s="55" t="str">
        <f t="shared" si="30"/>
        <v/>
      </c>
      <c r="K101" s="56" t="str">
        <f t="shared" si="31"/>
        <v/>
      </c>
      <c r="L101" s="56" t="str">
        <f t="shared" si="32"/>
        <v/>
      </c>
      <c r="M101" s="56" t="str">
        <f t="shared" si="36"/>
        <v/>
      </c>
      <c r="N101" s="56" t="str">
        <f t="shared" si="33"/>
        <v/>
      </c>
      <c r="O101" s="57" t="str">
        <f t="shared" si="37"/>
        <v/>
      </c>
      <c r="P101" s="57" t="str">
        <f t="shared" si="34"/>
        <v/>
      </c>
      <c r="Q101" s="57" t="str">
        <f t="shared" si="35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29"/>
        <v/>
      </c>
      <c r="J102" s="55" t="str">
        <f t="shared" si="30"/>
        <v/>
      </c>
      <c r="K102" s="56" t="str">
        <f t="shared" si="31"/>
        <v/>
      </c>
      <c r="L102" s="56" t="str">
        <f t="shared" si="32"/>
        <v/>
      </c>
      <c r="M102" s="56" t="str">
        <f t="shared" si="36"/>
        <v/>
      </c>
      <c r="N102" s="56" t="str">
        <f t="shared" si="33"/>
        <v/>
      </c>
      <c r="O102" s="57" t="str">
        <f t="shared" si="37"/>
        <v/>
      </c>
      <c r="P102" s="57" t="str">
        <f t="shared" si="34"/>
        <v/>
      </c>
      <c r="Q102" s="57" t="str">
        <f t="shared" si="35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29"/>
        <v/>
      </c>
      <c r="J103" s="55" t="str">
        <f t="shared" si="30"/>
        <v/>
      </c>
      <c r="K103" s="56" t="str">
        <f t="shared" si="31"/>
        <v/>
      </c>
      <c r="L103" s="56" t="str">
        <f t="shared" si="32"/>
        <v/>
      </c>
      <c r="M103" s="56" t="str">
        <f t="shared" si="36"/>
        <v/>
      </c>
      <c r="N103" s="56" t="str">
        <f t="shared" si="33"/>
        <v/>
      </c>
      <c r="O103" s="57" t="str">
        <f t="shared" si="37"/>
        <v/>
      </c>
      <c r="P103" s="57" t="str">
        <f t="shared" si="34"/>
        <v/>
      </c>
      <c r="Q103" s="57" t="str">
        <f t="shared" si="35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29"/>
        <v/>
      </c>
      <c r="J104" s="55" t="str">
        <f t="shared" si="30"/>
        <v/>
      </c>
      <c r="K104" s="56" t="str">
        <f t="shared" si="31"/>
        <v/>
      </c>
      <c r="L104" s="56" t="str">
        <f t="shared" si="32"/>
        <v/>
      </c>
      <c r="M104" s="56" t="str">
        <f t="shared" si="36"/>
        <v/>
      </c>
      <c r="N104" s="56" t="str">
        <f t="shared" si="33"/>
        <v/>
      </c>
      <c r="O104" s="57" t="str">
        <f t="shared" si="37"/>
        <v/>
      </c>
      <c r="P104" s="57" t="str">
        <f t="shared" si="34"/>
        <v/>
      </c>
      <c r="Q104" s="57" t="str">
        <f t="shared" si="35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29"/>
        <v/>
      </c>
      <c r="J105" s="55" t="str">
        <f t="shared" si="30"/>
        <v/>
      </c>
      <c r="K105" s="56" t="str">
        <f t="shared" si="31"/>
        <v/>
      </c>
      <c r="L105" s="56" t="str">
        <f t="shared" si="32"/>
        <v/>
      </c>
      <c r="M105" s="56" t="str">
        <f t="shared" si="36"/>
        <v/>
      </c>
      <c r="N105" s="56" t="str">
        <f t="shared" si="33"/>
        <v/>
      </c>
      <c r="O105" s="57" t="str">
        <f t="shared" si="37"/>
        <v/>
      </c>
      <c r="P105" s="57" t="str">
        <f t="shared" si="34"/>
        <v/>
      </c>
      <c r="Q105" s="57" t="str">
        <f t="shared" si="35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29"/>
        <v/>
      </c>
      <c r="J106" s="55" t="str">
        <f t="shared" si="30"/>
        <v/>
      </c>
      <c r="K106" s="56" t="str">
        <f t="shared" si="31"/>
        <v/>
      </c>
      <c r="L106" s="56" t="str">
        <f t="shared" si="32"/>
        <v/>
      </c>
      <c r="M106" s="56" t="str">
        <f t="shared" si="36"/>
        <v/>
      </c>
      <c r="N106" s="56" t="str">
        <f t="shared" si="33"/>
        <v/>
      </c>
      <c r="O106" s="57" t="str">
        <f t="shared" si="37"/>
        <v/>
      </c>
      <c r="P106" s="57" t="str">
        <f t="shared" si="34"/>
        <v/>
      </c>
      <c r="Q106" s="57" t="str">
        <f t="shared" si="35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29"/>
        <v/>
      </c>
      <c r="J107" s="55" t="str">
        <f t="shared" si="30"/>
        <v/>
      </c>
      <c r="K107" s="56" t="str">
        <f t="shared" si="31"/>
        <v/>
      </c>
      <c r="L107" s="56" t="str">
        <f t="shared" si="32"/>
        <v/>
      </c>
      <c r="M107" s="56" t="str">
        <f t="shared" si="36"/>
        <v/>
      </c>
      <c r="N107" s="56" t="str">
        <f t="shared" si="33"/>
        <v/>
      </c>
      <c r="O107" s="57" t="str">
        <f t="shared" si="37"/>
        <v/>
      </c>
      <c r="P107" s="57" t="str">
        <f t="shared" si="34"/>
        <v/>
      </c>
      <c r="Q107" s="57" t="str">
        <f t="shared" si="35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29"/>
        <v/>
      </c>
      <c r="J108" s="55" t="str">
        <f t="shared" si="30"/>
        <v/>
      </c>
      <c r="K108" s="56" t="str">
        <f t="shared" si="31"/>
        <v/>
      </c>
      <c r="L108" s="56" t="str">
        <f t="shared" si="32"/>
        <v/>
      </c>
      <c r="M108" s="56" t="str">
        <f t="shared" si="36"/>
        <v/>
      </c>
      <c r="N108" s="56" t="str">
        <f t="shared" si="33"/>
        <v/>
      </c>
      <c r="O108" s="57" t="str">
        <f t="shared" si="37"/>
        <v/>
      </c>
      <c r="P108" s="57" t="str">
        <f t="shared" si="34"/>
        <v/>
      </c>
      <c r="Q108" s="57" t="str">
        <f t="shared" si="35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29"/>
        <v/>
      </c>
      <c r="J109" s="55" t="str">
        <f t="shared" si="30"/>
        <v/>
      </c>
      <c r="K109" s="56" t="str">
        <f t="shared" si="31"/>
        <v/>
      </c>
      <c r="L109" s="56" t="str">
        <f t="shared" si="32"/>
        <v/>
      </c>
      <c r="M109" s="56" t="str">
        <f t="shared" si="36"/>
        <v/>
      </c>
      <c r="N109" s="56" t="str">
        <f t="shared" si="33"/>
        <v/>
      </c>
      <c r="O109" s="57" t="str">
        <f t="shared" si="37"/>
        <v/>
      </c>
      <c r="P109" s="57" t="str">
        <f t="shared" si="34"/>
        <v/>
      </c>
      <c r="Q109" s="57" t="str">
        <f t="shared" si="35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29"/>
        <v/>
      </c>
      <c r="J110" s="55" t="str">
        <f t="shared" si="30"/>
        <v/>
      </c>
      <c r="K110" s="56" t="str">
        <f t="shared" si="31"/>
        <v/>
      </c>
      <c r="L110" s="56" t="str">
        <f t="shared" si="32"/>
        <v/>
      </c>
      <c r="M110" s="56" t="str">
        <f t="shared" si="36"/>
        <v/>
      </c>
      <c r="N110" s="56" t="str">
        <f t="shared" si="33"/>
        <v/>
      </c>
      <c r="O110" s="57" t="str">
        <f t="shared" si="37"/>
        <v/>
      </c>
      <c r="P110" s="57" t="str">
        <f t="shared" si="34"/>
        <v/>
      </c>
      <c r="Q110" s="57" t="str">
        <f t="shared" si="35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29"/>
        <v/>
      </c>
      <c r="J111" s="55" t="str">
        <f t="shared" si="30"/>
        <v/>
      </c>
      <c r="K111" s="56" t="str">
        <f t="shared" si="31"/>
        <v/>
      </c>
      <c r="L111" s="56" t="str">
        <f t="shared" si="32"/>
        <v/>
      </c>
      <c r="M111" s="56" t="str">
        <f t="shared" si="36"/>
        <v/>
      </c>
      <c r="N111" s="56" t="str">
        <f t="shared" si="33"/>
        <v/>
      </c>
      <c r="O111" s="57" t="str">
        <f t="shared" si="37"/>
        <v/>
      </c>
      <c r="P111" s="57" t="str">
        <f t="shared" si="34"/>
        <v/>
      </c>
      <c r="Q111" s="57" t="str">
        <f t="shared" si="35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29"/>
        <v/>
      </c>
      <c r="J112" s="55" t="str">
        <f t="shared" si="30"/>
        <v/>
      </c>
      <c r="K112" s="56" t="str">
        <f t="shared" si="31"/>
        <v/>
      </c>
      <c r="L112" s="56" t="str">
        <f t="shared" si="32"/>
        <v/>
      </c>
      <c r="M112" s="56" t="str">
        <f t="shared" si="36"/>
        <v/>
      </c>
      <c r="N112" s="56" t="str">
        <f t="shared" si="33"/>
        <v/>
      </c>
      <c r="O112" s="57" t="str">
        <f t="shared" si="37"/>
        <v/>
      </c>
      <c r="P112" s="57" t="str">
        <f t="shared" si="34"/>
        <v/>
      </c>
      <c r="Q112" s="57" t="str">
        <f t="shared" si="35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29"/>
        <v/>
      </c>
      <c r="J113" s="55" t="str">
        <f t="shared" si="30"/>
        <v/>
      </c>
      <c r="K113" s="56" t="str">
        <f t="shared" si="31"/>
        <v/>
      </c>
      <c r="L113" s="56" t="str">
        <f t="shared" si="32"/>
        <v/>
      </c>
      <c r="M113" s="56" t="str">
        <f t="shared" si="36"/>
        <v/>
      </c>
      <c r="N113" s="56" t="str">
        <f t="shared" si="33"/>
        <v/>
      </c>
      <c r="O113" s="57" t="str">
        <f t="shared" si="37"/>
        <v/>
      </c>
      <c r="P113" s="57" t="str">
        <f t="shared" si="34"/>
        <v/>
      </c>
      <c r="Q113" s="57" t="str">
        <f t="shared" si="35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29"/>
        <v/>
      </c>
      <c r="J114" s="55" t="str">
        <f t="shared" si="30"/>
        <v/>
      </c>
      <c r="K114" s="56" t="str">
        <f t="shared" si="31"/>
        <v/>
      </c>
      <c r="L114" s="56" t="str">
        <f t="shared" si="32"/>
        <v/>
      </c>
      <c r="M114" s="56" t="str">
        <f t="shared" si="36"/>
        <v/>
      </c>
      <c r="N114" s="56" t="str">
        <f t="shared" si="33"/>
        <v/>
      </c>
      <c r="O114" s="57" t="str">
        <f t="shared" si="37"/>
        <v/>
      </c>
      <c r="P114" s="57" t="str">
        <f t="shared" si="34"/>
        <v/>
      </c>
      <c r="Q114" s="57" t="str">
        <f t="shared" si="35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29"/>
        <v/>
      </c>
      <c r="J115" s="55" t="str">
        <f t="shared" si="30"/>
        <v/>
      </c>
      <c r="K115" s="56" t="str">
        <f t="shared" si="31"/>
        <v/>
      </c>
      <c r="L115" s="56" t="str">
        <f t="shared" si="32"/>
        <v/>
      </c>
      <c r="M115" s="56" t="str">
        <f t="shared" si="36"/>
        <v/>
      </c>
      <c r="N115" s="56" t="str">
        <f t="shared" si="33"/>
        <v/>
      </c>
      <c r="O115" s="57" t="str">
        <f t="shared" si="37"/>
        <v/>
      </c>
      <c r="P115" s="57" t="str">
        <f t="shared" si="34"/>
        <v/>
      </c>
      <c r="Q115" s="57" t="str">
        <f t="shared" si="35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29"/>
        <v/>
      </c>
      <c r="J116" s="55" t="str">
        <f t="shared" si="30"/>
        <v/>
      </c>
      <c r="K116" s="56" t="str">
        <f t="shared" si="31"/>
        <v/>
      </c>
      <c r="L116" s="56" t="str">
        <f t="shared" si="32"/>
        <v/>
      </c>
      <c r="M116" s="56" t="str">
        <f t="shared" si="36"/>
        <v/>
      </c>
      <c r="N116" s="56" t="str">
        <f t="shared" si="33"/>
        <v/>
      </c>
      <c r="O116" s="57" t="str">
        <f t="shared" si="37"/>
        <v/>
      </c>
      <c r="P116" s="57" t="str">
        <f t="shared" si="34"/>
        <v/>
      </c>
      <c r="Q116" s="57" t="str">
        <f t="shared" si="35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29"/>
        <v/>
      </c>
      <c r="J117" s="55" t="str">
        <f t="shared" si="30"/>
        <v/>
      </c>
      <c r="K117" s="56" t="str">
        <f t="shared" si="31"/>
        <v/>
      </c>
      <c r="L117" s="56" t="str">
        <f t="shared" si="32"/>
        <v/>
      </c>
      <c r="M117" s="56" t="str">
        <f t="shared" si="36"/>
        <v/>
      </c>
      <c r="N117" s="56" t="str">
        <f t="shared" si="33"/>
        <v/>
      </c>
      <c r="O117" s="57" t="str">
        <f t="shared" si="37"/>
        <v/>
      </c>
      <c r="P117" s="57" t="str">
        <f t="shared" si="34"/>
        <v/>
      </c>
      <c r="Q117" s="57" t="str">
        <f t="shared" si="35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29"/>
        <v/>
      </c>
      <c r="J118" s="55" t="str">
        <f t="shared" si="30"/>
        <v/>
      </c>
      <c r="K118" s="56" t="str">
        <f t="shared" si="31"/>
        <v/>
      </c>
      <c r="L118" s="56" t="str">
        <f t="shared" si="32"/>
        <v/>
      </c>
      <c r="M118" s="56" t="str">
        <f t="shared" si="36"/>
        <v/>
      </c>
      <c r="N118" s="56" t="str">
        <f t="shared" si="33"/>
        <v/>
      </c>
      <c r="O118" s="57" t="str">
        <f t="shared" si="37"/>
        <v/>
      </c>
      <c r="P118" s="57" t="str">
        <f t="shared" si="34"/>
        <v/>
      </c>
      <c r="Q118" s="57" t="str">
        <f t="shared" si="35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29"/>
        <v/>
      </c>
      <c r="J119" s="55" t="str">
        <f t="shared" si="30"/>
        <v/>
      </c>
      <c r="K119" s="56" t="str">
        <f t="shared" si="31"/>
        <v/>
      </c>
      <c r="L119" s="56" t="str">
        <f t="shared" si="32"/>
        <v/>
      </c>
      <c r="M119" s="56" t="str">
        <f t="shared" si="36"/>
        <v/>
      </c>
      <c r="N119" s="56" t="str">
        <f t="shared" si="33"/>
        <v/>
      </c>
      <c r="O119" s="57" t="str">
        <f t="shared" si="37"/>
        <v/>
      </c>
      <c r="P119" s="57" t="str">
        <f t="shared" si="34"/>
        <v/>
      </c>
      <c r="Q119" s="57" t="str">
        <f t="shared" si="35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29"/>
        <v/>
      </c>
      <c r="J120" s="55" t="str">
        <f t="shared" si="30"/>
        <v/>
      </c>
      <c r="K120" s="56" t="str">
        <f t="shared" si="31"/>
        <v/>
      </c>
      <c r="L120" s="56" t="str">
        <f t="shared" si="32"/>
        <v/>
      </c>
      <c r="M120" s="56" t="str">
        <f t="shared" si="36"/>
        <v/>
      </c>
      <c r="N120" s="56" t="str">
        <f t="shared" si="33"/>
        <v/>
      </c>
      <c r="O120" s="57" t="str">
        <f t="shared" si="37"/>
        <v/>
      </c>
      <c r="P120" s="57" t="str">
        <f t="shared" si="34"/>
        <v/>
      </c>
      <c r="Q120" s="57" t="str">
        <f t="shared" si="35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29"/>
        <v/>
      </c>
      <c r="J121" s="55" t="str">
        <f t="shared" si="30"/>
        <v/>
      </c>
      <c r="K121" s="56" t="str">
        <f t="shared" si="31"/>
        <v/>
      </c>
      <c r="L121" s="56" t="str">
        <f t="shared" si="32"/>
        <v/>
      </c>
      <c r="M121" s="56" t="str">
        <f t="shared" si="36"/>
        <v/>
      </c>
      <c r="N121" s="56" t="str">
        <f t="shared" si="33"/>
        <v/>
      </c>
      <c r="O121" s="57" t="str">
        <f t="shared" si="37"/>
        <v/>
      </c>
      <c r="P121" s="57" t="str">
        <f t="shared" si="34"/>
        <v/>
      </c>
      <c r="Q121" s="57" t="str">
        <f t="shared" si="35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29"/>
        <v/>
      </c>
      <c r="J122" s="55" t="str">
        <f t="shared" si="30"/>
        <v/>
      </c>
      <c r="K122" s="56" t="str">
        <f t="shared" si="31"/>
        <v/>
      </c>
      <c r="L122" s="56" t="str">
        <f t="shared" si="32"/>
        <v/>
      </c>
      <c r="M122" s="56" t="str">
        <f t="shared" si="36"/>
        <v/>
      </c>
      <c r="N122" s="56" t="str">
        <f t="shared" si="33"/>
        <v/>
      </c>
      <c r="O122" s="57" t="str">
        <f t="shared" si="37"/>
        <v/>
      </c>
      <c r="P122" s="57" t="str">
        <f t="shared" si="34"/>
        <v/>
      </c>
      <c r="Q122" s="57" t="str">
        <f t="shared" si="35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8">IF(D123=0,"",LOG($K$15*10^D123+$K$16*10^E123+$K$14))</f>
        <v/>
      </c>
      <c r="J123" s="55" t="str">
        <f t="shared" ref="J123:J127" si="39">IF(D123=0,"",LOG($K$21*10^D123+$K$22*10^E123+$K$20))</f>
        <v/>
      </c>
      <c r="K123" s="56" t="str">
        <f t="shared" ref="K123:K127" si="40">IF(D123=0,"",1/(1+10^D123*$J$15/$J$14+10^E123*$J$16/$J$14+10^J123*$J$19/$J$14))</f>
        <v/>
      </c>
      <c r="L123" s="56" t="str">
        <f t="shared" ref="L123:L127" si="41">IF(D123=0,"",1/(1+10^I123/10^J123*$J$13/$J$19))</f>
        <v/>
      </c>
      <c r="M123" s="56" t="str">
        <f t="shared" si="36"/>
        <v/>
      </c>
      <c r="N123" s="56" t="str">
        <f t="shared" ref="N123:N127" si="42">IF(D123=0,"",1/(1/10^E123*$J$20/$J$22+10^D123/10^E123*$J$21/$J$22+10^I123/10^E123*$J$13/$J$22+1))</f>
        <v/>
      </c>
      <c r="O123" s="57" t="str">
        <f t="shared" si="37"/>
        <v/>
      </c>
      <c r="P123" s="57" t="str">
        <f t="shared" ref="P123:P127" si="43">IF(D123=0,"",O123*10^J123)</f>
        <v/>
      </c>
      <c r="Q123" s="57" t="str">
        <f t="shared" ref="Q123:Q127" si="44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38"/>
        <v/>
      </c>
      <c r="J124" s="55" t="str">
        <f t="shared" si="39"/>
        <v/>
      </c>
      <c r="K124" s="56" t="str">
        <f t="shared" si="40"/>
        <v/>
      </c>
      <c r="L124" s="56" t="str">
        <f t="shared" si="41"/>
        <v/>
      </c>
      <c r="M124" s="56" t="str">
        <f t="shared" si="36"/>
        <v/>
      </c>
      <c r="N124" s="56" t="str">
        <f t="shared" si="42"/>
        <v/>
      </c>
      <c r="O124" s="57" t="str">
        <f t="shared" si="37"/>
        <v/>
      </c>
      <c r="P124" s="57" t="str">
        <f t="shared" si="43"/>
        <v/>
      </c>
      <c r="Q124" s="57" t="str">
        <f t="shared" si="44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38"/>
        <v/>
      </c>
      <c r="J125" s="55" t="str">
        <f t="shared" si="39"/>
        <v/>
      </c>
      <c r="K125" s="56" t="str">
        <f t="shared" si="40"/>
        <v/>
      </c>
      <c r="L125" s="56" t="str">
        <f t="shared" si="41"/>
        <v/>
      </c>
      <c r="M125" s="56" t="str">
        <f t="shared" si="36"/>
        <v/>
      </c>
      <c r="N125" s="56" t="str">
        <f t="shared" si="42"/>
        <v/>
      </c>
      <c r="O125" s="57" t="str">
        <f t="shared" si="37"/>
        <v/>
      </c>
      <c r="P125" s="57" t="str">
        <f t="shared" si="43"/>
        <v/>
      </c>
      <c r="Q125" s="57" t="str">
        <f t="shared" si="44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38"/>
        <v/>
      </c>
      <c r="J126" s="55" t="str">
        <f t="shared" si="39"/>
        <v/>
      </c>
      <c r="K126" s="56" t="str">
        <f t="shared" si="40"/>
        <v/>
      </c>
      <c r="L126" s="56" t="str">
        <f t="shared" si="41"/>
        <v/>
      </c>
      <c r="M126" s="56" t="str">
        <f t="shared" si="36"/>
        <v/>
      </c>
      <c r="N126" s="56" t="str">
        <f t="shared" si="42"/>
        <v/>
      </c>
      <c r="O126" s="57" t="str">
        <f t="shared" si="37"/>
        <v/>
      </c>
      <c r="P126" s="57" t="str">
        <f t="shared" si="43"/>
        <v/>
      </c>
      <c r="Q126" s="57" t="str">
        <f t="shared" si="44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38"/>
        <v/>
      </c>
      <c r="J127" s="55" t="str">
        <f t="shared" si="39"/>
        <v/>
      </c>
      <c r="K127" s="56" t="str">
        <f t="shared" si="40"/>
        <v/>
      </c>
      <c r="L127" s="56" t="str">
        <f t="shared" si="41"/>
        <v/>
      </c>
      <c r="M127" s="56" t="str">
        <f t="shared" si="36"/>
        <v/>
      </c>
      <c r="N127" s="56" t="str">
        <f t="shared" si="42"/>
        <v/>
      </c>
      <c r="O127" s="57" t="str">
        <f t="shared" si="37"/>
        <v/>
      </c>
      <c r="P127" s="57" t="str">
        <f t="shared" si="43"/>
        <v/>
      </c>
      <c r="Q127" s="57" t="str">
        <f t="shared" si="44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74</v>
      </c>
      <c r="C128" s="49"/>
      <c r="D128" s="49"/>
      <c r="E128" s="49"/>
      <c r="F128" s="49"/>
      <c r="G128" s="7"/>
      <c r="H128" s="7"/>
      <c r="I128" s="82" t="s">
        <v>74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2024-11-23T21:30:00Z</dcterms:modified>
</cp:coreProperties>
</file>