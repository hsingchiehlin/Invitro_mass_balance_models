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model comparison_update_based reviewer\Validation_Unilever\"/>
    </mc:Choice>
  </mc:AlternateContent>
  <xr:revisionPtr revIDLastSave="0" documentId="13_ncr:1_{A4EFEDE4-1B33-4FC1-9E56-D1F0CEF8B453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4" l="1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C16" i="4" l="1"/>
  <c r="J21" i="4" l="1"/>
  <c r="J20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 s="1"/>
  <c r="O87" i="4" s="1"/>
  <c r="P87" i="4" s="1"/>
  <c r="J122" i="4"/>
  <c r="K122" i="4"/>
  <c r="J117" i="4"/>
  <c r="K117" i="4"/>
  <c r="J120" i="4"/>
  <c r="K120" i="4"/>
  <c r="J101" i="4"/>
  <c r="K101" i="4"/>
  <c r="J86" i="4"/>
  <c r="K86" i="4" s="1"/>
  <c r="O86" i="4" s="1"/>
  <c r="P86" i="4" s="1"/>
  <c r="J85" i="4"/>
  <c r="K85" i="4" s="1"/>
  <c r="O85" i="4" s="1"/>
  <c r="P85" i="4" s="1"/>
  <c r="J88" i="4"/>
  <c r="K88" i="4"/>
  <c r="O88" i="4" s="1"/>
  <c r="P88" i="4" s="1"/>
  <c r="J119" i="4"/>
  <c r="K119" i="4"/>
  <c r="J72" i="4"/>
  <c r="K72" i="4"/>
  <c r="J103" i="4"/>
  <c r="K103" i="4"/>
  <c r="J118" i="4"/>
  <c r="K118" i="4"/>
  <c r="J104" i="4"/>
  <c r="K104" i="4"/>
  <c r="J90" i="4"/>
  <c r="K90" i="4"/>
  <c r="O90" i="4" s="1"/>
  <c r="P90" i="4" s="1"/>
  <c r="J71" i="4"/>
  <c r="K71" i="4"/>
  <c r="J110" i="4"/>
  <c r="K110" i="4"/>
  <c r="J82" i="4"/>
  <c r="K82" i="4" s="1"/>
  <c r="O82" i="4" s="1"/>
  <c r="P82" i="4" s="1"/>
  <c r="J113" i="4"/>
  <c r="K113" i="4"/>
  <c r="J97" i="4"/>
  <c r="K97" i="4" s="1"/>
  <c r="O97" i="4" s="1"/>
  <c r="P97" i="4" s="1"/>
  <c r="J81" i="4"/>
  <c r="K81" i="4"/>
  <c r="O81" i="4" s="1"/>
  <c r="P81" i="4" s="1"/>
  <c r="J116" i="4"/>
  <c r="K116" i="4"/>
  <c r="J100" i="4"/>
  <c r="K100" i="4"/>
  <c r="O100" i="4"/>
  <c r="J84" i="4"/>
  <c r="K84" i="4" s="1"/>
  <c r="O84" i="4" s="1"/>
  <c r="P84" i="4" s="1"/>
  <c r="J114" i="4"/>
  <c r="K114" i="4"/>
  <c r="J78" i="4"/>
  <c r="K78" i="4"/>
  <c r="O78" i="4" s="1"/>
  <c r="P78" i="4" s="1"/>
  <c r="J115" i="4"/>
  <c r="K115" i="4"/>
  <c r="O115" i="4"/>
  <c r="J99" i="4"/>
  <c r="K99" i="4"/>
  <c r="O99" i="4" s="1"/>
  <c r="P99" i="4" s="1"/>
  <c r="J83" i="4"/>
  <c r="K83" i="4" s="1"/>
  <c r="O83" i="4" s="1"/>
  <c r="P83" i="4" s="1"/>
  <c r="J102" i="4"/>
  <c r="K102" i="4"/>
  <c r="J74" i="4"/>
  <c r="K74" i="4" s="1"/>
  <c r="O74" i="4" s="1"/>
  <c r="P74" i="4" s="1"/>
  <c r="J125" i="4"/>
  <c r="K125" i="4"/>
  <c r="J109" i="4"/>
  <c r="K109" i="4"/>
  <c r="J93" i="4"/>
  <c r="K93" i="4"/>
  <c r="O93" i="4" s="1"/>
  <c r="P93" i="4" s="1"/>
  <c r="J77" i="4"/>
  <c r="K77" i="4" s="1"/>
  <c r="O77" i="4" s="1"/>
  <c r="P77" i="4" s="1"/>
  <c r="J112" i="4"/>
  <c r="K112" i="4"/>
  <c r="J96" i="4"/>
  <c r="K96" i="4" s="1"/>
  <c r="O96" i="4" s="1"/>
  <c r="P96" i="4" s="1"/>
  <c r="J80" i="4"/>
  <c r="K80" i="4"/>
  <c r="J106" i="4"/>
  <c r="K106" i="4"/>
  <c r="J127" i="4"/>
  <c r="K127" i="4"/>
  <c r="J111" i="4"/>
  <c r="K111" i="4"/>
  <c r="J95" i="4"/>
  <c r="K95" i="4" s="1"/>
  <c r="O95" i="4" s="1"/>
  <c r="P95" i="4" s="1"/>
  <c r="J79" i="4"/>
  <c r="K79" i="4" s="1"/>
  <c r="O79" i="4" s="1"/>
  <c r="P79" i="4" s="1"/>
  <c r="J126" i="4"/>
  <c r="K126" i="4"/>
  <c r="J94" i="4"/>
  <c r="K94" i="4"/>
  <c r="J121" i="4"/>
  <c r="K121" i="4"/>
  <c r="J105" i="4"/>
  <c r="K105" i="4"/>
  <c r="J89" i="4"/>
  <c r="K89" i="4" s="1"/>
  <c r="O89" i="4" s="1"/>
  <c r="P89" i="4" s="1"/>
  <c r="J73" i="4"/>
  <c r="K73" i="4" s="1"/>
  <c r="O73" i="4" s="1"/>
  <c r="P73" i="4" s="1"/>
  <c r="J124" i="4"/>
  <c r="K124" i="4"/>
  <c r="J108" i="4"/>
  <c r="K108" i="4"/>
  <c r="J92" i="4"/>
  <c r="K92" i="4"/>
  <c r="O92" i="4" s="1"/>
  <c r="P92" i="4" s="1"/>
  <c r="J76" i="4"/>
  <c r="L76" i="4" s="1"/>
  <c r="M76" i="4" s="1"/>
  <c r="J98" i="4"/>
  <c r="K98" i="4" s="1"/>
  <c r="O98" i="4" s="1"/>
  <c r="P98" i="4" s="1"/>
  <c r="J123" i="4"/>
  <c r="K123" i="4"/>
  <c r="J107" i="4"/>
  <c r="K107" i="4"/>
  <c r="J91" i="4"/>
  <c r="K91" i="4"/>
  <c r="J75" i="4"/>
  <c r="K75" i="4"/>
  <c r="P100" i="4"/>
  <c r="P115" i="4"/>
  <c r="O107" i="4"/>
  <c r="P107" i="4"/>
  <c r="O112" i="4"/>
  <c r="P112" i="4"/>
  <c r="O75" i="4"/>
  <c r="P75" i="4" s="1"/>
  <c r="O108" i="4"/>
  <c r="P108" i="4"/>
  <c r="O105" i="4"/>
  <c r="P105" i="4"/>
  <c r="O126" i="4"/>
  <c r="P126" i="4"/>
  <c r="O111" i="4"/>
  <c r="P111" i="4"/>
  <c r="O80" i="4"/>
  <c r="P80" i="4" s="1"/>
  <c r="O104" i="4"/>
  <c r="P104" i="4"/>
  <c r="O120" i="4"/>
  <c r="P120" i="4"/>
  <c r="O91" i="4"/>
  <c r="P91" i="4"/>
  <c r="O124" i="4"/>
  <c r="P124" i="4"/>
  <c r="O121" i="4"/>
  <c r="P121" i="4"/>
  <c r="O127" i="4"/>
  <c r="P127" i="4"/>
  <c r="O102" i="4"/>
  <c r="P102" i="4"/>
  <c r="O110" i="4"/>
  <c r="P110" i="4"/>
  <c r="O118" i="4"/>
  <c r="P118" i="4"/>
  <c r="O117" i="4"/>
  <c r="P117" i="4"/>
  <c r="O106" i="4"/>
  <c r="P106" i="4"/>
  <c r="O109" i="4"/>
  <c r="P109" i="4"/>
  <c r="O114" i="4"/>
  <c r="P114" i="4"/>
  <c r="O116" i="4"/>
  <c r="P116" i="4"/>
  <c r="O113" i="4"/>
  <c r="P113" i="4"/>
  <c r="O71" i="4"/>
  <c r="P71" i="4" s="1"/>
  <c r="O103" i="4"/>
  <c r="P103" i="4"/>
  <c r="O119" i="4"/>
  <c r="P119" i="4"/>
  <c r="O122" i="4"/>
  <c r="P122" i="4"/>
  <c r="O123" i="4"/>
  <c r="P123" i="4"/>
  <c r="O94" i="4"/>
  <c r="P94" i="4"/>
  <c r="O125" i="4"/>
  <c r="P125" i="4"/>
  <c r="O72" i="4"/>
  <c r="P72" i="4" s="1"/>
  <c r="O101" i="4"/>
  <c r="P101" i="4"/>
  <c r="I76" i="4"/>
  <c r="I77" i="4"/>
  <c r="I81" i="4"/>
  <c r="I89" i="4"/>
  <c r="L89" i="4" s="1"/>
  <c r="M89" i="4" s="1"/>
  <c r="I90" i="4"/>
  <c r="L90" i="4" s="1"/>
  <c r="M90" i="4" s="1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N71" i="4" s="1"/>
  <c r="Q71" i="4" s="1"/>
  <c r="I75" i="4"/>
  <c r="I80" i="4"/>
  <c r="I83" i="4"/>
  <c r="L83" i="4" s="1"/>
  <c r="M83" i="4" s="1"/>
  <c r="I86" i="4"/>
  <c r="L86" i="4" s="1"/>
  <c r="M86" i="4" s="1"/>
  <c r="I88" i="4"/>
  <c r="N88" i="4" s="1"/>
  <c r="Q88" i="4" s="1"/>
  <c r="I94" i="4"/>
  <c r="I95" i="4"/>
  <c r="I98" i="4"/>
  <c r="N98" i="4" s="1"/>
  <c r="Q98" i="4" s="1"/>
  <c r="I101" i="4"/>
  <c r="I118" i="4"/>
  <c r="I127" i="4"/>
  <c r="I73" i="4"/>
  <c r="N73" i="4" s="1"/>
  <c r="Q73" i="4" s="1"/>
  <c r="I74" i="4"/>
  <c r="I78" i="4"/>
  <c r="I82" i="4"/>
  <c r="L82" i="4" s="1"/>
  <c r="M82" i="4" s="1"/>
  <c r="I85" i="4"/>
  <c r="L85" i="4" s="1"/>
  <c r="M85" i="4" s="1"/>
  <c r="I93" i="4"/>
  <c r="N93" i="4" s="1"/>
  <c r="Q93" i="4" s="1"/>
  <c r="I112" i="4"/>
  <c r="I114" i="4"/>
  <c r="I121" i="4"/>
  <c r="I122" i="4"/>
  <c r="I84" i="4"/>
  <c r="N84" i="4" s="1"/>
  <c r="Q84" i="4" s="1"/>
  <c r="I87" i="4"/>
  <c r="L87" i="4" s="1"/>
  <c r="M87" i="4" s="1"/>
  <c r="I91" i="4"/>
  <c r="N91" i="4" s="1"/>
  <c r="Q91" i="4" s="1"/>
  <c r="I97" i="4"/>
  <c r="I105" i="4"/>
  <c r="I116" i="4"/>
  <c r="I126" i="4"/>
  <c r="L105" i="4"/>
  <c r="N105" i="4"/>
  <c r="Q105" i="4"/>
  <c r="L84" i="4"/>
  <c r="M84" i="4" s="1"/>
  <c r="N121" i="4"/>
  <c r="Q121" i="4"/>
  <c r="L121" i="4"/>
  <c r="N101" i="4"/>
  <c r="Q101" i="4"/>
  <c r="L101" i="4"/>
  <c r="N75" i="4"/>
  <c r="Q75" i="4"/>
  <c r="L75" i="4"/>
  <c r="M75" i="4" s="1"/>
  <c r="L106" i="4"/>
  <c r="N106" i="4"/>
  <c r="Q106" i="4"/>
  <c r="L124" i="4"/>
  <c r="N124" i="4"/>
  <c r="Q124" i="4"/>
  <c r="N107" i="4"/>
  <c r="Q107" i="4"/>
  <c r="L107" i="4"/>
  <c r="N79" i="4"/>
  <c r="Q79" i="4"/>
  <c r="L79" i="4"/>
  <c r="M79" i="4" s="1"/>
  <c r="N119" i="4"/>
  <c r="Q119" i="4"/>
  <c r="L119" i="4"/>
  <c r="N108" i="4"/>
  <c r="Q108" i="4"/>
  <c r="L108" i="4"/>
  <c r="L96" i="4"/>
  <c r="M96" i="4" s="1"/>
  <c r="N96" i="4"/>
  <c r="Q96" i="4" s="1"/>
  <c r="N77" i="4"/>
  <c r="Q77" i="4"/>
  <c r="L77" i="4"/>
  <c r="M77" i="4" s="1"/>
  <c r="L97" i="4"/>
  <c r="M97" i="4" s="1"/>
  <c r="N97" i="4"/>
  <c r="Q97" i="4" s="1"/>
  <c r="N114" i="4"/>
  <c r="Q114" i="4"/>
  <c r="L114" i="4"/>
  <c r="N82" i="4"/>
  <c r="Q82" i="4" s="1"/>
  <c r="L98" i="4"/>
  <c r="M98" i="4" s="1"/>
  <c r="L72" i="4"/>
  <c r="M72" i="4" s="1"/>
  <c r="N72" i="4"/>
  <c r="Q72" i="4" s="1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 s="1"/>
  <c r="N76" i="4"/>
  <c r="Q76" i="4" s="1"/>
  <c r="N126" i="4"/>
  <c r="Q126" i="4"/>
  <c r="L126" i="4"/>
  <c r="L91" i="4"/>
  <c r="M91" i="4" s="1"/>
  <c r="L112" i="4"/>
  <c r="N112" i="4"/>
  <c r="Q112" i="4"/>
  <c r="L78" i="4"/>
  <c r="M78" i="4" s="1"/>
  <c r="N78" i="4"/>
  <c r="Q78" i="4" s="1"/>
  <c r="L127" i="4"/>
  <c r="N127" i="4"/>
  <c r="Q127" i="4"/>
  <c r="N95" i="4"/>
  <c r="Q95" i="4"/>
  <c r="L95" i="4"/>
  <c r="M95" i="4" s="1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N116" i="4"/>
  <c r="Q116" i="4"/>
  <c r="L116" i="4"/>
  <c r="N87" i="4"/>
  <c r="Q87" i="4" s="1"/>
  <c r="N122" i="4"/>
  <c r="Q122" i="4"/>
  <c r="L122" i="4"/>
  <c r="N74" i="4"/>
  <c r="Q74" i="4"/>
  <c r="L74" i="4"/>
  <c r="M74" i="4" s="1"/>
  <c r="N118" i="4"/>
  <c r="Q118" i="4"/>
  <c r="L118" i="4"/>
  <c r="L94" i="4"/>
  <c r="M94" i="4" s="1"/>
  <c r="N94" i="4"/>
  <c r="Q94" i="4" s="1"/>
  <c r="L80" i="4"/>
  <c r="M80" i="4" s="1"/>
  <c r="N80" i="4"/>
  <c r="Q80" i="4" s="1"/>
  <c r="N109" i="4"/>
  <c r="Q109" i="4"/>
  <c r="L109" i="4"/>
  <c r="L92" i="4"/>
  <c r="M92" i="4" s="1"/>
  <c r="N92" i="4"/>
  <c r="Q92" i="4" s="1"/>
  <c r="N120" i="4"/>
  <c r="Q120" i="4"/>
  <c r="L120" i="4"/>
  <c r="N111" i="4"/>
  <c r="Q111" i="4"/>
  <c r="L111" i="4"/>
  <c r="N99" i="4"/>
  <c r="Q99" i="4"/>
  <c r="L99" i="4"/>
  <c r="M99" i="4" s="1"/>
  <c r="L81" i="4"/>
  <c r="M81" i="4" s="1"/>
  <c r="N81" i="4"/>
  <c r="Q81" i="4" s="1"/>
  <c r="N86" i="4" l="1"/>
  <c r="Q86" i="4" s="1"/>
  <c r="L73" i="4"/>
  <c r="M73" i="4" s="1"/>
  <c r="K76" i="4"/>
  <c r="O76" i="4" s="1"/>
  <c r="P76" i="4" s="1"/>
  <c r="N85" i="4"/>
  <c r="Q85" i="4" s="1"/>
  <c r="L93" i="4"/>
  <c r="M93" i="4" s="1"/>
  <c r="L88" i="4"/>
  <c r="M88" i="4" s="1"/>
  <c r="L71" i="4"/>
  <c r="M71" i="4" s="1"/>
  <c r="J14" i="4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J36" i="4"/>
  <c r="K36" i="4" s="1"/>
  <c r="O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J56" i="4"/>
  <c r="K56" i="4" s="1"/>
  <c r="O56" i="4" s="1"/>
  <c r="P56" i="4" s="1"/>
  <c r="J46" i="4"/>
  <c r="K46" i="4" s="1"/>
  <c r="O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J40" i="4"/>
  <c r="K40" i="4" s="1"/>
  <c r="O40" i="4" s="1"/>
  <c r="P40" i="4" s="1"/>
  <c r="J54" i="4"/>
  <c r="K54" i="4" s="1"/>
  <c r="O54" i="4" s="1"/>
  <c r="J43" i="4"/>
  <c r="K43" i="4" s="1"/>
  <c r="O43" i="4" s="1"/>
  <c r="J57" i="4"/>
  <c r="K57" i="4" s="1"/>
  <c r="O57" i="4" s="1"/>
  <c r="P57" i="4" s="1"/>
  <c r="J53" i="4"/>
  <c r="K53" i="4" s="1"/>
  <c r="O53" i="4" s="1"/>
  <c r="J49" i="4"/>
  <c r="K49" i="4" s="1"/>
  <c r="O49" i="4" s="1"/>
  <c r="J41" i="4"/>
  <c r="K41" i="4" s="1"/>
  <c r="O41" i="4" s="1"/>
  <c r="J59" i="4"/>
  <c r="K59" i="4" s="1"/>
  <c r="O59" i="4" s="1"/>
  <c r="P59" i="4" s="1"/>
  <c r="J50" i="4"/>
  <c r="K50" i="4" s="1"/>
  <c r="O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I28" i="4"/>
  <c r="N28" i="4" s="1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54" i="4" l="1"/>
  <c r="P37" i="4"/>
  <c r="P47" i="4"/>
  <c r="P41" i="4"/>
  <c r="P46" i="4"/>
  <c r="P36" i="4"/>
  <c r="P53" i="4"/>
  <c r="P38" i="4"/>
  <c r="P43" i="4"/>
  <c r="P50" i="4"/>
  <c r="P49" i="4"/>
  <c r="P42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P32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<sst xmlns="http://schemas.openxmlformats.org/spreadsheetml/2006/main" count="223" uniqueCount="140">
  <si>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</si>
  <si>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</si>
  <si>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</si>
  <si>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</si>
  <si>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</si>
  <si>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</si>
  <si>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</si>
  <si>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</si>
  <si>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</si>
  <si>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</si>
  <si>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</si>
  <si>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</si>
  <si>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</si>
  <si>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</si>
  <si>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</si>
  <si>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</si>
  <si>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</si>
  <si>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</si>
  <si>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</si>
  <si>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</si>
  <si>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</si>
  <si>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</si>
  <si>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</si>
  <si>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</si>
  <si>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</si>
  <si>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</si>
  <si>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</si>
  <si>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</si>
  <si>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</si>
  <si>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</si>
  <si>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</si>
  <si>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</si>
  <si>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</si>
  <si>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</si>
  <si>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</si>
  <si>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</si>
  <si>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</si>
  <si>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</si>
  <si>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</si>
  <si>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</si>
  <si>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</si>
  <si>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</si>
  <si>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</si>
  <si>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</si>
  <si>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</si>
  <si>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</si>
  <si>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</si>
  <si>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</si>
  <si>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</si>
  <si>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</si>
  <si>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</si>
  <si>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</si>
  <si>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</si>
  <si>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</si>
  <si>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</si>
  <si>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</si>
  <si>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</si>
  <si>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</si>
  <si>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</si>
  <si>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</si>
  <si>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</si>
  <si>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</si>
  <si>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</si>
  <si>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</si>
  <si>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</si>
  <si>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</si>
  <si>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</si>
  <si>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</si>
  <si>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</si>
  <si>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</si>
  <si>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</si>
  <si>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</si>
  <si>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</si>
  <si>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</si>
  <si>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</si>
  <si>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</si>
  <si>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</si>
  <si>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</si>
  <si>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</si>
  <si>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</si>
  <si>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</si>
  <si>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</si>
  <si>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</si>
  <si>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</si>
  <si>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</si>
  <si>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</si>
  <si>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</si>
  <si>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Chlorpyrifos</t>
  </si>
  <si>
    <t>2921-88-2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</si>
  <si>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</si>
  <si>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</si>
  <si>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</si>
  <si>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</si>
  <si>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</si>
  <si>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</si>
  <si>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</si>
  <si>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</si>
  <si>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</si>
  <si>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</si>
  <si>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</si>
  <si>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</si>
  <si>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</si>
  <si>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</si>
  <si>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</si>
  <si>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</si>
  <si>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</si>
  <si>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</si>
  <si>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</si>
  <si>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</si>
  <si>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</si>
  <si>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</si>
  <si>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</si>
  <si>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</si>
  <si>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</si>
  <si>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</si>
  <si>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Ibuprofen</t>
  </si>
  <si>
    <t>15687-27-1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</si>
  <si>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</si>
  <si>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</si>
  <si>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</si>
  <si>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</si>
  <si>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</si>
  <si>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</si>
  <si>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</si>
  <si>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</si>
  <si>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</si>
  <si>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</si>
  <si>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</si>
  <si>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</si>
  <si>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</si>
  <si>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</si>
  <si>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</si>
  <si>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</si>
  <si>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</si>
  <si>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</si>
  <si>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</si>
  <si>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</si>
  <si>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Warfarin</t>
  </si>
  <si>
    <t>129-06-6</t>
  </si>
  <si>
    <t>HepRG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</si>
</sst>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00000"/>
    <numFmt numFmtId="178" formatCode="0.00000000000"/>
    <numFmt numFmtId="179" formatCode="0.0%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2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7" t="s">
        <v>59</v>
      </c>
      <c r="C2" s="98"/>
      <c r="D2" s="98"/>
      <c r="E2" s="98"/>
      <c r="F2" s="98"/>
      <c r="G2" s="98"/>
      <c r="H2" s="99"/>
      <c r="I2" s="7"/>
      <c r="J2" s="88" t="s">
        <v>58</v>
      </c>
      <c r="K2" s="89"/>
      <c r="L2" s="89"/>
      <c r="M2" s="89"/>
      <c r="N2" s="89"/>
      <c r="O2" s="90"/>
      <c r="P2" s="7"/>
      <c r="Q2" s="88" t="s">
        <v>60</v>
      </c>
      <c r="R2" s="89"/>
      <c r="S2" s="89"/>
      <c r="T2" s="89"/>
      <c r="U2" s="89"/>
      <c r="V2" s="90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1"/>
      <c r="K3" s="92"/>
      <c r="L3" s="92"/>
      <c r="M3" s="92"/>
      <c r="N3" s="92"/>
      <c r="O3" s="93"/>
      <c r="P3" s="7"/>
      <c r="Q3" s="91"/>
      <c r="R3" s="92"/>
      <c r="S3" s="92"/>
      <c r="T3" s="92"/>
      <c r="U3" s="92"/>
      <c r="V3" s="93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4"/>
      <c r="K4" s="95"/>
      <c r="L4" s="95"/>
      <c r="M4" s="95"/>
      <c r="N4" s="95"/>
      <c r="O4" s="96"/>
      <c r="P4" s="7"/>
      <c r="Q4" s="94"/>
      <c r="R4" s="95"/>
      <c r="S4" s="95"/>
      <c r="T4" s="95"/>
      <c r="U4" s="95"/>
      <c r="V4" s="96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37" zoomScale="90" zoomScaleNormal="90" workbookViewId="0">
      <selection activeCell="R28" sqref="R28:R57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25"/>
      <c r="H1" s="12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25"/>
      <c r="H2" s="125"/>
      <c r="I2" s="138" t="s">
        <v>20</v>
      </c>
      <c r="J2" s="139"/>
      <c r="K2" s="139"/>
      <c r="L2" s="139"/>
      <c r="M2" s="139"/>
      <c r="N2" s="139"/>
      <c r="O2" s="139"/>
      <c r="P2" s="139"/>
      <c r="Q2" s="14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25"/>
      <c r="H3" s="125"/>
      <c r="I3" s="141"/>
      <c r="J3" s="142"/>
      <c r="K3" s="142"/>
      <c r="L3" s="142"/>
      <c r="M3" s="142"/>
      <c r="N3" s="142"/>
      <c r="O3" s="142"/>
      <c r="P3" s="142"/>
      <c r="Q3" s="14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25"/>
      <c r="H4" s="125"/>
      <c r="I4" s="144"/>
      <c r="J4" s="145"/>
      <c r="K4" s="145"/>
      <c r="L4" s="145"/>
      <c r="M4" s="145"/>
      <c r="N4" s="145"/>
      <c r="O4" s="145"/>
      <c r="P4" s="145"/>
      <c r="Q4" s="14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25"/>
      <c r="H5" s="125"/>
      <c r="I5" s="147" t="s">
        <v>40</v>
      </c>
      <c r="J5" s="148"/>
      <c r="K5" s="148"/>
      <c r="L5" s="148"/>
      <c r="M5" s="148"/>
      <c r="N5" s="148"/>
      <c r="O5" s="148"/>
      <c r="P5" s="148"/>
      <c r="Q5" s="14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25"/>
      <c r="H6" s="125"/>
      <c r="I6" s="50" t="s">
        <v>51</v>
      </c>
      <c r="J6" s="50" t="s">
        <v>52</v>
      </c>
      <c r="K6" s="50" t="s">
        <v>48</v>
      </c>
      <c r="L6" s="117" t="s">
        <v>41</v>
      </c>
      <c r="M6" s="118"/>
      <c r="N6" s="118"/>
      <c r="O6" s="118"/>
      <c r="P6" s="118"/>
      <c r="Q6" s="119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25"/>
      <c r="H7" s="125"/>
      <c r="I7" s="51" t="s">
        <v>21</v>
      </c>
      <c r="J7" s="38">
        <f>SUM(J13,J19)</f>
        <v>300</v>
      </c>
      <c r="K7" s="39">
        <f>J7/J7</f>
        <v>1</v>
      </c>
      <c r="L7" s="100" t="s">
        <v>70</v>
      </c>
      <c r="M7" s="101"/>
      <c r="N7" s="101"/>
      <c r="O7" s="101"/>
      <c r="P7" s="101"/>
      <c r="Q7" s="102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63" t="s">
        <v>3</v>
      </c>
      <c r="C8" s="164"/>
      <c r="D8" s="164"/>
      <c r="E8" s="164"/>
      <c r="F8" s="165"/>
      <c r="G8" s="125"/>
      <c r="H8" s="125"/>
      <c r="I8" s="52" t="s">
        <v>6</v>
      </c>
      <c r="J8" s="38">
        <f>SUM(J14,J20)</f>
        <v>298.3571299734748</v>
      </c>
      <c r="K8" s="40">
        <f>J8/J7</f>
        <v>0.99452376657824937</v>
      </c>
      <c r="L8" s="100" t="s">
        <v>71</v>
      </c>
      <c r="M8" s="101"/>
      <c r="N8" s="101"/>
      <c r="O8" s="101"/>
      <c r="P8" s="101"/>
      <c r="Q8" s="102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66"/>
      <c r="C9" s="167"/>
      <c r="D9" s="167"/>
      <c r="E9" s="167"/>
      <c r="F9" s="168"/>
      <c r="G9" s="125"/>
      <c r="H9" s="125"/>
      <c r="I9" s="51" t="s">
        <v>8</v>
      </c>
      <c r="J9" s="41">
        <f t="shared" ref="J9:J10" si="0">SUM(J15,J21)</f>
        <v>1.595395225464191</v>
      </c>
      <c r="K9" s="40">
        <f>J9/J7</f>
        <v>5.3179840848806368E-3</v>
      </c>
      <c r="L9" s="100" t="s">
        <v>71</v>
      </c>
      <c r="M9" s="101"/>
      <c r="N9" s="101"/>
      <c r="O9" s="101"/>
      <c r="P9" s="101"/>
      <c r="Q9" s="102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69"/>
      <c r="C10" s="170"/>
      <c r="D10" s="170"/>
      <c r="E10" s="170"/>
      <c r="F10" s="171"/>
      <c r="G10" s="125"/>
      <c r="H10" s="125"/>
      <c r="I10" s="52" t="s">
        <v>9</v>
      </c>
      <c r="J10" s="41">
        <f t="shared" si="0"/>
        <v>4.747480106100796E-2</v>
      </c>
      <c r="K10" s="40">
        <f>J10/J7</f>
        <v>1.5824933687002654E-4</v>
      </c>
      <c r="L10" s="100" t="s">
        <v>71</v>
      </c>
      <c r="M10" s="101"/>
      <c r="N10" s="101"/>
      <c r="O10" s="101"/>
      <c r="P10" s="101"/>
      <c r="Q10" s="102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28" t="s">
        <v>38</v>
      </c>
      <c r="C11" s="129"/>
      <c r="D11" s="129"/>
      <c r="E11" s="129"/>
      <c r="F11" s="130"/>
      <c r="G11" s="125"/>
      <c r="H11" s="125"/>
      <c r="I11" s="116"/>
      <c r="J11" s="116"/>
      <c r="K11" s="116"/>
      <c r="L11" s="116"/>
      <c r="M11" s="116"/>
      <c r="N11" s="116"/>
      <c r="O11" s="116"/>
      <c r="P11" s="116"/>
      <c r="Q11" s="11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1"/>
      <c r="C12" s="132"/>
      <c r="D12" s="132"/>
      <c r="E12" s="132"/>
      <c r="F12" s="133"/>
      <c r="G12" s="125"/>
      <c r="H12" s="125"/>
      <c r="I12" s="50" t="s">
        <v>53</v>
      </c>
      <c r="J12" s="50" t="s">
        <v>52</v>
      </c>
      <c r="K12" s="50" t="s">
        <v>48</v>
      </c>
      <c r="L12" s="117" t="s">
        <v>41</v>
      </c>
      <c r="M12" s="118"/>
      <c r="N12" s="118"/>
      <c r="O12" s="118"/>
      <c r="P12" s="118"/>
      <c r="Q12" s="119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0" t="s">
        <v>4</v>
      </c>
      <c r="C13" s="121"/>
      <c r="D13" s="153" t="s">
        <v>41</v>
      </c>
      <c r="E13" s="153"/>
      <c r="F13" s="153"/>
      <c r="G13" s="125"/>
      <c r="H13" s="125"/>
      <c r="I13" s="51" t="s">
        <v>5</v>
      </c>
      <c r="J13" s="42">
        <f>SUM(J14:J16)</f>
        <v>300</v>
      </c>
      <c r="K13" s="39">
        <f>J13/J13</f>
        <v>1</v>
      </c>
      <c r="L13" s="100" t="s">
        <v>73</v>
      </c>
      <c r="M13" s="101"/>
      <c r="N13" s="101"/>
      <c r="O13" s="101"/>
      <c r="P13" s="101"/>
      <c r="Q13" s="10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54" t="s">
        <v>18</v>
      </c>
      <c r="E14" s="154"/>
      <c r="F14" s="154"/>
      <c r="G14" s="125"/>
      <c r="H14" s="125"/>
      <c r="I14" s="52" t="s">
        <v>45</v>
      </c>
      <c r="J14" s="42">
        <f>C14-SUM(J15:J16)</f>
        <v>298.3571299734748</v>
      </c>
      <c r="K14" s="40">
        <f>J14/J13</f>
        <v>0.99452376657824937</v>
      </c>
      <c r="L14" s="122" t="s">
        <v>72</v>
      </c>
      <c r="M14" s="123"/>
      <c r="N14" s="123"/>
      <c r="O14" s="123"/>
      <c r="P14" s="123"/>
      <c r="Q14" s="12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55" t="s">
        <v>62</v>
      </c>
      <c r="E15" s="155"/>
      <c r="F15" s="155"/>
      <c r="G15" s="125"/>
      <c r="H15" s="125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1.595395225464191</v>
      </c>
      <c r="K15" s="40">
        <f>J15/J13</f>
        <v>5.3179840848806368E-3</v>
      </c>
      <c r="L15" s="100" t="s">
        <v>71</v>
      </c>
      <c r="M15" s="101"/>
      <c r="N15" s="101"/>
      <c r="O15" s="101"/>
      <c r="P15" s="101"/>
      <c r="Q15" s="10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f>1-C18</f>
        <v>0.89920424403183019</v>
      </c>
      <c r="D16" s="156" t="s">
        <v>42</v>
      </c>
      <c r="E16" s="157"/>
      <c r="F16" s="158"/>
      <c r="G16" s="125"/>
      <c r="H16" s="125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4.747480106100796E-2</v>
      </c>
      <c r="K16" s="40">
        <f>J16/J13</f>
        <v>1.5824933687002654E-4</v>
      </c>
      <c r="L16" s="100" t="s">
        <v>71</v>
      </c>
      <c r="M16" s="101"/>
      <c r="N16" s="101"/>
      <c r="O16" s="101"/>
      <c r="P16" s="101"/>
      <c r="Q16" s="102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59" t="s">
        <v>63</v>
      </c>
      <c r="E17" s="160"/>
      <c r="F17" s="161"/>
      <c r="G17" s="125"/>
      <c r="H17" s="125"/>
      <c r="I17" s="122"/>
      <c r="J17" s="123"/>
      <c r="K17" s="123"/>
      <c r="L17" s="123"/>
      <c r="M17" s="123"/>
      <c r="N17" s="123"/>
      <c r="O17" s="123"/>
      <c r="P17" s="123"/>
      <c r="Q17" s="12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0.10079575596816977</v>
      </c>
      <c r="D18" s="156" t="s">
        <v>43</v>
      </c>
      <c r="E18" s="157"/>
      <c r="F18" s="158"/>
      <c r="G18" s="125"/>
      <c r="H18" s="125"/>
      <c r="I18" s="50" t="s">
        <v>31</v>
      </c>
      <c r="J18" s="50" t="s">
        <v>52</v>
      </c>
      <c r="K18" s="50" t="s">
        <v>48</v>
      </c>
      <c r="L18" s="117" t="s">
        <v>41</v>
      </c>
      <c r="M18" s="118"/>
      <c r="N18" s="118"/>
      <c r="O18" s="118"/>
      <c r="P18" s="118"/>
      <c r="Q18" s="119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55"/>
      <c r="C19" s="155"/>
      <c r="D19" s="155"/>
      <c r="E19" s="155"/>
      <c r="F19" s="155"/>
      <c r="G19" s="125"/>
      <c r="H19" s="125"/>
      <c r="I19" s="51" t="s">
        <v>5</v>
      </c>
      <c r="J19" s="42">
        <f>SUM(J20:J22)</f>
        <v>3.9136960000000006E-36</v>
      </c>
      <c r="K19" s="39">
        <f>J19/J19</f>
        <v>1</v>
      </c>
      <c r="L19" s="100" t="s">
        <v>57</v>
      </c>
      <c r="M19" s="101"/>
      <c r="N19" s="101"/>
      <c r="O19" s="101"/>
      <c r="P19" s="101"/>
      <c r="Q19" s="102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0" t="s">
        <v>7</v>
      </c>
      <c r="C20" s="121"/>
      <c r="D20" s="153" t="s">
        <v>41</v>
      </c>
      <c r="E20" s="153"/>
      <c r="F20" s="153"/>
      <c r="G20" s="125"/>
      <c r="H20" s="125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3.4600840000000007E-36</v>
      </c>
      <c r="K20" s="40">
        <f>J20/J19</f>
        <v>0.88409626092573368</v>
      </c>
      <c r="L20" s="100" t="s">
        <v>71</v>
      </c>
      <c r="M20" s="101"/>
      <c r="N20" s="101"/>
      <c r="O20" s="101"/>
      <c r="P20" s="101"/>
      <c r="Q20" s="102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139</v>
      </c>
      <c r="D21" s="159" t="s">
        <v>63</v>
      </c>
      <c r="E21" s="160"/>
      <c r="F21" s="161"/>
      <c r="G21" s="125"/>
      <c r="H21" s="125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3.6563600000000008E-37</v>
      </c>
      <c r="K21" s="40">
        <f>J21/J19</f>
        <v>9.3424732018020817E-2</v>
      </c>
      <c r="L21" s="100" t="s">
        <v>71</v>
      </c>
      <c r="M21" s="101"/>
      <c r="N21" s="101"/>
      <c r="O21" s="101"/>
      <c r="P21" s="101"/>
      <c r="Q21" s="102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62" t="s">
        <v>69</v>
      </c>
      <c r="E22" s="162"/>
      <c r="F22" s="162"/>
      <c r="G22" s="125"/>
      <c r="H22" s="125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8.7976000000000012E-38</v>
      </c>
      <c r="K22" s="40">
        <f>J22/J19</f>
        <v>2.2479007056245552E-2</v>
      </c>
      <c r="L22" s="100" t="s">
        <v>71</v>
      </c>
      <c r="M22" s="101"/>
      <c r="N22" s="101"/>
      <c r="O22" s="101"/>
      <c r="P22" s="101"/>
      <c r="Q22" s="102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50"/>
      <c r="C23" s="151"/>
      <c r="D23" s="151"/>
      <c r="E23" s="151"/>
      <c r="F23" s="152"/>
      <c r="G23" s="125"/>
      <c r="H23" s="125"/>
      <c r="I23" s="111"/>
      <c r="J23" s="112"/>
      <c r="K23" s="112"/>
      <c r="L23" s="112"/>
      <c r="M23" s="112"/>
      <c r="N23" s="112"/>
      <c r="O23" s="112"/>
      <c r="P23" s="112"/>
      <c r="Q23" s="113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28" t="s">
        <v>39</v>
      </c>
      <c r="C24" s="129"/>
      <c r="D24" s="129"/>
      <c r="E24" s="129"/>
      <c r="F24" s="130"/>
      <c r="G24" s="125"/>
      <c r="H24" s="125"/>
      <c r="I24" s="105" t="s">
        <v>44</v>
      </c>
      <c r="J24" s="106"/>
      <c r="K24" s="106"/>
      <c r="L24" s="106"/>
      <c r="M24" s="106"/>
      <c r="N24" s="106"/>
      <c r="O24" s="106"/>
      <c r="P24" s="106"/>
      <c r="Q24" s="10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1"/>
      <c r="C25" s="132"/>
      <c r="D25" s="132"/>
      <c r="E25" s="132"/>
      <c r="F25" s="133"/>
      <c r="G25" s="125"/>
      <c r="H25" s="125"/>
      <c r="I25" s="108"/>
      <c r="J25" s="109"/>
      <c r="K25" s="109"/>
      <c r="L25" s="109"/>
      <c r="M25" s="109"/>
      <c r="N25" s="109"/>
      <c r="O25" s="109"/>
      <c r="P25" s="109"/>
      <c r="Q25" s="110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26" t="s">
        <v>11</v>
      </c>
      <c r="C26" s="126" t="s">
        <v>12</v>
      </c>
      <c r="D26" s="134" t="s">
        <v>49</v>
      </c>
      <c r="E26" s="134" t="s">
        <v>50</v>
      </c>
      <c r="F26" s="136" t="s">
        <v>68</v>
      </c>
      <c r="G26" s="125"/>
      <c r="H26" s="125"/>
      <c r="I26" s="114" t="s">
        <v>55</v>
      </c>
      <c r="J26" s="114" t="s">
        <v>56</v>
      </c>
      <c r="K26" s="103" t="s">
        <v>76</v>
      </c>
      <c r="L26" s="103" t="s">
        <v>54</v>
      </c>
      <c r="M26" s="103" t="s">
        <v>61</v>
      </c>
      <c r="N26" s="103" t="s">
        <v>64</v>
      </c>
      <c r="O26" s="103" t="s">
        <v>75</v>
      </c>
      <c r="P26" s="103" t="s">
        <v>66</v>
      </c>
      <c r="Q26" s="103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27"/>
      <c r="C27" s="127"/>
      <c r="D27" s="135"/>
      <c r="E27" s="135"/>
      <c r="F27" s="137"/>
      <c r="G27" s="125"/>
      <c r="H27" s="125"/>
      <c r="I27" s="115"/>
      <c r="J27" s="115"/>
      <c r="K27" s="104"/>
      <c r="L27" s="104"/>
      <c r="M27" s="104"/>
      <c r="N27" s="104"/>
      <c r="O27" s="104"/>
      <c r="P27" s="104"/>
      <c r="Q27" s="10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-0.1223633442417989</v>
      </c>
      <c r="E28" s="48">
        <v>-0.65153095448481257</v>
      </c>
      <c r="F28" s="58">
        <v>1.0000000000000001E-5</v>
      </c>
      <c r="G28" s="125"/>
      <c r="H28" s="125"/>
      <c r="I28" s="55">
        <f t="shared" ref="I28:I47" si="1">IF(D28=0,"",LOG($K$15*10^D28+$K$16*10^E28+$K$14))</f>
        <v>-6.2092895899633685E-4</v>
      </c>
      <c r="J28" s="55">
        <f t="shared" ref="J28:J47" si="2">IF(D28=0,"",LOG($K$21*10^D28+$K$22*10^E28+$K$20))</f>
        <v>-1.7911449240931149E-2</v>
      </c>
      <c r="K28" s="56">
        <f t="shared" ref="K28:K47" si="3">IF(D28=0,"",1/(1+10^D28*$J$15/$J$14+10^E28*$J$16/$J$14+10^J28*$J$19/$J$14))</f>
        <v>0.99594669571161965</v>
      </c>
      <c r="L28" s="56">
        <f t="shared" ref="L28:L47" si="4">IF(D28=0,"",1/(1+10^I28/10^J28*$J$13/$J$19))</f>
        <v>1.2536471375943667E-38</v>
      </c>
      <c r="M28" s="56">
        <f t="shared" ref="M28:M47" si="5">IF(D28=0,"",1-L28)</f>
        <v>1</v>
      </c>
      <c r="N28" s="56">
        <f t="shared" ref="N28:N47" si="6">IF(D28=0,"",1/(1/10^E28*$J$20/$J$22+10^D28/10^E28*$J$21/$J$22+10^I28/10^E28*$J$13/$J$22+1))</f>
        <v>6.5513821305467143E-41</v>
      </c>
      <c r="O28" s="57">
        <f t="shared" ref="O28:O47" si="7">IF(D28=0,"",F28*K28*$J$7/$J$14)</f>
        <v>1.0014307643328285E-5</v>
      </c>
      <c r="P28" s="57">
        <f t="shared" ref="P28:P47" si="8">IF(D28=0,"",O28*10^J28)</f>
        <v>9.6096922519866151E-6</v>
      </c>
      <c r="Q28" s="57">
        <f t="shared" ref="Q28:Q47" si="9">IF(D28=0,"",F28*N28*$J$7/$J$22)</f>
        <v>2.2340350085978156E-6</v>
      </c>
      <c r="R28" s="9">
        <f>O28/F28</f>
        <v>1.0014307643328284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87" t="s">
        <v>81</v>
      </c>
      <c r="C29" s="47" t="s">
        <v>82</v>
      </c>
      <c r="D29" s="48">
        <v>1.8253520000000001</v>
      </c>
      <c r="E29" s="48">
        <v>2.0793489999999997</v>
      </c>
      <c r="F29" s="58">
        <v>1.0000000000000001E-5</v>
      </c>
      <c r="G29" s="125"/>
      <c r="H29" s="125"/>
      <c r="I29" s="55">
        <f t="shared" si="1"/>
        <v>0.13647749932435757</v>
      </c>
      <c r="J29" s="55">
        <f t="shared" si="2"/>
        <v>0.99262717207612505</v>
      </c>
      <c r="K29" s="56">
        <f t="shared" si="3"/>
        <v>0.72633616188126371</v>
      </c>
      <c r="L29" s="56">
        <f t="shared" si="4"/>
        <v>9.3673232327335039E-38</v>
      </c>
      <c r="M29" s="56">
        <f t="shared" si="5"/>
        <v>1</v>
      </c>
      <c r="N29" s="56">
        <f t="shared" si="6"/>
        <v>2.5710732980266424E-38</v>
      </c>
      <c r="O29" s="57">
        <f t="shared" si="7"/>
        <v>7.3033565037896504E-6</v>
      </c>
      <c r="P29" s="57">
        <f t="shared" si="8"/>
        <v>7.1804171039857224E-5</v>
      </c>
      <c r="Q29" s="57">
        <f t="shared" si="9"/>
        <v>8.7674137197416642E-4</v>
      </c>
      <c r="R29" s="9">
        <f t="shared" ref="R29:R57" si="10">O29/F29</f>
        <v>0.73033565037896497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7" t="s">
        <v>83</v>
      </c>
      <c r="C30" s="47" t="s">
        <v>84</v>
      </c>
      <c r="D30" s="48">
        <v>2.848199987724402</v>
      </c>
      <c r="E30" s="48">
        <v>3.5741999825375301</v>
      </c>
      <c r="F30" s="58">
        <v>1.0000000000000001E-5</v>
      </c>
      <c r="G30" s="125"/>
      <c r="H30" s="125"/>
      <c r="I30" s="55">
        <f t="shared" si="1"/>
        <v>0.72733479513716004</v>
      </c>
      <c r="J30" s="55">
        <f t="shared" si="2"/>
        <v>2.1792047088105391</v>
      </c>
      <c r="K30" s="86">
        <f t="shared" si="3"/>
        <v>0.18632896473248875</v>
      </c>
      <c r="L30" s="56">
        <f t="shared" si="4"/>
        <v>3.69262960592219E-37</v>
      </c>
      <c r="M30" s="56">
        <f t="shared" si="5"/>
        <v>1</v>
      </c>
      <c r="N30" s="56">
        <f t="shared" si="6"/>
        <v>2.0611430996366476E-37</v>
      </c>
      <c r="O30" s="57">
        <f t="shared" si="7"/>
        <v>1.8735496424944248E-6</v>
      </c>
      <c r="P30" s="57">
        <f t="shared" si="8"/>
        <v>2.8305440222660557E-4</v>
      </c>
      <c r="Q30" s="57">
        <f t="shared" si="9"/>
        <v>7.0285410781462474E-3</v>
      </c>
      <c r="R30" s="9">
        <f t="shared" si="10"/>
        <v>0.18735496424944245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>
        <v>-0.98996462433878363</v>
      </c>
      <c r="E31" s="48">
        <v>-1.885724324763622</v>
      </c>
      <c r="F31" s="58">
        <v>1.0000000000000001E-5</v>
      </c>
      <c r="G31" s="125"/>
      <c r="H31" s="125"/>
      <c r="I31" s="55">
        <f t="shared" si="1"/>
        <v>-2.1463428094334056E-3</v>
      </c>
      <c r="J31" s="55">
        <f t="shared" si="2"/>
        <v>-4.8686976382071145E-2</v>
      </c>
      <c r="K31" s="56">
        <f t="shared" si="3"/>
        <v>0.99945100475420556</v>
      </c>
      <c r="L31" s="56">
        <f t="shared" si="4"/>
        <v>1.1719934920763741E-38</v>
      </c>
      <c r="M31" s="56">
        <f t="shared" si="5"/>
        <v>1</v>
      </c>
      <c r="N31" s="56">
        <f t="shared" si="6"/>
        <v>3.8341135914917693E-42</v>
      </c>
      <c r="O31" s="57">
        <f t="shared" si="7"/>
        <v>1.0049543694595745E-5</v>
      </c>
      <c r="P31" s="57">
        <f t="shared" si="8"/>
        <v>8.9837853431363123E-6</v>
      </c>
      <c r="Q31" s="57">
        <f t="shared" si="9"/>
        <v>1.307440753668649E-7</v>
      </c>
      <c r="R31" s="9">
        <f t="shared" si="10"/>
        <v>1.0049543694595744</v>
      </c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>
        <v>3.3511520000000004</v>
      </c>
      <c r="E32" s="48">
        <v>4.2962190000000007</v>
      </c>
      <c r="F32" s="58">
        <v>1.0000000000000001E-5</v>
      </c>
      <c r="G32" s="125"/>
      <c r="H32" s="125"/>
      <c r="I32" s="55">
        <f t="shared" si="1"/>
        <v>1.205792825575362</v>
      </c>
      <c r="J32" s="55">
        <f t="shared" si="2"/>
        <v>2.8163863803871312</v>
      </c>
      <c r="K32" s="56">
        <f t="shared" si="3"/>
        <v>6.191877284044519E-2</v>
      </c>
      <c r="L32" s="56">
        <f t="shared" si="4"/>
        <v>5.321810284825154E-37</v>
      </c>
      <c r="M32" s="56">
        <f t="shared" si="5"/>
        <v>1</v>
      </c>
      <c r="N32" s="56">
        <f t="shared" si="6"/>
        <v>3.6113462656333656E-37</v>
      </c>
      <c r="O32" s="57">
        <f t="shared" si="7"/>
        <v>6.2259721608747917E-7</v>
      </c>
      <c r="P32" s="57">
        <f t="shared" si="8"/>
        <v>4.0793742933726765E-4</v>
      </c>
      <c r="Q32" s="57">
        <f t="shared" si="9"/>
        <v>1.2314766296376393E-2</v>
      </c>
      <c r="R32" s="9">
        <f t="shared" si="10"/>
        <v>6.225972160874791E-2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>
        <v>-7.2373500000194575</v>
      </c>
      <c r="E33" s="48">
        <v>-10.772850000027681</v>
      </c>
      <c r="F33" s="58">
        <v>1.0000000000000001E-5</v>
      </c>
      <c r="G33" s="125"/>
      <c r="H33" s="125"/>
      <c r="I33" s="55">
        <f t="shared" si="1"/>
        <v>-2.38483375204565E-3</v>
      </c>
      <c r="J33" s="55">
        <f t="shared" si="2"/>
        <v>-5.3500443514237071E-2</v>
      </c>
      <c r="K33" s="56">
        <f t="shared" si="3"/>
        <v>0.99999999969041098</v>
      </c>
      <c r="L33" s="56">
        <f t="shared" si="4"/>
        <v>1.1597121947133718E-38</v>
      </c>
      <c r="M33" s="56">
        <f t="shared" si="5"/>
        <v>1</v>
      </c>
      <c r="N33" s="56">
        <f t="shared" si="6"/>
        <v>4.9748248044425739E-51</v>
      </c>
      <c r="O33" s="57">
        <f t="shared" si="7"/>
        <v>1.0055063873747364E-5</v>
      </c>
      <c r="P33" s="57">
        <f t="shared" si="8"/>
        <v>8.8896444285404792E-6</v>
      </c>
      <c r="Q33" s="57">
        <f t="shared" si="9"/>
        <v>1.6964256630589845E-16</v>
      </c>
      <c r="R33" s="9">
        <f t="shared" si="10"/>
        <v>1.0055063873747363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>
        <v>0.89837073464087869</v>
      </c>
      <c r="E34" s="48">
        <v>0.80049921406660218</v>
      </c>
      <c r="F34" s="58">
        <v>1.0000000000000001E-5</v>
      </c>
      <c r="G34" s="125"/>
      <c r="H34" s="125"/>
      <c r="I34" s="55">
        <f t="shared" si="1"/>
        <v>1.6033091379554689E-2</v>
      </c>
      <c r="J34" s="55">
        <f t="shared" si="2"/>
        <v>0.24684621561358433</v>
      </c>
      <c r="K34" s="56">
        <f t="shared" si="3"/>
        <v>0.95847783622330018</v>
      </c>
      <c r="L34" s="56">
        <f t="shared" si="4"/>
        <v>2.2196216790399494E-38</v>
      </c>
      <c r="M34" s="56">
        <f t="shared" si="5"/>
        <v>1</v>
      </c>
      <c r="N34" s="56">
        <f t="shared" si="6"/>
        <v>1.7852912646800246E-39</v>
      </c>
      <c r="O34" s="57">
        <f t="shared" si="7"/>
        <v>9.6375558677801308E-6</v>
      </c>
      <c r="P34" s="57">
        <f t="shared" si="8"/>
        <v>1.7014262316541322E-5</v>
      </c>
      <c r="Q34" s="57">
        <f t="shared" si="9"/>
        <v>6.0878805515596E-5</v>
      </c>
      <c r="R34" s="9">
        <f t="shared" si="10"/>
        <v>0.96375558677801298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>
        <v>5.1201999877244022</v>
      </c>
      <c r="E35" s="48">
        <v>6.8061999825375299</v>
      </c>
      <c r="F35" s="58">
        <v>1.0000000000000001E-5</v>
      </c>
      <c r="G35" s="125"/>
      <c r="H35" s="125"/>
      <c r="I35" s="55">
        <f t="shared" si="1"/>
        <v>3.2343164583424695</v>
      </c>
      <c r="J35" s="55">
        <f t="shared" si="2"/>
        <v>5.1936660384397202</v>
      </c>
      <c r="K35" s="56">
        <f t="shared" si="3"/>
        <v>5.7982736460576007E-4</v>
      </c>
      <c r="L35" s="56">
        <f t="shared" si="4"/>
        <v>1.1879971910413874E-36</v>
      </c>
      <c r="M35" s="56">
        <f t="shared" si="5"/>
        <v>1</v>
      </c>
      <c r="N35" s="56">
        <f t="shared" si="6"/>
        <v>1.0942750104682087E-36</v>
      </c>
      <c r="O35" s="57">
        <f t="shared" si="7"/>
        <v>5.8302011886624859E-9</v>
      </c>
      <c r="P35" s="57">
        <f t="shared" si="8"/>
        <v>9.1064599118688937E-4</v>
      </c>
      <c r="Q35" s="57">
        <f t="shared" si="9"/>
        <v>3.7315006722340477E-2</v>
      </c>
      <c r="R35" s="9">
        <f t="shared" si="10"/>
        <v>5.8302011886624851E-4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>
        <v>1.6430320000000003</v>
      </c>
      <c r="E36" s="48">
        <v>1.9699289999999996</v>
      </c>
      <c r="F36" s="58">
        <v>1.0000000000000001E-5</v>
      </c>
      <c r="G36" s="125"/>
      <c r="H36" s="125"/>
      <c r="I36" s="55">
        <f t="shared" si="1"/>
        <v>9.4490273200873776E-2</v>
      </c>
      <c r="J36" s="55">
        <f t="shared" si="2"/>
        <v>0.85054360152384245</v>
      </c>
      <c r="K36" s="86">
        <f t="shared" si="3"/>
        <v>0.8000643016661515</v>
      </c>
      <c r="L36" s="56">
        <f t="shared" si="4"/>
        <v>7.4390788499659386E-38</v>
      </c>
      <c r="M36" s="56">
        <f t="shared" si="5"/>
        <v>1</v>
      </c>
      <c r="N36" s="56">
        <f t="shared" si="6"/>
        <v>2.2013124210301922E-38</v>
      </c>
      <c r="O36" s="57">
        <f t="shared" si="7"/>
        <v>8.0446976588487838E-6</v>
      </c>
      <c r="P36" s="57">
        <f t="shared" si="8"/>
        <v>5.7023428876176942E-5</v>
      </c>
      <c r="Q36" s="57">
        <f t="shared" si="9"/>
        <v>7.5065213957108481E-4</v>
      </c>
      <c r="R36" s="9">
        <f t="shared" si="10"/>
        <v>0.80446976588487829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>
        <v>1.9888079999999992</v>
      </c>
      <c r="E37" s="48">
        <v>1.7269960000000002</v>
      </c>
      <c r="F37" s="58">
        <v>1.0000000000000001E-5</v>
      </c>
      <c r="G37" s="125"/>
      <c r="H37" s="125"/>
      <c r="I37" s="55">
        <f t="shared" si="1"/>
        <v>0.18219557821644855</v>
      </c>
      <c r="J37" s="55">
        <f t="shared" si="2"/>
        <v>1.0487430475844253</v>
      </c>
      <c r="K37" s="56">
        <f t="shared" si="3"/>
        <v>0.65376187105460315</v>
      </c>
      <c r="L37" s="56">
        <f t="shared" si="4"/>
        <v>9.5943001975501094E-38</v>
      </c>
      <c r="M37" s="56">
        <f t="shared" si="5"/>
        <v>1</v>
      </c>
      <c r="N37" s="56">
        <f t="shared" si="6"/>
        <v>1.0281189857295004E-38</v>
      </c>
      <c r="O37" s="57">
        <f t="shared" si="7"/>
        <v>6.5736173737097427E-6</v>
      </c>
      <c r="P37" s="57">
        <f t="shared" si="8"/>
        <v>7.3544037637696791E-5</v>
      </c>
      <c r="Q37" s="57">
        <f t="shared" si="9"/>
        <v>3.5059072442353604E-4</v>
      </c>
      <c r="R37" s="9">
        <f t="shared" si="10"/>
        <v>0.65736173737097425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>
        <v>0.57692000000000121</v>
      </c>
      <c r="E38" s="48">
        <v>0.1355349999999973</v>
      </c>
      <c r="F38" s="58">
        <v>1.0000000000000001E-5</v>
      </c>
      <c r="G38" s="125"/>
      <c r="H38" s="125"/>
      <c r="I38" s="55">
        <f t="shared" si="1"/>
        <v>6.3870952141755781E-3</v>
      </c>
      <c r="J38" s="55">
        <f t="shared" si="2"/>
        <v>0.10294432946993946</v>
      </c>
      <c r="K38" s="56">
        <f t="shared" si="3"/>
        <v>0.98000450226117841</v>
      </c>
      <c r="L38" s="56">
        <f t="shared" si="4"/>
        <v>1.6293825764465145E-38</v>
      </c>
      <c r="M38" s="56">
        <f t="shared" si="5"/>
        <v>1</v>
      </c>
      <c r="N38" s="56">
        <f t="shared" si="6"/>
        <v>3.9481247079449561E-40</v>
      </c>
      <c r="O38" s="57">
        <f t="shared" si="7"/>
        <v>9.8540078698468344E-6</v>
      </c>
      <c r="P38" s="57">
        <f t="shared" si="8"/>
        <v>1.2489850334158664E-5</v>
      </c>
      <c r="Q38" s="57">
        <f t="shared" si="9"/>
        <v>1.3463187828310979E-5</v>
      </c>
      <c r="R38" s="9">
        <f t="shared" si="10"/>
        <v>0.98540078698468336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>
        <v>4.3320999877244022</v>
      </c>
      <c r="E39" s="48">
        <v>5.6850999825375297</v>
      </c>
      <c r="F39" s="58">
        <v>1.0000000000000001E-5</v>
      </c>
      <c r="G39" s="125"/>
      <c r="H39" s="125"/>
      <c r="I39" s="55">
        <f t="shared" si="1"/>
        <v>2.2830290403350468</v>
      </c>
      <c r="J39" s="55">
        <f t="shared" si="2"/>
        <v>4.1103934248091365</v>
      </c>
      <c r="K39" s="56">
        <f t="shared" si="3"/>
        <v>5.183058680549182E-3</v>
      </c>
      <c r="L39" s="56">
        <f t="shared" si="4"/>
        <v>8.7665803595652168E-37</v>
      </c>
      <c r="M39" s="56">
        <f t="shared" si="5"/>
        <v>1</v>
      </c>
      <c r="N39" s="56">
        <f t="shared" si="6"/>
        <v>7.4014004047284845E-37</v>
      </c>
      <c r="O39" s="57">
        <f t="shared" si="7"/>
        <v>5.2115986110437298E-8</v>
      </c>
      <c r="P39" s="57">
        <f t="shared" si="8"/>
        <v>6.7199243576137918E-4</v>
      </c>
      <c r="Q39" s="57">
        <f t="shared" si="9"/>
        <v>2.5238930178895894E-2</v>
      </c>
      <c r="R39" s="9">
        <f t="shared" si="10"/>
        <v>5.2115986110437291E-3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>
        <v>2.713299987724402</v>
      </c>
      <c r="E40" s="48">
        <v>3.3822999825375302</v>
      </c>
      <c r="F40" s="58">
        <v>1.0000000000000001E-5</v>
      </c>
      <c r="G40" s="125"/>
      <c r="H40" s="125"/>
      <c r="I40" s="55">
        <f t="shared" si="1"/>
        <v>0.61535497616766821</v>
      </c>
      <c r="J40" s="55">
        <f t="shared" si="2"/>
        <v>2.0144079910299482</v>
      </c>
      <c r="K40" s="56">
        <f t="shared" si="3"/>
        <v>0.24113496584831146</v>
      </c>
      <c r="L40" s="56">
        <f t="shared" si="4"/>
        <v>3.2697823750520026E-37</v>
      </c>
      <c r="M40" s="56">
        <f t="shared" si="5"/>
        <v>1</v>
      </c>
      <c r="N40" s="56">
        <f t="shared" si="6"/>
        <v>1.7146992729043089E-37</v>
      </c>
      <c r="O40" s="57">
        <f t="shared" si="7"/>
        <v>2.424627484549299E-6</v>
      </c>
      <c r="P40" s="57">
        <f t="shared" si="8"/>
        <v>2.5064151955481488E-4</v>
      </c>
      <c r="Q40" s="57">
        <f t="shared" si="9"/>
        <v>5.8471603831873765E-3</v>
      </c>
      <c r="R40" s="9">
        <f t="shared" si="10"/>
        <v>0.24246274845492988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105</v>
      </c>
      <c r="C41" s="47" t="s">
        <v>106</v>
      </c>
      <c r="D41" s="48">
        <v>3.598704000000001</v>
      </c>
      <c r="E41" s="48">
        <v>4.3131730000000008</v>
      </c>
      <c r="F41" s="58">
        <v>1.0000000000000001E-5</v>
      </c>
      <c r="G41" s="125"/>
      <c r="H41" s="125"/>
      <c r="I41" s="55">
        <f t="shared" si="1"/>
        <v>1.4041054944130613</v>
      </c>
      <c r="J41" s="55">
        <f t="shared" si="2"/>
        <v>2.9211839291051609</v>
      </c>
      <c r="K41" s="56">
        <f t="shared" si="3"/>
        <v>3.9220188053725367E-2</v>
      </c>
      <c r="L41" s="56">
        <f t="shared" si="4"/>
        <v>4.2908592446688025E-37</v>
      </c>
      <c r="M41" s="56">
        <f t="shared" si="5"/>
        <v>1</v>
      </c>
      <c r="N41" s="56">
        <f t="shared" si="6"/>
        <v>2.3785400194364081E-37</v>
      </c>
      <c r="O41" s="57">
        <f t="shared" si="7"/>
        <v>3.9436149614268182E-7</v>
      </c>
      <c r="P41" s="57">
        <f t="shared" si="8"/>
        <v>3.2891102768345853E-4</v>
      </c>
      <c r="Q41" s="57">
        <f t="shared" si="9"/>
        <v>8.1108712129549249E-3</v>
      </c>
      <c r="R41" s="9">
        <f t="shared" si="10"/>
        <v>3.9436149614268182E-2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107</v>
      </c>
      <c r="C42" s="47" t="s">
        <v>108</v>
      </c>
      <c r="D42" s="48">
        <v>-1.2627122753537208</v>
      </c>
      <c r="E42" s="48">
        <v>-2.2737174621228986</v>
      </c>
      <c r="F42" s="58">
        <v>1.0000000000000001E-5</v>
      </c>
      <c r="G42" s="125"/>
      <c r="H42" s="125"/>
      <c r="I42" s="55">
        <f t="shared" si="1"/>
        <v>-2.2576598370427073E-3</v>
      </c>
      <c r="J42" s="55">
        <f t="shared" si="2"/>
        <v>-5.0942888713472134E-2</v>
      </c>
      <c r="K42" s="56">
        <f t="shared" si="3"/>
        <v>0.99970721379975491</v>
      </c>
      <c r="L42" s="56">
        <f t="shared" si="4"/>
        <v>1.166220321585951E-38</v>
      </c>
      <c r="M42" s="56">
        <f t="shared" si="5"/>
        <v>1</v>
      </c>
      <c r="N42" s="56">
        <f t="shared" si="6"/>
        <v>1.5695789116662759E-42</v>
      </c>
      <c r="O42" s="57">
        <f t="shared" si="7"/>
        <v>1.0052119892914574E-5</v>
      </c>
      <c r="P42" s="57">
        <f t="shared" si="8"/>
        <v>8.9395317489090943E-6</v>
      </c>
      <c r="Q42" s="57">
        <f t="shared" si="9"/>
        <v>5.3522969162030867E-8</v>
      </c>
      <c r="R42" s="9">
        <f t="shared" si="10"/>
        <v>1.0052119892914573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87" t="s">
        <v>109</v>
      </c>
      <c r="C43" s="47" t="s">
        <v>110</v>
      </c>
      <c r="D43" s="48">
        <v>2.1582748772295566</v>
      </c>
      <c r="E43" s="48">
        <v>2.5927572197209185</v>
      </c>
      <c r="F43" s="58">
        <v>1.0000000000000001E-5</v>
      </c>
      <c r="G43" s="125"/>
      <c r="H43" s="125"/>
      <c r="I43" s="55">
        <f t="shared" si="1"/>
        <v>0.26057631865908987</v>
      </c>
      <c r="J43" s="55">
        <f t="shared" si="2"/>
        <v>1.3642805972747696</v>
      </c>
      <c r="K43" s="56">
        <f t="shared" si="3"/>
        <v>0.54580668108038899</v>
      </c>
      <c r="L43" s="56">
        <f t="shared" si="4"/>
        <v>1.6564186523571383E-37</v>
      </c>
      <c r="M43" s="56">
        <f t="shared" si="5"/>
        <v>1</v>
      </c>
      <c r="N43" s="56">
        <f t="shared" si="6"/>
        <v>6.301208619159645E-38</v>
      </c>
      <c r="O43" s="57">
        <f t="shared" si="7"/>
        <v>5.4881210426804299E-6</v>
      </c>
      <c r="P43" s="57">
        <f t="shared" si="8"/>
        <v>1.2697092357381396E-4</v>
      </c>
      <c r="Q43" s="57">
        <f t="shared" si="9"/>
        <v>2.1487253179820554E-3</v>
      </c>
      <c r="R43" s="9">
        <f t="shared" si="10"/>
        <v>0.54881210426804294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87" t="s">
        <v>111</v>
      </c>
      <c r="C44" s="47" t="s">
        <v>112</v>
      </c>
      <c r="D44" s="48">
        <v>0.51229998772440222</v>
      </c>
      <c r="E44" s="48">
        <v>0.25129998253752994</v>
      </c>
      <c r="F44" s="58">
        <v>1.0000000000000001E-5</v>
      </c>
      <c r="G44" s="125"/>
      <c r="H44" s="125"/>
      <c r="I44" s="55">
        <f t="shared" si="1"/>
        <v>5.2260244794124344E-3</v>
      </c>
      <c r="J44" s="55">
        <f t="shared" si="2"/>
        <v>8.9237920997135206E-2</v>
      </c>
      <c r="K44" s="56">
        <f t="shared" si="3"/>
        <v>0.98262801455071158</v>
      </c>
      <c r="L44" s="56">
        <f t="shared" si="4"/>
        <v>1.5829883919722483E-38</v>
      </c>
      <c r="M44" s="56">
        <f t="shared" si="5"/>
        <v>1</v>
      </c>
      <c r="N44" s="56">
        <f t="shared" si="6"/>
        <v>5.1679334855023364E-40</v>
      </c>
      <c r="O44" s="57">
        <f t="shared" si="7"/>
        <v>9.8803874534998176E-6</v>
      </c>
      <c r="P44" s="57">
        <f t="shared" si="8"/>
        <v>1.2134220889708206E-5</v>
      </c>
      <c r="Q44" s="57">
        <f t="shared" si="9"/>
        <v>1.7622761271832097E-5</v>
      </c>
      <c r="R44" s="9">
        <f t="shared" si="10"/>
        <v>0.98803874534998171</v>
      </c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113</v>
      </c>
      <c r="C45" s="47" t="s">
        <v>114</v>
      </c>
      <c r="D45" s="48">
        <v>0.92271245461153151</v>
      </c>
      <c r="E45" s="48">
        <v>0.83512616782767168</v>
      </c>
      <c r="F45" s="58">
        <v>1.0000000000000001E-5</v>
      </c>
      <c r="G45" s="125"/>
      <c r="H45" s="125"/>
      <c r="I45" s="55">
        <f t="shared" si="1"/>
        <v>1.7082011278319043E-2</v>
      </c>
      <c r="J45" s="55">
        <f t="shared" si="2"/>
        <v>0.26002821205679144</v>
      </c>
      <c r="K45" s="56">
        <f t="shared" si="3"/>
        <v>0.95616568767124643</v>
      </c>
      <c r="L45" s="56">
        <f t="shared" si="4"/>
        <v>2.2825065603970897E-38</v>
      </c>
      <c r="M45" s="56">
        <f t="shared" si="5"/>
        <v>1</v>
      </c>
      <c r="N45" s="56">
        <f t="shared" si="6"/>
        <v>1.9287996291863749E-39</v>
      </c>
      <c r="O45" s="57">
        <f t="shared" si="7"/>
        <v>9.614307066396439E-6</v>
      </c>
      <c r="P45" s="57">
        <f t="shared" si="8"/>
        <v>1.7496299357924754E-5</v>
      </c>
      <c r="Q45" s="57">
        <f t="shared" si="9"/>
        <v>6.5772470759742704E-5</v>
      </c>
      <c r="R45" s="9">
        <f t="shared" si="10"/>
        <v>0.96143070663964381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115</v>
      </c>
      <c r="C46" s="47" t="s">
        <v>116</v>
      </c>
      <c r="D46" s="48">
        <v>1.6452318246143236</v>
      </c>
      <c r="E46" s="48">
        <v>1.8629354124795308</v>
      </c>
      <c r="F46" s="58">
        <v>1.0000000000000001E-5</v>
      </c>
      <c r="G46" s="125"/>
      <c r="H46" s="125"/>
      <c r="I46" s="55">
        <f t="shared" si="1"/>
        <v>9.3777909413029201E-2</v>
      </c>
      <c r="J46" s="55">
        <f t="shared" si="2"/>
        <v>0.82289760622407571</v>
      </c>
      <c r="K46" s="56">
        <f t="shared" si="3"/>
        <v>0.80137770661001506</v>
      </c>
      <c r="L46" s="56">
        <f t="shared" si="4"/>
        <v>6.9917441947984675E-38</v>
      </c>
      <c r="M46" s="56">
        <f t="shared" si="5"/>
        <v>1</v>
      </c>
      <c r="N46" s="56">
        <f t="shared" si="6"/>
        <v>1.7234570321348053E-38</v>
      </c>
      <c r="O46" s="57">
        <f t="shared" si="7"/>
        <v>8.0579040294555153E-6</v>
      </c>
      <c r="P46" s="57">
        <f t="shared" si="8"/>
        <v>5.3594434990340076E-5</v>
      </c>
      <c r="Q46" s="57">
        <f t="shared" si="9"/>
        <v>5.8770245253301069E-4</v>
      </c>
      <c r="R46" s="9">
        <f t="shared" si="10"/>
        <v>0.80579040294555149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117</v>
      </c>
      <c r="C47" s="47" t="s">
        <v>118</v>
      </c>
      <c r="D47" s="48">
        <v>2.8951366557581992</v>
      </c>
      <c r="E47" s="48">
        <v>3.6409690455151855</v>
      </c>
      <c r="F47" s="58">
        <v>1.0000000000000001E-5</v>
      </c>
      <c r="G47" s="125"/>
      <c r="H47" s="125"/>
      <c r="I47" s="55">
        <f t="shared" si="1"/>
        <v>0.76819655741897375</v>
      </c>
      <c r="J47" s="55">
        <f t="shared" si="2"/>
        <v>2.2370690409846548</v>
      </c>
      <c r="K47" s="56">
        <f t="shared" si="3"/>
        <v>0.16959717297231178</v>
      </c>
      <c r="L47" s="56">
        <f t="shared" si="4"/>
        <v>3.8400627152392865E-37</v>
      </c>
      <c r="M47" s="56">
        <f t="shared" si="5"/>
        <v>1</v>
      </c>
      <c r="N47" s="56">
        <f t="shared" si="6"/>
        <v>2.1878394317628946E-37</v>
      </c>
      <c r="O47" s="57">
        <f t="shared" si="7"/>
        <v>1.7053104075715202E-6</v>
      </c>
      <c r="P47" s="57">
        <f t="shared" si="8"/>
        <v>2.9435572271627278E-4</v>
      </c>
      <c r="Q47" s="57">
        <f t="shared" si="9"/>
        <v>7.4605782205245559E-3</v>
      </c>
      <c r="R47" s="9">
        <f t="shared" si="10"/>
        <v>0.170531040757152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 t="s">
        <v>119</v>
      </c>
      <c r="C48" s="47" t="s">
        <v>120</v>
      </c>
      <c r="D48" s="48">
        <v>-1.7616394390778063</v>
      </c>
      <c r="E48" s="48">
        <v>-2.9834589203782875</v>
      </c>
      <c r="F48" s="58">
        <v>1.0000000000000001E-5</v>
      </c>
      <c r="G48" s="125"/>
      <c r="H48" s="125"/>
      <c r="I48" s="83">
        <f t="shared" ref="I48:I50" si="11">IF(D48=0,"",LOG($K$15*10^D48+$K$16*10^E48+$K$14))</f>
        <v>-2.3445592739619139E-3</v>
      </c>
      <c r="J48" s="83">
        <f t="shared" ref="J48:J50" si="12">IF(D48=0,"",LOG($K$21*10^D48+$K$22*10^E48+$K$20))</f>
        <v>-5.2695197824890877E-2</v>
      </c>
      <c r="K48" s="84">
        <f t="shared" ref="K48:K50" si="13">IF(D48=0,"",1/(1+10^D48*$J$15/$J$14+10^E48*$J$16/$J$14+10^J48*$J$19/$J$14))</f>
        <v>0.99990726857737144</v>
      </c>
      <c r="L48" s="84">
        <f t="shared" ref="L48:L50" si="14">IF(D48=0,"",1/(1+10^I48/10^J48*$J$13/$J$19))</f>
        <v>1.1617567249874914E-38</v>
      </c>
      <c r="M48" s="84">
        <f t="shared" ref="M48:M92" si="15">IF(D48=0,"",1-L48)</f>
        <v>1</v>
      </c>
      <c r="N48" s="84">
        <f t="shared" ref="N48:N50" si="16">IF(D48=0,"",1/(1/10^E48*$J$20/$J$22+10^D48/10^E48*$J$21/$J$22+10^I48/10^E48*$J$13/$J$22+1))</f>
        <v>3.0628702267738444E-43</v>
      </c>
      <c r="O48" s="85">
        <f t="shared" ref="O48:O92" si="17">IF(D48=0,"",F48*K48*$J$7/$J$14)</f>
        <v>1.0054131456482378E-5</v>
      </c>
      <c r="P48" s="85">
        <f t="shared" ref="P48:P50" si="18">IF(D48=0,"",O48*10^J48)</f>
        <v>8.9053165472292047E-6</v>
      </c>
      <c r="Q48" s="85">
        <f t="shared" ref="Q48:Q50" si="19">IF(D48=0,"",F48*N48*$J$7/$J$22)</f>
        <v>1.0444451532601541E-8</v>
      </c>
      <c r="R48" s="9">
        <f t="shared" si="10"/>
        <v>1.0054131456482378</v>
      </c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121</v>
      </c>
      <c r="C49" s="47" t="s">
        <v>122</v>
      </c>
      <c r="D49" s="48">
        <v>1.1365502998865107</v>
      </c>
      <c r="E49" s="48">
        <v>1.1393180322329237</v>
      </c>
      <c r="F49" s="58">
        <v>1.0000000000000001E-5</v>
      </c>
      <c r="G49" s="125"/>
      <c r="H49" s="125"/>
      <c r="I49" s="55">
        <f t="shared" si="11"/>
        <v>2.9194031483758934E-2</v>
      </c>
      <c r="J49" s="55">
        <f t="shared" si="12"/>
        <v>0.39328086995694733</v>
      </c>
      <c r="K49" s="56">
        <f t="shared" si="13"/>
        <v>0.92986764082672624</v>
      </c>
      <c r="L49" s="56">
        <f t="shared" si="14"/>
        <v>3.0168427400567719E-38</v>
      </c>
      <c r="M49" s="56">
        <f t="shared" si="15"/>
        <v>1</v>
      </c>
      <c r="N49" s="56">
        <f t="shared" si="16"/>
        <v>3.7789135619754592E-39</v>
      </c>
      <c r="O49" s="57">
        <f t="shared" si="17"/>
        <v>9.3498785255381242E-6</v>
      </c>
      <c r="P49" s="57">
        <f t="shared" si="18"/>
        <v>2.3125271406287858E-5</v>
      </c>
      <c r="Q49" s="57">
        <f t="shared" si="19"/>
        <v>1.2886174281538575E-4</v>
      </c>
      <c r="R49" s="9">
        <f t="shared" si="10"/>
        <v>0.93498785255381234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123</v>
      </c>
      <c r="C50" s="47" t="s">
        <v>124</v>
      </c>
      <c r="D50" s="48">
        <v>-0.16497034264114602</v>
      </c>
      <c r="E50" s="48">
        <v>-0.71214090995430623</v>
      </c>
      <c r="F50" s="58">
        <v>1.0000000000000001E-5</v>
      </c>
      <c r="G50" s="125"/>
      <c r="H50" s="125"/>
      <c r="I50" s="55">
        <f t="shared" si="11"/>
        <v>-7.8602359813441847E-4</v>
      </c>
      <c r="J50" s="55">
        <f t="shared" si="12"/>
        <v>-2.1200499850457272E-2</v>
      </c>
      <c r="K50" s="56">
        <f t="shared" si="13"/>
        <v>0.99632537129663412</v>
      </c>
      <c r="L50" s="56">
        <f t="shared" si="14"/>
        <v>1.2446617903648383E-38</v>
      </c>
      <c r="M50" s="56">
        <f t="shared" si="15"/>
        <v>1</v>
      </c>
      <c r="N50" s="56">
        <f t="shared" si="16"/>
        <v>5.7001734499215699E-41</v>
      </c>
      <c r="O50" s="57">
        <f t="shared" si="17"/>
        <v>1.0018115250524213E-5</v>
      </c>
      <c r="P50" s="57">
        <f t="shared" si="18"/>
        <v>9.5408160753786552E-6</v>
      </c>
      <c r="Q50" s="57">
        <f t="shared" si="19"/>
        <v>1.9437710682191406E-6</v>
      </c>
      <c r="R50" s="9">
        <f t="shared" si="10"/>
        <v>1.0018115250524213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 t="s">
        <v>125</v>
      </c>
      <c r="C51" s="47" t="s">
        <v>126</v>
      </c>
      <c r="D51" s="48">
        <v>-2.7256879443499291</v>
      </c>
      <c r="E51" s="48">
        <v>-4.3548518644977863</v>
      </c>
      <c r="F51" s="58">
        <v>1.0000000000000001E-5</v>
      </c>
      <c r="G51" s="125"/>
      <c r="H51" s="125"/>
      <c r="I51" s="55">
        <f t="shared" ref="I51:I70" si="20">IF(D51=0,"",LOG($K$15*10^D51+$K$16*10^E51+$K$14))</f>
        <v>-2.3804634030245649E-3</v>
      </c>
      <c r="J51" s="55">
        <f t="shared" ref="J51:J70" si="21">IF(D51=0,"",LOG($K$21*10^D51+$K$22*10^E51+$K$20))</f>
        <v>-5.341365756501526E-2</v>
      </c>
      <c r="K51" s="56">
        <f t="shared" ref="K51:K70" si="22">IF(D51=0,"",1/(1+10^D51*$J$15/$J$14+10^E51*$J$16/$J$14+10^J51*$J$19/$J$14))</f>
        <v>0.99998993664053948</v>
      </c>
      <c r="L51" s="56">
        <f t="shared" ref="L51:L70" si="23">IF(D51=0,"",1/(1+10^I51/10^J51*$J$13/$J$19))</f>
        <v>1.1599322929417573E-38</v>
      </c>
      <c r="M51" s="56">
        <f t="shared" ref="M51:M70" si="24">IF(D51=0,"",1-L51)</f>
        <v>1</v>
      </c>
      <c r="N51" s="56">
        <f t="shared" ref="N51:N70" si="25">IF(D51=0,"",1/(1/10^E51*$J$20/$J$22+10^D51/10^E51*$J$21/$J$22+10^I51/10^E51*$J$13/$J$22+1))</f>
        <v>1.3024814783649132E-44</v>
      </c>
      <c r="O51" s="57">
        <f t="shared" ref="O51:O70" si="26">IF(D51=0,"",F51*K51*$J$7/$J$14)</f>
        <v>1.0054962689138109E-5</v>
      </c>
      <c r="P51" s="57">
        <f t="shared" ref="P51:P70" si="27">IF(D51=0,"",O51*10^J51)</f>
        <v>8.8913315669517256E-6</v>
      </c>
      <c r="Q51" s="57">
        <f t="shared" ref="Q51:Q70" si="28">IF(D51=0,"",F51*N51*$J$7/$J$22)</f>
        <v>4.4414890823573921E-10</v>
      </c>
      <c r="R51" s="9">
        <f t="shared" si="10"/>
        <v>1.0054962689138107</v>
      </c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127</v>
      </c>
      <c r="C52" s="47" t="s">
        <v>128</v>
      </c>
      <c r="D52" s="48">
        <v>-0.21545001227559774</v>
      </c>
      <c r="E52" s="48">
        <v>-0.78395001746247006</v>
      </c>
      <c r="F52" s="58">
        <v>1.0000000000000001E-5</v>
      </c>
      <c r="G52" s="125"/>
      <c r="H52" s="125"/>
      <c r="I52" s="55">
        <f t="shared" si="20"/>
        <v>-9.6174866178574947E-4</v>
      </c>
      <c r="J52" s="55">
        <f t="shared" si="21"/>
        <v>-2.4715317794995736E-2</v>
      </c>
      <c r="K52" s="56">
        <f t="shared" si="22"/>
        <v>0.99672858794301522</v>
      </c>
      <c r="L52" s="56">
        <f t="shared" si="23"/>
        <v>1.2351288457676123E-38</v>
      </c>
      <c r="M52" s="56">
        <f t="shared" si="24"/>
        <v>1</v>
      </c>
      <c r="N52" s="56">
        <f t="shared" si="25"/>
        <v>4.833421710928081E-41</v>
      </c>
      <c r="O52" s="57">
        <f t="shared" si="26"/>
        <v>1.0022169619659787E-5</v>
      </c>
      <c r="P52" s="57">
        <f t="shared" si="27"/>
        <v>9.4677423522492228E-6</v>
      </c>
      <c r="Q52" s="57">
        <f t="shared" si="28"/>
        <v>1.6482069124288719E-6</v>
      </c>
      <c r="R52" s="9">
        <f t="shared" si="10"/>
        <v>1.0022169619659786</v>
      </c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129</v>
      </c>
      <c r="C53" s="47" t="s">
        <v>130</v>
      </c>
      <c r="D53" s="48">
        <v>1.0310160000000004</v>
      </c>
      <c r="E53" s="48">
        <v>0.78085199999999966</v>
      </c>
      <c r="F53" s="58">
        <v>1.0000000000000001E-5</v>
      </c>
      <c r="G53" s="125"/>
      <c r="H53" s="125"/>
      <c r="I53" s="55">
        <f t="shared" si="20"/>
        <v>2.2261664095594637E-2</v>
      </c>
      <c r="J53" s="55">
        <f t="shared" si="21"/>
        <v>0.30604318571697814</v>
      </c>
      <c r="K53" s="56">
        <f t="shared" si="22"/>
        <v>0.94482962490550471</v>
      </c>
      <c r="L53" s="56">
        <f t="shared" si="23"/>
        <v>2.5075370307450967E-38</v>
      </c>
      <c r="M53" s="56">
        <f t="shared" si="24"/>
        <v>1</v>
      </c>
      <c r="N53" s="56">
        <f t="shared" si="25"/>
        <v>1.6820282796103886E-39</v>
      </c>
      <c r="O53" s="57">
        <f t="shared" si="26"/>
        <v>9.5003222311748066E-6</v>
      </c>
      <c r="P53" s="57">
        <f t="shared" si="27"/>
        <v>1.9221245319604001E-5</v>
      </c>
      <c r="Q53" s="57">
        <f t="shared" si="28"/>
        <v>5.7357516127479832E-5</v>
      </c>
      <c r="R53" s="9">
        <f t="shared" si="10"/>
        <v>0.95003222311748059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131</v>
      </c>
      <c r="C54" s="47" t="s">
        <v>132</v>
      </c>
      <c r="D54" s="48">
        <v>-1.8497486811018407</v>
      </c>
      <c r="E54" s="48">
        <v>-3.1087974195955765</v>
      </c>
      <c r="F54" s="58">
        <v>1.0000000000000001E-5</v>
      </c>
      <c r="G54" s="125"/>
      <c r="H54" s="125"/>
      <c r="I54" s="55">
        <f t="shared" si="20"/>
        <v>-2.3519591536599349E-3</v>
      </c>
      <c r="J54" s="55">
        <f t="shared" si="21"/>
        <v>-5.2843716247280528E-2</v>
      </c>
      <c r="K54" s="56">
        <f t="shared" si="22"/>
        <v>0.99992430599516557</v>
      </c>
      <c r="L54" s="56">
        <f t="shared" si="23"/>
        <v>1.1613792880415833E-38</v>
      </c>
      <c r="M54" s="56">
        <f t="shared" si="24"/>
        <v>1</v>
      </c>
      <c r="N54" s="56">
        <f t="shared" si="25"/>
        <v>2.2950782479899897E-43</v>
      </c>
      <c r="O54" s="57">
        <f t="shared" si="26"/>
        <v>1.0054302768806595E-5</v>
      </c>
      <c r="P54" s="57">
        <f t="shared" si="27"/>
        <v>8.9024233464345485E-6</v>
      </c>
      <c r="Q54" s="57">
        <f t="shared" si="28"/>
        <v>7.8262648267368019E-9</v>
      </c>
      <c r="R54" s="9">
        <f t="shared" si="10"/>
        <v>1.0054302768806593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133</v>
      </c>
      <c r="C55" s="47" t="s">
        <v>134</v>
      </c>
      <c r="D55" s="48">
        <v>-1.4544244920654867</v>
      </c>
      <c r="E55" s="48">
        <v>-2.5464348408255515</v>
      </c>
      <c r="F55" s="58">
        <v>1.0000000000000001E-5</v>
      </c>
      <c r="G55" s="125"/>
      <c r="H55" s="125"/>
      <c r="I55" s="55">
        <f t="shared" si="20"/>
        <v>-2.3030824935597284E-3</v>
      </c>
      <c r="J55" s="55">
        <f t="shared" si="21"/>
        <v>-5.1860328175829175E-2</v>
      </c>
      <c r="K55" s="56">
        <f t="shared" si="22"/>
        <v>0.99981177817723821</v>
      </c>
      <c r="L55" s="56">
        <f t="shared" si="23"/>
        <v>1.1638810253988053E-38</v>
      </c>
      <c r="M55" s="56">
        <f t="shared" si="24"/>
        <v>1</v>
      </c>
      <c r="N55" s="56">
        <f t="shared" si="25"/>
        <v>8.3774375489133897E-43</v>
      </c>
      <c r="O55" s="57">
        <f t="shared" si="26"/>
        <v>1.0053171294409413E-5</v>
      </c>
      <c r="P55" s="57">
        <f t="shared" si="27"/>
        <v>8.9216001350038866E-6</v>
      </c>
      <c r="Q55" s="57">
        <f t="shared" si="28"/>
        <v>2.8567237254183152E-8</v>
      </c>
      <c r="R55" s="9">
        <f t="shared" si="10"/>
        <v>1.0053171294409411</v>
      </c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 t="s">
        <v>135</v>
      </c>
      <c r="C56" s="47" t="s">
        <v>136</v>
      </c>
      <c r="D56" s="48">
        <v>2.3179513188981593</v>
      </c>
      <c r="E56" s="48">
        <v>2.8199025804044244</v>
      </c>
      <c r="F56" s="58">
        <v>1.0000000000000001E-5</v>
      </c>
      <c r="G56" s="125"/>
      <c r="H56" s="125"/>
      <c r="I56" s="55">
        <f t="shared" si="20"/>
        <v>0.34339087488914094</v>
      </c>
      <c r="J56" s="55">
        <f t="shared" si="21"/>
        <v>1.5460467740842241</v>
      </c>
      <c r="K56" s="56">
        <f t="shared" si="22"/>
        <v>0.45104958879290064</v>
      </c>
      <c r="L56" s="56">
        <f t="shared" si="23"/>
        <v>2.0802797084327552E-37</v>
      </c>
      <c r="M56" s="56">
        <f t="shared" si="24"/>
        <v>1</v>
      </c>
      <c r="N56" s="56">
        <f t="shared" si="25"/>
        <v>8.7852608873106231E-38</v>
      </c>
      <c r="O56" s="57">
        <f t="shared" si="26"/>
        <v>4.5353324269441877E-6</v>
      </c>
      <c r="P56" s="57">
        <f t="shared" si="27"/>
        <v>1.5946151988550637E-4</v>
      </c>
      <c r="Q56" s="57">
        <f t="shared" si="28"/>
        <v>2.9957923367659213E-3</v>
      </c>
      <c r="R56" s="9">
        <f t="shared" si="10"/>
        <v>0.45353324269441875</v>
      </c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 t="s">
        <v>137</v>
      </c>
      <c r="C57" s="47" t="s">
        <v>138</v>
      </c>
      <c r="D57" s="48">
        <v>3.46</v>
      </c>
      <c r="E57" s="48">
        <v>2.6247999825375303</v>
      </c>
      <c r="F57" s="58">
        <v>1.0000000000000001E-5</v>
      </c>
      <c r="G57" s="125"/>
      <c r="H57" s="125"/>
      <c r="I57" s="55">
        <f t="shared" si="20"/>
        <v>1.214803061250403</v>
      </c>
      <c r="J57" s="55">
        <f t="shared" si="21"/>
        <v>2.4468460345716467</v>
      </c>
      <c r="K57" s="56">
        <f t="shared" si="22"/>
        <v>6.0647388520417442E-2</v>
      </c>
      <c r="L57" s="56">
        <f t="shared" si="23"/>
        <v>2.2259161834102073E-37</v>
      </c>
      <c r="M57" s="56">
        <f t="shared" si="24"/>
        <v>1</v>
      </c>
      <c r="N57" s="56">
        <f t="shared" si="25"/>
        <v>7.5377178777700013E-39</v>
      </c>
      <c r="O57" s="57">
        <f t="shared" si="26"/>
        <v>6.0981336553756158E-7</v>
      </c>
      <c r="P57" s="57">
        <f t="shared" si="27"/>
        <v>1.7062512137454281E-4</v>
      </c>
      <c r="Q57" s="57">
        <f t="shared" si="28"/>
        <v>2.5703775613019464E-4</v>
      </c>
      <c r="R57" s="9">
        <f t="shared" si="10"/>
        <v>6.0981336553756156E-2</v>
      </c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25"/>
      <c r="H58" s="125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25"/>
      <c r="H59" s="125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25"/>
      <c r="H60" s="125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25"/>
      <c r="H61" s="125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25"/>
      <c r="H62" s="125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25"/>
      <c r="H63" s="125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25"/>
      <c r="H64" s="125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25"/>
      <c r="H65" s="125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25"/>
      <c r="H66" s="125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25"/>
      <c r="H67" s="125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25"/>
      <c r="H68" s="125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25"/>
      <c r="H69" s="125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 t="s">
        <v>115</v>
      </c>
      <c r="C70" s="47" t="s">
        <v>116</v>
      </c>
      <c r="D70" s="48">
        <v>1.6452318246143236</v>
      </c>
      <c r="E70" s="48">
        <v>1.8629354124795308</v>
      </c>
      <c r="F70" s="58"/>
      <c r="G70" s="125"/>
      <c r="H70" s="125"/>
      <c r="I70" s="55">
        <f t="shared" si="20"/>
        <v>9.3777909413029201E-2</v>
      </c>
      <c r="J70" s="55">
        <f t="shared" si="21"/>
        <v>0.82289760622407571</v>
      </c>
      <c r="K70" s="56">
        <f t="shared" si="22"/>
        <v>0.80137770661001506</v>
      </c>
      <c r="L70" s="56">
        <f t="shared" si="23"/>
        <v>6.9917441947984675E-38</v>
      </c>
      <c r="M70" s="56">
        <f t="shared" si="24"/>
        <v>1</v>
      </c>
      <c r="N70" s="56">
        <f t="shared" si="25"/>
        <v>1.7234570321348053E-38</v>
      </c>
      <c r="O70" s="57">
        <f t="shared" si="26"/>
        <v>0</v>
      </c>
      <c r="P70" s="57">
        <f t="shared" si="27"/>
        <v>0</v>
      </c>
      <c r="Q70" s="57">
        <f t="shared" si="28"/>
        <v>0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 t="s">
        <v>87</v>
      </c>
      <c r="C71" s="47" t="s">
        <v>88</v>
      </c>
      <c r="D71" s="48">
        <v>3.3511520000000004</v>
      </c>
      <c r="E71" s="48">
        <v>4.2962190000000007</v>
      </c>
      <c r="F71" s="58"/>
      <c r="G71" s="125"/>
      <c r="H71" s="125"/>
      <c r="I71" s="55">
        <f t="shared" ref="I71:I122" si="29">IF(D71=0,"",LOG($K$15*10^D71+$K$16*10^E71+$K$14))</f>
        <v>1.205792825575362</v>
      </c>
      <c r="J71" s="55">
        <f t="shared" ref="J71:J122" si="30">IF(D71=0,"",LOG($K$21*10^D71+$K$22*10^E71+$K$20))</f>
        <v>2.8163863803871312</v>
      </c>
      <c r="K71" s="56">
        <f t="shared" ref="K71:K122" si="31">IF(D71=0,"",1/(1+10^D71*$J$15/$J$14+10^E71*$J$16/$J$14+10^J71*$J$19/$J$14))</f>
        <v>6.191877284044519E-2</v>
      </c>
      <c r="L71" s="56">
        <f t="shared" ref="L71:L122" si="32">IF(D71=0,"",1/(1+10^I71/10^J71*$J$13/$J$19))</f>
        <v>5.321810284825154E-37</v>
      </c>
      <c r="M71" s="56">
        <f t="shared" si="15"/>
        <v>1</v>
      </c>
      <c r="N71" s="56">
        <f t="shared" ref="N71:N122" si="33">IF(D71=0,"",1/(1/10^E71*$J$20/$J$22+10^D71/10^E71*$J$21/$J$22+10^I71/10^E71*$J$13/$J$22+1))</f>
        <v>3.6113462656333656E-37</v>
      </c>
      <c r="O71" s="57">
        <f t="shared" si="17"/>
        <v>0</v>
      </c>
      <c r="P71" s="57">
        <f t="shared" ref="P71:P122" si="34">IF(D71=0,"",O71*10^J71)</f>
        <v>0</v>
      </c>
      <c r="Q71" s="57">
        <f t="shared" ref="Q71:Q122" si="35">IF(D71=0,"",F71*N71*$J$7/$J$22)</f>
        <v>0</v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 t="s">
        <v>79</v>
      </c>
      <c r="C72" s="47" t="s">
        <v>80</v>
      </c>
      <c r="D72" s="48">
        <v>-0.1223633442417989</v>
      </c>
      <c r="E72" s="48">
        <v>-0.65153095448481257</v>
      </c>
      <c r="F72" s="58"/>
      <c r="G72" s="125"/>
      <c r="H72" s="125"/>
      <c r="I72" s="55">
        <f t="shared" si="29"/>
        <v>-6.2092895899633685E-4</v>
      </c>
      <c r="J72" s="55">
        <f t="shared" si="30"/>
        <v>-1.7911449240931149E-2</v>
      </c>
      <c r="K72" s="56">
        <f t="shared" si="31"/>
        <v>0.99594669571161965</v>
      </c>
      <c r="L72" s="56">
        <f t="shared" si="32"/>
        <v>1.2536471375943667E-38</v>
      </c>
      <c r="M72" s="56">
        <f t="shared" si="15"/>
        <v>1</v>
      </c>
      <c r="N72" s="56">
        <f t="shared" si="33"/>
        <v>6.5513821305467143E-41</v>
      </c>
      <c r="O72" s="57">
        <f t="shared" si="17"/>
        <v>0</v>
      </c>
      <c r="P72" s="57">
        <f t="shared" si="34"/>
        <v>0</v>
      </c>
      <c r="Q72" s="57">
        <f t="shared" si="35"/>
        <v>0</v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 t="s">
        <v>81</v>
      </c>
      <c r="C73" s="47" t="s">
        <v>82</v>
      </c>
      <c r="D73" s="48">
        <v>1.8253520000000001</v>
      </c>
      <c r="E73" s="48">
        <v>2.0793489999999997</v>
      </c>
      <c r="F73" s="58"/>
      <c r="G73" s="125"/>
      <c r="H73" s="125"/>
      <c r="I73" s="55">
        <f t="shared" si="29"/>
        <v>0.13647749932435757</v>
      </c>
      <c r="J73" s="55">
        <f t="shared" si="30"/>
        <v>0.99262717207612505</v>
      </c>
      <c r="K73" s="56">
        <f t="shared" si="31"/>
        <v>0.72633616188126371</v>
      </c>
      <c r="L73" s="56">
        <f t="shared" si="32"/>
        <v>9.3673232327335039E-38</v>
      </c>
      <c r="M73" s="56">
        <f t="shared" si="15"/>
        <v>1</v>
      </c>
      <c r="N73" s="56">
        <f t="shared" si="33"/>
        <v>2.5710732980266424E-38</v>
      </c>
      <c r="O73" s="57">
        <f t="shared" si="17"/>
        <v>0</v>
      </c>
      <c r="P73" s="57">
        <f t="shared" si="34"/>
        <v>0</v>
      </c>
      <c r="Q73" s="57">
        <f t="shared" si="35"/>
        <v>0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 t="s">
        <v>83</v>
      </c>
      <c r="C74" s="47" t="s">
        <v>84</v>
      </c>
      <c r="D74" s="48">
        <v>2.848199987724402</v>
      </c>
      <c r="E74" s="48">
        <v>3.5741999825375301</v>
      </c>
      <c r="F74" s="58"/>
      <c r="G74" s="125"/>
      <c r="H74" s="125"/>
      <c r="I74" s="55">
        <f t="shared" si="29"/>
        <v>0.72733479513716004</v>
      </c>
      <c r="J74" s="55">
        <f t="shared" si="30"/>
        <v>2.1792047088105391</v>
      </c>
      <c r="K74" s="56">
        <f t="shared" si="31"/>
        <v>0.18632896473248875</v>
      </c>
      <c r="L74" s="56">
        <f t="shared" si="32"/>
        <v>3.69262960592219E-37</v>
      </c>
      <c r="M74" s="56">
        <f t="shared" si="15"/>
        <v>1</v>
      </c>
      <c r="N74" s="56">
        <f t="shared" si="33"/>
        <v>2.0611430996366476E-37</v>
      </c>
      <c r="O74" s="57">
        <f t="shared" si="17"/>
        <v>0</v>
      </c>
      <c r="P74" s="57">
        <f t="shared" si="34"/>
        <v>0</v>
      </c>
      <c r="Q74" s="57">
        <f t="shared" si="35"/>
        <v>0</v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 t="s">
        <v>85</v>
      </c>
      <c r="C75" s="47" t="s">
        <v>86</v>
      </c>
      <c r="D75" s="48">
        <v>-0.98996462433878363</v>
      </c>
      <c r="E75" s="48">
        <v>-1.885724324763622</v>
      </c>
      <c r="F75" s="58"/>
      <c r="G75" s="125"/>
      <c r="H75" s="125"/>
      <c r="I75" s="55">
        <f t="shared" si="29"/>
        <v>-2.1463428094334056E-3</v>
      </c>
      <c r="J75" s="55">
        <f t="shared" si="30"/>
        <v>-4.8686976382071145E-2</v>
      </c>
      <c r="K75" s="56">
        <f t="shared" si="31"/>
        <v>0.99945100475420556</v>
      </c>
      <c r="L75" s="56">
        <f t="shared" si="32"/>
        <v>1.1719934920763741E-38</v>
      </c>
      <c r="M75" s="56">
        <f t="shared" si="15"/>
        <v>1</v>
      </c>
      <c r="N75" s="56">
        <f t="shared" si="33"/>
        <v>3.8341135914917693E-42</v>
      </c>
      <c r="O75" s="57">
        <f t="shared" si="17"/>
        <v>0</v>
      </c>
      <c r="P75" s="57">
        <f t="shared" si="34"/>
        <v>0</v>
      </c>
      <c r="Q75" s="57">
        <f t="shared" si="35"/>
        <v>0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 t="s">
        <v>89</v>
      </c>
      <c r="C76" s="47" t="s">
        <v>90</v>
      </c>
      <c r="D76" s="48">
        <v>-7.2373500000194575</v>
      </c>
      <c r="E76" s="48">
        <v>-10.772850000027681</v>
      </c>
      <c r="F76" s="58"/>
      <c r="G76" s="125"/>
      <c r="H76" s="125"/>
      <c r="I76" s="55">
        <f t="shared" si="29"/>
        <v>-2.38483375204565E-3</v>
      </c>
      <c r="J76" s="55">
        <f t="shared" si="30"/>
        <v>-5.3500443514237071E-2</v>
      </c>
      <c r="K76" s="56">
        <f t="shared" si="31"/>
        <v>0.99999999969041098</v>
      </c>
      <c r="L76" s="56">
        <f t="shared" si="32"/>
        <v>1.1597121947133718E-38</v>
      </c>
      <c r="M76" s="56">
        <f t="shared" si="15"/>
        <v>1</v>
      </c>
      <c r="N76" s="56">
        <f t="shared" si="33"/>
        <v>4.9748248044425739E-51</v>
      </c>
      <c r="O76" s="57">
        <f t="shared" si="17"/>
        <v>0</v>
      </c>
      <c r="P76" s="57">
        <f t="shared" si="34"/>
        <v>0</v>
      </c>
      <c r="Q76" s="57">
        <f t="shared" si="35"/>
        <v>0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 t="s">
        <v>91</v>
      </c>
      <c r="C77" s="47" t="s">
        <v>92</v>
      </c>
      <c r="D77" s="48">
        <v>0.89837073464087869</v>
      </c>
      <c r="E77" s="48">
        <v>0.80049921406660218</v>
      </c>
      <c r="F77" s="58"/>
      <c r="G77" s="125"/>
      <c r="H77" s="125"/>
      <c r="I77" s="55">
        <f t="shared" si="29"/>
        <v>1.6033091379554689E-2</v>
      </c>
      <c r="J77" s="55">
        <f t="shared" si="30"/>
        <v>0.24684621561358433</v>
      </c>
      <c r="K77" s="56">
        <f t="shared" si="31"/>
        <v>0.95847783622330018</v>
      </c>
      <c r="L77" s="56">
        <f t="shared" si="32"/>
        <v>2.2196216790399494E-38</v>
      </c>
      <c r="M77" s="56">
        <f t="shared" si="15"/>
        <v>1</v>
      </c>
      <c r="N77" s="56">
        <f t="shared" si="33"/>
        <v>1.7852912646800246E-39</v>
      </c>
      <c r="O77" s="57">
        <f t="shared" si="17"/>
        <v>0</v>
      </c>
      <c r="P77" s="57">
        <f t="shared" si="34"/>
        <v>0</v>
      </c>
      <c r="Q77" s="57">
        <f t="shared" si="35"/>
        <v>0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 t="s">
        <v>93</v>
      </c>
      <c r="C78" s="47" t="s">
        <v>94</v>
      </c>
      <c r="D78" s="48">
        <v>5.1201999877244022</v>
      </c>
      <c r="E78" s="48">
        <v>6.8061999825375299</v>
      </c>
      <c r="F78" s="58"/>
      <c r="G78" s="7"/>
      <c r="H78" s="7"/>
      <c r="I78" s="55">
        <f t="shared" si="29"/>
        <v>3.2343164583424695</v>
      </c>
      <c r="J78" s="55">
        <f t="shared" si="30"/>
        <v>5.1936660384397202</v>
      </c>
      <c r="K78" s="56">
        <f t="shared" si="31"/>
        <v>5.7982736460576007E-4</v>
      </c>
      <c r="L78" s="56">
        <f t="shared" si="32"/>
        <v>1.1879971910413874E-36</v>
      </c>
      <c r="M78" s="56">
        <f t="shared" si="15"/>
        <v>1</v>
      </c>
      <c r="N78" s="56">
        <f t="shared" si="33"/>
        <v>1.0942750104682087E-36</v>
      </c>
      <c r="O78" s="57">
        <f t="shared" si="17"/>
        <v>0</v>
      </c>
      <c r="P78" s="57">
        <f t="shared" si="34"/>
        <v>0</v>
      </c>
      <c r="Q78" s="57">
        <f t="shared" si="35"/>
        <v>0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 t="s">
        <v>95</v>
      </c>
      <c r="C79" s="47" t="s">
        <v>96</v>
      </c>
      <c r="D79" s="48">
        <v>1.6430320000000003</v>
      </c>
      <c r="E79" s="48">
        <v>1.9699289999999996</v>
      </c>
      <c r="F79" s="58"/>
      <c r="G79" s="7"/>
      <c r="H79" s="7"/>
      <c r="I79" s="55">
        <f t="shared" si="29"/>
        <v>9.4490273200873776E-2</v>
      </c>
      <c r="J79" s="55">
        <f t="shared" si="30"/>
        <v>0.85054360152384245</v>
      </c>
      <c r="K79" s="56">
        <f t="shared" si="31"/>
        <v>0.8000643016661515</v>
      </c>
      <c r="L79" s="56">
        <f t="shared" si="32"/>
        <v>7.4390788499659386E-38</v>
      </c>
      <c r="M79" s="56">
        <f t="shared" si="15"/>
        <v>1</v>
      </c>
      <c r="N79" s="56">
        <f t="shared" si="33"/>
        <v>2.2013124210301922E-38</v>
      </c>
      <c r="O79" s="57">
        <f t="shared" si="17"/>
        <v>0</v>
      </c>
      <c r="P79" s="57">
        <f t="shared" si="34"/>
        <v>0</v>
      </c>
      <c r="Q79" s="57">
        <f t="shared" si="35"/>
        <v>0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 t="s">
        <v>97</v>
      </c>
      <c r="C80" s="47" t="s">
        <v>98</v>
      </c>
      <c r="D80" s="48">
        <v>1.9888079999999992</v>
      </c>
      <c r="E80" s="48">
        <v>1.7269960000000002</v>
      </c>
      <c r="F80" s="58"/>
      <c r="G80" s="7"/>
      <c r="H80" s="7"/>
      <c r="I80" s="55">
        <f t="shared" si="29"/>
        <v>0.18219557821644855</v>
      </c>
      <c r="J80" s="55">
        <f t="shared" si="30"/>
        <v>1.0487430475844253</v>
      </c>
      <c r="K80" s="56">
        <f t="shared" si="31"/>
        <v>0.65376187105460315</v>
      </c>
      <c r="L80" s="56">
        <f t="shared" si="32"/>
        <v>9.5943001975501094E-38</v>
      </c>
      <c r="M80" s="56">
        <f t="shared" si="15"/>
        <v>1</v>
      </c>
      <c r="N80" s="56">
        <f t="shared" si="33"/>
        <v>1.0281189857295004E-38</v>
      </c>
      <c r="O80" s="57">
        <f t="shared" si="17"/>
        <v>0</v>
      </c>
      <c r="P80" s="57">
        <f t="shared" si="34"/>
        <v>0</v>
      </c>
      <c r="Q80" s="57">
        <f t="shared" si="35"/>
        <v>0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 t="s">
        <v>99</v>
      </c>
      <c r="C81" s="47" t="s">
        <v>100</v>
      </c>
      <c r="D81" s="48">
        <v>0.57692000000000121</v>
      </c>
      <c r="E81" s="48">
        <v>0.1355349999999973</v>
      </c>
      <c r="F81" s="58"/>
      <c r="G81" s="7"/>
      <c r="H81" s="7"/>
      <c r="I81" s="55">
        <f t="shared" si="29"/>
        <v>6.3870952141755781E-3</v>
      </c>
      <c r="J81" s="55">
        <f t="shared" si="30"/>
        <v>0.10294432946993946</v>
      </c>
      <c r="K81" s="56">
        <f t="shared" si="31"/>
        <v>0.98000450226117841</v>
      </c>
      <c r="L81" s="56">
        <f t="shared" si="32"/>
        <v>1.6293825764465145E-38</v>
      </c>
      <c r="M81" s="56">
        <f t="shared" si="15"/>
        <v>1</v>
      </c>
      <c r="N81" s="56">
        <f t="shared" si="33"/>
        <v>3.9481247079449561E-40</v>
      </c>
      <c r="O81" s="57">
        <f t="shared" si="17"/>
        <v>0</v>
      </c>
      <c r="P81" s="57">
        <f t="shared" si="34"/>
        <v>0</v>
      </c>
      <c r="Q81" s="57">
        <f t="shared" si="35"/>
        <v>0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 t="s">
        <v>101</v>
      </c>
      <c r="C82" s="47" t="s">
        <v>102</v>
      </c>
      <c r="D82" s="48">
        <v>4.3320999877244022</v>
      </c>
      <c r="E82" s="48">
        <v>5.6850999825375297</v>
      </c>
      <c r="F82" s="58"/>
      <c r="G82" s="7"/>
      <c r="H82" s="7"/>
      <c r="I82" s="55">
        <f t="shared" si="29"/>
        <v>2.2830290403350468</v>
      </c>
      <c r="J82" s="55">
        <f t="shared" si="30"/>
        <v>4.1103934248091365</v>
      </c>
      <c r="K82" s="56">
        <f t="shared" si="31"/>
        <v>5.183058680549182E-3</v>
      </c>
      <c r="L82" s="56">
        <f t="shared" si="32"/>
        <v>8.7665803595652168E-37</v>
      </c>
      <c r="M82" s="56">
        <f t="shared" si="15"/>
        <v>1</v>
      </c>
      <c r="N82" s="56">
        <f t="shared" si="33"/>
        <v>7.4014004047284845E-37</v>
      </c>
      <c r="O82" s="57">
        <f t="shared" si="17"/>
        <v>0</v>
      </c>
      <c r="P82" s="57">
        <f t="shared" si="34"/>
        <v>0</v>
      </c>
      <c r="Q82" s="57">
        <f t="shared" si="35"/>
        <v>0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 t="s">
        <v>103</v>
      </c>
      <c r="C83" s="47" t="s">
        <v>104</v>
      </c>
      <c r="D83" s="48">
        <v>2.713299987724402</v>
      </c>
      <c r="E83" s="48">
        <v>3.3822999825375302</v>
      </c>
      <c r="F83" s="58"/>
      <c r="G83" s="7"/>
      <c r="H83" s="7"/>
      <c r="I83" s="55">
        <f t="shared" si="29"/>
        <v>0.61535497616766821</v>
      </c>
      <c r="J83" s="55">
        <f t="shared" si="30"/>
        <v>2.0144079910299482</v>
      </c>
      <c r="K83" s="56">
        <f t="shared" si="31"/>
        <v>0.24113496584831146</v>
      </c>
      <c r="L83" s="56">
        <f t="shared" si="32"/>
        <v>3.2697823750520026E-37</v>
      </c>
      <c r="M83" s="56">
        <f t="shared" si="15"/>
        <v>1</v>
      </c>
      <c r="N83" s="56">
        <f t="shared" si="33"/>
        <v>1.7146992729043089E-37</v>
      </c>
      <c r="O83" s="57">
        <f t="shared" si="17"/>
        <v>0</v>
      </c>
      <c r="P83" s="57">
        <f t="shared" si="34"/>
        <v>0</v>
      </c>
      <c r="Q83" s="57">
        <f t="shared" si="35"/>
        <v>0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 t="s">
        <v>105</v>
      </c>
      <c r="C84" s="47" t="s">
        <v>106</v>
      </c>
      <c r="D84" s="48">
        <v>3.598704000000001</v>
      </c>
      <c r="E84" s="48">
        <v>4.3131730000000008</v>
      </c>
      <c r="F84" s="58"/>
      <c r="G84" s="7"/>
      <c r="H84" s="7"/>
      <c r="I84" s="55">
        <f t="shared" si="29"/>
        <v>1.4041054944130613</v>
      </c>
      <c r="J84" s="55">
        <f t="shared" si="30"/>
        <v>2.9211839291051609</v>
      </c>
      <c r="K84" s="56">
        <f t="shared" si="31"/>
        <v>3.9220188053725367E-2</v>
      </c>
      <c r="L84" s="56">
        <f t="shared" si="32"/>
        <v>4.2908592446688025E-37</v>
      </c>
      <c r="M84" s="56">
        <f t="shared" si="15"/>
        <v>1</v>
      </c>
      <c r="N84" s="56">
        <f t="shared" si="33"/>
        <v>2.3785400194364081E-37</v>
      </c>
      <c r="O84" s="57">
        <f t="shared" si="17"/>
        <v>0</v>
      </c>
      <c r="P84" s="57">
        <f t="shared" si="34"/>
        <v>0</v>
      </c>
      <c r="Q84" s="57">
        <f t="shared" si="35"/>
        <v>0</v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 t="s">
        <v>107</v>
      </c>
      <c r="C85" s="47" t="s">
        <v>108</v>
      </c>
      <c r="D85" s="48">
        <v>-1.2627122753537208</v>
      </c>
      <c r="E85" s="48">
        <v>-2.2737174621228986</v>
      </c>
      <c r="F85" s="58"/>
      <c r="G85" s="7"/>
      <c r="H85" s="7"/>
      <c r="I85" s="55">
        <f t="shared" si="29"/>
        <v>-2.2576598370427073E-3</v>
      </c>
      <c r="J85" s="55">
        <f t="shared" si="30"/>
        <v>-5.0942888713472134E-2</v>
      </c>
      <c r="K85" s="56">
        <f t="shared" si="31"/>
        <v>0.99970721379975491</v>
      </c>
      <c r="L85" s="56">
        <f t="shared" si="32"/>
        <v>1.166220321585951E-38</v>
      </c>
      <c r="M85" s="56">
        <f t="shared" si="15"/>
        <v>1</v>
      </c>
      <c r="N85" s="56">
        <f t="shared" si="33"/>
        <v>1.5695789116662759E-42</v>
      </c>
      <c r="O85" s="57">
        <f t="shared" si="17"/>
        <v>0</v>
      </c>
      <c r="P85" s="57">
        <f t="shared" si="34"/>
        <v>0</v>
      </c>
      <c r="Q85" s="57">
        <f t="shared" si="35"/>
        <v>0</v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 t="s">
        <v>109</v>
      </c>
      <c r="C86" s="47" t="s">
        <v>110</v>
      </c>
      <c r="D86" s="48">
        <v>2.1582748772295566</v>
      </c>
      <c r="E86" s="48">
        <v>2.5927572197209185</v>
      </c>
      <c r="F86" s="58"/>
      <c r="G86" s="7"/>
      <c r="H86" s="7"/>
      <c r="I86" s="55">
        <f t="shared" si="29"/>
        <v>0.26057631865908987</v>
      </c>
      <c r="J86" s="55">
        <f t="shared" si="30"/>
        <v>1.3642805972747696</v>
      </c>
      <c r="K86" s="56">
        <f t="shared" si="31"/>
        <v>0.54580668108038899</v>
      </c>
      <c r="L86" s="56">
        <f t="shared" si="32"/>
        <v>1.6564186523571383E-37</v>
      </c>
      <c r="M86" s="56">
        <f t="shared" si="15"/>
        <v>1</v>
      </c>
      <c r="N86" s="56">
        <f t="shared" si="33"/>
        <v>6.301208619159645E-38</v>
      </c>
      <c r="O86" s="57">
        <f t="shared" si="17"/>
        <v>0</v>
      </c>
      <c r="P86" s="57">
        <f t="shared" si="34"/>
        <v>0</v>
      </c>
      <c r="Q86" s="57">
        <f t="shared" si="35"/>
        <v>0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 t="s">
        <v>111</v>
      </c>
      <c r="C87" s="47" t="s">
        <v>112</v>
      </c>
      <c r="D87" s="48">
        <v>0.51229998772440222</v>
      </c>
      <c r="E87" s="48">
        <v>0.25129998253752994</v>
      </c>
      <c r="F87" s="58"/>
      <c r="G87" s="7"/>
      <c r="H87" s="7"/>
      <c r="I87" s="55">
        <f t="shared" si="29"/>
        <v>5.2260244794124344E-3</v>
      </c>
      <c r="J87" s="55">
        <f t="shared" si="30"/>
        <v>8.9237920997135206E-2</v>
      </c>
      <c r="K87" s="56">
        <f t="shared" si="31"/>
        <v>0.98262801455071158</v>
      </c>
      <c r="L87" s="56">
        <f t="shared" si="32"/>
        <v>1.5829883919722483E-38</v>
      </c>
      <c r="M87" s="56">
        <f t="shared" si="15"/>
        <v>1</v>
      </c>
      <c r="N87" s="56">
        <f t="shared" si="33"/>
        <v>5.1679334855023364E-40</v>
      </c>
      <c r="O87" s="57">
        <f t="shared" si="17"/>
        <v>0</v>
      </c>
      <c r="P87" s="57">
        <f t="shared" si="34"/>
        <v>0</v>
      </c>
      <c r="Q87" s="57">
        <f t="shared" si="35"/>
        <v>0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 t="s">
        <v>113</v>
      </c>
      <c r="C88" s="47" t="s">
        <v>114</v>
      </c>
      <c r="D88" s="48">
        <v>0.92271245461153151</v>
      </c>
      <c r="E88" s="48">
        <v>0.83512616782767168</v>
      </c>
      <c r="F88" s="58"/>
      <c r="G88" s="7"/>
      <c r="H88" s="7"/>
      <c r="I88" s="55">
        <f t="shared" si="29"/>
        <v>1.7082011278319043E-2</v>
      </c>
      <c r="J88" s="55">
        <f t="shared" si="30"/>
        <v>0.26002821205679144</v>
      </c>
      <c r="K88" s="56">
        <f t="shared" si="31"/>
        <v>0.95616568767124643</v>
      </c>
      <c r="L88" s="56">
        <f t="shared" si="32"/>
        <v>2.2825065603970897E-38</v>
      </c>
      <c r="M88" s="56">
        <f t="shared" si="15"/>
        <v>1</v>
      </c>
      <c r="N88" s="56">
        <f t="shared" si="33"/>
        <v>1.9287996291863749E-39</v>
      </c>
      <c r="O88" s="57">
        <f t="shared" si="17"/>
        <v>0</v>
      </c>
      <c r="P88" s="57">
        <f t="shared" si="34"/>
        <v>0</v>
      </c>
      <c r="Q88" s="57">
        <f t="shared" si="35"/>
        <v>0</v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 t="s">
        <v>117</v>
      </c>
      <c r="C89" s="47" t="s">
        <v>118</v>
      </c>
      <c r="D89" s="48">
        <v>2.8951366557581992</v>
      </c>
      <c r="E89" s="48">
        <v>3.6409690455151855</v>
      </c>
      <c r="F89" s="58"/>
      <c r="G89" s="7"/>
      <c r="H89" s="7"/>
      <c r="I89" s="55">
        <f t="shared" si="29"/>
        <v>0.76819655741897375</v>
      </c>
      <c r="J89" s="55">
        <f t="shared" si="30"/>
        <v>2.2370690409846548</v>
      </c>
      <c r="K89" s="56">
        <f t="shared" si="31"/>
        <v>0.16959717297231178</v>
      </c>
      <c r="L89" s="56">
        <f t="shared" si="32"/>
        <v>3.8400627152392865E-37</v>
      </c>
      <c r="M89" s="56">
        <f t="shared" si="15"/>
        <v>1</v>
      </c>
      <c r="N89" s="56">
        <f t="shared" si="33"/>
        <v>2.1878394317628946E-37</v>
      </c>
      <c r="O89" s="57">
        <f t="shared" si="17"/>
        <v>0</v>
      </c>
      <c r="P89" s="57">
        <f t="shared" si="34"/>
        <v>0</v>
      </c>
      <c r="Q89" s="57">
        <f t="shared" si="35"/>
        <v>0</v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 t="s">
        <v>119</v>
      </c>
      <c r="C90" s="47" t="s">
        <v>120</v>
      </c>
      <c r="D90" s="48">
        <v>-1.7616394390778063</v>
      </c>
      <c r="E90" s="48">
        <v>-2.9834589203782875</v>
      </c>
      <c r="F90" s="58"/>
      <c r="G90" s="7"/>
      <c r="H90" s="7"/>
      <c r="I90" s="55">
        <f t="shared" si="29"/>
        <v>-2.3445592739619139E-3</v>
      </c>
      <c r="J90" s="55">
        <f t="shared" si="30"/>
        <v>-5.2695197824890877E-2</v>
      </c>
      <c r="K90" s="56">
        <f t="shared" si="31"/>
        <v>0.99990726857737144</v>
      </c>
      <c r="L90" s="56">
        <f t="shared" si="32"/>
        <v>1.1617567249874914E-38</v>
      </c>
      <c r="M90" s="56">
        <f t="shared" si="15"/>
        <v>1</v>
      </c>
      <c r="N90" s="56">
        <f t="shared" si="33"/>
        <v>3.0628702267738444E-43</v>
      </c>
      <c r="O90" s="57">
        <f t="shared" si="17"/>
        <v>0</v>
      </c>
      <c r="P90" s="57">
        <f t="shared" si="34"/>
        <v>0</v>
      </c>
      <c r="Q90" s="57">
        <f t="shared" si="35"/>
        <v>0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 t="s">
        <v>121</v>
      </c>
      <c r="C91" s="47" t="s">
        <v>122</v>
      </c>
      <c r="D91" s="48">
        <v>1.1365502998865107</v>
      </c>
      <c r="E91" s="48">
        <v>1.1393180322329237</v>
      </c>
      <c r="F91" s="58"/>
      <c r="G91" s="7"/>
      <c r="H91" s="7"/>
      <c r="I91" s="55">
        <f t="shared" si="29"/>
        <v>2.9194031483758934E-2</v>
      </c>
      <c r="J91" s="55">
        <f t="shared" si="30"/>
        <v>0.39328086995694733</v>
      </c>
      <c r="K91" s="56">
        <f t="shared" si="31"/>
        <v>0.92986764082672624</v>
      </c>
      <c r="L91" s="56">
        <f t="shared" si="32"/>
        <v>3.0168427400567719E-38</v>
      </c>
      <c r="M91" s="56">
        <f t="shared" si="15"/>
        <v>1</v>
      </c>
      <c r="N91" s="56">
        <f t="shared" si="33"/>
        <v>3.7789135619754592E-39</v>
      </c>
      <c r="O91" s="57">
        <f t="shared" si="17"/>
        <v>0</v>
      </c>
      <c r="P91" s="57">
        <f t="shared" si="34"/>
        <v>0</v>
      </c>
      <c r="Q91" s="57">
        <f t="shared" si="35"/>
        <v>0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 t="s">
        <v>123</v>
      </c>
      <c r="C92" s="47" t="s">
        <v>124</v>
      </c>
      <c r="D92" s="48">
        <v>-0.16497034264114602</v>
      </c>
      <c r="E92" s="48">
        <v>-0.71214090995430623</v>
      </c>
      <c r="F92" s="58"/>
      <c r="G92" s="7"/>
      <c r="H92" s="7"/>
      <c r="I92" s="55">
        <f t="shared" si="29"/>
        <v>-7.8602359813441847E-4</v>
      </c>
      <c r="J92" s="55">
        <f t="shared" si="30"/>
        <v>-2.1200499850457272E-2</v>
      </c>
      <c r="K92" s="56">
        <f t="shared" si="31"/>
        <v>0.99632537129663412</v>
      </c>
      <c r="L92" s="56">
        <f t="shared" si="32"/>
        <v>1.2446617903648383E-38</v>
      </c>
      <c r="M92" s="56">
        <f t="shared" si="15"/>
        <v>1</v>
      </c>
      <c r="N92" s="56">
        <f t="shared" si="33"/>
        <v>5.7001734499215699E-41</v>
      </c>
      <c r="O92" s="57">
        <f t="shared" si="17"/>
        <v>0</v>
      </c>
      <c r="P92" s="57">
        <f t="shared" si="34"/>
        <v>0</v>
      </c>
      <c r="Q92" s="57">
        <f t="shared" si="35"/>
        <v>0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 t="s">
        <v>125</v>
      </c>
      <c r="C93" s="47" t="s">
        <v>126</v>
      </c>
      <c r="D93" s="48">
        <v>-2.7256879443499291</v>
      </c>
      <c r="E93" s="48">
        <v>-4.3548518644977863</v>
      </c>
      <c r="F93" s="58"/>
      <c r="G93" s="7"/>
      <c r="H93" s="7"/>
      <c r="I93" s="55">
        <f t="shared" si="29"/>
        <v>-2.3804634030245649E-3</v>
      </c>
      <c r="J93" s="55">
        <f t="shared" si="30"/>
        <v>-5.341365756501526E-2</v>
      </c>
      <c r="K93" s="56">
        <f t="shared" si="31"/>
        <v>0.99998993664053948</v>
      </c>
      <c r="L93" s="56">
        <f t="shared" si="32"/>
        <v>1.1599322929417573E-38</v>
      </c>
      <c r="M93" s="56">
        <f t="shared" ref="M93:M127" si="36">IF(D93=0,"",1-L93)</f>
        <v>1</v>
      </c>
      <c r="N93" s="56">
        <f t="shared" si="33"/>
        <v>1.3024814783649132E-44</v>
      </c>
      <c r="O93" s="57">
        <f t="shared" ref="O93:O127" si="37">IF(D93=0,"",F93*K93*$J$7/$J$14)</f>
        <v>0</v>
      </c>
      <c r="P93" s="57">
        <f t="shared" si="34"/>
        <v>0</v>
      </c>
      <c r="Q93" s="57">
        <f t="shared" si="35"/>
        <v>0</v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 t="s">
        <v>127</v>
      </c>
      <c r="C94" s="47" t="s">
        <v>128</v>
      </c>
      <c r="D94" s="48">
        <v>-0.21545001227559774</v>
      </c>
      <c r="E94" s="48">
        <v>-0.78395001746247006</v>
      </c>
      <c r="F94" s="58"/>
      <c r="G94" s="7"/>
      <c r="H94" s="7"/>
      <c r="I94" s="55">
        <f t="shared" si="29"/>
        <v>-9.6174866178574947E-4</v>
      </c>
      <c r="J94" s="55">
        <f t="shared" si="30"/>
        <v>-2.4715317794995736E-2</v>
      </c>
      <c r="K94" s="56">
        <f t="shared" si="31"/>
        <v>0.99672858794301522</v>
      </c>
      <c r="L94" s="56">
        <f t="shared" si="32"/>
        <v>1.2351288457676123E-38</v>
      </c>
      <c r="M94" s="56">
        <f t="shared" si="36"/>
        <v>1</v>
      </c>
      <c r="N94" s="56">
        <f t="shared" si="33"/>
        <v>4.833421710928081E-41</v>
      </c>
      <c r="O94" s="57">
        <f t="shared" si="37"/>
        <v>0</v>
      </c>
      <c r="P94" s="57">
        <f t="shared" si="34"/>
        <v>0</v>
      </c>
      <c r="Q94" s="57">
        <f t="shared" si="35"/>
        <v>0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 t="s">
        <v>129</v>
      </c>
      <c r="C95" s="47" t="s">
        <v>130</v>
      </c>
      <c r="D95" s="48">
        <v>1.0310160000000004</v>
      </c>
      <c r="E95" s="48">
        <v>0.78085199999999966</v>
      </c>
      <c r="F95" s="58"/>
      <c r="G95" s="7"/>
      <c r="H95" s="7"/>
      <c r="I95" s="55">
        <f t="shared" si="29"/>
        <v>2.2261664095594637E-2</v>
      </c>
      <c r="J95" s="55">
        <f t="shared" si="30"/>
        <v>0.30604318571697814</v>
      </c>
      <c r="K95" s="56">
        <f t="shared" si="31"/>
        <v>0.94482962490550471</v>
      </c>
      <c r="L95" s="56">
        <f t="shared" si="32"/>
        <v>2.5075370307450967E-38</v>
      </c>
      <c r="M95" s="56">
        <f t="shared" si="36"/>
        <v>1</v>
      </c>
      <c r="N95" s="56">
        <f t="shared" si="33"/>
        <v>1.6820282796103886E-39</v>
      </c>
      <c r="O95" s="57">
        <f t="shared" si="37"/>
        <v>0</v>
      </c>
      <c r="P95" s="57">
        <f t="shared" si="34"/>
        <v>0</v>
      </c>
      <c r="Q95" s="57">
        <f t="shared" si="35"/>
        <v>0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 t="s">
        <v>131</v>
      </c>
      <c r="C96" s="47" t="s">
        <v>132</v>
      </c>
      <c r="D96" s="48">
        <v>-1.8497486811018407</v>
      </c>
      <c r="E96" s="48">
        <v>-3.1087974195955765</v>
      </c>
      <c r="F96" s="58"/>
      <c r="G96" s="7"/>
      <c r="H96" s="7"/>
      <c r="I96" s="55">
        <f t="shared" si="29"/>
        <v>-2.3519591536599349E-3</v>
      </c>
      <c r="J96" s="55">
        <f t="shared" si="30"/>
        <v>-5.2843716247280528E-2</v>
      </c>
      <c r="K96" s="56">
        <f t="shared" si="31"/>
        <v>0.99992430599516557</v>
      </c>
      <c r="L96" s="56">
        <f t="shared" si="32"/>
        <v>1.1613792880415833E-38</v>
      </c>
      <c r="M96" s="56">
        <f t="shared" si="36"/>
        <v>1</v>
      </c>
      <c r="N96" s="56">
        <f t="shared" si="33"/>
        <v>2.2950782479899897E-43</v>
      </c>
      <c r="O96" s="57">
        <f t="shared" si="37"/>
        <v>0</v>
      </c>
      <c r="P96" s="57">
        <f t="shared" si="34"/>
        <v>0</v>
      </c>
      <c r="Q96" s="57">
        <f t="shared" si="35"/>
        <v>0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 t="s">
        <v>133</v>
      </c>
      <c r="C97" s="47" t="s">
        <v>134</v>
      </c>
      <c r="D97" s="48">
        <v>-1.4544244920654867</v>
      </c>
      <c r="E97" s="48">
        <v>-2.5464348408255515</v>
      </c>
      <c r="F97" s="58"/>
      <c r="G97" s="7"/>
      <c r="H97" s="7"/>
      <c r="I97" s="55">
        <f t="shared" si="29"/>
        <v>-2.3030824935597284E-3</v>
      </c>
      <c r="J97" s="55">
        <f t="shared" si="30"/>
        <v>-5.1860328175829175E-2</v>
      </c>
      <c r="K97" s="56">
        <f t="shared" si="31"/>
        <v>0.99981177817723821</v>
      </c>
      <c r="L97" s="56">
        <f t="shared" si="32"/>
        <v>1.1638810253988053E-38</v>
      </c>
      <c r="M97" s="56">
        <f t="shared" si="36"/>
        <v>1</v>
      </c>
      <c r="N97" s="56">
        <f t="shared" si="33"/>
        <v>8.3774375489133897E-43</v>
      </c>
      <c r="O97" s="57">
        <f t="shared" si="37"/>
        <v>0</v>
      </c>
      <c r="P97" s="57">
        <f t="shared" si="34"/>
        <v>0</v>
      </c>
      <c r="Q97" s="57">
        <f t="shared" si="35"/>
        <v>0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 t="s">
        <v>135</v>
      </c>
      <c r="C98" s="47" t="s">
        <v>136</v>
      </c>
      <c r="D98" s="48">
        <v>2.3179513188981593</v>
      </c>
      <c r="E98" s="48">
        <v>2.8199025804044244</v>
      </c>
      <c r="F98" s="58"/>
      <c r="G98" s="7"/>
      <c r="H98" s="7"/>
      <c r="I98" s="55">
        <f t="shared" si="29"/>
        <v>0.34339087488914094</v>
      </c>
      <c r="J98" s="55">
        <f t="shared" si="30"/>
        <v>1.5460467740842241</v>
      </c>
      <c r="K98" s="56">
        <f t="shared" si="31"/>
        <v>0.45104958879290064</v>
      </c>
      <c r="L98" s="56">
        <f t="shared" si="32"/>
        <v>2.0802797084327552E-37</v>
      </c>
      <c r="M98" s="56">
        <f t="shared" si="36"/>
        <v>1</v>
      </c>
      <c r="N98" s="56">
        <f t="shared" si="33"/>
        <v>8.7852608873106231E-38</v>
      </c>
      <c r="O98" s="57">
        <f t="shared" si="37"/>
        <v>0</v>
      </c>
      <c r="P98" s="57">
        <f t="shared" si="34"/>
        <v>0</v>
      </c>
      <c r="Q98" s="57">
        <f t="shared" si="35"/>
        <v>0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 t="s">
        <v>137</v>
      </c>
      <c r="C99" s="47" t="s">
        <v>138</v>
      </c>
      <c r="D99" s="48">
        <v>3.46</v>
      </c>
      <c r="E99" s="48">
        <v>2.6247999825375303</v>
      </c>
      <c r="F99" s="58"/>
      <c r="G99" s="7"/>
      <c r="H99" s="7"/>
      <c r="I99" s="55">
        <f t="shared" si="29"/>
        <v>1.214803061250403</v>
      </c>
      <c r="J99" s="55">
        <f t="shared" si="30"/>
        <v>2.4468460345716467</v>
      </c>
      <c r="K99" s="56">
        <f t="shared" si="31"/>
        <v>6.0647388520417442E-2</v>
      </c>
      <c r="L99" s="56">
        <f t="shared" si="32"/>
        <v>2.2259161834102073E-37</v>
      </c>
      <c r="M99" s="56">
        <f t="shared" si="36"/>
        <v>1</v>
      </c>
      <c r="N99" s="56">
        <f t="shared" si="33"/>
        <v>7.5377178777700013E-39</v>
      </c>
      <c r="O99" s="57">
        <f t="shared" si="37"/>
        <v>0</v>
      </c>
      <c r="P99" s="57">
        <f t="shared" si="34"/>
        <v>0</v>
      </c>
      <c r="Q99" s="57">
        <f t="shared" si="35"/>
        <v>0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2025-02-03T13:54:14Z</dcterms:modified>
</cp:coreProperties>
</file>