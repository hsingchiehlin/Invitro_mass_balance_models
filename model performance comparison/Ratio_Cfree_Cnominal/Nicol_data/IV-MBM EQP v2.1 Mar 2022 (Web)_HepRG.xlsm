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Unilever\"/>
    </mc:Choice>
  </mc:AlternateContent>
  <xr:revisionPtr revIDLastSave="0" documentId="13_ncr:1_{AD76D5F1-050F-45F8-8FAB-CCD571BFA4FA}" xr6:coauthVersionLast="47" xr6:coauthVersionMax="47" xr10:uidLastSave="{00000000-0000-0000-0000-000000000000}"/>
  <bookViews>
    <workbookView xWindow="43080" yWindow="-120" windowWidth="29040" windowHeight="15720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A71" i="23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<sst xmlns="http://schemas.openxmlformats.org/spreadsheetml/2006/main" count="1067" uniqueCount="341">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</sst>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31" sqref="Z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176</v>
      </c>
      <c r="H2" s="107"/>
      <c r="I2" s="107">
        <v>0.1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176</v>
      </c>
      <c r="H5" s="107"/>
      <c r="I5" s="107">
        <v>0.71499999999999997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176</v>
      </c>
      <c r="H7" s="107"/>
      <c r="I7" s="107">
        <v>-0.58499999999999996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176</v>
      </c>
      <c r="H8" s="107"/>
      <c r="I8" s="107">
        <v>0.69499999999999995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3.62</v>
      </c>
      <c r="I16" s="107">
        <v>2.0299999999999998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176</v>
      </c>
      <c r="H17" s="107"/>
      <c r="I17" s="107">
        <v>4.8499999999999996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176</v>
      </c>
      <c r="H19" s="107"/>
      <c r="I19" s="107">
        <v>0.72499999999999998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4.45</v>
      </c>
      <c r="I20" s="107">
        <v>3.73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176</v>
      </c>
      <c r="H21" s="107"/>
      <c r="I21" s="107">
        <v>4.3499999999999996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176</v>
      </c>
      <c r="H22" s="107"/>
      <c r="I22" s="107">
        <v>-0.87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176</v>
      </c>
      <c r="H23" s="107"/>
      <c r="I23" s="107">
        <v>2.62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176</v>
      </c>
      <c r="H24" s="107"/>
      <c r="I24" s="107">
        <v>-0.47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176</v>
      </c>
      <c r="H25" s="107"/>
      <c r="I25" s="107">
        <v>-1.53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176</v>
      </c>
      <c r="H28" s="107"/>
      <c r="I28" s="107">
        <v>-1.39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176</v>
      </c>
      <c r="H29" s="107"/>
      <c r="I29" s="107">
        <v>1.46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176</v>
      </c>
      <c r="H30" s="107"/>
      <c r="I30" s="107">
        <v>4.4800000000000004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C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0.61818041958041969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f>67/(500+67+5)</f>
        <v>0.11713286713286714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6.6765734265734261E-2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2.2255244755244754E-4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2.0606013986013989E-3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2.2378702692891071E-4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3.9019117100285529E-4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4.6349816790293224E-4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6.2865055339921355E-5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2.7125702468213504E-2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3.3273509376734704E-7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2.4646242130105944E-5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5.2345179504113763E-2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1.2358305926279832E-3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3.1790346116560882E-4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1.8963808872412089E-5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1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4.0504286457736842E-2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9.8593070854026105E-2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3.62</v>
      </c>
      <c r="F16" s="67" t="s">
        <v>231</v>
      </c>
      <c r="G16" s="67" t="s">
        <v>231</v>
      </c>
      <c r="H16" s="67" t="s">
        <v>231</v>
      </c>
      <c r="I16" s="68">
        <v>6.7683735640299407E-8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7.7094818681974731E-4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9.8745175819984513E-7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3.5720964894763405E-7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4.45</v>
      </c>
      <c r="F20" s="67" t="s">
        <v>231</v>
      </c>
      <c r="G20" s="67" t="s">
        <v>231</v>
      </c>
      <c r="H20" s="67" t="s">
        <v>231</v>
      </c>
      <c r="I20" s="68">
        <v>2.8549916990814361E-6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1.5107414916060521E-4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4.2145929815773539E-7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7.0365248221307582E-4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1.318322218558348E-4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6.459942713559415E-10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9.2187788578833295E-8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4.3267602307169564E-6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5.8132000507647795E-7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5.5778450645489343E-6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1.0778480159638708E-3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9.1312344148776817E-4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2" activePane="bottomLeft" state="frozen"/>
      <selection pane="bottomLeft" activeCell="L6" sqref="L6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9.8675848768567249</v>
      </c>
      <c r="F2" s="14">
        <v>9.8826104551663363</v>
      </c>
      <c r="G2" s="14">
        <v>2.0854518386493794E-14</v>
      </c>
      <c r="H2" s="14">
        <v>2.633732585513096</v>
      </c>
      <c r="I2" s="14">
        <v>9.4848146363106469</v>
      </c>
      <c r="J2" s="14">
        <v>0</v>
      </c>
      <c r="K2" s="14">
        <v>1.0118783944147365</v>
      </c>
      <c r="L2" s="14">
        <v>0.98826104551663352</v>
      </c>
      <c r="M2" s="14">
        <v>0.8108681878463978</v>
      </c>
      <c r="N2" s="14">
        <v>0</v>
      </c>
      <c r="O2" s="14">
        <v>0</v>
      </c>
      <c r="P2" s="8">
        <v>0</v>
      </c>
      <c r="Q2" s="54">
        <v>0.19862268471334976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8.8815092546661827</v>
      </c>
      <c r="F3" s="14">
        <v>8.4177953615713168</v>
      </c>
      <c r="G3" s="14">
        <v>1.0717336121149662E-5</v>
      </c>
      <c r="H3" s="14">
        <v>182.9188084769053</v>
      </c>
      <c r="I3" s="14">
        <v>476.33833524916543</v>
      </c>
      <c r="J3" s="14">
        <v>0</v>
      </c>
      <c r="K3" s="14">
        <v>1.1879595037023256</v>
      </c>
      <c r="L3" s="14">
        <v>0.84177953615713164</v>
      </c>
      <c r="M3" s="14">
        <v>0.69068010941692648</v>
      </c>
      <c r="N3" s="14">
        <v>0</v>
      </c>
      <c r="O3" s="14">
        <v>0</v>
      </c>
      <c r="P3" s="8">
        <v>0</v>
      </c>
      <c r="Q3" s="54">
        <v>1.6769323177916442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7.8351291365687272</v>
      </c>
      <c r="F4" s="14">
        <v>2.1296265107353323</v>
      </c>
      <c r="G4" s="14">
        <v>9.3875428457212165E-5</v>
      </c>
      <c r="H4" s="14">
        <v>2288.3552403970743</v>
      </c>
      <c r="I4" s="14">
        <v>4470.7523681523171</v>
      </c>
      <c r="J4" s="14">
        <v>0</v>
      </c>
      <c r="K4" s="14">
        <v>4.6956590508197289</v>
      </c>
      <c r="L4" s="14">
        <v>0.21296265107353321</v>
      </c>
      <c r="M4" s="14">
        <v>0.17473585520583401</v>
      </c>
      <c r="N4" s="14">
        <v>0</v>
      </c>
      <c r="O4" s="14">
        <v>0</v>
      </c>
      <c r="P4" s="8">
        <v>0</v>
      </c>
      <c r="Q4" s="54">
        <v>3.2402656380126187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9.7103412793700858</v>
      </c>
      <c r="F5" s="14">
        <v>9.6990834601964462</v>
      </c>
      <c r="G5" s="14">
        <v>6.5275346238497548E-16</v>
      </c>
      <c r="H5" s="14">
        <v>12.031525516021066</v>
      </c>
      <c r="I5" s="14">
        <v>38.688141465189595</v>
      </c>
      <c r="J5" s="14">
        <v>0</v>
      </c>
      <c r="K5" s="14">
        <v>1.0310252552252459</v>
      </c>
      <c r="L5" s="14">
        <v>0.96990834601964449</v>
      </c>
      <c r="M5" s="14">
        <v>0.79580979790911832</v>
      </c>
      <c r="N5" s="14">
        <v>0</v>
      </c>
      <c r="O5" s="14">
        <v>0</v>
      </c>
      <c r="P5" s="8">
        <v>0</v>
      </c>
      <c r="Q5" s="54">
        <v>0.43448808094482722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9.0797775817657289</v>
      </c>
      <c r="F6" s="14">
        <v>0.1217628041426055</v>
      </c>
      <c r="G6" s="14">
        <v>2.3388540886583932E-5</v>
      </c>
      <c r="H6" s="14">
        <v>3369.5712277555922</v>
      </c>
      <c r="I6" s="14">
        <v>9053.8190812871799</v>
      </c>
      <c r="J6" s="14">
        <v>0</v>
      </c>
      <c r="K6" s="14">
        <v>82.126886534973806</v>
      </c>
      <c r="L6" s="14">
        <v>1.2176280414260549E-2</v>
      </c>
      <c r="M6" s="14">
        <v>9.99063807990078E-3</v>
      </c>
      <c r="N6" s="14">
        <v>0</v>
      </c>
      <c r="O6" s="14">
        <v>0</v>
      </c>
      <c r="P6" s="8">
        <v>0</v>
      </c>
      <c r="Q6" s="54">
        <v>1.3785794867849126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9.9453101689951691</v>
      </c>
      <c r="F7" s="14">
        <v>9.9666429720597094</v>
      </c>
      <c r="G7" s="14">
        <v>4.4541761567217967E-9</v>
      </c>
      <c r="H7" s="14">
        <v>0.47900373644254485</v>
      </c>
      <c r="I7" s="14">
        <v>1.9570236404956349</v>
      </c>
      <c r="J7" s="14">
        <v>0</v>
      </c>
      <c r="K7" s="14">
        <v>1.003346866947457</v>
      </c>
      <c r="L7" s="14">
        <v>0.99666429720597094</v>
      </c>
      <c r="M7" s="14">
        <v>0.81776305585749909</v>
      </c>
      <c r="N7" s="14">
        <v>0</v>
      </c>
      <c r="O7" s="14">
        <v>0</v>
      </c>
      <c r="P7" s="8">
        <v>0</v>
      </c>
      <c r="Q7" s="54">
        <v>8.2034412444036114E-2</v>
      </c>
    </row>
    <row r="8" spans="1:20">
      <c r="A8" s="2" t="s">
        <v>295</v>
      </c>
      <c r="B8" s="16" t="s">
        <v>296</v>
      </c>
      <c r="D8" s="14">
        <v>10</v>
      </c>
      <c r="E8" s="14">
        <v>9.7175380072778594</v>
      </c>
      <c r="F8" s="14">
        <v>9.7078706447215719</v>
      </c>
      <c r="G8" s="14">
        <v>1.6406746523642304E-9</v>
      </c>
      <c r="H8" s="14">
        <v>11.454970651150674</v>
      </c>
      <c r="I8" s="14">
        <v>36.970144801975088</v>
      </c>
      <c r="J8" s="14">
        <v>0</v>
      </c>
      <c r="K8" s="14">
        <v>1.0300920115202881</v>
      </c>
      <c r="L8" s="14">
        <v>0.97078706447215724</v>
      </c>
      <c r="M8" s="14">
        <v>0.796530786399405</v>
      </c>
      <c r="N8" s="14">
        <v>0</v>
      </c>
      <c r="O8" s="14">
        <v>0</v>
      </c>
      <c r="P8" s="8">
        <v>0</v>
      </c>
      <c r="Q8" s="54">
        <v>0.42369286603261297</v>
      </c>
    </row>
    <row r="9" spans="1:20">
      <c r="A9" s="2" t="s">
        <v>297</v>
      </c>
      <c r="B9" s="16" t="s">
        <v>298</v>
      </c>
      <c r="D9" s="14">
        <v>10</v>
      </c>
      <c r="E9" s="14">
        <v>9.3922642346266532</v>
      </c>
      <c r="F9" s="14">
        <v>9.2539797038150885E-3</v>
      </c>
      <c r="G9" s="14">
        <v>9.5450241235031557E-9</v>
      </c>
      <c r="H9" s="14">
        <v>1077.8257194122268</v>
      </c>
      <c r="I9" s="14">
        <v>32181.457796032362</v>
      </c>
      <c r="J9" s="14">
        <v>0</v>
      </c>
      <c r="K9" s="14">
        <v>1080.6161586757482</v>
      </c>
      <c r="L9" s="14">
        <v>9.2539797038150887E-4</v>
      </c>
      <c r="M9" s="14">
        <v>7.5928903469802799E-4</v>
      </c>
      <c r="N9" s="14">
        <v>0</v>
      </c>
      <c r="O9" s="14">
        <v>0</v>
      </c>
      <c r="P9" s="8">
        <v>0</v>
      </c>
      <c r="Q9" s="54">
        <v>0.91160293218321187</v>
      </c>
    </row>
    <row r="10" spans="1:20">
      <c r="A10" s="2" t="s">
        <v>299</v>
      </c>
      <c r="B10" s="16" t="s">
        <v>300</v>
      </c>
      <c r="D10" s="14">
        <v>10</v>
      </c>
      <c r="E10" s="14">
        <v>8.4791636692783765</v>
      </c>
      <c r="F10" s="14">
        <v>7.5449659555445354</v>
      </c>
      <c r="G10" s="14">
        <v>5.5522085706338817E-6</v>
      </c>
      <c r="H10" s="14">
        <v>364.95329116324484</v>
      </c>
      <c r="I10" s="14">
        <v>895.97203612952865</v>
      </c>
      <c r="J10" s="14">
        <v>0</v>
      </c>
      <c r="K10" s="14">
        <v>1.3253870274459416</v>
      </c>
      <c r="L10" s="14">
        <v>0.75449659555445348</v>
      </c>
      <c r="M10" s="14">
        <v>0.61906445665242904</v>
      </c>
      <c r="N10" s="14">
        <v>0</v>
      </c>
      <c r="O10" s="14">
        <v>0</v>
      </c>
      <c r="P10" s="8">
        <v>0</v>
      </c>
      <c r="Q10" s="54">
        <v>2.2808380804396382</v>
      </c>
    </row>
    <row r="11" spans="1:20">
      <c r="A11" s="2" t="s">
        <v>301</v>
      </c>
      <c r="B11" s="16" t="s">
        <v>302</v>
      </c>
      <c r="D11" s="14">
        <v>10</v>
      </c>
      <c r="E11" s="14">
        <v>8.8109987485804542</v>
      </c>
      <c r="F11" s="14">
        <v>8.279353006685346</v>
      </c>
      <c r="G11" s="14">
        <v>3.5747435208576051E-18</v>
      </c>
      <c r="H11" s="14">
        <v>209.0337443501636</v>
      </c>
      <c r="I11" s="14">
        <v>538.36097473121356</v>
      </c>
      <c r="J11" s="14">
        <v>0</v>
      </c>
      <c r="K11" s="14">
        <v>1.2078238470959362</v>
      </c>
      <c r="L11" s="14">
        <v>0.82793530066853449</v>
      </c>
      <c r="M11" s="14">
        <v>0.67932091419853258</v>
      </c>
      <c r="N11" s="14">
        <v>0</v>
      </c>
      <c r="O11" s="14">
        <v>0</v>
      </c>
      <c r="P11" s="8">
        <v>0</v>
      </c>
      <c r="Q11" s="54">
        <v>1.7835018771293221</v>
      </c>
    </row>
    <row r="12" spans="1:20">
      <c r="A12" s="2" t="s">
        <v>303</v>
      </c>
      <c r="B12" s="16" t="s">
        <v>304</v>
      </c>
      <c r="D12" s="14">
        <v>10</v>
      </c>
      <c r="E12" s="14">
        <v>9.4329881662517057</v>
      </c>
      <c r="F12" s="14">
        <v>9.3318169486904026</v>
      </c>
      <c r="G12" s="14">
        <v>5.026372826595118E-30</v>
      </c>
      <c r="H12" s="14">
        <v>45.229960780099134</v>
      </c>
      <c r="I12" s="14">
        <v>131.54773716991559</v>
      </c>
      <c r="J12" s="14">
        <v>0</v>
      </c>
      <c r="K12" s="14">
        <v>1.0716026744827405</v>
      </c>
      <c r="L12" s="14">
        <v>0.93318169486904012</v>
      </c>
      <c r="M12" s="14">
        <v>0.76567558064004748</v>
      </c>
      <c r="N12" s="14">
        <v>0</v>
      </c>
      <c r="O12" s="14">
        <v>0</v>
      </c>
      <c r="P12" s="8">
        <v>0</v>
      </c>
      <c r="Q12" s="54">
        <v>0.85051775062244395</v>
      </c>
    </row>
    <row r="13" spans="1:20">
      <c r="A13" s="2" t="s">
        <v>305</v>
      </c>
      <c r="B13" s="16" t="s">
        <v>306</v>
      </c>
      <c r="D13" s="14">
        <v>10</v>
      </c>
      <c r="E13" s="14">
        <v>9.0767513791711671</v>
      </c>
      <c r="F13" s="14">
        <v>5.9730001330342314E-2</v>
      </c>
      <c r="G13" s="14">
        <v>9.8396808451532402E-9</v>
      </c>
      <c r="H13" s="14">
        <v>2661.0468725262303</v>
      </c>
      <c r="I13" s="14">
        <v>15878.508109954057</v>
      </c>
      <c r="J13" s="14">
        <v>0</v>
      </c>
      <c r="K13" s="14">
        <v>167.42005319393971</v>
      </c>
      <c r="L13" s="14">
        <v>5.9730001330342312E-3</v>
      </c>
      <c r="M13" s="14">
        <v>4.9008466091545865E-3</v>
      </c>
      <c r="N13" s="14">
        <v>0</v>
      </c>
      <c r="O13" s="14">
        <v>0</v>
      </c>
      <c r="P13" s="8">
        <v>0</v>
      </c>
      <c r="Q13" s="54">
        <v>1.3848721932671866</v>
      </c>
    </row>
    <row r="14" spans="1:20">
      <c r="A14" s="2" t="s">
        <v>307</v>
      </c>
      <c r="B14" s="16" t="s">
        <v>308</v>
      </c>
      <c r="D14" s="14">
        <v>10</v>
      </c>
      <c r="E14" s="14">
        <v>3.7305507921768011</v>
      </c>
      <c r="F14" s="14">
        <v>1.394394971736747</v>
      </c>
      <c r="G14" s="14">
        <v>3.8680697403264076E-10</v>
      </c>
      <c r="H14" s="14">
        <v>931.67793035400871</v>
      </c>
      <c r="I14" s="14">
        <v>1885.0504542325425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8.5097152817735111</v>
      </c>
      <c r="F15" s="14">
        <v>0.6801246768202367</v>
      </c>
      <c r="G15" s="14">
        <v>3.8051959008742697E-5</v>
      </c>
      <c r="H15" s="14">
        <v>3195.5714509865984</v>
      </c>
      <c r="I15" s="14">
        <v>5600.2279314300276</v>
      </c>
      <c r="J15" s="14">
        <v>0</v>
      </c>
      <c r="K15" s="14">
        <v>14.703186549196618</v>
      </c>
      <c r="L15" s="14">
        <v>6.8012467682023667E-2</v>
      </c>
      <c r="M15" s="14">
        <v>5.5804229733100418E-2</v>
      </c>
      <c r="N15" s="14">
        <v>0</v>
      </c>
      <c r="O15" s="14">
        <v>0</v>
      </c>
      <c r="P15" s="8">
        <v>0</v>
      </c>
      <c r="Q15" s="54">
        <v>2.2325731804140809</v>
      </c>
    </row>
    <row r="16" spans="1:20">
      <c r="A16" s="2" t="s">
        <v>311</v>
      </c>
      <c r="B16" s="16" t="s">
        <v>312</v>
      </c>
      <c r="D16" s="14">
        <v>10</v>
      </c>
      <c r="E16" s="14">
        <v>9.9992506095353999</v>
      </c>
      <c r="F16" s="14">
        <v>9.3781961471107742</v>
      </c>
      <c r="G16" s="14">
        <v>2.1279221271300557E-19</v>
      </c>
      <c r="H16" s="14">
        <v>311.74486734697166</v>
      </c>
      <c r="I16" s="14">
        <v>0.37931447996735923</v>
      </c>
      <c r="J16" s="14">
        <v>0</v>
      </c>
      <c r="K16" s="14">
        <v>1.0663031400852914</v>
      </c>
      <c r="L16" s="14">
        <v>0.93781961471107744</v>
      </c>
      <c r="M16" s="14">
        <v>0.769480993870439</v>
      </c>
      <c r="N16" s="14">
        <v>0</v>
      </c>
      <c r="O16" s="14">
        <v>0</v>
      </c>
      <c r="P16" s="8">
        <v>0</v>
      </c>
      <c r="Q16" s="54">
        <v>1.1240856969004871E-3</v>
      </c>
    </row>
    <row r="17" spans="1:21">
      <c r="A17" s="2" t="s">
        <v>313</v>
      </c>
      <c r="B17" s="16" t="s">
        <v>314</v>
      </c>
      <c r="D17" s="14">
        <v>10</v>
      </c>
      <c r="E17" s="14">
        <v>9.0942946979667187</v>
      </c>
      <c r="F17" s="14">
        <v>0.13849082372868493</v>
      </c>
      <c r="G17" s="14">
        <v>3.9287056017545255E-19</v>
      </c>
      <c r="H17" s="14">
        <v>3484.3437851576564</v>
      </c>
      <c r="I17" s="14">
        <v>7981.3833221147706</v>
      </c>
      <c r="J17" s="14">
        <v>0</v>
      </c>
      <c r="K17" s="14">
        <v>72.206950112383154</v>
      </c>
      <c r="L17" s="14">
        <v>1.3849082372868492E-2</v>
      </c>
      <c r="M17" s="14">
        <v>1.1363172086938598E-2</v>
      </c>
      <c r="N17" s="14">
        <v>0</v>
      </c>
      <c r="O17" s="14">
        <v>0</v>
      </c>
      <c r="P17" s="8">
        <v>0</v>
      </c>
      <c r="Q17" s="54">
        <v>1.3585579530499237</v>
      </c>
    </row>
    <row r="18" spans="1:21">
      <c r="A18" s="2" t="s">
        <v>315</v>
      </c>
      <c r="B18" s="166">
        <v>354656</v>
      </c>
      <c r="D18" s="14">
        <v>10</v>
      </c>
      <c r="E18" s="14">
        <v>9.8623857470741658</v>
      </c>
      <c r="F18" s="14">
        <v>9.876828175139476</v>
      </c>
      <c r="G18" s="14">
        <v>4.1603128114795104E-11</v>
      </c>
      <c r="H18" s="14">
        <v>2.8372493063954036</v>
      </c>
      <c r="I18" s="14">
        <v>10.161426245776589</v>
      </c>
      <c r="J18" s="14">
        <v>0</v>
      </c>
      <c r="K18" s="14">
        <v>1.0124707874508292</v>
      </c>
      <c r="L18" s="14">
        <v>0.98768281751394749</v>
      </c>
      <c r="M18" s="14">
        <v>0.8103937517701939</v>
      </c>
      <c r="N18" s="14">
        <v>0</v>
      </c>
      <c r="O18" s="14">
        <v>0</v>
      </c>
      <c r="P18" s="8">
        <v>0</v>
      </c>
      <c r="Q18" s="54">
        <v>0.20642137626851703</v>
      </c>
    </row>
    <row r="19" spans="1:21">
      <c r="A19" s="2" t="s">
        <v>317</v>
      </c>
      <c r="B19" s="16" t="s">
        <v>318</v>
      </c>
      <c r="D19" s="14">
        <v>10</v>
      </c>
      <c r="E19" s="14">
        <v>9.7066773412671541</v>
      </c>
      <c r="F19" s="14">
        <v>9.6945955704214128</v>
      </c>
      <c r="G19" s="14">
        <v>6.5254157074463545E-11</v>
      </c>
      <c r="H19" s="14">
        <v>12.33047185763334</v>
      </c>
      <c r="I19" s="14">
        <v>39.57645288050373</v>
      </c>
      <c r="J19" s="14">
        <v>0</v>
      </c>
      <c r="K19" s="14">
        <v>1.0315025446250063</v>
      </c>
      <c r="L19" s="14">
        <v>0.96945955704214115</v>
      </c>
      <c r="M19" s="14">
        <v>0.79544156655307685</v>
      </c>
      <c r="N19" s="14">
        <v>0</v>
      </c>
      <c r="O19" s="14">
        <v>0</v>
      </c>
      <c r="P19" s="8">
        <v>0</v>
      </c>
      <c r="Q19" s="54">
        <v>0.43998398320520882</v>
      </c>
    </row>
    <row r="20" spans="1:21">
      <c r="A20" s="2" t="s">
        <v>284</v>
      </c>
      <c r="B20" s="16" t="s">
        <v>276</v>
      </c>
      <c r="D20" s="14">
        <v>10</v>
      </c>
      <c r="E20" s="14">
        <v>9.9962419394389741</v>
      </c>
      <c r="F20" s="14">
        <v>1.721681720602088</v>
      </c>
      <c r="G20" s="14">
        <v>3.2476883164630319E-9</v>
      </c>
      <c r="H20" s="14">
        <v>4016.3621764063259</v>
      </c>
      <c r="I20" s="14">
        <v>10.647220969961323</v>
      </c>
      <c r="J20" s="14">
        <v>0</v>
      </c>
      <c r="K20" s="14">
        <v>5.8082744797353767</v>
      </c>
      <c r="L20" s="14">
        <v>0.17216817206020879</v>
      </c>
      <c r="M20" s="14">
        <v>0.14126398517540131</v>
      </c>
      <c r="N20" s="14">
        <v>0</v>
      </c>
      <c r="O20" s="14">
        <v>0</v>
      </c>
      <c r="P20" s="8">
        <v>0</v>
      </c>
      <c r="Q20" s="54">
        <v>5.6368472649168978E-3</v>
      </c>
    </row>
    <row r="21" spans="1:21">
      <c r="A21" s="2" t="s">
        <v>319</v>
      </c>
      <c r="B21" s="16" t="s">
        <v>320</v>
      </c>
      <c r="D21" s="14">
        <v>10</v>
      </c>
      <c r="E21" s="14">
        <v>8.903688357092955</v>
      </c>
      <c r="F21" s="14">
        <v>0.32163856412978148</v>
      </c>
      <c r="G21" s="14">
        <v>9.061427130907507E-21</v>
      </c>
      <c r="H21" s="14">
        <v>3536.4548243444215</v>
      </c>
      <c r="I21" s="14">
        <v>5821.371098818584</v>
      </c>
      <c r="J21" s="14">
        <v>0</v>
      </c>
      <c r="K21" s="14">
        <v>31.090799161648388</v>
      </c>
      <c r="L21" s="14">
        <v>3.2163856412978142E-2</v>
      </c>
      <c r="M21" s="14">
        <v>2.6390444186848567E-2</v>
      </c>
      <c r="N21" s="14">
        <v>0</v>
      </c>
      <c r="O21" s="14">
        <v>0</v>
      </c>
      <c r="P21" s="8">
        <v>0</v>
      </c>
      <c r="Q21" s="54">
        <v>1.6444674643605699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9.9622102089890561</v>
      </c>
      <c r="F22" s="14">
        <v>9.98429559063627</v>
      </c>
      <c r="G22" s="14">
        <v>1.9401080503441561E-8</v>
      </c>
      <c r="H22" s="14">
        <v>0.23528672787858448</v>
      </c>
      <c r="I22" s="14">
        <v>1.0131053314533955</v>
      </c>
      <c r="J22" s="14">
        <v>0</v>
      </c>
      <c r="K22" s="14">
        <v>1.0015729111003544</v>
      </c>
      <c r="L22" s="14">
        <v>0.99842955906362696</v>
      </c>
      <c r="M22" s="14">
        <v>0.81921145321170596</v>
      </c>
      <c r="N22" s="14">
        <v>0</v>
      </c>
      <c r="O22" s="14">
        <v>0</v>
      </c>
      <c r="P22" s="8">
        <v>0</v>
      </c>
      <c r="Q22" s="54">
        <v>5.6683231435383882E-2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7.9306738013823788</v>
      </c>
      <c r="F23" s="14">
        <v>5.7868609145667627</v>
      </c>
      <c r="G23" s="14">
        <v>7.9779540762954701E-12</v>
      </c>
      <c r="H23" s="14">
        <v>841.12984781258888</v>
      </c>
      <c r="I23" s="14">
        <v>1904.2335612237719</v>
      </c>
      <c r="J23" s="14">
        <v>0</v>
      </c>
      <c r="K23" s="14">
        <v>1.7280525914883957</v>
      </c>
      <c r="L23" s="14">
        <v>0.57868609145667615</v>
      </c>
      <c r="M23" s="14">
        <v>0.47481193804020283</v>
      </c>
      <c r="N23" s="14">
        <v>0</v>
      </c>
      <c r="O23" s="14">
        <v>0</v>
      </c>
      <c r="P23" s="8">
        <v>0</v>
      </c>
      <c r="Q23" s="54">
        <v>3.10398929732809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9.93652672289622</v>
      </c>
      <c r="F24" s="14">
        <v>9.9573783168817656</v>
      </c>
      <c r="G24" s="14">
        <v>5.2366493664114959E-12</v>
      </c>
      <c r="H24" s="14">
        <v>0.63800635975402242</v>
      </c>
      <c r="I24" s="14">
        <v>2.5520088647568007</v>
      </c>
      <c r="J24" s="14">
        <v>0</v>
      </c>
      <c r="K24" s="14">
        <v>1.004280412148846</v>
      </c>
      <c r="L24" s="14">
        <v>0.99573783168817642</v>
      </c>
      <c r="M24" s="14">
        <v>0.81700289090014877</v>
      </c>
      <c r="N24" s="14">
        <v>0</v>
      </c>
      <c r="O24" s="14">
        <v>0</v>
      </c>
      <c r="P24" s="8">
        <v>0</v>
      </c>
      <c r="Q24" s="54">
        <v>9.5209915262921968E-2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9.9839758154503819</v>
      </c>
      <c r="F25" s="14">
        <v>10.006680333704224</v>
      </c>
      <c r="G25" s="14">
        <v>3.2721900071688959E-28</v>
      </c>
      <c r="H25" s="14">
        <v>4.5269951200826428E-2</v>
      </c>
      <c r="I25" s="14">
        <v>0.22012389918102973</v>
      </c>
      <c r="J25" s="14">
        <v>0</v>
      </c>
      <c r="K25" s="14">
        <v>0.99933241260023842</v>
      </c>
      <c r="L25" s="14">
        <v>1.0006680333704223</v>
      </c>
      <c r="M25" s="14">
        <v>0.82104812138043148</v>
      </c>
      <c r="N25" s="14">
        <v>0</v>
      </c>
      <c r="O25" s="14">
        <v>0</v>
      </c>
      <c r="P25" s="8">
        <v>0</v>
      </c>
      <c r="Q25" s="54">
        <v>2.4036276824430328E-2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9.9634179681282831</v>
      </c>
      <c r="F26" s="14">
        <v>9.9855481932847194</v>
      </c>
      <c r="G26" s="14">
        <v>2.6165582033609546E-14</v>
      </c>
      <c r="H26" s="14">
        <v>0.22105579886049695</v>
      </c>
      <c r="I26" s="14">
        <v>0.95622277379824239</v>
      </c>
      <c r="J26" s="14">
        <v>0</v>
      </c>
      <c r="K26" s="14">
        <v>1.0014472722413978</v>
      </c>
      <c r="L26" s="14">
        <v>0.9985548193284719</v>
      </c>
      <c r="M26" s="14">
        <v>0.81931422925901121</v>
      </c>
      <c r="N26" s="14">
        <v>0</v>
      </c>
      <c r="O26" s="14">
        <v>0</v>
      </c>
      <c r="P26" s="8">
        <v>0</v>
      </c>
      <c r="Q26" s="54">
        <v>5.487304780561611E-2</v>
      </c>
    </row>
    <row r="27" spans="1:21">
      <c r="A27" s="2" t="s">
        <v>331</v>
      </c>
      <c r="B27" s="16" t="s">
        <v>332</v>
      </c>
      <c r="D27" s="14">
        <v>10</v>
      </c>
      <c r="E27" s="14">
        <v>9.7901984240255775</v>
      </c>
      <c r="F27" s="14">
        <v>9.7945119487434109</v>
      </c>
      <c r="G27" s="14">
        <v>3.2920868808316454E-10</v>
      </c>
      <c r="H27" s="14">
        <v>6.4215933523631845</v>
      </c>
      <c r="I27" s="14">
        <v>21.642128491421172</v>
      </c>
      <c r="J27" s="14">
        <v>0</v>
      </c>
      <c r="K27" s="14">
        <v>1.0209799173590219</v>
      </c>
      <c r="L27" s="14">
        <v>0.97945119487434096</v>
      </c>
      <c r="M27" s="14">
        <v>0.80363970539439677</v>
      </c>
      <c r="N27" s="14">
        <v>0</v>
      </c>
      <c r="O27" s="14">
        <v>0</v>
      </c>
      <c r="P27" s="8">
        <v>0</v>
      </c>
      <c r="Q27" s="54">
        <v>0.31470233927098312</v>
      </c>
    </row>
    <row r="28" spans="1:21">
      <c r="A28" s="2" t="s">
        <v>333</v>
      </c>
      <c r="B28" s="16" t="s">
        <v>334</v>
      </c>
      <c r="D28" s="14">
        <v>10</v>
      </c>
      <c r="E28" s="14">
        <v>9.980774654613791</v>
      </c>
      <c r="F28" s="14">
        <v>10.003413911572618</v>
      </c>
      <c r="G28" s="14">
        <v>2.60337497987038E-17</v>
      </c>
      <c r="H28" s="14">
        <v>6.4225610178479428E-2</v>
      </c>
      <c r="I28" s="14">
        <v>0.30434446637112628</v>
      </c>
      <c r="J28" s="14">
        <v>0</v>
      </c>
      <c r="K28" s="14">
        <v>0.99965872535088574</v>
      </c>
      <c r="L28" s="14">
        <v>1.0003413911572616</v>
      </c>
      <c r="M28" s="14">
        <v>0.82078011144453322</v>
      </c>
      <c r="N28" s="14">
        <v>0</v>
      </c>
      <c r="O28" s="14">
        <v>0</v>
      </c>
      <c r="P28" s="8">
        <v>0</v>
      </c>
      <c r="Q28" s="54">
        <v>2.8838018079312289E-2</v>
      </c>
    </row>
    <row r="29" spans="1:21">
      <c r="A29" s="2" t="s">
        <v>335</v>
      </c>
      <c r="B29" s="16" t="s">
        <v>336</v>
      </c>
      <c r="D29" s="14">
        <v>10</v>
      </c>
      <c r="E29" s="14">
        <v>9.2818528412895116</v>
      </c>
      <c r="F29" s="14">
        <v>9.1072548106966771</v>
      </c>
      <c r="G29" s="14">
        <v>1.55552134710837E-9</v>
      </c>
      <c r="H29" s="14">
        <v>72.785938777688656</v>
      </c>
      <c r="I29" s="14">
        <v>204.03499353678546</v>
      </c>
      <c r="J29" s="14">
        <v>0</v>
      </c>
      <c r="K29" s="14">
        <v>1.0980257177228394</v>
      </c>
      <c r="L29" s="14">
        <v>0.91072548106966755</v>
      </c>
      <c r="M29" s="14">
        <v>0.74725025721766225</v>
      </c>
      <c r="N29" s="14">
        <v>0</v>
      </c>
      <c r="O29" s="14">
        <v>0</v>
      </c>
      <c r="P29" s="8">
        <v>0</v>
      </c>
      <c r="Q29" s="54">
        <v>1.0772206214016322</v>
      </c>
    </row>
    <row r="30" spans="1:21">
      <c r="A30" s="2" t="s">
        <v>337</v>
      </c>
      <c r="B30" s="16" t="s">
        <v>338</v>
      </c>
      <c r="D30" s="14">
        <v>10</v>
      </c>
      <c r="E30" s="14">
        <v>9.0349117891990343</v>
      </c>
      <c r="F30" s="14">
        <v>0.23901276649988926</v>
      </c>
      <c r="G30" s="14">
        <v>4.2562740812643621E-17</v>
      </c>
      <c r="H30" s="14">
        <v>3637.4840590439876</v>
      </c>
      <c r="I30" s="14">
        <v>5845.992710789289</v>
      </c>
      <c r="J30" s="14">
        <v>0</v>
      </c>
      <c r="K30" s="14">
        <v>41.838769311113907</v>
      </c>
      <c r="L30" s="14">
        <v>2.3901276649988923E-2</v>
      </c>
      <c r="M30" s="14">
        <v>1.961099749131591E-2</v>
      </c>
      <c r="N30" s="14">
        <v>0</v>
      </c>
      <c r="O30" s="14">
        <v>0</v>
      </c>
      <c r="P30" s="8">
        <v>0</v>
      </c>
      <c r="Q30" s="54">
        <v>1.4476323162014493</v>
      </c>
    </row>
    <row r="31" spans="1:21">
      <c r="A31" s="2" t="s">
        <v>275</v>
      </c>
      <c r="B31" s="16" t="s">
        <v>339</v>
      </c>
      <c r="D31" s="14">
        <v>10</v>
      </c>
      <c r="E31" s="14">
        <v>8.089640922631931</v>
      </c>
      <c r="F31" s="14">
        <v>6.4116394754329775</v>
      </c>
      <c r="G31" s="14">
        <v>4.4215809637355013E-11</v>
      </c>
      <c r="H31" s="14">
        <v>656.67290031284517</v>
      </c>
      <c r="I31" s="14">
        <v>1525.4791104427006</v>
      </c>
      <c r="J31" s="14">
        <v>0</v>
      </c>
      <c r="K31" s="14">
        <v>1.5596634898634409</v>
      </c>
      <c r="L31" s="14">
        <v>0.64116394754329775</v>
      </c>
      <c r="M31" s="14">
        <v>0.52607501895927578</v>
      </c>
      <c r="N31" s="14">
        <v>0</v>
      </c>
      <c r="O31" s="14">
        <v>0</v>
      </c>
      <c r="P31" s="8">
        <v>0</v>
      </c>
      <c r="Q31" s="54">
        <v>2.8655386127359201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1.0427259193246898E-13</v>
      </c>
      <c r="E2" s="20">
        <v>0.98675848768567243</v>
      </c>
      <c r="F2" s="20">
        <v>5.4270730492503641E-4</v>
      </c>
      <c r="G2" s="20">
        <v>2.1108687118922119E-4</v>
      </c>
      <c r="H2" s="20">
        <v>0</v>
      </c>
      <c r="I2" s="20">
        <v>0.98600469350955822</v>
      </c>
      <c r="J2" s="20">
        <v>0</v>
      </c>
      <c r="K2" s="20">
        <v>1.3241512314223316E-2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5.3586680605748313E-5</v>
      </c>
      <c r="E3" s="20">
        <v>0.88815092546661811</v>
      </c>
      <c r="F3" s="20">
        <v>3.769227525780125E-2</v>
      </c>
      <c r="G3" s="20">
        <v>1.0601026237276007E-2</v>
      </c>
      <c r="H3" s="20">
        <v>0</v>
      </c>
      <c r="I3" s="20">
        <v>0.83985762397154085</v>
      </c>
      <c r="J3" s="20">
        <v>0</v>
      </c>
      <c r="K3" s="20">
        <v>0.11179548785277628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4.6937714228606085E-4</v>
      </c>
      <c r="E4" s="20">
        <v>0.78351291365687259</v>
      </c>
      <c r="F4" s="20">
        <v>0.47153880088590516</v>
      </c>
      <c r="G4" s="20">
        <v>9.949768819331993E-2</v>
      </c>
      <c r="H4" s="20">
        <v>0</v>
      </c>
      <c r="I4" s="20">
        <v>0.21247642457764754</v>
      </c>
      <c r="J4" s="20">
        <v>0</v>
      </c>
      <c r="K4" s="20">
        <v>0.21601770920084123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3.2637673119248769E-15</v>
      </c>
      <c r="E5" s="20">
        <v>0.9710341279370085</v>
      </c>
      <c r="F5" s="20">
        <v>2.4792178305621426E-3</v>
      </c>
      <c r="G5" s="20">
        <v>8.6101405743332785E-4</v>
      </c>
      <c r="H5" s="20">
        <v>0</v>
      </c>
      <c r="I5" s="20">
        <v>0.96769389604901301</v>
      </c>
      <c r="J5" s="20">
        <v>0</v>
      </c>
      <c r="K5" s="20">
        <v>2.8965872062988479E-2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1.1694270443291965E-4</v>
      </c>
      <c r="E6" s="20">
        <v>0.90797775817657289</v>
      </c>
      <c r="F6" s="20">
        <v>0.69433431846002058</v>
      </c>
      <c r="G6" s="20">
        <v>0.20149495962375139</v>
      </c>
      <c r="H6" s="20">
        <v>0</v>
      </c>
      <c r="I6" s="20">
        <v>1.2148480092800881E-2</v>
      </c>
      <c r="J6" s="20">
        <v>0</v>
      </c>
      <c r="K6" s="20">
        <v>9.1905299118994158E-2</v>
      </c>
      <c r="L6" s="20">
        <v>0</v>
      </c>
    </row>
    <row r="7" spans="1:14">
      <c r="A7" s="2" t="s">
        <v>293</v>
      </c>
      <c r="B7" s="3" t="s">
        <v>294</v>
      </c>
      <c r="D7" s="20">
        <v>2.2270880783608986E-8</v>
      </c>
      <c r="E7" s="20">
        <v>0.99453101689951673</v>
      </c>
      <c r="F7" s="20">
        <v>9.8703576924880367E-5</v>
      </c>
      <c r="G7" s="20">
        <v>4.3554040111030474E-5</v>
      </c>
      <c r="H7" s="20">
        <v>0</v>
      </c>
      <c r="I7" s="20">
        <v>0.99438875928248083</v>
      </c>
      <c r="J7" s="20">
        <v>0</v>
      </c>
      <c r="K7" s="20">
        <v>5.4689608296024069E-3</v>
      </c>
      <c r="L7" s="20">
        <v>0</v>
      </c>
    </row>
    <row r="8" spans="1:14">
      <c r="A8" s="2" t="s">
        <v>295</v>
      </c>
      <c r="B8" s="3" t="s">
        <v>296</v>
      </c>
      <c r="D8" s="20">
        <v>8.2033732618211519E-9</v>
      </c>
      <c r="E8" s="20">
        <v>0.97175380072778583</v>
      </c>
      <c r="F8" s="20">
        <v>2.3604128544699055E-3</v>
      </c>
      <c r="G8" s="20">
        <v>8.2277962120479533E-4</v>
      </c>
      <c r="H8" s="20">
        <v>0</v>
      </c>
      <c r="I8" s="20">
        <v>0.96857060825211116</v>
      </c>
      <c r="J8" s="20">
        <v>0</v>
      </c>
      <c r="K8" s="20">
        <v>2.8246191068840864E-2</v>
      </c>
      <c r="L8" s="20">
        <v>0</v>
      </c>
    </row>
    <row r="9" spans="1:14">
      <c r="A9" s="2" t="s">
        <v>297</v>
      </c>
      <c r="B9" s="3" t="s">
        <v>298</v>
      </c>
      <c r="D9" s="20">
        <v>4.7725120617515775E-8</v>
      </c>
      <c r="E9" s="20">
        <v>0.93922642346266516</v>
      </c>
      <c r="F9" s="20">
        <v>0.22209691848693933</v>
      </c>
      <c r="G9" s="20">
        <v>0.71620621983127963</v>
      </c>
      <c r="H9" s="20">
        <v>0</v>
      </c>
      <c r="I9" s="20">
        <v>9.2328514444620926E-4</v>
      </c>
      <c r="J9" s="20">
        <v>0</v>
      </c>
      <c r="K9" s="20">
        <v>6.0773528812214123E-2</v>
      </c>
      <c r="L9" s="20">
        <v>0</v>
      </c>
    </row>
    <row r="10" spans="1:14">
      <c r="A10" s="2" t="s">
        <v>299</v>
      </c>
      <c r="B10" s="3" t="s">
        <v>300</v>
      </c>
      <c r="D10" s="20">
        <v>2.7761042853169408E-5</v>
      </c>
      <c r="E10" s="20">
        <v>0.84791636692783756</v>
      </c>
      <c r="F10" s="20">
        <v>7.5202326219516585E-2</v>
      </c>
      <c r="G10" s="20">
        <v>1.9940076957917656E-2</v>
      </c>
      <c r="H10" s="20">
        <v>0</v>
      </c>
      <c r="I10" s="20">
        <v>0.75277396375040329</v>
      </c>
      <c r="J10" s="20">
        <v>0</v>
      </c>
      <c r="K10" s="20">
        <v>0.15205587202930923</v>
      </c>
      <c r="L10" s="20">
        <v>0</v>
      </c>
    </row>
    <row r="11" spans="1:14">
      <c r="A11" s="2" t="s">
        <v>301</v>
      </c>
      <c r="B11" s="3" t="s">
        <v>302</v>
      </c>
      <c r="D11" s="20">
        <v>1.7873717604288022E-17</v>
      </c>
      <c r="E11" s="20">
        <v>0.8810998748580452</v>
      </c>
      <c r="F11" s="20">
        <v>4.3073522596283442E-2</v>
      </c>
      <c r="G11" s="20">
        <v>1.1981355259315296E-2</v>
      </c>
      <c r="H11" s="20">
        <v>0</v>
      </c>
      <c r="I11" s="20">
        <v>0.82604499700244649</v>
      </c>
      <c r="J11" s="20">
        <v>0</v>
      </c>
      <c r="K11" s="20">
        <v>0.1189001251419548</v>
      </c>
      <c r="L11" s="20">
        <v>0</v>
      </c>
    </row>
    <row r="12" spans="1:14">
      <c r="A12" s="2" t="s">
        <v>303</v>
      </c>
      <c r="B12" s="3" t="s">
        <v>304</v>
      </c>
      <c r="D12" s="20">
        <v>2.513186413297559E-29</v>
      </c>
      <c r="E12" s="20">
        <v>0.94329881662517034</v>
      </c>
      <c r="F12" s="20">
        <v>9.3200920442158691E-3</v>
      </c>
      <c r="G12" s="20">
        <v>2.9276270877150795E-3</v>
      </c>
      <c r="H12" s="20">
        <v>0</v>
      </c>
      <c r="I12" s="20">
        <v>0.93105109749323944</v>
      </c>
      <c r="J12" s="20">
        <v>0</v>
      </c>
      <c r="K12" s="20">
        <v>5.6701183374829593E-2</v>
      </c>
      <c r="L12" s="20">
        <v>0</v>
      </c>
    </row>
    <row r="13" spans="1:14">
      <c r="A13" s="2" t="s">
        <v>305</v>
      </c>
      <c r="B13" s="3" t="s">
        <v>306</v>
      </c>
      <c r="D13" s="20">
        <v>4.9198404225766194E-8</v>
      </c>
      <c r="E13" s="20">
        <v>0.90767513791711651</v>
      </c>
      <c r="F13" s="20">
        <v>0.54833569072714283</v>
      </c>
      <c r="G13" s="20">
        <v>0.35338008433516627</v>
      </c>
      <c r="H13" s="20">
        <v>0</v>
      </c>
      <c r="I13" s="20">
        <v>5.9593628548074169E-3</v>
      </c>
      <c r="J13" s="20">
        <v>0</v>
      </c>
      <c r="K13" s="20">
        <v>9.2324812884479093E-2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0.37305507921768005</v>
      </c>
      <c r="F14" s="20">
        <v>0.19198168463335269</v>
      </c>
      <c r="G14" s="20">
        <v>4.1952259234930532E-2</v>
      </c>
      <c r="H14" s="20">
        <v>0</v>
      </c>
      <c r="I14" s="20">
        <v>0.13912113534939685</v>
      </c>
      <c r="J14" s="20">
        <v>0</v>
      </c>
      <c r="K14" s="20">
        <v>0.11041592618563605</v>
      </c>
      <c r="L14" s="20">
        <v>0.51652899266264907</v>
      </c>
    </row>
    <row r="15" spans="1:14">
      <c r="A15" s="2" t="s">
        <v>309</v>
      </c>
      <c r="B15" s="3" t="s">
        <v>310</v>
      </c>
      <c r="D15" s="20">
        <v>1.902597950437135E-4</v>
      </c>
      <c r="E15" s="20">
        <v>0.85097152817735089</v>
      </c>
      <c r="F15" s="20">
        <v>0.65847990012336854</v>
      </c>
      <c r="G15" s="20">
        <v>0.12463444329913331</v>
      </c>
      <c r="H15" s="20">
        <v>0</v>
      </c>
      <c r="I15" s="20">
        <v>6.7857184754849045E-2</v>
      </c>
      <c r="J15" s="20">
        <v>0</v>
      </c>
      <c r="K15" s="20">
        <v>0.14883821202760539</v>
      </c>
      <c r="L15" s="20">
        <v>0</v>
      </c>
    </row>
    <row r="16" spans="1:14">
      <c r="A16" s="2" t="s">
        <v>311</v>
      </c>
      <c r="B16" s="3" t="s">
        <v>312</v>
      </c>
      <c r="D16" s="20">
        <v>1.0639610635650278E-18</v>
      </c>
      <c r="E16" s="20">
        <v>0.99992506095353995</v>
      </c>
      <c r="F16" s="20">
        <v>6.4238190966197734E-2</v>
      </c>
      <c r="G16" s="20">
        <v>8.4417365908819637E-6</v>
      </c>
      <c r="H16" s="20">
        <v>0</v>
      </c>
      <c r="I16" s="20">
        <v>0.93567842825075132</v>
      </c>
      <c r="J16" s="20">
        <v>0</v>
      </c>
      <c r="K16" s="20">
        <v>7.4939046460032472E-5</v>
      </c>
      <c r="L16" s="20">
        <v>0</v>
      </c>
    </row>
    <row r="17" spans="1:12">
      <c r="A17" s="2" t="s">
        <v>313</v>
      </c>
      <c r="B17" s="3" t="s">
        <v>314</v>
      </c>
      <c r="D17" s="20">
        <v>1.9643528008772625E-18</v>
      </c>
      <c r="E17" s="20">
        <v>0.90942946979667183</v>
      </c>
      <c r="F17" s="20">
        <v>0.71798436769039597</v>
      </c>
      <c r="G17" s="20">
        <v>0.1776276393190927</v>
      </c>
      <c r="H17" s="20">
        <v>0</v>
      </c>
      <c r="I17" s="20">
        <v>1.3817462787183174E-2</v>
      </c>
      <c r="J17" s="20">
        <v>0</v>
      </c>
      <c r="K17" s="20">
        <v>9.0570530203328239E-2</v>
      </c>
      <c r="L17" s="20">
        <v>0</v>
      </c>
    </row>
    <row r="18" spans="1:12">
      <c r="A18" s="2" t="s">
        <v>315</v>
      </c>
      <c r="B18" s="165">
        <v>354656</v>
      </c>
      <c r="D18" s="20">
        <v>2.080156405739755E-10</v>
      </c>
      <c r="E18" s="20">
        <v>0.98623857470741649</v>
      </c>
      <c r="F18" s="20">
        <v>5.8464398889392175E-4</v>
      </c>
      <c r="G18" s="20">
        <v>2.2614502816212584E-4</v>
      </c>
      <c r="H18" s="20">
        <v>0</v>
      </c>
      <c r="I18" s="20">
        <v>0.98542778569036049</v>
      </c>
      <c r="J18" s="20">
        <v>0</v>
      </c>
      <c r="K18" s="20">
        <v>1.37614250845678E-2</v>
      </c>
      <c r="L18" s="20">
        <v>0</v>
      </c>
    </row>
    <row r="19" spans="1:12">
      <c r="A19" s="2" t="s">
        <v>317</v>
      </c>
      <c r="B19" s="3" t="s">
        <v>318</v>
      </c>
      <c r="D19" s="20">
        <v>3.2627078537231775E-10</v>
      </c>
      <c r="E19" s="20">
        <v>0.97066773412671525</v>
      </c>
      <c r="F19" s="20">
        <v>2.5408187555254445E-3</v>
      </c>
      <c r="G19" s="20">
        <v>8.8078364540002184E-4</v>
      </c>
      <c r="H19" s="20">
        <v>0</v>
      </c>
      <c r="I19" s="20">
        <v>0.96724613172578977</v>
      </c>
      <c r="J19" s="20">
        <v>0</v>
      </c>
      <c r="K19" s="20">
        <v>2.9332265547013917E-2</v>
      </c>
      <c r="L19" s="20">
        <v>0</v>
      </c>
    </row>
    <row r="20" spans="1:12">
      <c r="A20" s="2" t="s">
        <v>284</v>
      </c>
      <c r="B20" s="3" t="s">
        <v>276</v>
      </c>
      <c r="D20" s="20">
        <v>1.6238441582315158E-8</v>
      </c>
      <c r="E20" s="20">
        <v>0.99962419394389734</v>
      </c>
      <c r="F20" s="20">
        <v>0.8276121517992634</v>
      </c>
      <c r="G20" s="20">
        <v>2.3695650864966373E-4</v>
      </c>
      <c r="H20" s="20">
        <v>0</v>
      </c>
      <c r="I20" s="20">
        <v>0.17177508563598426</v>
      </c>
      <c r="J20" s="20">
        <v>0</v>
      </c>
      <c r="K20" s="20">
        <v>3.7578981766112643E-4</v>
      </c>
      <c r="L20" s="20">
        <v>0</v>
      </c>
    </row>
    <row r="21" spans="1:12">
      <c r="A21" s="2" t="s">
        <v>319</v>
      </c>
      <c r="B21" s="3" t="s">
        <v>320</v>
      </c>
      <c r="D21" s="20">
        <v>4.5307135654537536E-20</v>
      </c>
      <c r="E21" s="20">
        <v>0.89036883570929526</v>
      </c>
      <c r="F21" s="20">
        <v>0.72872237571347787</v>
      </c>
      <c r="G21" s="20">
        <v>0.1295560386153157</v>
      </c>
      <c r="H21" s="20">
        <v>0</v>
      </c>
      <c r="I21" s="20">
        <v>3.2090421380501714E-2</v>
      </c>
      <c r="J21" s="20">
        <v>0</v>
      </c>
      <c r="K21" s="20">
        <v>0.10963116429070466</v>
      </c>
      <c r="L21" s="20">
        <v>0</v>
      </c>
    </row>
    <row r="22" spans="1:12">
      <c r="A22" s="2" t="s">
        <v>321</v>
      </c>
      <c r="B22" s="3" t="s">
        <v>322</v>
      </c>
      <c r="D22" s="20">
        <v>9.700540251720781E-8</v>
      </c>
      <c r="E22" s="20">
        <v>0.99622102089890541</v>
      </c>
      <c r="F22" s="20">
        <v>4.8483216053895792E-5</v>
      </c>
      <c r="G22" s="20">
        <v>2.2546907114338682E-5</v>
      </c>
      <c r="H22" s="20">
        <v>0</v>
      </c>
      <c r="I22" s="20">
        <v>0.99614999077573718</v>
      </c>
      <c r="J22" s="20">
        <v>0</v>
      </c>
      <c r="K22" s="20">
        <v>3.7788820956922587E-3</v>
      </c>
      <c r="L22" s="20">
        <v>0</v>
      </c>
    </row>
    <row r="23" spans="1:12">
      <c r="A23" s="2" t="s">
        <v>323</v>
      </c>
      <c r="B23" s="3" t="s">
        <v>324</v>
      </c>
      <c r="D23" s="20">
        <v>3.9889770381477352E-11</v>
      </c>
      <c r="E23" s="20">
        <v>0.79306738013823774</v>
      </c>
      <c r="F23" s="20">
        <v>0.17332333408080025</v>
      </c>
      <c r="G23" s="20">
        <v>4.2379183976186389E-2</v>
      </c>
      <c r="H23" s="20">
        <v>0</v>
      </c>
      <c r="I23" s="20">
        <v>0.57736486208125115</v>
      </c>
      <c r="J23" s="20">
        <v>0</v>
      </c>
      <c r="K23" s="20">
        <v>0.20693261982187267</v>
      </c>
      <c r="L23" s="20">
        <v>0</v>
      </c>
    </row>
    <row r="24" spans="1:12">
      <c r="A24" s="2" t="s">
        <v>325</v>
      </c>
      <c r="B24" s="3" t="s">
        <v>326</v>
      </c>
      <c r="D24" s="20">
        <v>2.6183246832057479E-11</v>
      </c>
      <c r="E24" s="20">
        <v>0.99365267228962184</v>
      </c>
      <c r="F24" s="20">
        <v>1.314676797225726E-4</v>
      </c>
      <c r="G24" s="20">
        <v>5.6795581902716904E-5</v>
      </c>
      <c r="H24" s="20">
        <v>0</v>
      </c>
      <c r="I24" s="20">
        <v>0.9934644090279966</v>
      </c>
      <c r="J24" s="20">
        <v>0</v>
      </c>
      <c r="K24" s="20">
        <v>6.3473276841947979E-3</v>
      </c>
      <c r="L24" s="20">
        <v>0</v>
      </c>
    </row>
    <row r="25" spans="1:12">
      <c r="A25" s="2" t="s">
        <v>327</v>
      </c>
      <c r="B25" s="3" t="s">
        <v>328</v>
      </c>
      <c r="D25" s="20">
        <v>1.6360950035844478E-27</v>
      </c>
      <c r="E25" s="20">
        <v>0.9983975815450381</v>
      </c>
      <c r="F25" s="20">
        <v>9.3283324759040004E-6</v>
      </c>
      <c r="G25" s="20">
        <v>4.8989112527526374E-6</v>
      </c>
      <c r="H25" s="20">
        <v>0</v>
      </c>
      <c r="I25" s="20">
        <v>0.99838335430130942</v>
      </c>
      <c r="J25" s="20">
        <v>0</v>
      </c>
      <c r="K25" s="20">
        <v>1.6024184549620218E-3</v>
      </c>
      <c r="L25" s="20">
        <v>0</v>
      </c>
    </row>
    <row r="26" spans="1:12">
      <c r="A26" s="2" t="s">
        <v>329</v>
      </c>
      <c r="B26" s="3" t="s">
        <v>330</v>
      </c>
      <c r="D26" s="20">
        <v>1.3082791016804771E-13</v>
      </c>
      <c r="E26" s="20">
        <v>0.99634179681282808</v>
      </c>
      <c r="F26" s="20">
        <v>4.5550788830088959E-5</v>
      </c>
      <c r="G26" s="20">
        <v>2.1280971871418927E-5</v>
      </c>
      <c r="H26" s="20">
        <v>0</v>
      </c>
      <c r="I26" s="20">
        <v>0.99627496505212654</v>
      </c>
      <c r="J26" s="20">
        <v>0</v>
      </c>
      <c r="K26" s="20">
        <v>3.6582031870410737E-3</v>
      </c>
      <c r="L26" s="20">
        <v>0</v>
      </c>
    </row>
    <row r="27" spans="1:12">
      <c r="A27" s="2" t="s">
        <v>331</v>
      </c>
      <c r="B27" s="3" t="s">
        <v>332</v>
      </c>
      <c r="D27" s="20">
        <v>1.6460434404158227E-9</v>
      </c>
      <c r="E27" s="20">
        <v>0.97901984240255757</v>
      </c>
      <c r="F27" s="20">
        <v>1.3232344243129025E-3</v>
      </c>
      <c r="G27" s="20">
        <v>4.8165086660103407E-4</v>
      </c>
      <c r="H27" s="20">
        <v>0</v>
      </c>
      <c r="I27" s="20">
        <v>0.97721495711164363</v>
      </c>
      <c r="J27" s="20">
        <v>0</v>
      </c>
      <c r="K27" s="20">
        <v>2.0980155951398877E-2</v>
      </c>
      <c r="L27" s="20">
        <v>0</v>
      </c>
    </row>
    <row r="28" spans="1:12">
      <c r="A28" s="2" t="s">
        <v>333</v>
      </c>
      <c r="B28" s="3" t="s">
        <v>334</v>
      </c>
      <c r="D28" s="20">
        <v>1.3016874899351898E-16</v>
      </c>
      <c r="E28" s="20">
        <v>0.99807746546137899</v>
      </c>
      <c r="F28" s="20">
        <v>1.3234338215980295E-5</v>
      </c>
      <c r="G28" s="20">
        <v>6.7732605889937719E-6</v>
      </c>
      <c r="H28" s="20">
        <v>0</v>
      </c>
      <c r="I28" s="20">
        <v>0.99805745786257405</v>
      </c>
      <c r="J28" s="20">
        <v>0</v>
      </c>
      <c r="K28" s="20">
        <v>1.9225345386208192E-3</v>
      </c>
      <c r="L28" s="20">
        <v>0</v>
      </c>
    </row>
    <row r="29" spans="1:12">
      <c r="A29" s="2" t="s">
        <v>335</v>
      </c>
      <c r="B29" s="3" t="s">
        <v>336</v>
      </c>
      <c r="D29" s="20">
        <v>7.7776067355418505E-9</v>
      </c>
      <c r="E29" s="20">
        <v>0.92818528412895107</v>
      </c>
      <c r="F29" s="20">
        <v>1.4998280724382104E-2</v>
      </c>
      <c r="G29" s="20">
        <v>4.5408487197959426E-3</v>
      </c>
      <c r="H29" s="20">
        <v>0</v>
      </c>
      <c r="I29" s="20">
        <v>0.90864615468477306</v>
      </c>
      <c r="J29" s="20">
        <v>0</v>
      </c>
      <c r="K29" s="20">
        <v>7.1814708093442148E-2</v>
      </c>
      <c r="L29" s="20">
        <v>0</v>
      </c>
    </row>
    <row r="30" spans="1:12">
      <c r="A30" s="2" t="s">
        <v>337</v>
      </c>
      <c r="B30" s="3" t="s">
        <v>338</v>
      </c>
      <c r="D30" s="20">
        <v>2.1281370406321811E-16</v>
      </c>
      <c r="E30" s="20">
        <v>0.90349117891990327</v>
      </c>
      <c r="F30" s="20">
        <v>0.74954047394563339</v>
      </c>
      <c r="G30" s="20">
        <v>0.13010399861599239</v>
      </c>
      <c r="H30" s="20">
        <v>0</v>
      </c>
      <c r="I30" s="20">
        <v>2.3846706358277514E-2</v>
      </c>
      <c r="J30" s="20">
        <v>0</v>
      </c>
      <c r="K30" s="20">
        <v>9.6508821080096605E-2</v>
      </c>
      <c r="L30" s="20">
        <v>0</v>
      </c>
    </row>
    <row r="31" spans="1:12">
      <c r="A31" s="2" t="s">
        <v>275</v>
      </c>
      <c r="B31" s="3" t="s">
        <v>339</v>
      </c>
      <c r="D31" s="20">
        <v>2.2107904818677505E-10</v>
      </c>
      <c r="E31" s="20">
        <v>0.80896409226319288</v>
      </c>
      <c r="F31" s="20">
        <v>0.13531410968082858</v>
      </c>
      <c r="G31" s="20">
        <v>3.3949910971915347E-2</v>
      </c>
      <c r="H31" s="20">
        <v>0</v>
      </c>
      <c r="I31" s="20">
        <v>0.63970007161044895</v>
      </c>
      <c r="J31" s="20">
        <v>0</v>
      </c>
      <c r="K31" s="20">
        <v>0.19103590751572799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3.1281777579740691E-16</v>
      </c>
      <c r="E2" s="14">
        <v>2.9580140805286746E-3</v>
      </c>
      <c r="F2" s="14">
        <v>1.6281219147751093E-6</v>
      </c>
      <c r="G2" s="14">
        <v>6.3326061356766358E-7</v>
      </c>
      <c r="H2" s="14">
        <v>0</v>
      </c>
      <c r="I2" s="14">
        <v>0</v>
      </c>
      <c r="J2" s="14">
        <v>3.9724536942669947E-5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1.6076004181724492E-7</v>
      </c>
      <c r="E3" s="14">
        <v>2.5195728719146224E-3</v>
      </c>
      <c r="F3" s="14">
        <v>1.1307682577340374E-4</v>
      </c>
      <c r="G3" s="14">
        <v>3.1803078711828024E-5</v>
      </c>
      <c r="H3" s="14">
        <v>0</v>
      </c>
      <c r="I3" s="14">
        <v>0</v>
      </c>
      <c r="J3" s="14">
        <v>3.3538646355832884E-4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1.4081314268581824E-6</v>
      </c>
      <c r="E4" s="14">
        <v>6.3742927373294268E-4</v>
      </c>
      <c r="F4" s="14">
        <v>1.4146164026577156E-3</v>
      </c>
      <c r="G4" s="14">
        <v>2.984930645799598E-4</v>
      </c>
      <c r="H4" s="14">
        <v>0</v>
      </c>
      <c r="I4" s="14">
        <v>0</v>
      </c>
      <c r="J4" s="14">
        <v>6.4805312760252371E-4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9.7913019357746308E-18</v>
      </c>
      <c r="E5" s="14">
        <v>2.903081688147039E-3</v>
      </c>
      <c r="F5" s="14">
        <v>7.4376534916864278E-6</v>
      </c>
      <c r="G5" s="14">
        <v>2.5830421722999832E-6</v>
      </c>
      <c r="H5" s="14">
        <v>0</v>
      </c>
      <c r="I5" s="14">
        <v>0</v>
      </c>
      <c r="J5" s="14">
        <v>8.6897616188965444E-5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3.5082811329875896E-7</v>
      </c>
      <c r="E6" s="14">
        <v>3.6445440278402645E-5</v>
      </c>
      <c r="F6" s="14">
        <v>2.0830029553800616E-3</v>
      </c>
      <c r="G6" s="14">
        <v>6.0448487887125417E-4</v>
      </c>
      <c r="H6" s="14">
        <v>0</v>
      </c>
      <c r="I6" s="14">
        <v>0</v>
      </c>
      <c r="J6" s="14">
        <v>2.7571589735698245E-4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6.6812642350826956E-11</v>
      </c>
      <c r="E7" s="14">
        <v>2.9831662778474423E-3</v>
      </c>
      <c r="F7" s="14">
        <v>2.9611073077464109E-7</v>
      </c>
      <c r="G7" s="14">
        <v>1.3066212033309141E-7</v>
      </c>
      <c r="H7" s="14">
        <v>0</v>
      </c>
      <c r="I7" s="14">
        <v>0</v>
      </c>
      <c r="J7" s="14">
        <v>1.6406882488807221E-5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2.4610119785463455E-11</v>
      </c>
      <c r="E8" s="14">
        <v>2.9057118247563332E-3</v>
      </c>
      <c r="F8" s="14">
        <v>7.0812385634097161E-6</v>
      </c>
      <c r="G8" s="14">
        <v>2.4683388636143862E-6</v>
      </c>
      <c r="H8" s="14">
        <v>0</v>
      </c>
      <c r="I8" s="14">
        <v>0</v>
      </c>
      <c r="J8" s="14">
        <v>8.4738573206522585E-5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1.4317536185254734E-10</v>
      </c>
      <c r="E9" s="14">
        <v>2.7698554333386281E-6</v>
      </c>
      <c r="F9" s="14">
        <v>6.6629075546081797E-4</v>
      </c>
      <c r="G9" s="14">
        <v>2.148618659493839E-3</v>
      </c>
      <c r="H9" s="14">
        <v>0</v>
      </c>
      <c r="I9" s="14">
        <v>0</v>
      </c>
      <c r="J9" s="14">
        <v>1.8232058643664236E-4</v>
      </c>
      <c r="K9" s="14">
        <v>0</v>
      </c>
      <c r="L9" s="21"/>
      <c r="M9" s="12"/>
    </row>
    <row r="10" spans="1:23">
      <c r="A10" s="2" t="s">
        <v>299</v>
      </c>
      <c r="B10" s="3" t="s">
        <v>300</v>
      </c>
      <c r="D10" s="14">
        <v>8.3283128559508229E-8</v>
      </c>
      <c r="E10" s="14">
        <v>2.2583218912512102E-3</v>
      </c>
      <c r="F10" s="14">
        <v>2.2560697865854976E-4</v>
      </c>
      <c r="G10" s="14">
        <v>5.982023087375297E-5</v>
      </c>
      <c r="H10" s="14">
        <v>0</v>
      </c>
      <c r="I10" s="14">
        <v>0</v>
      </c>
      <c r="J10" s="14">
        <v>4.5616761608792763E-4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5.3621152812864067E-20</v>
      </c>
      <c r="E11" s="14">
        <v>2.4781349910073395E-3</v>
      </c>
      <c r="F11" s="14">
        <v>1.2922056778885032E-4</v>
      </c>
      <c r="G11" s="14">
        <v>3.5944065777945889E-5</v>
      </c>
      <c r="H11" s="14">
        <v>0</v>
      </c>
      <c r="I11" s="14">
        <v>0</v>
      </c>
      <c r="J11" s="14">
        <v>3.5670037542586438E-4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7.5395592398926767E-32</v>
      </c>
      <c r="E12" s="14">
        <v>2.7931532924797184E-3</v>
      </c>
      <c r="F12" s="14">
        <v>2.7960276132647608E-5</v>
      </c>
      <c r="G12" s="14">
        <v>8.7828812631452371E-6</v>
      </c>
      <c r="H12" s="14">
        <v>0</v>
      </c>
      <c r="I12" s="14">
        <v>0</v>
      </c>
      <c r="J12" s="14">
        <v>1.7010355012448878E-4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1.4759521267729858E-10</v>
      </c>
      <c r="E13" s="14">
        <v>1.7878088564422249E-5</v>
      </c>
      <c r="F13" s="14">
        <v>1.6450070721814286E-3</v>
      </c>
      <c r="G13" s="14">
        <v>1.0601402530054989E-3</v>
      </c>
      <c r="H13" s="14">
        <v>0</v>
      </c>
      <c r="I13" s="14">
        <v>0</v>
      </c>
      <c r="J13" s="14">
        <v>2.7697443865343729E-4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4.1736340604819054E-4</v>
      </c>
      <c r="F14" s="14">
        <v>5.7594505390005804E-4</v>
      </c>
      <c r="G14" s="14">
        <v>1.2585677770479161E-4</v>
      </c>
      <c r="H14" s="14">
        <v>0</v>
      </c>
      <c r="I14" s="14">
        <v>0</v>
      </c>
      <c r="J14" s="14">
        <v>3.3124777855690813E-4</v>
      </c>
      <c r="K14" s="14">
        <v>1.5495869779879471E-3</v>
      </c>
      <c r="L14" s="21"/>
      <c r="M14" s="12"/>
    </row>
    <row r="15" spans="1:23">
      <c r="A15" s="2" t="s">
        <v>309</v>
      </c>
      <c r="B15" s="3" t="s">
        <v>310</v>
      </c>
      <c r="D15" s="14">
        <v>5.7077938513114047E-7</v>
      </c>
      <c r="E15" s="14">
        <v>2.0357155426454712E-4</v>
      </c>
      <c r="F15" s="14">
        <v>1.9754397003701055E-3</v>
      </c>
      <c r="G15" s="14">
        <v>3.7390332989739995E-4</v>
      </c>
      <c r="H15" s="14">
        <v>0</v>
      </c>
      <c r="I15" s="14">
        <v>0</v>
      </c>
      <c r="J15" s="14">
        <v>4.4651463608281621E-4</v>
      </c>
      <c r="K15" s="14">
        <v>0</v>
      </c>
      <c r="L15" s="21"/>
      <c r="M15" s="12"/>
    </row>
    <row r="16" spans="1:23">
      <c r="A16" s="2" t="s">
        <v>311</v>
      </c>
      <c r="B16" s="3" t="s">
        <v>312</v>
      </c>
      <c r="D16" s="14">
        <v>3.1918831906950833E-21</v>
      </c>
      <c r="E16" s="14">
        <v>2.8070352847522537E-3</v>
      </c>
      <c r="F16" s="14">
        <v>1.927145728985932E-4</v>
      </c>
      <c r="G16" s="14">
        <v>2.5325209772645889E-8</v>
      </c>
      <c r="H16" s="14">
        <v>0</v>
      </c>
      <c r="I16" s="14">
        <v>0</v>
      </c>
      <c r="J16" s="14">
        <v>2.248171393800974E-7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5.8930584026317877E-21</v>
      </c>
      <c r="E17" s="14">
        <v>4.1452388361549526E-5</v>
      </c>
      <c r="F17" s="14">
        <v>2.1539531030711876E-3</v>
      </c>
      <c r="G17" s="14">
        <v>5.3288291795727815E-4</v>
      </c>
      <c r="H17" s="14">
        <v>0</v>
      </c>
      <c r="I17" s="14">
        <v>0</v>
      </c>
      <c r="J17" s="14">
        <v>2.7171159060998475E-4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6.2404692172192654E-13</v>
      </c>
      <c r="E18" s="14">
        <v>2.9562833570710816E-3</v>
      </c>
      <c r="F18" s="14">
        <v>1.7539319666817651E-6</v>
      </c>
      <c r="G18" s="14">
        <v>6.7843508448637758E-7</v>
      </c>
      <c r="H18" s="14">
        <v>0</v>
      </c>
      <c r="I18" s="14">
        <v>0</v>
      </c>
      <c r="J18" s="14">
        <v>4.1284275253703402E-5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9.7881235611695326E-13</v>
      </c>
      <c r="E19" s="14">
        <v>2.9017383951773692E-3</v>
      </c>
      <c r="F19" s="14">
        <v>7.6224562665763337E-6</v>
      </c>
      <c r="G19" s="14">
        <v>2.6423509362000656E-6</v>
      </c>
      <c r="H19" s="14">
        <v>0</v>
      </c>
      <c r="I19" s="14">
        <v>0</v>
      </c>
      <c r="J19" s="14">
        <v>8.7996796641041751E-5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4.8715324746945472E-11</v>
      </c>
      <c r="E20" s="14">
        <v>5.1532525690795277E-4</v>
      </c>
      <c r="F20" s="14">
        <v>2.4828364553977902E-3</v>
      </c>
      <c r="G20" s="14">
        <v>7.1086952594899119E-7</v>
      </c>
      <c r="H20" s="14">
        <v>0</v>
      </c>
      <c r="I20" s="14">
        <v>0</v>
      </c>
      <c r="J20" s="14">
        <v>1.1273694529833794E-6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1.359214069636126E-22</v>
      </c>
      <c r="E21" s="14">
        <v>9.6271264141505137E-5</v>
      </c>
      <c r="F21" s="14">
        <v>2.1861671271404337E-3</v>
      </c>
      <c r="G21" s="14">
        <v>3.8866811584594704E-4</v>
      </c>
      <c r="H21" s="14">
        <v>0</v>
      </c>
      <c r="I21" s="14">
        <v>0</v>
      </c>
      <c r="J21" s="14">
        <v>3.2889349287211397E-4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2.9101620755162342E-10</v>
      </c>
      <c r="E22" s="14">
        <v>2.9884499723272116E-3</v>
      </c>
      <c r="F22" s="14">
        <v>1.4544964816168736E-7</v>
      </c>
      <c r="G22" s="14">
        <v>6.7640721343016048E-8</v>
      </c>
      <c r="H22" s="14">
        <v>0</v>
      </c>
      <c r="I22" s="14">
        <v>0</v>
      </c>
      <c r="J22" s="14">
        <v>1.1336646287076776E-5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1.1966931114443204E-13</v>
      </c>
      <c r="E23" s="14">
        <v>1.7320945862437534E-3</v>
      </c>
      <c r="F23" s="14">
        <v>5.1997000224240073E-4</v>
      </c>
      <c r="G23" s="14">
        <v>1.2713755192855918E-4</v>
      </c>
      <c r="H23" s="14">
        <v>0</v>
      </c>
      <c r="I23" s="14">
        <v>0</v>
      </c>
      <c r="J23" s="14">
        <v>6.20797859465618E-4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7.8549740496172431E-14</v>
      </c>
      <c r="E24" s="14">
        <v>2.9803932270839897E-3</v>
      </c>
      <c r="F24" s="14">
        <v>3.9440303916771781E-7</v>
      </c>
      <c r="G24" s="14">
        <v>1.703867457081507E-7</v>
      </c>
      <c r="H24" s="14">
        <v>0</v>
      </c>
      <c r="I24" s="14">
        <v>0</v>
      </c>
      <c r="J24" s="14">
        <v>1.9041983052584393E-5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4.9082850107533428E-30</v>
      </c>
      <c r="E25" s="14">
        <v>2.995150062903928E-3</v>
      </c>
      <c r="F25" s="14">
        <v>2.7984997427712001E-8</v>
      </c>
      <c r="G25" s="14">
        <v>1.4696733758257912E-8</v>
      </c>
      <c r="H25" s="14">
        <v>0</v>
      </c>
      <c r="I25" s="14">
        <v>0</v>
      </c>
      <c r="J25" s="14">
        <v>4.8072553648860659E-6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3.9248373050414315E-16</v>
      </c>
      <c r="E26" s="14">
        <v>2.9888248951563797E-3</v>
      </c>
      <c r="F26" s="14">
        <v>1.3665236649026688E-7</v>
      </c>
      <c r="G26" s="14">
        <v>6.3842915614256773E-8</v>
      </c>
      <c r="H26" s="14">
        <v>0</v>
      </c>
      <c r="I26" s="14">
        <v>0</v>
      </c>
      <c r="J26" s="14">
        <v>1.0974609561123221E-5</v>
      </c>
      <c r="K26" s="14">
        <v>0</v>
      </c>
    </row>
    <row r="27" spans="1:13">
      <c r="A27" s="2" t="s">
        <v>331</v>
      </c>
      <c r="B27" s="3" t="s">
        <v>332</v>
      </c>
      <c r="D27" s="14">
        <v>4.938130321247468E-12</v>
      </c>
      <c r="E27" s="14">
        <v>2.931644871334931E-3</v>
      </c>
      <c r="F27" s="14">
        <v>3.9697032729387076E-6</v>
      </c>
      <c r="G27" s="14">
        <v>1.4449525998031023E-6</v>
      </c>
      <c r="H27" s="14">
        <v>0</v>
      </c>
      <c r="I27" s="14">
        <v>0</v>
      </c>
      <c r="J27" s="14">
        <v>6.2940467854196631E-5</v>
      </c>
      <c r="K27" s="14">
        <v>0</v>
      </c>
    </row>
    <row r="28" spans="1:13">
      <c r="A28" s="2" t="s">
        <v>333</v>
      </c>
      <c r="B28" s="3" t="s">
        <v>334</v>
      </c>
      <c r="D28" s="14">
        <v>3.9050624698055698E-19</v>
      </c>
      <c r="E28" s="14">
        <v>2.9941723735877222E-3</v>
      </c>
      <c r="F28" s="14">
        <v>3.9703014647940883E-8</v>
      </c>
      <c r="G28" s="14">
        <v>2.0319781766981315E-8</v>
      </c>
      <c r="H28" s="14">
        <v>0</v>
      </c>
      <c r="I28" s="14">
        <v>0</v>
      </c>
      <c r="J28" s="14">
        <v>5.7676036158624571E-6</v>
      </c>
      <c r="K28" s="14">
        <v>0</v>
      </c>
    </row>
    <row r="29" spans="1:13">
      <c r="A29" s="2" t="s">
        <v>335</v>
      </c>
      <c r="B29" s="3" t="s">
        <v>336</v>
      </c>
      <c r="D29" s="14">
        <v>2.333282020662555E-11</v>
      </c>
      <c r="E29" s="14">
        <v>2.7259384640543191E-3</v>
      </c>
      <c r="F29" s="14">
        <v>4.4994842173146314E-5</v>
      </c>
      <c r="G29" s="14">
        <v>1.3622546159387826E-5</v>
      </c>
      <c r="H29" s="14">
        <v>0</v>
      </c>
      <c r="I29" s="14">
        <v>0</v>
      </c>
      <c r="J29" s="14">
        <v>2.1544412428032645E-4</v>
      </c>
      <c r="K29" s="14">
        <v>0</v>
      </c>
    </row>
    <row r="30" spans="1:13">
      <c r="A30" s="2" t="s">
        <v>337</v>
      </c>
      <c r="B30" s="3" t="s">
        <v>338</v>
      </c>
      <c r="D30" s="14">
        <v>6.3844111218965431E-19</v>
      </c>
      <c r="E30" s="14">
        <v>7.1540119074832537E-5</v>
      </c>
      <c r="F30" s="14">
        <v>2.2486214218369002E-3</v>
      </c>
      <c r="G30" s="14">
        <v>3.9031199584797717E-4</v>
      </c>
      <c r="H30" s="14">
        <v>0</v>
      </c>
      <c r="I30" s="14">
        <v>0</v>
      </c>
      <c r="J30" s="14">
        <v>2.8952646324028984E-4</v>
      </c>
      <c r="K30" s="14">
        <v>0</v>
      </c>
    </row>
    <row r="31" spans="1:13">
      <c r="A31" s="2" t="s">
        <v>275</v>
      </c>
      <c r="B31" s="3" t="s">
        <v>339</v>
      </c>
      <c r="D31" s="14">
        <v>6.6323714456032517E-13</v>
      </c>
      <c r="E31" s="14">
        <v>1.9191002148313469E-3</v>
      </c>
      <c r="F31" s="14">
        <v>4.0594232904248576E-4</v>
      </c>
      <c r="G31" s="14">
        <v>1.0184973291574604E-4</v>
      </c>
      <c r="H31" s="14">
        <v>0</v>
      </c>
      <c r="I31" s="14">
        <v>0</v>
      </c>
      <c r="J31" s="14">
        <v>5.7310772254718398E-4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176</v>
      </c>
      <c r="F2" s="107">
        <v>-1.7842829228845294E-2</v>
      </c>
      <c r="G2" s="107">
        <v>-14.675671512313464</v>
      </c>
      <c r="H2" s="107">
        <v>0.23869999999999994</v>
      </c>
      <c r="I2" s="107">
        <v>-7.7972967140011798E-2</v>
      </c>
      <c r="J2" s="107">
        <v>-1.5344243011128968E-2</v>
      </c>
      <c r="K2" s="115">
        <v>10</v>
      </c>
      <c r="L2" s="115">
        <v>0</v>
      </c>
      <c r="M2" s="115">
        <v>0</v>
      </c>
      <c r="N2" s="115">
        <v>0</v>
      </c>
      <c r="O2" s="115">
        <v>8.2584531595616877</v>
      </c>
      <c r="P2" s="115">
        <v>9.5395400141354809</v>
      </c>
      <c r="Q2" s="111">
        <v>0.82584531595616861</v>
      </c>
      <c r="R2" s="68">
        <v>0.95395400141354803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15.317125003483628</v>
      </c>
      <c r="P3" s="115">
        <v>15.275386907894983</v>
      </c>
      <c r="Q3" s="111">
        <v>1.5317125003483627</v>
      </c>
      <c r="R3" s="68">
        <v>1.5275386907894981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90.504748243505162</v>
      </c>
      <c r="P4" s="115">
        <v>86.872676384599941</v>
      </c>
      <c r="Q4" s="111">
        <v>9.0504748243505144</v>
      </c>
      <c r="R4" s="68">
        <v>8.6872676384599927</v>
      </c>
      <c r="T4" s="146"/>
    </row>
    <row r="5" spans="1:22">
      <c r="A5" s="102" t="s">
        <v>291</v>
      </c>
      <c r="B5" s="102" t="s">
        <v>292</v>
      </c>
      <c r="D5" s="103" t="s">
        <v>176</v>
      </c>
      <c r="F5" s="107">
        <v>0.60084717077115468</v>
      </c>
      <c r="G5" s="107">
        <v>-16.171981512313462</v>
      </c>
      <c r="H5" s="107">
        <v>0.86353999999999997</v>
      </c>
      <c r="I5" s="107">
        <v>-5.2645620646465392E-2</v>
      </c>
      <c r="J5" s="107">
        <v>2.5055349015053723E-3</v>
      </c>
      <c r="K5" s="115">
        <v>10</v>
      </c>
      <c r="L5" s="115">
        <v>0</v>
      </c>
      <c r="M5" s="115">
        <v>0</v>
      </c>
      <c r="N5" s="115">
        <v>0</v>
      </c>
      <c r="O5" s="115">
        <v>8.5918181378701544</v>
      </c>
      <c r="P5" s="115">
        <v>9.7552012052377748</v>
      </c>
      <c r="Q5" s="111">
        <v>0.8591818137870153</v>
      </c>
      <c r="R5" s="68">
        <v>0.97552012052377746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161.01147230103135</v>
      </c>
      <c r="P6" s="115">
        <v>135.76610473239845</v>
      </c>
      <c r="Q6" s="111">
        <v>16.101147230103134</v>
      </c>
      <c r="R6" s="68">
        <v>13.576610473239842</v>
      </c>
    </row>
    <row r="7" spans="1:22">
      <c r="A7" s="102" t="s">
        <v>293</v>
      </c>
      <c r="B7" s="102" t="s">
        <v>294</v>
      </c>
      <c r="D7" s="103" t="s">
        <v>176</v>
      </c>
      <c r="F7" s="107">
        <v>-0.70695282922884517</v>
      </c>
      <c r="G7" s="107">
        <v>-9.3497815123134629</v>
      </c>
      <c r="H7" s="107">
        <v>-0.45726</v>
      </c>
      <c r="I7" s="107">
        <v>-8.4344314294292302E-2</v>
      </c>
      <c r="J7" s="107">
        <v>-1.9597345554307446E-2</v>
      </c>
      <c r="K7" s="115">
        <v>10</v>
      </c>
      <c r="L7" s="115">
        <v>0</v>
      </c>
      <c r="M7" s="115">
        <v>0</v>
      </c>
      <c r="N7" s="115">
        <v>0</v>
      </c>
      <c r="O7" s="115">
        <v>8.2073808540149162</v>
      </c>
      <c r="P7" s="115">
        <v>9.5268988798168213</v>
      </c>
      <c r="Q7" s="111">
        <v>0.82073808540149162</v>
      </c>
      <c r="R7" s="68">
        <v>0.95268988798168197</v>
      </c>
    </row>
    <row r="8" spans="1:22">
      <c r="A8" s="102" t="s">
        <v>295</v>
      </c>
      <c r="B8" s="102" t="s">
        <v>296</v>
      </c>
      <c r="D8" s="103" t="s">
        <v>176</v>
      </c>
      <c r="F8" s="107">
        <v>0.58072717077115465</v>
      </c>
      <c r="G8" s="107">
        <v>-9.772101512313462</v>
      </c>
      <c r="H8" s="107">
        <v>0.84321999999999997</v>
      </c>
      <c r="I8" s="107">
        <v>-5.4135971776070352E-2</v>
      </c>
      <c r="J8" s="107">
        <v>1.4303878974166037E-3</v>
      </c>
      <c r="K8" s="115">
        <v>10</v>
      </c>
      <c r="L8" s="115">
        <v>0</v>
      </c>
      <c r="M8" s="115">
        <v>0</v>
      </c>
      <c r="N8" s="115">
        <v>0</v>
      </c>
      <c r="O8" s="115">
        <v>8.570141825702617</v>
      </c>
      <c r="P8" s="115">
        <v>9.7398971009945594</v>
      </c>
      <c r="Q8" s="111">
        <v>0.85701418257026174</v>
      </c>
      <c r="R8" s="68">
        <v>0.97398971009945579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403.14423437121116</v>
      </c>
      <c r="P9" s="115">
        <v>168.12040044872009</v>
      </c>
      <c r="Q9" s="111">
        <v>40.314423437121114</v>
      </c>
      <c r="R9" s="68">
        <v>16.81204004487201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22.371762308627012</v>
      </c>
      <c r="P10" s="115">
        <v>21.443361708506082</v>
      </c>
      <c r="Q10" s="111">
        <v>2.2371762308627012</v>
      </c>
      <c r="R10" s="68">
        <v>2.1443361708506079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16.33845700724806</v>
      </c>
      <c r="P11" s="115">
        <v>16.154759003444411</v>
      </c>
      <c r="Q11" s="111">
        <v>1.6338457007248059</v>
      </c>
      <c r="R11" s="68">
        <v>1.6154759003444412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9.8873523448596501</v>
      </c>
      <c r="P12" s="115">
        <v>10.745210222405353</v>
      </c>
      <c r="Q12" s="111">
        <v>0.9887352344859649</v>
      </c>
      <c r="R12" s="68">
        <v>1.0745210222405353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231.17754527999293</v>
      </c>
      <c r="P13" s="115">
        <v>144.07972610576277</v>
      </c>
      <c r="Q13" s="111">
        <v>23.117754527999292</v>
      </c>
      <c r="R13" s="68">
        <v>14.407972610576277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117.33269034101833</v>
      </c>
      <c r="P15" s="115">
        <v>116.58753136128055</v>
      </c>
      <c r="Q15" s="111">
        <v>11.733269034101832</v>
      </c>
      <c r="R15" s="68">
        <v>11.658753136128055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3.62</v>
      </c>
      <c r="F16" s="107">
        <v>-1.3931198900703679</v>
      </c>
      <c r="G16" s="107">
        <v>-19.644163581277006</v>
      </c>
      <c r="H16" s="107">
        <v>1.2002280830603111</v>
      </c>
      <c r="I16" s="107">
        <v>0.14266039670259134</v>
      </c>
      <c r="J16" s="107">
        <v>0.2860101656290327</v>
      </c>
      <c r="K16" s="115">
        <v>10</v>
      </c>
      <c r="L16" s="115">
        <v>0</v>
      </c>
      <c r="M16" s="115">
        <v>0</v>
      </c>
      <c r="N16" s="115">
        <v>0</v>
      </c>
      <c r="O16" s="115">
        <v>13.025059280592172</v>
      </c>
      <c r="P16" s="115">
        <v>18.118801932913982</v>
      </c>
      <c r="Q16" s="111">
        <v>1.3025059280592171</v>
      </c>
      <c r="R16" s="68">
        <v>1.8118801932913979</v>
      </c>
    </row>
    <row r="17" spans="1:18">
      <c r="A17" s="102" t="s">
        <v>313</v>
      </c>
      <c r="B17" s="102" t="s">
        <v>314</v>
      </c>
      <c r="D17" s="103" t="s">
        <v>176</v>
      </c>
      <c r="F17" s="107">
        <v>4.7606571707711538</v>
      </c>
      <c r="G17" s="107">
        <v>-17.547171512313462</v>
      </c>
      <c r="H17" s="107">
        <v>5.0646999999999993</v>
      </c>
      <c r="I17" s="107">
        <v>3.034953284755399</v>
      </c>
      <c r="J17" s="107">
        <v>2.9875747277081421</v>
      </c>
      <c r="K17" s="115">
        <v>10</v>
      </c>
      <c r="L17" s="115">
        <v>0</v>
      </c>
      <c r="M17" s="115">
        <v>0</v>
      </c>
      <c r="N17" s="115">
        <v>0</v>
      </c>
      <c r="O17" s="115">
        <v>150.09778492391956</v>
      </c>
      <c r="P17" s="115">
        <v>134.58471095443323</v>
      </c>
      <c r="Q17" s="111">
        <v>15.009778492391954</v>
      </c>
      <c r="R17" s="68">
        <v>13.458471095443324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8.2646709912184697</v>
      </c>
      <c r="P18" s="115">
        <v>9.5426566466534872</v>
      </c>
      <c r="Q18" s="111">
        <v>0.8264670991218469</v>
      </c>
      <c r="R18" s="68">
        <v>0.95426566466534868</v>
      </c>
    </row>
    <row r="19" spans="1:18">
      <c r="A19" s="102" t="s">
        <v>317</v>
      </c>
      <c r="B19" s="102" t="s">
        <v>318</v>
      </c>
      <c r="D19" s="103" t="s">
        <v>176</v>
      </c>
      <c r="F19" s="107">
        <v>0.61090717077115464</v>
      </c>
      <c r="G19" s="107">
        <v>-11.171921512313462</v>
      </c>
      <c r="H19" s="107">
        <v>0.8736999999999997</v>
      </c>
      <c r="I19" s="107">
        <v>-5.1875414162617046E-2</v>
      </c>
      <c r="J19" s="107">
        <v>3.062134244767074E-3</v>
      </c>
      <c r="K19" s="115">
        <v>10</v>
      </c>
      <c r="L19" s="115">
        <v>0</v>
      </c>
      <c r="M19" s="115">
        <v>0</v>
      </c>
      <c r="N19" s="115">
        <v>0</v>
      </c>
      <c r="O19" s="115">
        <v>8.6030863536296618</v>
      </c>
      <c r="P19" s="115">
        <v>9.7631920105359082</v>
      </c>
      <c r="Q19" s="111">
        <v>0.86030863536296609</v>
      </c>
      <c r="R19" s="68">
        <v>0.97631920105359071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4.45</v>
      </c>
      <c r="F20" s="107">
        <v>0.79128339889788069</v>
      </c>
      <c r="G20" s="107">
        <v>-8.724378525568893</v>
      </c>
      <c r="H20" s="107">
        <v>2.9311387165398459</v>
      </c>
      <c r="I20" s="107">
        <v>1.6027000001251428</v>
      </c>
      <c r="J20" s="107">
        <v>1.8406885949430936</v>
      </c>
      <c r="K20" s="115">
        <v>10</v>
      </c>
      <c r="L20" s="115">
        <v>0</v>
      </c>
      <c r="M20" s="115">
        <v>0</v>
      </c>
      <c r="N20" s="115">
        <v>0</v>
      </c>
      <c r="O20" s="115">
        <v>68.96883159375632</v>
      </c>
      <c r="P20" s="115">
        <v>119.3002801330568</v>
      </c>
      <c r="Q20" s="111">
        <v>6.8968831593756317</v>
      </c>
      <c r="R20" s="68">
        <v>11.93002801330568</v>
      </c>
    </row>
    <row r="21" spans="1:18">
      <c r="A21" s="102" t="s">
        <v>319</v>
      </c>
      <c r="B21" s="102" t="s">
        <v>320</v>
      </c>
      <c r="D21" s="103" t="s">
        <v>176</v>
      </c>
      <c r="F21" s="107">
        <v>4.2576571707711537</v>
      </c>
      <c r="G21" s="107">
        <v>-19.550171512313462</v>
      </c>
      <c r="H21" s="107">
        <v>4.5566999999999993</v>
      </c>
      <c r="I21" s="107">
        <v>2.5905266097533266</v>
      </c>
      <c r="J21" s="107">
        <v>2.5968537958221054</v>
      </c>
      <c r="K21" s="115">
        <v>10</v>
      </c>
      <c r="L21" s="115">
        <v>0</v>
      </c>
      <c r="M21" s="115">
        <v>0</v>
      </c>
      <c r="N21" s="115">
        <v>0</v>
      </c>
      <c r="O21" s="115">
        <v>125.28374428082562</v>
      </c>
      <c r="P21" s="115">
        <v>127.12234935046015</v>
      </c>
      <c r="Q21" s="111">
        <v>12.528374428082561</v>
      </c>
      <c r="R21" s="68">
        <v>12.712234935046014</v>
      </c>
    </row>
    <row r="22" spans="1:18">
      <c r="A22" s="102" t="s">
        <v>321</v>
      </c>
      <c r="B22" s="102" t="s">
        <v>322</v>
      </c>
      <c r="D22" s="103" t="s">
        <v>176</v>
      </c>
      <c r="F22" s="107">
        <v>-0.9936628292288453</v>
      </c>
      <c r="G22" s="107">
        <v>-8.7114915123134633</v>
      </c>
      <c r="H22" s="107">
        <v>-0.74682000000000004</v>
      </c>
      <c r="I22" s="107">
        <v>-8.5117823283517982E-2</v>
      </c>
      <c r="J22" s="107">
        <v>-2.0093075144075035E-2</v>
      </c>
      <c r="K22" s="115">
        <v>10</v>
      </c>
      <c r="L22" s="115">
        <v>0</v>
      </c>
      <c r="M22" s="115">
        <v>0</v>
      </c>
      <c r="N22" s="115">
        <v>0</v>
      </c>
      <c r="O22" s="115">
        <v>8.2072867406368744</v>
      </c>
      <c r="P22" s="115">
        <v>9.5328850213894629</v>
      </c>
      <c r="Q22" s="111">
        <v>0.82072867406368732</v>
      </c>
      <c r="R22" s="68">
        <v>0.95328850213894623</v>
      </c>
    </row>
    <row r="23" spans="1:18">
      <c r="A23" s="102" t="s">
        <v>323</v>
      </c>
      <c r="B23" s="102" t="s">
        <v>324</v>
      </c>
      <c r="D23" s="103" t="s">
        <v>176</v>
      </c>
      <c r="F23" s="107">
        <v>2.5172771707711545</v>
      </c>
      <c r="G23" s="107">
        <v>-11.860551512313464</v>
      </c>
      <c r="H23" s="107">
        <v>2.7990199999999996</v>
      </c>
      <c r="I23" s="107">
        <v>0.84250441567747714</v>
      </c>
      <c r="J23" s="107">
        <v>0.81422587091577481</v>
      </c>
      <c r="K23" s="115">
        <v>10</v>
      </c>
      <c r="L23" s="115">
        <v>0</v>
      </c>
      <c r="M23" s="115">
        <v>0</v>
      </c>
      <c r="N23" s="115">
        <v>0</v>
      </c>
      <c r="O23" s="115">
        <v>40.266831747219868</v>
      </c>
      <c r="P23" s="115">
        <v>37.728445816753023</v>
      </c>
      <c r="Q23" s="111">
        <v>4.0266831747219864</v>
      </c>
      <c r="R23" s="68">
        <v>3.7728445816753022</v>
      </c>
    </row>
    <row r="24" spans="1:18">
      <c r="A24" s="102" t="s">
        <v>325</v>
      </c>
      <c r="B24" s="102" t="s">
        <v>326</v>
      </c>
      <c r="D24" s="103" t="s">
        <v>176</v>
      </c>
      <c r="F24" s="107">
        <v>-0.59126282922884521</v>
      </c>
      <c r="G24" s="107">
        <v>-12.279091512313462</v>
      </c>
      <c r="H24" s="107">
        <v>-0.34041999999999994</v>
      </c>
      <c r="I24" s="107">
        <v>-8.3851340892650061E-2</v>
      </c>
      <c r="J24" s="107">
        <v>-1.9277220972529558E-2</v>
      </c>
      <c r="K24" s="115">
        <v>10</v>
      </c>
      <c r="L24" s="115">
        <v>0</v>
      </c>
      <c r="M24" s="115">
        <v>0</v>
      </c>
      <c r="N24" s="115">
        <v>0</v>
      </c>
      <c r="O24" s="115">
        <v>8.2090644804542858</v>
      </c>
      <c r="P24" s="115">
        <v>9.5250614659058517</v>
      </c>
      <c r="Q24" s="111">
        <v>0.82090644804542856</v>
      </c>
      <c r="R24" s="68">
        <v>0.95250614659058508</v>
      </c>
    </row>
    <row r="25" spans="1:18">
      <c r="A25" s="102" t="s">
        <v>327</v>
      </c>
      <c r="B25" s="102" t="s">
        <v>328</v>
      </c>
      <c r="D25" s="103" t="s">
        <v>176</v>
      </c>
      <c r="F25" s="107">
        <v>-1.6576228292288453</v>
      </c>
      <c r="G25" s="107">
        <v>-28.48545151231346</v>
      </c>
      <c r="H25" s="107">
        <v>-1.4173799999999999</v>
      </c>
      <c r="I25" s="107">
        <v>-8.575271022195663E-2</v>
      </c>
      <c r="J25" s="107">
        <v>-2.048876223092955E-2</v>
      </c>
      <c r="K25" s="115">
        <v>10</v>
      </c>
      <c r="L25" s="115">
        <v>0</v>
      </c>
      <c r="M25" s="115">
        <v>0</v>
      </c>
      <c r="N25" s="115">
        <v>0</v>
      </c>
      <c r="O25" s="115">
        <v>8.2136712457814944</v>
      </c>
      <c r="P25" s="115">
        <v>9.5455567537988806</v>
      </c>
      <c r="Q25" s="111">
        <v>0.82136712457814931</v>
      </c>
      <c r="R25" s="68">
        <v>0.95455567537988795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8.2074441683174086</v>
      </c>
      <c r="P26" s="115">
        <v>9.5334393776612938</v>
      </c>
      <c r="Q26" s="111">
        <v>0.82074441683174082</v>
      </c>
      <c r="R26" s="68">
        <v>0.95334393776612925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8.3854480510119043</v>
      </c>
      <c r="P27" s="115">
        <v>9.6144846226663923</v>
      </c>
      <c r="Q27" s="111">
        <v>0.83854480510119034</v>
      </c>
      <c r="R27" s="68">
        <v>0.96144846226663916</v>
      </c>
    </row>
    <row r="28" spans="1:18">
      <c r="A28" s="102" t="s">
        <v>333</v>
      </c>
      <c r="B28" s="102" t="s">
        <v>334</v>
      </c>
      <c r="D28" s="103" t="s">
        <v>176</v>
      </c>
      <c r="F28" s="107">
        <v>-1.5167828292288452</v>
      </c>
      <c r="G28" s="107">
        <v>-17.584611512313465</v>
      </c>
      <c r="H28" s="107">
        <v>-1.2751399999999997</v>
      </c>
      <c r="I28" s="107">
        <v>-8.5686521873403948E-2</v>
      </c>
      <c r="J28" s="107">
        <v>-2.0448451166126428E-2</v>
      </c>
      <c r="K28" s="115">
        <v>10</v>
      </c>
      <c r="L28" s="115">
        <v>0</v>
      </c>
      <c r="M28" s="115">
        <v>0</v>
      </c>
      <c r="N28" s="115">
        <v>0</v>
      </c>
      <c r="O28" s="115">
        <v>8.2122415907204349</v>
      </c>
      <c r="P28" s="115">
        <v>9.5433266207339873</v>
      </c>
      <c r="Q28" s="111">
        <v>0.82122415907204338</v>
      </c>
      <c r="R28" s="68">
        <v>0.95433266207339862</v>
      </c>
    </row>
    <row r="29" spans="1:18">
      <c r="A29" s="102" t="s">
        <v>335</v>
      </c>
      <c r="B29" s="102" t="s">
        <v>336</v>
      </c>
      <c r="D29" s="103" t="s">
        <v>176</v>
      </c>
      <c r="F29" s="107">
        <v>1.3503171707711548</v>
      </c>
      <c r="G29" s="107">
        <v>-9.7675115123134635</v>
      </c>
      <c r="H29" s="107">
        <v>1.6204599999999998</v>
      </c>
      <c r="I29" s="107">
        <v>8.1143601821592873E-2</v>
      </c>
      <c r="J29" s="107">
        <v>0.1060316477131962</v>
      </c>
      <c r="K29" s="115">
        <v>10</v>
      </c>
      <c r="L29" s="115">
        <v>0</v>
      </c>
      <c r="M29" s="115">
        <v>0</v>
      </c>
      <c r="N29" s="115">
        <v>0</v>
      </c>
      <c r="O29" s="115">
        <v>10.978198765794746</v>
      </c>
      <c r="P29" s="115">
        <v>11.625700634095683</v>
      </c>
      <c r="Q29" s="111">
        <v>1.0978198765794744</v>
      </c>
      <c r="R29" s="68">
        <v>1.1625700634095681</v>
      </c>
    </row>
    <row r="30" spans="1:18">
      <c r="A30" s="102" t="s">
        <v>337</v>
      </c>
      <c r="B30" s="102" t="s">
        <v>338</v>
      </c>
      <c r="D30" s="103" t="s">
        <v>176</v>
      </c>
      <c r="F30" s="107">
        <v>4.3884371707711542</v>
      </c>
      <c r="G30" s="107">
        <v>-15.749391512313462</v>
      </c>
      <c r="H30" s="107">
        <v>4.6887799999999995</v>
      </c>
      <c r="I30" s="107">
        <v>2.7260613387772654</v>
      </c>
      <c r="J30" s="107">
        <v>2.7358692531720137</v>
      </c>
      <c r="K30" s="115">
        <v>10</v>
      </c>
      <c r="L30" s="115">
        <v>0</v>
      </c>
      <c r="M30" s="115">
        <v>0</v>
      </c>
      <c r="N30" s="115">
        <v>0</v>
      </c>
      <c r="O30" s="115">
        <v>127.19863110515966</v>
      </c>
      <c r="P30" s="115">
        <v>130.10391100223129</v>
      </c>
      <c r="Q30" s="111">
        <v>12.719863110515965</v>
      </c>
      <c r="R30" s="68">
        <v>13.01039110022313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33.4195993213119</v>
      </c>
      <c r="P31" s="115">
        <v>31.412769846251976</v>
      </c>
      <c r="Q31" s="111">
        <v>3.3419599321311892</v>
      </c>
      <c r="R31" s="68">
        <v>3.1412769846251973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176</v>
      </c>
      <c r="F2" s="107">
        <v>-1.7842829228845294E-2</v>
      </c>
      <c r="H2" s="107">
        <v>-1.7842829228845294E-2</v>
      </c>
      <c r="I2" s="107">
        <v>-1.7842829228845294E-2</v>
      </c>
      <c r="K2" s="107">
        <v>-1.7842829228845294E-2</v>
      </c>
      <c r="L2" s="107">
        <v>0.23869999999999994</v>
      </c>
      <c r="N2" s="107">
        <v>0.23869999999999994</v>
      </c>
      <c r="O2" s="107">
        <v>-0.57429999999999992</v>
      </c>
      <c r="Q2" s="107">
        <v>-0.57429999999999992</v>
      </c>
      <c r="R2" s="107">
        <v>-14.675671512313464</v>
      </c>
      <c r="S2" s="107">
        <v>-14.675671512313464</v>
      </c>
      <c r="T2" s="107">
        <v>-4.6968428292288449</v>
      </c>
      <c r="V2" s="107">
        <v>-4.6968428292288449</v>
      </c>
      <c r="W2" s="112">
        <v>131.29169344363464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176</v>
      </c>
      <c r="F5" s="107">
        <v>0.60084717077115468</v>
      </c>
      <c r="H5" s="107">
        <v>0.60084717077115468</v>
      </c>
      <c r="I5" s="107">
        <v>0.60084717077115468</v>
      </c>
      <c r="K5" s="107">
        <v>0.60084717077115468</v>
      </c>
      <c r="L5" s="107">
        <v>0.86353999999999997</v>
      </c>
      <c r="N5" s="107">
        <v>0.86353999999999997</v>
      </c>
      <c r="O5" s="107">
        <v>9.3590000000000062E-2</v>
      </c>
      <c r="Q5" s="107">
        <v>9.3590000000000062E-2</v>
      </c>
      <c r="R5" s="107">
        <v>-16.171981512313462</v>
      </c>
      <c r="S5" s="107">
        <v>-16.171981512313462</v>
      </c>
      <c r="T5" s="107">
        <v>-4.3487528292288449</v>
      </c>
      <c r="V5" s="107">
        <v>-4.3487528292288449</v>
      </c>
      <c r="W5" s="112">
        <v>576.61303556703831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176</v>
      </c>
      <c r="F7" s="107">
        <v>-0.70695282922884517</v>
      </c>
      <c r="H7" s="107">
        <v>-0.70695282922884517</v>
      </c>
      <c r="I7" s="107">
        <v>-0.70695282922884517</v>
      </c>
      <c r="K7" s="107">
        <v>-0.70695282922884517</v>
      </c>
      <c r="L7" s="107">
        <v>-0.45726</v>
      </c>
      <c r="N7" s="107">
        <v>-0.45726</v>
      </c>
      <c r="O7" s="107">
        <v>-1.3182099999999999</v>
      </c>
      <c r="Q7" s="107">
        <v>-1.3182099999999999</v>
      </c>
      <c r="R7" s="107">
        <v>-9.3497815123134629</v>
      </c>
      <c r="S7" s="107">
        <v>-9.3497815123134629</v>
      </c>
      <c r="T7" s="107">
        <v>-5.0845528292288451</v>
      </c>
      <c r="V7" s="107">
        <v>-5.0845528292288451</v>
      </c>
      <c r="W7" s="112">
        <v>1158264.0752750696</v>
      </c>
    </row>
    <row r="8" spans="1:23">
      <c r="A8" s="102" t="s">
        <v>295</v>
      </c>
      <c r="B8" s="102" t="s">
        <v>296</v>
      </c>
      <c r="D8" s="107" t="s">
        <v>176</v>
      </c>
      <c r="F8" s="107">
        <v>0.58072717077115465</v>
      </c>
      <c r="H8" s="107">
        <v>0.58072717077115465</v>
      </c>
      <c r="I8" s="107">
        <v>0.58072717077115465</v>
      </c>
      <c r="K8" s="107">
        <v>0.58072717077115465</v>
      </c>
      <c r="L8" s="107">
        <v>0.84321999999999997</v>
      </c>
      <c r="N8" s="107">
        <v>0.84321999999999997</v>
      </c>
      <c r="O8" s="107">
        <v>7.1870000000000003E-2</v>
      </c>
      <c r="Q8" s="107">
        <v>7.1870000000000003E-2</v>
      </c>
      <c r="R8" s="107">
        <v>-9.772101512313462</v>
      </c>
      <c r="S8" s="107">
        <v>-9.772101512313462</v>
      </c>
      <c r="T8" s="107">
        <v>-4.3600728292288453</v>
      </c>
      <c r="V8" s="107">
        <v>-4.3600728292288453</v>
      </c>
      <c r="W8" s="112">
        <v>60122.403482899848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3.62</v>
      </c>
      <c r="F16" s="107">
        <v>1.9237371707711546</v>
      </c>
      <c r="G16" s="107">
        <v>-1.5762628292288452</v>
      </c>
      <c r="H16" s="107">
        <v>-1.3931198900703679</v>
      </c>
      <c r="I16" s="107">
        <v>1.9237371707711546</v>
      </c>
      <c r="J16" s="107">
        <v>-1.5762628292288452</v>
      </c>
      <c r="K16" s="107">
        <v>-1.3931198900703679</v>
      </c>
      <c r="L16" s="107">
        <v>2.1995799999999992</v>
      </c>
      <c r="M16" s="107">
        <v>1.1995799999999996</v>
      </c>
      <c r="N16" s="107">
        <v>1.2002280830603111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-19.644163581277006</v>
      </c>
      <c r="T16" s="107">
        <v>-3.6044628292288445</v>
      </c>
      <c r="U16" s="107">
        <v>-7.1044628292288454</v>
      </c>
      <c r="V16" s="107">
        <v>-6.9213198900703672</v>
      </c>
      <c r="W16" s="112">
        <v>338589.32469973061</v>
      </c>
    </row>
    <row r="17" spans="1:23">
      <c r="A17" s="102" t="s">
        <v>313</v>
      </c>
      <c r="B17" s="102" t="s">
        <v>314</v>
      </c>
      <c r="D17" s="107" t="s">
        <v>176</v>
      </c>
      <c r="F17" s="107">
        <v>4.7606571707711538</v>
      </c>
      <c r="H17" s="107">
        <v>4.7606571707711538</v>
      </c>
      <c r="I17" s="107">
        <v>4.7606571707711538</v>
      </c>
      <c r="K17" s="107">
        <v>4.7606571707711538</v>
      </c>
      <c r="L17" s="107">
        <v>5.0646999999999993</v>
      </c>
      <c r="N17" s="107">
        <v>5.0646999999999993</v>
      </c>
      <c r="O17" s="107">
        <v>4.4006999999999996</v>
      </c>
      <c r="Q17" s="107">
        <v>4.4006999999999996</v>
      </c>
      <c r="R17" s="107">
        <v>-17.547171512313462</v>
      </c>
      <c r="S17" s="107">
        <v>-17.547171512313462</v>
      </c>
      <c r="T17" s="107">
        <v>-2.008342829228845</v>
      </c>
      <c r="V17" s="107">
        <v>-2.008342829228845</v>
      </c>
      <c r="W17" s="112">
        <v>4.9214222950215598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176</v>
      </c>
      <c r="F19" s="107">
        <v>0.61090717077115464</v>
      </c>
      <c r="H19" s="107">
        <v>0.61090717077115464</v>
      </c>
      <c r="I19" s="107">
        <v>0.61090717077115464</v>
      </c>
      <c r="K19" s="107">
        <v>0.61090717077115464</v>
      </c>
      <c r="L19" s="107">
        <v>0.8736999999999997</v>
      </c>
      <c r="N19" s="107">
        <v>0.8736999999999997</v>
      </c>
      <c r="O19" s="107">
        <v>0.10445000000000002</v>
      </c>
      <c r="Q19" s="107">
        <v>0.10445000000000002</v>
      </c>
      <c r="R19" s="107">
        <v>-11.171921512313462</v>
      </c>
      <c r="S19" s="107">
        <v>-11.171921512313462</v>
      </c>
      <c r="T19" s="107">
        <v>-4.3430928292288451</v>
      </c>
      <c r="V19" s="107">
        <v>-4.3430928292288451</v>
      </c>
      <c r="W19" s="112">
        <v>274963.50156973099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4.45</v>
      </c>
      <c r="F20" s="107">
        <v>3.6339371707711541</v>
      </c>
      <c r="G20" s="107">
        <v>0.13393717077115466</v>
      </c>
      <c r="H20" s="107">
        <v>0.79128339889788069</v>
      </c>
      <c r="I20" s="107">
        <v>3.6339371707711541</v>
      </c>
      <c r="J20" s="107">
        <v>0.13393717077115466</v>
      </c>
      <c r="K20" s="107">
        <v>0.79128339889788069</v>
      </c>
      <c r="L20" s="107">
        <v>3.9267799999999999</v>
      </c>
      <c r="M20" s="107">
        <v>2.9267799999999995</v>
      </c>
      <c r="N20" s="107">
        <v>2.9311387165398459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-8.724378525568893</v>
      </c>
      <c r="T20" s="107">
        <v>-2.6422628292288444</v>
      </c>
      <c r="U20" s="107">
        <v>-6.1422628292288444</v>
      </c>
      <c r="V20" s="107">
        <v>-5.4849166011021184</v>
      </c>
      <c r="W20" s="112">
        <v>39724.008701257342</v>
      </c>
    </row>
    <row r="21" spans="1:23">
      <c r="A21" s="102" t="s">
        <v>319</v>
      </c>
      <c r="B21" s="102" t="s">
        <v>320</v>
      </c>
      <c r="D21" s="107" t="s">
        <v>176</v>
      </c>
      <c r="F21" s="107">
        <v>4.2576571707711537</v>
      </c>
      <c r="H21" s="107">
        <v>4.2576571707711537</v>
      </c>
      <c r="I21" s="107">
        <v>4.2576571707711537</v>
      </c>
      <c r="K21" s="107">
        <v>4.2576571707711537</v>
      </c>
      <c r="L21" s="107">
        <v>4.5566999999999993</v>
      </c>
      <c r="N21" s="107">
        <v>4.5566999999999993</v>
      </c>
      <c r="O21" s="107">
        <v>4.041199999999999</v>
      </c>
      <c r="Q21" s="107">
        <v>4.041199999999999</v>
      </c>
      <c r="R21" s="107">
        <v>-19.550171512313462</v>
      </c>
      <c r="S21" s="107">
        <v>-19.550171512313462</v>
      </c>
      <c r="T21" s="107">
        <v>-2.2913428292288449</v>
      </c>
      <c r="V21" s="107">
        <v>-2.2913428292288449</v>
      </c>
      <c r="W21" s="112">
        <v>103.8594416539005</v>
      </c>
    </row>
    <row r="22" spans="1:23">
      <c r="A22" s="102" t="s">
        <v>321</v>
      </c>
      <c r="B22" s="102" t="s">
        <v>322</v>
      </c>
      <c r="D22" s="107" t="s">
        <v>176</v>
      </c>
      <c r="F22" s="107">
        <v>-0.9936628292288453</v>
      </c>
      <c r="H22" s="107">
        <v>-0.9936628292288453</v>
      </c>
      <c r="I22" s="107">
        <v>-0.9936628292288453</v>
      </c>
      <c r="K22" s="107">
        <v>-0.9936628292288453</v>
      </c>
      <c r="L22" s="107">
        <v>-0.74682000000000004</v>
      </c>
      <c r="N22" s="107">
        <v>-0.74682000000000004</v>
      </c>
      <c r="O22" s="107">
        <v>-1.6277199999999996</v>
      </c>
      <c r="Q22" s="107">
        <v>-1.6277199999999996</v>
      </c>
      <c r="R22" s="107">
        <v>-8.7114915123134633</v>
      </c>
      <c r="S22" s="107">
        <v>-8.7114915123134633</v>
      </c>
      <c r="T22" s="107">
        <v>-5.2458628292288445</v>
      </c>
      <c r="V22" s="107">
        <v>-5.2458628292288445</v>
      </c>
      <c r="W22" s="102">
        <v>1351343.0050164976</v>
      </c>
    </row>
    <row r="23" spans="1:23">
      <c r="A23" s="102" t="s">
        <v>323</v>
      </c>
      <c r="B23" s="102" t="s">
        <v>324</v>
      </c>
      <c r="D23" s="107" t="s">
        <v>176</v>
      </c>
      <c r="F23" s="107">
        <v>2.5172771707711545</v>
      </c>
      <c r="H23" s="107">
        <v>2.5172771707711545</v>
      </c>
      <c r="I23" s="107">
        <v>2.5172771707711545</v>
      </c>
      <c r="K23" s="107">
        <v>2.5172771707711545</v>
      </c>
      <c r="L23" s="107">
        <v>2.7990199999999996</v>
      </c>
      <c r="N23" s="107">
        <v>2.7990199999999996</v>
      </c>
      <c r="O23" s="107">
        <v>2.16242</v>
      </c>
      <c r="Q23" s="107">
        <v>2.16242</v>
      </c>
      <c r="R23" s="107">
        <v>-11.860551512313464</v>
      </c>
      <c r="S23" s="107">
        <v>-11.860551512313464</v>
      </c>
      <c r="T23" s="107">
        <v>-3.2705228292288444</v>
      </c>
      <c r="V23" s="107">
        <v>-3.2705228292288444</v>
      </c>
      <c r="W23" s="102">
        <v>221.42314372090217</v>
      </c>
    </row>
    <row r="24" spans="1:23">
      <c r="A24" s="102" t="s">
        <v>325</v>
      </c>
      <c r="B24" s="102" t="s">
        <v>326</v>
      </c>
      <c r="D24" s="107" t="s">
        <v>176</v>
      </c>
      <c r="F24" s="107">
        <v>-0.59126282922884521</v>
      </c>
      <c r="H24" s="107">
        <v>-0.59126282922884521</v>
      </c>
      <c r="I24" s="107">
        <v>-0.59126282922884521</v>
      </c>
      <c r="K24" s="107">
        <v>-0.59126282922884521</v>
      </c>
      <c r="L24" s="107">
        <v>-0.34041999999999994</v>
      </c>
      <c r="N24" s="107">
        <v>-0.34041999999999994</v>
      </c>
      <c r="O24" s="107">
        <v>-1.1933199999999997</v>
      </c>
      <c r="Q24" s="107">
        <v>-1.1933199999999997</v>
      </c>
      <c r="R24" s="107">
        <v>-12.279091512313462</v>
      </c>
      <c r="S24" s="107">
        <v>-12.279091512313462</v>
      </c>
      <c r="T24" s="107">
        <v>-5.0194628292288455</v>
      </c>
      <c r="V24" s="107">
        <v>-5.0194628292288455</v>
      </c>
      <c r="W24" s="102">
        <v>127.20758741335909</v>
      </c>
    </row>
    <row r="25" spans="1:23">
      <c r="A25" s="102" t="s">
        <v>327</v>
      </c>
      <c r="B25" s="102" t="s">
        <v>328</v>
      </c>
      <c r="D25" s="107" t="s">
        <v>176</v>
      </c>
      <c r="F25" s="107">
        <v>-1.6576228292288453</v>
      </c>
      <c r="H25" s="107">
        <v>-1.6576228292288453</v>
      </c>
      <c r="I25" s="107">
        <v>-1.6576228292288453</v>
      </c>
      <c r="K25" s="107">
        <v>-1.6576228292288453</v>
      </c>
      <c r="L25" s="107">
        <v>-1.4173799999999999</v>
      </c>
      <c r="N25" s="107">
        <v>-1.4173799999999999</v>
      </c>
      <c r="O25" s="107">
        <v>-2.3444799999999999</v>
      </c>
      <c r="Q25" s="107">
        <v>-2.3444799999999999</v>
      </c>
      <c r="R25" s="107">
        <v>-28.48545151231346</v>
      </c>
      <c r="S25" s="107">
        <v>-28.48545151231346</v>
      </c>
      <c r="T25" s="107">
        <v>-5.6194228292288448</v>
      </c>
      <c r="V25" s="107">
        <v>-5.6194228292288448</v>
      </c>
      <c r="W25" s="102">
        <v>673306.70627143362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176</v>
      </c>
      <c r="F28" s="107">
        <v>-1.5167828292288452</v>
      </c>
      <c r="H28" s="107">
        <v>-1.5167828292288452</v>
      </c>
      <c r="I28" s="107">
        <v>-1.5167828292288452</v>
      </c>
      <c r="K28" s="107">
        <v>-1.5167828292288452</v>
      </c>
      <c r="L28" s="107">
        <v>-1.2751399999999997</v>
      </c>
      <c r="N28" s="107">
        <v>-1.2751399999999997</v>
      </c>
      <c r="O28" s="107">
        <v>-2.1924399999999999</v>
      </c>
      <c r="Q28" s="107">
        <v>-2.1924399999999999</v>
      </c>
      <c r="R28" s="107">
        <v>-17.584611512313465</v>
      </c>
      <c r="S28" s="107">
        <v>-17.584611512313465</v>
      </c>
      <c r="T28" s="107">
        <v>-5.5401828292288453</v>
      </c>
      <c r="V28" s="107">
        <v>-5.5401828292288453</v>
      </c>
      <c r="W28" s="102">
        <v>353527.39848037547</v>
      </c>
    </row>
    <row r="29" spans="1:23">
      <c r="A29" s="102" t="s">
        <v>335</v>
      </c>
      <c r="B29" s="102" t="s">
        <v>336</v>
      </c>
      <c r="D29" s="107" t="s">
        <v>176</v>
      </c>
      <c r="F29" s="107">
        <v>1.3503171707711548</v>
      </c>
      <c r="H29" s="107">
        <v>1.3503171707711548</v>
      </c>
      <c r="I29" s="107">
        <v>1.3503171707711548</v>
      </c>
      <c r="K29" s="107">
        <v>1.3503171707711548</v>
      </c>
      <c r="L29" s="107">
        <v>1.6204599999999998</v>
      </c>
      <c r="N29" s="107">
        <v>1.6204599999999998</v>
      </c>
      <c r="O29" s="107">
        <v>0.90266000000000013</v>
      </c>
      <c r="Q29" s="107">
        <v>0.90266000000000013</v>
      </c>
      <c r="R29" s="107">
        <v>-9.7675115123134635</v>
      </c>
      <c r="S29" s="107">
        <v>-9.7675115123134635</v>
      </c>
      <c r="T29" s="107">
        <v>-3.9270828292288447</v>
      </c>
      <c r="V29" s="107">
        <v>-3.9270828292288447</v>
      </c>
      <c r="W29" s="102">
        <v>20281.116715330543</v>
      </c>
    </row>
    <row r="30" spans="1:23">
      <c r="A30" s="102" t="s">
        <v>337</v>
      </c>
      <c r="B30" s="102" t="s">
        <v>338</v>
      </c>
      <c r="D30" s="107" t="s">
        <v>176</v>
      </c>
      <c r="F30" s="107">
        <v>4.3884371707711542</v>
      </c>
      <c r="H30" s="107">
        <v>4.3884371707711542</v>
      </c>
      <c r="I30" s="107">
        <v>4.3884371707711542</v>
      </c>
      <c r="K30" s="107">
        <v>4.3884371707711542</v>
      </c>
      <c r="L30" s="107">
        <v>4.6887799999999995</v>
      </c>
      <c r="N30" s="107">
        <v>4.6887799999999995</v>
      </c>
      <c r="O30" s="107">
        <v>4.1823800000000011</v>
      </c>
      <c r="Q30" s="107">
        <v>4.1823800000000011</v>
      </c>
      <c r="R30" s="107">
        <v>-15.749391512313462</v>
      </c>
      <c r="S30" s="107">
        <v>-15.749391512313462</v>
      </c>
      <c r="T30" s="107">
        <v>-2.2177628292288443</v>
      </c>
      <c r="V30" s="107">
        <v>-2.2177628292288443</v>
      </c>
      <c r="W30" s="102">
        <v>2.8345468450236071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2.9580140805286746E-3</v>
      </c>
      <c r="C2">
        <f>SUM('Mass Balance'!E2:H2)</f>
        <v>2.9602754630570173E-3</v>
      </c>
      <c r="D2">
        <f>Concentrations!F2/Concentrations!E2</f>
        <v>1.001522720959295</v>
      </c>
    </row>
    <row r="3" spans="1:4">
      <c r="A3" s="164">
        <f>'Mass Balance'!I3</f>
        <v>0</v>
      </c>
      <c r="B3">
        <f>'Mass Balance'!E3</f>
        <v>2.5195728719146224E-3</v>
      </c>
      <c r="C3">
        <f>SUM('Mass Balance'!E3:H3)</f>
        <v>2.6644527763998544E-3</v>
      </c>
      <c r="D3">
        <f>Concentrations!F3/Concentrations!E3</f>
        <v>0.94778884086043835</v>
      </c>
    </row>
    <row r="4" spans="1:4">
      <c r="A4" s="164">
        <f>'Mass Balance'!I4</f>
        <v>0</v>
      </c>
      <c r="B4">
        <f>'Mass Balance'!E4</f>
        <v>6.3742927373294268E-4</v>
      </c>
      <c r="C4">
        <f>SUM('Mass Balance'!E4:H4)</f>
        <v>2.3505387409706183E-3</v>
      </c>
      <c r="D4">
        <f>Concentrations!F4/Concentrations!E4</f>
        <v>0.27180490246111871</v>
      </c>
    </row>
    <row r="5" spans="1:4">
      <c r="A5" s="164">
        <f>'Mass Balance'!I5</f>
        <v>0</v>
      </c>
      <c r="B5">
        <f>'Mass Balance'!E5</f>
        <v>2.903081688147039E-3</v>
      </c>
      <c r="C5">
        <f>SUM('Mass Balance'!E5:H5)</f>
        <v>2.9131023838110254E-3</v>
      </c>
      <c r="D5">
        <f>Concentrations!F5/Concentrations!E5</f>
        <v>0.99884063609612184</v>
      </c>
    </row>
    <row r="6" spans="1:4">
      <c r="A6" s="164">
        <f>'Mass Balance'!I6</f>
        <v>0</v>
      </c>
      <c r="B6">
        <f>'Mass Balance'!E6</f>
        <v>3.6445440278402645E-5</v>
      </c>
      <c r="C6">
        <f>SUM('Mass Balance'!E6:H6)</f>
        <v>2.7239332745297184E-3</v>
      </c>
      <c r="D6">
        <f>Concentrations!F6/Concentrations!E6</f>
        <v>1.3410328947609143E-2</v>
      </c>
    </row>
    <row r="7" spans="1:4">
      <c r="A7" s="164">
        <f>'Mass Balance'!I7</f>
        <v>0</v>
      </c>
      <c r="B7">
        <f>'Mass Balance'!E7</f>
        <v>2.9831662778474423E-3</v>
      </c>
      <c r="C7">
        <f>SUM('Mass Balance'!E7:H7)</f>
        <v>2.9835930506985501E-3</v>
      </c>
      <c r="D7">
        <f>Concentrations!F7/Concentrations!E7</f>
        <v>1.0021450113372075</v>
      </c>
    </row>
    <row r="8" spans="1:4">
      <c r="A8" s="164">
        <f>'Mass Balance'!I8</f>
        <v>0</v>
      </c>
      <c r="B8">
        <f>'Mass Balance'!E8</f>
        <v>2.9057118247563332E-3</v>
      </c>
      <c r="C8">
        <f>SUM('Mass Balance'!E8:H8)</f>
        <v>2.9152614021833575E-3</v>
      </c>
      <c r="D8">
        <f>Concentrations!F8/Concentrations!E8</f>
        <v>0.99900516339127798</v>
      </c>
    </row>
    <row r="9" spans="1:4">
      <c r="A9" s="164">
        <f>'Mass Balance'!I9</f>
        <v>0</v>
      </c>
      <c r="B9">
        <f>'Mass Balance'!E9</f>
        <v>2.7698554333386281E-6</v>
      </c>
      <c r="C9">
        <f>SUM('Mass Balance'!E9:H9)</f>
        <v>2.8176792703879959E-3</v>
      </c>
      <c r="D9">
        <f>Concentrations!F9/Concentrations!E9</f>
        <v>9.8527676315773275E-4</v>
      </c>
    </row>
    <row r="10" spans="1:4">
      <c r="A10" s="164">
        <f>'Mass Balance'!I10</f>
        <v>0</v>
      </c>
      <c r="B10">
        <f>'Mass Balance'!E10</f>
        <v>2.2583218912512102E-3</v>
      </c>
      <c r="C10">
        <f>SUM('Mass Balance'!E10:H10)</f>
        <v>2.5437491007835127E-3</v>
      </c>
      <c r="D10">
        <f>Concentrations!F10/Concentrations!E10</f>
        <v>0.88982430931029</v>
      </c>
    </row>
    <row r="11" spans="1:4">
      <c r="A11" s="164">
        <f>'Mass Balance'!I11</f>
        <v>0</v>
      </c>
      <c r="B11">
        <f>'Mass Balance'!E11</f>
        <v>2.4781349910073395E-3</v>
      </c>
      <c r="C11">
        <f>SUM('Mass Balance'!E11:H11)</f>
        <v>2.6432996245741359E-3</v>
      </c>
      <c r="D11">
        <f>Concentrations!F11/Concentrations!E11</f>
        <v>0.93966112615998698</v>
      </c>
    </row>
    <row r="12" spans="1:4">
      <c r="A12" s="164">
        <f>'Mass Balance'!I12</f>
        <v>0</v>
      </c>
      <c r="B12">
        <f>'Mass Balance'!E12</f>
        <v>2.7931532924797184E-3</v>
      </c>
      <c r="C12">
        <f>SUM('Mass Balance'!E12:H12)</f>
        <v>2.8298964498755111E-3</v>
      </c>
      <c r="D12">
        <f>Concentrations!F12/Concentrations!E12</f>
        <v>0.98927474350882127</v>
      </c>
    </row>
    <row r="13" spans="1:4">
      <c r="A13" s="164">
        <f>'Mass Balance'!I13</f>
        <v>0</v>
      </c>
      <c r="B13">
        <f>'Mass Balance'!E13</f>
        <v>1.7878088564422249E-5</v>
      </c>
      <c r="C13">
        <f>SUM('Mass Balance'!E13:H13)</f>
        <v>2.7230254137513496E-3</v>
      </c>
      <c r="D13">
        <f>Concentrations!F13/Concentrations!E13</f>
        <v>6.5805483520687208E-3</v>
      </c>
    </row>
    <row r="14" spans="1:4">
      <c r="A14" s="164">
        <f>'Mass Balance'!I14</f>
        <v>0</v>
      </c>
      <c r="B14">
        <f>'Mass Balance'!E14</f>
        <v>4.1736340604819054E-4</v>
      </c>
      <c r="C14">
        <f>SUM('Mass Balance'!E14:H14)</f>
        <v>1.1191652376530401E-3</v>
      </c>
      <c r="D14">
        <f>Concentrations!F14/Concentrations!E14</f>
        <v>0.37377723811209879</v>
      </c>
    </row>
    <row r="15" spans="1:4">
      <c r="A15" s="164">
        <f>'Mass Balance'!I15</f>
        <v>0</v>
      </c>
      <c r="B15">
        <f>'Mass Balance'!E15</f>
        <v>2.0357155426454712E-4</v>
      </c>
      <c r="C15">
        <f>SUM('Mass Balance'!E15:H15)</f>
        <v>2.5529145845320524E-3</v>
      </c>
      <c r="D15">
        <f>Concentrations!F15/Concentrations!E15</f>
        <v>7.9923317561159557E-2</v>
      </c>
    </row>
    <row r="16" spans="1:4">
      <c r="A16" s="164">
        <f>'Mass Balance'!I16</f>
        <v>0</v>
      </c>
      <c r="B16">
        <f>'Mass Balance'!E16</f>
        <v>2.8070352847522537E-3</v>
      </c>
      <c r="C16">
        <f>SUM('Mass Balance'!E16:H16)</f>
        <v>2.9997751828606195E-3</v>
      </c>
      <c r="D16">
        <f>Concentrations!F16/Concentrations!E16</f>
        <v>0.93788989928581434</v>
      </c>
    </row>
    <row r="17" spans="1:4">
      <c r="A17" s="164">
        <f>'Mass Balance'!I17</f>
        <v>0</v>
      </c>
      <c r="B17">
        <f>'Mass Balance'!E17</f>
        <v>4.1452388361549526E-5</v>
      </c>
      <c r="C17">
        <f>SUM('Mass Balance'!E17:H17)</f>
        <v>2.7282884093900151E-3</v>
      </c>
      <c r="D17">
        <f>Concentrations!F17/Concentrations!E17</f>
        <v>1.5228319328561937E-2</v>
      </c>
    </row>
    <row r="18" spans="1:4">
      <c r="A18" s="164">
        <f>'Mass Balance'!I18</f>
        <v>0</v>
      </c>
      <c r="B18">
        <f>'Mass Balance'!E18</f>
        <v>2.9562833570710816E-3</v>
      </c>
      <c r="C18">
        <f>SUM('Mass Balance'!E18:H18)</f>
        <v>2.9587157241222498E-3</v>
      </c>
      <c r="D18">
        <f>Concentrations!F18/Concentrations!E18</f>
        <v>1.0014643949684887</v>
      </c>
    </row>
    <row r="19" spans="1:4">
      <c r="A19" s="164">
        <f>'Mass Balance'!I19</f>
        <v>0</v>
      </c>
      <c r="B19">
        <f>'Mass Balance'!E19</f>
        <v>2.9017383951773692E-3</v>
      </c>
      <c r="C19">
        <f>SUM('Mass Balance'!E19:H19)</f>
        <v>2.9120032023801454E-3</v>
      </c>
      <c r="D19">
        <f>Concentrations!F19/Concentrations!E19</f>
        <v>0.99875531343826829</v>
      </c>
    </row>
    <row r="20" spans="1:4">
      <c r="A20" s="164">
        <f>'Mass Balance'!I20</f>
        <v>0</v>
      </c>
      <c r="B20">
        <f>'Mass Balance'!E20</f>
        <v>5.1532525690795277E-4</v>
      </c>
      <c r="C20">
        <f>SUM('Mass Balance'!E20:H20)</f>
        <v>2.9988725818316923E-3</v>
      </c>
      <c r="D20">
        <f>Concentrations!F20/Concentrations!E20</f>
        <v>0.1722328982264224</v>
      </c>
    </row>
    <row r="21" spans="1:4">
      <c r="A21" s="164">
        <f>'Mass Balance'!I21</f>
        <v>0</v>
      </c>
      <c r="B21">
        <f>'Mass Balance'!E21</f>
        <v>9.6271264141505137E-5</v>
      </c>
      <c r="C21">
        <f>SUM('Mass Balance'!E21:H21)</f>
        <v>2.671106507127886E-3</v>
      </c>
      <c r="D21">
        <f>Concentrations!F21/Concentrations!E21</f>
        <v>3.6124193843055409E-2</v>
      </c>
    </row>
    <row r="22" spans="1:4">
      <c r="A22" s="164">
        <f>'Mass Balance'!I22</f>
        <v>0</v>
      </c>
      <c r="B22">
        <f>'Mass Balance'!E22</f>
        <v>2.9884499723272116E-3</v>
      </c>
      <c r="C22">
        <f>SUM('Mass Balance'!E22:H22)</f>
        <v>2.9886630626967162E-3</v>
      </c>
      <c r="D22">
        <f>Concentrations!F22/Concentrations!E22</f>
        <v>1.0022169158433623</v>
      </c>
    </row>
    <row r="23" spans="1:4">
      <c r="A23" s="164">
        <f>'Mass Balance'!I23</f>
        <v>0</v>
      </c>
      <c r="B23">
        <f>'Mass Balance'!E23</f>
        <v>1.7320945862437534E-3</v>
      </c>
      <c r="C23">
        <f>SUM('Mass Balance'!E23:H23)</f>
        <v>2.3792021404147132E-3</v>
      </c>
      <c r="D23">
        <f>Concentrations!F23/Concentrations!E23</f>
        <v>0.7296808643873447</v>
      </c>
    </row>
    <row r="24" spans="1:4">
      <c r="A24" s="164">
        <f>'Mass Balance'!I24</f>
        <v>0</v>
      </c>
      <c r="B24">
        <f>'Mass Balance'!E24</f>
        <v>2.9803932270839897E-3</v>
      </c>
      <c r="C24">
        <f>SUM('Mass Balance'!E24:H24)</f>
        <v>2.9809580168688658E-3</v>
      </c>
      <c r="D24">
        <f>Concentrations!F24/Concentrations!E24</f>
        <v>1.002098479133307</v>
      </c>
    </row>
    <row r="25" spans="1:4">
      <c r="A25" s="164">
        <f>'Mass Balance'!I25</f>
        <v>0</v>
      </c>
      <c r="B25">
        <f>'Mass Balance'!E25</f>
        <v>2.995150062903928E-3</v>
      </c>
      <c r="C25">
        <f>SUM('Mass Balance'!E25:H25)</f>
        <v>2.9951927446351142E-3</v>
      </c>
      <c r="D25">
        <f>Concentrations!F25/Concentrations!E25</f>
        <v>1.0022740958785885</v>
      </c>
    </row>
    <row r="26" spans="1:4">
      <c r="A26" s="164">
        <f>'Mass Balance'!I26</f>
        <v>0</v>
      </c>
      <c r="B26">
        <f>'Mass Balance'!E26</f>
        <v>2.9888248951563797E-3</v>
      </c>
      <c r="C26">
        <f>SUM('Mass Balance'!E26:H26)</f>
        <v>2.9890253904384842E-3</v>
      </c>
      <c r="D26">
        <f>Concentrations!F26/Concentrations!E26</f>
        <v>1.0022211479260659</v>
      </c>
    </row>
    <row r="27" spans="1:4">
      <c r="A27" s="164">
        <f>'Mass Balance'!I27</f>
        <v>0</v>
      </c>
      <c r="B27">
        <f>'Mass Balance'!E27</f>
        <v>2.931644871334931E-3</v>
      </c>
      <c r="C27">
        <f>SUM('Mass Balance'!E27:H27)</f>
        <v>2.9370595272076726E-3</v>
      </c>
      <c r="D27">
        <f>Concentrations!F27/Concentrations!E27</f>
        <v>1.0004405962505569</v>
      </c>
    </row>
    <row r="28" spans="1:4">
      <c r="A28" s="164">
        <f>'Mass Balance'!I28</f>
        <v>0</v>
      </c>
      <c r="B28">
        <f>'Mass Balance'!E28</f>
        <v>2.9941723735877222E-3</v>
      </c>
      <c r="C28">
        <f>SUM('Mass Balance'!E28:H28)</f>
        <v>2.9942323963841372E-3</v>
      </c>
      <c r="D28">
        <f>Concentrations!F28/Concentrations!E28</f>
        <v>1.0022682865551285</v>
      </c>
    </row>
    <row r="29" spans="1:4">
      <c r="A29" s="164">
        <f>'Mass Balance'!I29</f>
        <v>0</v>
      </c>
      <c r="B29">
        <f>'Mass Balance'!E29</f>
        <v>2.7259384640543191E-3</v>
      </c>
      <c r="C29">
        <f>SUM('Mass Balance'!E29:H29)</f>
        <v>2.7845558523868531E-3</v>
      </c>
      <c r="D29">
        <f>Concentrations!F29/Concentrations!E29</f>
        <v>0.98118931278287991</v>
      </c>
    </row>
    <row r="30" spans="1:4">
      <c r="A30" s="164">
        <f>'Mass Balance'!I30</f>
        <v>0</v>
      </c>
      <c r="B30">
        <f>'Mass Balance'!E30</f>
        <v>7.1540119074832537E-5</v>
      </c>
      <c r="C30">
        <f>SUM('Mass Balance'!E30:H30)</f>
        <v>2.7104735367597102E-3</v>
      </c>
      <c r="D30">
        <f>Concentrations!F30/Concentrations!E30</f>
        <v>2.6454355291616886E-2</v>
      </c>
    </row>
    <row r="31" spans="1:4">
      <c r="A31" s="164">
        <f>'Mass Balance'!I31</f>
        <v>0</v>
      </c>
      <c r="B31">
        <f>'Mass Balance'!E31</f>
        <v>1.9191002148313469E-3</v>
      </c>
      <c r="C31">
        <f>SUM('Mass Balance'!E31:H31)</f>
        <v>2.4268922767895786E-3</v>
      </c>
      <c r="D31">
        <f>Concentrations!F31/Concentrations!E31</f>
        <v>0.7925740507833291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2024-10-25T23:42:43Z</dcterms:modified>
</cp:coreProperties>
</file>