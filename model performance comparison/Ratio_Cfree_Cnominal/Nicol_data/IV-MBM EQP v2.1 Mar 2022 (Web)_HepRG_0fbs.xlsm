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Validation_Unilever\"/>
    </mc:Choice>
  </mc:AlternateContent>
  <xr:revisionPtr revIDLastSave="0" documentId="13_ncr:1_{E4DB8AED-9FA8-45D9-AC2C-86DE5FA4955F}" xr6:coauthVersionLast="47" xr6:coauthVersionMax="47" xr10:uidLastSave="{00000000-0000-0000-0000-000000000000}"/>
  <bookViews>
    <workbookView xWindow="-98" yWindow="-98" windowWidth="21795" windowHeight="13875" tabRatio="841" firstSheet="2" activeTab="6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  <sheet name="Extra dat" sheetId="23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3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<sst xmlns="http://schemas.openxmlformats.org/spreadsheetml/2006/main" count="1067" uniqueCount="342">
  <si>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</si>
  <si>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</si>
  <si>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</si>
  <si>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</si>
  <si>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</si>
  <si>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</si>
  <si>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</si>
  <si>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</si>
  <si>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</si>
  <si>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</si>
  <si>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</si>
  <si>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</si>
  <si>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</si>
  <si>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</si>
  <si>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</si>
  <si>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</si>
  <si>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</si>
  <si>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</si>
  <si>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</si>
  <si>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</si>
  <si>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</si>
  <si>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</si>
  <si>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</si>
  <si>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</si>
  <si>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</si>
  <si>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</si>
  <si>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</si>
  <si>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</si>
  <si>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</si>
  <si>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</si>
  <si>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</si>
  <si>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</si>
  <si>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</si>
  <si>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</si>
  <si>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</si>
  <si>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</si>
  <si>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</si>
  <si>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</si>
  <si>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</si>
  <si>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</si>
  <si>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</si>
  <si>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</si>
  <si>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</si>
  <si>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</si>
  <si>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</si>
  <si>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</si>
  <si>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</si>
  <si>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</si>
  <si>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</si>
  <si>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</si>
  <si>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</si>
  <si>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</si>
  <si>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</si>
  <si>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</si>
  <si>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</si>
  <si>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</si>
  <si>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</si>
  <si>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</si>
  <si>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</si>
  <si>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</si>
  <si>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</si>
  <si>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</si>
  <si>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</si>
  <si>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</si>
  <si>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</si>
  <si>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</si>
  <si>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</si>
  <si>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</si>
  <si>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</si>
  <si>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</si>
  <si>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</si>
  <si>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</si>
  <si>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</si>
  <si>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</si>
  <si>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</si>
  <si>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</si>
  <si>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</si>
  <si>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</si>
  <si>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</si>
  <si>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</si>
  <si>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</si>
  <si>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</si>
  <si>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</si>
  <si>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</si>
  <si>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</si>
  <si>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</si>
  <si>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</si>
  <si>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</si>
  <si>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</si>
  <si>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</si>
  <si>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</si>
  <si>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</si>
  <si>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</si>
  <si>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</si>
  <si>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</si>
  <si>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</si>
  <si>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</si>
  <si>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</si>
  <si>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</si>
  <si>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</si>
  <si>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</si>
  <si>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</si>
  <si>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</si>
  <si>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</si>
  <si>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</si>
  <si>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</si>
  <si>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</si>
  <si>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</si>
  <si>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</si>
  <si>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</si>
  <si>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</si>
  <si>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</si>
  <si>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</si>
  <si>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</si>
  <si>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</si>
  <si>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</si>
  <si>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</si>
  <si>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</si>
  <si>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</si>
  <si>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</si>
  <si>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</si>
  <si>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</si>
  <si>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</si>
  <si>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</si>
  <si>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</si>
  <si>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</si>
  <si>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</si>
  <si>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</si>
  <si>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</si>
  <si>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</si>
  <si>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</si>
  <si>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</si>
  <si>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</si>
  <si>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</si>
  <si>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</si>
  <si>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</si>
  <si>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</si>
  <si>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</si>
  <si>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</si>
  <si>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</si>
  <si>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</si>
  <si>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</si>
  <si>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</si>
  <si>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</si>
  <si>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</si>
  <si>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</si>
  <si>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</si>
  <si>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</si>
  <si>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</si>
  <si>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</si>
  <si>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</si>
  <si>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</si>
  <si>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</si>
  <si>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</si>
  <si>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</si>
  <si>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</si>
  <si>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</si>
  <si>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</si>
  <si>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</si>
  <si>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</si>
  <si>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</si>
  <si>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</si>
  <si>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</si>
  <si>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</si>
  <si>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</si>
  <si>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</si>
  <si>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</si>
  <si>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</si>
  <si>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</si>
  <si>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</si>
  <si>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</si>
  <si>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</si>
  <si>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</si>
  <si>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</si>
  <si>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</si>
  <si>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</si>
  <si>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</si>
  <si>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</si>
  <si>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</si>
  <si>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</si>
  <si>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</si>
  <si>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</si>
  <si>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</si>
  <si>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</si>
  <si>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</si>
  <si>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</si>
  <si>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</si>
  <si>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</si>
  <si>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</si>
  <si>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</si>
  <si>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</si>
  <si>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</si>
  <si>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</si>
  <si>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</si>
  <si>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</si>
  <si>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</si>
  <si>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</si>
  <si>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</si>
  <si>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</si>
  <si>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</si>
  <si>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</si>
  <si>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</si>
  <si>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</si>
  <si>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</si>
  <si>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</si>
  <si>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</si>
  <si>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</si>
  <si>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</si>
  <si>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</si>
  <si>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</si>
  <si>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</si>
  <si>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</si>
  <si>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</si>
  <si>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</si>
  <si>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</si>
  <si>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</si>
  <si>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</si>
  <si>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</si>
  <si>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</si>
  <si>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</si>
  <si>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</si>
  <si>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</si>
  <si>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</si>
  <si>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</si>
  <si>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</si>
  <si>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</si>
  <si>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</si>
  <si>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</si>
  <si>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</si>
  <si>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</si>
  <si>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</si>
  <si>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</si>
  <si>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</si>
  <si>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</si>
  <si>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</si>
  <si>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</si>
  <si>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</si>
  <si>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</si>
  <si>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</si>
  <si>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</si>
  <si>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</si>
  <si>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</si>
  <si>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</si>
  <si>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</si>
  <si>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</si>
  <si>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</si>
  <si>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</si>
  <si>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</si>
  <si>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</si>
  <si>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</si>
  <si>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</si>
  <si>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</si>
  <si>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</si>
  <si>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</si>
  <si>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</si>
  <si>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</si>
  <si>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</si>
  <si>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</si>
  <si>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</si>
  <si>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</si>
  <si>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</si>
  <si>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</si>
  <si>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</si>
  <si>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</si>
  <si>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</si>
  <si>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</si>
  <si>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</si>
  <si>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</si>
  <si>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</si>
  <si>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</si>
  <si>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</si>
  <si>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</si>
  <si>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</si>
  <si>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</si>
  <si>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</si>
  <si>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Warfarin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</si>
  <si>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</si>
  <si>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</si>
  <si>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</si>
  <si>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</si>
  <si>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</si>
  <si>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</si>
  <si>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</si>
  <si>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</si>
  <si>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Ibuprofen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</si>
  <si>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</si>
  <si>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</si>
  <si>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</si>
  <si>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</si>
  <si>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</si>
  <si>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</si>
  <si>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</si>
  <si>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</si>
  <si>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</si>
  <si>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</si>
  <si>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</si>
  <si>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</si>
  <si>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</si>
  <si>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</si>
  <si>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</si>
  <si>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</si>
  <si>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</si>
  <si>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</si>
  <si>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</si>
  <si>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</si>
  <si>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</si>
  <si>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</si>
  <si>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</si>
  <si>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</si>
  <si>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</si>
  <si>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</si>
  <si>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</si>
  <si>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</si>
  <si>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</si>
  <si>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</si>
  <si>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</si>
  <si>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</si>
  <si>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</si>
  <si>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</si>
  <si>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</si>
  <si>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</si>
  <si>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</si>
  <si>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</si>
  <si>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</si>
  <si>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</si>
  <si>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</si>
  <si>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</si>
  <si>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</si>
  <si>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</si>
  <si>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</si>
  <si>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</si>
  <si>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</si>
  <si>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</si>
  <si>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</si>
  <si>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</si>
  <si>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</si>
  <si>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</si>
  <si>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</si>
  <si>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</si>
  <si>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</si>
  <si>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50 - 500</t>
    <phoneticPr fontId="34" type="noConversion"/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</si>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</sst>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47625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31" sqref="Z31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285</v>
      </c>
      <c r="B2" s="103" t="s">
        <v>286</v>
      </c>
      <c r="C2" s="127"/>
      <c r="D2" s="104">
        <v>277.26</v>
      </c>
      <c r="E2" s="104">
        <v>244</v>
      </c>
      <c r="F2" s="103"/>
      <c r="G2" s="104" t="s">
        <v>277</v>
      </c>
      <c r="H2" s="107">
        <v>8.1999999999999993</v>
      </c>
      <c r="I2" s="107">
        <v>0.1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-15.1</v>
      </c>
      <c r="U2" s="103"/>
      <c r="V2" s="115">
        <v>100.09086000000001</v>
      </c>
      <c r="W2" s="115"/>
      <c r="X2" s="107"/>
      <c r="Y2" s="103"/>
      <c r="Z2" s="115">
        <v>10</v>
      </c>
    </row>
    <row r="3" spans="1:27" s="102" customFormat="1">
      <c r="A3" s="102" t="s">
        <v>287</v>
      </c>
      <c r="B3" s="103" t="s">
        <v>288</v>
      </c>
      <c r="C3" s="127"/>
      <c r="D3" s="104">
        <v>165.19</v>
      </c>
      <c r="E3" s="104">
        <v>92</v>
      </c>
      <c r="F3" s="103"/>
      <c r="G3" s="104" t="s">
        <v>176</v>
      </c>
      <c r="H3" s="107"/>
      <c r="I3" s="107">
        <v>1.86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-6.33</v>
      </c>
      <c r="U3" s="103"/>
      <c r="V3" s="115">
        <v>834.20950000000005</v>
      </c>
      <c r="W3" s="115"/>
      <c r="X3" s="107"/>
      <c r="Y3" s="103"/>
      <c r="Z3" s="115">
        <v>10</v>
      </c>
      <c r="AA3" s="18"/>
    </row>
    <row r="4" spans="1:27" s="102" customFormat="1">
      <c r="A4" s="102" t="s">
        <v>289</v>
      </c>
      <c r="B4" s="103" t="s">
        <v>290</v>
      </c>
      <c r="C4" s="127"/>
      <c r="D4" s="104">
        <v>180.24</v>
      </c>
      <c r="E4" s="104">
        <v>64.900000000000006</v>
      </c>
      <c r="F4" s="104"/>
      <c r="G4" s="104" t="s">
        <v>176</v>
      </c>
      <c r="H4" s="107"/>
      <c r="I4" s="107">
        <v>3.42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-4.8</v>
      </c>
      <c r="U4" s="103"/>
      <c r="V4" s="115">
        <v>358.67759999999998</v>
      </c>
      <c r="W4" s="115"/>
      <c r="X4" s="103"/>
      <c r="Y4" s="103"/>
      <c r="Z4" s="115">
        <v>10</v>
      </c>
    </row>
    <row r="5" spans="1:27" s="102" customFormat="1">
      <c r="A5" s="102" t="s">
        <v>291</v>
      </c>
      <c r="B5" s="103" t="s">
        <v>292</v>
      </c>
      <c r="C5" s="127"/>
      <c r="D5" s="104">
        <v>388.89</v>
      </c>
      <c r="E5" s="104">
        <v>249</v>
      </c>
      <c r="F5" s="103"/>
      <c r="G5" s="104" t="s">
        <v>277</v>
      </c>
      <c r="H5" s="107">
        <v>4.7</v>
      </c>
      <c r="I5" s="107">
        <v>0.71499999999999997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-16.600000000000001</v>
      </c>
      <c r="U5" s="103"/>
      <c r="V5" s="115">
        <v>443.33460000000002</v>
      </c>
      <c r="W5" s="115"/>
      <c r="X5" s="107"/>
      <c r="Y5" s="103"/>
      <c r="Z5" s="115">
        <v>10</v>
      </c>
      <c r="AA5" s="112"/>
    </row>
    <row r="6" spans="1:27" s="102" customFormat="1">
      <c r="A6" s="102" t="s">
        <v>278</v>
      </c>
      <c r="B6" s="103" t="s">
        <v>279</v>
      </c>
      <c r="C6" s="128"/>
      <c r="D6" s="104">
        <v>350.59</v>
      </c>
      <c r="E6" s="104">
        <v>42</v>
      </c>
      <c r="F6" s="104"/>
      <c r="G6" s="104" t="s">
        <v>176</v>
      </c>
      <c r="H6" s="107"/>
      <c r="I6" s="107">
        <v>4.96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-4.17</v>
      </c>
      <c r="U6" s="103"/>
      <c r="V6" s="115">
        <v>1.1499352</v>
      </c>
      <c r="W6" s="115"/>
      <c r="X6" s="107"/>
      <c r="Y6" s="129"/>
      <c r="Z6" s="115">
        <v>10</v>
      </c>
    </row>
    <row r="7" spans="1:27" s="102" customFormat="1" ht="13.15">
      <c r="A7" s="102" t="s">
        <v>293</v>
      </c>
      <c r="B7" s="103" t="s">
        <v>294</v>
      </c>
      <c r="C7" s="127"/>
      <c r="D7" s="104">
        <v>179.24</v>
      </c>
      <c r="E7" s="104">
        <v>107</v>
      </c>
      <c r="F7" s="103"/>
      <c r="G7" s="104" t="s">
        <v>341</v>
      </c>
      <c r="H7" s="107">
        <v>17.600000000000001</v>
      </c>
      <c r="I7" s="107">
        <v>-0.58499999999999996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-9.77</v>
      </c>
      <c r="U7" s="103"/>
      <c r="V7" s="115">
        <v>874691.2</v>
      </c>
      <c r="W7" s="115"/>
      <c r="X7" s="107"/>
      <c r="Y7" s="103"/>
      <c r="Z7" s="115">
        <v>10</v>
      </c>
      <c r="AA7" s="24"/>
    </row>
    <row r="8" spans="1:27" s="102" customFormat="1">
      <c r="A8" s="102" t="s">
        <v>295</v>
      </c>
      <c r="B8" s="103" t="s">
        <v>296</v>
      </c>
      <c r="C8" s="127"/>
      <c r="D8" s="104">
        <v>261.08999999999997</v>
      </c>
      <c r="E8" s="104">
        <v>61.5</v>
      </c>
      <c r="F8" s="104"/>
      <c r="G8" s="104" t="s">
        <v>341</v>
      </c>
      <c r="H8" s="107">
        <v>6.1</v>
      </c>
      <c r="I8" s="107">
        <v>0.69499999999999995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-10.199999999999999</v>
      </c>
      <c r="U8" s="103"/>
      <c r="V8" s="115">
        <v>46212.93</v>
      </c>
      <c r="W8" s="115"/>
      <c r="X8" s="107"/>
      <c r="Y8" s="103"/>
      <c r="Z8" s="115">
        <v>10</v>
      </c>
      <c r="AA8" s="112"/>
    </row>
    <row r="9" spans="1:27" s="102" customFormat="1">
      <c r="A9" s="102" t="s">
        <v>297</v>
      </c>
      <c r="B9" s="103" t="s">
        <v>298</v>
      </c>
      <c r="C9" s="127"/>
      <c r="D9" s="104">
        <v>416.3</v>
      </c>
      <c r="E9" s="104">
        <v>102</v>
      </c>
      <c r="F9" s="104"/>
      <c r="G9" s="104" t="s">
        <v>176</v>
      </c>
      <c r="H9" s="107"/>
      <c r="I9" s="107">
        <v>6.62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-6.45</v>
      </c>
      <c r="U9" s="103"/>
      <c r="V9" s="115">
        <v>1.4778650000000001E-2</v>
      </c>
      <c r="W9" s="115"/>
      <c r="X9" s="107"/>
      <c r="Y9" s="103"/>
      <c r="Z9" s="115">
        <v>10</v>
      </c>
    </row>
    <row r="10" spans="1:27" s="102" customFormat="1">
      <c r="A10" s="102" t="s">
        <v>299</v>
      </c>
      <c r="B10" s="103" t="s">
        <v>300</v>
      </c>
      <c r="C10" s="127"/>
      <c r="D10" s="104">
        <v>191.27</v>
      </c>
      <c r="E10" s="104">
        <v>-45</v>
      </c>
      <c r="F10" s="103"/>
      <c r="G10" s="104" t="s">
        <v>176</v>
      </c>
      <c r="H10" s="107"/>
      <c r="I10" s="107">
        <v>2.1800000000000002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-6.57</v>
      </c>
      <c r="U10" s="103"/>
      <c r="V10" s="115">
        <v>916.18330000000003</v>
      </c>
      <c r="W10" s="115"/>
      <c r="X10" s="107"/>
      <c r="Y10" s="103"/>
      <c r="Z10" s="115">
        <v>10</v>
      </c>
    </row>
    <row r="11" spans="1:27" s="102" customFormat="1">
      <c r="A11" s="102" t="s">
        <v>301</v>
      </c>
      <c r="B11" s="103" t="s">
        <v>302</v>
      </c>
      <c r="C11" s="128"/>
      <c r="D11" s="104">
        <v>392.46</v>
      </c>
      <c r="E11" s="104">
        <v>248</v>
      </c>
      <c r="F11" s="103"/>
      <c r="G11" s="104" t="s">
        <v>176</v>
      </c>
      <c r="H11" s="107"/>
      <c r="I11" s="107">
        <v>1.92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-18.8</v>
      </c>
      <c r="U11" s="103"/>
      <c r="V11" s="115">
        <v>78.492000000000004</v>
      </c>
      <c r="W11" s="115"/>
      <c r="X11" s="107"/>
      <c r="Y11" s="103"/>
      <c r="Z11" s="115">
        <v>10</v>
      </c>
    </row>
    <row r="12" spans="1:27" s="102" customFormat="1" ht="13.15">
      <c r="A12" s="102" t="s">
        <v>303</v>
      </c>
      <c r="B12" s="103" t="s">
        <v>304</v>
      </c>
      <c r="C12" s="128"/>
      <c r="D12" s="104">
        <v>780.94</v>
      </c>
      <c r="E12" s="104">
        <v>426</v>
      </c>
      <c r="F12" s="104"/>
      <c r="G12" s="104" t="s">
        <v>176</v>
      </c>
      <c r="H12" s="107"/>
      <c r="I12" s="107">
        <v>1.26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-30.7</v>
      </c>
      <c r="U12" s="103"/>
      <c r="V12" s="115">
        <v>59.195252000000004</v>
      </c>
      <c r="W12" s="115"/>
      <c r="X12" s="107"/>
      <c r="Y12" s="103"/>
      <c r="Z12" s="115">
        <v>10</v>
      </c>
      <c r="AA12" s="15"/>
    </row>
    <row r="13" spans="1:27" s="102" customFormat="1">
      <c r="A13" s="102" t="s">
        <v>305</v>
      </c>
      <c r="B13" s="103" t="s">
        <v>306</v>
      </c>
      <c r="C13" s="127"/>
      <c r="D13" s="104">
        <v>306.39999999999998</v>
      </c>
      <c r="E13" s="104">
        <v>78.5</v>
      </c>
      <c r="F13" s="103"/>
      <c r="G13" s="104" t="s">
        <v>176</v>
      </c>
      <c r="H13" s="107"/>
      <c r="I13" s="107">
        <v>5.51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-7.24</v>
      </c>
      <c r="U13" s="103"/>
      <c r="V13" s="115">
        <v>0.1495232</v>
      </c>
      <c r="W13" s="115"/>
      <c r="X13" s="107"/>
      <c r="Y13" s="103"/>
      <c r="Z13" s="115">
        <v>10</v>
      </c>
      <c r="AA13" s="18"/>
    </row>
    <row r="14" spans="1:27" s="102" customFormat="1">
      <c r="A14" s="102" t="s">
        <v>307</v>
      </c>
      <c r="B14" s="103" t="s">
        <v>308</v>
      </c>
      <c r="C14" s="127"/>
      <c r="D14" s="104">
        <v>336.82</v>
      </c>
      <c r="E14" s="104">
        <v>125</v>
      </c>
      <c r="F14" s="104"/>
      <c r="G14" s="104" t="s">
        <v>176</v>
      </c>
      <c r="H14" s="107"/>
      <c r="I14" s="107">
        <v>3.23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-10</v>
      </c>
      <c r="U14" s="103"/>
      <c r="V14" s="115">
        <v>0.37387019999999999</v>
      </c>
      <c r="W14" s="115"/>
      <c r="X14" s="103"/>
      <c r="Y14" s="103"/>
      <c r="Z14" s="115">
        <v>10</v>
      </c>
      <c r="AA14" s="101"/>
    </row>
    <row r="15" spans="1:27" s="102" customFormat="1">
      <c r="A15" s="102" t="s">
        <v>309</v>
      </c>
      <c r="B15" s="103" t="s">
        <v>310</v>
      </c>
      <c r="C15" s="127"/>
      <c r="D15" s="104">
        <v>465.09</v>
      </c>
      <c r="E15" s="104">
        <v>113</v>
      </c>
      <c r="F15" s="103"/>
      <c r="G15" s="104" t="s">
        <v>176</v>
      </c>
      <c r="H15" s="107"/>
      <c r="I15" s="107">
        <v>4.01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-4.7</v>
      </c>
      <c r="U15" s="103"/>
      <c r="V15" s="115">
        <v>0.48834450000000001</v>
      </c>
      <c r="W15" s="115"/>
      <c r="X15" s="107"/>
      <c r="Y15" s="103"/>
      <c r="Z15" s="115">
        <v>10</v>
      </c>
      <c r="AA15" s="18"/>
    </row>
    <row r="16" spans="1:27" s="102" customFormat="1">
      <c r="A16" s="102" t="s">
        <v>311</v>
      </c>
      <c r="B16" s="103" t="s">
        <v>312</v>
      </c>
      <c r="C16" s="127"/>
      <c r="D16" s="104">
        <v>330.74</v>
      </c>
      <c r="E16" s="104">
        <v>261</v>
      </c>
      <c r="F16" s="104"/>
      <c r="G16" s="104" t="s">
        <v>277</v>
      </c>
      <c r="H16" s="107">
        <v>3</v>
      </c>
      <c r="I16" s="107">
        <v>2.0299999999999998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-16.3</v>
      </c>
      <c r="U16" s="103"/>
      <c r="V16" s="115">
        <v>43.988419999999998</v>
      </c>
      <c r="W16" s="115"/>
      <c r="X16" s="103"/>
      <c r="Y16" s="103"/>
      <c r="Z16" s="115">
        <v>10</v>
      </c>
      <c r="AA16" s="101"/>
    </row>
    <row r="17" spans="1:30" s="102" customFormat="1">
      <c r="A17" s="102" t="s">
        <v>313</v>
      </c>
      <c r="B17" s="103" t="s">
        <v>314</v>
      </c>
      <c r="C17" s="128"/>
      <c r="D17" s="104">
        <v>494</v>
      </c>
      <c r="E17" s="104">
        <v>169</v>
      </c>
      <c r="F17" s="103"/>
      <c r="G17" s="104" t="s">
        <v>277</v>
      </c>
      <c r="H17" s="107">
        <v>5</v>
      </c>
      <c r="I17" s="107">
        <v>4.8499999999999996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-18</v>
      </c>
      <c r="U17" s="103"/>
      <c r="V17" s="115">
        <v>4.0063399999999998</v>
      </c>
      <c r="W17" s="115"/>
      <c r="X17" s="107"/>
      <c r="Y17" s="103"/>
      <c r="Z17" s="115">
        <v>10</v>
      </c>
    </row>
    <row r="18" spans="1:30" s="102" customFormat="1">
      <c r="A18" s="102" t="s">
        <v>315</v>
      </c>
      <c r="B18" s="103" t="s">
        <v>316</v>
      </c>
      <c r="C18" s="127"/>
      <c r="D18" s="104">
        <v>197.19</v>
      </c>
      <c r="E18" s="104">
        <v>152</v>
      </c>
      <c r="F18" s="104"/>
      <c r="G18" s="104" t="s">
        <v>176</v>
      </c>
      <c r="H18" s="107"/>
      <c r="I18" s="107">
        <v>0.13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-11.8</v>
      </c>
      <c r="U18" s="103"/>
      <c r="V18" s="115">
        <v>121074.66</v>
      </c>
      <c r="W18" s="115"/>
      <c r="X18" s="103"/>
      <c r="Y18" s="103"/>
      <c r="Z18" s="115">
        <v>10</v>
      </c>
      <c r="AA18" s="101"/>
    </row>
    <row r="19" spans="1:30" s="102" customFormat="1">
      <c r="A19" s="102" t="s">
        <v>317</v>
      </c>
      <c r="B19" s="103" t="s">
        <v>318</v>
      </c>
      <c r="C19" s="127"/>
      <c r="D19" s="104">
        <v>160.18</v>
      </c>
      <c r="E19" s="104">
        <v>163</v>
      </c>
      <c r="F19" s="103"/>
      <c r="G19" s="104" t="s">
        <v>341</v>
      </c>
      <c r="H19" s="107">
        <v>6</v>
      </c>
      <c r="I19" s="107">
        <v>0.72499999999999998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-11.6</v>
      </c>
      <c r="U19" s="103"/>
      <c r="V19" s="115">
        <v>211437.6</v>
      </c>
      <c r="W19" s="115"/>
      <c r="X19" s="107"/>
      <c r="Y19" s="103"/>
      <c r="Z19" s="115">
        <v>10</v>
      </c>
      <c r="AA19" s="112"/>
    </row>
    <row r="20" spans="1:30" s="102" customFormat="1">
      <c r="A20" s="102" t="s">
        <v>284</v>
      </c>
      <c r="B20" s="103" t="s">
        <v>276</v>
      </c>
      <c r="C20" s="127"/>
      <c r="D20" s="104">
        <v>206.28</v>
      </c>
      <c r="E20" s="104">
        <v>89.1</v>
      </c>
      <c r="F20" s="104"/>
      <c r="G20" s="104" t="s">
        <v>277</v>
      </c>
      <c r="H20" s="107">
        <v>5.4</v>
      </c>
      <c r="I20" s="107">
        <v>3.73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-6.22</v>
      </c>
      <c r="U20" s="103"/>
      <c r="V20" s="115">
        <v>35.686439999999997</v>
      </c>
      <c r="W20" s="115"/>
      <c r="X20" s="107"/>
      <c r="Y20" s="103"/>
      <c r="Z20" s="115">
        <v>10</v>
      </c>
      <c r="AD20" s="112"/>
    </row>
    <row r="21" spans="1:30" s="102" customFormat="1">
      <c r="A21" s="102" t="s">
        <v>319</v>
      </c>
      <c r="B21" s="103" t="s">
        <v>320</v>
      </c>
      <c r="C21" s="128"/>
      <c r="D21" s="104">
        <v>531.42999999999995</v>
      </c>
      <c r="E21" s="104">
        <v>146</v>
      </c>
      <c r="F21" s="103"/>
      <c r="G21" s="104" t="s">
        <v>341</v>
      </c>
      <c r="H21" s="107">
        <v>6.6</v>
      </c>
      <c r="I21" s="107">
        <v>4.3499999999999996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-20</v>
      </c>
      <c r="U21" s="103"/>
      <c r="V21" s="115">
        <v>83.965940000000003</v>
      </c>
      <c r="W21" s="115"/>
      <c r="X21" s="107"/>
      <c r="Y21" s="103"/>
      <c r="Z21" s="115">
        <v>10</v>
      </c>
      <c r="AA21" s="112"/>
    </row>
    <row r="22" spans="1:30" s="102" customFormat="1">
      <c r="A22" s="102" t="s">
        <v>321</v>
      </c>
      <c r="B22" s="103" t="s">
        <v>322</v>
      </c>
      <c r="C22" s="127"/>
      <c r="D22" s="104">
        <v>129.16</v>
      </c>
      <c r="E22" s="104">
        <v>74.3</v>
      </c>
      <c r="F22" s="103"/>
      <c r="G22" s="104" t="s">
        <v>341</v>
      </c>
      <c r="H22" s="107">
        <v>9.6</v>
      </c>
      <c r="I22" s="107">
        <v>-0.87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-9.1300000000000008</v>
      </c>
      <c r="U22" s="103"/>
      <c r="V22" s="115">
        <v>1016489.2</v>
      </c>
      <c r="W22" s="115"/>
      <c r="X22" s="107"/>
      <c r="Y22" s="103"/>
      <c r="Z22" s="115">
        <v>10</v>
      </c>
    </row>
    <row r="23" spans="1:30" s="102" customFormat="1">
      <c r="A23" s="102" t="s">
        <v>323</v>
      </c>
      <c r="B23" s="103" t="s">
        <v>324</v>
      </c>
      <c r="C23" s="128"/>
      <c r="D23" s="104">
        <v>299.8</v>
      </c>
      <c r="E23" s="104">
        <v>147</v>
      </c>
      <c r="F23" s="103"/>
      <c r="G23" s="104" t="s">
        <v>341</v>
      </c>
      <c r="H23" s="107">
        <v>9</v>
      </c>
      <c r="I23" s="107">
        <v>2.62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-12.3</v>
      </c>
      <c r="U23" s="103"/>
      <c r="V23" s="115">
        <v>174.7834</v>
      </c>
      <c r="W23" s="115"/>
      <c r="X23" s="107"/>
      <c r="Y23" s="103"/>
      <c r="Z23" s="115">
        <v>10</v>
      </c>
      <c r="AA23" s="131"/>
    </row>
    <row r="24" spans="1:30" s="102" customFormat="1">
      <c r="A24" s="102" t="s">
        <v>325</v>
      </c>
      <c r="B24" s="103" t="s">
        <v>326</v>
      </c>
      <c r="C24" s="127"/>
      <c r="D24" s="104">
        <v>238.16</v>
      </c>
      <c r="E24" s="104">
        <v>263</v>
      </c>
      <c r="F24" s="103"/>
      <c r="G24" s="104" t="s">
        <v>277</v>
      </c>
      <c r="H24" s="107">
        <v>7.3</v>
      </c>
      <c r="I24" s="107">
        <v>-0.47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-12.7</v>
      </c>
      <c r="U24" s="103"/>
      <c r="V24" s="115">
        <v>96.216639999999998</v>
      </c>
      <c r="W24" s="115"/>
      <c r="X24" s="107"/>
      <c r="Y24" s="103"/>
      <c r="Z24" s="115">
        <v>10</v>
      </c>
    </row>
    <row r="25" spans="1:30" s="102" customFormat="1">
      <c r="A25" s="102" t="s">
        <v>327</v>
      </c>
      <c r="B25" s="103" t="s">
        <v>328</v>
      </c>
      <c r="C25" s="128"/>
      <c r="D25" s="104">
        <v>460.43</v>
      </c>
      <c r="E25" s="104">
        <v>460</v>
      </c>
      <c r="F25" s="103"/>
      <c r="G25" s="104" t="s">
        <v>277</v>
      </c>
      <c r="H25" s="107">
        <v>4.5</v>
      </c>
      <c r="I25" s="107">
        <v>-1.53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-28.9</v>
      </c>
      <c r="U25" s="103"/>
      <c r="V25" s="115">
        <v>501868.7</v>
      </c>
      <c r="W25" s="115"/>
      <c r="X25" s="107"/>
      <c r="Y25" s="103"/>
      <c r="Z25" s="115">
        <v>10</v>
      </c>
      <c r="AA25" s="18"/>
    </row>
    <row r="26" spans="1:30" s="102" customFormat="1">
      <c r="A26" s="102" t="s">
        <v>329</v>
      </c>
      <c r="B26" s="103" t="s">
        <v>330</v>
      </c>
      <c r="C26" s="127"/>
      <c r="D26" s="104">
        <v>205.25</v>
      </c>
      <c r="E26" s="104">
        <v>164</v>
      </c>
      <c r="F26" s="104"/>
      <c r="G26" s="104" t="s">
        <v>176</v>
      </c>
      <c r="H26" s="107"/>
      <c r="I26" s="107">
        <v>-0.89500000000000002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-15</v>
      </c>
      <c r="U26" s="103"/>
      <c r="V26" s="115">
        <v>1034460</v>
      </c>
      <c r="W26" s="115"/>
      <c r="X26" s="107"/>
      <c r="Y26" s="103"/>
      <c r="Z26" s="115">
        <v>10</v>
      </c>
      <c r="AA26" s="112"/>
      <c r="AD26" s="112"/>
    </row>
    <row r="27" spans="1:30" s="102" customFormat="1">
      <c r="A27" s="102" t="s">
        <v>331</v>
      </c>
      <c r="B27" s="103" t="s">
        <v>332</v>
      </c>
      <c r="C27" s="128"/>
      <c r="D27" s="104">
        <v>151.16</v>
      </c>
      <c r="E27" s="104">
        <v>170</v>
      </c>
      <c r="F27" s="103"/>
      <c r="G27" s="104" t="s">
        <v>176</v>
      </c>
      <c r="H27" s="107"/>
      <c r="I27" s="107">
        <v>0.46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-10.9</v>
      </c>
      <c r="U27" s="103"/>
      <c r="V27" s="115">
        <v>14224.156000000001</v>
      </c>
      <c r="W27" s="115"/>
      <c r="X27" s="107"/>
      <c r="Y27" s="103"/>
      <c r="Z27" s="115">
        <v>10</v>
      </c>
      <c r="AA27" s="112"/>
    </row>
    <row r="28" spans="1:30" s="102" customFormat="1" ht="13.15">
      <c r="A28" s="102" t="s">
        <v>333</v>
      </c>
      <c r="B28" s="103" t="s">
        <v>334</v>
      </c>
      <c r="C28" s="128"/>
      <c r="D28" s="104">
        <v>339.36</v>
      </c>
      <c r="E28" s="104">
        <v>165</v>
      </c>
      <c r="F28" s="103"/>
      <c r="G28" s="104" t="s">
        <v>277</v>
      </c>
      <c r="H28" s="107">
        <v>9.1999999999999993</v>
      </c>
      <c r="I28" s="107">
        <v>-1.39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-18</v>
      </c>
      <c r="U28" s="103"/>
      <c r="V28" s="115">
        <v>264022.08</v>
      </c>
      <c r="W28" s="115"/>
      <c r="X28" s="107"/>
      <c r="Y28" s="103"/>
      <c r="Z28" s="115">
        <v>10</v>
      </c>
      <c r="AA28" s="24"/>
    </row>
    <row r="29" spans="1:30" s="102" customFormat="1">
      <c r="A29" s="102" t="s">
        <v>335</v>
      </c>
      <c r="B29" s="103" t="s">
        <v>336</v>
      </c>
      <c r="C29" s="127"/>
      <c r="D29" s="104">
        <v>192.13</v>
      </c>
      <c r="E29" s="104">
        <v>162</v>
      </c>
      <c r="F29" s="103"/>
      <c r="G29" s="104" t="s">
        <v>277</v>
      </c>
      <c r="H29" s="107">
        <v>3.3</v>
      </c>
      <c r="I29" s="107">
        <v>1.46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-10.199999999999999</v>
      </c>
      <c r="U29" s="103"/>
      <c r="V29" s="115">
        <v>15754.66</v>
      </c>
      <c r="W29" s="115"/>
      <c r="X29" s="107"/>
      <c r="Y29" s="103"/>
      <c r="Z29" s="115">
        <v>10</v>
      </c>
      <c r="AA29" s="112"/>
    </row>
    <row r="30" spans="1:30" s="102" customFormat="1">
      <c r="A30" s="102" t="s">
        <v>337</v>
      </c>
      <c r="B30" s="103" t="s">
        <v>338</v>
      </c>
      <c r="C30" s="127"/>
      <c r="D30" s="104">
        <v>454.6</v>
      </c>
      <c r="E30" s="104">
        <v>200</v>
      </c>
      <c r="F30" s="103"/>
      <c r="G30" s="104" t="s">
        <v>341</v>
      </c>
      <c r="H30" s="107">
        <v>9.1999999999999993</v>
      </c>
      <c r="I30" s="107">
        <v>4.4800000000000004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-16.2</v>
      </c>
      <c r="U30" s="103"/>
      <c r="V30" s="115">
        <v>2.2957299999999998</v>
      </c>
      <c r="W30" s="115"/>
      <c r="X30" s="107"/>
      <c r="Y30" s="103"/>
      <c r="Z30" s="115">
        <v>10</v>
      </c>
      <c r="AA30" s="112"/>
    </row>
    <row r="31" spans="1:30" s="102" customFormat="1">
      <c r="A31" s="102" t="s">
        <v>275</v>
      </c>
      <c r="B31" s="103" t="s">
        <v>339</v>
      </c>
      <c r="C31" s="127"/>
      <c r="D31" s="104">
        <v>308.33</v>
      </c>
      <c r="E31" s="104">
        <v>175</v>
      </c>
      <c r="F31" s="103"/>
      <c r="G31" s="104" t="s">
        <v>176</v>
      </c>
      <c r="H31" s="107"/>
      <c r="I31" s="107">
        <v>2.48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-11.6</v>
      </c>
      <c r="U31" s="103"/>
      <c r="V31" s="115">
        <v>82.940770000000001</v>
      </c>
      <c r="W31" s="115"/>
      <c r="X31" s="107"/>
      <c r="Y31" s="103"/>
      <c r="Z31" s="115">
        <v>10</v>
      </c>
      <c r="AA31" s="112"/>
    </row>
    <row r="32" spans="1:30" s="102" customFormat="1">
      <c r="B32" s="103"/>
      <c r="C32" s="127"/>
      <c r="D32" s="104"/>
      <c r="E32" s="104"/>
      <c r="F32" s="103"/>
      <c r="G32" s="104"/>
      <c r="H32" s="107"/>
      <c r="I32" s="107"/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/>
      <c r="U32" s="103"/>
      <c r="V32" s="115"/>
      <c r="W32" s="115"/>
      <c r="X32" s="107"/>
      <c r="Y32" s="103"/>
      <c r="Z32" s="115"/>
      <c r="AA32" s="112"/>
    </row>
    <row r="33" spans="2:29" s="102" customFormat="1">
      <c r="B33" s="103"/>
      <c r="C33" s="127"/>
      <c r="D33" s="104"/>
      <c r="E33" s="104"/>
      <c r="F33" s="103"/>
      <c r="G33" s="104"/>
      <c r="H33" s="107"/>
      <c r="I33" s="107"/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/>
      <c r="U33" s="103"/>
      <c r="V33" s="115"/>
      <c r="W33" s="115"/>
      <c r="X33" s="107"/>
      <c r="Y33" s="103"/>
      <c r="Z33" s="115"/>
      <c r="AA33" s="112"/>
    </row>
    <row r="34" spans="2:29" s="102" customFormat="1">
      <c r="B34" s="103"/>
      <c r="C34" s="127"/>
      <c r="D34" s="104"/>
      <c r="E34" s="104"/>
      <c r="F34" s="103"/>
      <c r="G34" s="104"/>
      <c r="H34" s="107"/>
      <c r="I34" s="107"/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/>
      <c r="U34" s="103"/>
      <c r="V34" s="115"/>
      <c r="W34" s="115"/>
      <c r="X34" s="107"/>
      <c r="Y34" s="103"/>
      <c r="Z34" s="115"/>
      <c r="AA34" s="112"/>
    </row>
    <row r="35" spans="2:29" s="102" customFormat="1">
      <c r="B35" s="103"/>
      <c r="C35" s="127"/>
      <c r="D35" s="104"/>
      <c r="E35" s="104"/>
      <c r="F35" s="103"/>
      <c r="G35" s="104"/>
      <c r="H35" s="107"/>
      <c r="I35" s="107"/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/>
      <c r="U35" s="103"/>
      <c r="V35" s="115"/>
      <c r="W35" s="115"/>
      <c r="X35" s="107"/>
      <c r="Y35" s="103"/>
      <c r="Z35" s="115"/>
      <c r="AA35" s="112"/>
    </row>
    <row r="36" spans="2:29" s="102" customFormat="1">
      <c r="B36" s="103"/>
      <c r="C36" s="127"/>
      <c r="D36" s="104"/>
      <c r="E36" s="104"/>
      <c r="F36" s="103"/>
      <c r="G36" s="104"/>
      <c r="H36" s="107"/>
      <c r="I36" s="107"/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/>
      <c r="U36" s="103"/>
      <c r="V36" s="115"/>
      <c r="W36" s="115"/>
      <c r="X36" s="107"/>
      <c r="Y36" s="103"/>
      <c r="Z36" s="115"/>
      <c r="AA36" s="112"/>
    </row>
    <row r="37" spans="2:29" s="102" customFormat="1">
      <c r="B37" s="103"/>
      <c r="C37" s="127"/>
      <c r="D37" s="104"/>
      <c r="E37" s="104"/>
      <c r="F37" s="103"/>
      <c r="G37" s="104"/>
      <c r="H37" s="107"/>
      <c r="I37" s="107"/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/>
      <c r="U37" s="103"/>
      <c r="V37" s="115"/>
      <c r="W37" s="115"/>
      <c r="X37" s="107"/>
      <c r="Y37" s="103"/>
      <c r="Z37" s="115"/>
      <c r="AA37" s="112"/>
    </row>
    <row r="38" spans="2:29" s="102" customFormat="1">
      <c r="B38" s="103"/>
      <c r="C38" s="127"/>
      <c r="D38" s="104"/>
      <c r="E38" s="104"/>
      <c r="F38" s="103"/>
      <c r="G38" s="104"/>
      <c r="H38" s="107"/>
      <c r="I38" s="107"/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/>
      <c r="U38" s="103"/>
      <c r="V38" s="115"/>
      <c r="W38" s="115"/>
      <c r="X38" s="107"/>
      <c r="Y38" s="103"/>
      <c r="Z38" s="115"/>
      <c r="AA38" s="112"/>
    </row>
    <row r="39" spans="2:29" s="102" customFormat="1">
      <c r="B39" s="103"/>
      <c r="C39" s="127"/>
      <c r="D39" s="104"/>
      <c r="E39" s="104"/>
      <c r="F39" s="103"/>
      <c r="G39" s="104"/>
      <c r="H39" s="107"/>
      <c r="I39" s="107"/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/>
      <c r="U39" s="103"/>
      <c r="V39" s="115"/>
      <c r="W39" s="115"/>
      <c r="X39" s="107"/>
      <c r="Y39" s="103"/>
      <c r="Z39" s="115"/>
      <c r="AA39" s="112"/>
    </row>
    <row r="40" spans="2:29" s="102" customFormat="1">
      <c r="B40" s="103"/>
      <c r="C40" s="127"/>
      <c r="D40" s="104"/>
      <c r="E40" s="104"/>
      <c r="F40" s="103"/>
      <c r="G40" s="104"/>
      <c r="H40" s="107"/>
      <c r="I40" s="107"/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/>
      <c r="U40" s="103"/>
      <c r="V40" s="115"/>
      <c r="W40" s="115"/>
      <c r="X40" s="107"/>
      <c r="Y40" s="103"/>
      <c r="Z40" s="115"/>
      <c r="AA40" s="112"/>
    </row>
    <row r="41" spans="2:29" s="102" customFormat="1">
      <c r="B41" s="103"/>
      <c r="C41" s="127"/>
      <c r="D41" s="104"/>
      <c r="E41" s="104"/>
      <c r="F41" s="103"/>
      <c r="G41" s="104"/>
      <c r="H41" s="107"/>
      <c r="I41" s="107"/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/>
      <c r="U41" s="103"/>
      <c r="V41" s="115"/>
      <c r="W41" s="115"/>
      <c r="X41" s="107"/>
      <c r="Y41" s="103"/>
      <c r="Z41" s="115"/>
      <c r="AA41" s="112"/>
    </row>
    <row r="42" spans="2:29" s="102" customFormat="1">
      <c r="B42" s="103"/>
      <c r="C42" s="127"/>
      <c r="D42" s="104"/>
      <c r="E42" s="104"/>
      <c r="F42" s="104"/>
      <c r="G42" s="104"/>
      <c r="H42" s="107"/>
      <c r="I42" s="107"/>
      <c r="J42" s="107"/>
      <c r="K42" s="103"/>
      <c r="L42" s="103"/>
      <c r="M42" s="103"/>
      <c r="N42" s="103"/>
      <c r="O42" s="103"/>
      <c r="P42" s="103"/>
      <c r="Q42" s="103"/>
      <c r="R42" s="107"/>
      <c r="S42" s="107"/>
      <c r="T42" s="107"/>
      <c r="U42" s="103"/>
      <c r="V42" s="115"/>
      <c r="W42" s="115"/>
      <c r="X42" s="107"/>
      <c r="Y42" s="103"/>
      <c r="Z42" s="115"/>
      <c r="AA42" s="103"/>
      <c r="AB42" s="103"/>
      <c r="AC42" s="104"/>
    </row>
    <row r="43" spans="2:29" s="102" customFormat="1">
      <c r="B43" s="103"/>
      <c r="C43" s="127"/>
      <c r="D43" s="104"/>
      <c r="E43" s="104"/>
      <c r="F43" s="103"/>
      <c r="G43" s="104"/>
      <c r="H43" s="107"/>
      <c r="I43" s="107"/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/>
      <c r="U43" s="103"/>
      <c r="V43" s="115"/>
      <c r="W43" s="115"/>
      <c r="X43" s="107"/>
      <c r="Y43" s="103"/>
      <c r="Z43" s="115"/>
      <c r="AA43" s="103"/>
      <c r="AB43" s="103"/>
      <c r="AC43" s="104"/>
    </row>
    <row r="44" spans="2:29" s="102" customFormat="1">
      <c r="B44" s="103"/>
      <c r="C44" s="127"/>
      <c r="D44" s="104"/>
      <c r="E44" s="104"/>
      <c r="F44" s="103"/>
      <c r="G44" s="104"/>
      <c r="H44" s="107"/>
      <c r="I44" s="107"/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/>
      <c r="U44" s="103"/>
      <c r="V44" s="115"/>
      <c r="W44" s="115"/>
      <c r="X44" s="107"/>
      <c r="Y44" s="103"/>
      <c r="Z44" s="115"/>
      <c r="AA44" s="103"/>
      <c r="AB44" s="103"/>
      <c r="AC44" s="104"/>
    </row>
    <row r="45" spans="2:29" s="102" customFormat="1">
      <c r="B45" s="103"/>
      <c r="C45" s="127"/>
      <c r="D45" s="104"/>
      <c r="E45" s="104"/>
      <c r="F45" s="103"/>
      <c r="G45" s="104"/>
      <c r="H45" s="107"/>
      <c r="I45" s="107"/>
      <c r="J45" s="107"/>
      <c r="K45" s="103"/>
      <c r="L45" s="103"/>
      <c r="M45" s="103"/>
      <c r="N45" s="103"/>
      <c r="O45" s="103"/>
      <c r="P45" s="103"/>
      <c r="Q45" s="103"/>
      <c r="R45" s="107"/>
      <c r="S45" s="107"/>
      <c r="T45" s="107"/>
      <c r="U45" s="103"/>
      <c r="V45" s="115"/>
      <c r="W45" s="115"/>
      <c r="X45" s="107"/>
      <c r="Y45" s="103"/>
      <c r="Z45" s="115"/>
      <c r="AA45" s="103"/>
      <c r="AB45" s="103"/>
      <c r="AC45" s="104"/>
    </row>
    <row r="46" spans="2:29" s="102" customFormat="1">
      <c r="B46" s="103"/>
      <c r="C46" s="127"/>
      <c r="D46" s="104"/>
      <c r="E46" s="104"/>
      <c r="F46" s="103"/>
      <c r="G46" s="104"/>
      <c r="H46" s="107"/>
      <c r="I46" s="107"/>
      <c r="J46" s="103"/>
      <c r="K46" s="103"/>
      <c r="L46" s="103"/>
      <c r="M46" s="103"/>
      <c r="N46" s="103"/>
      <c r="O46" s="103"/>
      <c r="P46" s="103"/>
      <c r="Q46" s="103"/>
      <c r="R46" s="107"/>
      <c r="S46" s="107"/>
      <c r="T46" s="107"/>
      <c r="U46" s="103"/>
      <c r="V46" s="115"/>
      <c r="W46" s="115"/>
      <c r="X46" s="107"/>
      <c r="Y46" s="103"/>
      <c r="Z46" s="115"/>
      <c r="AA46" s="103"/>
      <c r="AB46" s="103"/>
      <c r="AC46" s="104"/>
    </row>
    <row r="47" spans="2:29" s="102" customFormat="1">
      <c r="B47" s="103"/>
      <c r="C47" s="127"/>
      <c r="D47" s="104"/>
      <c r="E47" s="104"/>
      <c r="F47" s="103"/>
      <c r="G47" s="104"/>
      <c r="H47" s="107"/>
      <c r="I47" s="107"/>
      <c r="J47" s="107"/>
      <c r="K47" s="103"/>
      <c r="L47" s="103"/>
      <c r="M47" s="103"/>
      <c r="N47" s="103"/>
      <c r="O47" s="103"/>
      <c r="P47" s="103"/>
      <c r="Q47" s="103"/>
      <c r="R47" s="107"/>
      <c r="S47" s="107"/>
      <c r="T47" s="107"/>
      <c r="U47" s="103"/>
      <c r="V47" s="115"/>
      <c r="W47" s="115"/>
      <c r="X47" s="107"/>
      <c r="Y47" s="103"/>
      <c r="Z47" s="115"/>
      <c r="AA47" s="103"/>
      <c r="AB47" s="103"/>
      <c r="AC47" s="104"/>
    </row>
    <row r="48" spans="2:29" s="102" customFormat="1">
      <c r="B48" s="103"/>
      <c r="C48" s="128"/>
      <c r="D48" s="104"/>
      <c r="E48" s="104"/>
      <c r="F48" s="103"/>
      <c r="G48" s="104"/>
      <c r="H48" s="107"/>
      <c r="I48" s="107"/>
      <c r="J48" s="107"/>
      <c r="K48" s="103"/>
      <c r="L48" s="103"/>
      <c r="M48" s="103"/>
      <c r="N48" s="103"/>
      <c r="O48" s="103"/>
      <c r="P48" s="103"/>
      <c r="Q48" s="103"/>
      <c r="R48" s="107"/>
      <c r="S48" s="107"/>
      <c r="T48" s="107"/>
      <c r="U48" s="103"/>
      <c r="V48" s="115"/>
      <c r="W48" s="115"/>
      <c r="X48" s="107"/>
      <c r="Y48" s="103"/>
      <c r="Z48" s="115"/>
      <c r="AA48" s="103"/>
      <c r="AB48" s="103"/>
      <c r="AC48" s="104"/>
    </row>
    <row r="49" spans="1:27">
      <c r="A49" s="102"/>
      <c r="B49" s="103"/>
      <c r="C49" s="103"/>
      <c r="D49" s="104"/>
      <c r="E49" s="104"/>
      <c r="F49" s="104"/>
      <c r="G49" s="104"/>
      <c r="H49" s="103"/>
      <c r="I49" s="107"/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/>
      <c r="U49" s="103"/>
      <c r="V49" s="115"/>
      <c r="W49" s="115"/>
      <c r="X49" s="107"/>
      <c r="Y49" s="103"/>
      <c r="Z49" s="115"/>
      <c r="AA49" s="11"/>
    </row>
    <row r="50" spans="1:27">
      <c r="A50" s="102"/>
      <c r="B50" s="103"/>
      <c r="C50" s="103"/>
      <c r="D50" s="104"/>
      <c r="E50" s="104"/>
      <c r="F50" s="104"/>
      <c r="G50" s="104"/>
      <c r="H50" s="103"/>
      <c r="I50" s="107"/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/>
      <c r="U50" s="103"/>
      <c r="V50" s="115"/>
      <c r="W50" s="115"/>
      <c r="X50" s="107"/>
      <c r="Y50" s="103"/>
      <c r="Z50" s="115"/>
      <c r="AA50" s="11"/>
    </row>
    <row r="51" spans="1:27">
      <c r="A51" s="102"/>
      <c r="B51" s="103"/>
      <c r="C51" s="103"/>
      <c r="D51" s="104"/>
      <c r="E51" s="104"/>
      <c r="F51" s="104"/>
      <c r="G51" s="104"/>
      <c r="H51" s="103"/>
      <c r="I51" s="107"/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/>
      <c r="U51" s="103"/>
      <c r="V51" s="115"/>
      <c r="W51" s="115"/>
      <c r="X51" s="107"/>
      <c r="Y51" s="103"/>
      <c r="Z51" s="115"/>
      <c r="AA51" s="11"/>
    </row>
    <row r="52" spans="1:27">
      <c r="A52" s="102"/>
      <c r="B52" s="103"/>
      <c r="C52" s="103"/>
      <c r="D52" s="104"/>
      <c r="E52" s="104"/>
      <c r="F52" s="104"/>
      <c r="G52" s="104"/>
      <c r="H52" s="103"/>
      <c r="I52" s="107"/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/>
      <c r="U52" s="103"/>
      <c r="V52" s="115"/>
      <c r="W52" s="115"/>
      <c r="X52" s="107"/>
      <c r="Y52" s="103"/>
      <c r="Z52" s="115"/>
      <c r="AA52" s="11"/>
    </row>
    <row r="53" spans="1:27">
      <c r="A53" s="102"/>
      <c r="B53" s="103"/>
      <c r="C53" s="103"/>
      <c r="D53" s="104"/>
      <c r="E53" s="102"/>
      <c r="F53" s="102"/>
      <c r="G53" s="102"/>
      <c r="H53" s="103"/>
      <c r="I53" s="107"/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/>
      <c r="U53" s="103"/>
      <c r="V53" s="115"/>
      <c r="W53" s="115"/>
      <c r="X53" s="107"/>
      <c r="Y53" s="103"/>
      <c r="Z53" s="115"/>
      <c r="AA53" s="11"/>
    </row>
    <row r="54" spans="1:27">
      <c r="A54" s="102"/>
      <c r="B54" s="103"/>
      <c r="C54" s="103"/>
      <c r="D54" s="104"/>
      <c r="E54" s="102"/>
      <c r="F54" s="102"/>
      <c r="G54" s="102"/>
      <c r="H54" s="103"/>
      <c r="I54" s="107"/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/>
      <c r="U54" s="103"/>
      <c r="V54" s="115"/>
      <c r="W54" s="115"/>
      <c r="X54" s="107"/>
      <c r="Y54" s="103"/>
      <c r="Z54" s="115"/>
      <c r="AA54" s="11"/>
    </row>
    <row r="55" spans="1:27">
      <c r="A55" s="102"/>
      <c r="B55" s="103"/>
      <c r="C55" s="103"/>
      <c r="D55" s="104"/>
      <c r="E55" s="102"/>
      <c r="F55" s="102"/>
      <c r="G55" s="102"/>
      <c r="H55" s="103"/>
      <c r="I55" s="107"/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/>
      <c r="U55" s="103"/>
      <c r="V55" s="115"/>
      <c r="W55" s="115"/>
      <c r="X55" s="107"/>
      <c r="Y55" s="103"/>
      <c r="Z55" s="115"/>
      <c r="AA55" s="11"/>
    </row>
    <row r="56" spans="1:27">
      <c r="A56" s="102"/>
      <c r="B56" s="103"/>
      <c r="C56" s="103"/>
      <c r="D56" s="104"/>
      <c r="E56" s="103"/>
      <c r="F56" s="103"/>
      <c r="G56" s="104"/>
      <c r="H56" s="103"/>
      <c r="I56" s="107"/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/>
      <c r="U56" s="103"/>
      <c r="V56" s="115"/>
      <c r="W56" s="115"/>
      <c r="X56" s="107"/>
      <c r="Y56" s="103"/>
      <c r="Z56" s="115"/>
      <c r="AA56" s="11"/>
    </row>
    <row r="57" spans="1:27">
      <c r="A57" s="102"/>
      <c r="B57" s="103"/>
      <c r="C57" s="103"/>
      <c r="D57" s="104"/>
      <c r="E57" s="103"/>
      <c r="F57" s="103"/>
      <c r="G57" s="104"/>
      <c r="H57" s="103"/>
      <c r="I57" s="107"/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/>
      <c r="U57" s="103"/>
      <c r="V57" s="115"/>
      <c r="W57" s="115"/>
      <c r="X57" s="107"/>
      <c r="Y57" s="103"/>
      <c r="Z57" s="115"/>
      <c r="AA57" s="11"/>
    </row>
    <row r="58" spans="1:27">
      <c r="A58" s="102"/>
      <c r="B58" s="103"/>
      <c r="C58" s="103"/>
      <c r="D58" s="104"/>
      <c r="E58" s="103"/>
      <c r="F58" s="103"/>
      <c r="G58" s="104"/>
      <c r="H58" s="103"/>
      <c r="I58" s="107"/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/>
      <c r="U58" s="103"/>
      <c r="V58" s="115"/>
      <c r="W58" s="115"/>
      <c r="X58" s="107"/>
      <c r="Y58" s="103"/>
      <c r="Z58" s="115"/>
      <c r="AA58" s="11"/>
    </row>
    <row r="59" spans="1:27">
      <c r="A59" s="102"/>
      <c r="B59" s="103"/>
      <c r="C59" s="103"/>
      <c r="D59" s="104"/>
      <c r="E59" s="103"/>
      <c r="F59" s="103"/>
      <c r="G59" s="104"/>
      <c r="H59" s="103"/>
      <c r="I59" s="107"/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/>
      <c r="U59" s="103"/>
      <c r="V59" s="115"/>
      <c r="W59" s="115"/>
      <c r="X59" s="107"/>
      <c r="Y59" s="103"/>
      <c r="Z59" s="115"/>
      <c r="AA59" s="11"/>
    </row>
    <row r="60" spans="1:27">
      <c r="A60" s="102"/>
      <c r="B60" s="103"/>
      <c r="C60" s="103"/>
      <c r="D60" s="104"/>
      <c r="E60" s="103"/>
      <c r="F60" s="103"/>
      <c r="G60" s="104"/>
      <c r="H60" s="103"/>
      <c r="I60" s="107"/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/>
      <c r="U60" s="103"/>
      <c r="V60" s="115"/>
      <c r="W60" s="115"/>
      <c r="X60" s="107"/>
      <c r="Y60" s="103"/>
      <c r="Z60" s="115"/>
      <c r="AA60" s="11"/>
    </row>
    <row r="61" spans="1:27">
      <c r="A61" s="102"/>
      <c r="B61" s="103"/>
      <c r="C61" s="103"/>
      <c r="D61" s="104"/>
      <c r="E61" s="103"/>
      <c r="F61" s="103"/>
      <c r="G61" s="104"/>
      <c r="H61" s="103"/>
      <c r="I61" s="107"/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/>
      <c r="U61" s="103"/>
      <c r="V61" s="115"/>
      <c r="W61" s="115"/>
      <c r="X61" s="107"/>
      <c r="Y61" s="103"/>
      <c r="Z61" s="115"/>
      <c r="AA61" s="11"/>
    </row>
    <row r="62" spans="1:27">
      <c r="A62" s="102"/>
      <c r="B62" s="103"/>
      <c r="C62" s="103"/>
      <c r="D62" s="104"/>
      <c r="E62" s="103"/>
      <c r="F62" s="103"/>
      <c r="G62" s="104"/>
      <c r="H62" s="103"/>
      <c r="I62" s="107"/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/>
      <c r="U62" s="103"/>
      <c r="V62" s="115"/>
      <c r="W62" s="115"/>
      <c r="X62" s="107"/>
      <c r="Y62" s="103"/>
      <c r="Z62" s="115"/>
      <c r="AA62" s="11"/>
    </row>
    <row r="63" spans="1:27">
      <c r="A63" s="102"/>
      <c r="B63" s="103"/>
      <c r="C63" s="103"/>
      <c r="D63" s="104"/>
      <c r="E63" s="103"/>
      <c r="F63" s="103"/>
      <c r="G63" s="104"/>
      <c r="H63" s="103"/>
      <c r="I63" s="107"/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/>
      <c r="U63" s="103"/>
      <c r="V63" s="115"/>
      <c r="W63" s="115"/>
      <c r="X63" s="107"/>
      <c r="Y63" s="103"/>
      <c r="Z63" s="115"/>
      <c r="AA63" s="11"/>
    </row>
    <row r="64" spans="1:27">
      <c r="A64" s="102"/>
      <c r="B64" s="103"/>
      <c r="C64" s="103"/>
      <c r="D64" s="104"/>
      <c r="E64" s="103"/>
      <c r="F64" s="103"/>
      <c r="G64" s="104"/>
      <c r="H64" s="103"/>
      <c r="I64" s="107"/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/>
      <c r="U64" s="103"/>
      <c r="V64" s="115"/>
      <c r="W64" s="115"/>
      <c r="X64" s="107"/>
      <c r="Y64" s="103"/>
      <c r="Z64" s="115"/>
      <c r="AA64" s="11"/>
    </row>
    <row r="65" spans="1:27">
      <c r="A65" s="102"/>
      <c r="B65" s="103"/>
      <c r="C65" s="103"/>
      <c r="D65" s="104"/>
      <c r="E65" s="103"/>
      <c r="F65" s="103"/>
      <c r="G65" s="104"/>
      <c r="H65" s="103"/>
      <c r="I65" s="107"/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/>
      <c r="U65" s="103"/>
      <c r="V65" s="115"/>
      <c r="W65" s="115"/>
      <c r="X65" s="107"/>
      <c r="Y65" s="103"/>
      <c r="Z65" s="115"/>
      <c r="AA65" s="11"/>
    </row>
    <row r="66" spans="1:27">
      <c r="A66" s="102"/>
      <c r="B66" s="103"/>
      <c r="C66" s="103"/>
      <c r="D66" s="104"/>
      <c r="E66" s="103"/>
      <c r="F66" s="103"/>
      <c r="G66" s="104"/>
      <c r="H66" s="103"/>
      <c r="I66" s="107"/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/>
      <c r="U66" s="103"/>
      <c r="V66" s="115"/>
      <c r="W66" s="115"/>
      <c r="X66" s="107"/>
      <c r="Y66" s="103"/>
      <c r="Z66" s="115"/>
      <c r="AA66" s="11"/>
    </row>
    <row r="67" spans="1:27">
      <c r="A67" s="102"/>
      <c r="B67" s="103"/>
      <c r="C67" s="103"/>
      <c r="D67" s="104"/>
      <c r="E67" s="103"/>
      <c r="F67" s="103"/>
      <c r="G67" s="104"/>
      <c r="H67" s="103"/>
      <c r="I67" s="107"/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/>
      <c r="U67" s="103"/>
      <c r="V67" s="115"/>
      <c r="W67" s="115"/>
      <c r="X67" s="107"/>
      <c r="Y67" s="103"/>
      <c r="Z67" s="115"/>
      <c r="AA67" s="11"/>
    </row>
    <row r="68" spans="1:27">
      <c r="A68" s="102"/>
      <c r="B68" s="103"/>
      <c r="C68" s="103"/>
      <c r="D68" s="104"/>
      <c r="E68" s="103"/>
      <c r="F68" s="103"/>
      <c r="G68" s="104"/>
      <c r="H68" s="103"/>
      <c r="I68" s="107"/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/>
      <c r="U68" s="103"/>
      <c r="V68" s="115"/>
      <c r="W68" s="115"/>
      <c r="X68" s="107"/>
      <c r="Y68" s="103"/>
      <c r="Z68" s="115"/>
      <c r="AA68" s="11"/>
    </row>
    <row r="69" spans="1:27">
      <c r="A69" s="102"/>
      <c r="B69" s="103"/>
      <c r="C69" s="103"/>
      <c r="D69" s="104"/>
      <c r="E69" s="103"/>
      <c r="F69" s="103"/>
      <c r="G69" s="104"/>
      <c r="H69" s="103"/>
      <c r="I69" s="107"/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/>
      <c r="U69" s="103"/>
      <c r="V69" s="115"/>
      <c r="W69" s="115"/>
      <c r="X69" s="107"/>
      <c r="Y69" s="103"/>
      <c r="Z69" s="115"/>
      <c r="AA69" s="11"/>
    </row>
    <row r="70" spans="1:27">
      <c r="A70" s="102"/>
      <c r="B70" s="103"/>
      <c r="C70" s="103"/>
      <c r="D70" s="104"/>
      <c r="E70" s="103"/>
      <c r="F70" s="103"/>
      <c r="G70" s="104"/>
      <c r="H70" s="103"/>
      <c r="I70" s="107"/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/>
      <c r="U70" s="103"/>
      <c r="V70" s="115"/>
      <c r="W70" s="115"/>
      <c r="X70" s="107"/>
      <c r="Y70" s="103"/>
      <c r="Z70" s="115"/>
      <c r="AA70" s="11"/>
    </row>
    <row r="71" spans="1:27">
      <c r="A71" s="102"/>
      <c r="B71" s="103"/>
      <c r="C71" s="103"/>
      <c r="D71" s="104"/>
      <c r="E71" s="103"/>
      <c r="F71" s="103"/>
      <c r="G71" s="104"/>
      <c r="I71" s="107"/>
      <c r="T71" s="107"/>
      <c r="U71" s="103"/>
      <c r="V71" s="115"/>
      <c r="AA71" s="11"/>
    </row>
    <row r="72" spans="1:27">
      <c r="A72" s="102"/>
      <c r="B72" s="103"/>
      <c r="C72" s="103"/>
      <c r="D72" s="104"/>
      <c r="E72" s="104"/>
      <c r="F72" s="104"/>
      <c r="G72" s="104"/>
      <c r="H72" s="3"/>
      <c r="I72" s="107"/>
      <c r="T72" s="107"/>
      <c r="U72" s="103"/>
      <c r="V72" s="115"/>
      <c r="AA72" s="11"/>
    </row>
    <row r="73" spans="1:27">
      <c r="A73" s="102"/>
      <c r="B73" s="103"/>
      <c r="C73" s="103"/>
      <c r="D73" s="104"/>
      <c r="E73" s="103"/>
      <c r="F73" s="103"/>
      <c r="G73" s="104"/>
      <c r="H73" s="3"/>
      <c r="I73" s="107"/>
      <c r="T73" s="107"/>
      <c r="U73" s="103"/>
      <c r="V73" s="115"/>
      <c r="AA73" s="11"/>
    </row>
    <row r="74" spans="1:27">
      <c r="A74" s="102"/>
      <c r="B74" s="103"/>
      <c r="C74" s="103"/>
      <c r="D74" s="104"/>
      <c r="E74" s="103"/>
      <c r="F74" s="103"/>
      <c r="G74" s="104"/>
      <c r="I74" s="107"/>
      <c r="T74" s="107"/>
      <c r="U74" s="103"/>
      <c r="V74" s="115"/>
      <c r="AA74" s="11"/>
    </row>
    <row r="75" spans="1:27">
      <c r="A75" s="102"/>
      <c r="B75" s="103"/>
      <c r="C75" s="103"/>
      <c r="D75" s="104"/>
      <c r="E75" s="104"/>
      <c r="F75" s="104"/>
      <c r="G75" s="104"/>
      <c r="I75" s="107"/>
      <c r="T75" s="107"/>
      <c r="U75" s="103"/>
      <c r="V75" s="115"/>
      <c r="AA75" s="11"/>
    </row>
    <row r="76" spans="1:27">
      <c r="A76" s="102"/>
      <c r="B76" s="103"/>
      <c r="C76" s="103"/>
      <c r="D76" s="104"/>
      <c r="E76" s="104"/>
      <c r="F76" s="104"/>
      <c r="G76" s="104"/>
      <c r="I76" s="107"/>
      <c r="T76" s="107"/>
      <c r="U76" s="103"/>
      <c r="V76" s="115"/>
      <c r="AA76" s="11"/>
    </row>
    <row r="77" spans="1:27">
      <c r="A77" s="102"/>
      <c r="B77" s="103"/>
      <c r="C77" s="103"/>
      <c r="D77" s="104"/>
      <c r="E77" s="104"/>
      <c r="F77" s="104"/>
      <c r="G77" s="104"/>
      <c r="I77" s="107"/>
      <c r="T77" s="107"/>
      <c r="U77" s="103"/>
      <c r="V77" s="115"/>
      <c r="AA77" s="11"/>
    </row>
    <row r="78" spans="1:27">
      <c r="A78" s="102"/>
      <c r="B78" s="103"/>
      <c r="C78" s="103"/>
      <c r="D78" s="104"/>
      <c r="E78" s="104"/>
      <c r="F78" s="104"/>
      <c r="G78" s="104"/>
      <c r="I78" s="107"/>
      <c r="T78" s="107"/>
      <c r="U78" s="103"/>
      <c r="V78" s="115"/>
      <c r="AA78" s="11"/>
    </row>
    <row r="79" spans="1:27">
      <c r="A79" s="102"/>
      <c r="B79" s="103"/>
      <c r="C79" s="103"/>
      <c r="D79" s="104"/>
      <c r="E79" s="104"/>
      <c r="F79" s="104"/>
      <c r="G79" s="104"/>
      <c r="I79" s="107"/>
      <c r="T79" s="107"/>
      <c r="U79" s="103"/>
      <c r="V79" s="115"/>
      <c r="AA79" s="11"/>
    </row>
    <row r="80" spans="1:27">
      <c r="A80" s="102"/>
      <c r="B80" s="103"/>
      <c r="C80" s="103"/>
      <c r="D80" s="104"/>
      <c r="E80" s="104"/>
      <c r="F80" s="104"/>
      <c r="G80" s="104"/>
      <c r="I80" s="107"/>
      <c r="T80" s="107"/>
      <c r="U80" s="103"/>
      <c r="V80" s="115"/>
      <c r="AA80" s="11"/>
    </row>
    <row r="81" spans="1:27">
      <c r="A81" s="102"/>
      <c r="B81" s="103"/>
      <c r="C81" s="103"/>
      <c r="D81" s="104"/>
      <c r="E81" s="104"/>
      <c r="F81" s="104"/>
      <c r="G81" s="104"/>
      <c r="I81" s="107"/>
      <c r="T81" s="107"/>
      <c r="U81" s="103"/>
      <c r="V81" s="115"/>
      <c r="AA81" s="11"/>
    </row>
    <row r="82" spans="1:27">
      <c r="A82" s="102"/>
      <c r="B82" s="103"/>
      <c r="C82" s="103"/>
      <c r="D82" s="104"/>
      <c r="E82" s="104"/>
      <c r="F82" s="104"/>
      <c r="G82" s="104"/>
      <c r="I82" s="107"/>
      <c r="T82" s="107"/>
      <c r="U82" s="103"/>
      <c r="V82" s="115"/>
      <c r="AA82" s="11"/>
    </row>
    <row r="83" spans="1:27">
      <c r="A83" s="102"/>
      <c r="B83" s="103"/>
      <c r="C83" s="103"/>
      <c r="D83" s="104"/>
      <c r="E83" s="104"/>
      <c r="F83" s="104"/>
      <c r="G83" s="104"/>
      <c r="I83" s="107"/>
      <c r="T83" s="107"/>
      <c r="U83" s="103"/>
      <c r="V83" s="115"/>
      <c r="AA83" s="11"/>
    </row>
    <row r="84" spans="1:27">
      <c r="A84" s="102"/>
      <c r="B84" s="103"/>
      <c r="C84" s="103"/>
      <c r="D84" s="104"/>
      <c r="E84" s="104"/>
      <c r="F84" s="104"/>
      <c r="G84" s="104"/>
      <c r="I84" s="107"/>
      <c r="T84" s="107"/>
      <c r="U84" s="103"/>
      <c r="V84" s="115"/>
      <c r="AA84" s="11"/>
    </row>
    <row r="85" spans="1:27">
      <c r="A85" s="102"/>
      <c r="B85" s="103"/>
      <c r="C85" s="103"/>
      <c r="D85" s="104"/>
      <c r="E85" s="104"/>
      <c r="F85" s="104"/>
      <c r="G85" s="104"/>
      <c r="I85" s="107"/>
      <c r="T85" s="107"/>
      <c r="U85" s="103"/>
      <c r="V85" s="115"/>
      <c r="AA85" s="11"/>
    </row>
    <row r="86" spans="1:27">
      <c r="A86" s="102"/>
      <c r="B86" s="103"/>
      <c r="C86" s="103"/>
      <c r="D86" s="104"/>
      <c r="E86" s="104"/>
      <c r="F86" s="104"/>
      <c r="G86" s="104"/>
      <c r="I86" s="107"/>
      <c r="T86" s="107"/>
      <c r="U86" s="103"/>
      <c r="V86" s="115"/>
      <c r="AA86" s="11"/>
    </row>
    <row r="87" spans="1:27">
      <c r="A87" s="102"/>
      <c r="B87" s="103"/>
      <c r="C87" s="103"/>
      <c r="D87" s="104"/>
      <c r="E87" s="104"/>
      <c r="F87" s="104"/>
      <c r="G87" s="104"/>
      <c r="I87" s="107"/>
      <c r="T87" s="107"/>
      <c r="U87" s="103"/>
      <c r="V87" s="115"/>
      <c r="AA87" s="11"/>
    </row>
    <row r="88" spans="1:27">
      <c r="A88" s="102"/>
      <c r="B88" s="103"/>
      <c r="C88" s="103"/>
      <c r="D88" s="104"/>
      <c r="E88" s="104"/>
      <c r="F88" s="104"/>
      <c r="G88" s="104"/>
      <c r="I88" s="107"/>
      <c r="T88" s="107"/>
      <c r="U88" s="103"/>
      <c r="V88" s="115"/>
      <c r="AA88" s="11"/>
    </row>
    <row r="89" spans="1:27">
      <c r="A89" s="102"/>
      <c r="B89" s="103"/>
      <c r="C89" s="103"/>
      <c r="D89" s="104"/>
      <c r="E89" s="104"/>
      <c r="F89" s="104"/>
      <c r="G89" s="104"/>
      <c r="I89" s="107"/>
      <c r="T89" s="107"/>
      <c r="U89" s="103"/>
      <c r="V89" s="115"/>
      <c r="AA89" s="11"/>
    </row>
    <row r="90" spans="1:27">
      <c r="A90" s="102"/>
      <c r="B90" s="103"/>
      <c r="C90" s="103"/>
      <c r="D90" s="104"/>
      <c r="E90" s="104"/>
      <c r="F90" s="104"/>
      <c r="G90" s="104"/>
      <c r="I90" s="107"/>
      <c r="T90" s="107"/>
      <c r="U90" s="103"/>
      <c r="V90" s="115"/>
      <c r="AA90" s="11"/>
    </row>
    <row r="91" spans="1:27">
      <c r="A91" s="102"/>
      <c r="B91" s="103"/>
      <c r="C91" s="103"/>
      <c r="D91" s="104"/>
      <c r="E91" s="104"/>
      <c r="F91" s="104"/>
      <c r="G91" s="104"/>
      <c r="I91" s="107"/>
      <c r="T91" s="107"/>
      <c r="U91" s="103"/>
      <c r="V91" s="115"/>
      <c r="AA91" s="11"/>
    </row>
    <row r="92" spans="1:27">
      <c r="A92" s="102"/>
      <c r="B92" s="103"/>
      <c r="C92" s="103"/>
      <c r="D92" s="104"/>
      <c r="E92" s="104"/>
      <c r="F92" s="104"/>
      <c r="G92" s="104"/>
      <c r="I92" s="107"/>
      <c r="T92" s="107"/>
      <c r="U92" s="103"/>
      <c r="V92" s="115"/>
      <c r="AA92" s="11"/>
    </row>
    <row r="93" spans="1:27">
      <c r="A93" s="102"/>
      <c r="B93" s="103"/>
      <c r="C93" s="103"/>
      <c r="D93" s="104"/>
      <c r="E93" s="104"/>
      <c r="F93" s="104"/>
      <c r="G93" s="104"/>
      <c r="I93" s="107"/>
      <c r="T93" s="107"/>
      <c r="U93" s="103"/>
      <c r="V93" s="115"/>
      <c r="AA93" s="11"/>
    </row>
    <row r="94" spans="1:27">
      <c r="A94" s="102"/>
      <c r="B94" s="103"/>
      <c r="C94" s="103"/>
      <c r="D94" s="104"/>
      <c r="E94" s="104"/>
      <c r="F94" s="104"/>
      <c r="G94" s="104"/>
      <c r="I94" s="107"/>
      <c r="T94" s="107"/>
      <c r="U94" s="103"/>
      <c r="V94" s="115"/>
      <c r="AA94" s="11"/>
    </row>
    <row r="95" spans="1:27">
      <c r="A95" s="102"/>
      <c r="B95" s="103"/>
      <c r="C95" s="103"/>
      <c r="D95" s="104"/>
      <c r="E95" s="104"/>
      <c r="F95" s="104"/>
      <c r="G95" s="104"/>
      <c r="I95" s="107"/>
      <c r="T95" s="107"/>
      <c r="U95" s="103"/>
      <c r="V95" s="115"/>
      <c r="AA95" s="11"/>
    </row>
    <row r="96" spans="1:27">
      <c r="A96" s="102"/>
      <c r="B96" s="103"/>
      <c r="C96" s="103"/>
      <c r="D96" s="104"/>
      <c r="E96" s="104"/>
      <c r="F96" s="104"/>
      <c r="G96" s="104"/>
      <c r="I96" s="107"/>
      <c r="T96" s="107"/>
      <c r="U96" s="103"/>
      <c r="V96" s="115"/>
      <c r="AA96" s="11"/>
    </row>
    <row r="97" spans="1:27">
      <c r="A97" s="102"/>
      <c r="B97" s="103"/>
      <c r="C97" s="103"/>
      <c r="D97" s="104"/>
      <c r="E97" s="104"/>
      <c r="F97" s="104"/>
      <c r="G97" s="104"/>
      <c r="I97" s="107"/>
      <c r="T97" s="107"/>
      <c r="U97" s="103"/>
      <c r="V97" s="115"/>
      <c r="AA97" s="11"/>
    </row>
    <row r="98" spans="1:27">
      <c r="A98" s="102"/>
      <c r="B98" s="103"/>
      <c r="C98" s="103"/>
      <c r="D98" s="104"/>
      <c r="E98" s="104"/>
      <c r="F98" s="104"/>
      <c r="G98" s="104"/>
      <c r="I98" s="107"/>
      <c r="T98" s="107"/>
      <c r="U98" s="103"/>
      <c r="V98" s="115"/>
      <c r="AA98" s="11"/>
    </row>
    <row r="99" spans="1:27">
      <c r="A99" s="102"/>
      <c r="B99" s="103"/>
      <c r="C99" s="103"/>
      <c r="D99" s="104"/>
      <c r="E99" s="104"/>
      <c r="F99" s="104"/>
      <c r="G99" s="104"/>
      <c r="I99" s="107"/>
      <c r="T99" s="107"/>
      <c r="U99" s="103"/>
      <c r="V99" s="115"/>
      <c r="AA99" s="11"/>
    </row>
    <row r="100" spans="1:27">
      <c r="A100" s="102"/>
      <c r="B100" s="103"/>
      <c r="C100" s="103"/>
      <c r="D100" s="104"/>
      <c r="E100" s="104"/>
      <c r="F100" s="104"/>
      <c r="G100" s="104"/>
      <c r="I100" s="107"/>
      <c r="T100" s="107"/>
      <c r="U100" s="103"/>
      <c r="V100" s="115"/>
      <c r="AA100" s="11"/>
    </row>
    <row r="101" spans="1:27">
      <c r="A101" s="102"/>
      <c r="B101" s="103"/>
      <c r="C101" s="103"/>
      <c r="D101" s="104"/>
      <c r="E101" s="104"/>
      <c r="F101" s="104"/>
      <c r="G101" s="104"/>
      <c r="I101" s="107"/>
      <c r="T101" s="107"/>
      <c r="U101" s="103"/>
      <c r="V101" s="115"/>
      <c r="AA101" s="11"/>
    </row>
    <row r="102" spans="1:27">
      <c r="A102" s="102"/>
      <c r="B102" s="103"/>
      <c r="C102" s="103"/>
      <c r="D102" s="104"/>
      <c r="E102" s="104"/>
      <c r="F102" s="104"/>
      <c r="G102" s="104"/>
      <c r="I102" s="107"/>
      <c r="T102" s="107"/>
      <c r="U102" s="103"/>
      <c r="V102" s="115"/>
      <c r="AA102" s="11"/>
    </row>
    <row r="103" spans="1:27">
      <c r="A103" s="102"/>
      <c r="B103" s="103"/>
      <c r="C103" s="103"/>
      <c r="D103" s="104"/>
      <c r="E103" s="104"/>
      <c r="F103" s="104"/>
      <c r="G103" s="104"/>
      <c r="I103" s="107"/>
      <c r="T103" s="107"/>
      <c r="U103" s="103"/>
      <c r="V103" s="115"/>
      <c r="AA103" s="11"/>
    </row>
    <row r="104" spans="1:27">
      <c r="A104" s="102"/>
      <c r="B104" s="103"/>
      <c r="C104" s="103"/>
      <c r="D104" s="104"/>
      <c r="E104" s="104"/>
      <c r="F104" s="104"/>
      <c r="G104" s="104"/>
      <c r="I104" s="107"/>
      <c r="T104" s="107"/>
      <c r="U104" s="103"/>
      <c r="V104" s="115"/>
      <c r="AA104" s="11"/>
    </row>
    <row r="105" spans="1:27">
      <c r="A105" s="102"/>
      <c r="B105" s="103"/>
      <c r="C105" s="103"/>
      <c r="D105" s="104"/>
      <c r="E105" s="104"/>
      <c r="F105" s="104"/>
      <c r="G105" s="104"/>
      <c r="I105" s="107"/>
      <c r="T105" s="107"/>
      <c r="U105" s="103"/>
      <c r="V105" s="115"/>
      <c r="AA105" s="11"/>
    </row>
    <row r="106" spans="1:27">
      <c r="A106" s="102"/>
      <c r="B106" s="103"/>
      <c r="C106" s="103"/>
      <c r="D106" s="104"/>
      <c r="E106" s="104"/>
      <c r="F106" s="104"/>
      <c r="G106" s="104"/>
      <c r="I106" s="107"/>
      <c r="T106" s="107"/>
      <c r="U106" s="103"/>
      <c r="V106" s="115"/>
      <c r="AA106" s="11"/>
    </row>
    <row r="107" spans="1:27">
      <c r="A107" s="102"/>
      <c r="B107" s="103"/>
      <c r="C107" s="103"/>
      <c r="D107" s="104"/>
      <c r="E107" s="104"/>
      <c r="F107" s="104"/>
      <c r="G107" s="104"/>
      <c r="I107" s="107"/>
      <c r="T107" s="107"/>
      <c r="U107" s="103"/>
      <c r="V107" s="115"/>
      <c r="AA107" s="11"/>
    </row>
    <row r="108" spans="1:27">
      <c r="A108" s="102"/>
      <c r="B108" s="103"/>
      <c r="C108" s="103"/>
      <c r="D108" s="104"/>
      <c r="E108" s="104"/>
      <c r="F108" s="104"/>
      <c r="G108" s="104"/>
      <c r="I108" s="107"/>
      <c r="T108" s="107"/>
      <c r="U108" s="103"/>
      <c r="V108" s="115"/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6" sqref="C1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2.2799999999999998</v>
      </c>
      <c r="K5" s="136">
        <v>2.4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0.91200000000000003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0.45600000000000002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0.22800000000000001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4.8000000000000001E-2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3.8399999999999997E-2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1.3440000000000001E-2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7.4400000000000004E-3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4.7999999999999996E-3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5.5199999999999997E-3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2.8800000000000002E-3</v>
      </c>
    </row>
    <row r="16" spans="1:15" ht="13.15" thickBot="1">
      <c r="A16" s="102" t="s">
        <v>228</v>
      </c>
      <c r="B16" s="103">
        <v>12</v>
      </c>
      <c r="C16" s="153">
        <v>6</v>
      </c>
      <c r="D16" s="154">
        <v>28.274333882308138</v>
      </c>
      <c r="E16" s="154">
        <v>600</v>
      </c>
      <c r="F16" s="152" t="s">
        <v>340</v>
      </c>
      <c r="G16" s="154">
        <v>300</v>
      </c>
      <c r="H16" s="154">
        <v>0</v>
      </c>
      <c r="I16" s="155">
        <f t="shared" si="0"/>
        <v>0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topLeftCell="C1"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228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12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600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300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15000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</v>
      </c>
      <c r="C9" s="75" t="s">
        <v>99</v>
      </c>
      <c r="F9" s="76" t="s">
        <v>68</v>
      </c>
      <c r="G9" s="89">
        <v>2.367E-2</v>
      </c>
      <c r="H9" s="75" t="s">
        <v>55</v>
      </c>
      <c r="I9" s="76"/>
      <c r="J9" s="76" t="s">
        <v>157</v>
      </c>
      <c r="K9" s="135">
        <v>0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0</v>
      </c>
      <c r="C10" s="75" t="s">
        <v>99</v>
      </c>
      <c r="F10" s="76" t="s">
        <v>69</v>
      </c>
      <c r="G10" s="90">
        <v>0.11833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0.24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0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0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0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0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1" sqref="N31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285</v>
      </c>
      <c r="B2" s="66" t="s">
        <v>286</v>
      </c>
      <c r="D2" s="66" t="s">
        <v>277</v>
      </c>
      <c r="E2" s="132">
        <v>8.1999999999999993</v>
      </c>
      <c r="F2" s="67" t="s">
        <v>231</v>
      </c>
      <c r="G2" s="67" t="s">
        <v>231</v>
      </c>
      <c r="H2" s="67" t="s">
        <v>231</v>
      </c>
      <c r="I2" s="68">
        <v>1.9323101239580883E-4</v>
      </c>
      <c r="J2" s="67" t="s">
        <v>231</v>
      </c>
      <c r="K2" s="68">
        <v>0</v>
      </c>
      <c r="L2" s="67" t="s">
        <v>231</v>
      </c>
      <c r="M2" s="68">
        <v>0</v>
      </c>
      <c r="N2" s="67" t="s">
        <v>231</v>
      </c>
      <c r="P2" s="109" t="s">
        <v>188</v>
      </c>
    </row>
    <row r="3" spans="1:17">
      <c r="A3" s="65" t="s">
        <v>287</v>
      </c>
      <c r="B3" s="66" t="s">
        <v>288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4.0916470691910285E-4</v>
      </c>
      <c r="J3" s="67" t="s">
        <v>231</v>
      </c>
      <c r="K3" s="68">
        <v>0</v>
      </c>
      <c r="L3" s="67" t="s">
        <v>231</v>
      </c>
      <c r="M3" s="68">
        <v>0</v>
      </c>
      <c r="N3" s="67" t="s">
        <v>231</v>
      </c>
      <c r="P3" s="109" t="s">
        <v>189</v>
      </c>
    </row>
    <row r="4" spans="1:17">
      <c r="A4" s="65" t="s">
        <v>289</v>
      </c>
      <c r="B4" s="66" t="s">
        <v>290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1.0792838544764025E-3</v>
      </c>
      <c r="J4" s="67" t="s">
        <v>231</v>
      </c>
      <c r="K4" s="68">
        <v>0</v>
      </c>
      <c r="L4" s="67" t="s">
        <v>231</v>
      </c>
      <c r="M4" s="68">
        <v>0</v>
      </c>
      <c r="N4" s="67" t="s">
        <v>231</v>
      </c>
    </row>
    <row r="5" spans="1:17">
      <c r="A5" s="65" t="s">
        <v>291</v>
      </c>
      <c r="B5" s="66" t="s">
        <v>292</v>
      </c>
      <c r="D5" s="66" t="s">
        <v>277</v>
      </c>
      <c r="E5" s="132">
        <v>4.7</v>
      </c>
      <c r="F5" s="67" t="s">
        <v>231</v>
      </c>
      <c r="G5" s="67" t="s">
        <v>231</v>
      </c>
      <c r="H5" s="67" t="s">
        <v>231</v>
      </c>
      <c r="I5" s="68">
        <v>1.2905743174868037E-7</v>
      </c>
      <c r="J5" s="67" t="s">
        <v>231</v>
      </c>
      <c r="K5" s="68">
        <v>0</v>
      </c>
      <c r="L5" s="67" t="s">
        <v>231</v>
      </c>
      <c r="M5" s="68">
        <v>0</v>
      </c>
      <c r="N5" s="67" t="s">
        <v>231</v>
      </c>
      <c r="P5" s="109" t="s">
        <v>190</v>
      </c>
    </row>
    <row r="6" spans="1:17">
      <c r="A6" s="65" t="s">
        <v>278</v>
      </c>
      <c r="B6" s="66" t="s">
        <v>279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0.26032713214816011</v>
      </c>
      <c r="J6" s="67" t="s">
        <v>232</v>
      </c>
      <c r="K6" s="68">
        <v>0</v>
      </c>
      <c r="L6" s="67" t="s">
        <v>231</v>
      </c>
      <c r="M6" s="68">
        <v>0</v>
      </c>
      <c r="N6" s="67" t="s">
        <v>231</v>
      </c>
      <c r="P6" s="109" t="s">
        <v>191</v>
      </c>
    </row>
    <row r="7" spans="1:17">
      <c r="A7" s="65" t="s">
        <v>293</v>
      </c>
      <c r="B7" s="66" t="s">
        <v>294</v>
      </c>
      <c r="D7" s="66" t="s">
        <v>341</v>
      </c>
      <c r="E7" s="132">
        <v>17.600000000000001</v>
      </c>
      <c r="F7" s="67" t="s">
        <v>231</v>
      </c>
      <c r="G7" s="67" t="s">
        <v>231</v>
      </c>
      <c r="H7" s="67" t="s">
        <v>231</v>
      </c>
      <c r="I7" s="68">
        <v>2.1064393242395912E-17</v>
      </c>
      <c r="J7" s="67" t="s">
        <v>231</v>
      </c>
      <c r="K7" s="68">
        <v>0</v>
      </c>
      <c r="L7" s="67" t="s">
        <v>231</v>
      </c>
      <c r="M7" s="68">
        <v>0</v>
      </c>
      <c r="N7" s="67" t="s">
        <v>231</v>
      </c>
      <c r="P7" s="109" t="s">
        <v>192</v>
      </c>
    </row>
    <row r="8" spans="1:17" ht="17.25">
      <c r="A8" s="65" t="s">
        <v>295</v>
      </c>
      <c r="B8" s="66" t="s">
        <v>296</v>
      </c>
      <c r="D8" s="66" t="s">
        <v>341</v>
      </c>
      <c r="E8" s="132">
        <v>6.1</v>
      </c>
      <c r="F8" s="67" t="s">
        <v>231</v>
      </c>
      <c r="G8" s="67" t="s">
        <v>231</v>
      </c>
      <c r="H8" s="67" t="s">
        <v>231</v>
      </c>
      <c r="I8" s="68">
        <v>2.3524402883589592E-5</v>
      </c>
      <c r="J8" s="67" t="s">
        <v>231</v>
      </c>
      <c r="K8" s="68">
        <v>0</v>
      </c>
      <c r="L8" s="67" t="s">
        <v>231</v>
      </c>
      <c r="M8" s="68">
        <v>0</v>
      </c>
      <c r="N8" s="67" t="s">
        <v>231</v>
      </c>
      <c r="P8" s="109" t="s">
        <v>193</v>
      </c>
    </row>
    <row r="9" spans="1:17" ht="17.25">
      <c r="A9" s="65" t="s">
        <v>297</v>
      </c>
      <c r="B9" s="66" t="s">
        <v>298</v>
      </c>
      <c r="D9" s="66" t="s">
        <v>176</v>
      </c>
      <c r="F9" s="67" t="s">
        <v>232</v>
      </c>
      <c r="G9" s="67" t="s">
        <v>231</v>
      </c>
      <c r="H9" s="67" t="s">
        <v>231</v>
      </c>
      <c r="I9" s="68">
        <v>0.24071288225252743</v>
      </c>
      <c r="J9" s="67" t="s">
        <v>232</v>
      </c>
      <c r="K9" s="68">
        <v>0</v>
      </c>
      <c r="L9" s="67" t="s">
        <v>231</v>
      </c>
      <c r="M9" s="68">
        <v>0</v>
      </c>
      <c r="N9" s="67" t="s">
        <v>231</v>
      </c>
      <c r="P9" s="109" t="s">
        <v>194</v>
      </c>
    </row>
    <row r="10" spans="1:17">
      <c r="A10" s="65" t="s">
        <v>299</v>
      </c>
      <c r="B10" s="66" t="s">
        <v>300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1.3631784078284507E-3</v>
      </c>
      <c r="J10" s="67" t="s">
        <v>231</v>
      </c>
      <c r="K10" s="68">
        <v>0</v>
      </c>
      <c r="L10" s="67" t="s">
        <v>231</v>
      </c>
      <c r="M10" s="68">
        <v>0</v>
      </c>
      <c r="N10" s="67" t="s">
        <v>231</v>
      </c>
    </row>
    <row r="11" spans="1:17" ht="13.15">
      <c r="A11" s="65" t="s">
        <v>301</v>
      </c>
      <c r="B11" s="66" t="s">
        <v>302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3.3575366161810443E-4</v>
      </c>
      <c r="J11" s="67" t="s">
        <v>231</v>
      </c>
      <c r="K11" s="68">
        <v>0</v>
      </c>
      <c r="L11" s="67" t="s">
        <v>231</v>
      </c>
      <c r="M11" s="68">
        <v>0</v>
      </c>
      <c r="N11" s="67" t="s">
        <v>231</v>
      </c>
      <c r="P11" s="15" t="s">
        <v>195</v>
      </c>
    </row>
    <row r="12" spans="1:17">
      <c r="A12" s="65" t="s">
        <v>303</v>
      </c>
      <c r="B12" s="66" t="s">
        <v>304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1.9157628936925729E-5</v>
      </c>
      <c r="J12" s="67" t="s">
        <v>231</v>
      </c>
      <c r="K12" s="68">
        <v>0</v>
      </c>
      <c r="L12" s="67" t="s">
        <v>231</v>
      </c>
      <c r="M12" s="68">
        <v>0</v>
      </c>
      <c r="N12" s="67" t="s">
        <v>231</v>
      </c>
      <c r="P12" s="109" t="s">
        <v>196</v>
      </c>
      <c r="Q12" s="103">
        <f>COUNTIF(F2:F50000,"Yes")</f>
        <v>4</v>
      </c>
    </row>
    <row r="13" spans="1:17">
      <c r="A13" s="65" t="s">
        <v>305</v>
      </c>
      <c r="B13" s="66" t="s">
        <v>306</v>
      </c>
      <c r="D13" s="66" t="s">
        <v>176</v>
      </c>
      <c r="F13" s="67" t="s">
        <v>232</v>
      </c>
      <c r="G13" s="67" t="s">
        <v>231</v>
      </c>
      <c r="H13" s="67" t="s">
        <v>231</v>
      </c>
      <c r="I13" s="68">
        <v>0.40282008118686158</v>
      </c>
      <c r="J13" s="67" t="s">
        <v>232</v>
      </c>
      <c r="K13" s="68">
        <v>0</v>
      </c>
      <c r="L13" s="67" t="s">
        <v>231</v>
      </c>
      <c r="M13" s="68">
        <v>0</v>
      </c>
      <c r="N13" s="67" t="s">
        <v>231</v>
      </c>
      <c r="P13" s="109" t="s">
        <v>192</v>
      </c>
      <c r="Q13" s="103">
        <f>COUNTIF(J2:J50000,"Yes")</f>
        <v>5</v>
      </c>
    </row>
    <row r="14" spans="1:17" ht="15">
      <c r="A14" s="65" t="s">
        <v>307</v>
      </c>
      <c r="B14" s="66" t="s">
        <v>308</v>
      </c>
      <c r="D14" s="66" t="s">
        <v>176</v>
      </c>
      <c r="F14" s="67" t="s">
        <v>232</v>
      </c>
      <c r="G14" s="67" t="s">
        <v>231</v>
      </c>
      <c r="H14" s="67" t="s">
        <v>231</v>
      </c>
      <c r="I14" s="68">
        <v>0.14542706889302778</v>
      </c>
      <c r="J14" s="67" t="s">
        <v>232</v>
      </c>
      <c r="K14" s="68">
        <v>0</v>
      </c>
      <c r="L14" s="67" t="s">
        <v>231</v>
      </c>
      <c r="M14" s="68">
        <v>0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309</v>
      </c>
      <c r="B15" s="66" t="s">
        <v>310</v>
      </c>
      <c r="D15" s="66" t="s">
        <v>176</v>
      </c>
      <c r="F15" s="67" t="s">
        <v>232</v>
      </c>
      <c r="G15" s="67" t="s">
        <v>231</v>
      </c>
      <c r="H15" s="67" t="s">
        <v>231</v>
      </c>
      <c r="I15" s="68">
        <v>0.18916029796296679</v>
      </c>
      <c r="J15" s="67" t="s">
        <v>232</v>
      </c>
      <c r="K15" s="68">
        <v>0</v>
      </c>
      <c r="L15" s="67" t="s">
        <v>231</v>
      </c>
      <c r="M15" s="68">
        <v>0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311</v>
      </c>
      <c r="B16" s="66" t="s">
        <v>312</v>
      </c>
      <c r="D16" s="66" t="s">
        <v>277</v>
      </c>
      <c r="E16" s="132">
        <v>3</v>
      </c>
      <c r="F16" s="67" t="s">
        <v>231</v>
      </c>
      <c r="G16" s="67" t="s">
        <v>231</v>
      </c>
      <c r="H16" s="67" t="s">
        <v>231</v>
      </c>
      <c r="I16" s="68">
        <v>1.7313870363295323E-8</v>
      </c>
      <c r="J16" s="67" t="s">
        <v>231</v>
      </c>
      <c r="K16" s="68">
        <v>0</v>
      </c>
      <c r="L16" s="67" t="s">
        <v>231</v>
      </c>
      <c r="M16" s="68">
        <v>0</v>
      </c>
      <c r="N16" s="67" t="s">
        <v>231</v>
      </c>
      <c r="P16" s="109" t="s">
        <v>197</v>
      </c>
      <c r="Q16" s="103">
        <f>COUNTIF(G2:G50000,"Yes")</f>
        <v>0</v>
      </c>
    </row>
    <row r="17" spans="1:18">
      <c r="A17" s="65" t="s">
        <v>313</v>
      </c>
      <c r="B17" s="66" t="s">
        <v>314</v>
      </c>
      <c r="D17" s="66" t="s">
        <v>277</v>
      </c>
      <c r="E17" s="132">
        <v>5</v>
      </c>
      <c r="F17" s="67" t="s">
        <v>231</v>
      </c>
      <c r="G17" s="67" t="s">
        <v>231</v>
      </c>
      <c r="H17" s="67" t="s">
        <v>231</v>
      </c>
      <c r="I17" s="68">
        <v>2.1472809759368066E-4</v>
      </c>
      <c r="J17" s="67" t="s">
        <v>231</v>
      </c>
      <c r="K17" s="68">
        <v>0</v>
      </c>
      <c r="L17" s="67" t="s">
        <v>231</v>
      </c>
      <c r="M17" s="68">
        <v>0</v>
      </c>
      <c r="N17" s="67" t="s">
        <v>231</v>
      </c>
      <c r="Q17" s="103">
        <f>COUNT(I2:I50000)</f>
        <v>30</v>
      </c>
      <c r="R17" s="111"/>
    </row>
    <row r="18" spans="1:18">
      <c r="A18" s="65" t="s">
        <v>315</v>
      </c>
      <c r="B18" s="167">
        <v>354656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9.8602769479459763E-7</v>
      </c>
      <c r="J18" s="67" t="s">
        <v>231</v>
      </c>
      <c r="K18" s="68">
        <v>0</v>
      </c>
      <c r="L18" s="67" t="s">
        <v>231</v>
      </c>
      <c r="M18" s="68">
        <v>0</v>
      </c>
      <c r="N18" s="67" t="s">
        <v>231</v>
      </c>
      <c r="R18" s="111"/>
    </row>
    <row r="19" spans="1:18">
      <c r="A19" s="65" t="s">
        <v>317</v>
      </c>
      <c r="B19" s="66" t="s">
        <v>318</v>
      </c>
      <c r="D19" s="66" t="s">
        <v>341</v>
      </c>
      <c r="E19" s="132">
        <v>6</v>
      </c>
      <c r="F19" s="67" t="s">
        <v>231</v>
      </c>
      <c r="G19" s="67" t="s">
        <v>231</v>
      </c>
      <c r="H19" s="67" t="s">
        <v>231</v>
      </c>
      <c r="I19" s="68">
        <v>3.4433593639511832E-7</v>
      </c>
      <c r="J19" s="67" t="s">
        <v>231</v>
      </c>
      <c r="K19" s="68">
        <v>0</v>
      </c>
      <c r="L19" s="67" t="s">
        <v>231</v>
      </c>
      <c r="M19" s="68">
        <v>0</v>
      </c>
      <c r="N19" s="67" t="s">
        <v>231</v>
      </c>
      <c r="P19" s="109" t="s">
        <v>198</v>
      </c>
      <c r="Q19" s="111"/>
      <c r="R19" s="111"/>
    </row>
    <row r="20" spans="1:18">
      <c r="A20" s="65" t="s">
        <v>284</v>
      </c>
      <c r="B20" s="66" t="s">
        <v>276</v>
      </c>
      <c r="D20" s="66" t="s">
        <v>277</v>
      </c>
      <c r="E20" s="132">
        <v>5.4</v>
      </c>
      <c r="F20" s="67" t="s">
        <v>231</v>
      </c>
      <c r="G20" s="67" t="s">
        <v>231</v>
      </c>
      <c r="H20" s="67" t="s">
        <v>231</v>
      </c>
      <c r="I20" s="68">
        <v>1.4425454006826221E-4</v>
      </c>
      <c r="J20" s="67" t="s">
        <v>231</v>
      </c>
      <c r="K20" s="68">
        <v>0</v>
      </c>
      <c r="L20" s="67" t="s">
        <v>231</v>
      </c>
      <c r="M20" s="68">
        <v>0</v>
      </c>
      <c r="N20" s="67" t="s">
        <v>231</v>
      </c>
      <c r="Q20" s="111"/>
      <c r="R20" s="111"/>
    </row>
    <row r="21" spans="1:18">
      <c r="A21" s="65" t="s">
        <v>319</v>
      </c>
      <c r="B21" s="66" t="s">
        <v>320</v>
      </c>
      <c r="D21" s="66" t="s">
        <v>341</v>
      </c>
      <c r="E21" s="132">
        <v>6.6</v>
      </c>
      <c r="F21" s="67" t="s">
        <v>231</v>
      </c>
      <c r="G21" s="67" t="s">
        <v>231</v>
      </c>
      <c r="H21" s="67" t="s">
        <v>231</v>
      </c>
      <c r="I21" s="68">
        <v>1.0284279031092588E-3</v>
      </c>
      <c r="J21" s="67" t="s">
        <v>231</v>
      </c>
      <c r="K21" s="68">
        <v>0</v>
      </c>
      <c r="L21" s="67" t="s">
        <v>231</v>
      </c>
      <c r="M21" s="68">
        <v>0</v>
      </c>
      <c r="N21" s="67" t="s">
        <v>231</v>
      </c>
      <c r="Q21" s="111"/>
      <c r="R21" s="111"/>
    </row>
    <row r="22" spans="1:18">
      <c r="A22" s="65" t="s">
        <v>321</v>
      </c>
      <c r="B22" s="66" t="s">
        <v>322</v>
      </c>
      <c r="D22" s="66" t="s">
        <v>341</v>
      </c>
      <c r="E22" s="132">
        <v>9.6</v>
      </c>
      <c r="F22" s="67" t="s">
        <v>231</v>
      </c>
      <c r="G22" s="67" t="s">
        <v>231</v>
      </c>
      <c r="H22" s="67" t="s">
        <v>231</v>
      </c>
      <c r="I22" s="68">
        <v>2.6466455482264367E-9</v>
      </c>
      <c r="J22" s="67" t="s">
        <v>231</v>
      </c>
      <c r="K22" s="68">
        <v>0</v>
      </c>
      <c r="L22" s="67" t="s">
        <v>231</v>
      </c>
      <c r="M22" s="68">
        <v>0</v>
      </c>
      <c r="N22" s="67" t="s">
        <v>231</v>
      </c>
      <c r="Q22" s="111"/>
      <c r="R22" s="111"/>
    </row>
    <row r="23" spans="1:18">
      <c r="A23" s="65" t="s">
        <v>323</v>
      </c>
      <c r="B23" s="66" t="s">
        <v>324</v>
      </c>
      <c r="D23" s="66" t="s">
        <v>341</v>
      </c>
      <c r="E23" s="132">
        <v>9</v>
      </c>
      <c r="F23" s="67" t="s">
        <v>231</v>
      </c>
      <c r="G23" s="67" t="s">
        <v>231</v>
      </c>
      <c r="H23" s="67" t="s">
        <v>231</v>
      </c>
      <c r="I23" s="68">
        <v>2.9532803711899714E-5</v>
      </c>
      <c r="J23" s="67" t="s">
        <v>231</v>
      </c>
      <c r="K23" s="68">
        <v>0</v>
      </c>
      <c r="L23" s="67" t="s">
        <v>231</v>
      </c>
      <c r="M23" s="68">
        <v>0</v>
      </c>
      <c r="N23" s="67" t="s">
        <v>231</v>
      </c>
      <c r="Q23" s="111"/>
      <c r="R23" s="111"/>
    </row>
    <row r="24" spans="1:18">
      <c r="A24" s="65" t="s">
        <v>325</v>
      </c>
      <c r="B24" s="66" t="s">
        <v>326</v>
      </c>
      <c r="D24" s="66" t="s">
        <v>277</v>
      </c>
      <c r="E24" s="132">
        <v>7.3</v>
      </c>
      <c r="F24" s="67" t="s">
        <v>231</v>
      </c>
      <c r="G24" s="67" t="s">
        <v>231</v>
      </c>
      <c r="H24" s="67" t="s">
        <v>231</v>
      </c>
      <c r="I24" s="68">
        <v>5.8445404634307567E-5</v>
      </c>
      <c r="J24" s="67" t="s">
        <v>231</v>
      </c>
      <c r="K24" s="68">
        <v>0</v>
      </c>
      <c r="L24" s="67" t="s">
        <v>231</v>
      </c>
      <c r="M24" s="68">
        <v>0</v>
      </c>
      <c r="N24" s="67" t="s">
        <v>231</v>
      </c>
      <c r="Q24" s="111"/>
      <c r="R24" s="111"/>
    </row>
    <row r="25" spans="1:18">
      <c r="A25" s="65" t="s">
        <v>327</v>
      </c>
      <c r="B25" s="66" t="s">
        <v>328</v>
      </c>
      <c r="D25" s="66" t="s">
        <v>277</v>
      </c>
      <c r="E25" s="132">
        <v>4.5</v>
      </c>
      <c r="F25" s="67" t="s">
        <v>231</v>
      </c>
      <c r="G25" s="67" t="s">
        <v>231</v>
      </c>
      <c r="H25" s="67" t="s">
        <v>231</v>
      </c>
      <c r="I25" s="68">
        <v>8.1169177609656983E-13</v>
      </c>
      <c r="J25" s="67" t="s">
        <v>231</v>
      </c>
      <c r="K25" s="68">
        <v>0</v>
      </c>
      <c r="L25" s="67" t="s">
        <v>231</v>
      </c>
      <c r="M25" s="68">
        <v>0</v>
      </c>
      <c r="N25" s="67" t="s">
        <v>231</v>
      </c>
      <c r="Q25" s="111"/>
      <c r="R25" s="111"/>
    </row>
    <row r="26" spans="1:18">
      <c r="A26" s="65" t="s">
        <v>329</v>
      </c>
      <c r="B26" s="66" t="s">
        <v>330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9.198422541690163E-8</v>
      </c>
      <c r="J26" s="67" t="s">
        <v>231</v>
      </c>
      <c r="K26" s="68">
        <v>0</v>
      </c>
      <c r="L26" s="67" t="s">
        <v>231</v>
      </c>
      <c r="M26" s="68">
        <v>0</v>
      </c>
      <c r="N26" s="67" t="s">
        <v>231</v>
      </c>
      <c r="Q26" s="111"/>
      <c r="R26" s="111"/>
    </row>
    <row r="27" spans="1:18">
      <c r="A27" s="65" t="s">
        <v>331</v>
      </c>
      <c r="B27" s="66" t="s">
        <v>332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4.3248946767079557E-6</v>
      </c>
      <c r="J27" s="67" t="s">
        <v>231</v>
      </c>
      <c r="K27" s="68">
        <v>0</v>
      </c>
      <c r="L27" s="67" t="s">
        <v>231</v>
      </c>
      <c r="M27" s="68">
        <v>0</v>
      </c>
      <c r="N27" s="67" t="s">
        <v>231</v>
      </c>
      <c r="Q27" s="111"/>
      <c r="R27" s="111"/>
    </row>
    <row r="28" spans="1:18">
      <c r="A28" s="65" t="s">
        <v>333</v>
      </c>
      <c r="B28" s="66" t="s">
        <v>334</v>
      </c>
      <c r="D28" s="66" t="s">
        <v>277</v>
      </c>
      <c r="E28" s="132">
        <v>9.1999999999999993</v>
      </c>
      <c r="F28" s="67" t="s">
        <v>231</v>
      </c>
      <c r="G28" s="67" t="s">
        <v>231</v>
      </c>
      <c r="H28" s="67" t="s">
        <v>231</v>
      </c>
      <c r="I28" s="68">
        <v>5.709749227290169E-7</v>
      </c>
      <c r="J28" s="67" t="s">
        <v>231</v>
      </c>
      <c r="K28" s="68">
        <v>0</v>
      </c>
      <c r="L28" s="67" t="s">
        <v>231</v>
      </c>
      <c r="M28" s="68">
        <v>0</v>
      </c>
      <c r="N28" s="67" t="s">
        <v>231</v>
      </c>
      <c r="Q28" s="111"/>
      <c r="R28" s="111"/>
    </row>
    <row r="29" spans="1:18">
      <c r="A29" s="65" t="s">
        <v>335</v>
      </c>
      <c r="B29" s="66" t="s">
        <v>336</v>
      </c>
      <c r="D29" s="66" t="s">
        <v>277</v>
      </c>
      <c r="E29" s="132">
        <v>3.3</v>
      </c>
      <c r="F29" s="67" t="s">
        <v>231</v>
      </c>
      <c r="G29" s="67" t="s">
        <v>231</v>
      </c>
      <c r="H29" s="67" t="s">
        <v>231</v>
      </c>
      <c r="I29" s="68">
        <v>4.8644183100995094E-10</v>
      </c>
      <c r="J29" s="67" t="s">
        <v>231</v>
      </c>
      <c r="K29" s="68">
        <v>0</v>
      </c>
      <c r="L29" s="67" t="s">
        <v>231</v>
      </c>
      <c r="M29" s="68">
        <v>0</v>
      </c>
      <c r="N29" s="67" t="s">
        <v>231</v>
      </c>
      <c r="Q29" s="111"/>
      <c r="R29" s="111"/>
    </row>
    <row r="30" spans="1:18">
      <c r="A30" s="65" t="s">
        <v>337</v>
      </c>
      <c r="B30" s="66" t="s">
        <v>338</v>
      </c>
      <c r="D30" s="66" t="s">
        <v>341</v>
      </c>
      <c r="E30" s="132">
        <v>9.1999999999999993</v>
      </c>
      <c r="F30" s="67" t="s">
        <v>231</v>
      </c>
      <c r="G30" s="67" t="s">
        <v>231</v>
      </c>
      <c r="H30" s="67" t="s">
        <v>231</v>
      </c>
      <c r="I30" s="68">
        <v>6.6109247367040211E-4</v>
      </c>
      <c r="J30" s="67" t="s">
        <v>231</v>
      </c>
      <c r="K30" s="68">
        <v>0</v>
      </c>
      <c r="L30" s="67" t="s">
        <v>231</v>
      </c>
      <c r="M30" s="68">
        <v>0</v>
      </c>
      <c r="N30" s="67" t="s">
        <v>231</v>
      </c>
    </row>
    <row r="31" spans="1:18">
      <c r="A31" s="65" t="s">
        <v>275</v>
      </c>
      <c r="B31" s="66" t="s">
        <v>339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1.0972405675081808E-3</v>
      </c>
      <c r="J31" s="67" t="s">
        <v>231</v>
      </c>
      <c r="K31" s="68">
        <v>0</v>
      </c>
      <c r="L31" s="67" t="s">
        <v>231</v>
      </c>
      <c r="M31" s="68">
        <v>0</v>
      </c>
      <c r="N31" s="67" t="s">
        <v>231</v>
      </c>
    </row>
    <row r="33" spans="2:18">
      <c r="O33" s="65"/>
      <c r="P33" s="102"/>
    </row>
    <row r="34" spans="2:18">
      <c r="O34" s="65"/>
      <c r="P34" s="102"/>
    </row>
    <row r="35" spans="2:18">
      <c r="O35" s="65"/>
      <c r="P35" s="102"/>
    </row>
    <row r="36" spans="2:18">
      <c r="O36" s="65"/>
      <c r="P36" s="102"/>
    </row>
    <row r="37" spans="2:18">
      <c r="O37" s="65"/>
      <c r="P37" s="102"/>
    </row>
    <row r="38" spans="2:18">
      <c r="O38" s="65"/>
      <c r="P38" s="102"/>
    </row>
    <row r="39" spans="2:18">
      <c r="O39" s="65"/>
      <c r="P39" s="102"/>
    </row>
    <row r="40" spans="2:18">
      <c r="O40" s="65"/>
      <c r="P40" s="102"/>
    </row>
    <row r="41" spans="2:18">
      <c r="O41" s="65"/>
      <c r="P41" s="102"/>
    </row>
    <row r="42" spans="2:18">
      <c r="O42" s="65"/>
      <c r="P42" s="102"/>
    </row>
    <row r="43" spans="2:18">
      <c r="O43" s="65"/>
      <c r="P43" s="102"/>
    </row>
    <row r="44" spans="2:18">
      <c r="O44" s="65"/>
      <c r="P44" s="102"/>
    </row>
    <row r="45" spans="2:18">
      <c r="O45" s="65"/>
      <c r="P45" s="102"/>
    </row>
    <row r="46" spans="2:18">
      <c r="I46" s="69"/>
      <c r="O46" s="65"/>
      <c r="P46" s="102"/>
    </row>
    <row r="47" spans="2:18" s="139" customFormat="1">
      <c r="B47" s="140"/>
      <c r="C47" s="140"/>
      <c r="D47" s="140"/>
      <c r="E47" s="141"/>
      <c r="F47" s="142"/>
      <c r="G47" s="142"/>
      <c r="H47" s="142"/>
      <c r="I47" s="143"/>
      <c r="J47" s="142"/>
      <c r="K47" s="143"/>
      <c r="L47" s="142"/>
      <c r="M47" s="143"/>
      <c r="N47" s="142"/>
      <c r="P47" s="130"/>
      <c r="Q47" s="130"/>
      <c r="R47" s="130"/>
    </row>
    <row r="48" spans="2:18" s="139" customFormat="1">
      <c r="B48" s="140"/>
      <c r="C48" s="140"/>
      <c r="D48" s="140"/>
      <c r="E48" s="141"/>
      <c r="F48" s="142"/>
      <c r="G48" s="142"/>
      <c r="H48" s="142"/>
      <c r="I48" s="143"/>
      <c r="J48" s="142"/>
      <c r="K48" s="143"/>
      <c r="L48" s="142"/>
      <c r="M48" s="143"/>
      <c r="N48" s="142"/>
      <c r="P48" s="130"/>
      <c r="Q48" s="130"/>
      <c r="R48" s="130"/>
    </row>
    <row r="49" spans="2:18" s="139" customFormat="1">
      <c r="B49" s="140"/>
      <c r="C49" s="140"/>
      <c r="D49" s="140"/>
      <c r="E49" s="141"/>
      <c r="F49" s="142"/>
      <c r="G49" s="142"/>
      <c r="H49" s="142"/>
      <c r="I49" s="143"/>
      <c r="J49" s="142"/>
      <c r="K49" s="143"/>
      <c r="L49" s="142"/>
      <c r="M49" s="143"/>
      <c r="N49" s="142"/>
      <c r="P49" s="130"/>
      <c r="Q49" s="130"/>
      <c r="R49" s="130"/>
    </row>
    <row r="50" spans="2:18" s="139" customFormat="1">
      <c r="B50" s="140"/>
      <c r="C50" s="140"/>
      <c r="D50" s="140"/>
      <c r="E50" s="141"/>
      <c r="F50" s="142"/>
      <c r="G50" s="142"/>
      <c r="H50" s="142"/>
      <c r="I50" s="143"/>
      <c r="J50" s="142"/>
      <c r="K50" s="143"/>
      <c r="L50" s="142"/>
      <c r="M50" s="143"/>
      <c r="N50" s="142"/>
      <c r="P50" s="130"/>
      <c r="Q50" s="130"/>
      <c r="R50" s="130"/>
    </row>
    <row r="51" spans="2:18" s="139" customFormat="1">
      <c r="B51" s="140"/>
      <c r="C51" s="140"/>
      <c r="D51" s="140"/>
      <c r="E51" s="141"/>
      <c r="F51" s="142"/>
      <c r="G51" s="142"/>
      <c r="H51" s="142"/>
      <c r="I51" s="143"/>
      <c r="J51" s="142"/>
      <c r="K51" s="143"/>
      <c r="L51" s="142"/>
      <c r="M51" s="143"/>
      <c r="N51" s="142"/>
      <c r="P51" s="130"/>
      <c r="Q51" s="130"/>
      <c r="R51" s="130"/>
    </row>
    <row r="52" spans="2:18" s="139" customFormat="1">
      <c r="B52" s="140"/>
      <c r="C52" s="140"/>
      <c r="D52" s="140"/>
      <c r="E52" s="141"/>
      <c r="F52" s="142"/>
      <c r="G52" s="142"/>
      <c r="H52" s="142"/>
      <c r="I52" s="143"/>
      <c r="J52" s="142"/>
      <c r="K52" s="143"/>
      <c r="L52" s="142"/>
      <c r="M52" s="143"/>
      <c r="N52" s="142"/>
      <c r="P52" s="130"/>
      <c r="Q52" s="130"/>
      <c r="R52" s="130"/>
    </row>
    <row r="53" spans="2:18" s="139" customFormat="1">
      <c r="B53" s="140"/>
      <c r="C53" s="140"/>
      <c r="D53" s="140"/>
      <c r="E53" s="141"/>
      <c r="F53" s="142"/>
      <c r="G53" s="142"/>
      <c r="H53" s="142"/>
      <c r="I53" s="143"/>
      <c r="J53" s="142"/>
      <c r="K53" s="143"/>
      <c r="L53" s="142"/>
      <c r="M53" s="143"/>
      <c r="N53" s="142"/>
      <c r="P53" s="130"/>
      <c r="Q53" s="130"/>
      <c r="R53" s="130"/>
    </row>
    <row r="54" spans="2:18">
      <c r="O54" s="65"/>
      <c r="P54" s="102"/>
    </row>
    <row r="55" spans="2:18">
      <c r="O55" s="65"/>
      <c r="P55" s="102"/>
    </row>
    <row r="56" spans="2:18">
      <c r="O56" s="65"/>
      <c r="P56" s="102"/>
    </row>
    <row r="57" spans="2:18">
      <c r="O57" s="65"/>
      <c r="P57" s="102"/>
    </row>
    <row r="58" spans="2:18">
      <c r="O58" s="65"/>
      <c r="P58" s="102"/>
    </row>
    <row r="59" spans="2:18">
      <c r="O59" s="65"/>
      <c r="P59" s="102"/>
    </row>
    <row r="60" spans="2:18">
      <c r="O60" s="65"/>
      <c r="P60" s="102"/>
    </row>
    <row r="61" spans="2:18">
      <c r="O61" s="65"/>
      <c r="P61" s="102"/>
    </row>
    <row r="62" spans="2:18">
      <c r="O62" s="65"/>
      <c r="P62" s="102"/>
    </row>
    <row r="63" spans="2:18">
      <c r="O63" s="65"/>
      <c r="P63" s="102"/>
    </row>
    <row r="64" spans="2:18">
      <c r="O64" s="65"/>
      <c r="P64" s="102"/>
    </row>
    <row r="65" spans="15:16">
      <c r="O65" s="65"/>
      <c r="P65" s="102"/>
    </row>
    <row r="66" spans="15:16">
      <c r="O66" s="65"/>
      <c r="P66" s="102"/>
    </row>
    <row r="67" spans="15:16">
      <c r="O67" s="65"/>
      <c r="P67" s="102"/>
    </row>
    <row r="68" spans="15:16">
      <c r="O68" s="65"/>
      <c r="P68" s="102"/>
    </row>
    <row r="69" spans="15:16">
      <c r="O69" s="65"/>
      <c r="P69" s="102"/>
    </row>
    <row r="70" spans="15:16">
      <c r="O70" s="65"/>
      <c r="P70" s="102"/>
    </row>
    <row r="71" spans="15:16">
      <c r="O71" s="65"/>
      <c r="P71" s="102"/>
    </row>
    <row r="72" spans="15:16">
      <c r="O72" s="65"/>
      <c r="P72" s="102"/>
    </row>
    <row r="73" spans="15:16">
      <c r="O73" s="65"/>
      <c r="P73" s="102"/>
    </row>
    <row r="74" spans="15:16">
      <c r="O74" s="65"/>
      <c r="P74" s="102"/>
    </row>
    <row r="75" spans="15:16">
      <c r="O75" s="65"/>
      <c r="P75" s="102"/>
    </row>
    <row r="76" spans="15:16">
      <c r="O76" s="65"/>
      <c r="P76" s="102"/>
    </row>
    <row r="77" spans="15:16">
      <c r="O77" s="65"/>
      <c r="P77" s="102"/>
    </row>
    <row r="78" spans="15:16">
      <c r="O78" s="65"/>
      <c r="P78" s="102"/>
    </row>
    <row r="79" spans="15:16">
      <c r="O79" s="65"/>
      <c r="P79" s="102"/>
    </row>
    <row r="80" spans="15:16">
      <c r="O80" s="65"/>
      <c r="P80" s="102"/>
    </row>
    <row r="81" spans="15:16">
      <c r="O81" s="65"/>
      <c r="P81" s="102"/>
    </row>
    <row r="82" spans="15:16">
      <c r="O82" s="65"/>
      <c r="P82" s="102"/>
    </row>
    <row r="83" spans="15:16">
      <c r="O83" s="65"/>
      <c r="P83" s="102"/>
    </row>
    <row r="84" spans="15:16">
      <c r="O84" s="65"/>
      <c r="P84" s="102"/>
    </row>
    <row r="85" spans="15:16">
      <c r="O85" s="65"/>
      <c r="P85" s="102"/>
    </row>
    <row r="86" spans="15:16">
      <c r="O86" s="65"/>
      <c r="P86" s="102"/>
    </row>
    <row r="87" spans="15:16">
      <c r="O87" s="65"/>
      <c r="P87" s="102"/>
    </row>
    <row r="88" spans="15:16">
      <c r="O88" s="65"/>
      <c r="P88" s="102"/>
    </row>
    <row r="89" spans="15:16">
      <c r="O89" s="65"/>
      <c r="P89" s="102"/>
    </row>
    <row r="90" spans="15:16">
      <c r="O90" s="65"/>
      <c r="P90" s="102"/>
    </row>
    <row r="91" spans="15:16">
      <c r="O91" s="65"/>
      <c r="P91" s="102"/>
    </row>
    <row r="92" spans="15:16">
      <c r="O92" s="65"/>
      <c r="P92" s="102"/>
    </row>
    <row r="93" spans="15:16">
      <c r="O93" s="65"/>
      <c r="P93" s="102"/>
    </row>
    <row r="94" spans="15:16">
      <c r="O94" s="65"/>
      <c r="P94" s="102"/>
    </row>
    <row r="95" spans="15:16">
      <c r="O95" s="65"/>
      <c r="P95" s="102"/>
    </row>
    <row r="96" spans="15:16">
      <c r="O96" s="65"/>
      <c r="P96" s="102"/>
    </row>
    <row r="97" spans="9:16">
      <c r="O97" s="65"/>
      <c r="P97" s="102"/>
    </row>
    <row r="98" spans="9:16">
      <c r="O98" s="65"/>
      <c r="P98" s="102"/>
    </row>
    <row r="99" spans="9:16">
      <c r="O99" s="65"/>
      <c r="P99" s="102"/>
    </row>
    <row r="100" spans="9:16">
      <c r="O100" s="65"/>
      <c r="P100" s="102"/>
    </row>
    <row r="101" spans="9:16">
      <c r="O101" s="65"/>
      <c r="P101" s="102"/>
    </row>
    <row r="102" spans="9:16">
      <c r="O102" s="65"/>
      <c r="P102" s="102"/>
    </row>
    <row r="103" spans="9:16">
      <c r="O103" s="65"/>
      <c r="P103" s="102"/>
    </row>
    <row r="104" spans="9:16">
      <c r="O104" s="65"/>
      <c r="P104" s="102"/>
    </row>
    <row r="105" spans="9:16">
      <c r="I105" s="69"/>
      <c r="O105" s="65"/>
      <c r="P105" s="102"/>
    </row>
    <row r="106" spans="9:16">
      <c r="O106" s="65"/>
      <c r="P106" s="102"/>
    </row>
    <row r="107" spans="9:16">
      <c r="O107" s="65"/>
      <c r="P107" s="102"/>
    </row>
    <row r="108" spans="9:16">
      <c r="O108" s="65"/>
      <c r="P108" s="102"/>
    </row>
    <row r="109" spans="9:16">
      <c r="O109" s="65"/>
      <c r="P109" s="102"/>
    </row>
    <row r="110" spans="9:16">
      <c r="O110" s="65"/>
      <c r="P110" s="102"/>
    </row>
    <row r="111" spans="9:16">
      <c r="O111" s="65"/>
      <c r="P111" s="102"/>
    </row>
    <row r="112" spans="9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31"/>
  <sheetViews>
    <sheetView tabSelected="1" workbookViewId="0">
      <pane ySplit="1" topLeftCell="A5" activePane="bottomLeft" state="frozen"/>
      <selection pane="bottomLeft" activeCell="L2" sqref="L2:L31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285</v>
      </c>
      <c r="B2" s="16" t="s">
        <v>286</v>
      </c>
      <c r="D2" s="14">
        <v>10</v>
      </c>
      <c r="E2" s="14">
        <v>9.8856591866570778</v>
      </c>
      <c r="F2" s="14">
        <v>9.8856591866570778</v>
      </c>
      <c r="G2" s="14">
        <v>1.8007029970192656E-14</v>
      </c>
      <c r="H2" s="14">
        <v>0</v>
      </c>
      <c r="I2" s="14">
        <v>0</v>
      </c>
      <c r="J2" s="14">
        <v>0</v>
      </c>
      <c r="K2" s="14">
        <v>1.0115663317118246</v>
      </c>
      <c r="L2" s="14">
        <v>0.98856591866570775</v>
      </c>
      <c r="M2" s="14">
        <v>0.81111833626521324</v>
      </c>
      <c r="N2" s="14">
        <v>0</v>
      </c>
      <c r="O2" s="14">
        <v>0</v>
      </c>
      <c r="P2" s="8">
        <v>0</v>
      </c>
      <c r="Q2" s="54">
        <v>0.17151122001303229</v>
      </c>
      <c r="S2" s="102"/>
    </row>
    <row r="3" spans="1:20">
      <c r="A3" s="2" t="s">
        <v>287</v>
      </c>
      <c r="B3" s="16" t="s">
        <v>288</v>
      </c>
      <c r="D3" s="14">
        <v>10</v>
      </c>
      <c r="E3" s="14">
        <v>8.8271212369310827</v>
      </c>
      <c r="F3" s="14">
        <v>8.827121236931081</v>
      </c>
      <c r="G3" s="14">
        <v>1.1238480055028274E-5</v>
      </c>
      <c r="H3" s="14">
        <v>0</v>
      </c>
      <c r="I3" s="14">
        <v>0</v>
      </c>
      <c r="J3" s="14">
        <v>0</v>
      </c>
      <c r="K3" s="14">
        <v>1.1328721710722411</v>
      </c>
      <c r="L3" s="14">
        <v>0.88271212369310814</v>
      </c>
      <c r="M3" s="14">
        <v>0.72426529749019519</v>
      </c>
      <c r="N3" s="14">
        <v>0</v>
      </c>
      <c r="O3" s="14">
        <v>0</v>
      </c>
      <c r="P3" s="8">
        <v>0</v>
      </c>
      <c r="Q3" s="54">
        <v>1.7584752585992496</v>
      </c>
      <c r="S3" s="109"/>
      <c r="T3" s="22"/>
    </row>
    <row r="4" spans="1:20">
      <c r="A4" s="2" t="s">
        <v>289</v>
      </c>
      <c r="B4" s="16" t="s">
        <v>290</v>
      </c>
      <c r="D4" s="14">
        <v>10</v>
      </c>
      <c r="E4" s="14">
        <v>4.9589656837282625</v>
      </c>
      <c r="F4" s="14">
        <v>4.9589656837282625</v>
      </c>
      <c r="G4" s="14">
        <v>2.1859468123537913E-4</v>
      </c>
      <c r="H4" s="14">
        <v>0</v>
      </c>
      <c r="I4" s="14">
        <v>0</v>
      </c>
      <c r="J4" s="14">
        <v>0</v>
      </c>
      <c r="K4" s="14">
        <v>2.0165495463726972</v>
      </c>
      <c r="L4" s="14">
        <v>0.4958965683728262</v>
      </c>
      <c r="M4" s="14">
        <v>0.40688313434990392</v>
      </c>
      <c r="N4" s="14">
        <v>0</v>
      </c>
      <c r="O4" s="14">
        <v>0</v>
      </c>
      <c r="P4" s="8">
        <v>0</v>
      </c>
      <c r="Q4" s="54">
        <v>7.5451568733149568</v>
      </c>
      <c r="S4" s="102"/>
    </row>
    <row r="5" spans="1:20">
      <c r="A5" s="2" t="s">
        <v>291</v>
      </c>
      <c r="B5" s="16" t="s">
        <v>292</v>
      </c>
      <c r="D5" s="14">
        <v>10</v>
      </c>
      <c r="E5" s="14">
        <v>9.9993111060694293</v>
      </c>
      <c r="F5" s="14">
        <v>9.9993111060694293</v>
      </c>
      <c r="G5" s="14">
        <v>1.3400558540026754E-18</v>
      </c>
      <c r="H5" s="14">
        <v>0</v>
      </c>
      <c r="I5" s="14">
        <v>0</v>
      </c>
      <c r="J5" s="14">
        <v>0</v>
      </c>
      <c r="K5" s="14">
        <v>1.0000688941391327</v>
      </c>
      <c r="L5" s="14">
        <v>0.99993111060694284</v>
      </c>
      <c r="M5" s="14">
        <v>0.82044347625299663</v>
      </c>
      <c r="N5" s="14">
        <v>0</v>
      </c>
      <c r="O5" s="14">
        <v>0</v>
      </c>
      <c r="P5" s="8">
        <v>0</v>
      </c>
      <c r="Q5" s="54">
        <v>1.0333408958565111E-3</v>
      </c>
      <c r="S5" s="102"/>
    </row>
    <row r="6" spans="1:20">
      <c r="A6" s="2" t="s">
        <v>278</v>
      </c>
      <c r="B6" s="16" t="s">
        <v>279</v>
      </c>
      <c r="D6" s="14">
        <v>10</v>
      </c>
      <c r="E6" s="14">
        <v>1.1685655566674151</v>
      </c>
      <c r="F6" s="14">
        <v>1.1685655566674154</v>
      </c>
      <c r="G6" s="14">
        <v>2.2446134920447571E-4</v>
      </c>
      <c r="H6" s="14">
        <v>0</v>
      </c>
      <c r="I6" s="14">
        <v>0</v>
      </c>
      <c r="J6" s="14">
        <v>0</v>
      </c>
      <c r="K6" s="14">
        <v>8.5575002129265165</v>
      </c>
      <c r="L6" s="14">
        <v>0.11685655566674152</v>
      </c>
      <c r="M6" s="14">
        <v>9.5880803924561414E-2</v>
      </c>
      <c r="N6" s="14">
        <v>0</v>
      </c>
      <c r="O6" s="14">
        <v>0</v>
      </c>
      <c r="P6" s="8">
        <v>0</v>
      </c>
      <c r="Q6" s="54">
        <v>13.230317063808544</v>
      </c>
      <c r="S6" s="102"/>
    </row>
    <row r="7" spans="1:20">
      <c r="A7" s="2" t="s">
        <v>293</v>
      </c>
      <c r="B7" s="16" t="s">
        <v>294</v>
      </c>
      <c r="D7" s="14">
        <v>10</v>
      </c>
      <c r="E7" s="14">
        <v>9.9999826477720291</v>
      </c>
      <c r="F7" s="14">
        <v>9.9999826477720291</v>
      </c>
      <c r="G7" s="14">
        <v>2.8197962852002332E-19</v>
      </c>
      <c r="H7" s="14">
        <v>0</v>
      </c>
      <c r="I7" s="14">
        <v>0</v>
      </c>
      <c r="J7" s="14">
        <v>0</v>
      </c>
      <c r="K7" s="14">
        <v>1.0000017352258082</v>
      </c>
      <c r="L7" s="14">
        <v>0.99999826477720288</v>
      </c>
      <c r="M7" s="14">
        <v>0.82049857624969491</v>
      </c>
      <c r="N7" s="14">
        <v>0</v>
      </c>
      <c r="O7" s="14">
        <v>0</v>
      </c>
      <c r="P7" s="8">
        <v>0</v>
      </c>
      <c r="Q7" s="54">
        <v>2.6028341956661442E-5</v>
      </c>
    </row>
    <row r="8" spans="1:20">
      <c r="A8" s="2" t="s">
        <v>295</v>
      </c>
      <c r="B8" s="16" t="s">
        <v>296</v>
      </c>
      <c r="D8" s="14">
        <v>10</v>
      </c>
      <c r="E8" s="14">
        <v>9.7303907430116627</v>
      </c>
      <c r="F8" s="14">
        <v>9.7303907430116627</v>
      </c>
      <c r="G8" s="14">
        <v>1.5659949829010119E-9</v>
      </c>
      <c r="H8" s="14">
        <v>0</v>
      </c>
      <c r="I8" s="14">
        <v>0</v>
      </c>
      <c r="J8" s="14">
        <v>0</v>
      </c>
      <c r="K8" s="14">
        <v>1.0277079578928494</v>
      </c>
      <c r="L8" s="14">
        <v>0.9730390743011661</v>
      </c>
      <c r="M8" s="14">
        <v>0.79837856046410682</v>
      </c>
      <c r="N8" s="14">
        <v>0</v>
      </c>
      <c r="O8" s="14">
        <v>0</v>
      </c>
      <c r="P8" s="8">
        <v>0</v>
      </c>
      <c r="Q8" s="54">
        <v>0.40441376803288259</v>
      </c>
    </row>
    <row r="9" spans="1:20">
      <c r="A9" s="2" t="s">
        <v>297</v>
      </c>
      <c r="B9" s="16" t="s">
        <v>298</v>
      </c>
      <c r="D9" s="14">
        <v>10</v>
      </c>
      <c r="E9" s="14">
        <v>4.2555057560489572E-2</v>
      </c>
      <c r="F9" s="14">
        <v>4.2555057560489572E-2</v>
      </c>
      <c r="G9" s="14">
        <v>4.3893445197905596E-8</v>
      </c>
      <c r="H9" s="14">
        <v>0</v>
      </c>
      <c r="I9" s="14">
        <v>0</v>
      </c>
      <c r="J9" s="14">
        <v>0</v>
      </c>
      <c r="K9" s="14">
        <v>234.9896950740949</v>
      </c>
      <c r="L9" s="14">
        <v>4.2555057560489567E-3</v>
      </c>
      <c r="M9" s="14">
        <v>3.4916424728381689E-3</v>
      </c>
      <c r="N9" s="14">
        <v>0</v>
      </c>
      <c r="O9" s="14">
        <v>0</v>
      </c>
      <c r="P9" s="8">
        <v>0</v>
      </c>
      <c r="Q9" s="54">
        <v>4.1920683309230231</v>
      </c>
    </row>
    <row r="10" spans="1:20">
      <c r="A10" s="2" t="s">
        <v>299</v>
      </c>
      <c r="B10" s="16" t="s">
        <v>300</v>
      </c>
      <c r="D10" s="14">
        <v>10</v>
      </c>
      <c r="E10" s="14">
        <v>8.3224470568638491</v>
      </c>
      <c r="F10" s="14">
        <v>8.3224470568638491</v>
      </c>
      <c r="G10" s="14">
        <v>6.1243433237507927E-6</v>
      </c>
      <c r="H10" s="14">
        <v>0</v>
      </c>
      <c r="I10" s="14">
        <v>0</v>
      </c>
      <c r="J10" s="14">
        <v>0</v>
      </c>
      <c r="K10" s="14">
        <v>1.2015696743606927</v>
      </c>
      <c r="L10" s="14">
        <v>0.83224470568638487</v>
      </c>
      <c r="M10" s="14">
        <v>0.68285678101567882</v>
      </c>
      <c r="N10" s="14">
        <v>0</v>
      </c>
      <c r="O10" s="14">
        <v>0</v>
      </c>
      <c r="P10" s="8">
        <v>0</v>
      </c>
      <c r="Q10" s="54">
        <v>2.5158700889549448</v>
      </c>
    </row>
    <row r="11" spans="1:20">
      <c r="A11" s="2" t="s">
        <v>301</v>
      </c>
      <c r="B11" s="16" t="s">
        <v>302</v>
      </c>
      <c r="D11" s="14">
        <v>10</v>
      </c>
      <c r="E11" s="14">
        <v>8.7442366233796509</v>
      </c>
      <c r="F11" s="14">
        <v>8.7442366233796509</v>
      </c>
      <c r="G11" s="14">
        <v>3.7754644824338218E-18</v>
      </c>
      <c r="H11" s="14">
        <v>0</v>
      </c>
      <c r="I11" s="14">
        <v>0</v>
      </c>
      <c r="J11" s="14">
        <v>0</v>
      </c>
      <c r="K11" s="14">
        <v>1.1436104065691439</v>
      </c>
      <c r="L11" s="14">
        <v>0.87442366233796498</v>
      </c>
      <c r="M11" s="14">
        <v>0.71746461494830027</v>
      </c>
      <c r="N11" s="14">
        <v>0</v>
      </c>
      <c r="O11" s="14">
        <v>0</v>
      </c>
      <c r="P11" s="8">
        <v>0</v>
      </c>
      <c r="Q11" s="54">
        <v>1.8836450649305272</v>
      </c>
    </row>
    <row r="12" spans="1:20">
      <c r="A12" s="2" t="s">
        <v>303</v>
      </c>
      <c r="B12" s="16" t="s">
        <v>304</v>
      </c>
      <c r="D12" s="14">
        <v>10</v>
      </c>
      <c r="E12" s="14">
        <v>9.4271930081726243</v>
      </c>
      <c r="F12" s="14">
        <v>9.4271930081726243</v>
      </c>
      <c r="G12" s="14">
        <v>5.0777449909147821E-30</v>
      </c>
      <c r="H12" s="14">
        <v>0</v>
      </c>
      <c r="I12" s="14">
        <v>0</v>
      </c>
      <c r="J12" s="14">
        <v>0</v>
      </c>
      <c r="K12" s="14">
        <v>1.0607611397508039</v>
      </c>
      <c r="L12" s="14">
        <v>0.9427193008172623</v>
      </c>
      <c r="M12" s="14">
        <v>0.77350118632056375</v>
      </c>
      <c r="N12" s="14">
        <v>0</v>
      </c>
      <c r="O12" s="14">
        <v>0</v>
      </c>
      <c r="P12" s="8">
        <v>0</v>
      </c>
      <c r="Q12" s="54">
        <v>0.85921048774106423</v>
      </c>
    </row>
    <row r="13" spans="1:20">
      <c r="A13" s="2" t="s">
        <v>305</v>
      </c>
      <c r="B13" s="16" t="s">
        <v>306</v>
      </c>
      <c r="D13" s="14">
        <v>10</v>
      </c>
      <c r="E13" s="14">
        <v>0.59402216627825544</v>
      </c>
      <c r="F13" s="14">
        <v>0.59402216627825544</v>
      </c>
      <c r="G13" s="14">
        <v>9.7856829079884513E-8</v>
      </c>
      <c r="H13" s="14">
        <v>0</v>
      </c>
      <c r="I13" s="14">
        <v>0</v>
      </c>
      <c r="J13" s="14">
        <v>0</v>
      </c>
      <c r="K13" s="14">
        <v>16.834388626696029</v>
      </c>
      <c r="L13" s="14">
        <v>5.9402216627825535E-2</v>
      </c>
      <c r="M13" s="14">
        <v>4.8739518743130851E-2</v>
      </c>
      <c r="N13" s="14">
        <v>0</v>
      </c>
      <c r="O13" s="14">
        <v>0</v>
      </c>
      <c r="P13" s="8">
        <v>0</v>
      </c>
      <c r="Q13" s="54">
        <v>13.772723287136385</v>
      </c>
    </row>
    <row r="14" spans="1:20">
      <c r="A14" s="2" t="s">
        <v>307</v>
      </c>
      <c r="B14" s="16" t="s">
        <v>308</v>
      </c>
      <c r="D14" s="14">
        <v>10</v>
      </c>
      <c r="E14" s="14">
        <v>1.394394971736747</v>
      </c>
      <c r="F14" s="14">
        <v>1.394394971736747</v>
      </c>
      <c r="G14" s="14">
        <v>3.8680697403264076E-10</v>
      </c>
      <c r="H14" s="14">
        <v>0</v>
      </c>
      <c r="I14" s="14">
        <v>0</v>
      </c>
      <c r="J14" s="14">
        <v>0</v>
      </c>
      <c r="K14" s="14">
        <v>7.1715691770924845</v>
      </c>
      <c r="L14" s="14">
        <v>0.13943949717367468</v>
      </c>
      <c r="M14" s="14">
        <v>0.11441010743100008</v>
      </c>
      <c r="N14" s="14">
        <v>0</v>
      </c>
      <c r="O14" s="14">
        <v>0</v>
      </c>
      <c r="P14" s="8">
        <v>0</v>
      </c>
      <c r="Q14" s="54">
        <v>1.6562388927845408</v>
      </c>
    </row>
    <row r="15" spans="1:20">
      <c r="A15" s="2" t="s">
        <v>309</v>
      </c>
      <c r="B15" s="16" t="s">
        <v>310</v>
      </c>
      <c r="D15" s="14">
        <v>10</v>
      </c>
      <c r="E15" s="14">
        <v>1.3048846679069521</v>
      </c>
      <c r="F15" s="14">
        <v>1.3048846679069521</v>
      </c>
      <c r="G15" s="14">
        <v>7.3006346610558328E-5</v>
      </c>
      <c r="H15" s="14">
        <v>0</v>
      </c>
      <c r="I15" s="14">
        <v>0</v>
      </c>
      <c r="J15" s="14">
        <v>0</v>
      </c>
      <c r="K15" s="14">
        <v>7.6635125279233298</v>
      </c>
      <c r="L15" s="14">
        <v>0.1304884667906952</v>
      </c>
      <c r="M15" s="14">
        <v>0.10706578700176542</v>
      </c>
      <c r="N15" s="14">
        <v>0</v>
      </c>
      <c r="O15" s="14">
        <v>0</v>
      </c>
      <c r="P15" s="8">
        <v>0</v>
      </c>
      <c r="Q15" s="54">
        <v>4.283406575869023</v>
      </c>
    </row>
    <row r="16" spans="1:20">
      <c r="A16" s="2" t="s">
        <v>311</v>
      </c>
      <c r="B16" s="16" t="s">
        <v>312</v>
      </c>
      <c r="D16" s="14">
        <v>10</v>
      </c>
      <c r="E16" s="14">
        <v>9.9994099348878525</v>
      </c>
      <c r="F16" s="14">
        <v>9.9994099348878525</v>
      </c>
      <c r="G16" s="14">
        <v>5.443341373489598E-20</v>
      </c>
      <c r="H16" s="14">
        <v>0</v>
      </c>
      <c r="I16" s="14">
        <v>0</v>
      </c>
      <c r="J16" s="14">
        <v>0</v>
      </c>
      <c r="K16" s="14">
        <v>1.0000590099931888</v>
      </c>
      <c r="L16" s="14">
        <v>0.99994099348878518</v>
      </c>
      <c r="M16" s="14">
        <v>0.82045158515754824</v>
      </c>
      <c r="N16" s="14">
        <v>0</v>
      </c>
      <c r="O16" s="14">
        <v>0</v>
      </c>
      <c r="P16" s="8">
        <v>0</v>
      </c>
      <c r="Q16" s="54">
        <v>8.8509766822328362E-4</v>
      </c>
    </row>
    <row r="17" spans="1:21">
      <c r="A17" s="2" t="s">
        <v>313</v>
      </c>
      <c r="B17" s="16" t="s">
        <v>314</v>
      </c>
      <c r="D17" s="14">
        <v>10</v>
      </c>
      <c r="E17" s="14">
        <v>9.7277008941854195</v>
      </c>
      <c r="F17" s="14">
        <v>9.7277008941854195</v>
      </c>
      <c r="G17" s="14">
        <v>1.0942414734125645E-19</v>
      </c>
      <c r="H17" s="14">
        <v>0</v>
      </c>
      <c r="I17" s="14">
        <v>0</v>
      </c>
      <c r="J17" s="14">
        <v>0</v>
      </c>
      <c r="K17" s="14">
        <v>1.0279921338841065</v>
      </c>
      <c r="L17" s="14">
        <v>0.97277008941854193</v>
      </c>
      <c r="M17" s="14">
        <v>0.79815785836791364</v>
      </c>
      <c r="N17" s="14">
        <v>0</v>
      </c>
      <c r="O17" s="14">
        <v>0</v>
      </c>
      <c r="P17" s="8">
        <v>0</v>
      </c>
      <c r="Q17" s="54">
        <v>0.40844865872187158</v>
      </c>
    </row>
    <row r="18" spans="1:21">
      <c r="A18" s="2" t="s">
        <v>315</v>
      </c>
      <c r="B18" s="166">
        <v>354656</v>
      </c>
      <c r="D18" s="14">
        <v>10</v>
      </c>
      <c r="E18" s="14">
        <v>9.8625842088420494</v>
      </c>
      <c r="F18" s="14">
        <v>9.8625842088420512</v>
      </c>
      <c r="G18" s="14">
        <v>4.154312974849506E-11</v>
      </c>
      <c r="H18" s="14">
        <v>0</v>
      </c>
      <c r="I18" s="14">
        <v>0</v>
      </c>
      <c r="J18" s="14">
        <v>0</v>
      </c>
      <c r="K18" s="14">
        <v>1.0139330411024277</v>
      </c>
      <c r="L18" s="14">
        <v>0.98625842088420501</v>
      </c>
      <c r="M18" s="14">
        <v>0.8092250343354902</v>
      </c>
      <c r="N18" s="14">
        <v>0</v>
      </c>
      <c r="O18" s="14">
        <v>0</v>
      </c>
      <c r="P18" s="8">
        <v>0</v>
      </c>
      <c r="Q18" s="54">
        <v>0.20612368362119146</v>
      </c>
    </row>
    <row r="19" spans="1:21">
      <c r="A19" s="2" t="s">
        <v>317</v>
      </c>
      <c r="B19" s="16" t="s">
        <v>318</v>
      </c>
      <c r="D19" s="14">
        <v>10</v>
      </c>
      <c r="E19" s="14">
        <v>9.7172450290965422</v>
      </c>
      <c r="F19" s="14">
        <v>9.7172450290965404</v>
      </c>
      <c r="G19" s="14">
        <v>6.290241975855328E-11</v>
      </c>
      <c r="H19" s="14">
        <v>0</v>
      </c>
      <c r="I19" s="14">
        <v>0</v>
      </c>
      <c r="J19" s="14">
        <v>0</v>
      </c>
      <c r="K19" s="14">
        <v>1.0290982649976204</v>
      </c>
      <c r="L19" s="14">
        <v>0.97172450290965406</v>
      </c>
      <c r="M19" s="14">
        <v>0.79729995463737113</v>
      </c>
      <c r="N19" s="14">
        <v>0</v>
      </c>
      <c r="O19" s="14">
        <v>0</v>
      </c>
      <c r="P19" s="8">
        <v>0</v>
      </c>
      <c r="Q19" s="54">
        <v>0.42413245163750951</v>
      </c>
    </row>
    <row r="20" spans="1:21">
      <c r="A20" s="2" t="s">
        <v>284</v>
      </c>
      <c r="B20" s="16" t="s">
        <v>276</v>
      </c>
      <c r="D20" s="14">
        <v>10</v>
      </c>
      <c r="E20" s="14">
        <v>9.8471798409793188</v>
      </c>
      <c r="F20" s="14">
        <v>9.8471798409793205</v>
      </c>
      <c r="G20" s="14">
        <v>1.6409637356465042E-7</v>
      </c>
      <c r="H20" s="14">
        <v>0</v>
      </c>
      <c r="I20" s="14">
        <v>0</v>
      </c>
      <c r="J20" s="14">
        <v>0</v>
      </c>
      <c r="K20" s="14">
        <v>1.0155191802616133</v>
      </c>
      <c r="L20" s="14">
        <v>0.98471798409793188</v>
      </c>
      <c r="M20" s="14">
        <v>0.80796110595235315</v>
      </c>
      <c r="N20" s="14">
        <v>0</v>
      </c>
      <c r="O20" s="14">
        <v>0</v>
      </c>
      <c r="P20" s="8">
        <v>0</v>
      </c>
      <c r="Q20" s="54">
        <v>0.22921793130300275</v>
      </c>
    </row>
    <row r="21" spans="1:21">
      <c r="A21" s="2" t="s">
        <v>319</v>
      </c>
      <c r="B21" s="16" t="s">
        <v>320</v>
      </c>
      <c r="D21" s="14">
        <v>10</v>
      </c>
      <c r="E21" s="14">
        <v>2.5365524276253657</v>
      </c>
      <c r="F21" s="14">
        <v>2.5365524276253657</v>
      </c>
      <c r="G21" s="14">
        <v>6.1685103342926038E-20</v>
      </c>
      <c r="H21" s="14">
        <v>0</v>
      </c>
      <c r="I21" s="14">
        <v>0</v>
      </c>
      <c r="J21" s="14">
        <v>0</v>
      </c>
      <c r="K21" s="14">
        <v>3.9423588848749569</v>
      </c>
      <c r="L21" s="14">
        <v>0.25365524276253654</v>
      </c>
      <c r="M21" s="14">
        <v>0.20812412668666122</v>
      </c>
      <c r="N21" s="14">
        <v>0</v>
      </c>
      <c r="O21" s="14">
        <v>0</v>
      </c>
      <c r="P21" s="8">
        <v>0</v>
      </c>
      <c r="Q21" s="54">
        <v>11.195171358561952</v>
      </c>
      <c r="T21" s="22"/>
    </row>
    <row r="22" spans="1:21">
      <c r="A22" s="2" t="s">
        <v>321</v>
      </c>
      <c r="B22" s="16" t="s">
        <v>322</v>
      </c>
      <c r="D22" s="14">
        <v>10</v>
      </c>
      <c r="E22" s="14">
        <v>9.9997507974381001</v>
      </c>
      <c r="F22" s="14">
        <v>9.9997507974381001</v>
      </c>
      <c r="G22" s="14">
        <v>1.2183331479377849E-10</v>
      </c>
      <c r="H22" s="14">
        <v>0</v>
      </c>
      <c r="I22" s="14">
        <v>0</v>
      </c>
      <c r="J22" s="14">
        <v>0</v>
      </c>
      <c r="K22" s="14">
        <v>1.0000249208772247</v>
      </c>
      <c r="L22" s="14">
        <v>0.99997507974380984</v>
      </c>
      <c r="M22" s="14">
        <v>0.82047955292979602</v>
      </c>
      <c r="N22" s="14">
        <v>0</v>
      </c>
      <c r="O22" s="14">
        <v>0</v>
      </c>
      <c r="P22" s="8">
        <v>0</v>
      </c>
      <c r="Q22" s="54">
        <v>3.7379470535363118E-4</v>
      </c>
      <c r="T22" s="22"/>
      <c r="U22" s="22"/>
    </row>
    <row r="23" spans="1:21">
      <c r="A23" s="2" t="s">
        <v>323</v>
      </c>
      <c r="B23" s="16" t="s">
        <v>324</v>
      </c>
      <c r="D23" s="14">
        <v>10</v>
      </c>
      <c r="E23" s="14">
        <v>9.9120554916715555</v>
      </c>
      <c r="F23" s="14">
        <v>9.9120554916715555</v>
      </c>
      <c r="G23" s="14">
        <v>3.348405039612124E-13</v>
      </c>
      <c r="H23" s="14">
        <v>0</v>
      </c>
      <c r="I23" s="14">
        <v>0</v>
      </c>
      <c r="J23" s="14">
        <v>0</v>
      </c>
      <c r="K23" s="14">
        <v>1.0088724794168413</v>
      </c>
      <c r="L23" s="14">
        <v>0.99120554916715542</v>
      </c>
      <c r="M23" s="14">
        <v>0.81328415309165103</v>
      </c>
      <c r="N23" s="14">
        <v>0</v>
      </c>
      <c r="O23" s="14">
        <v>0</v>
      </c>
      <c r="P23" s="8">
        <v>0</v>
      </c>
      <c r="Q23" s="54">
        <v>0.13191676246755574</v>
      </c>
      <c r="T23" s="22"/>
      <c r="U23" s="22"/>
    </row>
    <row r="24" spans="1:21">
      <c r="A24" s="2" t="s">
        <v>325</v>
      </c>
      <c r="B24" s="16" t="s">
        <v>326</v>
      </c>
      <c r="D24" s="14">
        <v>10</v>
      </c>
      <c r="E24" s="14">
        <v>9.9718490807617268</v>
      </c>
      <c r="F24" s="14">
        <v>9.9718490807617268</v>
      </c>
      <c r="G24" s="14">
        <v>2.3215727296366148E-12</v>
      </c>
      <c r="H24" s="14">
        <v>0</v>
      </c>
      <c r="I24" s="14">
        <v>0</v>
      </c>
      <c r="J24" s="14">
        <v>0</v>
      </c>
      <c r="K24" s="14">
        <v>1.0028230390382245</v>
      </c>
      <c r="L24" s="14">
        <v>0.99718490807617266</v>
      </c>
      <c r="M24" s="14">
        <v>0.81819021707649964</v>
      </c>
      <c r="N24" s="14">
        <v>0</v>
      </c>
      <c r="O24" s="14">
        <v>0</v>
      </c>
      <c r="P24" s="8">
        <v>0</v>
      </c>
      <c r="Q24" s="54">
        <v>4.2226378683290121E-2</v>
      </c>
      <c r="T24" s="22"/>
      <c r="U24" s="22"/>
    </row>
    <row r="25" spans="1:21">
      <c r="A25" s="2" t="s">
        <v>327</v>
      </c>
      <c r="B25" s="16" t="s">
        <v>328</v>
      </c>
      <c r="D25" s="14">
        <v>10</v>
      </c>
      <c r="E25" s="14">
        <v>9.9999748080833424</v>
      </c>
      <c r="F25" s="14">
        <v>9.9999748080833424</v>
      </c>
      <c r="G25" s="14">
        <v>4.1115066130066547E-31</v>
      </c>
      <c r="H25" s="14">
        <v>0</v>
      </c>
      <c r="I25" s="14">
        <v>0</v>
      </c>
      <c r="J25" s="14">
        <v>0</v>
      </c>
      <c r="K25" s="14">
        <v>1.0000025191980122</v>
      </c>
      <c r="L25" s="14">
        <v>0.99999748080833417</v>
      </c>
      <c r="M25" s="14">
        <v>0.82049793300323826</v>
      </c>
      <c r="N25" s="14">
        <v>0</v>
      </c>
      <c r="O25" s="14">
        <v>0</v>
      </c>
      <c r="P25" s="8">
        <v>0</v>
      </c>
      <c r="Q25" s="54">
        <v>3.7787874986761644E-5</v>
      </c>
      <c r="T25" s="22"/>
      <c r="U25" s="22"/>
    </row>
    <row r="26" spans="1:21">
      <c r="A26" s="2" t="s">
        <v>329</v>
      </c>
      <c r="B26" s="16" t="s">
        <v>330</v>
      </c>
      <c r="D26" s="14">
        <v>10</v>
      </c>
      <c r="E26" s="14">
        <v>9.9634987462247349</v>
      </c>
      <c r="F26" s="14">
        <v>9.9634987462247349</v>
      </c>
      <c r="G26" s="14">
        <v>2.6107804873590255E-14</v>
      </c>
      <c r="H26" s="14">
        <v>0</v>
      </c>
      <c r="I26" s="14">
        <v>0</v>
      </c>
      <c r="J26" s="14">
        <v>0</v>
      </c>
      <c r="K26" s="14">
        <v>1.003663497603098</v>
      </c>
      <c r="L26" s="14">
        <v>0.99634987462247349</v>
      </c>
      <c r="M26" s="14">
        <v>0.81750507212773948</v>
      </c>
      <c r="N26" s="14">
        <v>0</v>
      </c>
      <c r="O26" s="14">
        <v>0</v>
      </c>
      <c r="P26" s="8">
        <v>0</v>
      </c>
      <c r="Q26" s="54">
        <v>5.4751880660939604E-2</v>
      </c>
    </row>
    <row r="27" spans="1:21">
      <c r="A27" s="2" t="s">
        <v>331</v>
      </c>
      <c r="B27" s="16" t="s">
        <v>332</v>
      </c>
      <c r="D27" s="14">
        <v>10</v>
      </c>
      <c r="E27" s="14">
        <v>9.7902888834340693</v>
      </c>
      <c r="F27" s="14">
        <v>9.7902888834340693</v>
      </c>
      <c r="G27" s="14">
        <v>3.2906674432961629E-10</v>
      </c>
      <c r="H27" s="14">
        <v>0</v>
      </c>
      <c r="I27" s="14">
        <v>0</v>
      </c>
      <c r="J27" s="14">
        <v>0</v>
      </c>
      <c r="K27" s="14">
        <v>1.021420319570016</v>
      </c>
      <c r="L27" s="14">
        <v>0.97902888834340673</v>
      </c>
      <c r="M27" s="14">
        <v>0.80329320288576522</v>
      </c>
      <c r="N27" s="14">
        <v>0</v>
      </c>
      <c r="O27" s="14">
        <v>0</v>
      </c>
      <c r="P27" s="8">
        <v>0</v>
      </c>
      <c r="Q27" s="54">
        <v>0.31456665016889218</v>
      </c>
    </row>
    <row r="28" spans="1:21">
      <c r="A28" s="2" t="s">
        <v>333</v>
      </c>
      <c r="B28" s="16" t="s">
        <v>334</v>
      </c>
      <c r="D28" s="14">
        <v>10</v>
      </c>
      <c r="E28" s="14">
        <v>9.9811166912943907</v>
      </c>
      <c r="F28" s="14">
        <v>9.9811166912943925</v>
      </c>
      <c r="G28" s="14">
        <v>2.55704571489947E-17</v>
      </c>
      <c r="H28" s="14">
        <v>0</v>
      </c>
      <c r="I28" s="14">
        <v>0</v>
      </c>
      <c r="J28" s="14">
        <v>0</v>
      </c>
      <c r="K28" s="14">
        <v>1.0018919034101743</v>
      </c>
      <c r="L28" s="14">
        <v>0.99811166912943916</v>
      </c>
      <c r="M28" s="14">
        <v>0.81895062452070477</v>
      </c>
      <c r="N28" s="14">
        <v>0</v>
      </c>
      <c r="O28" s="14">
        <v>0</v>
      </c>
      <c r="P28" s="8">
        <v>0</v>
      </c>
      <c r="Q28" s="54">
        <v>2.832496305841075E-2</v>
      </c>
    </row>
    <row r="29" spans="1:21">
      <c r="A29" s="2" t="s">
        <v>335</v>
      </c>
      <c r="B29" s="16" t="s">
        <v>336</v>
      </c>
      <c r="D29" s="14">
        <v>10</v>
      </c>
      <c r="E29" s="14">
        <v>9.9996880387366165</v>
      </c>
      <c r="F29" s="14">
        <v>9.9996880387366165</v>
      </c>
      <c r="G29" s="14">
        <v>1.3565644859367406E-13</v>
      </c>
      <c r="H29" s="14">
        <v>0</v>
      </c>
      <c r="I29" s="14">
        <v>0</v>
      </c>
      <c r="J29" s="14">
        <v>0</v>
      </c>
      <c r="K29" s="14">
        <v>1.000031197099567</v>
      </c>
      <c r="L29" s="14">
        <v>0.9999688038736616</v>
      </c>
      <c r="M29" s="14">
        <v>0.82047440357833934</v>
      </c>
      <c r="N29" s="14">
        <v>0</v>
      </c>
      <c r="O29" s="14">
        <v>0</v>
      </c>
      <c r="P29" s="8">
        <v>0</v>
      </c>
      <c r="Q29" s="54">
        <v>4.679418849016759E-4</v>
      </c>
    </row>
    <row r="30" spans="1:21">
      <c r="A30" s="2" t="s">
        <v>337</v>
      </c>
      <c r="B30" s="16" t="s">
        <v>338</v>
      </c>
      <c r="D30" s="14">
        <v>10</v>
      </c>
      <c r="E30" s="14">
        <v>9.3962575734453662</v>
      </c>
      <c r="F30" s="14">
        <v>9.3962575734453662</v>
      </c>
      <c r="G30" s="14">
        <v>2.6105635667808225E-17</v>
      </c>
      <c r="H30" s="14">
        <v>0</v>
      </c>
      <c r="I30" s="14">
        <v>0</v>
      </c>
      <c r="J30" s="14">
        <v>0</v>
      </c>
      <c r="K30" s="14">
        <v>1.0642534989952661</v>
      </c>
      <c r="L30" s="14">
        <v>0.93962575734453657</v>
      </c>
      <c r="M30" s="14">
        <v>0.7709629339011923</v>
      </c>
      <c r="N30" s="14">
        <v>0</v>
      </c>
      <c r="O30" s="14">
        <v>0</v>
      </c>
      <c r="P30" s="8">
        <v>0</v>
      </c>
      <c r="Q30" s="54">
        <v>0.90561363983194876</v>
      </c>
    </row>
    <row r="31" spans="1:21">
      <c r="A31" s="2" t="s">
        <v>275</v>
      </c>
      <c r="B31" s="16" t="s">
        <v>339</v>
      </c>
      <c r="D31" s="14">
        <v>10</v>
      </c>
      <c r="E31" s="14">
        <v>7.7044467560919303</v>
      </c>
      <c r="F31" s="14">
        <v>7.7044467560919303</v>
      </c>
      <c r="G31" s="14">
        <v>5.3131239277219888E-11</v>
      </c>
      <c r="H31" s="14">
        <v>0</v>
      </c>
      <c r="I31" s="14">
        <v>0</v>
      </c>
      <c r="J31" s="14">
        <v>0</v>
      </c>
      <c r="K31" s="14">
        <v>1.297951730550019</v>
      </c>
      <c r="L31" s="14">
        <v>0.77044467560919294</v>
      </c>
      <c r="M31" s="14">
        <v>0.63214985633734289</v>
      </c>
      <c r="N31" s="14">
        <v>0</v>
      </c>
      <c r="O31" s="14">
        <v>0</v>
      </c>
      <c r="P31" s="8">
        <v>0</v>
      </c>
      <c r="Q31" s="54">
        <v>3.4433298618772614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31"/>
  <sheetViews>
    <sheetView workbookViewId="0">
      <pane ySplit="1" topLeftCell="A2" activePane="bottomLeft" state="frozen"/>
      <selection pane="bottomLeft" activeCell="L31" sqref="L31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285</v>
      </c>
      <c r="B2" s="3" t="s">
        <v>286</v>
      </c>
      <c r="D2" s="20">
        <v>9.0035149850963276E-14</v>
      </c>
      <c r="E2" s="20">
        <v>0.98856591866570764</v>
      </c>
      <c r="F2" s="20">
        <v>0</v>
      </c>
      <c r="G2" s="20">
        <v>0</v>
      </c>
      <c r="H2" s="20">
        <v>0</v>
      </c>
      <c r="I2" s="20">
        <v>0.98856591866570764</v>
      </c>
      <c r="J2" s="20">
        <v>0</v>
      </c>
      <c r="K2" s="20">
        <v>1.1434081334202153E-2</v>
      </c>
      <c r="L2" s="20">
        <v>0</v>
      </c>
      <c r="N2" s="102"/>
    </row>
    <row r="3" spans="1:14">
      <c r="A3" s="2" t="s">
        <v>287</v>
      </c>
      <c r="B3" s="3" t="s">
        <v>288</v>
      </c>
      <c r="D3" s="20">
        <v>5.6192400275141361E-5</v>
      </c>
      <c r="E3" s="20">
        <v>0.88271212369310814</v>
      </c>
      <c r="F3" s="20">
        <v>0</v>
      </c>
      <c r="G3" s="20">
        <v>0</v>
      </c>
      <c r="H3" s="20">
        <v>0</v>
      </c>
      <c r="I3" s="20">
        <v>0.88271212369310814</v>
      </c>
      <c r="J3" s="20">
        <v>0</v>
      </c>
      <c r="K3" s="20">
        <v>0.11723168390661663</v>
      </c>
      <c r="L3" s="20">
        <v>0</v>
      </c>
      <c r="N3" s="102"/>
    </row>
    <row r="4" spans="1:14">
      <c r="A4" s="2" t="s">
        <v>289</v>
      </c>
      <c r="B4" s="3" t="s">
        <v>290</v>
      </c>
      <c r="D4" s="20">
        <v>1.0929734061768956E-3</v>
      </c>
      <c r="E4" s="20">
        <v>0.4958965683728262</v>
      </c>
      <c r="F4" s="20">
        <v>0</v>
      </c>
      <c r="G4" s="20">
        <v>0</v>
      </c>
      <c r="H4" s="20">
        <v>0</v>
      </c>
      <c r="I4" s="20">
        <v>0.4958965683728262</v>
      </c>
      <c r="J4" s="20">
        <v>0</v>
      </c>
      <c r="K4" s="20">
        <v>0.5030104582209971</v>
      </c>
      <c r="L4" s="20">
        <v>0</v>
      </c>
      <c r="N4" s="102"/>
    </row>
    <row r="5" spans="1:14">
      <c r="A5" s="2" t="s">
        <v>291</v>
      </c>
      <c r="B5" s="3" t="s">
        <v>292</v>
      </c>
      <c r="D5" s="20">
        <v>6.7002792700133767E-18</v>
      </c>
      <c r="E5" s="20">
        <v>0.99993111060694284</v>
      </c>
      <c r="F5" s="20">
        <v>0</v>
      </c>
      <c r="G5" s="20">
        <v>0</v>
      </c>
      <c r="H5" s="20">
        <v>0</v>
      </c>
      <c r="I5" s="20">
        <v>0.99993111060694284</v>
      </c>
      <c r="J5" s="20">
        <v>0</v>
      </c>
      <c r="K5" s="20">
        <v>6.888939305710074E-5</v>
      </c>
      <c r="L5" s="20">
        <v>0</v>
      </c>
      <c r="N5" s="102"/>
    </row>
    <row r="6" spans="1:14">
      <c r="A6" s="2" t="s">
        <v>278</v>
      </c>
      <c r="B6" s="3" t="s">
        <v>279</v>
      </c>
      <c r="D6" s="20">
        <v>1.1223067460223784E-3</v>
      </c>
      <c r="E6" s="20">
        <v>0.11685655566674151</v>
      </c>
      <c r="F6" s="20">
        <v>0</v>
      </c>
      <c r="G6" s="20">
        <v>0</v>
      </c>
      <c r="H6" s="20">
        <v>0</v>
      </c>
      <c r="I6" s="20">
        <v>0.11685655566674151</v>
      </c>
      <c r="J6" s="20">
        <v>0</v>
      </c>
      <c r="K6" s="20">
        <v>0.8820211375872361</v>
      </c>
      <c r="L6" s="20">
        <v>0</v>
      </c>
    </row>
    <row r="7" spans="1:14">
      <c r="A7" s="2" t="s">
        <v>293</v>
      </c>
      <c r="B7" s="3" t="s">
        <v>294</v>
      </c>
      <c r="D7" s="20">
        <v>1.4098981426001166E-18</v>
      </c>
      <c r="E7" s="20">
        <v>0.99999826477720277</v>
      </c>
      <c r="F7" s="20">
        <v>0</v>
      </c>
      <c r="G7" s="20">
        <v>0</v>
      </c>
      <c r="H7" s="20">
        <v>0</v>
      </c>
      <c r="I7" s="20">
        <v>0.99999826477720277</v>
      </c>
      <c r="J7" s="20">
        <v>0</v>
      </c>
      <c r="K7" s="20">
        <v>1.7352227971107626E-6</v>
      </c>
      <c r="L7" s="20">
        <v>0</v>
      </c>
    </row>
    <row r="8" spans="1:14">
      <c r="A8" s="2" t="s">
        <v>295</v>
      </c>
      <c r="B8" s="3" t="s">
        <v>296</v>
      </c>
      <c r="D8" s="20">
        <v>7.8299749145050586E-9</v>
      </c>
      <c r="E8" s="20">
        <v>0.9730390743011661</v>
      </c>
      <c r="F8" s="20">
        <v>0</v>
      </c>
      <c r="G8" s="20">
        <v>0</v>
      </c>
      <c r="H8" s="20">
        <v>0</v>
      </c>
      <c r="I8" s="20">
        <v>0.9730390743011661</v>
      </c>
      <c r="J8" s="20">
        <v>0</v>
      </c>
      <c r="K8" s="20">
        <v>2.6960917868858836E-2</v>
      </c>
      <c r="L8" s="20">
        <v>0</v>
      </c>
    </row>
    <row r="9" spans="1:14">
      <c r="A9" s="2" t="s">
        <v>297</v>
      </c>
      <c r="B9" s="3" t="s">
        <v>298</v>
      </c>
      <c r="D9" s="20">
        <v>2.1946722598952796E-7</v>
      </c>
      <c r="E9" s="20">
        <v>4.2555057560489567E-3</v>
      </c>
      <c r="F9" s="20">
        <v>0</v>
      </c>
      <c r="G9" s="20">
        <v>0</v>
      </c>
      <c r="H9" s="20">
        <v>0</v>
      </c>
      <c r="I9" s="20">
        <v>4.2555057560489567E-3</v>
      </c>
      <c r="J9" s="20">
        <v>0</v>
      </c>
      <c r="K9" s="20">
        <v>0.27947122206153485</v>
      </c>
      <c r="L9" s="20">
        <v>0.71627305271519026</v>
      </c>
    </row>
    <row r="10" spans="1:14">
      <c r="A10" s="2" t="s">
        <v>299</v>
      </c>
      <c r="B10" s="3" t="s">
        <v>300</v>
      </c>
      <c r="D10" s="20">
        <v>3.0621716618753965E-5</v>
      </c>
      <c r="E10" s="20">
        <v>0.83224470568638487</v>
      </c>
      <c r="F10" s="20">
        <v>0</v>
      </c>
      <c r="G10" s="20">
        <v>0</v>
      </c>
      <c r="H10" s="20">
        <v>0</v>
      </c>
      <c r="I10" s="20">
        <v>0.83224470568638487</v>
      </c>
      <c r="J10" s="20">
        <v>0</v>
      </c>
      <c r="K10" s="20">
        <v>0.1677246725969963</v>
      </c>
      <c r="L10" s="20">
        <v>0</v>
      </c>
    </row>
    <row r="11" spans="1:14">
      <c r="A11" s="2" t="s">
        <v>301</v>
      </c>
      <c r="B11" s="3" t="s">
        <v>302</v>
      </c>
      <c r="D11" s="20">
        <v>1.8877322412169108E-17</v>
      </c>
      <c r="E11" s="20">
        <v>0.87442366233796509</v>
      </c>
      <c r="F11" s="20">
        <v>0</v>
      </c>
      <c r="G11" s="20">
        <v>0</v>
      </c>
      <c r="H11" s="20">
        <v>0</v>
      </c>
      <c r="I11" s="20">
        <v>0.87442366233796509</v>
      </c>
      <c r="J11" s="20">
        <v>0</v>
      </c>
      <c r="K11" s="20">
        <v>0.12557633766203513</v>
      </c>
      <c r="L11" s="20">
        <v>0</v>
      </c>
    </row>
    <row r="12" spans="1:14">
      <c r="A12" s="2" t="s">
        <v>303</v>
      </c>
      <c r="B12" s="3" t="s">
        <v>304</v>
      </c>
      <c r="D12" s="20">
        <v>2.5388724954573911E-29</v>
      </c>
      <c r="E12" s="20">
        <v>0.9427193008172623</v>
      </c>
      <c r="F12" s="20">
        <v>0</v>
      </c>
      <c r="G12" s="20">
        <v>0</v>
      </c>
      <c r="H12" s="20">
        <v>0</v>
      </c>
      <c r="I12" s="20">
        <v>0.9427193008172623</v>
      </c>
      <c r="J12" s="20">
        <v>0</v>
      </c>
      <c r="K12" s="20">
        <v>5.7280699182737607E-2</v>
      </c>
      <c r="L12" s="20">
        <v>0</v>
      </c>
    </row>
    <row r="13" spans="1:14">
      <c r="A13" s="2" t="s">
        <v>305</v>
      </c>
      <c r="B13" s="3" t="s">
        <v>306</v>
      </c>
      <c r="D13" s="20">
        <v>4.8928414539942262E-7</v>
      </c>
      <c r="E13" s="20">
        <v>5.9402216627825535E-2</v>
      </c>
      <c r="F13" s="20">
        <v>0</v>
      </c>
      <c r="G13" s="20">
        <v>0</v>
      </c>
      <c r="H13" s="20">
        <v>0</v>
      </c>
      <c r="I13" s="20">
        <v>5.9402216627825535E-2</v>
      </c>
      <c r="J13" s="20">
        <v>0</v>
      </c>
      <c r="K13" s="20">
        <v>0.91818155247575894</v>
      </c>
      <c r="L13" s="20">
        <v>0</v>
      </c>
    </row>
    <row r="14" spans="1:14">
      <c r="A14" s="2" t="s">
        <v>307</v>
      </c>
      <c r="B14" s="3" t="s">
        <v>308</v>
      </c>
      <c r="D14" s="20">
        <v>1.9340348701632037E-9</v>
      </c>
      <c r="E14" s="20">
        <v>0.13943949717367468</v>
      </c>
      <c r="F14" s="20">
        <v>0</v>
      </c>
      <c r="G14" s="20">
        <v>0</v>
      </c>
      <c r="H14" s="20">
        <v>0</v>
      </c>
      <c r="I14" s="20">
        <v>0.13943949717367468</v>
      </c>
      <c r="J14" s="20">
        <v>0</v>
      </c>
      <c r="K14" s="20">
        <v>0.11041592618563605</v>
      </c>
      <c r="L14" s="20">
        <v>0.7501445747066543</v>
      </c>
    </row>
    <row r="15" spans="1:14">
      <c r="A15" s="2" t="s">
        <v>309</v>
      </c>
      <c r="B15" s="3" t="s">
        <v>310</v>
      </c>
      <c r="D15" s="20">
        <v>3.6503173305279163E-4</v>
      </c>
      <c r="E15" s="20">
        <v>0.1304884667906952</v>
      </c>
      <c r="F15" s="20">
        <v>0</v>
      </c>
      <c r="G15" s="20">
        <v>0</v>
      </c>
      <c r="H15" s="20">
        <v>0</v>
      </c>
      <c r="I15" s="20">
        <v>0.1304884667906952</v>
      </c>
      <c r="J15" s="20">
        <v>0</v>
      </c>
      <c r="K15" s="20">
        <v>0.28556043839126821</v>
      </c>
      <c r="L15" s="20">
        <v>0.58358606308498384</v>
      </c>
    </row>
    <row r="16" spans="1:14">
      <c r="A16" s="2" t="s">
        <v>311</v>
      </c>
      <c r="B16" s="3" t="s">
        <v>312</v>
      </c>
      <c r="D16" s="20">
        <v>2.7216706867447987E-19</v>
      </c>
      <c r="E16" s="20">
        <v>0.99994099348878518</v>
      </c>
      <c r="F16" s="20">
        <v>0</v>
      </c>
      <c r="G16" s="20">
        <v>0</v>
      </c>
      <c r="H16" s="20">
        <v>0</v>
      </c>
      <c r="I16" s="20">
        <v>0.99994099348878518</v>
      </c>
      <c r="J16" s="20">
        <v>0</v>
      </c>
      <c r="K16" s="20">
        <v>5.9006511214885572E-5</v>
      </c>
      <c r="L16" s="20">
        <v>0</v>
      </c>
    </row>
    <row r="17" spans="1:12">
      <c r="A17" s="2" t="s">
        <v>313</v>
      </c>
      <c r="B17" s="3" t="s">
        <v>314</v>
      </c>
      <c r="D17" s="20">
        <v>5.4712073670628237E-19</v>
      </c>
      <c r="E17" s="20">
        <v>0.97277008941854182</v>
      </c>
      <c r="F17" s="20">
        <v>0</v>
      </c>
      <c r="G17" s="20">
        <v>0</v>
      </c>
      <c r="H17" s="20">
        <v>0</v>
      </c>
      <c r="I17" s="20">
        <v>0.97277008941854182</v>
      </c>
      <c r="J17" s="20">
        <v>0</v>
      </c>
      <c r="K17" s="20">
        <v>2.7229910581458103E-2</v>
      </c>
      <c r="L17" s="20">
        <v>0</v>
      </c>
    </row>
    <row r="18" spans="1:12">
      <c r="A18" s="2" t="s">
        <v>315</v>
      </c>
      <c r="B18" s="165">
        <v>354656</v>
      </c>
      <c r="D18" s="20">
        <v>2.0771564874247528E-10</v>
      </c>
      <c r="E18" s="20">
        <v>0.9862584208842049</v>
      </c>
      <c r="F18" s="20">
        <v>0</v>
      </c>
      <c r="G18" s="20">
        <v>0</v>
      </c>
      <c r="H18" s="20">
        <v>0</v>
      </c>
      <c r="I18" s="20">
        <v>0.9862584208842049</v>
      </c>
      <c r="J18" s="20">
        <v>0</v>
      </c>
      <c r="K18" s="20">
        <v>1.3741578908079428E-2</v>
      </c>
      <c r="L18" s="20">
        <v>0</v>
      </c>
    </row>
    <row r="19" spans="1:12">
      <c r="A19" s="2" t="s">
        <v>317</v>
      </c>
      <c r="B19" s="3" t="s">
        <v>318</v>
      </c>
      <c r="D19" s="20">
        <v>3.1451209879276643E-10</v>
      </c>
      <c r="E19" s="20">
        <v>0.97172450290965406</v>
      </c>
      <c r="F19" s="20">
        <v>0</v>
      </c>
      <c r="G19" s="20">
        <v>0</v>
      </c>
      <c r="H19" s="20">
        <v>0</v>
      </c>
      <c r="I19" s="20">
        <v>0.97172450290965406</v>
      </c>
      <c r="J19" s="20">
        <v>0</v>
      </c>
      <c r="K19" s="20">
        <v>2.8275496775833964E-2</v>
      </c>
      <c r="L19" s="20">
        <v>0</v>
      </c>
    </row>
    <row r="20" spans="1:12">
      <c r="A20" s="2" t="s">
        <v>284</v>
      </c>
      <c r="B20" s="3" t="s">
        <v>276</v>
      </c>
      <c r="D20" s="20">
        <v>8.2048186782325217E-7</v>
      </c>
      <c r="E20" s="20">
        <v>0.98471798409793188</v>
      </c>
      <c r="F20" s="20">
        <v>0</v>
      </c>
      <c r="G20" s="20">
        <v>0</v>
      </c>
      <c r="H20" s="20">
        <v>0</v>
      </c>
      <c r="I20" s="20">
        <v>0.98471798409793188</v>
      </c>
      <c r="J20" s="20">
        <v>0</v>
      </c>
      <c r="K20" s="20">
        <v>1.5281195420200183E-2</v>
      </c>
      <c r="L20" s="20">
        <v>0</v>
      </c>
    </row>
    <row r="21" spans="1:12">
      <c r="A21" s="2" t="s">
        <v>319</v>
      </c>
      <c r="B21" s="3" t="s">
        <v>320</v>
      </c>
      <c r="D21" s="20">
        <v>3.0842551671463023E-19</v>
      </c>
      <c r="E21" s="20">
        <v>0.25365524276253654</v>
      </c>
      <c r="F21" s="20">
        <v>0</v>
      </c>
      <c r="G21" s="20">
        <v>0</v>
      </c>
      <c r="H21" s="20">
        <v>0</v>
      </c>
      <c r="I21" s="20">
        <v>0.25365524276253654</v>
      </c>
      <c r="J21" s="20">
        <v>0</v>
      </c>
      <c r="K21" s="20">
        <v>0.74634475723746341</v>
      </c>
      <c r="L21" s="20">
        <v>0</v>
      </c>
    </row>
    <row r="22" spans="1:12">
      <c r="A22" s="2" t="s">
        <v>321</v>
      </c>
      <c r="B22" s="3" t="s">
        <v>322</v>
      </c>
      <c r="D22" s="20">
        <v>6.091665739688925E-10</v>
      </c>
      <c r="E22" s="20">
        <v>0.99997507974380984</v>
      </c>
      <c r="F22" s="20">
        <v>0</v>
      </c>
      <c r="G22" s="20">
        <v>0</v>
      </c>
      <c r="H22" s="20">
        <v>0</v>
      </c>
      <c r="I22" s="20">
        <v>0.99997507974380984</v>
      </c>
      <c r="J22" s="20">
        <v>0</v>
      </c>
      <c r="K22" s="20">
        <v>2.4919647023575407E-5</v>
      </c>
      <c r="L22" s="20">
        <v>0</v>
      </c>
    </row>
    <row r="23" spans="1:12">
      <c r="A23" s="2" t="s">
        <v>323</v>
      </c>
      <c r="B23" s="3" t="s">
        <v>324</v>
      </c>
      <c r="D23" s="20">
        <v>1.674202519806062E-12</v>
      </c>
      <c r="E23" s="20">
        <v>0.99120554916715542</v>
      </c>
      <c r="F23" s="20">
        <v>0</v>
      </c>
      <c r="G23" s="20">
        <v>0</v>
      </c>
      <c r="H23" s="20">
        <v>0</v>
      </c>
      <c r="I23" s="20">
        <v>0.99120554916715542</v>
      </c>
      <c r="J23" s="20">
        <v>0</v>
      </c>
      <c r="K23" s="20">
        <v>8.7944508311703813E-3</v>
      </c>
      <c r="L23" s="20">
        <v>0</v>
      </c>
    </row>
    <row r="24" spans="1:12">
      <c r="A24" s="2" t="s">
        <v>325</v>
      </c>
      <c r="B24" s="3" t="s">
        <v>326</v>
      </c>
      <c r="D24" s="20">
        <v>1.1607863648183074E-11</v>
      </c>
      <c r="E24" s="20">
        <v>0.99718490807617266</v>
      </c>
      <c r="F24" s="20">
        <v>0</v>
      </c>
      <c r="G24" s="20">
        <v>0</v>
      </c>
      <c r="H24" s="20">
        <v>0</v>
      </c>
      <c r="I24" s="20">
        <v>0.99718490807617266</v>
      </c>
      <c r="J24" s="20">
        <v>0</v>
      </c>
      <c r="K24" s="20">
        <v>2.8150919122193409E-3</v>
      </c>
      <c r="L24" s="20">
        <v>0</v>
      </c>
    </row>
    <row r="25" spans="1:12">
      <c r="A25" s="2" t="s">
        <v>327</v>
      </c>
      <c r="B25" s="3" t="s">
        <v>328</v>
      </c>
      <c r="D25" s="20">
        <v>2.0557533065033274E-30</v>
      </c>
      <c r="E25" s="20">
        <v>0.99999748080833417</v>
      </c>
      <c r="F25" s="20">
        <v>0</v>
      </c>
      <c r="G25" s="20">
        <v>0</v>
      </c>
      <c r="H25" s="20">
        <v>0</v>
      </c>
      <c r="I25" s="20">
        <v>0.99999748080833417</v>
      </c>
      <c r="J25" s="20">
        <v>0</v>
      </c>
      <c r="K25" s="20">
        <v>2.5191916657841095E-6</v>
      </c>
      <c r="L25" s="20">
        <v>0</v>
      </c>
    </row>
    <row r="26" spans="1:12">
      <c r="A26" s="2" t="s">
        <v>329</v>
      </c>
      <c r="B26" s="3" t="s">
        <v>330</v>
      </c>
      <c r="D26" s="20">
        <v>1.3053902436795127E-13</v>
      </c>
      <c r="E26" s="20">
        <v>0.99634987462247337</v>
      </c>
      <c r="F26" s="20">
        <v>0</v>
      </c>
      <c r="G26" s="20">
        <v>0</v>
      </c>
      <c r="H26" s="20">
        <v>0</v>
      </c>
      <c r="I26" s="20">
        <v>0.99634987462247337</v>
      </c>
      <c r="J26" s="20">
        <v>0</v>
      </c>
      <c r="K26" s="20">
        <v>3.6501253773959731E-3</v>
      </c>
      <c r="L26" s="20">
        <v>0</v>
      </c>
    </row>
    <row r="27" spans="1:12">
      <c r="A27" s="2" t="s">
        <v>331</v>
      </c>
      <c r="B27" s="3" t="s">
        <v>332</v>
      </c>
      <c r="D27" s="20">
        <v>1.6453337216480814E-9</v>
      </c>
      <c r="E27" s="20">
        <v>0.97902888834340684</v>
      </c>
      <c r="F27" s="20">
        <v>0</v>
      </c>
      <c r="G27" s="20">
        <v>0</v>
      </c>
      <c r="H27" s="20">
        <v>0</v>
      </c>
      <c r="I27" s="20">
        <v>0.97902888834340684</v>
      </c>
      <c r="J27" s="20">
        <v>0</v>
      </c>
      <c r="K27" s="20">
        <v>2.0971110011259477E-2</v>
      </c>
      <c r="L27" s="20">
        <v>0</v>
      </c>
    </row>
    <row r="28" spans="1:12">
      <c r="A28" s="2" t="s">
        <v>333</v>
      </c>
      <c r="B28" s="3" t="s">
        <v>334</v>
      </c>
      <c r="D28" s="20">
        <v>1.278522857449735E-16</v>
      </c>
      <c r="E28" s="20">
        <v>0.99811166912943905</v>
      </c>
      <c r="F28" s="20">
        <v>0</v>
      </c>
      <c r="G28" s="20">
        <v>0</v>
      </c>
      <c r="H28" s="20">
        <v>0</v>
      </c>
      <c r="I28" s="20">
        <v>0.99811166912943905</v>
      </c>
      <c r="J28" s="20">
        <v>0</v>
      </c>
      <c r="K28" s="20">
        <v>1.8883308705607165E-3</v>
      </c>
      <c r="L28" s="20">
        <v>0</v>
      </c>
    </row>
    <row r="29" spans="1:12">
      <c r="A29" s="2" t="s">
        <v>335</v>
      </c>
      <c r="B29" s="3" t="s">
        <v>336</v>
      </c>
      <c r="D29" s="20">
        <v>6.7828224296837026E-13</v>
      </c>
      <c r="E29" s="20">
        <v>0.9999688038736616</v>
      </c>
      <c r="F29" s="20">
        <v>0</v>
      </c>
      <c r="G29" s="20">
        <v>0</v>
      </c>
      <c r="H29" s="20">
        <v>0</v>
      </c>
      <c r="I29" s="20">
        <v>0.9999688038736616</v>
      </c>
      <c r="J29" s="20">
        <v>0</v>
      </c>
      <c r="K29" s="20">
        <v>3.1196125660111722E-5</v>
      </c>
      <c r="L29" s="20">
        <v>0</v>
      </c>
    </row>
    <row r="30" spans="1:12">
      <c r="A30" s="2" t="s">
        <v>337</v>
      </c>
      <c r="B30" s="3" t="s">
        <v>338</v>
      </c>
      <c r="D30" s="20">
        <v>1.3052817833904112E-16</v>
      </c>
      <c r="E30" s="20">
        <v>0.93962575734453657</v>
      </c>
      <c r="F30" s="20">
        <v>0</v>
      </c>
      <c r="G30" s="20">
        <v>0</v>
      </c>
      <c r="H30" s="20">
        <v>0</v>
      </c>
      <c r="I30" s="20">
        <v>0.93962575734453657</v>
      </c>
      <c r="J30" s="20">
        <v>0</v>
      </c>
      <c r="K30" s="20">
        <v>6.0374242655463241E-2</v>
      </c>
      <c r="L30" s="20">
        <v>8.4885640659942045E-17</v>
      </c>
    </row>
    <row r="31" spans="1:12">
      <c r="A31" s="2" t="s">
        <v>275</v>
      </c>
      <c r="B31" s="3" t="s">
        <v>339</v>
      </c>
      <c r="D31" s="20">
        <v>2.6565619638609942E-10</v>
      </c>
      <c r="E31" s="20">
        <v>0.77044467560919294</v>
      </c>
      <c r="F31" s="20">
        <v>0</v>
      </c>
      <c r="G31" s="20">
        <v>0</v>
      </c>
      <c r="H31" s="20">
        <v>0</v>
      </c>
      <c r="I31" s="20">
        <v>0.77044467560919294</v>
      </c>
      <c r="J31" s="20">
        <v>0</v>
      </c>
      <c r="K31" s="20">
        <v>0.22955532412515073</v>
      </c>
      <c r="L31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31"/>
  <sheetViews>
    <sheetView workbookViewId="0">
      <pane ySplit="1" topLeftCell="A2" activePane="bottomLeft" state="frozen"/>
      <selection pane="bottomLeft" activeCell="K31" sqref="K31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285</v>
      </c>
      <c r="B2" s="3" t="s">
        <v>286</v>
      </c>
      <c r="D2" s="14">
        <v>2.7010544955288981E-16</v>
      </c>
      <c r="E2" s="14">
        <v>2.9656977559971232E-3</v>
      </c>
      <c r="F2" s="14">
        <v>0</v>
      </c>
      <c r="G2" s="14">
        <v>0</v>
      </c>
      <c r="H2" s="14">
        <v>0</v>
      </c>
      <c r="I2" s="14">
        <v>0</v>
      </c>
      <c r="J2" s="14">
        <v>3.4302244002606455E-5</v>
      </c>
      <c r="K2" s="14">
        <v>0</v>
      </c>
      <c r="L2" s="21"/>
      <c r="M2" s="102"/>
    </row>
    <row r="3" spans="1:23">
      <c r="A3" s="2" t="s">
        <v>287</v>
      </c>
      <c r="B3" s="3" t="s">
        <v>288</v>
      </c>
      <c r="D3" s="14">
        <v>1.6857720082542408E-7</v>
      </c>
      <c r="E3" s="14">
        <v>2.6481363710793245E-3</v>
      </c>
      <c r="F3" s="14">
        <v>0</v>
      </c>
      <c r="G3" s="14">
        <v>0</v>
      </c>
      <c r="H3" s="14">
        <v>0</v>
      </c>
      <c r="I3" s="14">
        <v>0</v>
      </c>
      <c r="J3" s="14">
        <v>3.5169505171984988E-4</v>
      </c>
      <c r="K3" s="14">
        <v>0</v>
      </c>
      <c r="L3" s="21"/>
      <c r="M3" s="102"/>
    </row>
    <row r="4" spans="1:23">
      <c r="A4" s="2" t="s">
        <v>289</v>
      </c>
      <c r="B4" s="3" t="s">
        <v>290</v>
      </c>
      <c r="D4" s="14">
        <v>3.2789202185306868E-6</v>
      </c>
      <c r="E4" s="14">
        <v>1.4876897051184785E-3</v>
      </c>
      <c r="F4" s="14">
        <v>0</v>
      </c>
      <c r="G4" s="14">
        <v>0</v>
      </c>
      <c r="H4" s="14">
        <v>0</v>
      </c>
      <c r="I4" s="14">
        <v>0</v>
      </c>
      <c r="J4" s="14">
        <v>1.5090313746629913E-3</v>
      </c>
      <c r="K4" s="14">
        <v>0</v>
      </c>
      <c r="L4" s="21"/>
    </row>
    <row r="5" spans="1:23">
      <c r="A5" s="2" t="s">
        <v>291</v>
      </c>
      <c r="B5" s="3" t="s">
        <v>292</v>
      </c>
      <c r="D5" s="14">
        <v>2.010083781004013E-20</v>
      </c>
      <c r="E5" s="14">
        <v>2.9997933318208288E-3</v>
      </c>
      <c r="F5" s="14">
        <v>0</v>
      </c>
      <c r="G5" s="14">
        <v>0</v>
      </c>
      <c r="H5" s="14">
        <v>0</v>
      </c>
      <c r="I5" s="14">
        <v>0</v>
      </c>
      <c r="J5" s="14">
        <v>2.0666817917130222E-7</v>
      </c>
      <c r="K5" s="14">
        <v>0</v>
      </c>
      <c r="L5" s="21"/>
    </row>
    <row r="6" spans="1:23">
      <c r="A6" s="2" t="s">
        <v>278</v>
      </c>
      <c r="B6" s="3" t="s">
        <v>279</v>
      </c>
      <c r="D6" s="14">
        <v>3.3669202380671352E-6</v>
      </c>
      <c r="E6" s="14">
        <v>3.5056966700022454E-4</v>
      </c>
      <c r="F6" s="14">
        <v>0</v>
      </c>
      <c r="G6" s="14">
        <v>0</v>
      </c>
      <c r="H6" s="14">
        <v>0</v>
      </c>
      <c r="I6" s="14">
        <v>0</v>
      </c>
      <c r="J6" s="14">
        <v>2.6460634127617082E-3</v>
      </c>
      <c r="K6" s="14">
        <v>0</v>
      </c>
      <c r="L6" s="21"/>
      <c r="M6" s="12"/>
    </row>
    <row r="7" spans="1:23">
      <c r="A7" s="2" t="s">
        <v>293</v>
      </c>
      <c r="B7" s="3" t="s">
        <v>294</v>
      </c>
      <c r="D7" s="14">
        <v>4.2296944278003502E-21</v>
      </c>
      <c r="E7" s="14">
        <v>2.9999947943316085E-3</v>
      </c>
      <c r="F7" s="14">
        <v>0</v>
      </c>
      <c r="G7" s="14">
        <v>0</v>
      </c>
      <c r="H7" s="14">
        <v>0</v>
      </c>
      <c r="I7" s="14">
        <v>0</v>
      </c>
      <c r="J7" s="14">
        <v>5.2056683913322876E-9</v>
      </c>
      <c r="K7" s="14">
        <v>0</v>
      </c>
      <c r="L7" s="21"/>
      <c r="M7" s="12"/>
    </row>
    <row r="8" spans="1:23">
      <c r="A8" s="2" t="s">
        <v>295</v>
      </c>
      <c r="B8" s="3" t="s">
        <v>296</v>
      </c>
      <c r="D8" s="14">
        <v>2.3489924743515177E-11</v>
      </c>
      <c r="E8" s="14">
        <v>2.9191172229034983E-3</v>
      </c>
      <c r="F8" s="14">
        <v>0</v>
      </c>
      <c r="G8" s="14">
        <v>0</v>
      </c>
      <c r="H8" s="14">
        <v>0</v>
      </c>
      <c r="I8" s="14">
        <v>0</v>
      </c>
      <c r="J8" s="14">
        <v>8.0882753606576505E-5</v>
      </c>
      <c r="K8" s="14">
        <v>0</v>
      </c>
      <c r="L8" s="21"/>
      <c r="M8" s="12"/>
    </row>
    <row r="9" spans="1:23">
      <c r="A9" s="2" t="s">
        <v>297</v>
      </c>
      <c r="B9" s="3" t="s">
        <v>298</v>
      </c>
      <c r="D9" s="14">
        <v>6.5840167796858386E-10</v>
      </c>
      <c r="E9" s="14">
        <v>1.276651726814687E-5</v>
      </c>
      <c r="F9" s="14">
        <v>0</v>
      </c>
      <c r="G9" s="14">
        <v>0</v>
      </c>
      <c r="H9" s="14">
        <v>0</v>
      </c>
      <c r="I9" s="14">
        <v>0</v>
      </c>
      <c r="J9" s="14">
        <v>8.3841366618460453E-4</v>
      </c>
      <c r="K9" s="14">
        <v>2.1488191581455706E-3</v>
      </c>
      <c r="L9" s="21"/>
      <c r="M9" s="12"/>
    </row>
    <row r="10" spans="1:23">
      <c r="A10" s="2" t="s">
        <v>299</v>
      </c>
      <c r="B10" s="3" t="s">
        <v>300</v>
      </c>
      <c r="D10" s="14">
        <v>9.1865149856261894E-8</v>
      </c>
      <c r="E10" s="14">
        <v>2.4967341170591545E-3</v>
      </c>
      <c r="F10" s="14">
        <v>0</v>
      </c>
      <c r="G10" s="14">
        <v>0</v>
      </c>
      <c r="H10" s="14">
        <v>0</v>
      </c>
      <c r="I10" s="14">
        <v>0</v>
      </c>
      <c r="J10" s="14">
        <v>5.0317401779098885E-4</v>
      </c>
      <c r="K10" s="14">
        <v>0</v>
      </c>
      <c r="L10" s="21"/>
      <c r="M10" s="12"/>
    </row>
    <row r="11" spans="1:23">
      <c r="A11" s="2" t="s">
        <v>301</v>
      </c>
      <c r="B11" s="3" t="s">
        <v>302</v>
      </c>
      <c r="D11" s="14">
        <v>5.6631967236507322E-20</v>
      </c>
      <c r="E11" s="14">
        <v>2.6232709870138951E-3</v>
      </c>
      <c r="F11" s="14">
        <v>0</v>
      </c>
      <c r="G11" s="14">
        <v>0</v>
      </c>
      <c r="H11" s="14">
        <v>0</v>
      </c>
      <c r="I11" s="14">
        <v>0</v>
      </c>
      <c r="J11" s="14">
        <v>3.7672901298610543E-4</v>
      </c>
      <c r="K11" s="14">
        <v>0</v>
      </c>
      <c r="L11" s="21"/>
      <c r="M11" s="12"/>
    </row>
    <row r="12" spans="1:23">
      <c r="A12" s="2" t="s">
        <v>303</v>
      </c>
      <c r="B12" s="3" t="s">
        <v>304</v>
      </c>
      <c r="D12" s="14">
        <v>7.6166174863721729E-32</v>
      </c>
      <c r="E12" s="14">
        <v>2.8281579024517869E-3</v>
      </c>
      <c r="F12" s="14">
        <v>0</v>
      </c>
      <c r="G12" s="14">
        <v>0</v>
      </c>
      <c r="H12" s="14">
        <v>0</v>
      </c>
      <c r="I12" s="14">
        <v>0</v>
      </c>
      <c r="J12" s="14">
        <v>1.7184209754821282E-4</v>
      </c>
      <c r="K12" s="14">
        <v>0</v>
      </c>
      <c r="L12" s="21"/>
      <c r="M12" s="12"/>
    </row>
    <row r="13" spans="1:23">
      <c r="A13" s="2" t="s">
        <v>305</v>
      </c>
      <c r="B13" s="3" t="s">
        <v>306</v>
      </c>
      <c r="D13" s="14">
        <v>1.4678524361982677E-9</v>
      </c>
      <c r="E13" s="14">
        <v>1.782066498834766E-4</v>
      </c>
      <c r="F13" s="14">
        <v>0</v>
      </c>
      <c r="G13" s="14">
        <v>0</v>
      </c>
      <c r="H13" s="14">
        <v>0</v>
      </c>
      <c r="I13" s="14">
        <v>0</v>
      </c>
      <c r="J13" s="14">
        <v>2.7545446574272769E-3</v>
      </c>
      <c r="K13" s="14">
        <v>0</v>
      </c>
      <c r="L13" s="21"/>
      <c r="M13" s="12"/>
    </row>
    <row r="14" spans="1:23">
      <c r="A14" s="2" t="s">
        <v>307</v>
      </c>
      <c r="B14" s="3" t="s">
        <v>308</v>
      </c>
      <c r="D14" s="14">
        <v>5.802104610489611E-12</v>
      </c>
      <c r="E14" s="14">
        <v>4.1831849152102407E-4</v>
      </c>
      <c r="F14" s="14">
        <v>0</v>
      </c>
      <c r="G14" s="14">
        <v>0</v>
      </c>
      <c r="H14" s="14">
        <v>0</v>
      </c>
      <c r="I14" s="14">
        <v>0</v>
      </c>
      <c r="J14" s="14">
        <v>3.3124777855690813E-4</v>
      </c>
      <c r="K14" s="14">
        <v>2.2504337241199628E-3</v>
      </c>
      <c r="L14" s="21"/>
      <c r="M14" s="12"/>
    </row>
    <row r="15" spans="1:23">
      <c r="A15" s="2" t="s">
        <v>309</v>
      </c>
      <c r="B15" s="3" t="s">
        <v>310</v>
      </c>
      <c r="D15" s="14">
        <v>1.095095199158375E-6</v>
      </c>
      <c r="E15" s="14">
        <v>3.914654003720856E-4</v>
      </c>
      <c r="F15" s="14">
        <v>0</v>
      </c>
      <c r="G15" s="14">
        <v>0</v>
      </c>
      <c r="H15" s="14">
        <v>0</v>
      </c>
      <c r="I15" s="14">
        <v>0</v>
      </c>
      <c r="J15" s="14">
        <v>8.5668131517380457E-4</v>
      </c>
      <c r="K15" s="14">
        <v>1.7507581892549514E-3</v>
      </c>
      <c r="L15" s="21"/>
      <c r="M15" s="12"/>
    </row>
    <row r="16" spans="1:23">
      <c r="A16" s="2" t="s">
        <v>311</v>
      </c>
      <c r="B16" s="3" t="s">
        <v>312</v>
      </c>
      <c r="D16" s="14">
        <v>8.1650120602343966E-22</v>
      </c>
      <c r="E16" s="14">
        <v>2.9998229804663553E-3</v>
      </c>
      <c r="F16" s="14">
        <v>0</v>
      </c>
      <c r="G16" s="14">
        <v>0</v>
      </c>
      <c r="H16" s="14">
        <v>0</v>
      </c>
      <c r="I16" s="14">
        <v>0</v>
      </c>
      <c r="J16" s="14">
        <v>1.7701953364465672E-7</v>
      </c>
      <c r="K16" s="14">
        <v>0</v>
      </c>
      <c r="L16" s="21"/>
      <c r="M16" s="12"/>
      <c r="U16" s="22"/>
      <c r="W16" s="22"/>
    </row>
    <row r="17" spans="1:13">
      <c r="A17" s="2" t="s">
        <v>313</v>
      </c>
      <c r="B17" s="3" t="s">
        <v>314</v>
      </c>
      <c r="D17" s="14">
        <v>1.641362210118847E-21</v>
      </c>
      <c r="E17" s="14">
        <v>2.9183102682556255E-3</v>
      </c>
      <c r="F17" s="14">
        <v>0</v>
      </c>
      <c r="G17" s="14">
        <v>0</v>
      </c>
      <c r="H17" s="14">
        <v>0</v>
      </c>
      <c r="I17" s="14">
        <v>0</v>
      </c>
      <c r="J17" s="14">
        <v>8.1689731744374305E-5</v>
      </c>
      <c r="K17" s="14">
        <v>0</v>
      </c>
      <c r="L17" s="21"/>
      <c r="M17" s="12"/>
    </row>
    <row r="18" spans="1:13">
      <c r="A18" s="2" t="s">
        <v>315</v>
      </c>
      <c r="B18" s="165">
        <v>354656</v>
      </c>
      <c r="D18" s="14">
        <v>6.2314694622742591E-13</v>
      </c>
      <c r="E18" s="14">
        <v>2.9587752626526148E-3</v>
      </c>
      <c r="F18" s="14">
        <v>0</v>
      </c>
      <c r="G18" s="14">
        <v>0</v>
      </c>
      <c r="H18" s="14">
        <v>0</v>
      </c>
      <c r="I18" s="14">
        <v>0</v>
      </c>
      <c r="J18" s="14">
        <v>4.1224736724238286E-5</v>
      </c>
      <c r="K18" s="14">
        <v>0</v>
      </c>
      <c r="L18" s="21"/>
      <c r="M18" s="12"/>
    </row>
    <row r="19" spans="1:13">
      <c r="A19" s="2" t="s">
        <v>317</v>
      </c>
      <c r="B19" s="3" t="s">
        <v>318</v>
      </c>
      <c r="D19" s="14">
        <v>9.4353629637829927E-13</v>
      </c>
      <c r="E19" s="14">
        <v>2.9151735087289622E-3</v>
      </c>
      <c r="F19" s="14">
        <v>0</v>
      </c>
      <c r="G19" s="14">
        <v>0</v>
      </c>
      <c r="H19" s="14">
        <v>0</v>
      </c>
      <c r="I19" s="14">
        <v>0</v>
      </c>
      <c r="J19" s="14">
        <v>8.4826490327501899E-5</v>
      </c>
      <c r="K19" s="14">
        <v>0</v>
      </c>
      <c r="L19" s="21"/>
      <c r="M19" s="12"/>
    </row>
    <row r="20" spans="1:13">
      <c r="A20" s="2" t="s">
        <v>284</v>
      </c>
      <c r="B20" s="3" t="s">
        <v>276</v>
      </c>
      <c r="D20" s="14">
        <v>2.4614456034697562E-9</v>
      </c>
      <c r="E20" s="14">
        <v>2.9541539522937956E-3</v>
      </c>
      <c r="F20" s="14">
        <v>0</v>
      </c>
      <c r="G20" s="14">
        <v>0</v>
      </c>
      <c r="H20" s="14">
        <v>0</v>
      </c>
      <c r="I20" s="14">
        <v>0</v>
      </c>
      <c r="J20" s="14">
        <v>4.5843586260600546E-5</v>
      </c>
      <c r="K20" s="14">
        <v>0</v>
      </c>
      <c r="L20" s="21"/>
      <c r="M20" s="12"/>
    </row>
    <row r="21" spans="1:13">
      <c r="A21" s="2" t="s">
        <v>319</v>
      </c>
      <c r="B21" s="3" t="s">
        <v>320</v>
      </c>
      <c r="D21" s="14">
        <v>9.2527655014389066E-22</v>
      </c>
      <c r="E21" s="14">
        <v>7.6096572828760964E-4</v>
      </c>
      <c r="F21" s="14">
        <v>0</v>
      </c>
      <c r="G21" s="14">
        <v>0</v>
      </c>
      <c r="H21" s="14">
        <v>0</v>
      </c>
      <c r="I21" s="14">
        <v>0</v>
      </c>
      <c r="J21" s="14">
        <v>2.23903427171239E-3</v>
      </c>
      <c r="K21" s="14">
        <v>0</v>
      </c>
      <c r="L21" s="21"/>
      <c r="M21" s="12"/>
    </row>
    <row r="22" spans="1:13">
      <c r="A22" s="2" t="s">
        <v>321</v>
      </c>
      <c r="B22" s="3" t="s">
        <v>322</v>
      </c>
      <c r="D22" s="14">
        <v>1.8274997219066772E-12</v>
      </c>
      <c r="E22" s="14">
        <v>2.9999252392314294E-3</v>
      </c>
      <c r="F22" s="14">
        <v>0</v>
      </c>
      <c r="G22" s="14">
        <v>0</v>
      </c>
      <c r="H22" s="14">
        <v>0</v>
      </c>
      <c r="I22" s="14">
        <v>0</v>
      </c>
      <c r="J22" s="14">
        <v>7.4758941070726218E-8</v>
      </c>
      <c r="K22" s="14">
        <v>0</v>
      </c>
      <c r="L22" s="21"/>
      <c r="M22" s="12"/>
    </row>
    <row r="23" spans="1:13">
      <c r="A23" s="2" t="s">
        <v>323</v>
      </c>
      <c r="B23" s="3" t="s">
        <v>324</v>
      </c>
      <c r="D23" s="14">
        <v>5.0226075594181861E-15</v>
      </c>
      <c r="E23" s="14">
        <v>2.9736166475014662E-3</v>
      </c>
      <c r="F23" s="14">
        <v>0</v>
      </c>
      <c r="G23" s="14">
        <v>0</v>
      </c>
      <c r="H23" s="14">
        <v>0</v>
      </c>
      <c r="I23" s="14">
        <v>0</v>
      </c>
      <c r="J23" s="14">
        <v>2.6383352493511147E-5</v>
      </c>
      <c r="K23" s="14">
        <v>0</v>
      </c>
      <c r="L23" s="21"/>
    </row>
    <row r="24" spans="1:13">
      <c r="A24" s="2" t="s">
        <v>325</v>
      </c>
      <c r="B24" s="3" t="s">
        <v>326</v>
      </c>
      <c r="D24" s="14">
        <v>3.4823590944549219E-14</v>
      </c>
      <c r="E24" s="14">
        <v>2.9915547242285179E-3</v>
      </c>
      <c r="F24" s="14">
        <v>0</v>
      </c>
      <c r="G24" s="14">
        <v>0</v>
      </c>
      <c r="H24" s="14">
        <v>0</v>
      </c>
      <c r="I24" s="14">
        <v>0</v>
      </c>
      <c r="J24" s="14">
        <v>8.4452757366580238E-6</v>
      </c>
      <c r="K24" s="14">
        <v>0</v>
      </c>
      <c r="L24" s="21"/>
    </row>
    <row r="25" spans="1:13">
      <c r="A25" s="2" t="s">
        <v>327</v>
      </c>
      <c r="B25" s="3" t="s">
        <v>328</v>
      </c>
      <c r="D25" s="14">
        <v>6.1672599195099825E-33</v>
      </c>
      <c r="E25" s="14">
        <v>2.9999924424250028E-3</v>
      </c>
      <c r="F25" s="14">
        <v>0</v>
      </c>
      <c r="G25" s="14">
        <v>0</v>
      </c>
      <c r="H25" s="14">
        <v>0</v>
      </c>
      <c r="I25" s="14">
        <v>0</v>
      </c>
      <c r="J25" s="14">
        <v>7.557574997352328E-9</v>
      </c>
      <c r="K25" s="14">
        <v>0</v>
      </c>
      <c r="L25" s="21"/>
    </row>
    <row r="26" spans="1:13">
      <c r="A26" s="2" t="s">
        <v>329</v>
      </c>
      <c r="B26" s="3" t="s">
        <v>330</v>
      </c>
      <c r="D26" s="14">
        <v>3.9161707310385382E-16</v>
      </c>
      <c r="E26" s="14">
        <v>2.9890496238674201E-3</v>
      </c>
      <c r="F26" s="14">
        <v>0</v>
      </c>
      <c r="G26" s="14">
        <v>0</v>
      </c>
      <c r="H26" s="14">
        <v>0</v>
      </c>
      <c r="I26" s="14">
        <v>0</v>
      </c>
      <c r="J26" s="14">
        <v>1.095037613218792E-5</v>
      </c>
      <c r="K26" s="14">
        <v>0</v>
      </c>
    </row>
    <row r="27" spans="1:13">
      <c r="A27" s="2" t="s">
        <v>331</v>
      </c>
      <c r="B27" s="3" t="s">
        <v>332</v>
      </c>
      <c r="D27" s="14">
        <v>4.9360011649442438E-12</v>
      </c>
      <c r="E27" s="14">
        <v>2.9370866650302203E-3</v>
      </c>
      <c r="F27" s="14">
        <v>0</v>
      </c>
      <c r="G27" s="14">
        <v>0</v>
      </c>
      <c r="H27" s="14">
        <v>0</v>
      </c>
      <c r="I27" s="14">
        <v>0</v>
      </c>
      <c r="J27" s="14">
        <v>6.2913330033778422E-5</v>
      </c>
      <c r="K27" s="14">
        <v>0</v>
      </c>
    </row>
    <row r="28" spans="1:13">
      <c r="A28" s="2" t="s">
        <v>333</v>
      </c>
      <c r="B28" s="3" t="s">
        <v>334</v>
      </c>
      <c r="D28" s="14">
        <v>3.8355685723492053E-19</v>
      </c>
      <c r="E28" s="14">
        <v>2.9943350073883173E-3</v>
      </c>
      <c r="F28" s="14">
        <v>0</v>
      </c>
      <c r="G28" s="14">
        <v>0</v>
      </c>
      <c r="H28" s="14">
        <v>0</v>
      </c>
      <c r="I28" s="14">
        <v>0</v>
      </c>
      <c r="J28" s="14">
        <v>5.664992611682149E-6</v>
      </c>
      <c r="K28" s="14">
        <v>0</v>
      </c>
    </row>
    <row r="29" spans="1:13">
      <c r="A29" s="2" t="s">
        <v>335</v>
      </c>
      <c r="B29" s="3" t="s">
        <v>336</v>
      </c>
      <c r="D29" s="14">
        <v>2.0348467289051109E-15</v>
      </c>
      <c r="E29" s="14">
        <v>2.9999064116209848E-3</v>
      </c>
      <c r="F29" s="14">
        <v>0</v>
      </c>
      <c r="G29" s="14">
        <v>0</v>
      </c>
      <c r="H29" s="14">
        <v>0</v>
      </c>
      <c r="I29" s="14">
        <v>0</v>
      </c>
      <c r="J29" s="14">
        <v>9.3588376980335159E-8</v>
      </c>
      <c r="K29" s="14">
        <v>0</v>
      </c>
    </row>
    <row r="30" spans="1:13">
      <c r="A30" s="2" t="s">
        <v>337</v>
      </c>
      <c r="B30" s="3" t="s">
        <v>338</v>
      </c>
      <c r="D30" s="14">
        <v>3.9158453501712335E-19</v>
      </c>
      <c r="E30" s="14">
        <v>2.8188772720336096E-3</v>
      </c>
      <c r="F30" s="14">
        <v>0</v>
      </c>
      <c r="G30" s="14">
        <v>0</v>
      </c>
      <c r="H30" s="14">
        <v>0</v>
      </c>
      <c r="I30" s="14">
        <v>0</v>
      </c>
      <c r="J30" s="14">
        <v>1.8112272796638973E-4</v>
      </c>
      <c r="K30" s="14">
        <v>2.5465692197982615E-19</v>
      </c>
    </row>
    <row r="31" spans="1:13">
      <c r="A31" s="2" t="s">
        <v>275</v>
      </c>
      <c r="B31" s="3" t="s">
        <v>339</v>
      </c>
      <c r="D31" s="14">
        <v>7.9696858915829829E-13</v>
      </c>
      <c r="E31" s="14">
        <v>2.3113340268275787E-3</v>
      </c>
      <c r="F31" s="14">
        <v>0</v>
      </c>
      <c r="G31" s="14">
        <v>0</v>
      </c>
      <c r="H31" s="14">
        <v>0</v>
      </c>
      <c r="I31" s="14">
        <v>0</v>
      </c>
      <c r="J31" s="14">
        <v>6.8866597237545216E-4</v>
      </c>
      <c r="K31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1" sqref="R31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285</v>
      </c>
      <c r="B2" s="102" t="s">
        <v>286</v>
      </c>
      <c r="D2" s="103" t="s">
        <v>277</v>
      </c>
      <c r="E2" s="107">
        <v>8.1999999999999993</v>
      </c>
      <c r="F2" s="107">
        <v>-8.1713097632659604E-2</v>
      </c>
      <c r="G2" s="107">
        <v>-14.739563546456843</v>
      </c>
      <c r="H2" s="107">
        <v>0.18163709416907323</v>
      </c>
      <c r="I2" s="107">
        <v>-7.9390614177506133E-2</v>
      </c>
      <c r="J2" s="107">
        <v>-1.6241500051562583E-2</v>
      </c>
      <c r="K2" s="115">
        <v>10</v>
      </c>
      <c r="L2" s="115">
        <v>0</v>
      </c>
      <c r="M2" s="115">
        <v>0</v>
      </c>
      <c r="N2" s="115">
        <v>0</v>
      </c>
      <c r="O2" s="115">
        <v>8.2340788151732678</v>
      </c>
      <c r="P2" s="115">
        <v>9.5227883901513621</v>
      </c>
      <c r="Q2" s="111">
        <v>0.8234078815173268</v>
      </c>
      <c r="R2" s="68">
        <v>0.9522788390151361</v>
      </c>
    </row>
    <row r="3" spans="1:22">
      <c r="A3" s="102" t="s">
        <v>287</v>
      </c>
      <c r="B3" s="102" t="s">
        <v>288</v>
      </c>
      <c r="D3" s="103" t="s">
        <v>176</v>
      </c>
      <c r="F3" s="107">
        <v>1.7527171707711544</v>
      </c>
      <c r="G3" s="107">
        <v>-5.8951115123134636</v>
      </c>
      <c r="H3" s="107">
        <v>2.0268600000000001</v>
      </c>
      <c r="I3" s="107">
        <v>0.25997889291375675</v>
      </c>
      <c r="J3" s="107">
        <v>0.2587938554837696</v>
      </c>
      <c r="K3" s="115">
        <v>10</v>
      </c>
      <c r="L3" s="115">
        <v>0</v>
      </c>
      <c r="M3" s="115">
        <v>0</v>
      </c>
      <c r="N3" s="115">
        <v>0</v>
      </c>
      <c r="O3" s="115">
        <v>16.061939450823147</v>
      </c>
      <c r="P3" s="115">
        <v>16.018171787897824</v>
      </c>
      <c r="Q3" s="111">
        <v>1.6061939450823144</v>
      </c>
      <c r="R3" s="68">
        <v>1.6018171787897821</v>
      </c>
    </row>
    <row r="4" spans="1:22">
      <c r="A4" s="102" t="s">
        <v>289</v>
      </c>
      <c r="B4" s="102" t="s">
        <v>290</v>
      </c>
      <c r="D4" s="103" t="s">
        <v>176</v>
      </c>
      <c r="F4" s="107">
        <v>3.3220771707711547</v>
      </c>
      <c r="G4" s="107">
        <v>-4.3557515123134634</v>
      </c>
      <c r="H4" s="107">
        <v>3.6118199999999989</v>
      </c>
      <c r="I4" s="107">
        <v>1.6283679201447347</v>
      </c>
      <c r="J4" s="107">
        <v>1.6105797570240485</v>
      </c>
      <c r="K4" s="115">
        <v>10</v>
      </c>
      <c r="L4" s="115">
        <v>0</v>
      </c>
      <c r="M4" s="115">
        <v>0</v>
      </c>
      <c r="N4" s="115">
        <v>0</v>
      </c>
      <c r="O4" s="115">
        <v>210.74584603994228</v>
      </c>
      <c r="P4" s="115">
        <v>202.28834439899632</v>
      </c>
      <c r="Q4" s="111">
        <v>21.074584603994225</v>
      </c>
      <c r="R4" s="68">
        <v>20.228834439899629</v>
      </c>
      <c r="T4" s="146"/>
    </row>
    <row r="5" spans="1:22">
      <c r="A5" s="102" t="s">
        <v>291</v>
      </c>
      <c r="B5" s="102" t="s">
        <v>292</v>
      </c>
      <c r="D5" s="103" t="s">
        <v>277</v>
      </c>
      <c r="E5" s="107">
        <v>4.7</v>
      </c>
      <c r="F5" s="107">
        <v>-2.0361264631682592</v>
      </c>
      <c r="G5" s="107">
        <v>-18.872847180396256</v>
      </c>
      <c r="H5" s="107">
        <v>-0.12874566885275762</v>
      </c>
      <c r="I5" s="107">
        <v>-7.396756885022962E-2</v>
      </c>
      <c r="J5" s="107">
        <v>-3.5556972060378981E-3</v>
      </c>
      <c r="K5" s="115">
        <v>10</v>
      </c>
      <c r="L5" s="115">
        <v>0</v>
      </c>
      <c r="M5" s="115">
        <v>0</v>
      </c>
      <c r="N5" s="115">
        <v>0</v>
      </c>
      <c r="O5" s="115">
        <v>8.4333963538708705</v>
      </c>
      <c r="P5" s="115">
        <v>9.9177780156187616</v>
      </c>
      <c r="Q5" s="111">
        <v>0.84333963538708689</v>
      </c>
      <c r="R5" s="68">
        <v>0.991777801561876</v>
      </c>
    </row>
    <row r="6" spans="1:22">
      <c r="A6" s="102" t="s">
        <v>278</v>
      </c>
      <c r="B6" s="102" t="s">
        <v>279</v>
      </c>
      <c r="D6" s="103" t="s">
        <v>176</v>
      </c>
      <c r="F6" s="107">
        <v>4.871317170771154</v>
      </c>
      <c r="G6" s="107">
        <v>-3.7165115123134638</v>
      </c>
      <c r="H6" s="107">
        <v>5.1764599999999996</v>
      </c>
      <c r="I6" s="107">
        <v>3.1213421800980909</v>
      </c>
      <c r="J6" s="107">
        <v>3.0472767166822177</v>
      </c>
      <c r="K6" s="115">
        <v>10</v>
      </c>
      <c r="L6" s="115">
        <v>0</v>
      </c>
      <c r="M6" s="115">
        <v>0</v>
      </c>
      <c r="N6" s="115">
        <v>0</v>
      </c>
      <c r="O6" s="115">
        <v>1545.2375796054719</v>
      </c>
      <c r="P6" s="115">
        <v>1302.956143876032</v>
      </c>
      <c r="Q6" s="111">
        <v>154.52375796054716</v>
      </c>
      <c r="R6" s="68">
        <v>130.29561438760319</v>
      </c>
    </row>
    <row r="7" spans="1:22">
      <c r="A7" s="102" t="s">
        <v>293</v>
      </c>
      <c r="B7" s="102" t="s">
        <v>294</v>
      </c>
      <c r="D7" s="103" t="s">
        <v>341</v>
      </c>
      <c r="E7" s="107">
        <v>17.600000000000001</v>
      </c>
      <c r="F7" s="107">
        <v>-4.2069527426031152</v>
      </c>
      <c r="G7" s="107">
        <v>-19.549781512340864</v>
      </c>
      <c r="H7" s="107">
        <v>-1.4572599997533806</v>
      </c>
      <c r="I7" s="107">
        <v>-8.5130648399872097E-2</v>
      </c>
      <c r="J7" s="107">
        <v>-1.980794302636487E-2</v>
      </c>
      <c r="K7" s="115">
        <v>10</v>
      </c>
      <c r="L7" s="115">
        <v>0</v>
      </c>
      <c r="M7" s="115">
        <v>0</v>
      </c>
      <c r="N7" s="115">
        <v>0</v>
      </c>
      <c r="O7" s="115">
        <v>8.2199390632220251</v>
      </c>
      <c r="P7" s="115">
        <v>9.5541334556618835</v>
      </c>
      <c r="Q7" s="111">
        <v>0.82199390632220248</v>
      </c>
      <c r="R7" s="68">
        <v>0.95541334556618829</v>
      </c>
    </row>
    <row r="8" spans="1:22">
      <c r="A8" s="102" t="s">
        <v>295</v>
      </c>
      <c r="B8" s="102" t="s">
        <v>296</v>
      </c>
      <c r="D8" s="103" t="s">
        <v>341</v>
      </c>
      <c r="E8" s="107">
        <v>6.1</v>
      </c>
      <c r="F8" s="107">
        <v>0.55949565190603401</v>
      </c>
      <c r="G8" s="107">
        <v>-9.7933399142277171</v>
      </c>
      <c r="H8" s="107">
        <v>0.82415279024988986</v>
      </c>
      <c r="I8" s="107">
        <v>-5.8677726642215364E-2</v>
      </c>
      <c r="J8" s="107">
        <v>-2.7154204399630973E-3</v>
      </c>
      <c r="K8" s="115">
        <v>10</v>
      </c>
      <c r="L8" s="115">
        <v>0</v>
      </c>
      <c r="M8" s="115">
        <v>0</v>
      </c>
      <c r="N8" s="115">
        <v>0</v>
      </c>
      <c r="O8" s="115">
        <v>8.5006581959614103</v>
      </c>
      <c r="P8" s="115">
        <v>9.6697414071863879</v>
      </c>
      <c r="Q8" s="111">
        <v>0.85006581959614091</v>
      </c>
      <c r="R8" s="68">
        <v>0.96697414071863874</v>
      </c>
    </row>
    <row r="9" spans="1:22">
      <c r="A9" s="102" t="s">
        <v>297</v>
      </c>
      <c r="B9" s="102" t="s">
        <v>298</v>
      </c>
      <c r="D9" s="103" t="s">
        <v>176</v>
      </c>
      <c r="F9" s="107">
        <v>6.5412771707711537</v>
      </c>
      <c r="G9" s="107">
        <v>-5.9865515123134632</v>
      </c>
      <c r="H9" s="107">
        <v>6.8630199999999997</v>
      </c>
      <c r="I9" s="107">
        <v>4.6391319103974498</v>
      </c>
      <c r="J9" s="107">
        <v>4.2592918731342024</v>
      </c>
      <c r="K9" s="115">
        <v>10</v>
      </c>
      <c r="L9" s="115">
        <v>0</v>
      </c>
      <c r="M9" s="115">
        <v>0</v>
      </c>
      <c r="N9" s="115">
        <v>0</v>
      </c>
      <c r="O9" s="115">
        <v>1853.8862897844533</v>
      </c>
      <c r="P9" s="115">
        <v>773.11314128324102</v>
      </c>
      <c r="Q9" s="111">
        <v>185.38862897844533</v>
      </c>
      <c r="R9" s="68">
        <v>77.311314128324099</v>
      </c>
    </row>
    <row r="10" spans="1:22">
      <c r="A10" s="102" t="s">
        <v>299</v>
      </c>
      <c r="B10" s="102" t="s">
        <v>300</v>
      </c>
      <c r="D10" s="103" t="s">
        <v>176</v>
      </c>
      <c r="F10" s="107">
        <v>2.0746371707711551</v>
      </c>
      <c r="G10" s="107">
        <v>-6.1331915123134637</v>
      </c>
      <c r="H10" s="107">
        <v>2.3519799999999997</v>
      </c>
      <c r="I10" s="107">
        <v>0.47204291197982046</v>
      </c>
      <c r="J10" s="107">
        <v>0.45363558687719796</v>
      </c>
      <c r="K10" s="115">
        <v>10</v>
      </c>
      <c r="L10" s="115">
        <v>0</v>
      </c>
      <c r="M10" s="115">
        <v>0</v>
      </c>
      <c r="N10" s="115">
        <v>0</v>
      </c>
      <c r="O10" s="115">
        <v>24.677090457309152</v>
      </c>
      <c r="P10" s="115">
        <v>23.653021576469591</v>
      </c>
      <c r="Q10" s="111">
        <v>2.4677090457309152</v>
      </c>
      <c r="R10" s="68">
        <v>2.3653021576469588</v>
      </c>
    </row>
    <row r="11" spans="1:22">
      <c r="A11" s="102" t="s">
        <v>301</v>
      </c>
      <c r="B11" s="102" t="s">
        <v>302</v>
      </c>
      <c r="D11" s="103" t="s">
        <v>176</v>
      </c>
      <c r="F11" s="107">
        <v>1.8130771707711544</v>
      </c>
      <c r="G11" s="107">
        <v>-18.364751512313465</v>
      </c>
      <c r="H11" s="107">
        <v>2.0878200000000002</v>
      </c>
      <c r="I11" s="107">
        <v>0.29521463966104228</v>
      </c>
      <c r="J11" s="107">
        <v>0.29030408360380838</v>
      </c>
      <c r="K11" s="115">
        <v>10</v>
      </c>
      <c r="L11" s="115">
        <v>0</v>
      </c>
      <c r="M11" s="115">
        <v>0</v>
      </c>
      <c r="N11" s="115">
        <v>0</v>
      </c>
      <c r="O11" s="115">
        <v>17.255857313600593</v>
      </c>
      <c r="P11" s="115">
        <v>17.061844712470464</v>
      </c>
      <c r="Q11" s="111">
        <v>1.7255857313600593</v>
      </c>
      <c r="R11" s="68">
        <v>1.7061844712470462</v>
      </c>
    </row>
    <row r="12" spans="1:22">
      <c r="A12" s="102" t="s">
        <v>303</v>
      </c>
      <c r="B12" s="102" t="s">
        <v>304</v>
      </c>
      <c r="D12" s="103" t="s">
        <v>176</v>
      </c>
      <c r="F12" s="107">
        <v>1.1491171707711545</v>
      </c>
      <c r="G12" s="107">
        <v>-30.268711512313462</v>
      </c>
      <c r="H12" s="107">
        <v>1.41726</v>
      </c>
      <c r="I12" s="107">
        <v>2.5113799753956154E-2</v>
      </c>
      <c r="J12" s="107">
        <v>6.1248705413908158E-2</v>
      </c>
      <c r="K12" s="115">
        <v>10</v>
      </c>
      <c r="L12" s="115">
        <v>0</v>
      </c>
      <c r="M12" s="115">
        <v>0</v>
      </c>
      <c r="N12" s="115">
        <v>0</v>
      </c>
      <c r="O12" s="115">
        <v>9.9884062672147547</v>
      </c>
      <c r="P12" s="115">
        <v>10.855031901822771</v>
      </c>
      <c r="Q12" s="111">
        <v>0.99884062672147533</v>
      </c>
      <c r="R12" s="68">
        <v>1.0855031901822771</v>
      </c>
    </row>
    <row r="13" spans="1:22">
      <c r="A13" s="102" t="s">
        <v>305</v>
      </c>
      <c r="B13" s="102" t="s">
        <v>306</v>
      </c>
      <c r="D13" s="103" t="s">
        <v>176</v>
      </c>
      <c r="F13" s="107">
        <v>5.4246171707711541</v>
      </c>
      <c r="G13" s="107">
        <v>-6.7832115123134633</v>
      </c>
      <c r="H13" s="107">
        <v>5.7352599999999994</v>
      </c>
      <c r="I13" s="107">
        <v>3.5877531235180431</v>
      </c>
      <c r="J13" s="107">
        <v>3.3824103498024978</v>
      </c>
      <c r="K13" s="115">
        <v>10</v>
      </c>
      <c r="L13" s="115">
        <v>0</v>
      </c>
      <c r="M13" s="115">
        <v>0</v>
      </c>
      <c r="N13" s="115">
        <v>0</v>
      </c>
      <c r="O13" s="115">
        <v>2299.0889533489963</v>
      </c>
      <c r="P13" s="115">
        <v>1432.8904924139972</v>
      </c>
      <c r="Q13" s="111">
        <v>229.90889533489963</v>
      </c>
      <c r="R13" s="68">
        <v>143.28904924139971</v>
      </c>
    </row>
    <row r="14" spans="1:22">
      <c r="A14" s="102" t="s">
        <v>307</v>
      </c>
      <c r="B14" s="102" t="s">
        <v>308</v>
      </c>
      <c r="D14" s="103" t="s">
        <v>176</v>
      </c>
      <c r="F14" s="107">
        <v>3.1309371707711549</v>
      </c>
      <c r="G14" s="107">
        <v>-9.556891512313463</v>
      </c>
      <c r="H14" s="107">
        <v>3.4187799999999995</v>
      </c>
      <c r="I14" s="107">
        <v>1.4354157319734149</v>
      </c>
      <c r="J14" s="107">
        <v>1.4134498053298963</v>
      </c>
      <c r="K14" s="115">
        <v>10</v>
      </c>
      <c r="L14" s="115">
        <v>0</v>
      </c>
      <c r="M14" s="115">
        <v>0</v>
      </c>
      <c r="N14" s="115">
        <v>0</v>
      </c>
      <c r="O14" s="115">
        <v>38.00157004579706</v>
      </c>
      <c r="P14" s="115">
        <v>36.127308973964595</v>
      </c>
      <c r="Q14" s="111">
        <v>3.8001570045797055</v>
      </c>
      <c r="R14" s="68">
        <v>3.6127308973964589</v>
      </c>
    </row>
    <row r="15" spans="1:22">
      <c r="A15" s="102" t="s">
        <v>309</v>
      </c>
      <c r="B15" s="102" t="s">
        <v>310</v>
      </c>
      <c r="D15" s="103" t="s">
        <v>176</v>
      </c>
      <c r="F15" s="107">
        <v>3.9156171707711542</v>
      </c>
      <c r="G15" s="107">
        <v>-4.2522115123134636</v>
      </c>
      <c r="H15" s="107">
        <v>4.2112599999999993</v>
      </c>
      <c r="I15" s="107">
        <v>2.2368304962501209</v>
      </c>
      <c r="J15" s="107">
        <v>2.2340635740461319</v>
      </c>
      <c r="K15" s="115">
        <v>10</v>
      </c>
      <c r="L15" s="115">
        <v>0</v>
      </c>
      <c r="M15" s="115">
        <v>0</v>
      </c>
      <c r="N15" s="115">
        <v>0</v>
      </c>
      <c r="O15" s="115">
        <v>225.11406200709902</v>
      </c>
      <c r="P15" s="115">
        <v>223.68440276820922</v>
      </c>
      <c r="Q15" s="111">
        <v>22.511406200709903</v>
      </c>
      <c r="R15" s="68">
        <v>22.36844027682092</v>
      </c>
    </row>
    <row r="16" spans="1:22">
      <c r="A16" s="102" t="s">
        <v>311</v>
      </c>
      <c r="B16" s="102" t="s">
        <v>312</v>
      </c>
      <c r="D16" s="103" t="s">
        <v>277</v>
      </c>
      <c r="E16" s="107">
        <v>3</v>
      </c>
      <c r="F16" s="107">
        <v>-1.5247831764342068</v>
      </c>
      <c r="G16" s="107">
        <v>-20.264108801544054</v>
      </c>
      <c r="H16" s="107">
        <v>1.1997355721103982</v>
      </c>
      <c r="I16" s="107">
        <v>0.14262956193442364</v>
      </c>
      <c r="J16" s="107">
        <v>0.28600572919583267</v>
      </c>
      <c r="K16" s="115">
        <v>10</v>
      </c>
      <c r="L16" s="115">
        <v>0</v>
      </c>
      <c r="M16" s="115">
        <v>0</v>
      </c>
      <c r="N16" s="115">
        <v>0</v>
      </c>
      <c r="O16" s="115">
        <v>13.886856091918663</v>
      </c>
      <c r="P16" s="115">
        <v>19.31879803421527</v>
      </c>
      <c r="Q16" s="111">
        <v>1.388685609191866</v>
      </c>
      <c r="R16" s="68">
        <v>1.931879803421527</v>
      </c>
    </row>
    <row r="17" spans="1:18">
      <c r="A17" s="102" t="s">
        <v>313</v>
      </c>
      <c r="B17" s="102" t="s">
        <v>314</v>
      </c>
      <c r="D17" s="103" t="s">
        <v>277</v>
      </c>
      <c r="E17" s="107">
        <v>5</v>
      </c>
      <c r="F17" s="107">
        <v>2.3921272657307884</v>
      </c>
      <c r="G17" s="107">
        <v>-19.948897037342256</v>
      </c>
      <c r="H17" s="107">
        <v>4.0799287642507389</v>
      </c>
      <c r="I17" s="107">
        <v>2.6346778208938741</v>
      </c>
      <c r="J17" s="107">
        <v>2.869421642515726</v>
      </c>
      <c r="K17" s="115">
        <v>10</v>
      </c>
      <c r="L17" s="115">
        <v>0</v>
      </c>
      <c r="M17" s="115">
        <v>0</v>
      </c>
      <c r="N17" s="115">
        <v>0</v>
      </c>
      <c r="O17" s="115">
        <v>4194.5756308723594</v>
      </c>
      <c r="P17" s="115">
        <v>7201.6473498589212</v>
      </c>
      <c r="Q17" s="111">
        <v>419.45756308723588</v>
      </c>
      <c r="R17" s="68">
        <v>720.1647349858921</v>
      </c>
    </row>
    <row r="18" spans="1:18">
      <c r="A18" s="102" t="s">
        <v>315</v>
      </c>
      <c r="B18" s="168">
        <v>354656</v>
      </c>
      <c r="D18" s="103" t="s">
        <v>176</v>
      </c>
      <c r="F18" s="107">
        <v>1.2337170771154734E-2</v>
      </c>
      <c r="G18" s="107">
        <v>-11.375491512313465</v>
      </c>
      <c r="H18" s="107">
        <v>0.26918000000000003</v>
      </c>
      <c r="I18" s="107">
        <v>-7.7391929118608094E-2</v>
      </c>
      <c r="J18" s="107">
        <v>-1.4948200712105831E-2</v>
      </c>
      <c r="K18" s="115">
        <v>10</v>
      </c>
      <c r="L18" s="115">
        <v>0</v>
      </c>
      <c r="M18" s="115">
        <v>0</v>
      </c>
      <c r="N18" s="115">
        <v>0</v>
      </c>
      <c r="O18" s="115">
        <v>8.2527520134889034</v>
      </c>
      <c r="P18" s="115">
        <v>9.528894609160016</v>
      </c>
      <c r="Q18" s="111">
        <v>0.82527520134889032</v>
      </c>
      <c r="R18" s="68">
        <v>0.95288946091600157</v>
      </c>
    </row>
    <row r="19" spans="1:18">
      <c r="A19" s="102" t="s">
        <v>317</v>
      </c>
      <c r="B19" s="102" t="s">
        <v>318</v>
      </c>
      <c r="D19" s="103" t="s">
        <v>341</v>
      </c>
      <c r="E19" s="107">
        <v>6</v>
      </c>
      <c r="F19" s="107">
        <v>0.59395834890080101</v>
      </c>
      <c r="G19" s="107">
        <v>-11.188875801592996</v>
      </c>
      <c r="H19" s="107">
        <v>0.85847123574925954</v>
      </c>
      <c r="I19" s="107">
        <v>-5.6470302894490072E-2</v>
      </c>
      <c r="J19" s="107">
        <v>-1.2120388349072706E-3</v>
      </c>
      <c r="K19" s="115">
        <v>10</v>
      </c>
      <c r="L19" s="115">
        <v>0</v>
      </c>
      <c r="M19" s="115">
        <v>0</v>
      </c>
      <c r="N19" s="115">
        <v>0</v>
      </c>
      <c r="O19" s="115">
        <v>8.5324323003129017</v>
      </c>
      <c r="P19" s="115">
        <v>9.6901637296405152</v>
      </c>
      <c r="Q19" s="111">
        <v>0.8532432300312901</v>
      </c>
      <c r="R19" s="68">
        <v>0.96901637296405141</v>
      </c>
    </row>
    <row r="20" spans="1:18">
      <c r="A20" s="102" t="s">
        <v>284</v>
      </c>
      <c r="B20" s="102" t="s">
        <v>276</v>
      </c>
      <c r="D20" s="103" t="s">
        <v>277</v>
      </c>
      <c r="E20" s="107">
        <v>5.4</v>
      </c>
      <c r="F20" s="107">
        <v>1.6431367190965502</v>
      </c>
      <c r="G20" s="107">
        <v>-7.7782128860961048</v>
      </c>
      <c r="H20" s="107">
        <v>2.9638513113755822</v>
      </c>
      <c r="I20" s="107">
        <v>1.6065690659269836</v>
      </c>
      <c r="J20" s="107">
        <v>1.8411474861463284</v>
      </c>
      <c r="K20" s="115">
        <v>10</v>
      </c>
      <c r="L20" s="115">
        <v>0</v>
      </c>
      <c r="M20" s="115">
        <v>0</v>
      </c>
      <c r="N20" s="115">
        <v>0</v>
      </c>
      <c r="O20" s="115">
        <v>397.99804200928259</v>
      </c>
      <c r="P20" s="115">
        <v>683.06078947425181</v>
      </c>
      <c r="Q20" s="111">
        <v>39.799804200928257</v>
      </c>
      <c r="R20" s="68">
        <v>68.306078947425178</v>
      </c>
    </row>
    <row r="21" spans="1:18">
      <c r="A21" s="102" t="s">
        <v>319</v>
      </c>
      <c r="B21" s="102" t="s">
        <v>320</v>
      </c>
      <c r="D21" s="103" t="s">
        <v>341</v>
      </c>
      <c r="E21" s="107">
        <v>6.6</v>
      </c>
      <c r="F21" s="107">
        <v>4.1937869023673393</v>
      </c>
      <c r="G21" s="107">
        <v>-19.61406354645684</v>
      </c>
      <c r="H21" s="107">
        <v>4.4996370941690724</v>
      </c>
      <c r="I21" s="107">
        <v>2.4942883814989214</v>
      </c>
      <c r="J21" s="107">
        <v>2.4969881571845289</v>
      </c>
      <c r="K21" s="115">
        <v>10</v>
      </c>
      <c r="L21" s="115">
        <v>0</v>
      </c>
      <c r="M21" s="115">
        <v>0</v>
      </c>
      <c r="N21" s="115">
        <v>0</v>
      </c>
      <c r="O21" s="115">
        <v>791.64819267294865</v>
      </c>
      <c r="P21" s="115">
        <v>796.58477270470644</v>
      </c>
      <c r="Q21" s="111">
        <v>79.16481926729486</v>
      </c>
      <c r="R21" s="68">
        <v>79.658477270470641</v>
      </c>
    </row>
    <row r="22" spans="1:18">
      <c r="A22" s="102" t="s">
        <v>321</v>
      </c>
      <c r="B22" s="102" t="s">
        <v>322</v>
      </c>
      <c r="D22" s="103" t="s">
        <v>341</v>
      </c>
      <c r="E22" s="107">
        <v>9.6</v>
      </c>
      <c r="F22" s="107">
        <v>-3.1751560316495278</v>
      </c>
      <c r="G22" s="107">
        <v>-10.914223116648401</v>
      </c>
      <c r="H22" s="107">
        <v>-1.7229792287388364</v>
      </c>
      <c r="I22" s="107">
        <v>-8.517421219361139E-2</v>
      </c>
      <c r="J22" s="107">
        <v>-1.9851302709104488E-2</v>
      </c>
      <c r="K22" s="115">
        <v>10</v>
      </c>
      <c r="L22" s="115">
        <v>0</v>
      </c>
      <c r="M22" s="115">
        <v>0</v>
      </c>
      <c r="N22" s="115">
        <v>0</v>
      </c>
      <c r="O22" s="115">
        <v>8.2189240071194352</v>
      </c>
      <c r="P22" s="115">
        <v>9.5529581335435712</v>
      </c>
      <c r="Q22" s="111">
        <v>0.82189240071194336</v>
      </c>
      <c r="R22" s="68">
        <v>0.95529581335435698</v>
      </c>
    </row>
    <row r="23" spans="1:18">
      <c r="A23" s="102" t="s">
        <v>323</v>
      </c>
      <c r="B23" s="102" t="s">
        <v>324</v>
      </c>
      <c r="D23" s="103" t="s">
        <v>341</v>
      </c>
      <c r="E23" s="107">
        <v>9</v>
      </c>
      <c r="F23" s="107">
        <v>0.91193625947924384</v>
      </c>
      <c r="G23" s="107">
        <v>-13.471325737825421</v>
      </c>
      <c r="H23" s="107">
        <v>1.8855685681967382</v>
      </c>
      <c r="I23" s="107">
        <v>0.1207333357165573</v>
      </c>
      <c r="J23" s="107">
        <v>0.18625457716203825</v>
      </c>
      <c r="K23" s="115">
        <v>10</v>
      </c>
      <c r="L23" s="115">
        <v>0</v>
      </c>
      <c r="M23" s="115">
        <v>0</v>
      </c>
      <c r="N23" s="115">
        <v>0</v>
      </c>
      <c r="O23" s="115">
        <v>13.08871648202369</v>
      </c>
      <c r="P23" s="115">
        <v>15.22012789703161</v>
      </c>
      <c r="Q23" s="111">
        <v>1.3088716482023688</v>
      </c>
      <c r="R23" s="68">
        <v>1.5220127897031608</v>
      </c>
    </row>
    <row r="24" spans="1:18">
      <c r="A24" s="102" t="s">
        <v>325</v>
      </c>
      <c r="B24" s="102" t="s">
        <v>326</v>
      </c>
      <c r="D24" s="103" t="s">
        <v>277</v>
      </c>
      <c r="E24" s="107">
        <v>7.3</v>
      </c>
      <c r="F24" s="107">
        <v>-0.94499185893172233</v>
      </c>
      <c r="G24" s="107">
        <v>-12.632993403357329</v>
      </c>
      <c r="H24" s="107">
        <v>-0.64282494901863718</v>
      </c>
      <c r="I24" s="107">
        <v>-8.4383700475463327E-2</v>
      </c>
      <c r="J24" s="107">
        <v>-1.9240662194238381E-2</v>
      </c>
      <c r="K24" s="115">
        <v>10</v>
      </c>
      <c r="L24" s="115">
        <v>0</v>
      </c>
      <c r="M24" s="115">
        <v>0</v>
      </c>
      <c r="N24" s="115">
        <v>0</v>
      </c>
      <c r="O24" s="115">
        <v>8.2109233236899577</v>
      </c>
      <c r="P24" s="115">
        <v>9.5397069723238275</v>
      </c>
      <c r="Q24" s="111">
        <v>0.8210923323689957</v>
      </c>
      <c r="R24" s="68">
        <v>0.9539706972323827</v>
      </c>
    </row>
    <row r="25" spans="1:18">
      <c r="A25" s="102" t="s">
        <v>327</v>
      </c>
      <c r="B25" s="102" t="s">
        <v>328</v>
      </c>
      <c r="D25" s="103" t="s">
        <v>277</v>
      </c>
      <c r="E25" s="107">
        <v>4.5</v>
      </c>
      <c r="F25" s="107">
        <v>-4.4608464360130071</v>
      </c>
      <c r="G25" s="107">
        <v>-31.385997912806317</v>
      </c>
      <c r="H25" s="107">
        <v>-2.4124930862728111</v>
      </c>
      <c r="I25" s="107">
        <v>-8.5179250643888926E-2</v>
      </c>
      <c r="J25" s="107">
        <v>-1.9832949396761699E-2</v>
      </c>
      <c r="K25" s="115">
        <v>10</v>
      </c>
      <c r="L25" s="115">
        <v>0</v>
      </c>
      <c r="M25" s="115">
        <v>0</v>
      </c>
      <c r="N25" s="115">
        <v>0</v>
      </c>
      <c r="O25" s="115">
        <v>8.2190127712495489</v>
      </c>
      <c r="P25" s="115">
        <v>9.5535758614989668</v>
      </c>
      <c r="Q25" s="111">
        <v>0.82190127712495487</v>
      </c>
      <c r="R25" s="68">
        <v>0.95535758614989652</v>
      </c>
    </row>
    <row r="26" spans="1:18">
      <c r="A26" s="102" t="s">
        <v>329</v>
      </c>
      <c r="B26" s="102" t="s">
        <v>330</v>
      </c>
      <c r="D26" s="103" t="s">
        <v>176</v>
      </c>
      <c r="F26" s="107">
        <v>-1.0188128292288452</v>
      </c>
      <c r="G26" s="107">
        <v>-14.581641512313464</v>
      </c>
      <c r="H26" s="107">
        <v>-0.77222000000000002</v>
      </c>
      <c r="I26" s="107">
        <v>-8.5163974954877333E-2</v>
      </c>
      <c r="J26" s="107">
        <v>-2.0122302778720215E-2</v>
      </c>
      <c r="K26" s="115">
        <v>10</v>
      </c>
      <c r="L26" s="115">
        <v>0</v>
      </c>
      <c r="M26" s="115">
        <v>0</v>
      </c>
      <c r="N26" s="115">
        <v>0</v>
      </c>
      <c r="O26" s="115">
        <v>8.1893210165200152</v>
      </c>
      <c r="P26" s="115">
        <v>9.5123882482902804</v>
      </c>
      <c r="Q26" s="111">
        <v>0.81893210165200137</v>
      </c>
      <c r="R26" s="68">
        <v>0.951238824829028</v>
      </c>
    </row>
    <row r="27" spans="1:18">
      <c r="A27" s="102" t="s">
        <v>331</v>
      </c>
      <c r="B27" s="102" t="s">
        <v>332</v>
      </c>
      <c r="D27" s="103" t="s">
        <v>176</v>
      </c>
      <c r="F27" s="107">
        <v>0.34431717077115459</v>
      </c>
      <c r="G27" s="107">
        <v>-10.473511512313463</v>
      </c>
      <c r="H27" s="107">
        <v>0.60446</v>
      </c>
      <c r="I27" s="107">
        <v>-6.7456527615101999E-2</v>
      </c>
      <c r="J27" s="107">
        <v>-8.0567912229723461E-3</v>
      </c>
      <c r="K27" s="115">
        <v>10</v>
      </c>
      <c r="L27" s="115">
        <v>0</v>
      </c>
      <c r="M27" s="115">
        <v>0</v>
      </c>
      <c r="N27" s="115">
        <v>0</v>
      </c>
      <c r="O27" s="115">
        <v>8.3818325268333798</v>
      </c>
      <c r="P27" s="115">
        <v>9.6103391791068091</v>
      </c>
      <c r="Q27" s="111">
        <v>0.83818325268333804</v>
      </c>
      <c r="R27" s="68">
        <v>0.96103391791068082</v>
      </c>
    </row>
    <row r="28" spans="1:18">
      <c r="A28" s="102" t="s">
        <v>333</v>
      </c>
      <c r="B28" s="102" t="s">
        <v>334</v>
      </c>
      <c r="D28" s="103" t="s">
        <v>277</v>
      </c>
      <c r="E28" s="107">
        <v>9.1999999999999993</v>
      </c>
      <c r="F28" s="107">
        <v>-1.5236097809182529</v>
      </c>
      <c r="G28" s="107">
        <v>-17.591440640625915</v>
      </c>
      <c r="H28" s="107">
        <v>-1.2812813628181341</v>
      </c>
      <c r="I28" s="107">
        <v>-8.5706425590229895E-2</v>
      </c>
      <c r="J28" s="107">
        <v>-2.0466341544571883E-2</v>
      </c>
      <c r="K28" s="115">
        <v>10</v>
      </c>
      <c r="L28" s="115">
        <v>0</v>
      </c>
      <c r="M28" s="115">
        <v>0</v>
      </c>
      <c r="N28" s="115">
        <v>0</v>
      </c>
      <c r="O28" s="115">
        <v>8.1935613043002249</v>
      </c>
      <c r="P28" s="115">
        <v>9.5216626725390032</v>
      </c>
      <c r="Q28" s="111">
        <v>0.81935613043002242</v>
      </c>
      <c r="R28" s="68">
        <v>0.9521662672539003</v>
      </c>
    </row>
    <row r="29" spans="1:18">
      <c r="A29" s="102" t="s">
        <v>335</v>
      </c>
      <c r="B29" s="102" t="s">
        <v>336</v>
      </c>
      <c r="D29" s="103" t="s">
        <v>277</v>
      </c>
      <c r="E29" s="107">
        <v>3.3</v>
      </c>
      <c r="F29" s="107">
        <v>-2.0523945313870318</v>
      </c>
      <c r="G29" s="107">
        <v>-13.867546008180344</v>
      </c>
      <c r="H29" s="107">
        <v>0.62077033956414307</v>
      </c>
      <c r="I29" s="107">
        <v>-1.8185909227640202E-2</v>
      </c>
      <c r="J29" s="107">
        <v>7.5695781598402664E-2</v>
      </c>
      <c r="K29" s="115">
        <v>10</v>
      </c>
      <c r="L29" s="115">
        <v>0</v>
      </c>
      <c r="M29" s="115">
        <v>0</v>
      </c>
      <c r="N29" s="115">
        <v>0</v>
      </c>
      <c r="O29" s="115">
        <v>9.5896011026145516</v>
      </c>
      <c r="P29" s="115">
        <v>11.90370712474567</v>
      </c>
      <c r="Q29" s="111">
        <v>0.95896011026145511</v>
      </c>
      <c r="R29" s="68">
        <v>1.1903707124745668</v>
      </c>
    </row>
    <row r="30" spans="1:18">
      <c r="A30" s="102" t="s">
        <v>337</v>
      </c>
      <c r="B30" s="102" t="s">
        <v>338</v>
      </c>
      <c r="D30" s="103" t="s">
        <v>341</v>
      </c>
      <c r="E30" s="107">
        <v>9.1999999999999993</v>
      </c>
      <c r="F30" s="107">
        <v>2.5901880416887386</v>
      </c>
      <c r="G30" s="107">
        <v>-17.556220640625913</v>
      </c>
      <c r="H30" s="107">
        <v>3.7458429058309264</v>
      </c>
      <c r="I30" s="107">
        <v>1.6337163299651054</v>
      </c>
      <c r="J30" s="107">
        <v>1.7477799996926326</v>
      </c>
      <c r="K30" s="115">
        <v>10</v>
      </c>
      <c r="L30" s="115">
        <v>0</v>
      </c>
      <c r="M30" s="115">
        <v>0</v>
      </c>
      <c r="N30" s="115">
        <v>0</v>
      </c>
      <c r="O30" s="115">
        <v>404.26974753606862</v>
      </c>
      <c r="P30" s="115">
        <v>525.69629110308119</v>
      </c>
      <c r="Q30" s="111">
        <v>40.426974753606856</v>
      </c>
      <c r="R30" s="68">
        <v>52.569629110308114</v>
      </c>
    </row>
    <row r="31" spans="1:18">
      <c r="A31" s="102" t="s">
        <v>275</v>
      </c>
      <c r="B31" s="102" t="s">
        <v>339</v>
      </c>
      <c r="D31" s="103" t="s">
        <v>176</v>
      </c>
      <c r="F31" s="107">
        <v>2.3764371707711547</v>
      </c>
      <c r="G31" s="107">
        <v>-11.161391512313463</v>
      </c>
      <c r="H31" s="107">
        <v>2.6567799999999995</v>
      </c>
      <c r="I31" s="107">
        <v>0.717032144567608</v>
      </c>
      <c r="J31" s="107">
        <v>0.69013713823220491</v>
      </c>
      <c r="K31" s="115">
        <v>10</v>
      </c>
      <c r="L31" s="115">
        <v>0</v>
      </c>
      <c r="M31" s="115">
        <v>0</v>
      </c>
      <c r="N31" s="115">
        <v>0</v>
      </c>
      <c r="O31" s="115">
        <v>40.158141231667727</v>
      </c>
      <c r="P31" s="115">
        <v>37.74666583627193</v>
      </c>
      <c r="Q31" s="111">
        <v>4.0158141231667726</v>
      </c>
      <c r="R31" s="68">
        <v>3.7746665836271922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31"/>
  <sheetViews>
    <sheetView workbookViewId="0">
      <selection activeCell="W31" sqref="W31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285</v>
      </c>
      <c r="B2" s="102" t="s">
        <v>286</v>
      </c>
      <c r="D2" s="107" t="s">
        <v>277</v>
      </c>
      <c r="E2" s="107">
        <v>8.1999999999999993</v>
      </c>
      <c r="F2" s="107">
        <v>-1.7842829228845294E-2</v>
      </c>
      <c r="G2" s="107">
        <v>-3.5178428292288446</v>
      </c>
      <c r="H2" s="107">
        <v>-8.1713097632659604E-2</v>
      </c>
      <c r="I2" s="107">
        <v>-1.7842829228845294E-2</v>
      </c>
      <c r="J2" s="107">
        <v>-3.5178428292288446</v>
      </c>
      <c r="K2" s="107">
        <v>-8.1713097632659604E-2</v>
      </c>
      <c r="L2" s="107">
        <v>0.23869999999999994</v>
      </c>
      <c r="M2" s="107">
        <v>-0.76129999999999998</v>
      </c>
      <c r="N2" s="107">
        <v>0.18163709416907323</v>
      </c>
      <c r="O2" s="107">
        <v>-0.57429999999999992</v>
      </c>
      <c r="P2" s="107">
        <v>-0.57429999999999992</v>
      </c>
      <c r="Q2" s="107">
        <v>-0.57429999999999992</v>
      </c>
      <c r="R2" s="107">
        <v>-14.675671512313464</v>
      </c>
      <c r="S2" s="107">
        <v>-14.739563546456843</v>
      </c>
      <c r="T2" s="107">
        <v>-4.6968428292288449</v>
      </c>
      <c r="U2" s="107">
        <v>-8.1968428292288458</v>
      </c>
      <c r="V2" s="107">
        <v>-4.7607130976326593</v>
      </c>
      <c r="W2" s="112">
        <v>152.10002456018552</v>
      </c>
    </row>
    <row r="3" spans="1:23">
      <c r="A3" s="102" t="s">
        <v>287</v>
      </c>
      <c r="B3" s="102" t="s">
        <v>288</v>
      </c>
      <c r="D3" s="107" t="s">
        <v>176</v>
      </c>
      <c r="F3" s="107">
        <v>1.7527171707711544</v>
      </c>
      <c r="H3" s="107">
        <v>1.7527171707711544</v>
      </c>
      <c r="I3" s="107">
        <v>1.7527171707711544</v>
      </c>
      <c r="K3" s="107">
        <v>1.7527171707711544</v>
      </c>
      <c r="L3" s="107">
        <v>2.0268600000000001</v>
      </c>
      <c r="N3" s="107">
        <v>2.0268600000000001</v>
      </c>
      <c r="O3" s="107">
        <v>1.3370600000000001</v>
      </c>
      <c r="Q3" s="107">
        <v>1.3370600000000001</v>
      </c>
      <c r="R3" s="107">
        <v>-5.8951115123134636</v>
      </c>
      <c r="S3" s="107">
        <v>-5.8951115123134636</v>
      </c>
      <c r="T3" s="107">
        <v>-3.7006828292288447</v>
      </c>
      <c r="V3" s="107">
        <v>-3.7006828292288447</v>
      </c>
      <c r="W3" s="112">
        <v>1067.9673129192126</v>
      </c>
    </row>
    <row r="4" spans="1:23">
      <c r="A4" s="102" t="s">
        <v>289</v>
      </c>
      <c r="B4" s="102" t="s">
        <v>290</v>
      </c>
      <c r="D4" s="107" t="s">
        <v>176</v>
      </c>
      <c r="F4" s="107">
        <v>3.3220771707711547</v>
      </c>
      <c r="H4" s="107">
        <v>3.3220771707711547</v>
      </c>
      <c r="I4" s="107">
        <v>3.3220771707711547</v>
      </c>
      <c r="K4" s="107">
        <v>3.3220771707711547</v>
      </c>
      <c r="L4" s="107">
        <v>3.6118199999999989</v>
      </c>
      <c r="N4" s="107">
        <v>3.6118199999999989</v>
      </c>
      <c r="O4" s="107">
        <v>3.0312199999999998</v>
      </c>
      <c r="Q4" s="107">
        <v>3.0312199999999998</v>
      </c>
      <c r="R4" s="107">
        <v>-4.3557515123134634</v>
      </c>
      <c r="S4" s="107">
        <v>-4.3557515123134634</v>
      </c>
      <c r="T4" s="107">
        <v>-2.8177228292288445</v>
      </c>
      <c r="V4" s="107">
        <v>-2.8177228292288445</v>
      </c>
      <c r="W4" s="112">
        <v>449.39380818936843</v>
      </c>
    </row>
    <row r="5" spans="1:23">
      <c r="A5" s="102" t="s">
        <v>291</v>
      </c>
      <c r="B5" s="102" t="s">
        <v>292</v>
      </c>
      <c r="D5" s="107" t="s">
        <v>277</v>
      </c>
      <c r="E5" s="107">
        <v>4.7</v>
      </c>
      <c r="F5" s="107">
        <v>0.60084717077115468</v>
      </c>
      <c r="G5" s="107">
        <v>-2.8991528292288451</v>
      </c>
      <c r="H5" s="107">
        <v>-2.0361264631682592</v>
      </c>
      <c r="I5" s="107">
        <v>0.60084717077115468</v>
      </c>
      <c r="J5" s="107">
        <v>-2.8991528292288451</v>
      </c>
      <c r="K5" s="107">
        <v>-2.0361264631682592</v>
      </c>
      <c r="L5" s="107">
        <v>0.86353999999999997</v>
      </c>
      <c r="M5" s="107">
        <v>-0.13646000000000005</v>
      </c>
      <c r="N5" s="107">
        <v>-0.12874566885275762</v>
      </c>
      <c r="O5" s="107">
        <v>9.3590000000000062E-2</v>
      </c>
      <c r="P5" s="107">
        <v>9.3590000000000062E-2</v>
      </c>
      <c r="Q5" s="107">
        <v>9.3590000000000062E-2</v>
      </c>
      <c r="R5" s="107">
        <v>-16.171981512313462</v>
      </c>
      <c r="S5" s="107">
        <v>-18.872847180396256</v>
      </c>
      <c r="T5" s="107">
        <v>-4.3487528292288449</v>
      </c>
      <c r="U5" s="107">
        <v>-7.8487528292288449</v>
      </c>
      <c r="V5" s="107">
        <v>-6.985726463168259</v>
      </c>
      <c r="W5" s="112">
        <v>289567.70520483505</v>
      </c>
    </row>
    <row r="6" spans="1:23">
      <c r="A6" s="102" t="s">
        <v>278</v>
      </c>
      <c r="B6" s="102" t="s">
        <v>279</v>
      </c>
      <c r="D6" s="107" t="s">
        <v>176</v>
      </c>
      <c r="F6" s="107">
        <v>4.871317170771154</v>
      </c>
      <c r="H6" s="107">
        <v>4.871317170771154</v>
      </c>
      <c r="I6" s="107">
        <v>4.871317170771154</v>
      </c>
      <c r="K6" s="107">
        <v>4.871317170771154</v>
      </c>
      <c r="L6" s="107">
        <v>5.1764599999999996</v>
      </c>
      <c r="N6" s="107">
        <v>5.1764599999999996</v>
      </c>
      <c r="O6" s="107">
        <v>4.4420599999999997</v>
      </c>
      <c r="Q6" s="107">
        <v>4.4420599999999997</v>
      </c>
      <c r="R6" s="107">
        <v>-3.7165115123134638</v>
      </c>
      <c r="S6" s="107">
        <v>-3.7165115123134638</v>
      </c>
      <c r="T6" s="107">
        <v>-1.9460828292288448</v>
      </c>
      <c r="V6" s="107">
        <v>-1.9460828292288448</v>
      </c>
      <c r="W6" s="112">
        <v>1.4104451355628023</v>
      </c>
    </row>
    <row r="7" spans="1:23">
      <c r="A7" s="102" t="s">
        <v>293</v>
      </c>
      <c r="B7" s="102" t="s">
        <v>294</v>
      </c>
      <c r="D7" s="107" t="s">
        <v>341</v>
      </c>
      <c r="E7" s="107">
        <v>17.600000000000001</v>
      </c>
      <c r="F7" s="107">
        <v>-0.70695282922884517</v>
      </c>
      <c r="G7" s="107">
        <v>-4.2069528292288458</v>
      </c>
      <c r="H7" s="107">
        <v>-4.2069527426031152</v>
      </c>
      <c r="I7" s="107">
        <v>-0.70695282922884517</v>
      </c>
      <c r="J7" s="107">
        <v>-4.2069528292288458</v>
      </c>
      <c r="K7" s="107">
        <v>-4.2069527426031152</v>
      </c>
      <c r="L7" s="107">
        <v>-0.45726</v>
      </c>
      <c r="M7" s="107">
        <v>-1.45726</v>
      </c>
      <c r="N7" s="107">
        <v>-1.4572599997533806</v>
      </c>
      <c r="O7" s="107">
        <v>-1.3182099999999999</v>
      </c>
      <c r="P7" s="107">
        <v>-2.3182099999999997</v>
      </c>
      <c r="Q7" s="107">
        <v>-2.3182099997533805</v>
      </c>
      <c r="R7" s="107">
        <v>-9.3497815123134629</v>
      </c>
      <c r="S7" s="107">
        <v>-19.549781512340864</v>
      </c>
      <c r="T7" s="107">
        <v>-5.0845528292288451</v>
      </c>
      <c r="U7" s="107">
        <v>-8.5845528292288442</v>
      </c>
      <c r="V7" s="107">
        <v>-8.5845527426031136</v>
      </c>
      <c r="W7" s="112">
        <v>1.8357248480915556E+16</v>
      </c>
    </row>
    <row r="8" spans="1:23">
      <c r="A8" s="102" t="s">
        <v>295</v>
      </c>
      <c r="B8" s="102" t="s">
        <v>296</v>
      </c>
      <c r="D8" s="107" t="s">
        <v>341</v>
      </c>
      <c r="E8" s="107">
        <v>6.1</v>
      </c>
      <c r="F8" s="107">
        <v>0.58072717077115465</v>
      </c>
      <c r="G8" s="107">
        <v>-2.919272829228845</v>
      </c>
      <c r="H8" s="107">
        <v>0.55949565190603401</v>
      </c>
      <c r="I8" s="107">
        <v>0.58072717077115465</v>
      </c>
      <c r="J8" s="107">
        <v>-2.919272829228845</v>
      </c>
      <c r="K8" s="107">
        <v>0.55949565190603401</v>
      </c>
      <c r="L8" s="107">
        <v>0.84321999999999997</v>
      </c>
      <c r="M8" s="107">
        <v>-0.15678000000000003</v>
      </c>
      <c r="N8" s="107">
        <v>0.82415279024988986</v>
      </c>
      <c r="O8" s="107">
        <v>7.1870000000000003E-2</v>
      </c>
      <c r="P8" s="107">
        <v>-0.9281299999999999</v>
      </c>
      <c r="Q8" s="107">
        <v>5.2802790249890021E-2</v>
      </c>
      <c r="R8" s="107">
        <v>-9.772101512313462</v>
      </c>
      <c r="S8" s="107">
        <v>-9.7933399142277171</v>
      </c>
      <c r="T8" s="107">
        <v>-4.3600728292288453</v>
      </c>
      <c r="U8" s="107">
        <v>-7.8600728292288453</v>
      </c>
      <c r="V8" s="107">
        <v>-4.3813043480939662</v>
      </c>
      <c r="W8" s="112">
        <v>63135.661590961579</v>
      </c>
    </row>
    <row r="9" spans="1:23">
      <c r="A9" s="102" t="s">
        <v>297</v>
      </c>
      <c r="B9" s="102" t="s">
        <v>298</v>
      </c>
      <c r="D9" s="107" t="s">
        <v>176</v>
      </c>
      <c r="F9" s="107">
        <v>6.5412771707711537</v>
      </c>
      <c r="H9" s="107">
        <v>6.5412771707711537</v>
      </c>
      <c r="I9" s="107">
        <v>6.5412771707711537</v>
      </c>
      <c r="K9" s="107">
        <v>6.5412771707711537</v>
      </c>
      <c r="L9" s="107">
        <v>6.8630199999999997</v>
      </c>
      <c r="N9" s="107">
        <v>6.8630199999999997</v>
      </c>
      <c r="O9" s="107">
        <v>5.0662199999999995</v>
      </c>
      <c r="Q9" s="107">
        <v>5.0662199999999995</v>
      </c>
      <c r="R9" s="107">
        <v>-5.9865515123134632</v>
      </c>
      <c r="S9" s="107">
        <v>-5.9865515123134632</v>
      </c>
      <c r="T9" s="107">
        <v>-1.0065228292288448</v>
      </c>
      <c r="V9" s="107">
        <v>-1.0065228292288448</v>
      </c>
      <c r="W9" s="112">
        <v>1.7715670462431807E-2</v>
      </c>
    </row>
    <row r="10" spans="1:23">
      <c r="A10" s="102" t="s">
        <v>299</v>
      </c>
      <c r="B10" s="102" t="s">
        <v>300</v>
      </c>
      <c r="D10" s="107" t="s">
        <v>176</v>
      </c>
      <c r="F10" s="107">
        <v>2.0746371707711551</v>
      </c>
      <c r="H10" s="107">
        <v>2.0746371707711551</v>
      </c>
      <c r="I10" s="107">
        <v>2.0746371707711551</v>
      </c>
      <c r="K10" s="107">
        <v>2.0746371707711551</v>
      </c>
      <c r="L10" s="107">
        <v>2.3519799999999997</v>
      </c>
      <c r="N10" s="107">
        <v>2.3519799999999997</v>
      </c>
      <c r="O10" s="107">
        <v>1.6845800000000002</v>
      </c>
      <c r="Q10" s="107">
        <v>1.6845800000000002</v>
      </c>
      <c r="R10" s="107">
        <v>-6.1331915123134637</v>
      </c>
      <c r="S10" s="107">
        <v>-6.1331915123134637</v>
      </c>
      <c r="T10" s="107">
        <v>-3.5195628292288443</v>
      </c>
      <c r="V10" s="107">
        <v>-3.5195628292288443</v>
      </c>
      <c r="W10" s="112">
        <v>1167.7374285161602</v>
      </c>
    </row>
    <row r="11" spans="1:23">
      <c r="A11" s="102" t="s">
        <v>301</v>
      </c>
      <c r="B11" s="102" t="s">
        <v>302</v>
      </c>
      <c r="D11" s="107" t="s">
        <v>176</v>
      </c>
      <c r="F11" s="107">
        <v>1.8130771707711544</v>
      </c>
      <c r="H11" s="107">
        <v>1.8130771707711544</v>
      </c>
      <c r="I11" s="107">
        <v>1.8130771707711544</v>
      </c>
      <c r="K11" s="107">
        <v>1.8130771707711544</v>
      </c>
      <c r="L11" s="107">
        <v>2.0878200000000002</v>
      </c>
      <c r="N11" s="107">
        <v>2.0878200000000002</v>
      </c>
      <c r="O11" s="107">
        <v>1.4022200000000002</v>
      </c>
      <c r="Q11" s="107">
        <v>1.4022200000000002</v>
      </c>
      <c r="R11" s="107">
        <v>-18.364751512313465</v>
      </c>
      <c r="S11" s="107">
        <v>-18.364751512313465</v>
      </c>
      <c r="T11" s="107">
        <v>-3.6667228292288443</v>
      </c>
      <c r="V11" s="107">
        <v>-3.6667228292288443</v>
      </c>
      <c r="W11" s="112">
        <v>100.40335484097999</v>
      </c>
    </row>
    <row r="12" spans="1:23">
      <c r="A12" s="102" t="s">
        <v>303</v>
      </c>
      <c r="B12" s="102" t="s">
        <v>304</v>
      </c>
      <c r="D12" s="107" t="s">
        <v>176</v>
      </c>
      <c r="F12" s="107">
        <v>1.1491171707711545</v>
      </c>
      <c r="H12" s="107">
        <v>1.1491171707711545</v>
      </c>
      <c r="I12" s="107">
        <v>1.1491171707711545</v>
      </c>
      <c r="K12" s="107">
        <v>1.1491171707711545</v>
      </c>
      <c r="L12" s="107">
        <v>1.41726</v>
      </c>
      <c r="N12" s="107">
        <v>1.41726</v>
      </c>
      <c r="O12" s="107">
        <v>0.68546000000000007</v>
      </c>
      <c r="Q12" s="107">
        <v>0.68546000000000007</v>
      </c>
      <c r="R12" s="107">
        <v>-30.268711512313462</v>
      </c>
      <c r="S12" s="107">
        <v>-30.268711512313462</v>
      </c>
      <c r="T12" s="107">
        <v>-4.0402828292288442</v>
      </c>
      <c r="V12" s="107">
        <v>-4.0402828292288442</v>
      </c>
      <c r="W12" s="112">
        <v>76.413431494481472</v>
      </c>
    </row>
    <row r="13" spans="1:23">
      <c r="A13" s="102" t="s">
        <v>305</v>
      </c>
      <c r="B13" s="102" t="s">
        <v>306</v>
      </c>
      <c r="D13" s="107" t="s">
        <v>176</v>
      </c>
      <c r="F13" s="107">
        <v>5.4246171707711541</v>
      </c>
      <c r="H13" s="107">
        <v>5.4246171707711541</v>
      </c>
      <c r="I13" s="107">
        <v>5.4246171707711541</v>
      </c>
      <c r="K13" s="107">
        <v>5.4246171707711541</v>
      </c>
      <c r="L13" s="107">
        <v>5.7352599999999994</v>
      </c>
      <c r="N13" s="107">
        <v>5.7352599999999994</v>
      </c>
      <c r="O13" s="107">
        <v>4.64886</v>
      </c>
      <c r="Q13" s="107">
        <v>4.64886</v>
      </c>
      <c r="R13" s="107">
        <v>-6.7832115123134633</v>
      </c>
      <c r="S13" s="107">
        <v>-6.7832115123134633</v>
      </c>
      <c r="T13" s="107">
        <v>-1.6347828292288451</v>
      </c>
      <c r="V13" s="107">
        <v>-1.6347828292288451</v>
      </c>
      <c r="W13" s="112">
        <v>0.18200839174765743</v>
      </c>
    </row>
    <row r="14" spans="1:23">
      <c r="A14" s="102" t="s">
        <v>307</v>
      </c>
      <c r="B14" s="102" t="s">
        <v>308</v>
      </c>
      <c r="D14" s="107" t="s">
        <v>176</v>
      </c>
      <c r="F14" s="107">
        <v>3.1309371707711549</v>
      </c>
      <c r="H14" s="107">
        <v>3.1309371707711549</v>
      </c>
      <c r="I14" s="107">
        <v>3.1309371707711549</v>
      </c>
      <c r="K14" s="107">
        <v>3.1309371707711549</v>
      </c>
      <c r="L14" s="107">
        <v>3.4187799999999995</v>
      </c>
      <c r="N14" s="107">
        <v>3.4187799999999995</v>
      </c>
      <c r="O14" s="107">
        <v>2.8248799999999998</v>
      </c>
      <c r="Q14" s="107">
        <v>2.8248799999999998</v>
      </c>
      <c r="R14" s="107">
        <v>-9.556891512313463</v>
      </c>
      <c r="S14" s="107">
        <v>-9.556891512313463</v>
      </c>
      <c r="T14" s="107">
        <v>-2.9252628292288443</v>
      </c>
      <c r="V14" s="107">
        <v>-2.9252628292288443</v>
      </c>
      <c r="W14" s="112">
        <v>0.46966011438037109</v>
      </c>
    </row>
    <row r="15" spans="1:23">
      <c r="A15" s="102" t="s">
        <v>309</v>
      </c>
      <c r="B15" s="102" t="s">
        <v>310</v>
      </c>
      <c r="D15" s="107" t="s">
        <v>176</v>
      </c>
      <c r="F15" s="107">
        <v>3.9156171707711542</v>
      </c>
      <c r="H15" s="107">
        <v>3.9156171707711542</v>
      </c>
      <c r="I15" s="107">
        <v>3.9156171707711542</v>
      </c>
      <c r="K15" s="107">
        <v>3.9156171707711542</v>
      </c>
      <c r="L15" s="107">
        <v>4.2112599999999993</v>
      </c>
      <c r="N15" s="107">
        <v>4.2112599999999993</v>
      </c>
      <c r="O15" s="107">
        <v>3.6719599999999999</v>
      </c>
      <c r="Q15" s="107">
        <v>3.6719599999999999</v>
      </c>
      <c r="R15" s="107">
        <v>-4.2522115123134636</v>
      </c>
      <c r="S15" s="107">
        <v>-4.2522115123134636</v>
      </c>
      <c r="T15" s="107">
        <v>-2.4837828292288444</v>
      </c>
      <c r="V15" s="107">
        <v>-2.4837828292288444</v>
      </c>
      <c r="W15" s="112">
        <v>0.60688881019684437</v>
      </c>
    </row>
    <row r="16" spans="1:23">
      <c r="A16" s="102" t="s">
        <v>311</v>
      </c>
      <c r="B16" s="102" t="s">
        <v>312</v>
      </c>
      <c r="D16" s="107" t="s">
        <v>277</v>
      </c>
      <c r="E16" s="107">
        <v>3</v>
      </c>
      <c r="F16" s="107">
        <v>1.9237371707711546</v>
      </c>
      <c r="G16" s="107">
        <v>-1.5762628292288452</v>
      </c>
      <c r="H16" s="107">
        <v>-1.5247831764342068</v>
      </c>
      <c r="I16" s="107">
        <v>1.9237371707711546</v>
      </c>
      <c r="J16" s="107">
        <v>-1.5762628292288452</v>
      </c>
      <c r="K16" s="107">
        <v>-1.5247831764342068</v>
      </c>
      <c r="L16" s="107">
        <v>2.1995799999999992</v>
      </c>
      <c r="M16" s="107">
        <v>1.1995799999999996</v>
      </c>
      <c r="N16" s="107">
        <v>1.1997355721103982</v>
      </c>
      <c r="O16" s="107">
        <v>1.5216799999999999</v>
      </c>
      <c r="P16" s="107">
        <v>1.5216799999999999</v>
      </c>
      <c r="Q16" s="107">
        <v>1.5216799999999999</v>
      </c>
      <c r="R16" s="107">
        <v>-15.864091512313463</v>
      </c>
      <c r="S16" s="107">
        <v>-20.264108801544054</v>
      </c>
      <c r="T16" s="107">
        <v>-3.6044628292288445</v>
      </c>
      <c r="U16" s="107">
        <v>-7.1044628292288454</v>
      </c>
      <c r="V16" s="107">
        <v>-7.0529831764342052</v>
      </c>
      <c r="W16" s="112">
        <v>1411297.2051767451</v>
      </c>
    </row>
    <row r="17" spans="1:23">
      <c r="A17" s="102" t="s">
        <v>313</v>
      </c>
      <c r="B17" s="102" t="s">
        <v>314</v>
      </c>
      <c r="D17" s="107" t="s">
        <v>277</v>
      </c>
      <c r="E17" s="107">
        <v>5</v>
      </c>
      <c r="F17" s="107">
        <v>4.7606571707711538</v>
      </c>
      <c r="G17" s="107">
        <v>1.2606571707711545</v>
      </c>
      <c r="H17" s="107">
        <v>2.3921272657307884</v>
      </c>
      <c r="I17" s="107">
        <v>4.7606571707711538</v>
      </c>
      <c r="J17" s="107">
        <v>1.2606571707711545</v>
      </c>
      <c r="K17" s="107">
        <v>2.3921272657307884</v>
      </c>
      <c r="L17" s="107">
        <v>5.0646999999999993</v>
      </c>
      <c r="M17" s="107">
        <v>4.0646999999999984</v>
      </c>
      <c r="N17" s="107">
        <v>4.0799287642507389</v>
      </c>
      <c r="O17" s="107">
        <v>4.4006999999999996</v>
      </c>
      <c r="P17" s="107">
        <v>4.4006999999999996</v>
      </c>
      <c r="Q17" s="107">
        <v>4.4006999999999996</v>
      </c>
      <c r="R17" s="107">
        <v>-17.547171512313462</v>
      </c>
      <c r="S17" s="107">
        <v>-19.948897037342256</v>
      </c>
      <c r="T17" s="107">
        <v>-2.008342829228845</v>
      </c>
      <c r="U17" s="107">
        <v>-5.5083428292288446</v>
      </c>
      <c r="V17" s="107">
        <v>-4.3768727342692104</v>
      </c>
      <c r="W17" s="112">
        <v>1241.1268109543619</v>
      </c>
    </row>
    <row r="18" spans="1:23">
      <c r="A18" s="102" t="s">
        <v>315</v>
      </c>
      <c r="B18" s="168">
        <v>354656</v>
      </c>
      <c r="D18" s="107" t="s">
        <v>176</v>
      </c>
      <c r="F18" s="107">
        <v>1.2337170771154734E-2</v>
      </c>
      <c r="H18" s="107">
        <v>1.2337170771154734E-2</v>
      </c>
      <c r="I18" s="107">
        <v>1.2337170771154734E-2</v>
      </c>
      <c r="K18" s="107">
        <v>1.2337170771154734E-2</v>
      </c>
      <c r="L18" s="107">
        <v>0.26918000000000003</v>
      </c>
      <c r="N18" s="107">
        <v>0.26918000000000003</v>
      </c>
      <c r="O18" s="107">
        <v>-0.54171999999999987</v>
      </c>
      <c r="Q18" s="107">
        <v>-0.54171999999999987</v>
      </c>
      <c r="R18" s="107">
        <v>-11.375491512313465</v>
      </c>
      <c r="S18" s="107">
        <v>-11.375491512313465</v>
      </c>
      <c r="T18" s="107">
        <v>-4.6798628292288447</v>
      </c>
      <c r="V18" s="107">
        <v>-4.6798628292288447</v>
      </c>
      <c r="W18" s="112">
        <v>158750.86025550656</v>
      </c>
    </row>
    <row r="19" spans="1:23">
      <c r="A19" s="102" t="s">
        <v>317</v>
      </c>
      <c r="B19" s="102" t="s">
        <v>318</v>
      </c>
      <c r="D19" s="107" t="s">
        <v>341</v>
      </c>
      <c r="E19" s="107">
        <v>6</v>
      </c>
      <c r="F19" s="107">
        <v>0.61090717077115464</v>
      </c>
      <c r="G19" s="107">
        <v>-2.8890928292288449</v>
      </c>
      <c r="H19" s="107">
        <v>0.59395834890080101</v>
      </c>
      <c r="I19" s="107">
        <v>0.61090717077115464</v>
      </c>
      <c r="J19" s="107">
        <v>-2.8890928292288449</v>
      </c>
      <c r="K19" s="107">
        <v>0.59395834890080101</v>
      </c>
      <c r="L19" s="107">
        <v>0.8736999999999997</v>
      </c>
      <c r="M19" s="107">
        <v>-0.12630000000000005</v>
      </c>
      <c r="N19" s="107">
        <v>0.85847123574925954</v>
      </c>
      <c r="O19" s="107">
        <v>0.10445000000000002</v>
      </c>
      <c r="P19" s="107">
        <v>-0.89554999999999985</v>
      </c>
      <c r="Q19" s="107">
        <v>8.922123574925972E-2</v>
      </c>
      <c r="R19" s="107">
        <v>-11.171921512313462</v>
      </c>
      <c r="S19" s="107">
        <v>-11.188875801592996</v>
      </c>
      <c r="T19" s="107">
        <v>-4.3430928292288451</v>
      </c>
      <c r="U19" s="107">
        <v>-7.8430928292288451</v>
      </c>
      <c r="V19" s="107">
        <v>-4.3600416510991993</v>
      </c>
      <c r="W19" s="112">
        <v>285909.99573127169</v>
      </c>
    </row>
    <row r="20" spans="1:23">
      <c r="A20" s="102" t="s">
        <v>284</v>
      </c>
      <c r="B20" s="102" t="s">
        <v>276</v>
      </c>
      <c r="D20" s="107" t="s">
        <v>277</v>
      </c>
      <c r="E20" s="107">
        <v>5.4</v>
      </c>
      <c r="F20" s="107">
        <v>3.6339371707711541</v>
      </c>
      <c r="G20" s="107">
        <v>0.13393717077115466</v>
      </c>
      <c r="H20" s="107">
        <v>1.6431367190965502</v>
      </c>
      <c r="I20" s="107">
        <v>3.6339371707711541</v>
      </c>
      <c r="J20" s="107">
        <v>0.13393717077115466</v>
      </c>
      <c r="K20" s="107">
        <v>1.6431367190965502</v>
      </c>
      <c r="L20" s="107">
        <v>3.9267799999999999</v>
      </c>
      <c r="M20" s="107">
        <v>2.9267799999999995</v>
      </c>
      <c r="N20" s="107">
        <v>2.9638513113755822</v>
      </c>
      <c r="O20" s="107">
        <v>3.3678799999999995</v>
      </c>
      <c r="P20" s="107">
        <v>3.3678799999999995</v>
      </c>
      <c r="Q20" s="107">
        <v>3.3678799999999995</v>
      </c>
      <c r="R20" s="107">
        <v>-5.7738915123134635</v>
      </c>
      <c r="S20" s="107">
        <v>-7.7782128860961048</v>
      </c>
      <c r="T20" s="107">
        <v>-2.6422628292288444</v>
      </c>
      <c r="U20" s="107">
        <v>-6.1422628292288444</v>
      </c>
      <c r="V20" s="107">
        <v>-4.6330632809034498</v>
      </c>
      <c r="W20" s="112">
        <v>4496.6328499680267</v>
      </c>
    </row>
    <row r="21" spans="1:23">
      <c r="A21" s="102" t="s">
        <v>319</v>
      </c>
      <c r="B21" s="102" t="s">
        <v>320</v>
      </c>
      <c r="D21" s="107" t="s">
        <v>341</v>
      </c>
      <c r="E21" s="107">
        <v>6.6</v>
      </c>
      <c r="F21" s="107">
        <v>4.2576571707711537</v>
      </c>
      <c r="G21" s="107">
        <v>0.75765717077115424</v>
      </c>
      <c r="H21" s="107">
        <v>4.1937869023673393</v>
      </c>
      <c r="I21" s="107">
        <v>4.2576571707711537</v>
      </c>
      <c r="J21" s="107">
        <v>0.75765717077115424</v>
      </c>
      <c r="K21" s="107">
        <v>4.1937869023673393</v>
      </c>
      <c r="L21" s="107">
        <v>4.5566999999999993</v>
      </c>
      <c r="M21" s="107">
        <v>3.5566999999999993</v>
      </c>
      <c r="N21" s="107">
        <v>4.4996370941690724</v>
      </c>
      <c r="O21" s="107">
        <v>4.041199999999999</v>
      </c>
      <c r="P21" s="107">
        <v>3.0411999999999995</v>
      </c>
      <c r="Q21" s="107">
        <v>3.984137094169073</v>
      </c>
      <c r="R21" s="107">
        <v>-19.550171512313462</v>
      </c>
      <c r="S21" s="107">
        <v>-19.61406354645684</v>
      </c>
      <c r="T21" s="107">
        <v>-2.2913428292288449</v>
      </c>
      <c r="U21" s="107">
        <v>-5.7913428292288449</v>
      </c>
      <c r="V21" s="107">
        <v>-2.3552130976326588</v>
      </c>
      <c r="W21" s="112">
        <v>120.32005385890838</v>
      </c>
    </row>
    <row r="22" spans="1:23">
      <c r="A22" s="102" t="s">
        <v>321</v>
      </c>
      <c r="B22" s="102" t="s">
        <v>322</v>
      </c>
      <c r="D22" s="107" t="s">
        <v>341</v>
      </c>
      <c r="E22" s="107">
        <v>9.6</v>
      </c>
      <c r="F22" s="107">
        <v>-0.9936628292288453</v>
      </c>
      <c r="G22" s="107">
        <v>-4.4936628292288452</v>
      </c>
      <c r="H22" s="107">
        <v>-3.1751560316495278</v>
      </c>
      <c r="I22" s="107">
        <v>-0.9936628292288453</v>
      </c>
      <c r="J22" s="107">
        <v>-4.4936628292288452</v>
      </c>
      <c r="K22" s="107">
        <v>-3.1751560316495278</v>
      </c>
      <c r="L22" s="107">
        <v>-0.74682000000000004</v>
      </c>
      <c r="M22" s="107">
        <v>-1.74682</v>
      </c>
      <c r="N22" s="107">
        <v>-1.7229792287388364</v>
      </c>
      <c r="O22" s="107">
        <v>-1.6277199999999996</v>
      </c>
      <c r="P22" s="107">
        <v>-2.6277199999999992</v>
      </c>
      <c r="Q22" s="107">
        <v>-2.6038792287388359</v>
      </c>
      <c r="R22" s="107">
        <v>-8.7114915123134633</v>
      </c>
      <c r="S22" s="107">
        <v>-10.914223116648401</v>
      </c>
      <c r="T22" s="107">
        <v>-5.2458628292288445</v>
      </c>
      <c r="U22" s="107">
        <v>-8.7458628292288427</v>
      </c>
      <c r="V22" s="107">
        <v>-7.427356031649528</v>
      </c>
      <c r="W22" s="102">
        <v>215524775.9380753</v>
      </c>
    </row>
    <row r="23" spans="1:23">
      <c r="A23" s="102" t="s">
        <v>323</v>
      </c>
      <c r="B23" s="102" t="s">
        <v>324</v>
      </c>
      <c r="D23" s="107" t="s">
        <v>341</v>
      </c>
      <c r="E23" s="107">
        <v>9</v>
      </c>
      <c r="F23" s="107">
        <v>2.5172771707711545</v>
      </c>
      <c r="G23" s="107">
        <v>-0.98272282922884502</v>
      </c>
      <c r="H23" s="107">
        <v>0.91193625947924384</v>
      </c>
      <c r="I23" s="107">
        <v>2.5172771707711545</v>
      </c>
      <c r="J23" s="107">
        <v>-0.98272282922884502</v>
      </c>
      <c r="K23" s="107">
        <v>0.91193625947924384</v>
      </c>
      <c r="L23" s="107">
        <v>2.7990199999999996</v>
      </c>
      <c r="M23" s="107">
        <v>1.7990199999999998</v>
      </c>
      <c r="N23" s="107">
        <v>1.8855685681967382</v>
      </c>
      <c r="O23" s="107">
        <v>2.16242</v>
      </c>
      <c r="P23" s="107">
        <v>1.1624200000000002</v>
      </c>
      <c r="Q23" s="107">
        <v>1.2489685681967386</v>
      </c>
      <c r="R23" s="107">
        <v>-11.860551512313464</v>
      </c>
      <c r="S23" s="107">
        <v>-13.471325737825421</v>
      </c>
      <c r="T23" s="107">
        <v>-3.2705228292288444</v>
      </c>
      <c r="U23" s="107">
        <v>-6.7705228292288444</v>
      </c>
      <c r="V23" s="107">
        <v>-4.8758637405207548</v>
      </c>
      <c r="W23" s="102">
        <v>9036.4372678997679</v>
      </c>
    </row>
    <row r="24" spans="1:23">
      <c r="A24" s="102" t="s">
        <v>325</v>
      </c>
      <c r="B24" s="102" t="s">
        <v>326</v>
      </c>
      <c r="D24" s="107" t="s">
        <v>277</v>
      </c>
      <c r="E24" s="107">
        <v>7.3</v>
      </c>
      <c r="F24" s="107">
        <v>-0.59126282922884521</v>
      </c>
      <c r="G24" s="107">
        <v>-4.0912628292288451</v>
      </c>
      <c r="H24" s="107">
        <v>-0.94499185893172233</v>
      </c>
      <c r="I24" s="107">
        <v>-0.59126282922884521</v>
      </c>
      <c r="J24" s="107">
        <v>-4.0912628292288451</v>
      </c>
      <c r="K24" s="107">
        <v>-0.94499185893172233</v>
      </c>
      <c r="L24" s="107">
        <v>-0.34041999999999994</v>
      </c>
      <c r="M24" s="107">
        <v>-1.3404199999999999</v>
      </c>
      <c r="N24" s="107">
        <v>-0.64282494901863718</v>
      </c>
      <c r="O24" s="107">
        <v>-1.1933199999999997</v>
      </c>
      <c r="P24" s="107">
        <v>-1.1933199999999997</v>
      </c>
      <c r="Q24" s="107">
        <v>-1.1933199999999997</v>
      </c>
      <c r="R24" s="107">
        <v>-12.279091512313462</v>
      </c>
      <c r="S24" s="107">
        <v>-12.632993403357329</v>
      </c>
      <c r="T24" s="107">
        <v>-5.0194628292288455</v>
      </c>
      <c r="U24" s="107">
        <v>-8.5194628292288446</v>
      </c>
      <c r="V24" s="107">
        <v>-5.3731918589317225</v>
      </c>
      <c r="W24" s="102">
        <v>287.35245178106493</v>
      </c>
    </row>
    <row r="25" spans="1:23">
      <c r="A25" s="102" t="s">
        <v>327</v>
      </c>
      <c r="B25" s="102" t="s">
        <v>328</v>
      </c>
      <c r="D25" s="107" t="s">
        <v>277</v>
      </c>
      <c r="E25" s="107">
        <v>4.5</v>
      </c>
      <c r="F25" s="107">
        <v>-1.6576228292288453</v>
      </c>
      <c r="G25" s="107">
        <v>-5.1576228292288455</v>
      </c>
      <c r="H25" s="107">
        <v>-4.4608464360130071</v>
      </c>
      <c r="I25" s="107">
        <v>-1.6576228292288453</v>
      </c>
      <c r="J25" s="107">
        <v>-5.1576228292288455</v>
      </c>
      <c r="K25" s="107">
        <v>-4.4608464360130071</v>
      </c>
      <c r="L25" s="107">
        <v>-1.4173799999999999</v>
      </c>
      <c r="M25" s="107">
        <v>-2.4173799999999996</v>
      </c>
      <c r="N25" s="107">
        <v>-2.4124930862728111</v>
      </c>
      <c r="O25" s="107">
        <v>-2.3444799999999999</v>
      </c>
      <c r="P25" s="107">
        <v>-2.3444799999999999</v>
      </c>
      <c r="Q25" s="107">
        <v>-2.3444799999999999</v>
      </c>
      <c r="R25" s="107">
        <v>-28.48545151231346</v>
      </c>
      <c r="S25" s="107">
        <v>-31.385997912806317</v>
      </c>
      <c r="T25" s="107">
        <v>-5.6194228292288448</v>
      </c>
      <c r="U25" s="107">
        <v>-9.1194228292288422</v>
      </c>
      <c r="V25" s="107">
        <v>-8.4226464360130056</v>
      </c>
      <c r="W25" s="102">
        <v>535499834.12688011</v>
      </c>
    </row>
    <row r="26" spans="1:23">
      <c r="A26" s="102" t="s">
        <v>329</v>
      </c>
      <c r="B26" s="102" t="s">
        <v>330</v>
      </c>
      <c r="D26" s="107" t="s">
        <v>176</v>
      </c>
      <c r="F26" s="107">
        <v>-1.0188128292288452</v>
      </c>
      <c r="H26" s="107">
        <v>-1.0188128292288452</v>
      </c>
      <c r="I26" s="107">
        <v>-1.0188128292288452</v>
      </c>
      <c r="K26" s="107">
        <v>-1.0188128292288452</v>
      </c>
      <c r="L26" s="107">
        <v>-0.77222000000000002</v>
      </c>
      <c r="N26" s="107">
        <v>-0.77222000000000002</v>
      </c>
      <c r="O26" s="107">
        <v>-1.6548699999999998</v>
      </c>
      <c r="Q26" s="107">
        <v>-1.6548699999999998</v>
      </c>
      <c r="R26" s="107">
        <v>-14.581641512313464</v>
      </c>
      <c r="S26" s="107">
        <v>-14.581641512313464</v>
      </c>
      <c r="T26" s="107">
        <v>-5.2600128292288453</v>
      </c>
      <c r="V26" s="107">
        <v>-5.2600128292288453</v>
      </c>
      <c r="W26" s="102">
        <v>1375708.8510795245</v>
      </c>
    </row>
    <row r="27" spans="1:23">
      <c r="A27" s="102" t="s">
        <v>331</v>
      </c>
      <c r="B27" s="102" t="s">
        <v>332</v>
      </c>
      <c r="D27" s="107" t="s">
        <v>176</v>
      </c>
      <c r="F27" s="107">
        <v>0.34431717077115459</v>
      </c>
      <c r="H27" s="107">
        <v>0.34431717077115459</v>
      </c>
      <c r="I27" s="107">
        <v>0.34431717077115459</v>
      </c>
      <c r="K27" s="107">
        <v>0.34431717077115459</v>
      </c>
      <c r="L27" s="107">
        <v>0.60446</v>
      </c>
      <c r="N27" s="107">
        <v>0.60446</v>
      </c>
      <c r="O27" s="107">
        <v>-0.18333999999999986</v>
      </c>
      <c r="Q27" s="107">
        <v>-0.18333999999999986</v>
      </c>
      <c r="R27" s="107">
        <v>-10.473511512313463</v>
      </c>
      <c r="S27" s="107">
        <v>-10.473511512313463</v>
      </c>
      <c r="T27" s="107">
        <v>-4.4930828292288449</v>
      </c>
      <c r="V27" s="107">
        <v>-4.4930828292288449</v>
      </c>
      <c r="W27" s="102">
        <v>18565.61481910104</v>
      </c>
    </row>
    <row r="28" spans="1:23">
      <c r="A28" s="102" t="s">
        <v>333</v>
      </c>
      <c r="B28" s="102" t="s">
        <v>334</v>
      </c>
      <c r="D28" s="107" t="s">
        <v>277</v>
      </c>
      <c r="E28" s="107">
        <v>9.1999999999999993</v>
      </c>
      <c r="F28" s="107">
        <v>-1.5167828292288452</v>
      </c>
      <c r="G28" s="107">
        <v>-5.0167828292288448</v>
      </c>
      <c r="H28" s="107">
        <v>-1.5236097809182529</v>
      </c>
      <c r="I28" s="107">
        <v>-1.5167828292288452</v>
      </c>
      <c r="J28" s="107">
        <v>-5.0167828292288448</v>
      </c>
      <c r="K28" s="107">
        <v>-1.5236097809182529</v>
      </c>
      <c r="L28" s="107">
        <v>-1.2751399999999997</v>
      </c>
      <c r="M28" s="107">
        <v>-2.2751399999999999</v>
      </c>
      <c r="N28" s="107">
        <v>-1.2812813628181341</v>
      </c>
      <c r="O28" s="107">
        <v>-2.1924399999999999</v>
      </c>
      <c r="P28" s="107">
        <v>-2.1924399999999999</v>
      </c>
      <c r="Q28" s="107">
        <v>-2.1924399999999999</v>
      </c>
      <c r="R28" s="107">
        <v>-17.584611512313465</v>
      </c>
      <c r="S28" s="107">
        <v>-17.591440640625915</v>
      </c>
      <c r="T28" s="107">
        <v>-5.5401828292288453</v>
      </c>
      <c r="U28" s="107">
        <v>-9.0401828292288435</v>
      </c>
      <c r="V28" s="107">
        <v>-5.5470097809182528</v>
      </c>
      <c r="W28" s="102">
        <v>359130.43015237583</v>
      </c>
    </row>
    <row r="29" spans="1:23">
      <c r="A29" s="102" t="s">
        <v>335</v>
      </c>
      <c r="B29" s="102" t="s">
        <v>336</v>
      </c>
      <c r="D29" s="107" t="s">
        <v>277</v>
      </c>
      <c r="E29" s="107">
        <v>3.3</v>
      </c>
      <c r="F29" s="107">
        <v>1.3503171707711548</v>
      </c>
      <c r="G29" s="107">
        <v>-2.149682829228845</v>
      </c>
      <c r="H29" s="107">
        <v>-2.0523945313870318</v>
      </c>
      <c r="I29" s="107">
        <v>1.3503171707711548</v>
      </c>
      <c r="J29" s="107">
        <v>-2.149682829228845</v>
      </c>
      <c r="K29" s="107">
        <v>-2.0523945313870318</v>
      </c>
      <c r="L29" s="107">
        <v>1.6204599999999998</v>
      </c>
      <c r="M29" s="107">
        <v>0.62046000000000001</v>
      </c>
      <c r="N29" s="107">
        <v>0.62077033956414307</v>
      </c>
      <c r="O29" s="107">
        <v>0.90266000000000013</v>
      </c>
      <c r="P29" s="107">
        <v>0.90266000000000013</v>
      </c>
      <c r="Q29" s="107">
        <v>0.90266000000000013</v>
      </c>
      <c r="R29" s="107">
        <v>-9.7675115123134635</v>
      </c>
      <c r="S29" s="107">
        <v>-13.867546008180344</v>
      </c>
      <c r="T29" s="107">
        <v>-3.9270828292288447</v>
      </c>
      <c r="U29" s="107">
        <v>-7.4270828292288442</v>
      </c>
      <c r="V29" s="107">
        <v>-7.3297945313870319</v>
      </c>
      <c r="W29" s="102">
        <v>255344413.24164638</v>
      </c>
    </row>
    <row r="30" spans="1:23">
      <c r="A30" s="102" t="s">
        <v>337</v>
      </c>
      <c r="B30" s="102" t="s">
        <v>338</v>
      </c>
      <c r="D30" s="107" t="s">
        <v>341</v>
      </c>
      <c r="E30" s="107">
        <v>9.1999999999999993</v>
      </c>
      <c r="F30" s="107">
        <v>4.3884371707711542</v>
      </c>
      <c r="G30" s="107">
        <v>0.88843717077115514</v>
      </c>
      <c r="H30" s="107">
        <v>2.5901880416887386</v>
      </c>
      <c r="I30" s="107">
        <v>4.3884371707711542</v>
      </c>
      <c r="J30" s="107">
        <v>0.88843717077115514</v>
      </c>
      <c r="K30" s="107">
        <v>2.5901880416887386</v>
      </c>
      <c r="L30" s="107">
        <v>4.6887799999999995</v>
      </c>
      <c r="M30" s="107">
        <v>3.6887799999999995</v>
      </c>
      <c r="N30" s="107">
        <v>3.7458429058309264</v>
      </c>
      <c r="O30" s="107">
        <v>4.1823800000000011</v>
      </c>
      <c r="P30" s="107">
        <v>3.1823800000000002</v>
      </c>
      <c r="Q30" s="107">
        <v>3.2394429058309271</v>
      </c>
      <c r="R30" s="107">
        <v>-15.749391512313462</v>
      </c>
      <c r="S30" s="107">
        <v>-17.556220640625913</v>
      </c>
      <c r="T30" s="107">
        <v>-2.2177628292288443</v>
      </c>
      <c r="U30" s="107">
        <v>-5.7177628292288443</v>
      </c>
      <c r="V30" s="107">
        <v>-4.0160119583112603</v>
      </c>
      <c r="W30" s="102">
        <v>181.68236185910365</v>
      </c>
    </row>
    <row r="31" spans="1:23">
      <c r="A31" s="102" t="s">
        <v>275</v>
      </c>
      <c r="B31" s="102" t="s">
        <v>339</v>
      </c>
      <c r="D31" s="107" t="s">
        <v>176</v>
      </c>
      <c r="F31" s="107">
        <v>2.3764371707711547</v>
      </c>
      <c r="H31" s="107">
        <v>2.3764371707711547</v>
      </c>
      <c r="I31" s="107">
        <v>2.3764371707711547</v>
      </c>
      <c r="K31" s="107">
        <v>2.3764371707711547</v>
      </c>
      <c r="L31" s="107">
        <v>2.6567799999999995</v>
      </c>
      <c r="N31" s="107">
        <v>2.6567799999999995</v>
      </c>
      <c r="O31" s="107">
        <v>2.0103800000000001</v>
      </c>
      <c r="Q31" s="107">
        <v>2.0103800000000001</v>
      </c>
      <c r="R31" s="107">
        <v>-11.161391512313463</v>
      </c>
      <c r="S31" s="107">
        <v>-11.161391512313463</v>
      </c>
      <c r="T31" s="107">
        <v>-3.3497628292288444</v>
      </c>
      <c r="V31" s="107">
        <v>-3.3497628292288444</v>
      </c>
      <c r="W31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668F-681C-4F70-BB2C-A29151D518CF}">
  <dimension ref="A1:D84"/>
  <sheetViews>
    <sheetView topLeftCell="A49" workbookViewId="0">
      <selection activeCell="A70" sqref="A70:D84"/>
    </sheetView>
  </sheetViews>
  <sheetFormatPr defaultRowHeight="15"/>
  <cols>
    <col min="2" max="3" width="13.42578125" bestFit="1" customWidth="1"/>
  </cols>
  <sheetData>
    <row r="1" spans="1:4">
      <c r="A1" s="163" t="s">
        <v>280</v>
      </c>
      <c r="B1" s="163" t="s">
        <v>281</v>
      </c>
      <c r="C1" s="163" t="s">
        <v>282</v>
      </c>
      <c r="D1" s="163" t="s">
        <v>283</v>
      </c>
    </row>
    <row r="2" spans="1:4">
      <c r="A2" s="164">
        <f>'Mass Balance'!I2</f>
        <v>0</v>
      </c>
      <c r="B2">
        <f>'Mass Balance'!E2</f>
        <v>2.9656977559971232E-3</v>
      </c>
      <c r="C2">
        <f>SUM('Mass Balance'!E2:H2)</f>
        <v>2.9656977559971232E-3</v>
      </c>
      <c r="D2">
        <f>Concentrations!F2/Concentrations!E2</f>
        <v>1</v>
      </c>
    </row>
    <row r="3" spans="1:4">
      <c r="A3" s="164">
        <f>'Mass Balance'!I3</f>
        <v>0</v>
      </c>
      <c r="B3">
        <f>'Mass Balance'!E3</f>
        <v>2.6481363710793245E-3</v>
      </c>
      <c r="C3">
        <f>SUM('Mass Balance'!E3:H3)</f>
        <v>2.6481363710793245E-3</v>
      </c>
      <c r="D3">
        <f>Concentrations!F3/Concentrations!E3</f>
        <v>0.99999999999999978</v>
      </c>
    </row>
    <row r="4" spans="1:4">
      <c r="A4" s="164">
        <f>'Mass Balance'!I4</f>
        <v>0</v>
      </c>
      <c r="B4">
        <f>'Mass Balance'!E4</f>
        <v>1.4876897051184785E-3</v>
      </c>
      <c r="C4">
        <f>SUM('Mass Balance'!E4:H4)</f>
        <v>1.4876897051184785E-3</v>
      </c>
      <c r="D4">
        <f>Concentrations!F4/Concentrations!E4</f>
        <v>1</v>
      </c>
    </row>
    <row r="5" spans="1:4">
      <c r="A5" s="164">
        <f>'Mass Balance'!I5</f>
        <v>0</v>
      </c>
      <c r="B5">
        <f>'Mass Balance'!E5</f>
        <v>2.9997933318208288E-3</v>
      </c>
      <c r="C5">
        <f>SUM('Mass Balance'!E5:H5)</f>
        <v>2.9997933318208288E-3</v>
      </c>
      <c r="D5">
        <f>Concentrations!F5/Concentrations!E5</f>
        <v>1</v>
      </c>
    </row>
    <row r="6" spans="1:4">
      <c r="A6" s="164">
        <f>'Mass Balance'!I6</f>
        <v>0</v>
      </c>
      <c r="B6">
        <f>'Mass Balance'!E6</f>
        <v>3.5056966700022454E-4</v>
      </c>
      <c r="C6">
        <f>SUM('Mass Balance'!E6:H6)</f>
        <v>3.5056966700022454E-4</v>
      </c>
      <c r="D6">
        <f>Concentrations!F6/Concentrations!E6</f>
        <v>1.0000000000000002</v>
      </c>
    </row>
    <row r="7" spans="1:4">
      <c r="A7" s="164">
        <f>'Mass Balance'!I7</f>
        <v>0</v>
      </c>
      <c r="B7">
        <f>'Mass Balance'!E7</f>
        <v>2.9999947943316085E-3</v>
      </c>
      <c r="C7">
        <f>SUM('Mass Balance'!E7:H7)</f>
        <v>2.9999947943316085E-3</v>
      </c>
      <c r="D7">
        <f>Concentrations!F7/Concentrations!E7</f>
        <v>1</v>
      </c>
    </row>
    <row r="8" spans="1:4">
      <c r="A8" s="164">
        <f>'Mass Balance'!I8</f>
        <v>0</v>
      </c>
      <c r="B8">
        <f>'Mass Balance'!E8</f>
        <v>2.9191172229034983E-3</v>
      </c>
      <c r="C8">
        <f>SUM('Mass Balance'!E8:H8)</f>
        <v>2.9191172229034983E-3</v>
      </c>
      <c r="D8">
        <f>Concentrations!F8/Concentrations!E8</f>
        <v>1</v>
      </c>
    </row>
    <row r="9" spans="1:4">
      <c r="A9" s="164">
        <f>'Mass Balance'!I9</f>
        <v>0</v>
      </c>
      <c r="B9">
        <f>'Mass Balance'!E9</f>
        <v>1.276651726814687E-5</v>
      </c>
      <c r="C9">
        <f>SUM('Mass Balance'!E9:H9)</f>
        <v>1.276651726814687E-5</v>
      </c>
      <c r="D9">
        <f>Concentrations!F9/Concentrations!E9</f>
        <v>1</v>
      </c>
    </row>
    <row r="10" spans="1:4">
      <c r="A10" s="164">
        <f>'Mass Balance'!I10</f>
        <v>0</v>
      </c>
      <c r="B10">
        <f>'Mass Balance'!E10</f>
        <v>2.4967341170591545E-3</v>
      </c>
      <c r="C10">
        <f>SUM('Mass Balance'!E10:H10)</f>
        <v>2.4967341170591545E-3</v>
      </c>
      <c r="D10">
        <f>Concentrations!F10/Concentrations!E10</f>
        <v>1</v>
      </c>
    </row>
    <row r="11" spans="1:4">
      <c r="A11" s="164">
        <f>'Mass Balance'!I11</f>
        <v>0</v>
      </c>
      <c r="B11">
        <f>'Mass Balance'!E11</f>
        <v>2.6232709870138951E-3</v>
      </c>
      <c r="C11">
        <f>SUM('Mass Balance'!E11:H11)</f>
        <v>2.6232709870138951E-3</v>
      </c>
      <c r="D11">
        <f>Concentrations!F11/Concentrations!E11</f>
        <v>1</v>
      </c>
    </row>
    <row r="12" spans="1:4">
      <c r="A12" s="164">
        <f>'Mass Balance'!I12</f>
        <v>0</v>
      </c>
      <c r="B12">
        <f>'Mass Balance'!E12</f>
        <v>2.8281579024517869E-3</v>
      </c>
      <c r="C12">
        <f>SUM('Mass Balance'!E12:H12)</f>
        <v>2.8281579024517869E-3</v>
      </c>
      <c r="D12">
        <f>Concentrations!F12/Concentrations!E12</f>
        <v>1</v>
      </c>
    </row>
    <row r="13" spans="1:4">
      <c r="A13" s="164">
        <f>'Mass Balance'!I13</f>
        <v>0</v>
      </c>
      <c r="B13">
        <f>'Mass Balance'!E13</f>
        <v>1.782066498834766E-4</v>
      </c>
      <c r="C13">
        <f>SUM('Mass Balance'!E13:H13)</f>
        <v>1.782066498834766E-4</v>
      </c>
      <c r="D13">
        <f>Concentrations!F13/Concentrations!E13</f>
        <v>1</v>
      </c>
    </row>
    <row r="14" spans="1:4">
      <c r="A14" s="164">
        <f>'Mass Balance'!I14</f>
        <v>0</v>
      </c>
      <c r="B14">
        <f>'Mass Balance'!E14</f>
        <v>4.1831849152102407E-4</v>
      </c>
      <c r="C14">
        <f>SUM('Mass Balance'!E14:H14)</f>
        <v>4.1831849152102407E-4</v>
      </c>
      <c r="D14">
        <f>Concentrations!F14/Concentrations!E14</f>
        <v>1</v>
      </c>
    </row>
    <row r="15" spans="1:4">
      <c r="A15" s="164">
        <f>'Mass Balance'!I15</f>
        <v>0</v>
      </c>
      <c r="B15">
        <f>'Mass Balance'!E15</f>
        <v>3.914654003720856E-4</v>
      </c>
      <c r="C15">
        <f>SUM('Mass Balance'!E15:H15)</f>
        <v>3.914654003720856E-4</v>
      </c>
      <c r="D15">
        <f>Concentrations!F15/Concentrations!E15</f>
        <v>1</v>
      </c>
    </row>
    <row r="16" spans="1:4">
      <c r="A16" s="164">
        <f>'Mass Balance'!I16</f>
        <v>0</v>
      </c>
      <c r="B16">
        <f>'Mass Balance'!E16</f>
        <v>2.9998229804663553E-3</v>
      </c>
      <c r="C16">
        <f>SUM('Mass Balance'!E16:H16)</f>
        <v>2.9998229804663553E-3</v>
      </c>
      <c r="D16">
        <f>Concentrations!F16/Concentrations!E16</f>
        <v>1</v>
      </c>
    </row>
    <row r="17" spans="1:4">
      <c r="A17" s="164">
        <f>'Mass Balance'!I17</f>
        <v>0</v>
      </c>
      <c r="B17">
        <f>'Mass Balance'!E17</f>
        <v>2.9183102682556255E-3</v>
      </c>
      <c r="C17">
        <f>SUM('Mass Balance'!E17:H17)</f>
        <v>2.9183102682556255E-3</v>
      </c>
      <c r="D17">
        <f>Concentrations!F17/Concentrations!E17</f>
        <v>1</v>
      </c>
    </row>
    <row r="18" spans="1:4">
      <c r="A18" s="164">
        <f>'Mass Balance'!I18</f>
        <v>0</v>
      </c>
      <c r="B18">
        <f>'Mass Balance'!E18</f>
        <v>2.9587752626526148E-3</v>
      </c>
      <c r="C18">
        <f>SUM('Mass Balance'!E18:H18)</f>
        <v>2.9587752626526148E-3</v>
      </c>
      <c r="D18">
        <f>Concentrations!F18/Concentrations!E18</f>
        <v>1.0000000000000002</v>
      </c>
    </row>
    <row r="19" spans="1:4">
      <c r="A19" s="164">
        <f>'Mass Balance'!I19</f>
        <v>0</v>
      </c>
      <c r="B19">
        <f>'Mass Balance'!E19</f>
        <v>2.9151735087289622E-3</v>
      </c>
      <c r="C19">
        <f>SUM('Mass Balance'!E19:H19)</f>
        <v>2.9151735087289622E-3</v>
      </c>
      <c r="D19">
        <f>Concentrations!F19/Concentrations!E19</f>
        <v>0.99999999999999978</v>
      </c>
    </row>
    <row r="20" spans="1:4">
      <c r="A20" s="164">
        <f>'Mass Balance'!I20</f>
        <v>0</v>
      </c>
      <c r="B20">
        <f>'Mass Balance'!E20</f>
        <v>2.9541539522937956E-3</v>
      </c>
      <c r="C20">
        <f>SUM('Mass Balance'!E20:H20)</f>
        <v>2.9541539522937956E-3</v>
      </c>
      <c r="D20">
        <f>Concentrations!F20/Concentrations!E20</f>
        <v>1.0000000000000002</v>
      </c>
    </row>
    <row r="21" spans="1:4">
      <c r="A21" s="164">
        <f>'Mass Balance'!I21</f>
        <v>0</v>
      </c>
      <c r="B21">
        <f>'Mass Balance'!E21</f>
        <v>7.6096572828760964E-4</v>
      </c>
      <c r="C21">
        <f>SUM('Mass Balance'!E21:H21)</f>
        <v>7.6096572828760964E-4</v>
      </c>
      <c r="D21">
        <f>Concentrations!F21/Concentrations!E21</f>
        <v>1</v>
      </c>
    </row>
    <row r="22" spans="1:4">
      <c r="A22" s="164">
        <f>'Mass Balance'!I22</f>
        <v>0</v>
      </c>
      <c r="B22">
        <f>'Mass Balance'!E22</f>
        <v>2.9999252392314294E-3</v>
      </c>
      <c r="C22">
        <f>SUM('Mass Balance'!E22:H22)</f>
        <v>2.9999252392314294E-3</v>
      </c>
      <c r="D22">
        <f>Concentrations!F22/Concentrations!E22</f>
        <v>1</v>
      </c>
    </row>
    <row r="23" spans="1:4">
      <c r="A23" s="164">
        <f>'Mass Balance'!I23</f>
        <v>0</v>
      </c>
      <c r="B23">
        <f>'Mass Balance'!E23</f>
        <v>2.9736166475014662E-3</v>
      </c>
      <c r="C23">
        <f>SUM('Mass Balance'!E23:H23)</f>
        <v>2.9736166475014662E-3</v>
      </c>
      <c r="D23">
        <f>Concentrations!F23/Concentrations!E23</f>
        <v>1</v>
      </c>
    </row>
    <row r="24" spans="1:4">
      <c r="A24" s="164">
        <f>'Mass Balance'!I24</f>
        <v>0</v>
      </c>
      <c r="B24">
        <f>'Mass Balance'!E24</f>
        <v>2.9915547242285179E-3</v>
      </c>
      <c r="C24">
        <f>SUM('Mass Balance'!E24:H24)</f>
        <v>2.9915547242285179E-3</v>
      </c>
      <c r="D24">
        <f>Concentrations!F24/Concentrations!E24</f>
        <v>1</v>
      </c>
    </row>
    <row r="25" spans="1:4">
      <c r="A25" s="164">
        <f>'Mass Balance'!I25</f>
        <v>0</v>
      </c>
      <c r="B25">
        <f>'Mass Balance'!E25</f>
        <v>2.9999924424250028E-3</v>
      </c>
      <c r="C25">
        <f>SUM('Mass Balance'!E25:H25)</f>
        <v>2.9999924424250028E-3</v>
      </c>
      <c r="D25">
        <f>Concentrations!F25/Concentrations!E25</f>
        <v>1</v>
      </c>
    </row>
    <row r="26" spans="1:4">
      <c r="A26" s="164">
        <f>'Mass Balance'!I26</f>
        <v>0</v>
      </c>
      <c r="B26">
        <f>'Mass Balance'!E26</f>
        <v>2.9890496238674201E-3</v>
      </c>
      <c r="C26">
        <f>SUM('Mass Balance'!E26:H26)</f>
        <v>2.9890496238674201E-3</v>
      </c>
      <c r="D26">
        <f>Concentrations!F26/Concentrations!E26</f>
        <v>1</v>
      </c>
    </row>
    <row r="27" spans="1:4">
      <c r="A27" s="164">
        <f>'Mass Balance'!I27</f>
        <v>0</v>
      </c>
      <c r="B27">
        <f>'Mass Balance'!E27</f>
        <v>2.9370866650302203E-3</v>
      </c>
      <c r="C27">
        <f>SUM('Mass Balance'!E27:H27)</f>
        <v>2.9370866650302203E-3</v>
      </c>
      <c r="D27">
        <f>Concentrations!F27/Concentrations!E27</f>
        <v>1</v>
      </c>
    </row>
    <row r="28" spans="1:4">
      <c r="A28" s="164">
        <f>'Mass Balance'!I28</f>
        <v>0</v>
      </c>
      <c r="B28">
        <f>'Mass Balance'!E28</f>
        <v>2.9943350073883173E-3</v>
      </c>
      <c r="C28">
        <f>SUM('Mass Balance'!E28:H28)</f>
        <v>2.9943350073883173E-3</v>
      </c>
      <c r="D28">
        <f>Concentrations!F28/Concentrations!E28</f>
        <v>1.0000000000000002</v>
      </c>
    </row>
    <row r="29" spans="1:4">
      <c r="A29" s="164">
        <f>'Mass Balance'!I29</f>
        <v>0</v>
      </c>
      <c r="B29">
        <f>'Mass Balance'!E29</f>
        <v>2.9999064116209848E-3</v>
      </c>
      <c r="C29">
        <f>SUM('Mass Balance'!E29:H29)</f>
        <v>2.9999064116209848E-3</v>
      </c>
      <c r="D29">
        <f>Concentrations!F29/Concentrations!E29</f>
        <v>1</v>
      </c>
    </row>
    <row r="30" spans="1:4">
      <c r="A30" s="164">
        <f>'Mass Balance'!I30</f>
        <v>0</v>
      </c>
      <c r="B30">
        <f>'Mass Balance'!E30</f>
        <v>2.8188772720336096E-3</v>
      </c>
      <c r="C30">
        <f>SUM('Mass Balance'!E30:H30)</f>
        <v>2.8188772720336096E-3</v>
      </c>
      <c r="D30">
        <f>Concentrations!F30/Concentrations!E30</f>
        <v>1</v>
      </c>
    </row>
    <row r="31" spans="1:4">
      <c r="A31" s="164">
        <f>'Mass Balance'!I31</f>
        <v>0</v>
      </c>
      <c r="B31">
        <f>'Mass Balance'!E31</f>
        <v>2.3113340268275787E-3</v>
      </c>
      <c r="C31">
        <f>SUM('Mass Balance'!E31:H31)</f>
        <v>2.3113340268275787E-3</v>
      </c>
      <c r="D31">
        <f>Concentrations!F31/Concentrations!E31</f>
        <v>1</v>
      </c>
    </row>
    <row r="32" spans="1:4">
      <c r="A32" s="164">
        <f>'Mass Balance'!I32</f>
        <v>0</v>
      </c>
      <c r="B32">
        <f>'Mass Balance'!E32</f>
        <v>0</v>
      </c>
      <c r="C32">
        <f>SUM('Mass Balance'!E32:H32)</f>
        <v>0</v>
      </c>
      <c r="D32" t="e">
        <f>Concentrations!F32/Concentrations!E32</f>
        <v>#DIV/0!</v>
      </c>
    </row>
    <row r="33" spans="1:4">
      <c r="A33" s="164">
        <f>'Mass Balance'!I33</f>
        <v>0</v>
      </c>
      <c r="B33">
        <f>'Mass Balance'!E33</f>
        <v>0</v>
      </c>
      <c r="C33">
        <f>SUM('Mass Balance'!E33:H33)</f>
        <v>0</v>
      </c>
      <c r="D33" t="e">
        <f>Concentrations!F33/Concentrations!E33</f>
        <v>#DIV/0!</v>
      </c>
    </row>
    <row r="34" spans="1:4">
      <c r="A34" s="164">
        <f>'Mass Balance'!I34</f>
        <v>0</v>
      </c>
      <c r="B34">
        <f>'Mass Balance'!E34</f>
        <v>0</v>
      </c>
      <c r="C34">
        <f>SUM('Mass Balance'!E34:H34)</f>
        <v>0</v>
      </c>
      <c r="D34" t="e">
        <f>Concentrations!F34/Concentrations!E34</f>
        <v>#DIV/0!</v>
      </c>
    </row>
    <row r="35" spans="1:4">
      <c r="A35" s="164">
        <f>'Mass Balance'!I35</f>
        <v>0</v>
      </c>
      <c r="B35">
        <f>'Mass Balance'!E35</f>
        <v>0</v>
      </c>
      <c r="C35">
        <f>SUM('Mass Balance'!E35:H35)</f>
        <v>0</v>
      </c>
      <c r="D35" t="e">
        <f>Concentrations!F35/Concentrations!E35</f>
        <v>#DIV/0!</v>
      </c>
    </row>
    <row r="36" spans="1:4">
      <c r="A36" s="164">
        <f>'Mass Balance'!I36</f>
        <v>0</v>
      </c>
      <c r="B36">
        <f>'Mass Balance'!E36</f>
        <v>0</v>
      </c>
      <c r="C36">
        <f>SUM('Mass Balance'!E36:H36)</f>
        <v>0</v>
      </c>
      <c r="D36" t="e">
        <f>Concentrations!F36/Concentrations!E36</f>
        <v>#DIV/0!</v>
      </c>
    </row>
    <row r="37" spans="1:4">
      <c r="A37" s="164">
        <f>'Mass Balance'!I37</f>
        <v>0</v>
      </c>
      <c r="B37">
        <f>'Mass Balance'!E37</f>
        <v>0</v>
      </c>
      <c r="C37">
        <f>SUM('Mass Balance'!E37:H37)</f>
        <v>0</v>
      </c>
      <c r="D37" t="e">
        <f>Concentrations!F37/Concentrations!E37</f>
        <v>#DIV/0!</v>
      </c>
    </row>
    <row r="38" spans="1:4">
      <c r="A38" s="164">
        <f>'Mass Balance'!I38</f>
        <v>0</v>
      </c>
      <c r="B38">
        <f>'Mass Balance'!E38</f>
        <v>0</v>
      </c>
      <c r="C38">
        <f>SUM('Mass Balance'!E38:H38)</f>
        <v>0</v>
      </c>
      <c r="D38" t="e">
        <f>Concentrations!F38/Concentrations!E38</f>
        <v>#DIV/0!</v>
      </c>
    </row>
    <row r="39" spans="1:4">
      <c r="A39" s="164">
        <f>'Mass Balance'!I39</f>
        <v>0</v>
      </c>
      <c r="B39">
        <f>'Mass Balance'!E39</f>
        <v>0</v>
      </c>
      <c r="C39">
        <f>SUM('Mass Balance'!E39:H39)</f>
        <v>0</v>
      </c>
      <c r="D39" t="e">
        <f>Concentrations!F39/Concentrations!E39</f>
        <v>#DIV/0!</v>
      </c>
    </row>
    <row r="40" spans="1:4">
      <c r="A40" s="164">
        <f>'Mass Balance'!I40</f>
        <v>0</v>
      </c>
      <c r="B40">
        <f>'Mass Balance'!E40</f>
        <v>0</v>
      </c>
      <c r="C40">
        <f>SUM('Mass Balance'!E40:H40)</f>
        <v>0</v>
      </c>
      <c r="D40" t="e">
        <f>Concentrations!F40/Concentrations!E40</f>
        <v>#DIV/0!</v>
      </c>
    </row>
    <row r="41" spans="1:4">
      <c r="A41" s="164">
        <f>'Mass Balance'!I41</f>
        <v>0</v>
      </c>
      <c r="B41">
        <f>'Mass Balance'!E41</f>
        <v>0</v>
      </c>
      <c r="C41">
        <f>SUM('Mass Balance'!E41:H41)</f>
        <v>0</v>
      </c>
      <c r="D41" t="e">
        <f>Concentrations!F41/Concentrations!E41</f>
        <v>#DIV/0!</v>
      </c>
    </row>
    <row r="42" spans="1:4">
      <c r="A42" s="164">
        <f>'Mass Balance'!I42</f>
        <v>0</v>
      </c>
      <c r="B42">
        <f>'Mass Balance'!E42</f>
        <v>0</v>
      </c>
      <c r="C42">
        <f>SUM('Mass Balance'!E42:H42)</f>
        <v>0</v>
      </c>
      <c r="D42" t="e">
        <f>Concentrations!F42/Concentrations!E42</f>
        <v>#DIV/0!</v>
      </c>
    </row>
    <row r="43" spans="1:4">
      <c r="A43" s="164">
        <f>'Mass Balance'!I43</f>
        <v>0</v>
      </c>
      <c r="B43">
        <f>'Mass Balance'!E43</f>
        <v>0</v>
      </c>
      <c r="C43">
        <f>SUM('Mass Balance'!E43:H43)</f>
        <v>0</v>
      </c>
      <c r="D43" t="e">
        <f>Concentrations!F43/Concentrations!E43</f>
        <v>#DIV/0!</v>
      </c>
    </row>
    <row r="44" spans="1:4">
      <c r="A44" s="164">
        <f>'Mass Balance'!I44</f>
        <v>0</v>
      </c>
      <c r="B44">
        <f>'Mass Balance'!E44</f>
        <v>0</v>
      </c>
      <c r="C44">
        <f>SUM('Mass Balance'!E44:H44)</f>
        <v>0</v>
      </c>
      <c r="D44" t="e">
        <f>Concentrations!F44/Concentrations!E44</f>
        <v>#DIV/0!</v>
      </c>
    </row>
    <row r="45" spans="1:4">
      <c r="A45" s="164">
        <f>'Mass Balance'!I45</f>
        <v>0</v>
      </c>
      <c r="B45">
        <f>'Mass Balance'!E45</f>
        <v>0</v>
      </c>
      <c r="C45">
        <f>SUM('Mass Balance'!E45:H45)</f>
        <v>0</v>
      </c>
      <c r="D45" t="e">
        <f>Concentrations!F45/Concentrations!E45</f>
        <v>#DIV/0!</v>
      </c>
    </row>
    <row r="46" spans="1:4">
      <c r="A46" s="164">
        <f>'Mass Balance'!I46</f>
        <v>0</v>
      </c>
      <c r="B46">
        <f>'Mass Balance'!E46</f>
        <v>0</v>
      </c>
      <c r="C46">
        <f>SUM('Mass Balance'!E46:H46)</f>
        <v>0</v>
      </c>
      <c r="D46" t="e">
        <f>Concentrations!F46/Concentrations!E46</f>
        <v>#DIV/0!</v>
      </c>
    </row>
    <row r="47" spans="1:4">
      <c r="A47" s="164">
        <f>'Mass Balance'!I47</f>
        <v>0</v>
      </c>
      <c r="B47">
        <f>'Mass Balance'!E47</f>
        <v>0</v>
      </c>
      <c r="C47">
        <f>SUM('Mass Balance'!E47:H47)</f>
        <v>0</v>
      </c>
      <c r="D47" t="e">
        <f>Concentrations!F47/Concentrations!E47</f>
        <v>#DIV/0!</v>
      </c>
    </row>
    <row r="48" spans="1:4">
      <c r="A48" s="164">
        <f>'Mass Balance'!I48</f>
        <v>0</v>
      </c>
      <c r="B48">
        <f>'Mass Balance'!E48</f>
        <v>0</v>
      </c>
      <c r="C48">
        <f>SUM('Mass Balance'!E48:H48)</f>
        <v>0</v>
      </c>
      <c r="D48" t="e">
        <f>Concentrations!F48/Concentrations!E48</f>
        <v>#DIV/0!</v>
      </c>
    </row>
    <row r="49" spans="1:4">
      <c r="A49" s="164">
        <f>'Mass Balance'!I49</f>
        <v>0</v>
      </c>
      <c r="B49">
        <f>'Mass Balance'!E49</f>
        <v>0</v>
      </c>
      <c r="C49">
        <f>SUM('Mass Balance'!E49:H49)</f>
        <v>0</v>
      </c>
      <c r="D49" t="e">
        <f>Concentrations!F49/Concentrations!E49</f>
        <v>#DIV/0!</v>
      </c>
    </row>
    <row r="50" spans="1:4">
      <c r="A50" s="164">
        <f>'Mass Balance'!I50</f>
        <v>0</v>
      </c>
      <c r="B50">
        <f>'Mass Balance'!E50</f>
        <v>0</v>
      </c>
      <c r="C50">
        <f>SUM('Mass Balance'!E50:H50)</f>
        <v>0</v>
      </c>
      <c r="D50" t="e">
        <f>Concentrations!F50/Concentrations!E50</f>
        <v>#DIV/0!</v>
      </c>
    </row>
    <row r="51" spans="1:4">
      <c r="A51" s="164">
        <f>'Mass Balance'!I51</f>
        <v>0</v>
      </c>
      <c r="B51">
        <f>'Mass Balance'!E51</f>
        <v>0</v>
      </c>
      <c r="C51">
        <f>SUM('Mass Balance'!E51:H51)</f>
        <v>0</v>
      </c>
      <c r="D51" t="e">
        <f>Concentrations!F51/Concentrations!E51</f>
        <v>#DIV/0!</v>
      </c>
    </row>
    <row r="52" spans="1:4">
      <c r="A52" s="164">
        <f>'Mass Balance'!I52</f>
        <v>0</v>
      </c>
      <c r="B52">
        <f>'Mass Balance'!E52</f>
        <v>0</v>
      </c>
      <c r="C52">
        <f>SUM('Mass Balance'!E52:H52)</f>
        <v>0</v>
      </c>
      <c r="D52" t="e">
        <f>Concentrations!F52/Concentrations!E52</f>
        <v>#DIV/0!</v>
      </c>
    </row>
    <row r="53" spans="1:4">
      <c r="A53" s="164">
        <f>'Mass Balance'!I53</f>
        <v>0</v>
      </c>
      <c r="B53">
        <f>'Mass Balance'!E53</f>
        <v>0</v>
      </c>
      <c r="C53">
        <f>SUM('Mass Balance'!E53:H53)</f>
        <v>0</v>
      </c>
      <c r="D53" t="e">
        <f>Concentrations!F53/Concentrations!E53</f>
        <v>#DIV/0!</v>
      </c>
    </row>
    <row r="54" spans="1:4">
      <c r="A54" s="164">
        <f>'Mass Balance'!I54</f>
        <v>0</v>
      </c>
      <c r="B54">
        <f>'Mass Balance'!E54</f>
        <v>0</v>
      </c>
      <c r="C54">
        <f>SUM('Mass Balance'!E54:H54)</f>
        <v>0</v>
      </c>
      <c r="D54" t="e">
        <f>Concentrations!F54/Concentrations!E54</f>
        <v>#DIV/0!</v>
      </c>
    </row>
    <row r="55" spans="1:4">
      <c r="A55" s="164">
        <f>'Mass Balance'!I55</f>
        <v>0</v>
      </c>
      <c r="B55">
        <f>'Mass Balance'!E55</f>
        <v>0</v>
      </c>
      <c r="C55">
        <f>SUM('Mass Balance'!E55:H55)</f>
        <v>0</v>
      </c>
      <c r="D55" t="e">
        <f>Concentrations!F55/Concentrations!E55</f>
        <v>#DIV/0!</v>
      </c>
    </row>
    <row r="56" spans="1:4">
      <c r="A56" s="164">
        <f>'Mass Balance'!I56</f>
        <v>0</v>
      </c>
      <c r="B56">
        <f>'Mass Balance'!E56</f>
        <v>0</v>
      </c>
      <c r="C56">
        <f>SUM('Mass Balance'!E56:H56)</f>
        <v>0</v>
      </c>
      <c r="D56" t="e">
        <f>Concentrations!F56/Concentrations!E56</f>
        <v>#DIV/0!</v>
      </c>
    </row>
    <row r="57" spans="1:4">
      <c r="A57" s="164">
        <f>'Mass Balance'!I57</f>
        <v>0</v>
      </c>
      <c r="B57">
        <f>'Mass Balance'!E57</f>
        <v>0</v>
      </c>
      <c r="C57">
        <f>SUM('Mass Balance'!E57:H57)</f>
        <v>0</v>
      </c>
      <c r="D57" t="e">
        <f>Concentrations!F57/Concentrations!E57</f>
        <v>#DIV/0!</v>
      </c>
    </row>
    <row r="58" spans="1:4">
      <c r="A58" s="164">
        <f>'Mass Balance'!I58</f>
        <v>0</v>
      </c>
      <c r="B58">
        <f>'Mass Balance'!E58</f>
        <v>0</v>
      </c>
      <c r="C58">
        <f>SUM('Mass Balance'!E58:H58)</f>
        <v>0</v>
      </c>
      <c r="D58" t="e">
        <f>Concentrations!F58/Concentrations!E58</f>
        <v>#DIV/0!</v>
      </c>
    </row>
    <row r="59" spans="1:4">
      <c r="A59" s="164">
        <f>'Mass Balance'!I59</f>
        <v>0</v>
      </c>
      <c r="B59">
        <f>'Mass Balance'!E59</f>
        <v>0</v>
      </c>
      <c r="C59">
        <f>SUM('Mass Balance'!E59:H59)</f>
        <v>0</v>
      </c>
      <c r="D59" t="e">
        <f>Concentrations!F59/Concentrations!E59</f>
        <v>#DIV/0!</v>
      </c>
    </row>
    <row r="60" spans="1:4">
      <c r="A60" s="164">
        <f>'Mass Balance'!I60</f>
        <v>0</v>
      </c>
      <c r="B60">
        <f>'Mass Balance'!E60</f>
        <v>0</v>
      </c>
      <c r="C60">
        <f>SUM('Mass Balance'!E60:H60)</f>
        <v>0</v>
      </c>
      <c r="D60" t="e">
        <f>Concentrations!F60/Concentrations!E60</f>
        <v>#DIV/0!</v>
      </c>
    </row>
    <row r="61" spans="1:4">
      <c r="A61" s="164">
        <f>'Mass Balance'!I61</f>
        <v>0</v>
      </c>
      <c r="B61">
        <f>'Mass Balance'!E61</f>
        <v>0</v>
      </c>
      <c r="C61">
        <f>SUM('Mass Balance'!E61:H61)</f>
        <v>0</v>
      </c>
      <c r="D61" t="e">
        <f>Concentrations!F61/Concentrations!E61</f>
        <v>#DIV/0!</v>
      </c>
    </row>
    <row r="62" spans="1:4">
      <c r="A62" s="164">
        <f>'Mass Balance'!I62</f>
        <v>0</v>
      </c>
      <c r="B62">
        <f>'Mass Balance'!E62</f>
        <v>0</v>
      </c>
      <c r="C62">
        <f>SUM('Mass Balance'!E62:H62)</f>
        <v>0</v>
      </c>
      <c r="D62" t="e">
        <f>Concentrations!F62/Concentrations!E62</f>
        <v>#DIV/0!</v>
      </c>
    </row>
    <row r="63" spans="1:4">
      <c r="A63" s="164">
        <f>'Mass Balance'!I63</f>
        <v>0</v>
      </c>
      <c r="B63">
        <f>'Mass Balance'!E63</f>
        <v>0</v>
      </c>
      <c r="C63">
        <f>SUM('Mass Balance'!E63:H63)</f>
        <v>0</v>
      </c>
      <c r="D63" t="e">
        <f>Concentrations!F63/Concentrations!E63</f>
        <v>#DIV/0!</v>
      </c>
    </row>
    <row r="64" spans="1:4">
      <c r="A64" s="164">
        <f>'Mass Balance'!I64</f>
        <v>0</v>
      </c>
      <c r="B64">
        <f>'Mass Balance'!E64</f>
        <v>0</v>
      </c>
      <c r="C64">
        <f>SUM('Mass Balance'!E64:H64)</f>
        <v>0</v>
      </c>
      <c r="D64" t="e">
        <f>Concentrations!F64/Concentrations!E64</f>
        <v>#DIV/0!</v>
      </c>
    </row>
    <row r="65" spans="1:4">
      <c r="A65" s="164">
        <f>'Mass Balance'!I65</f>
        <v>0</v>
      </c>
      <c r="B65">
        <f>'Mass Balance'!E65</f>
        <v>0</v>
      </c>
      <c r="C65">
        <f>SUM('Mass Balance'!E65:H65)</f>
        <v>0</v>
      </c>
      <c r="D65" t="e">
        <f>Concentrations!F65/Concentrations!E65</f>
        <v>#DIV/0!</v>
      </c>
    </row>
    <row r="66" spans="1:4">
      <c r="A66" s="164">
        <f>'Mass Balance'!I66</f>
        <v>0</v>
      </c>
      <c r="B66">
        <f>'Mass Balance'!E66</f>
        <v>0</v>
      </c>
      <c r="C66">
        <f>SUM('Mass Balance'!E66:H66)</f>
        <v>0</v>
      </c>
      <c r="D66" t="e">
        <f>Concentrations!F66/Concentrations!E66</f>
        <v>#DIV/0!</v>
      </c>
    </row>
    <row r="67" spans="1:4">
      <c r="A67" s="164">
        <f>'Mass Balance'!I67</f>
        <v>0</v>
      </c>
      <c r="B67">
        <f>'Mass Balance'!E67</f>
        <v>0</v>
      </c>
      <c r="C67">
        <f>SUM('Mass Balance'!E67:H67)</f>
        <v>0</v>
      </c>
      <c r="D67" t="e">
        <f>Concentrations!F67/Concentrations!E67</f>
        <v>#DIV/0!</v>
      </c>
    </row>
    <row r="68" spans="1:4">
      <c r="A68" s="164">
        <f>'Mass Balance'!I68</f>
        <v>0</v>
      </c>
      <c r="B68">
        <f>'Mass Balance'!E68</f>
        <v>0</v>
      </c>
      <c r="C68">
        <f>SUM('Mass Balance'!E68:H68)</f>
        <v>0</v>
      </c>
      <c r="D68" t="e">
        <f>Concentrations!F68/Concentrations!E68</f>
        <v>#DIV/0!</v>
      </c>
    </row>
    <row r="69" spans="1:4">
      <c r="A69" s="164">
        <f>'Mass Balance'!I69</f>
        <v>0</v>
      </c>
      <c r="B69">
        <f>'Mass Balance'!E69</f>
        <v>0</v>
      </c>
      <c r="C69">
        <f>SUM('Mass Balance'!E69:H69)</f>
        <v>0</v>
      </c>
      <c r="D69" t="e">
        <f>Concentrations!F69/Concentrations!E69</f>
        <v>#DIV/0!</v>
      </c>
    </row>
    <row r="70" spans="1:4">
      <c r="A70" s="164">
        <f>'Mass Balance'!I70</f>
        <v>0</v>
      </c>
      <c r="B70">
        <f>'Mass Balance'!E70</f>
        <v>0</v>
      </c>
      <c r="C70">
        <f>SUM('Mass Balance'!E70:H70)</f>
        <v>0</v>
      </c>
      <c r="D70" t="e">
        <f>Concentrations!F70/Concentrations!E70</f>
        <v>#DIV/0!</v>
      </c>
    </row>
    <row r="71" spans="1:4">
      <c r="A71" s="164">
        <f>'Mass Balance'!I71</f>
        <v>0</v>
      </c>
      <c r="B71">
        <f>'Mass Balance'!E71</f>
        <v>0</v>
      </c>
      <c r="C71">
        <f>SUM('Mass Balance'!E71:H71)</f>
        <v>0</v>
      </c>
      <c r="D71" t="e">
        <f>Concentrations!F71/Concentrations!E71</f>
        <v>#DIV/0!</v>
      </c>
    </row>
    <row r="72" spans="1:4">
      <c r="A72" s="164">
        <f>'Mass Balance'!I72</f>
        <v>0</v>
      </c>
      <c r="B72">
        <f>'Mass Balance'!E72</f>
        <v>0</v>
      </c>
      <c r="C72">
        <f>SUM('Mass Balance'!E72:H72)</f>
        <v>0</v>
      </c>
      <c r="D72" t="e">
        <f>Concentrations!F72/Concentrations!E72</f>
        <v>#DIV/0!</v>
      </c>
    </row>
    <row r="73" spans="1:4">
      <c r="A73" s="164">
        <f>'Mass Balance'!I73</f>
        <v>0</v>
      </c>
      <c r="B73">
        <f>'Mass Balance'!E73</f>
        <v>0</v>
      </c>
      <c r="C73">
        <f>SUM('Mass Balance'!E73:H73)</f>
        <v>0</v>
      </c>
      <c r="D73" t="e">
        <f>Concentrations!F73/Concentrations!E73</f>
        <v>#DIV/0!</v>
      </c>
    </row>
    <row r="74" spans="1:4">
      <c r="A74" s="164">
        <f>'Mass Balance'!I74</f>
        <v>0</v>
      </c>
      <c r="B74">
        <f>'Mass Balance'!E74</f>
        <v>0</v>
      </c>
      <c r="C74">
        <f>SUM('Mass Balance'!E74:H74)</f>
        <v>0</v>
      </c>
      <c r="D74" t="e">
        <f>Concentrations!F74/Concentrations!E74</f>
        <v>#DIV/0!</v>
      </c>
    </row>
    <row r="75" spans="1:4">
      <c r="A75" s="164">
        <f>'Mass Balance'!I75</f>
        <v>0</v>
      </c>
      <c r="B75">
        <f>'Mass Balance'!E75</f>
        <v>0</v>
      </c>
      <c r="C75">
        <f>SUM('Mass Balance'!E75:H75)</f>
        <v>0</v>
      </c>
      <c r="D75" t="e">
        <f>Concentrations!F75/Concentrations!E75</f>
        <v>#DIV/0!</v>
      </c>
    </row>
    <row r="76" spans="1:4">
      <c r="A76" s="164">
        <f>'Mass Balance'!I76</f>
        <v>0</v>
      </c>
      <c r="B76">
        <f>'Mass Balance'!E76</f>
        <v>0</v>
      </c>
      <c r="C76">
        <f>SUM('Mass Balance'!E76:H76)</f>
        <v>0</v>
      </c>
      <c r="D76" t="e">
        <f>Concentrations!F76/Concentrations!E76</f>
        <v>#DIV/0!</v>
      </c>
    </row>
    <row r="77" spans="1:4">
      <c r="A77" s="164">
        <f>'Mass Balance'!I77</f>
        <v>0</v>
      </c>
      <c r="B77">
        <f>'Mass Balance'!E77</f>
        <v>0</v>
      </c>
      <c r="C77">
        <f>SUM('Mass Balance'!E77:H77)</f>
        <v>0</v>
      </c>
      <c r="D77" t="e">
        <f>Concentrations!F77/Concentrations!E77</f>
        <v>#DIV/0!</v>
      </c>
    </row>
    <row r="78" spans="1:4">
      <c r="A78" s="164">
        <f>'Mass Balance'!I78</f>
        <v>0</v>
      </c>
      <c r="B78">
        <f>'Mass Balance'!E78</f>
        <v>0</v>
      </c>
      <c r="C78">
        <f>SUM('Mass Balance'!E78:H78)</f>
        <v>0</v>
      </c>
      <c r="D78" t="e">
        <f>Concentrations!F78/Concentrations!E78</f>
        <v>#DIV/0!</v>
      </c>
    </row>
    <row r="79" spans="1:4">
      <c r="A79" s="164">
        <f>'Mass Balance'!I79</f>
        <v>0</v>
      </c>
      <c r="B79">
        <f>'Mass Balance'!E79</f>
        <v>0</v>
      </c>
      <c r="C79">
        <f>SUM('Mass Balance'!E79:H79)</f>
        <v>0</v>
      </c>
      <c r="D79" t="e">
        <f>Concentrations!F79/Concentrations!E79</f>
        <v>#DIV/0!</v>
      </c>
    </row>
    <row r="80" spans="1:4">
      <c r="A80" s="164">
        <f>'Mass Balance'!I80</f>
        <v>0</v>
      </c>
      <c r="B80">
        <f>'Mass Balance'!E80</f>
        <v>0</v>
      </c>
      <c r="C80">
        <f>SUM('Mass Balance'!E80:H80)</f>
        <v>0</v>
      </c>
      <c r="D80" t="e">
        <f>Concentrations!F80/Concentrations!E80</f>
        <v>#DIV/0!</v>
      </c>
    </row>
    <row r="81" spans="1:4">
      <c r="A81" s="164">
        <f>'Mass Balance'!I81</f>
        <v>0</v>
      </c>
      <c r="B81">
        <f>'Mass Balance'!E81</f>
        <v>0</v>
      </c>
      <c r="C81">
        <f>SUM('Mass Balance'!E81:H81)</f>
        <v>0</v>
      </c>
      <c r="D81" t="e">
        <f>Concentrations!F81/Concentrations!E81</f>
        <v>#DIV/0!</v>
      </c>
    </row>
    <row r="82" spans="1:4">
      <c r="A82" s="164">
        <f>'Mass Balance'!I82</f>
        <v>0</v>
      </c>
      <c r="B82">
        <f>'Mass Balance'!E82</f>
        <v>0</v>
      </c>
      <c r="C82">
        <f>SUM('Mass Balance'!E82:H82)</f>
        <v>0</v>
      </c>
      <c r="D82" t="e">
        <f>Concentrations!F82/Concentrations!E82</f>
        <v>#DIV/0!</v>
      </c>
    </row>
    <row r="83" spans="1:4">
      <c r="A83" s="164">
        <f>'Mass Balance'!I83</f>
        <v>0</v>
      </c>
      <c r="B83">
        <f>'Mass Balance'!E83</f>
        <v>0</v>
      </c>
      <c r="C83">
        <f>SUM('Mass Balance'!E83:H83)</f>
        <v>0</v>
      </c>
      <c r="D83" t="e">
        <f>Concentrations!F83/Concentrations!E83</f>
        <v>#DIV/0!</v>
      </c>
    </row>
    <row r="84" spans="1:4">
      <c r="A84" s="164">
        <f>'Mass Balance'!I84</f>
        <v>0</v>
      </c>
      <c r="B84">
        <f>'Mass Balance'!E84</f>
        <v>0</v>
      </c>
      <c r="C84">
        <f>SUM('Mass Balance'!E84:H84)</f>
        <v>0</v>
      </c>
      <c r="D84" t="e">
        <f>Concentrations!F84/Concentrations!E84</f>
        <v>#DIV/0!</v>
      </c>
    </row>
  </sheetData>
  <phoneticPr fontId="3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  <vt:lpstr>Extra dat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2025-01-18T04:01:28Z</dcterms:modified>
</cp:coreProperties>
</file>