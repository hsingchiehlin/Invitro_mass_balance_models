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Unilever\"/>
    </mc:Choice>
  </mc:AlternateContent>
  <xr:revisionPtr revIDLastSave="0" documentId="13_ncr:1_{B02A9070-B3EC-4BB8-B627-67DCB97C96F8}" xr6:coauthVersionLast="47" xr6:coauthVersionMax="47" xr10:uidLastSave="{00000000-0000-0000-0000-000000000000}"/>
  <bookViews>
    <workbookView xWindow="43080" yWindow="-120" windowWidth="29040" windowHeight="15720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<sst xmlns="http://schemas.openxmlformats.org/spreadsheetml/2006/main" count="1067" uniqueCount="341">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</sst>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31" sqref="Z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176</v>
      </c>
      <c r="H2" s="107"/>
      <c r="I2" s="107">
        <v>0.1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176</v>
      </c>
      <c r="H5" s="107"/>
      <c r="I5" s="107">
        <v>0.71499999999999997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176</v>
      </c>
      <c r="H7" s="107"/>
      <c r="I7" s="107">
        <v>-0.58499999999999996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176</v>
      </c>
      <c r="H8" s="107"/>
      <c r="I8" s="107">
        <v>0.69499999999999995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3.62</v>
      </c>
      <c r="I16" s="107">
        <v>2.0299999999999998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176</v>
      </c>
      <c r="H17" s="107"/>
      <c r="I17" s="107">
        <v>4.8499999999999996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176</v>
      </c>
      <c r="H19" s="107"/>
      <c r="I19" s="107">
        <v>0.72499999999999998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4.45</v>
      </c>
      <c r="I20" s="107">
        <v>3.73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176</v>
      </c>
      <c r="H21" s="107"/>
      <c r="I21" s="107">
        <v>4.3499999999999996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176</v>
      </c>
      <c r="H22" s="107"/>
      <c r="I22" s="107">
        <v>-0.87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176</v>
      </c>
      <c r="H23" s="107"/>
      <c r="I23" s="107">
        <v>2.62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176</v>
      </c>
      <c r="H24" s="107"/>
      <c r="I24" s="107">
        <v>-0.47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176</v>
      </c>
      <c r="H25" s="107"/>
      <c r="I25" s="107">
        <v>-1.53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176</v>
      </c>
      <c r="H28" s="107"/>
      <c r="I28" s="107">
        <v>-1.39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176</v>
      </c>
      <c r="H29" s="107"/>
      <c r="I29" s="107">
        <v>1.46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176</v>
      </c>
      <c r="H30" s="107"/>
      <c r="I30" s="107">
        <v>4.4800000000000004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0.53195968169761276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f>57/(500+57+5.5+3)</f>
        <v>0.10079575596816977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5.745358090185676E-2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1.9151193633952252E-4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1.7731989389920425E-3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2.2374013786227021E-4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3.9273121959124667E-4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5.0357110774947587E-4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6.2874927865297231E-5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3.0998746122700867E-2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3.3263612143096296E-7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2.4649565768518539E-5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6.0227070417329734E-2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1.2521457083937929E-3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3.202783672269902E-4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1.8990606250025207E-5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1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4.6331116575972289E-2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0.11067964754147455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3.62</v>
      </c>
      <c r="F16" s="67" t="s">
        <v>231</v>
      </c>
      <c r="G16" s="67" t="s">
        <v>231</v>
      </c>
      <c r="H16" s="67" t="s">
        <v>231</v>
      </c>
      <c r="I16" s="68">
        <v>6.8275145844304023E-8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8.8099414224266574E-4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9.8725289010320615E-7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3.5726985268540319E-7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4.45</v>
      </c>
      <c r="F20" s="67" t="s">
        <v>231</v>
      </c>
      <c r="G20" s="67" t="s">
        <v>231</v>
      </c>
      <c r="H20" s="67" t="s">
        <v>231</v>
      </c>
      <c r="I20" s="68">
        <v>3.227472567129727E-6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1.7161630756718608E-4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4.213295135225548E-7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7.253407797355682E-4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1.3179389254282671E-4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6.4578976823435342E-10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9.2159342547066613E-8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4.3264999359224869E-6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5.811365047606413E-7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5.5914614289149777E-6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1.2285700115371616E-3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9.3500626419852856E-4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2" activePane="bottomLeft" state="frozen"/>
      <selection pane="bottomLeft" activeCell="L6" sqref="L6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9.8676126211885506</v>
      </c>
      <c r="F2" s="14">
        <v>9.8805397972440545</v>
      </c>
      <c r="G2" s="14">
        <v>2.0850148835158321E-14</v>
      </c>
      <c r="H2" s="14">
        <v>2.6331807516359942</v>
      </c>
      <c r="I2" s="14">
        <v>9.4828273267169756</v>
      </c>
      <c r="J2" s="14">
        <v>0</v>
      </c>
      <c r="K2" s="14">
        <v>1.0120904530731476</v>
      </c>
      <c r="L2" s="14">
        <v>0.98805397972440534</v>
      </c>
      <c r="M2" s="14">
        <v>0.81069829036387453</v>
      </c>
      <c r="N2" s="14">
        <v>0</v>
      </c>
      <c r="O2" s="14">
        <v>0</v>
      </c>
      <c r="P2" s="8">
        <v>0</v>
      </c>
      <c r="Q2" s="54">
        <v>0.19858106821561242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8.8742281549131761</v>
      </c>
      <c r="F3" s="14">
        <v>8.4725931397234273</v>
      </c>
      <c r="G3" s="14">
        <v>1.0787103344267182E-5</v>
      </c>
      <c r="H3" s="14">
        <v>184.10956494652979</v>
      </c>
      <c r="I3" s="14">
        <v>479.43918069612073</v>
      </c>
      <c r="J3" s="14">
        <v>0</v>
      </c>
      <c r="K3" s="14">
        <v>1.180276195857368</v>
      </c>
      <c r="L3" s="14">
        <v>0.84725931397234266</v>
      </c>
      <c r="M3" s="14">
        <v>0.69517626711430724</v>
      </c>
      <c r="N3" s="14">
        <v>0</v>
      </c>
      <c r="O3" s="14">
        <v>0</v>
      </c>
      <c r="P3" s="8">
        <v>0</v>
      </c>
      <c r="Q3" s="54">
        <v>1.6878487348794193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7.647959594392705</v>
      </c>
      <c r="F4" s="14">
        <v>2.3137489107146436</v>
      </c>
      <c r="G4" s="14">
        <v>1.0199167283128313E-4</v>
      </c>
      <c r="H4" s="14">
        <v>2486.2009456149626</v>
      </c>
      <c r="I4" s="14">
        <v>4857.2828943210425</v>
      </c>
      <c r="J4" s="14">
        <v>0</v>
      </c>
      <c r="K4" s="14">
        <v>4.321990149273077</v>
      </c>
      <c r="L4" s="14">
        <v>0.23137489107146433</v>
      </c>
      <c r="M4" s="14">
        <v>0.18984309812413649</v>
      </c>
      <c r="N4" s="14">
        <v>0</v>
      </c>
      <c r="O4" s="14">
        <v>0</v>
      </c>
      <c r="P4" s="8">
        <v>0</v>
      </c>
      <c r="Q4" s="54">
        <v>3.5204112329485953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9.7102957904565006</v>
      </c>
      <c r="F5" s="14">
        <v>9.70060663467018</v>
      </c>
      <c r="G5" s="14">
        <v>6.5285597283512523E-16</v>
      </c>
      <c r="H5" s="14">
        <v>12.033414984507576</v>
      </c>
      <c r="I5" s="14">
        <v>38.694217172214671</v>
      </c>
      <c r="J5" s="14">
        <v>0</v>
      </c>
      <c r="K5" s="14">
        <v>1.0308633652105614</v>
      </c>
      <c r="L5" s="14">
        <v>0.9700606634670178</v>
      </c>
      <c r="M5" s="14">
        <v>0.79593477437468818</v>
      </c>
      <c r="N5" s="14">
        <v>0</v>
      </c>
      <c r="O5" s="14">
        <v>0</v>
      </c>
      <c r="P5" s="8">
        <v>0</v>
      </c>
      <c r="Q5" s="54">
        <v>0.43455631431520214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8.9483870084953914</v>
      </c>
      <c r="F6" s="14">
        <v>0.13914825827009686</v>
      </c>
      <c r="G6" s="14">
        <v>2.6727987670483864E-5</v>
      </c>
      <c r="H6" s="14">
        <v>3850.6830617180431</v>
      </c>
      <c r="I6" s="14">
        <v>10346.535337492778</v>
      </c>
      <c r="J6" s="14">
        <v>0</v>
      </c>
      <c r="K6" s="14">
        <v>71.865793537920368</v>
      </c>
      <c r="L6" s="14">
        <v>1.3914825827009685E-2</v>
      </c>
      <c r="M6" s="14">
        <v>1.1417114591061447E-2</v>
      </c>
      <c r="N6" s="14">
        <v>0</v>
      </c>
      <c r="O6" s="14">
        <v>0</v>
      </c>
      <c r="P6" s="8">
        <v>0</v>
      </c>
      <c r="Q6" s="54">
        <v>1.5754148881816306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9.9453264365318752</v>
      </c>
      <c r="F7" s="14">
        <v>9.9636783856384756</v>
      </c>
      <c r="G7" s="14">
        <v>4.4528512582390258E-9</v>
      </c>
      <c r="H7" s="14">
        <v>0.47886125637410465</v>
      </c>
      <c r="I7" s="14">
        <v>1.9564415221507809</v>
      </c>
      <c r="J7" s="14">
        <v>0</v>
      </c>
      <c r="K7" s="14">
        <v>1.0036454021251708</v>
      </c>
      <c r="L7" s="14">
        <v>0.99636783856384747</v>
      </c>
      <c r="M7" s="14">
        <v>0.81751981154163689</v>
      </c>
      <c r="N7" s="14">
        <v>0</v>
      </c>
      <c r="O7" s="14">
        <v>0</v>
      </c>
      <c r="P7" s="8">
        <v>0</v>
      </c>
      <c r="Q7" s="54">
        <v>8.2010011238345559E-2</v>
      </c>
    </row>
    <row r="8" spans="1:20">
      <c r="A8" s="2" t="s">
        <v>295</v>
      </c>
      <c r="B8" s="16" t="s">
        <v>296</v>
      </c>
      <c r="D8" s="14">
        <v>10</v>
      </c>
      <c r="E8" s="14">
        <v>9.7174999162161821</v>
      </c>
      <c r="F8" s="14">
        <v>9.709179787576252</v>
      </c>
      <c r="G8" s="14">
        <v>1.6408959035094715E-9</v>
      </c>
      <c r="H8" s="14">
        <v>11.456515397009712</v>
      </c>
      <c r="I8" s="14">
        <v>36.975130364996602</v>
      </c>
      <c r="J8" s="14">
        <v>0</v>
      </c>
      <c r="K8" s="14">
        <v>1.0299531184699946</v>
      </c>
      <c r="L8" s="14">
        <v>0.97091797875762509</v>
      </c>
      <c r="M8" s="14">
        <v>0.79663820157063137</v>
      </c>
      <c r="N8" s="14">
        <v>0</v>
      </c>
      <c r="O8" s="14">
        <v>0</v>
      </c>
      <c r="P8" s="8">
        <v>0</v>
      </c>
      <c r="Q8" s="54">
        <v>0.42375000260853618</v>
      </c>
    </row>
    <row r="9" spans="1:20">
      <c r="A9" s="2" t="s">
        <v>297</v>
      </c>
      <c r="B9" s="16" t="s">
        <v>298</v>
      </c>
      <c r="D9" s="14">
        <v>10</v>
      </c>
      <c r="E9" s="14">
        <v>9.3007542416891749</v>
      </c>
      <c r="F9" s="14">
        <v>1.0647400439584139E-2</v>
      </c>
      <c r="G9" s="14">
        <v>1.0982268959000457E-8</v>
      </c>
      <c r="H9" s="14">
        <v>1240.1196464623395</v>
      </c>
      <c r="I9" s="14">
        <v>37027.190338733009</v>
      </c>
      <c r="J9" s="14">
        <v>0</v>
      </c>
      <c r="K9" s="14">
        <v>939.19638476474699</v>
      </c>
      <c r="L9" s="14">
        <v>1.0647400439584137E-3</v>
      </c>
      <c r="M9" s="14">
        <v>8.7361920606787854E-4</v>
      </c>
      <c r="N9" s="14">
        <v>0</v>
      </c>
      <c r="O9" s="14">
        <v>0</v>
      </c>
      <c r="P9" s="8">
        <v>0</v>
      </c>
      <c r="Q9" s="54">
        <v>1.0488678137960683</v>
      </c>
    </row>
    <row r="10" spans="1:20">
      <c r="A10" s="2" t="s">
        <v>299</v>
      </c>
      <c r="B10" s="16" t="s">
        <v>300</v>
      </c>
      <c r="D10" s="14">
        <v>10</v>
      </c>
      <c r="E10" s="14">
        <v>8.4590859814912438</v>
      </c>
      <c r="F10" s="14">
        <v>7.644572644153885</v>
      </c>
      <c r="G10" s="14">
        <v>5.6255073917879905E-6</v>
      </c>
      <c r="H10" s="14">
        <v>369.7713100971992</v>
      </c>
      <c r="I10" s="14">
        <v>907.8004271562445</v>
      </c>
      <c r="J10" s="14">
        <v>0</v>
      </c>
      <c r="K10" s="14">
        <v>1.3081175973450139</v>
      </c>
      <c r="L10" s="14">
        <v>0.76445726441538853</v>
      </c>
      <c r="M10" s="14">
        <v>0.62723718545282625</v>
      </c>
      <c r="N10" s="14">
        <v>0</v>
      </c>
      <c r="O10" s="14">
        <v>0</v>
      </c>
      <c r="P10" s="8">
        <v>0</v>
      </c>
      <c r="Q10" s="54">
        <v>2.3109491147087522</v>
      </c>
    </row>
    <row r="11" spans="1:20">
      <c r="A11" s="2" t="s">
        <v>301</v>
      </c>
      <c r="B11" s="16" t="s">
        <v>302</v>
      </c>
      <c r="D11" s="14">
        <v>10</v>
      </c>
      <c r="E11" s="14">
        <v>8.8021162838578828</v>
      </c>
      <c r="F11" s="14">
        <v>8.3412041283050957</v>
      </c>
      <c r="G11" s="14">
        <v>3.6014487351526644E-18</v>
      </c>
      <c r="H11" s="14">
        <v>210.5953363651428</v>
      </c>
      <c r="I11" s="14">
        <v>542.38281437212993</v>
      </c>
      <c r="J11" s="14">
        <v>0</v>
      </c>
      <c r="K11" s="14">
        <v>1.1988676749998166</v>
      </c>
      <c r="L11" s="14">
        <v>0.83412041283050942</v>
      </c>
      <c r="M11" s="14">
        <v>0.68439579872743295</v>
      </c>
      <c r="N11" s="14">
        <v>0</v>
      </c>
      <c r="O11" s="14">
        <v>0</v>
      </c>
      <c r="P11" s="8">
        <v>0</v>
      </c>
      <c r="Q11" s="54">
        <v>1.7968255742131769</v>
      </c>
    </row>
    <row r="12" spans="1:20">
      <c r="A12" s="2" t="s">
        <v>303</v>
      </c>
      <c r="B12" s="16" t="s">
        <v>304</v>
      </c>
      <c r="D12" s="14">
        <v>10</v>
      </c>
      <c r="E12" s="14">
        <v>9.4321869332123764</v>
      </c>
      <c r="F12" s="14">
        <v>9.3450035518814065</v>
      </c>
      <c r="G12" s="14">
        <v>5.0334754931303481E-30</v>
      </c>
      <c r="H12" s="14">
        <v>45.293874329671659</v>
      </c>
      <c r="I12" s="14">
        <v>131.73362463644776</v>
      </c>
      <c r="J12" s="14">
        <v>0</v>
      </c>
      <c r="K12" s="14">
        <v>1.0700905510075194</v>
      </c>
      <c r="L12" s="14">
        <v>0.93450035518814067</v>
      </c>
      <c r="M12" s="14">
        <v>0.76675754143186947</v>
      </c>
      <c r="N12" s="14">
        <v>0</v>
      </c>
      <c r="O12" s="14">
        <v>0</v>
      </c>
      <c r="P12" s="8">
        <v>0</v>
      </c>
      <c r="Q12" s="54">
        <v>0.85171960018143444</v>
      </c>
    </row>
    <row r="13" spans="1:20">
      <c r="A13" s="2" t="s">
        <v>305</v>
      </c>
      <c r="B13" s="16" t="s">
        <v>306</v>
      </c>
      <c r="D13" s="14">
        <v>10</v>
      </c>
      <c r="E13" s="14">
        <v>8.9439354887819356</v>
      </c>
      <c r="F13" s="14">
        <v>6.8322587477416694E-2</v>
      </c>
      <c r="G13" s="14">
        <v>1.1255189022594833E-8</v>
      </c>
      <c r="H13" s="14">
        <v>3043.8574197272251</v>
      </c>
      <c r="I13" s="14">
        <v>18162.744603893163</v>
      </c>
      <c r="J13" s="14">
        <v>0</v>
      </c>
      <c r="K13" s="14">
        <v>146.36448016997883</v>
      </c>
      <c r="L13" s="14">
        <v>6.8322587477416688E-3</v>
      </c>
      <c r="M13" s="14">
        <v>5.6058683025220395E-3</v>
      </c>
      <c r="N13" s="14">
        <v>0</v>
      </c>
      <c r="O13" s="14">
        <v>0</v>
      </c>
      <c r="P13" s="8">
        <v>0</v>
      </c>
      <c r="Q13" s="54">
        <v>1.5840959226879194</v>
      </c>
    </row>
    <row r="14" spans="1:20">
      <c r="A14" s="2" t="s">
        <v>307</v>
      </c>
      <c r="B14" s="16" t="s">
        <v>308</v>
      </c>
      <c r="D14" s="14">
        <v>10</v>
      </c>
      <c r="E14" s="14">
        <v>3.4047153689450695</v>
      </c>
      <c r="F14" s="14">
        <v>1.394394971736747</v>
      </c>
      <c r="G14" s="14">
        <v>3.8680697403264076E-10</v>
      </c>
      <c r="H14" s="14">
        <v>931.67793035400871</v>
      </c>
      <c r="I14" s="14">
        <v>1885.0504542325425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8.3270204901725329</v>
      </c>
      <c r="F15" s="14">
        <v>0.76350152057008525</v>
      </c>
      <c r="G15" s="14">
        <v>4.2716768783739498E-5</v>
      </c>
      <c r="H15" s="14">
        <v>3587.3182448333505</v>
      </c>
      <c r="I15" s="14">
        <v>6286.762834685409</v>
      </c>
      <c r="J15" s="14">
        <v>0</v>
      </c>
      <c r="K15" s="14">
        <v>13.097550863465578</v>
      </c>
      <c r="L15" s="14">
        <v>7.6350152057008513E-2</v>
      </c>
      <c r="M15" s="14">
        <v>6.2645299762775483E-2</v>
      </c>
      <c r="N15" s="14">
        <v>0</v>
      </c>
      <c r="O15" s="14">
        <v>0</v>
      </c>
      <c r="P15" s="8">
        <v>0</v>
      </c>
      <c r="Q15" s="54">
        <v>2.5062655070824262</v>
      </c>
    </row>
    <row r="16" spans="1:20">
      <c r="A16" s="2" t="s">
        <v>311</v>
      </c>
      <c r="B16" s="16" t="s">
        <v>312</v>
      </c>
      <c r="D16" s="14">
        <v>10</v>
      </c>
      <c r="E16" s="14">
        <v>9.99924406147532</v>
      </c>
      <c r="F16" s="14">
        <v>9.4601414009311888</v>
      </c>
      <c r="G16" s="14">
        <v>2.1465155875442389E-19</v>
      </c>
      <c r="H16" s="14">
        <v>314.46884665826269</v>
      </c>
      <c r="I16" s="14">
        <v>0.38262887229303688</v>
      </c>
      <c r="J16" s="14">
        <v>0</v>
      </c>
      <c r="K16" s="14">
        <v>1.0570666521977856</v>
      </c>
      <c r="L16" s="14">
        <v>0.94601414009311879</v>
      </c>
      <c r="M16" s="14">
        <v>0.77620460194640395</v>
      </c>
      <c r="N16" s="14">
        <v>0</v>
      </c>
      <c r="O16" s="14">
        <v>0</v>
      </c>
      <c r="P16" s="8">
        <v>0</v>
      </c>
      <c r="Q16" s="54">
        <v>1.1339077870235205E-3</v>
      </c>
    </row>
    <row r="17" spans="1:21">
      <c r="A17" s="2" t="s">
        <v>313</v>
      </c>
      <c r="B17" s="16" t="s">
        <v>314</v>
      </c>
      <c r="D17" s="14">
        <v>10</v>
      </c>
      <c r="E17" s="14">
        <v>8.9650133701189905</v>
      </c>
      <c r="F17" s="14">
        <v>0.15825914963577137</v>
      </c>
      <c r="G17" s="14">
        <v>4.4894931733602066E-19</v>
      </c>
      <c r="H17" s="14">
        <v>3981.7026834790981</v>
      </c>
      <c r="I17" s="14">
        <v>9120.6543759865453</v>
      </c>
      <c r="J17" s="14">
        <v>0</v>
      </c>
      <c r="K17" s="14">
        <v>63.187499888724908</v>
      </c>
      <c r="L17" s="14">
        <v>1.5825914963577135E-2</v>
      </c>
      <c r="M17" s="14">
        <v>1.2985163227615039E-2</v>
      </c>
      <c r="N17" s="14">
        <v>0</v>
      </c>
      <c r="O17" s="14">
        <v>0</v>
      </c>
      <c r="P17" s="8">
        <v>0</v>
      </c>
      <c r="Q17" s="54">
        <v>1.5524799448215163</v>
      </c>
    </row>
    <row r="18" spans="1:21">
      <c r="A18" s="2" t="s">
        <v>315</v>
      </c>
      <c r="B18" s="166">
        <v>354656</v>
      </c>
      <c r="D18" s="14">
        <v>10</v>
      </c>
      <c r="E18" s="14">
        <v>9.8624134619314461</v>
      </c>
      <c r="F18" s="14">
        <v>9.8748390288305963</v>
      </c>
      <c r="G18" s="14">
        <v>4.1594749442284055E-11</v>
      </c>
      <c r="H18" s="14">
        <v>2.8366778978536011</v>
      </c>
      <c r="I18" s="14">
        <v>10.15937978276728</v>
      </c>
      <c r="J18" s="14">
        <v>0</v>
      </c>
      <c r="K18" s="14">
        <v>1.0126747353353289</v>
      </c>
      <c r="L18" s="14">
        <v>0.98748390288305954</v>
      </c>
      <c r="M18" s="14">
        <v>0.81023054231555036</v>
      </c>
      <c r="N18" s="14">
        <v>0</v>
      </c>
      <c r="O18" s="14">
        <v>0</v>
      </c>
      <c r="P18" s="8">
        <v>0</v>
      </c>
      <c r="Q18" s="54">
        <v>0.20637980398322489</v>
      </c>
    </row>
    <row r="19" spans="1:21">
      <c r="A19" s="2" t="s">
        <v>317</v>
      </c>
      <c r="B19" s="16" t="s">
        <v>318</v>
      </c>
      <c r="D19" s="14">
        <v>10</v>
      </c>
      <c r="E19" s="14">
        <v>9.7066279049753845</v>
      </c>
      <c r="F19" s="14">
        <v>9.6962294873416841</v>
      </c>
      <c r="G19" s="14">
        <v>6.5265154941325287E-11</v>
      </c>
      <c r="H19" s="14">
        <v>12.332550022365098</v>
      </c>
      <c r="I19" s="14">
        <v>39.583123054162449</v>
      </c>
      <c r="J19" s="14">
        <v>0</v>
      </c>
      <c r="K19" s="14">
        <v>1.03132872556852</v>
      </c>
      <c r="L19" s="14">
        <v>0.96962294873416821</v>
      </c>
      <c r="M19" s="14">
        <v>0.79557562943638505</v>
      </c>
      <c r="N19" s="14">
        <v>0</v>
      </c>
      <c r="O19" s="14">
        <v>0</v>
      </c>
      <c r="P19" s="8">
        <v>0</v>
      </c>
      <c r="Q19" s="54">
        <v>0.44005813764203761</v>
      </c>
    </row>
    <row r="20" spans="1:21">
      <c r="A20" s="2" t="s">
        <v>284</v>
      </c>
      <c r="B20" s="16" t="s">
        <v>276</v>
      </c>
      <c r="D20" s="14">
        <v>10</v>
      </c>
      <c r="E20" s="14">
        <v>9.9957516383076612</v>
      </c>
      <c r="F20" s="14">
        <v>1.9463035652116787</v>
      </c>
      <c r="G20" s="14">
        <v>3.6714029506091313E-9</v>
      </c>
      <c r="H20" s="14">
        <v>4540.3630238853148</v>
      </c>
      <c r="I20" s="14">
        <v>12.036326973481103</v>
      </c>
      <c r="J20" s="14">
        <v>0</v>
      </c>
      <c r="K20" s="14">
        <v>5.1379446550581687</v>
      </c>
      <c r="L20" s="14">
        <v>0.19463035652116784</v>
      </c>
      <c r="M20" s="14">
        <v>0.15969420752561822</v>
      </c>
      <c r="N20" s="14">
        <v>0</v>
      </c>
      <c r="O20" s="14">
        <v>0</v>
      </c>
      <c r="P20" s="8">
        <v>0</v>
      </c>
      <c r="Q20" s="54">
        <v>6.372267183289133E-3</v>
      </c>
    </row>
    <row r="21" spans="1:21">
      <c r="A21" s="2" t="s">
        <v>319</v>
      </c>
      <c r="B21" s="16" t="s">
        <v>320</v>
      </c>
      <c r="D21" s="14">
        <v>10</v>
      </c>
      <c r="E21" s="14">
        <v>8.754618462893955</v>
      </c>
      <c r="F21" s="14">
        <v>0.36537305061029246</v>
      </c>
      <c r="G21" s="14">
        <v>1.0293545746481551E-20</v>
      </c>
      <c r="H21" s="14">
        <v>4017.3207805853572</v>
      </c>
      <c r="I21" s="14">
        <v>6612.926291549109</v>
      </c>
      <c r="J21" s="14">
        <v>0</v>
      </c>
      <c r="K21" s="14">
        <v>27.369287316885391</v>
      </c>
      <c r="L21" s="14">
        <v>3.6537305061029243E-2</v>
      </c>
      <c r="M21" s="14">
        <v>2.9978858802574497E-2</v>
      </c>
      <c r="N21" s="14">
        <v>0</v>
      </c>
      <c r="O21" s="14">
        <v>0</v>
      </c>
      <c r="P21" s="8">
        <v>0</v>
      </c>
      <c r="Q21" s="54">
        <v>1.8680723056590709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9.962221846018446</v>
      </c>
      <c r="F22" s="14">
        <v>9.9812210157806902</v>
      </c>
      <c r="G22" s="14">
        <v>1.939510611358647E-8</v>
      </c>
      <c r="H22" s="14">
        <v>0.23521427342740961</v>
      </c>
      <c r="I22" s="14">
        <v>1.0127933546945083</v>
      </c>
      <c r="J22" s="14">
        <v>0</v>
      </c>
      <c r="K22" s="14">
        <v>1.0018814315592872</v>
      </c>
      <c r="L22" s="14">
        <v>0.99812210157806902</v>
      </c>
      <c r="M22" s="14">
        <v>0.81895918434480564</v>
      </c>
      <c r="N22" s="14">
        <v>0</v>
      </c>
      <c r="O22" s="14">
        <v>0</v>
      </c>
      <c r="P22" s="8">
        <v>0</v>
      </c>
      <c r="Q22" s="54">
        <v>5.6665776339376146E-2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7.8668920861164073</v>
      </c>
      <c r="F23" s="14">
        <v>5.965226179252066</v>
      </c>
      <c r="G23" s="14">
        <v>8.2238542130835646E-12</v>
      </c>
      <c r="H23" s="14">
        <v>867.05553535799856</v>
      </c>
      <c r="I23" s="14">
        <v>1962.9267159728945</v>
      </c>
      <c r="J23" s="14">
        <v>0</v>
      </c>
      <c r="K23" s="14">
        <v>1.6763823700066012</v>
      </c>
      <c r="L23" s="14">
        <v>0.59652261792520656</v>
      </c>
      <c r="M23" s="14">
        <v>0.48944680800763202</v>
      </c>
      <c r="N23" s="14">
        <v>0</v>
      </c>
      <c r="O23" s="14">
        <v>0</v>
      </c>
      <c r="P23" s="8">
        <v>0</v>
      </c>
      <c r="Q23" s="54">
        <v>3.1996618702086024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9.9365451773155709</v>
      </c>
      <c r="F24" s="14">
        <v>9.9544832775289027</v>
      </c>
      <c r="G24" s="14">
        <v>5.23512684657641E-12</v>
      </c>
      <c r="H24" s="14">
        <v>0.63782086378710379</v>
      </c>
      <c r="I24" s="14">
        <v>2.5512668857079781</v>
      </c>
      <c r="J24" s="14">
        <v>0</v>
      </c>
      <c r="K24" s="14">
        <v>1.0045724846988136</v>
      </c>
      <c r="L24" s="14">
        <v>0.99544832775289027</v>
      </c>
      <c r="M24" s="14">
        <v>0.81676535292124641</v>
      </c>
      <c r="N24" s="14">
        <v>0</v>
      </c>
      <c r="O24" s="14">
        <v>0</v>
      </c>
      <c r="P24" s="8">
        <v>0</v>
      </c>
      <c r="Q24" s="54">
        <v>9.5182233634013541E-2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9.9839808882442238</v>
      </c>
      <c r="F25" s="14">
        <v>10.003512507833754</v>
      </c>
      <c r="G25" s="14">
        <v>3.2711541263560663E-28</v>
      </c>
      <c r="H25" s="14">
        <v>4.5255620042261697E-2</v>
      </c>
      <c r="I25" s="14">
        <v>0.22005421431459249</v>
      </c>
      <c r="J25" s="14">
        <v>0</v>
      </c>
      <c r="K25" s="14">
        <v>0.99964887255041635</v>
      </c>
      <c r="L25" s="14">
        <v>1.0003512507833754</v>
      </c>
      <c r="M25" s="14">
        <v>0.82078820126775953</v>
      </c>
      <c r="N25" s="14">
        <v>0</v>
      </c>
      <c r="O25" s="14">
        <v>0</v>
      </c>
      <c r="P25" s="8">
        <v>0</v>
      </c>
      <c r="Q25" s="54">
        <v>2.4028667633668264E-2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9.9634292561053197</v>
      </c>
      <c r="F26" s="14">
        <v>9.9824669910399013</v>
      </c>
      <c r="G26" s="14">
        <v>2.6157508220480974E-14</v>
      </c>
      <c r="H26" s="14">
        <v>0.22098758852186609</v>
      </c>
      <c r="I26" s="14">
        <v>0.95592771581042402</v>
      </c>
      <c r="J26" s="14">
        <v>0</v>
      </c>
      <c r="K26" s="14">
        <v>1.0017563803592675</v>
      </c>
      <c r="L26" s="14">
        <v>0.99824669910399011</v>
      </c>
      <c r="M26" s="14">
        <v>0.8190614166148239</v>
      </c>
      <c r="N26" s="14">
        <v>0</v>
      </c>
      <c r="O26" s="14">
        <v>0</v>
      </c>
      <c r="P26" s="8">
        <v>0</v>
      </c>
      <c r="Q26" s="54">
        <v>5.4856115840058887E-2</v>
      </c>
    </row>
    <row r="27" spans="1:21">
      <c r="A27" s="2" t="s">
        <v>331</v>
      </c>
      <c r="B27" s="16" t="s">
        <v>332</v>
      </c>
      <c r="D27" s="14">
        <v>10</v>
      </c>
      <c r="E27" s="14">
        <v>9.7902110455380225</v>
      </c>
      <c r="F27" s="14">
        <v>9.7939227179243495</v>
      </c>
      <c r="G27" s="14">
        <v>3.2918888312443499E-10</v>
      </c>
      <c r="H27" s="14">
        <v>6.4212070339094947</v>
      </c>
      <c r="I27" s="14">
        <v>21.640826516482147</v>
      </c>
      <c r="J27" s="14">
        <v>0</v>
      </c>
      <c r="K27" s="14">
        <v>1.0210413424743998</v>
      </c>
      <c r="L27" s="14">
        <v>0.97939227179243493</v>
      </c>
      <c r="M27" s="14">
        <v>0.8035913590056929</v>
      </c>
      <c r="N27" s="14">
        <v>0</v>
      </c>
      <c r="O27" s="14">
        <v>0</v>
      </c>
      <c r="P27" s="8">
        <v>0</v>
      </c>
      <c r="Q27" s="54">
        <v>0.31468340700380137</v>
      </c>
    </row>
    <row r="28" spans="1:21">
      <c r="A28" s="2" t="s">
        <v>333</v>
      </c>
      <c r="B28" s="16" t="s">
        <v>334</v>
      </c>
      <c r="D28" s="14">
        <v>10</v>
      </c>
      <c r="E28" s="14">
        <v>9.9807807233141972</v>
      </c>
      <c r="F28" s="14">
        <v>10.000256219430273</v>
      </c>
      <c r="G28" s="14">
        <v>2.602553194748802E-17</v>
      </c>
      <c r="H28" s="14">
        <v>6.4205336629230086E-2</v>
      </c>
      <c r="I28" s="14">
        <v>0.30424839655550912</v>
      </c>
      <c r="J28" s="14">
        <v>0</v>
      </c>
      <c r="K28" s="14">
        <v>0.99997437871343986</v>
      </c>
      <c r="L28" s="14">
        <v>1.0000256219430272</v>
      </c>
      <c r="M28" s="14">
        <v>0.82052102280425376</v>
      </c>
      <c r="N28" s="14">
        <v>0</v>
      </c>
      <c r="O28" s="14">
        <v>0</v>
      </c>
      <c r="P28" s="8">
        <v>0</v>
      </c>
      <c r="Q28" s="54">
        <v>2.8828915028704286E-2</v>
      </c>
    </row>
    <row r="29" spans="1:21">
      <c r="A29" s="2" t="s">
        <v>335</v>
      </c>
      <c r="B29" s="16" t="s">
        <v>336</v>
      </c>
      <c r="D29" s="14">
        <v>10</v>
      </c>
      <c r="E29" s="14">
        <v>9.2800997353376129</v>
      </c>
      <c r="F29" s="14">
        <v>9.1294869986548903</v>
      </c>
      <c r="G29" s="14">
        <v>1.5593186102442722E-9</v>
      </c>
      <c r="H29" s="14">
        <v>72.963620275050516</v>
      </c>
      <c r="I29" s="14">
        <v>204.53307384975037</v>
      </c>
      <c r="J29" s="14">
        <v>0</v>
      </c>
      <c r="K29" s="14">
        <v>1.0953517981320713</v>
      </c>
      <c r="L29" s="14">
        <v>0.91294869986548899</v>
      </c>
      <c r="M29" s="14">
        <v>0.74907440823963367</v>
      </c>
      <c r="N29" s="14">
        <v>0</v>
      </c>
      <c r="O29" s="14">
        <v>0</v>
      </c>
      <c r="P29" s="8">
        <v>0</v>
      </c>
      <c r="Q29" s="54">
        <v>1.0798502800446885</v>
      </c>
    </row>
    <row r="30" spans="1:21">
      <c r="A30" s="2" t="s">
        <v>337</v>
      </c>
      <c r="B30" s="16" t="s">
        <v>338</v>
      </c>
      <c r="D30" s="14">
        <v>10</v>
      </c>
      <c r="E30" s="14">
        <v>8.8999576779683309</v>
      </c>
      <c r="F30" s="14">
        <v>0.27243536467774204</v>
      </c>
      <c r="G30" s="14">
        <v>4.8514545832773131E-17</v>
      </c>
      <c r="H30" s="14">
        <v>4146.1354163087399</v>
      </c>
      <c r="I30" s="14">
        <v>6663.4731666855951</v>
      </c>
      <c r="J30" s="14">
        <v>0</v>
      </c>
      <c r="K30" s="14">
        <v>36.705954132749206</v>
      </c>
      <c r="L30" s="14">
        <v>2.72435364677742E-2</v>
      </c>
      <c r="M30" s="14">
        <v>2.2353321671808733E-2</v>
      </c>
      <c r="N30" s="14">
        <v>0</v>
      </c>
      <c r="O30" s="14">
        <v>0</v>
      </c>
      <c r="P30" s="8">
        <v>0</v>
      </c>
      <c r="Q30" s="54">
        <v>1.6500634830475005</v>
      </c>
    </row>
    <row r="31" spans="1:21">
      <c r="A31" s="2" t="s">
        <v>275</v>
      </c>
      <c r="B31" s="16" t="s">
        <v>339</v>
      </c>
      <c r="D31" s="14">
        <v>10</v>
      </c>
      <c r="E31" s="14">
        <v>8.043859545104457</v>
      </c>
      <c r="F31" s="14">
        <v>6.5652931475998111</v>
      </c>
      <c r="G31" s="14">
        <v>4.5275432771912259E-11</v>
      </c>
      <c r="H31" s="14">
        <v>672.40993651585165</v>
      </c>
      <c r="I31" s="14">
        <v>1562.0369156704326</v>
      </c>
      <c r="J31" s="14">
        <v>0</v>
      </c>
      <c r="K31" s="14">
        <v>1.5231612321311006</v>
      </c>
      <c r="L31" s="14">
        <v>0.65652931475998111</v>
      </c>
      <c r="M31" s="14">
        <v>0.5386823027605645</v>
      </c>
      <c r="N31" s="14">
        <v>0</v>
      </c>
      <c r="O31" s="14">
        <v>0</v>
      </c>
      <c r="P31" s="8">
        <v>0</v>
      </c>
      <c r="Q31" s="54">
        <v>2.9342106789476587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1.042507441757916E-13</v>
      </c>
      <c r="E2" s="20">
        <v>0.98676126211885484</v>
      </c>
      <c r="F2" s="20">
        <v>4.6691533149752137E-4</v>
      </c>
      <c r="G2" s="20">
        <v>1.8160746233129063E-4</v>
      </c>
      <c r="H2" s="20">
        <v>0</v>
      </c>
      <c r="I2" s="20">
        <v>0.98611273932502608</v>
      </c>
      <c r="J2" s="20">
        <v>0</v>
      </c>
      <c r="K2" s="20">
        <v>1.3238737881040828E-2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5.3935516721335903E-5</v>
      </c>
      <c r="E3" s="20">
        <v>0.88742281549131741</v>
      </c>
      <c r="F3" s="20">
        <v>3.2646288522147314E-2</v>
      </c>
      <c r="G3" s="20">
        <v>9.1818325852148323E-3</v>
      </c>
      <c r="H3" s="20">
        <v>0</v>
      </c>
      <c r="I3" s="20">
        <v>0.84559469438395529</v>
      </c>
      <c r="J3" s="20">
        <v>0</v>
      </c>
      <c r="K3" s="20">
        <v>0.11252324899196128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5.0995836415641566E-4</v>
      </c>
      <c r="E4" s="20">
        <v>0.76479595943927037</v>
      </c>
      <c r="F4" s="20">
        <v>0.44085288788854649</v>
      </c>
      <c r="G4" s="20">
        <v>9.3022765244026334E-2</v>
      </c>
      <c r="H4" s="20">
        <v>0</v>
      </c>
      <c r="I4" s="20">
        <v>0.23092030630669758</v>
      </c>
      <c r="J4" s="20">
        <v>0</v>
      </c>
      <c r="K4" s="20">
        <v>0.23469408219657301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3.264279864175626E-15</v>
      </c>
      <c r="E5" s="20">
        <v>0.9710295790456499</v>
      </c>
      <c r="F5" s="20">
        <v>2.1337638682979777E-3</v>
      </c>
      <c r="G5" s="20">
        <v>7.4104044557928353E-4</v>
      </c>
      <c r="H5" s="20">
        <v>0</v>
      </c>
      <c r="I5" s="20">
        <v>0.96815477473177269</v>
      </c>
      <c r="J5" s="20">
        <v>0</v>
      </c>
      <c r="K5" s="20">
        <v>2.8970420954346807E-2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1.3363993835241932E-4</v>
      </c>
      <c r="E6" s="20">
        <v>0.89483870084953909</v>
      </c>
      <c r="F6" s="20">
        <v>0.68280271194330633</v>
      </c>
      <c r="G6" s="20">
        <v>0.1981485016888537</v>
      </c>
      <c r="H6" s="20">
        <v>0</v>
      </c>
      <c r="I6" s="20">
        <v>1.3887487217379013E-2</v>
      </c>
      <c r="J6" s="20">
        <v>0</v>
      </c>
      <c r="K6" s="20">
        <v>0.10502765921210869</v>
      </c>
      <c r="L6" s="20">
        <v>0</v>
      </c>
    </row>
    <row r="7" spans="1:14">
      <c r="A7" s="2" t="s">
        <v>293</v>
      </c>
      <c r="B7" s="3" t="s">
        <v>294</v>
      </c>
      <c r="D7" s="20">
        <v>2.2264256291195133E-8</v>
      </c>
      <c r="E7" s="20">
        <v>0.99453264365318739</v>
      </c>
      <c r="F7" s="20">
        <v>8.4911627172695885E-5</v>
      </c>
      <c r="G7" s="20">
        <v>3.7468190424213894E-5</v>
      </c>
      <c r="H7" s="20">
        <v>0</v>
      </c>
      <c r="I7" s="20">
        <v>0.9944102638355905</v>
      </c>
      <c r="J7" s="20">
        <v>0</v>
      </c>
      <c r="K7" s="20">
        <v>5.4673340825563705E-3</v>
      </c>
      <c r="L7" s="20">
        <v>0</v>
      </c>
    </row>
    <row r="8" spans="1:14">
      <c r="A8" s="2" t="s">
        <v>295</v>
      </c>
      <c r="B8" s="3" t="s">
        <v>296</v>
      </c>
      <c r="D8" s="20">
        <v>8.2044795175473571E-9</v>
      </c>
      <c r="E8" s="20">
        <v>0.97174999162161801</v>
      </c>
      <c r="F8" s="20">
        <v>2.0314680946523617E-3</v>
      </c>
      <c r="G8" s="20">
        <v>7.0811788126067757E-4</v>
      </c>
      <c r="H8" s="20">
        <v>0</v>
      </c>
      <c r="I8" s="20">
        <v>0.96901040564570495</v>
      </c>
      <c r="J8" s="20">
        <v>0</v>
      </c>
      <c r="K8" s="20">
        <v>2.8250000173902407E-2</v>
      </c>
      <c r="L8" s="20">
        <v>0</v>
      </c>
    </row>
    <row r="9" spans="1:14">
      <c r="A9" s="2" t="s">
        <v>297</v>
      </c>
      <c r="B9" s="3" t="s">
        <v>298</v>
      </c>
      <c r="D9" s="20">
        <v>5.4911344795002286E-8</v>
      </c>
      <c r="E9" s="20">
        <v>0.93007542416891731</v>
      </c>
      <c r="F9" s="20">
        <v>0.21989788413302072</v>
      </c>
      <c r="G9" s="20">
        <v>0.70911489189828192</v>
      </c>
      <c r="H9" s="20">
        <v>0</v>
      </c>
      <c r="I9" s="20">
        <v>1.0626481376146476E-3</v>
      </c>
      <c r="J9" s="20">
        <v>0</v>
      </c>
      <c r="K9" s="20">
        <v>6.9924520919737887E-2</v>
      </c>
      <c r="L9" s="20">
        <v>0</v>
      </c>
    </row>
    <row r="10" spans="1:14">
      <c r="A10" s="2" t="s">
        <v>299</v>
      </c>
      <c r="B10" s="3" t="s">
        <v>300</v>
      </c>
      <c r="D10" s="20">
        <v>2.8127536958939952E-5</v>
      </c>
      <c r="E10" s="20">
        <v>0.84590859814912422</v>
      </c>
      <c r="F10" s="20">
        <v>6.5567809473405111E-2</v>
      </c>
      <c r="G10" s="20">
        <v>1.7385461761453804E-2</v>
      </c>
      <c r="H10" s="20">
        <v>0</v>
      </c>
      <c r="I10" s="20">
        <v>0.76295532691426526</v>
      </c>
      <c r="J10" s="20">
        <v>0</v>
      </c>
      <c r="K10" s="20">
        <v>0.15406327431391681</v>
      </c>
      <c r="L10" s="20">
        <v>0</v>
      </c>
    </row>
    <row r="11" spans="1:14">
      <c r="A11" s="2" t="s">
        <v>301</v>
      </c>
      <c r="B11" s="3" t="s">
        <v>302</v>
      </c>
      <c r="D11" s="20">
        <v>1.8007243675763322E-17</v>
      </c>
      <c r="E11" s="20">
        <v>0.88021162838578826</v>
      </c>
      <c r="F11" s="20">
        <v>3.7342742699934352E-2</v>
      </c>
      <c r="G11" s="20">
        <v>1.0387278301768641E-2</v>
      </c>
      <c r="H11" s="20">
        <v>0</v>
      </c>
      <c r="I11" s="20">
        <v>0.83248160738408528</v>
      </c>
      <c r="J11" s="20">
        <v>0</v>
      </c>
      <c r="K11" s="20">
        <v>0.1197883716142118</v>
      </c>
      <c r="L11" s="20">
        <v>0</v>
      </c>
    </row>
    <row r="12" spans="1:14">
      <c r="A12" s="2" t="s">
        <v>303</v>
      </c>
      <c r="B12" s="3" t="s">
        <v>304</v>
      </c>
      <c r="D12" s="20">
        <v>2.5167377465651741E-29</v>
      </c>
      <c r="E12" s="20">
        <v>0.94321869332123753</v>
      </c>
      <c r="F12" s="20">
        <v>8.0315049904212694E-3</v>
      </c>
      <c r="G12" s="20">
        <v>2.5228561535149941E-3</v>
      </c>
      <c r="H12" s="20">
        <v>0</v>
      </c>
      <c r="I12" s="20">
        <v>0.93266433217730127</v>
      </c>
      <c r="J12" s="20">
        <v>0</v>
      </c>
      <c r="K12" s="20">
        <v>5.6781306678762293E-2</v>
      </c>
      <c r="L12" s="20">
        <v>0</v>
      </c>
    </row>
    <row r="13" spans="1:14">
      <c r="A13" s="2" t="s">
        <v>305</v>
      </c>
      <c r="B13" s="3" t="s">
        <v>306</v>
      </c>
      <c r="D13" s="20">
        <v>5.6275945112974164E-8</v>
      </c>
      <c r="E13" s="20">
        <v>0.89439354887819356</v>
      </c>
      <c r="F13" s="20">
        <v>0.53973647471033726</v>
      </c>
      <c r="G13" s="20">
        <v>0.34783823883317938</v>
      </c>
      <c r="H13" s="20">
        <v>0</v>
      </c>
      <c r="I13" s="20">
        <v>6.8188353346769004E-3</v>
      </c>
      <c r="J13" s="20">
        <v>0</v>
      </c>
      <c r="K13" s="20">
        <v>0.1056063948458613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0.34047153689450688</v>
      </c>
      <c r="F14" s="20">
        <v>0.16520503175860302</v>
      </c>
      <c r="G14" s="20">
        <v>3.6100966258777074E-2</v>
      </c>
      <c r="H14" s="20">
        <v>0</v>
      </c>
      <c r="I14" s="20">
        <v>0.13916553887712679</v>
      </c>
      <c r="J14" s="20">
        <v>0</v>
      </c>
      <c r="K14" s="20">
        <v>0.11041592618563605</v>
      </c>
      <c r="L14" s="20">
        <v>0.54911253498582224</v>
      </c>
    </row>
    <row r="15" spans="1:14">
      <c r="A15" s="2" t="s">
        <v>309</v>
      </c>
      <c r="B15" s="3" t="s">
        <v>310</v>
      </c>
      <c r="D15" s="20">
        <v>2.1358384391869747E-4</v>
      </c>
      <c r="E15" s="20">
        <v>0.83270204901725309</v>
      </c>
      <c r="F15" s="20">
        <v>0.63610289055652935</v>
      </c>
      <c r="G15" s="20">
        <v>0.12039901237779484</v>
      </c>
      <c r="H15" s="20">
        <v>0</v>
      </c>
      <c r="I15" s="20">
        <v>7.6200146082928882E-2</v>
      </c>
      <c r="J15" s="20">
        <v>0</v>
      </c>
      <c r="K15" s="20">
        <v>0.1670843671388284</v>
      </c>
      <c r="L15" s="20">
        <v>0</v>
      </c>
    </row>
    <row r="16" spans="1:14">
      <c r="A16" s="2" t="s">
        <v>311</v>
      </c>
      <c r="B16" s="3" t="s">
        <v>312</v>
      </c>
      <c r="D16" s="20">
        <v>1.0732577937721195E-18</v>
      </c>
      <c r="E16" s="20">
        <v>0.99992440614753186</v>
      </c>
      <c r="F16" s="20">
        <v>5.5761582524048274E-2</v>
      </c>
      <c r="G16" s="20">
        <v>7.3277996232247377E-6</v>
      </c>
      <c r="H16" s="20">
        <v>0</v>
      </c>
      <c r="I16" s="20">
        <v>0.94415549582386038</v>
      </c>
      <c r="J16" s="20">
        <v>0</v>
      </c>
      <c r="K16" s="20">
        <v>7.5593852468234707E-5</v>
      </c>
      <c r="L16" s="20">
        <v>0</v>
      </c>
    </row>
    <row r="17" spans="1:12">
      <c r="A17" s="2" t="s">
        <v>313</v>
      </c>
      <c r="B17" s="3" t="s">
        <v>314</v>
      </c>
      <c r="D17" s="20">
        <v>2.2447465866801034E-18</v>
      </c>
      <c r="E17" s="20">
        <v>0.89650133701189882</v>
      </c>
      <c r="F17" s="20">
        <v>0.70603509737269043</v>
      </c>
      <c r="G17" s="20">
        <v>0.17467141802287228</v>
      </c>
      <c r="H17" s="20">
        <v>0</v>
      </c>
      <c r="I17" s="20">
        <v>1.5794821616336122E-2</v>
      </c>
      <c r="J17" s="20">
        <v>0</v>
      </c>
      <c r="K17" s="20">
        <v>0.10349866298810108</v>
      </c>
      <c r="L17" s="20">
        <v>0</v>
      </c>
    </row>
    <row r="18" spans="1:12">
      <c r="A18" s="2" t="s">
        <v>315</v>
      </c>
      <c r="B18" s="165">
        <v>354656</v>
      </c>
      <c r="D18" s="20">
        <v>2.0797374721142026E-10</v>
      </c>
      <c r="E18" s="20">
        <v>0.98624134619314452</v>
      </c>
      <c r="F18" s="20">
        <v>5.0299942387361835E-4</v>
      </c>
      <c r="G18" s="20">
        <v>1.9456424942063594E-4</v>
      </c>
      <c r="H18" s="20">
        <v>0</v>
      </c>
      <c r="I18" s="20">
        <v>0.98554378251985031</v>
      </c>
      <c r="J18" s="20">
        <v>0</v>
      </c>
      <c r="K18" s="20">
        <v>1.3758653598881659E-2</v>
      </c>
      <c r="L18" s="20">
        <v>0</v>
      </c>
    </row>
    <row r="19" spans="1:12">
      <c r="A19" s="2" t="s">
        <v>317</v>
      </c>
      <c r="B19" s="3" t="s">
        <v>318</v>
      </c>
      <c r="D19" s="20">
        <v>3.2632577470662643E-10</v>
      </c>
      <c r="E19" s="20">
        <v>0.97066279049753834</v>
      </c>
      <c r="F19" s="20">
        <v>2.1868064614724079E-3</v>
      </c>
      <c r="G19" s="20">
        <v>7.5806405424682461E-4</v>
      </c>
      <c r="H19" s="20">
        <v>0</v>
      </c>
      <c r="I19" s="20">
        <v>0.96771791998181911</v>
      </c>
      <c r="J19" s="20">
        <v>0</v>
      </c>
      <c r="K19" s="20">
        <v>2.9337209176135835E-2</v>
      </c>
      <c r="L19" s="20">
        <v>0</v>
      </c>
    </row>
    <row r="20" spans="1:12">
      <c r="A20" s="2" t="s">
        <v>284</v>
      </c>
      <c r="B20" s="3" t="s">
        <v>276</v>
      </c>
      <c r="D20" s="20">
        <v>1.8357014753045657E-8</v>
      </c>
      <c r="E20" s="20">
        <v>0.99957516383076594</v>
      </c>
      <c r="F20" s="20">
        <v>0.80509668965921422</v>
      </c>
      <c r="G20" s="20">
        <v>2.3051002851069913E-4</v>
      </c>
      <c r="H20" s="20">
        <v>0</v>
      </c>
      <c r="I20" s="20">
        <v>0.19424796414304105</v>
      </c>
      <c r="J20" s="20">
        <v>0</v>
      </c>
      <c r="K20" s="20">
        <v>4.2481781221927553E-4</v>
      </c>
      <c r="L20" s="20">
        <v>0</v>
      </c>
    </row>
    <row r="21" spans="1:12">
      <c r="A21" s="2" t="s">
        <v>319</v>
      </c>
      <c r="B21" s="3" t="s">
        <v>320</v>
      </c>
      <c r="D21" s="20">
        <v>5.1467728732407754E-20</v>
      </c>
      <c r="E21" s="20">
        <v>0.87546184628939538</v>
      </c>
      <c r="F21" s="20">
        <v>0.71235089457246403</v>
      </c>
      <c r="G21" s="20">
        <v>0.12664543189651079</v>
      </c>
      <c r="H21" s="20">
        <v>0</v>
      </c>
      <c r="I21" s="20">
        <v>3.6465519820420532E-2</v>
      </c>
      <c r="J21" s="20">
        <v>0</v>
      </c>
      <c r="K21" s="20">
        <v>0.12453815371060471</v>
      </c>
      <c r="L21" s="20">
        <v>0</v>
      </c>
    </row>
    <row r="22" spans="1:12">
      <c r="A22" s="2" t="s">
        <v>321</v>
      </c>
      <c r="B22" s="3" t="s">
        <v>322</v>
      </c>
      <c r="D22" s="20">
        <v>9.6975530567932345E-8</v>
      </c>
      <c r="E22" s="20">
        <v>0.99622218460184442</v>
      </c>
      <c r="F22" s="20">
        <v>4.1708170007726695E-5</v>
      </c>
      <c r="G22" s="20">
        <v>1.9396201646934615E-5</v>
      </c>
      <c r="H22" s="20">
        <v>0</v>
      </c>
      <c r="I22" s="20">
        <v>0.99616108023018979</v>
      </c>
      <c r="J22" s="20">
        <v>0</v>
      </c>
      <c r="K22" s="20">
        <v>3.7777184226250758E-3</v>
      </c>
      <c r="L22" s="20">
        <v>0</v>
      </c>
    </row>
    <row r="23" spans="1:12">
      <c r="A23" s="2" t="s">
        <v>323</v>
      </c>
      <c r="B23" s="3" t="s">
        <v>324</v>
      </c>
      <c r="D23" s="20">
        <v>4.1119271065417826E-11</v>
      </c>
      <c r="E23" s="20">
        <v>0.78668920861164049</v>
      </c>
      <c r="F23" s="20">
        <v>0.15374619553439803</v>
      </c>
      <c r="G23" s="20">
        <v>3.7592389626854905E-2</v>
      </c>
      <c r="H23" s="20">
        <v>0</v>
      </c>
      <c r="I23" s="20">
        <v>0.59535062345038758</v>
      </c>
      <c r="J23" s="20">
        <v>0</v>
      </c>
      <c r="K23" s="20">
        <v>0.21331079134724013</v>
      </c>
      <c r="L23" s="20">
        <v>0</v>
      </c>
    </row>
    <row r="24" spans="1:12">
      <c r="A24" s="2" t="s">
        <v>325</v>
      </c>
      <c r="B24" s="3" t="s">
        <v>326</v>
      </c>
      <c r="D24" s="20">
        <v>2.6175634232882049E-11</v>
      </c>
      <c r="E24" s="20">
        <v>0.993654517731557</v>
      </c>
      <c r="F24" s="20">
        <v>1.1309832789342806E-4</v>
      </c>
      <c r="G24" s="20">
        <v>4.8859806140083826E-5</v>
      </c>
      <c r="H24" s="20">
        <v>0</v>
      </c>
      <c r="I24" s="20">
        <v>0.99349255959752347</v>
      </c>
      <c r="J24" s="20">
        <v>0</v>
      </c>
      <c r="K24" s="20">
        <v>6.3454822422675692E-3</v>
      </c>
      <c r="L24" s="20">
        <v>0</v>
      </c>
    </row>
    <row r="25" spans="1:12">
      <c r="A25" s="2" t="s">
        <v>327</v>
      </c>
      <c r="B25" s="3" t="s">
        <v>328</v>
      </c>
      <c r="D25" s="20">
        <v>1.635577063178033E-27</v>
      </c>
      <c r="E25" s="20">
        <v>0.99839808882442216</v>
      </c>
      <c r="F25" s="20">
        <v>8.0247217442365463E-6</v>
      </c>
      <c r="G25" s="20">
        <v>4.2143008683059888E-6</v>
      </c>
      <c r="H25" s="20">
        <v>0</v>
      </c>
      <c r="I25" s="20">
        <v>0.99838584980180967</v>
      </c>
      <c r="J25" s="20">
        <v>0</v>
      </c>
      <c r="K25" s="20">
        <v>1.601911175577884E-3</v>
      </c>
      <c r="L25" s="20">
        <v>0</v>
      </c>
    </row>
    <row r="26" spans="1:12">
      <c r="A26" s="2" t="s">
        <v>329</v>
      </c>
      <c r="B26" s="3" t="s">
        <v>330</v>
      </c>
      <c r="D26" s="20">
        <v>1.3078754110240487E-13</v>
      </c>
      <c r="E26" s="20">
        <v>0.99634292561053184</v>
      </c>
      <c r="F26" s="20">
        <v>3.9185495749738304E-5</v>
      </c>
      <c r="G26" s="20">
        <v>1.8307156785547113E-5</v>
      </c>
      <c r="H26" s="20">
        <v>0</v>
      </c>
      <c r="I26" s="20">
        <v>0.99628543295799654</v>
      </c>
      <c r="J26" s="20">
        <v>0</v>
      </c>
      <c r="K26" s="20">
        <v>3.6570743893372588E-3</v>
      </c>
      <c r="L26" s="20">
        <v>0</v>
      </c>
    </row>
    <row r="27" spans="1:12">
      <c r="A27" s="2" t="s">
        <v>331</v>
      </c>
      <c r="B27" s="3" t="s">
        <v>332</v>
      </c>
      <c r="D27" s="20">
        <v>1.6459444156221746E-9</v>
      </c>
      <c r="E27" s="20">
        <v>0.97902110455380209</v>
      </c>
      <c r="F27" s="20">
        <v>1.1386077499576557E-3</v>
      </c>
      <c r="G27" s="20">
        <v>4.1444765901591798E-4</v>
      </c>
      <c r="H27" s="20">
        <v>0</v>
      </c>
      <c r="I27" s="20">
        <v>0.97746804914482854</v>
      </c>
      <c r="J27" s="20">
        <v>0</v>
      </c>
      <c r="K27" s="20">
        <v>2.0978893800253421E-2</v>
      </c>
      <c r="L27" s="20">
        <v>0</v>
      </c>
    </row>
    <row r="28" spans="1:12">
      <c r="A28" s="2" t="s">
        <v>333</v>
      </c>
      <c r="B28" s="3" t="s">
        <v>334</v>
      </c>
      <c r="D28" s="20">
        <v>1.3012765973744011E-16</v>
      </c>
      <c r="E28" s="20">
        <v>0.99807807233141954</v>
      </c>
      <c r="F28" s="20">
        <v>1.1384883478857771E-5</v>
      </c>
      <c r="G28" s="20">
        <v>5.8267199552540473E-6</v>
      </c>
      <c r="H28" s="20">
        <v>0</v>
      </c>
      <c r="I28" s="20">
        <v>0.99806086072798539</v>
      </c>
      <c r="J28" s="20">
        <v>0</v>
      </c>
      <c r="K28" s="20">
        <v>1.9219276685802855E-3</v>
      </c>
      <c r="L28" s="20">
        <v>0</v>
      </c>
    </row>
    <row r="29" spans="1:12">
      <c r="A29" s="2" t="s">
        <v>335</v>
      </c>
      <c r="B29" s="3" t="s">
        <v>336</v>
      </c>
      <c r="D29" s="20">
        <v>7.7965930512213607E-9</v>
      </c>
      <c r="E29" s="20">
        <v>0.92800997353376125</v>
      </c>
      <c r="F29" s="20">
        <v>1.2937901405673786E-2</v>
      </c>
      <c r="G29" s="20">
        <v>3.9170525018440254E-3</v>
      </c>
      <c r="H29" s="20">
        <v>0</v>
      </c>
      <c r="I29" s="20">
        <v>0.91115501962624346</v>
      </c>
      <c r="J29" s="20">
        <v>0</v>
      </c>
      <c r="K29" s="20">
        <v>7.1990018669645897E-2</v>
      </c>
      <c r="L29" s="20">
        <v>0</v>
      </c>
    </row>
    <row r="30" spans="1:12">
      <c r="A30" s="2" t="s">
        <v>337</v>
      </c>
      <c r="B30" s="3" t="s">
        <v>338</v>
      </c>
      <c r="D30" s="20">
        <v>2.4257272916386564E-16</v>
      </c>
      <c r="E30" s="20">
        <v>0.88999576779683309</v>
      </c>
      <c r="F30" s="20">
        <v>0.73519229211159876</v>
      </c>
      <c r="G30" s="20">
        <v>0.12761346488984082</v>
      </c>
      <c r="H30" s="20">
        <v>0</v>
      </c>
      <c r="I30" s="20">
        <v>2.719001079539347E-2</v>
      </c>
      <c r="J30" s="20">
        <v>0</v>
      </c>
      <c r="K30" s="20">
        <v>0.11000423220316669</v>
      </c>
      <c r="L30" s="20">
        <v>0</v>
      </c>
    </row>
    <row r="31" spans="1:12">
      <c r="A31" s="2" t="s">
        <v>275</v>
      </c>
      <c r="B31" s="3" t="s">
        <v>339</v>
      </c>
      <c r="D31" s="20">
        <v>2.2637716385956129E-10</v>
      </c>
      <c r="E31" s="20">
        <v>0.80438595451044559</v>
      </c>
      <c r="F31" s="20">
        <v>0.11923165859976148</v>
      </c>
      <c r="G31" s="20">
        <v>2.9914871435386004E-2</v>
      </c>
      <c r="H31" s="20">
        <v>0</v>
      </c>
      <c r="I31" s="20">
        <v>0.65523942447529815</v>
      </c>
      <c r="J31" s="20">
        <v>0</v>
      </c>
      <c r="K31" s="20">
        <v>0.19561404526317724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3.127522325273748E-16</v>
      </c>
      <c r="E2" s="14">
        <v>2.9583382179750781E-3</v>
      </c>
      <c r="F2" s="14">
        <v>1.400745994492564E-6</v>
      </c>
      <c r="G2" s="14">
        <v>5.4482238699387188E-7</v>
      </c>
      <c r="H2" s="14">
        <v>0</v>
      </c>
      <c r="I2" s="14">
        <v>0</v>
      </c>
      <c r="J2" s="14">
        <v>3.9716213643122484E-5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1.618065501640077E-7</v>
      </c>
      <c r="E3" s="14">
        <v>2.5367840831518659E-3</v>
      </c>
      <c r="F3" s="14">
        <v>9.793886556644195E-5</v>
      </c>
      <c r="G3" s="14">
        <v>2.7545497755644493E-5</v>
      </c>
      <c r="H3" s="14">
        <v>0</v>
      </c>
      <c r="I3" s="14">
        <v>0</v>
      </c>
      <c r="J3" s="14">
        <v>3.3756974697588384E-4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1.529875092469247E-6</v>
      </c>
      <c r="E4" s="14">
        <v>6.9276091892009274E-4</v>
      </c>
      <c r="F4" s="14">
        <v>1.3225586636656393E-3</v>
      </c>
      <c r="G4" s="14">
        <v>2.7906829573207901E-4</v>
      </c>
      <c r="H4" s="14">
        <v>0</v>
      </c>
      <c r="I4" s="14">
        <v>0</v>
      </c>
      <c r="J4" s="14">
        <v>7.0408224658971899E-4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9.7928395925268784E-18</v>
      </c>
      <c r="E5" s="14">
        <v>2.904464324195318E-3</v>
      </c>
      <c r="F5" s="14">
        <v>6.4012916048939336E-6</v>
      </c>
      <c r="G5" s="14">
        <v>2.2231213367378507E-6</v>
      </c>
      <c r="H5" s="14">
        <v>0</v>
      </c>
      <c r="I5" s="14">
        <v>0</v>
      </c>
      <c r="J5" s="14">
        <v>8.6911262863040425E-5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4.0091981505725798E-7</v>
      </c>
      <c r="E6" s="14">
        <v>4.1662461652137039E-5</v>
      </c>
      <c r="F6" s="14">
        <v>2.0484081358299192E-3</v>
      </c>
      <c r="G6" s="14">
        <v>5.9444550506656114E-4</v>
      </c>
      <c r="H6" s="14">
        <v>0</v>
      </c>
      <c r="I6" s="14">
        <v>0</v>
      </c>
      <c r="J6" s="14">
        <v>3.1508297763632606E-4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6.6792768873585398E-11</v>
      </c>
      <c r="E7" s="14">
        <v>2.9832307915067715E-3</v>
      </c>
      <c r="F7" s="14">
        <v>2.5473488151808768E-7</v>
      </c>
      <c r="G7" s="14">
        <v>1.1240457127264167E-7</v>
      </c>
      <c r="H7" s="14">
        <v>0</v>
      </c>
      <c r="I7" s="14">
        <v>0</v>
      </c>
      <c r="J7" s="14">
        <v>1.6402002247669112E-5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2.4613438552642072E-11</v>
      </c>
      <c r="E8" s="14">
        <v>2.907031216937115E-3</v>
      </c>
      <c r="F8" s="14">
        <v>6.0944042839570854E-6</v>
      </c>
      <c r="G8" s="14">
        <v>2.1243536437820329E-6</v>
      </c>
      <c r="H8" s="14">
        <v>0</v>
      </c>
      <c r="I8" s="14">
        <v>0</v>
      </c>
      <c r="J8" s="14">
        <v>8.475000052170723E-5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1.6473403438500685E-10</v>
      </c>
      <c r="E9" s="14">
        <v>3.1879444128439427E-6</v>
      </c>
      <c r="F9" s="14">
        <v>6.5969365239906212E-4</v>
      </c>
      <c r="G9" s="14">
        <v>2.1273446756948458E-3</v>
      </c>
      <c r="H9" s="14">
        <v>0</v>
      </c>
      <c r="I9" s="14">
        <v>0</v>
      </c>
      <c r="J9" s="14">
        <v>2.0977356275921364E-4</v>
      </c>
      <c r="K9" s="14">
        <v>0</v>
      </c>
      <c r="L9" s="21"/>
      <c r="M9" s="12"/>
    </row>
    <row r="10" spans="1:23">
      <c r="A10" s="2" t="s">
        <v>299</v>
      </c>
      <c r="B10" s="3" t="s">
        <v>300</v>
      </c>
      <c r="D10" s="14">
        <v>8.438261087681985E-8</v>
      </c>
      <c r="E10" s="14">
        <v>2.2888659807427957E-3</v>
      </c>
      <c r="F10" s="14">
        <v>1.9670342842021535E-4</v>
      </c>
      <c r="G10" s="14">
        <v>5.2156385284361415E-5</v>
      </c>
      <c r="H10" s="14">
        <v>0</v>
      </c>
      <c r="I10" s="14">
        <v>0</v>
      </c>
      <c r="J10" s="14">
        <v>4.6218982294175039E-4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5.4021731027289968E-20</v>
      </c>
      <c r="E11" s="14">
        <v>2.4974448221522557E-3</v>
      </c>
      <c r="F11" s="14">
        <v>1.1202822809980305E-4</v>
      </c>
      <c r="G11" s="14">
        <v>3.1161834905305924E-5</v>
      </c>
      <c r="H11" s="14">
        <v>0</v>
      </c>
      <c r="I11" s="14">
        <v>0</v>
      </c>
      <c r="J11" s="14">
        <v>3.593651148426354E-4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7.5502132396955226E-32</v>
      </c>
      <c r="E12" s="14">
        <v>2.7979929965319039E-3</v>
      </c>
      <c r="F12" s="14">
        <v>2.409451497126381E-5</v>
      </c>
      <c r="G12" s="14">
        <v>7.5685684605449829E-6</v>
      </c>
      <c r="H12" s="14">
        <v>0</v>
      </c>
      <c r="I12" s="14">
        <v>0</v>
      </c>
      <c r="J12" s="14">
        <v>1.7034392003628687E-4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1.6882783533892249E-10</v>
      </c>
      <c r="E13" s="14">
        <v>2.0456506004030701E-5</v>
      </c>
      <c r="F13" s="14">
        <v>1.6192094241310117E-3</v>
      </c>
      <c r="G13" s="14">
        <v>1.043514716499538E-3</v>
      </c>
      <c r="H13" s="14">
        <v>0</v>
      </c>
      <c r="I13" s="14">
        <v>0</v>
      </c>
      <c r="J13" s="14">
        <v>3.1681918453758392E-4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4.1749661663138034E-4</v>
      </c>
      <c r="F14" s="14">
        <v>4.9561509527580908E-4</v>
      </c>
      <c r="G14" s="14">
        <v>1.0830289877633121E-4</v>
      </c>
      <c r="H14" s="14">
        <v>0</v>
      </c>
      <c r="I14" s="14">
        <v>0</v>
      </c>
      <c r="J14" s="14">
        <v>3.3124777855690813E-4</v>
      </c>
      <c r="K14" s="14">
        <v>1.6473376049574665E-3</v>
      </c>
      <c r="L14" s="21"/>
      <c r="M14" s="12"/>
    </row>
    <row r="15" spans="1:23">
      <c r="A15" s="2" t="s">
        <v>309</v>
      </c>
      <c r="B15" s="3" t="s">
        <v>310</v>
      </c>
      <c r="D15" s="14">
        <v>6.4075153175609243E-7</v>
      </c>
      <c r="E15" s="14">
        <v>2.2860043824878665E-4</v>
      </c>
      <c r="F15" s="14">
        <v>1.9083086716695881E-3</v>
      </c>
      <c r="G15" s="14">
        <v>3.6119703713338448E-4</v>
      </c>
      <c r="H15" s="14">
        <v>0</v>
      </c>
      <c r="I15" s="14">
        <v>0</v>
      </c>
      <c r="J15" s="14">
        <v>5.0125310141648524E-4</v>
      </c>
      <c r="K15" s="14">
        <v>0</v>
      </c>
      <c r="L15" s="21"/>
      <c r="M15" s="12"/>
    </row>
    <row r="16" spans="1:23">
      <c r="A16" s="2" t="s">
        <v>311</v>
      </c>
      <c r="B16" s="3" t="s">
        <v>312</v>
      </c>
      <c r="D16" s="14">
        <v>3.2197733813163582E-21</v>
      </c>
      <c r="E16" s="14">
        <v>2.832466487471581E-3</v>
      </c>
      <c r="F16" s="14">
        <v>1.6728474757214483E-4</v>
      </c>
      <c r="G16" s="14">
        <v>2.1983398869674214E-8</v>
      </c>
      <c r="H16" s="14">
        <v>0</v>
      </c>
      <c r="I16" s="14">
        <v>0</v>
      </c>
      <c r="J16" s="14">
        <v>2.2678155740470412E-7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6.73423976004031E-21</v>
      </c>
      <c r="E17" s="14">
        <v>4.7384464849008365E-5</v>
      </c>
      <c r="F17" s="14">
        <v>2.1181052921180714E-3</v>
      </c>
      <c r="G17" s="14">
        <v>5.2401425406861679E-4</v>
      </c>
      <c r="H17" s="14">
        <v>0</v>
      </c>
      <c r="I17" s="14">
        <v>0</v>
      </c>
      <c r="J17" s="14">
        <v>3.1049598896430323E-4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6.2392124163426086E-13</v>
      </c>
      <c r="E18" s="14">
        <v>2.9566313475595509E-3</v>
      </c>
      <c r="F18" s="14">
        <v>1.5089982716208551E-6</v>
      </c>
      <c r="G18" s="14">
        <v>5.8369274826190785E-7</v>
      </c>
      <c r="H18" s="14">
        <v>0</v>
      </c>
      <c r="I18" s="14">
        <v>0</v>
      </c>
      <c r="J18" s="14">
        <v>4.1275960796644976E-5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9.7897732411987923E-13</v>
      </c>
      <c r="E19" s="14">
        <v>2.9031537599454576E-3</v>
      </c>
      <c r="F19" s="14">
        <v>6.5604193844172246E-6</v>
      </c>
      <c r="G19" s="14">
        <v>2.2741921627404736E-6</v>
      </c>
      <c r="H19" s="14">
        <v>0</v>
      </c>
      <c r="I19" s="14">
        <v>0</v>
      </c>
      <c r="J19" s="14">
        <v>8.8011627528407501E-5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5.507104425913697E-11</v>
      </c>
      <c r="E20" s="14">
        <v>5.8274389242912315E-4</v>
      </c>
      <c r="F20" s="14">
        <v>2.4152900689776427E-3</v>
      </c>
      <c r="G20" s="14">
        <v>6.9153008553209735E-7</v>
      </c>
      <c r="H20" s="14">
        <v>0</v>
      </c>
      <c r="I20" s="14">
        <v>0</v>
      </c>
      <c r="J20" s="14">
        <v>1.2744534366578266E-6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1.5440318619722328E-22</v>
      </c>
      <c r="E21" s="14">
        <v>1.0939655946126159E-4</v>
      </c>
      <c r="F21" s="14">
        <v>2.1370526837173921E-3</v>
      </c>
      <c r="G21" s="14">
        <v>3.7993629568953236E-4</v>
      </c>
      <c r="H21" s="14">
        <v>0</v>
      </c>
      <c r="I21" s="14">
        <v>0</v>
      </c>
      <c r="J21" s="14">
        <v>3.7361446113181413E-4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2.9092659170379701E-10</v>
      </c>
      <c r="E22" s="14">
        <v>2.9884832406905691E-3</v>
      </c>
      <c r="F22" s="14">
        <v>1.2512451002318006E-7</v>
      </c>
      <c r="G22" s="14">
        <v>5.8188604940803847E-8</v>
      </c>
      <c r="H22" s="14">
        <v>0</v>
      </c>
      <c r="I22" s="14">
        <v>0</v>
      </c>
      <c r="J22" s="14">
        <v>1.1333155267875227E-5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1.2335781319625347E-13</v>
      </c>
      <c r="E23" s="14">
        <v>1.786051870351163E-3</v>
      </c>
      <c r="F23" s="14">
        <v>4.6123858660319412E-4</v>
      </c>
      <c r="G23" s="14">
        <v>1.1277716888056471E-4</v>
      </c>
      <c r="H23" s="14">
        <v>0</v>
      </c>
      <c r="I23" s="14">
        <v>0</v>
      </c>
      <c r="J23" s="14">
        <v>6.3993237404172041E-4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7.8526902698646138E-14</v>
      </c>
      <c r="E24" s="14">
        <v>2.9804776787925704E-3</v>
      </c>
      <c r="F24" s="14">
        <v>3.3929498368028417E-7</v>
      </c>
      <c r="G24" s="14">
        <v>1.4657941842025149E-7</v>
      </c>
      <c r="H24" s="14">
        <v>0</v>
      </c>
      <c r="I24" s="14">
        <v>0</v>
      </c>
      <c r="J24" s="14">
        <v>1.9036446726802708E-5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4.9067311895340985E-30</v>
      </c>
      <c r="E25" s="14">
        <v>2.9951575494054292E-3</v>
      </c>
      <c r="F25" s="14">
        <v>2.4074165232709637E-8</v>
      </c>
      <c r="G25" s="14">
        <v>1.2642902604917966E-8</v>
      </c>
      <c r="H25" s="14">
        <v>0</v>
      </c>
      <c r="I25" s="14">
        <v>0</v>
      </c>
      <c r="J25" s="14">
        <v>4.8057335267336519E-6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3.9236262330721464E-16</v>
      </c>
      <c r="E26" s="14">
        <v>2.9888562988739896E-3</v>
      </c>
      <c r="F26" s="14">
        <v>1.1755648724921491E-7</v>
      </c>
      <c r="G26" s="14">
        <v>5.492147035664134E-8</v>
      </c>
      <c r="H26" s="14">
        <v>0</v>
      </c>
      <c r="I26" s="14">
        <v>0</v>
      </c>
      <c r="J26" s="14">
        <v>1.0971223168011776E-5</v>
      </c>
      <c r="K26" s="14">
        <v>0</v>
      </c>
    </row>
    <row r="27" spans="1:13">
      <c r="A27" s="2" t="s">
        <v>331</v>
      </c>
      <c r="B27" s="3" t="s">
        <v>332</v>
      </c>
      <c r="D27" s="14">
        <v>4.9378332468665235E-12</v>
      </c>
      <c r="E27" s="14">
        <v>2.9324041474344856E-3</v>
      </c>
      <c r="F27" s="14">
        <v>3.4158232498729669E-6</v>
      </c>
      <c r="G27" s="14">
        <v>1.243342977047754E-6</v>
      </c>
      <c r="H27" s="14">
        <v>0</v>
      </c>
      <c r="I27" s="14">
        <v>0</v>
      </c>
      <c r="J27" s="14">
        <v>6.2936681400760261E-5</v>
      </c>
      <c r="K27" s="14">
        <v>0</v>
      </c>
    </row>
    <row r="28" spans="1:13">
      <c r="A28" s="2" t="s">
        <v>333</v>
      </c>
      <c r="B28" s="3" t="s">
        <v>334</v>
      </c>
      <c r="D28" s="14">
        <v>3.9038297921232033E-19</v>
      </c>
      <c r="E28" s="14">
        <v>2.9941825821839562E-3</v>
      </c>
      <c r="F28" s="14">
        <v>3.4154650436573313E-8</v>
      </c>
      <c r="G28" s="14">
        <v>1.7480159865762142E-8</v>
      </c>
      <c r="H28" s="14">
        <v>0</v>
      </c>
      <c r="I28" s="14">
        <v>0</v>
      </c>
      <c r="J28" s="14">
        <v>5.7657830057408565E-6</v>
      </c>
      <c r="K28" s="14">
        <v>0</v>
      </c>
    </row>
    <row r="29" spans="1:13">
      <c r="A29" s="2" t="s">
        <v>335</v>
      </c>
      <c r="B29" s="3" t="s">
        <v>336</v>
      </c>
      <c r="D29" s="14">
        <v>2.3389779153664083E-11</v>
      </c>
      <c r="E29" s="14">
        <v>2.73346505887873E-3</v>
      </c>
      <c r="F29" s="14">
        <v>3.8813704217021362E-5</v>
      </c>
      <c r="G29" s="14">
        <v>1.1751157505532076E-5</v>
      </c>
      <c r="H29" s="14">
        <v>0</v>
      </c>
      <c r="I29" s="14">
        <v>0</v>
      </c>
      <c r="J29" s="14">
        <v>2.1597005600893768E-4</v>
      </c>
      <c r="K29" s="14">
        <v>0</v>
      </c>
    </row>
    <row r="30" spans="1:13">
      <c r="A30" s="2" t="s">
        <v>337</v>
      </c>
      <c r="B30" s="3" t="s">
        <v>338</v>
      </c>
      <c r="D30" s="14">
        <v>7.2771818749159694E-19</v>
      </c>
      <c r="E30" s="14">
        <v>8.1570032386180414E-5</v>
      </c>
      <c r="F30" s="14">
        <v>2.2055768763347963E-3</v>
      </c>
      <c r="G30" s="14">
        <v>3.8284039466952245E-4</v>
      </c>
      <c r="H30" s="14">
        <v>0</v>
      </c>
      <c r="I30" s="14">
        <v>0</v>
      </c>
      <c r="J30" s="14">
        <v>3.3001269660950003E-4</v>
      </c>
      <c r="K30" s="14">
        <v>0</v>
      </c>
    </row>
    <row r="31" spans="1:13">
      <c r="A31" s="2" t="s">
        <v>275</v>
      </c>
      <c r="B31" s="3" t="s">
        <v>339</v>
      </c>
      <c r="D31" s="14">
        <v>6.7913149157868392E-13</v>
      </c>
      <c r="E31" s="14">
        <v>1.9657182734258943E-3</v>
      </c>
      <c r="F31" s="14">
        <v>3.5769497579928445E-4</v>
      </c>
      <c r="G31" s="14">
        <v>8.9744614306158012E-5</v>
      </c>
      <c r="H31" s="14">
        <v>0</v>
      </c>
      <c r="I31" s="14">
        <v>0</v>
      </c>
      <c r="J31" s="14">
        <v>5.8684213578953171E-4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176</v>
      </c>
      <c r="F2" s="107">
        <v>-1.7842829228845294E-2</v>
      </c>
      <c r="G2" s="107">
        <v>-14.675671512313464</v>
      </c>
      <c r="H2" s="107">
        <v>0.23869999999999994</v>
      </c>
      <c r="I2" s="107">
        <v>-7.7972967140011798E-2</v>
      </c>
      <c r="J2" s="107">
        <v>-1.5344243011128968E-2</v>
      </c>
      <c r="K2" s="115">
        <v>10</v>
      </c>
      <c r="L2" s="115">
        <v>0</v>
      </c>
      <c r="M2" s="115">
        <v>0</v>
      </c>
      <c r="N2" s="115">
        <v>0</v>
      </c>
      <c r="O2" s="115">
        <v>8.2567228038486675</v>
      </c>
      <c r="P2" s="115">
        <v>9.5375412381850566</v>
      </c>
      <c r="Q2" s="111">
        <v>0.82567228038486673</v>
      </c>
      <c r="R2" s="68">
        <v>0.95375412381850566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15.416835721292333</v>
      </c>
      <c r="P3" s="115">
        <v>15.374825920963394</v>
      </c>
      <c r="Q3" s="111">
        <v>1.541683572129233</v>
      </c>
      <c r="R3" s="68">
        <v>1.5374825920963393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98.329571691239039</v>
      </c>
      <c r="P4" s="115">
        <v>94.383479611328951</v>
      </c>
      <c r="Q4" s="111">
        <v>9.8329571691239028</v>
      </c>
      <c r="R4" s="68">
        <v>9.4383479611328944</v>
      </c>
      <c r="T4" s="146"/>
    </row>
    <row r="5" spans="1:22">
      <c r="A5" s="102" t="s">
        <v>291</v>
      </c>
      <c r="B5" s="102" t="s">
        <v>292</v>
      </c>
      <c r="D5" s="103" t="s">
        <v>176</v>
      </c>
      <c r="F5" s="107">
        <v>0.60084717077115468</v>
      </c>
      <c r="G5" s="107">
        <v>-16.171981512313462</v>
      </c>
      <c r="H5" s="107">
        <v>0.86353999999999997</v>
      </c>
      <c r="I5" s="107">
        <v>-5.2645620646465392E-2</v>
      </c>
      <c r="J5" s="107">
        <v>2.5055349015053723E-3</v>
      </c>
      <c r="K5" s="115">
        <v>10</v>
      </c>
      <c r="L5" s="115">
        <v>0</v>
      </c>
      <c r="M5" s="115">
        <v>0</v>
      </c>
      <c r="N5" s="115">
        <v>0</v>
      </c>
      <c r="O5" s="115">
        <v>8.5931674239263334</v>
      </c>
      <c r="P5" s="115">
        <v>9.7567331926181211</v>
      </c>
      <c r="Q5" s="111">
        <v>0.85931674239263323</v>
      </c>
      <c r="R5" s="68">
        <v>0.97567331926181211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184.00090314898563</v>
      </c>
      <c r="P6" s="115">
        <v>155.15096862834579</v>
      </c>
      <c r="Q6" s="111">
        <v>18.400090314898563</v>
      </c>
      <c r="R6" s="68">
        <v>15.515096862834579</v>
      </c>
    </row>
    <row r="7" spans="1:22">
      <c r="A7" s="102" t="s">
        <v>293</v>
      </c>
      <c r="B7" s="102" t="s">
        <v>294</v>
      </c>
      <c r="D7" s="103" t="s">
        <v>176</v>
      </c>
      <c r="F7" s="107">
        <v>-0.70695282922884517</v>
      </c>
      <c r="G7" s="107">
        <v>-9.3497815123134629</v>
      </c>
      <c r="H7" s="107">
        <v>-0.45726</v>
      </c>
      <c r="I7" s="107">
        <v>-8.4344314294292302E-2</v>
      </c>
      <c r="J7" s="107">
        <v>-1.9597345554307446E-2</v>
      </c>
      <c r="K7" s="115">
        <v>10</v>
      </c>
      <c r="L7" s="115">
        <v>0</v>
      </c>
      <c r="M7" s="115">
        <v>0</v>
      </c>
      <c r="N7" s="115">
        <v>0</v>
      </c>
      <c r="O7" s="115">
        <v>8.2049395616056344</v>
      </c>
      <c r="P7" s="115">
        <v>9.5240650956494992</v>
      </c>
      <c r="Q7" s="111">
        <v>0.82049395616056342</v>
      </c>
      <c r="R7" s="68">
        <v>0.95240650956494977</v>
      </c>
    </row>
    <row r="8" spans="1:22">
      <c r="A8" s="102" t="s">
        <v>295</v>
      </c>
      <c r="B8" s="102" t="s">
        <v>296</v>
      </c>
      <c r="D8" s="103" t="s">
        <v>176</v>
      </c>
      <c r="F8" s="107">
        <v>0.58072717077115465</v>
      </c>
      <c r="G8" s="107">
        <v>-9.772101512313462</v>
      </c>
      <c r="H8" s="107">
        <v>0.84321999999999997</v>
      </c>
      <c r="I8" s="107">
        <v>-5.4135971776070352E-2</v>
      </c>
      <c r="J8" s="107">
        <v>1.4303878974166037E-3</v>
      </c>
      <c r="K8" s="115">
        <v>10</v>
      </c>
      <c r="L8" s="115">
        <v>0</v>
      </c>
      <c r="M8" s="115">
        <v>0</v>
      </c>
      <c r="N8" s="115">
        <v>0</v>
      </c>
      <c r="O8" s="115">
        <v>8.571297541548585</v>
      </c>
      <c r="P8" s="115">
        <v>9.7412105627372743</v>
      </c>
      <c r="Q8" s="111">
        <v>0.85712975415485837</v>
      </c>
      <c r="R8" s="68">
        <v>0.97412105627372736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463.84779690949875</v>
      </c>
      <c r="P9" s="115">
        <v>193.43517955877851</v>
      </c>
      <c r="Q9" s="111">
        <v>46.38477969094987</v>
      </c>
      <c r="R9" s="68">
        <v>19.34351795587785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22.66710852689328</v>
      </c>
      <c r="P10" s="115">
        <v>21.726451422233314</v>
      </c>
      <c r="Q10" s="111">
        <v>2.2667108526893278</v>
      </c>
      <c r="R10" s="68">
        <v>2.1726451422233315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16.460513874568292</v>
      </c>
      <c r="P11" s="115">
        <v>16.27544355005729</v>
      </c>
      <c r="Q11" s="111">
        <v>1.646051387456829</v>
      </c>
      <c r="R11" s="68">
        <v>1.6275443550057289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9.9013239639664317</v>
      </c>
      <c r="P12" s="115">
        <v>10.760394063257126</v>
      </c>
      <c r="Q12" s="111">
        <v>0.99013239639664308</v>
      </c>
      <c r="R12" s="68">
        <v>1.0760394063257126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264.43408184193748</v>
      </c>
      <c r="P13" s="115">
        <v>164.80662098332485</v>
      </c>
      <c r="Q13" s="111">
        <v>26.443408184193746</v>
      </c>
      <c r="R13" s="68">
        <v>16.480662098332484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131.71656689002074</v>
      </c>
      <c r="P15" s="115">
        <v>130.88005847695132</v>
      </c>
      <c r="Q15" s="111">
        <v>13.171656689002072</v>
      </c>
      <c r="R15" s="68">
        <v>13.088005847695131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3.62</v>
      </c>
      <c r="F16" s="107">
        <v>-1.3931198900703679</v>
      </c>
      <c r="G16" s="107">
        <v>-19.644163581277006</v>
      </c>
      <c r="H16" s="107">
        <v>1.2002280830603111</v>
      </c>
      <c r="I16" s="107">
        <v>0.14266039670259134</v>
      </c>
      <c r="J16" s="107">
        <v>0.2860101656290327</v>
      </c>
      <c r="K16" s="115">
        <v>10</v>
      </c>
      <c r="L16" s="115">
        <v>0</v>
      </c>
      <c r="M16" s="115">
        <v>0</v>
      </c>
      <c r="N16" s="115">
        <v>0</v>
      </c>
      <c r="O16" s="115">
        <v>13.138870270683576</v>
      </c>
      <c r="P16" s="115">
        <v>18.277121272798109</v>
      </c>
      <c r="Q16" s="111">
        <v>1.3138870270683574</v>
      </c>
      <c r="R16" s="68">
        <v>1.8277121272798107</v>
      </c>
    </row>
    <row r="17" spans="1:18">
      <c r="A17" s="102" t="s">
        <v>313</v>
      </c>
      <c r="B17" s="102" t="s">
        <v>314</v>
      </c>
      <c r="D17" s="103" t="s">
        <v>176</v>
      </c>
      <c r="F17" s="107">
        <v>4.7606571707711538</v>
      </c>
      <c r="G17" s="107">
        <v>-17.547171512313462</v>
      </c>
      <c r="H17" s="107">
        <v>5.0646999999999993</v>
      </c>
      <c r="I17" s="107">
        <v>3.034953284755399</v>
      </c>
      <c r="J17" s="107">
        <v>2.9875747277081421</v>
      </c>
      <c r="K17" s="115">
        <v>10</v>
      </c>
      <c r="L17" s="115">
        <v>0</v>
      </c>
      <c r="M17" s="115">
        <v>0</v>
      </c>
      <c r="N17" s="115">
        <v>0</v>
      </c>
      <c r="O17" s="115">
        <v>171.52290068552961</v>
      </c>
      <c r="P17" s="115">
        <v>153.79547421388523</v>
      </c>
      <c r="Q17" s="111">
        <v>17.152290068552958</v>
      </c>
      <c r="R17" s="68">
        <v>15.379547421388521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8.2630065257134735</v>
      </c>
      <c r="P18" s="115">
        <v>9.540734800904124</v>
      </c>
      <c r="Q18" s="111">
        <v>0.82630065257134733</v>
      </c>
      <c r="R18" s="68">
        <v>0.95407348009041226</v>
      </c>
    </row>
    <row r="19" spans="1:18">
      <c r="A19" s="102" t="s">
        <v>317</v>
      </c>
      <c r="B19" s="102" t="s">
        <v>318</v>
      </c>
      <c r="D19" s="103" t="s">
        <v>176</v>
      </c>
      <c r="F19" s="107">
        <v>0.61090717077115464</v>
      </c>
      <c r="G19" s="107">
        <v>-11.171921512313462</v>
      </c>
      <c r="H19" s="107">
        <v>0.8736999999999997</v>
      </c>
      <c r="I19" s="107">
        <v>-5.1875414162617046E-2</v>
      </c>
      <c r="J19" s="107">
        <v>3.062134244767074E-3</v>
      </c>
      <c r="K19" s="115">
        <v>10</v>
      </c>
      <c r="L19" s="115">
        <v>0</v>
      </c>
      <c r="M19" s="115">
        <v>0</v>
      </c>
      <c r="N19" s="115">
        <v>0</v>
      </c>
      <c r="O19" s="115">
        <v>8.6045363087368791</v>
      </c>
      <c r="P19" s="115">
        <v>9.7648374886279026</v>
      </c>
      <c r="Q19" s="111">
        <v>0.86045363087368787</v>
      </c>
      <c r="R19" s="68">
        <v>0.9764837488627901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4.45</v>
      </c>
      <c r="F20" s="107">
        <v>0.79128339889788069</v>
      </c>
      <c r="G20" s="107">
        <v>-8.724378525568893</v>
      </c>
      <c r="H20" s="107">
        <v>2.9311387165398459</v>
      </c>
      <c r="I20" s="107">
        <v>1.6027000001251428</v>
      </c>
      <c r="J20" s="107">
        <v>1.8406885949430936</v>
      </c>
      <c r="K20" s="115">
        <v>10</v>
      </c>
      <c r="L20" s="115">
        <v>0</v>
      </c>
      <c r="M20" s="115">
        <v>0</v>
      </c>
      <c r="N20" s="115">
        <v>0</v>
      </c>
      <c r="O20" s="115">
        <v>77.966955920557027</v>
      </c>
      <c r="P20" s="115">
        <v>134.86497403975449</v>
      </c>
      <c r="Q20" s="111">
        <v>7.7966955920557028</v>
      </c>
      <c r="R20" s="68">
        <v>13.486497403975449</v>
      </c>
    </row>
    <row r="21" spans="1:18">
      <c r="A21" s="102" t="s">
        <v>319</v>
      </c>
      <c r="B21" s="102" t="s">
        <v>320</v>
      </c>
      <c r="D21" s="103" t="s">
        <v>176</v>
      </c>
      <c r="F21" s="107">
        <v>4.2576571707711537</v>
      </c>
      <c r="G21" s="107">
        <v>-19.550171512313462</v>
      </c>
      <c r="H21" s="107">
        <v>4.5566999999999993</v>
      </c>
      <c r="I21" s="107">
        <v>2.5905266097533266</v>
      </c>
      <c r="J21" s="107">
        <v>2.5968537958221054</v>
      </c>
      <c r="K21" s="115">
        <v>10</v>
      </c>
      <c r="L21" s="115">
        <v>0</v>
      </c>
      <c r="M21" s="115">
        <v>0</v>
      </c>
      <c r="N21" s="115">
        <v>0</v>
      </c>
      <c r="O21" s="115">
        <v>142.3190778245567</v>
      </c>
      <c r="P21" s="115">
        <v>144.40768540486184</v>
      </c>
      <c r="Q21" s="111">
        <v>14.231907782455668</v>
      </c>
      <c r="R21" s="68">
        <v>14.440768540486182</v>
      </c>
    </row>
    <row r="22" spans="1:18">
      <c r="A22" s="102" t="s">
        <v>321</v>
      </c>
      <c r="B22" s="102" t="s">
        <v>322</v>
      </c>
      <c r="D22" s="103" t="s">
        <v>176</v>
      </c>
      <c r="F22" s="107">
        <v>-0.9936628292288453</v>
      </c>
      <c r="G22" s="107">
        <v>-8.7114915123134633</v>
      </c>
      <c r="H22" s="107">
        <v>-0.74682000000000004</v>
      </c>
      <c r="I22" s="107">
        <v>-8.5117823283517982E-2</v>
      </c>
      <c r="J22" s="107">
        <v>-2.0093075144075035E-2</v>
      </c>
      <c r="K22" s="115">
        <v>10</v>
      </c>
      <c r="L22" s="115">
        <v>0</v>
      </c>
      <c r="M22" s="115">
        <v>0</v>
      </c>
      <c r="N22" s="115">
        <v>0</v>
      </c>
      <c r="O22" s="115">
        <v>8.2047593798214589</v>
      </c>
      <c r="P22" s="115">
        <v>9.5299494543960961</v>
      </c>
      <c r="Q22" s="111">
        <v>0.8204759379821458</v>
      </c>
      <c r="R22" s="68">
        <v>0.9529949454396095</v>
      </c>
    </row>
    <row r="23" spans="1:18">
      <c r="A23" s="102" t="s">
        <v>323</v>
      </c>
      <c r="B23" s="102" t="s">
        <v>324</v>
      </c>
      <c r="D23" s="103" t="s">
        <v>176</v>
      </c>
      <c r="F23" s="107">
        <v>2.5172771707711545</v>
      </c>
      <c r="G23" s="107">
        <v>-11.860551512313464</v>
      </c>
      <c r="H23" s="107">
        <v>2.7990199999999996</v>
      </c>
      <c r="I23" s="107">
        <v>0.84250441567747714</v>
      </c>
      <c r="J23" s="107">
        <v>0.81422587091577481</v>
      </c>
      <c r="K23" s="115">
        <v>10</v>
      </c>
      <c r="L23" s="115">
        <v>0</v>
      </c>
      <c r="M23" s="115">
        <v>0</v>
      </c>
      <c r="N23" s="115">
        <v>0</v>
      </c>
      <c r="O23" s="115">
        <v>41.50795438843496</v>
      </c>
      <c r="P23" s="115">
        <v>38.891329169855716</v>
      </c>
      <c r="Q23" s="111">
        <v>4.1507954388434953</v>
      </c>
      <c r="R23" s="68">
        <v>3.8891329169855715</v>
      </c>
    </row>
    <row r="24" spans="1:18">
      <c r="A24" s="102" t="s">
        <v>325</v>
      </c>
      <c r="B24" s="102" t="s">
        <v>326</v>
      </c>
      <c r="D24" s="103" t="s">
        <v>176</v>
      </c>
      <c r="F24" s="107">
        <v>-0.59126282922884521</v>
      </c>
      <c r="G24" s="107">
        <v>-12.279091512313462</v>
      </c>
      <c r="H24" s="107">
        <v>-0.34041999999999994</v>
      </c>
      <c r="I24" s="107">
        <v>-8.3851340892650061E-2</v>
      </c>
      <c r="J24" s="107">
        <v>-1.9277220972529558E-2</v>
      </c>
      <c r="K24" s="115">
        <v>10</v>
      </c>
      <c r="L24" s="115">
        <v>0</v>
      </c>
      <c r="M24" s="115">
        <v>0</v>
      </c>
      <c r="N24" s="115">
        <v>0</v>
      </c>
      <c r="O24" s="115">
        <v>8.2066777513409814</v>
      </c>
      <c r="P24" s="115">
        <v>9.5222921197080197</v>
      </c>
      <c r="Q24" s="111">
        <v>0.82066777513409805</v>
      </c>
      <c r="R24" s="68">
        <v>0.9522292119708019</v>
      </c>
    </row>
    <row r="25" spans="1:18">
      <c r="A25" s="102" t="s">
        <v>327</v>
      </c>
      <c r="B25" s="102" t="s">
        <v>328</v>
      </c>
      <c r="D25" s="103" t="s">
        <v>176</v>
      </c>
      <c r="F25" s="107">
        <v>-1.6576228292288453</v>
      </c>
      <c r="G25" s="107">
        <v>-28.48545151231346</v>
      </c>
      <c r="H25" s="107">
        <v>-1.4173799999999999</v>
      </c>
      <c r="I25" s="107">
        <v>-8.575271022195663E-2</v>
      </c>
      <c r="J25" s="107">
        <v>-2.048876223092955E-2</v>
      </c>
      <c r="K25" s="115">
        <v>10</v>
      </c>
      <c r="L25" s="115">
        <v>0</v>
      </c>
      <c r="M25" s="115">
        <v>0</v>
      </c>
      <c r="N25" s="115">
        <v>0</v>
      </c>
      <c r="O25" s="115">
        <v>8.2110710347828189</v>
      </c>
      <c r="P25" s="115">
        <v>9.5425349063305571</v>
      </c>
      <c r="Q25" s="111">
        <v>0.82110710347828186</v>
      </c>
      <c r="R25" s="68">
        <v>0.95425349063305565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8.2049116288006854</v>
      </c>
      <c r="P26" s="115">
        <v>9.5304976808968593</v>
      </c>
      <c r="Q26" s="111">
        <v>0.82049116288006851</v>
      </c>
      <c r="R26" s="68">
        <v>0.95304976808968578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8.3849435884670473</v>
      </c>
      <c r="P27" s="115">
        <v>9.6139062221622424</v>
      </c>
      <c r="Q27" s="111">
        <v>0.83849435884670465</v>
      </c>
      <c r="R27" s="68">
        <v>0.96139062221622418</v>
      </c>
    </row>
    <row r="28" spans="1:18">
      <c r="A28" s="102" t="s">
        <v>333</v>
      </c>
      <c r="B28" s="102" t="s">
        <v>334</v>
      </c>
      <c r="D28" s="103" t="s">
        <v>176</v>
      </c>
      <c r="F28" s="107">
        <v>-1.5167828292288452</v>
      </c>
      <c r="G28" s="107">
        <v>-17.584611512313465</v>
      </c>
      <c r="H28" s="107">
        <v>-1.2751399999999997</v>
      </c>
      <c r="I28" s="107">
        <v>-8.5686521873403948E-2</v>
      </c>
      <c r="J28" s="107">
        <v>-2.0448451166126428E-2</v>
      </c>
      <c r="K28" s="115">
        <v>10</v>
      </c>
      <c r="L28" s="115">
        <v>0</v>
      </c>
      <c r="M28" s="115">
        <v>0</v>
      </c>
      <c r="N28" s="115">
        <v>0</v>
      </c>
      <c r="O28" s="115">
        <v>8.20964930263046</v>
      </c>
      <c r="P28" s="115">
        <v>9.5403141604130894</v>
      </c>
      <c r="Q28" s="111">
        <v>0.82096493026304596</v>
      </c>
      <c r="R28" s="68">
        <v>0.95403141604130892</v>
      </c>
    </row>
    <row r="29" spans="1:18">
      <c r="A29" s="102" t="s">
        <v>335</v>
      </c>
      <c r="B29" s="102" t="s">
        <v>336</v>
      </c>
      <c r="D29" s="103" t="s">
        <v>176</v>
      </c>
      <c r="F29" s="107">
        <v>1.3503171707711548</v>
      </c>
      <c r="G29" s="107">
        <v>-9.7675115123134635</v>
      </c>
      <c r="H29" s="107">
        <v>1.6204599999999998</v>
      </c>
      <c r="I29" s="107">
        <v>8.1143601821592873E-2</v>
      </c>
      <c r="J29" s="107">
        <v>0.1060316477131962</v>
      </c>
      <c r="K29" s="115">
        <v>10</v>
      </c>
      <c r="L29" s="115">
        <v>0</v>
      </c>
      <c r="M29" s="115">
        <v>0</v>
      </c>
      <c r="N29" s="115">
        <v>0</v>
      </c>
      <c r="O29" s="115">
        <v>11.004998211234344</v>
      </c>
      <c r="P29" s="115">
        <v>11.654080729636611</v>
      </c>
      <c r="Q29" s="111">
        <v>1.1004998211234343</v>
      </c>
      <c r="R29" s="68">
        <v>1.1654080729636609</v>
      </c>
    </row>
    <row r="30" spans="1:18">
      <c r="A30" s="102" t="s">
        <v>337</v>
      </c>
      <c r="B30" s="102" t="s">
        <v>338</v>
      </c>
      <c r="D30" s="103" t="s">
        <v>176</v>
      </c>
      <c r="F30" s="107">
        <v>4.3884371707711542</v>
      </c>
      <c r="G30" s="107">
        <v>-15.749391512313462</v>
      </c>
      <c r="H30" s="107">
        <v>4.6887799999999995</v>
      </c>
      <c r="I30" s="107">
        <v>2.7260613387772654</v>
      </c>
      <c r="J30" s="107">
        <v>2.7358692531720137</v>
      </c>
      <c r="K30" s="115">
        <v>10</v>
      </c>
      <c r="L30" s="115">
        <v>0</v>
      </c>
      <c r="M30" s="115">
        <v>0</v>
      </c>
      <c r="N30" s="115">
        <v>0</v>
      </c>
      <c r="O30" s="115">
        <v>144.98558365358198</v>
      </c>
      <c r="P30" s="115">
        <v>148.29712637927145</v>
      </c>
      <c r="Q30" s="111">
        <v>14.498558365358198</v>
      </c>
      <c r="R30" s="68">
        <v>14.829712637927145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34.220493410528761</v>
      </c>
      <c r="P31" s="115">
        <v>32.165570663937103</v>
      </c>
      <c r="Q31" s="111">
        <v>3.4220493410528761</v>
      </c>
      <c r="R31" s="68">
        <v>3.2165570663937104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176</v>
      </c>
      <c r="F2" s="107">
        <v>-1.7842829228845294E-2</v>
      </c>
      <c r="H2" s="107">
        <v>-1.7842829228845294E-2</v>
      </c>
      <c r="I2" s="107">
        <v>-1.7842829228845294E-2</v>
      </c>
      <c r="K2" s="107">
        <v>-1.7842829228845294E-2</v>
      </c>
      <c r="L2" s="107">
        <v>0.23869999999999994</v>
      </c>
      <c r="N2" s="107">
        <v>0.23869999999999994</v>
      </c>
      <c r="O2" s="107">
        <v>-0.57429999999999992</v>
      </c>
      <c r="Q2" s="107">
        <v>-0.57429999999999992</v>
      </c>
      <c r="R2" s="107">
        <v>-14.675671512313464</v>
      </c>
      <c r="S2" s="107">
        <v>-14.675671512313464</v>
      </c>
      <c r="T2" s="107">
        <v>-4.6968428292288449</v>
      </c>
      <c r="V2" s="107">
        <v>-4.6968428292288449</v>
      </c>
      <c r="W2" s="112">
        <v>131.29169344363464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176</v>
      </c>
      <c r="F5" s="107">
        <v>0.60084717077115468</v>
      </c>
      <c r="H5" s="107">
        <v>0.60084717077115468</v>
      </c>
      <c r="I5" s="107">
        <v>0.60084717077115468</v>
      </c>
      <c r="K5" s="107">
        <v>0.60084717077115468</v>
      </c>
      <c r="L5" s="107">
        <v>0.86353999999999997</v>
      </c>
      <c r="N5" s="107">
        <v>0.86353999999999997</v>
      </c>
      <c r="O5" s="107">
        <v>9.3590000000000062E-2</v>
      </c>
      <c r="Q5" s="107">
        <v>9.3590000000000062E-2</v>
      </c>
      <c r="R5" s="107">
        <v>-16.171981512313462</v>
      </c>
      <c r="S5" s="107">
        <v>-16.171981512313462</v>
      </c>
      <c r="T5" s="107">
        <v>-4.3487528292288449</v>
      </c>
      <c r="V5" s="107">
        <v>-4.3487528292288449</v>
      </c>
      <c r="W5" s="112">
        <v>576.61303556703831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176</v>
      </c>
      <c r="F7" s="107">
        <v>-0.70695282922884517</v>
      </c>
      <c r="H7" s="107">
        <v>-0.70695282922884517</v>
      </c>
      <c r="I7" s="107">
        <v>-0.70695282922884517</v>
      </c>
      <c r="K7" s="107">
        <v>-0.70695282922884517</v>
      </c>
      <c r="L7" s="107">
        <v>-0.45726</v>
      </c>
      <c r="N7" s="107">
        <v>-0.45726</v>
      </c>
      <c r="O7" s="107">
        <v>-1.3182099999999999</v>
      </c>
      <c r="Q7" s="107">
        <v>-1.3182099999999999</v>
      </c>
      <c r="R7" s="107">
        <v>-9.3497815123134629</v>
      </c>
      <c r="S7" s="107">
        <v>-9.3497815123134629</v>
      </c>
      <c r="T7" s="107">
        <v>-5.0845528292288451</v>
      </c>
      <c r="V7" s="107">
        <v>-5.0845528292288451</v>
      </c>
      <c r="W7" s="112">
        <v>1158264.0752750696</v>
      </c>
    </row>
    <row r="8" spans="1:23">
      <c r="A8" s="102" t="s">
        <v>295</v>
      </c>
      <c r="B8" s="102" t="s">
        <v>296</v>
      </c>
      <c r="D8" s="107" t="s">
        <v>176</v>
      </c>
      <c r="F8" s="107">
        <v>0.58072717077115465</v>
      </c>
      <c r="H8" s="107">
        <v>0.58072717077115465</v>
      </c>
      <c r="I8" s="107">
        <v>0.58072717077115465</v>
      </c>
      <c r="K8" s="107">
        <v>0.58072717077115465</v>
      </c>
      <c r="L8" s="107">
        <v>0.84321999999999997</v>
      </c>
      <c r="N8" s="107">
        <v>0.84321999999999997</v>
      </c>
      <c r="O8" s="107">
        <v>7.1870000000000003E-2</v>
      </c>
      <c r="Q8" s="107">
        <v>7.1870000000000003E-2</v>
      </c>
      <c r="R8" s="107">
        <v>-9.772101512313462</v>
      </c>
      <c r="S8" s="107">
        <v>-9.772101512313462</v>
      </c>
      <c r="T8" s="107">
        <v>-4.3600728292288453</v>
      </c>
      <c r="V8" s="107">
        <v>-4.3600728292288453</v>
      </c>
      <c r="W8" s="112">
        <v>60122.403482899848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3.62</v>
      </c>
      <c r="F16" s="107">
        <v>1.9237371707711546</v>
      </c>
      <c r="G16" s="107">
        <v>-1.5762628292288452</v>
      </c>
      <c r="H16" s="107">
        <v>-1.3931198900703679</v>
      </c>
      <c r="I16" s="107">
        <v>1.9237371707711546</v>
      </c>
      <c r="J16" s="107">
        <v>-1.5762628292288452</v>
      </c>
      <c r="K16" s="107">
        <v>-1.3931198900703679</v>
      </c>
      <c r="L16" s="107">
        <v>2.1995799999999992</v>
      </c>
      <c r="M16" s="107">
        <v>1.1995799999999996</v>
      </c>
      <c r="N16" s="107">
        <v>1.2002280830603111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-19.644163581277006</v>
      </c>
      <c r="T16" s="107">
        <v>-3.6044628292288445</v>
      </c>
      <c r="U16" s="107">
        <v>-7.1044628292288454</v>
      </c>
      <c r="V16" s="107">
        <v>-6.9213198900703672</v>
      </c>
      <c r="W16" s="112">
        <v>338589.32469973061</v>
      </c>
    </row>
    <row r="17" spans="1:23">
      <c r="A17" s="102" t="s">
        <v>313</v>
      </c>
      <c r="B17" s="102" t="s">
        <v>314</v>
      </c>
      <c r="D17" s="107" t="s">
        <v>176</v>
      </c>
      <c r="F17" s="107">
        <v>4.7606571707711538</v>
      </c>
      <c r="H17" s="107">
        <v>4.7606571707711538</v>
      </c>
      <c r="I17" s="107">
        <v>4.7606571707711538</v>
      </c>
      <c r="K17" s="107">
        <v>4.7606571707711538</v>
      </c>
      <c r="L17" s="107">
        <v>5.0646999999999993</v>
      </c>
      <c r="N17" s="107">
        <v>5.0646999999999993</v>
      </c>
      <c r="O17" s="107">
        <v>4.4006999999999996</v>
      </c>
      <c r="Q17" s="107">
        <v>4.4006999999999996</v>
      </c>
      <c r="R17" s="107">
        <v>-17.547171512313462</v>
      </c>
      <c r="S17" s="107">
        <v>-17.547171512313462</v>
      </c>
      <c r="T17" s="107">
        <v>-2.008342829228845</v>
      </c>
      <c r="V17" s="107">
        <v>-2.008342829228845</v>
      </c>
      <c r="W17" s="112">
        <v>4.9214222950215598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176</v>
      </c>
      <c r="F19" s="107">
        <v>0.61090717077115464</v>
      </c>
      <c r="H19" s="107">
        <v>0.61090717077115464</v>
      </c>
      <c r="I19" s="107">
        <v>0.61090717077115464</v>
      </c>
      <c r="K19" s="107">
        <v>0.61090717077115464</v>
      </c>
      <c r="L19" s="107">
        <v>0.8736999999999997</v>
      </c>
      <c r="N19" s="107">
        <v>0.8736999999999997</v>
      </c>
      <c r="O19" s="107">
        <v>0.10445000000000002</v>
      </c>
      <c r="Q19" s="107">
        <v>0.10445000000000002</v>
      </c>
      <c r="R19" s="107">
        <v>-11.171921512313462</v>
      </c>
      <c r="S19" s="107">
        <v>-11.171921512313462</v>
      </c>
      <c r="T19" s="107">
        <v>-4.3430928292288451</v>
      </c>
      <c r="V19" s="107">
        <v>-4.3430928292288451</v>
      </c>
      <c r="W19" s="112">
        <v>274963.50156973099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4.45</v>
      </c>
      <c r="F20" s="107">
        <v>3.6339371707711541</v>
      </c>
      <c r="G20" s="107">
        <v>0.13393717077115466</v>
      </c>
      <c r="H20" s="107">
        <v>0.79128339889788069</v>
      </c>
      <c r="I20" s="107">
        <v>3.6339371707711541</v>
      </c>
      <c r="J20" s="107">
        <v>0.13393717077115466</v>
      </c>
      <c r="K20" s="107">
        <v>0.79128339889788069</v>
      </c>
      <c r="L20" s="107">
        <v>3.9267799999999999</v>
      </c>
      <c r="M20" s="107">
        <v>2.9267799999999995</v>
      </c>
      <c r="N20" s="107">
        <v>2.9311387165398459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-8.724378525568893</v>
      </c>
      <c r="T20" s="107">
        <v>-2.6422628292288444</v>
      </c>
      <c r="U20" s="107">
        <v>-6.1422628292288444</v>
      </c>
      <c r="V20" s="107">
        <v>-5.4849166011021184</v>
      </c>
      <c r="W20" s="112">
        <v>39724.008701257342</v>
      </c>
    </row>
    <row r="21" spans="1:23">
      <c r="A21" s="102" t="s">
        <v>319</v>
      </c>
      <c r="B21" s="102" t="s">
        <v>320</v>
      </c>
      <c r="D21" s="107" t="s">
        <v>176</v>
      </c>
      <c r="F21" s="107">
        <v>4.2576571707711537</v>
      </c>
      <c r="H21" s="107">
        <v>4.2576571707711537</v>
      </c>
      <c r="I21" s="107">
        <v>4.2576571707711537</v>
      </c>
      <c r="K21" s="107">
        <v>4.2576571707711537</v>
      </c>
      <c r="L21" s="107">
        <v>4.5566999999999993</v>
      </c>
      <c r="N21" s="107">
        <v>4.5566999999999993</v>
      </c>
      <c r="O21" s="107">
        <v>4.041199999999999</v>
      </c>
      <c r="Q21" s="107">
        <v>4.041199999999999</v>
      </c>
      <c r="R21" s="107">
        <v>-19.550171512313462</v>
      </c>
      <c r="S21" s="107">
        <v>-19.550171512313462</v>
      </c>
      <c r="T21" s="107">
        <v>-2.2913428292288449</v>
      </c>
      <c r="V21" s="107">
        <v>-2.2913428292288449</v>
      </c>
      <c r="W21" s="112">
        <v>103.8594416539005</v>
      </c>
    </row>
    <row r="22" spans="1:23">
      <c r="A22" s="102" t="s">
        <v>321</v>
      </c>
      <c r="B22" s="102" t="s">
        <v>322</v>
      </c>
      <c r="D22" s="107" t="s">
        <v>176</v>
      </c>
      <c r="F22" s="107">
        <v>-0.9936628292288453</v>
      </c>
      <c r="H22" s="107">
        <v>-0.9936628292288453</v>
      </c>
      <c r="I22" s="107">
        <v>-0.9936628292288453</v>
      </c>
      <c r="K22" s="107">
        <v>-0.9936628292288453</v>
      </c>
      <c r="L22" s="107">
        <v>-0.74682000000000004</v>
      </c>
      <c r="N22" s="107">
        <v>-0.74682000000000004</v>
      </c>
      <c r="O22" s="107">
        <v>-1.6277199999999996</v>
      </c>
      <c r="Q22" s="107">
        <v>-1.6277199999999996</v>
      </c>
      <c r="R22" s="107">
        <v>-8.7114915123134633</v>
      </c>
      <c r="S22" s="107">
        <v>-8.7114915123134633</v>
      </c>
      <c r="T22" s="107">
        <v>-5.2458628292288445</v>
      </c>
      <c r="V22" s="107">
        <v>-5.2458628292288445</v>
      </c>
      <c r="W22" s="102">
        <v>1351343.0050164976</v>
      </c>
    </row>
    <row r="23" spans="1:23">
      <c r="A23" s="102" t="s">
        <v>323</v>
      </c>
      <c r="B23" s="102" t="s">
        <v>324</v>
      </c>
      <c r="D23" s="107" t="s">
        <v>176</v>
      </c>
      <c r="F23" s="107">
        <v>2.5172771707711545</v>
      </c>
      <c r="H23" s="107">
        <v>2.5172771707711545</v>
      </c>
      <c r="I23" s="107">
        <v>2.5172771707711545</v>
      </c>
      <c r="K23" s="107">
        <v>2.5172771707711545</v>
      </c>
      <c r="L23" s="107">
        <v>2.7990199999999996</v>
      </c>
      <c r="N23" s="107">
        <v>2.7990199999999996</v>
      </c>
      <c r="O23" s="107">
        <v>2.16242</v>
      </c>
      <c r="Q23" s="107">
        <v>2.16242</v>
      </c>
      <c r="R23" s="107">
        <v>-11.860551512313464</v>
      </c>
      <c r="S23" s="107">
        <v>-11.860551512313464</v>
      </c>
      <c r="T23" s="107">
        <v>-3.2705228292288444</v>
      </c>
      <c r="V23" s="107">
        <v>-3.2705228292288444</v>
      </c>
      <c r="W23" s="102">
        <v>221.42314372090217</v>
      </c>
    </row>
    <row r="24" spans="1:23">
      <c r="A24" s="102" t="s">
        <v>325</v>
      </c>
      <c r="B24" s="102" t="s">
        <v>326</v>
      </c>
      <c r="D24" s="107" t="s">
        <v>176</v>
      </c>
      <c r="F24" s="107">
        <v>-0.59126282922884521</v>
      </c>
      <c r="H24" s="107">
        <v>-0.59126282922884521</v>
      </c>
      <c r="I24" s="107">
        <v>-0.59126282922884521</v>
      </c>
      <c r="K24" s="107">
        <v>-0.59126282922884521</v>
      </c>
      <c r="L24" s="107">
        <v>-0.34041999999999994</v>
      </c>
      <c r="N24" s="107">
        <v>-0.34041999999999994</v>
      </c>
      <c r="O24" s="107">
        <v>-1.1933199999999997</v>
      </c>
      <c r="Q24" s="107">
        <v>-1.1933199999999997</v>
      </c>
      <c r="R24" s="107">
        <v>-12.279091512313462</v>
      </c>
      <c r="S24" s="107">
        <v>-12.279091512313462</v>
      </c>
      <c r="T24" s="107">
        <v>-5.0194628292288455</v>
      </c>
      <c r="V24" s="107">
        <v>-5.0194628292288455</v>
      </c>
      <c r="W24" s="102">
        <v>127.20758741335909</v>
      </c>
    </row>
    <row r="25" spans="1:23">
      <c r="A25" s="102" t="s">
        <v>327</v>
      </c>
      <c r="B25" s="102" t="s">
        <v>328</v>
      </c>
      <c r="D25" s="107" t="s">
        <v>176</v>
      </c>
      <c r="F25" s="107">
        <v>-1.6576228292288453</v>
      </c>
      <c r="H25" s="107">
        <v>-1.6576228292288453</v>
      </c>
      <c r="I25" s="107">
        <v>-1.6576228292288453</v>
      </c>
      <c r="K25" s="107">
        <v>-1.6576228292288453</v>
      </c>
      <c r="L25" s="107">
        <v>-1.4173799999999999</v>
      </c>
      <c r="N25" s="107">
        <v>-1.4173799999999999</v>
      </c>
      <c r="O25" s="107">
        <v>-2.3444799999999999</v>
      </c>
      <c r="Q25" s="107">
        <v>-2.3444799999999999</v>
      </c>
      <c r="R25" s="107">
        <v>-28.48545151231346</v>
      </c>
      <c r="S25" s="107">
        <v>-28.48545151231346</v>
      </c>
      <c r="T25" s="107">
        <v>-5.6194228292288448</v>
      </c>
      <c r="V25" s="107">
        <v>-5.6194228292288448</v>
      </c>
      <c r="W25" s="102">
        <v>673306.70627143362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176</v>
      </c>
      <c r="F28" s="107">
        <v>-1.5167828292288452</v>
      </c>
      <c r="H28" s="107">
        <v>-1.5167828292288452</v>
      </c>
      <c r="I28" s="107">
        <v>-1.5167828292288452</v>
      </c>
      <c r="K28" s="107">
        <v>-1.5167828292288452</v>
      </c>
      <c r="L28" s="107">
        <v>-1.2751399999999997</v>
      </c>
      <c r="N28" s="107">
        <v>-1.2751399999999997</v>
      </c>
      <c r="O28" s="107">
        <v>-2.1924399999999999</v>
      </c>
      <c r="Q28" s="107">
        <v>-2.1924399999999999</v>
      </c>
      <c r="R28" s="107">
        <v>-17.584611512313465</v>
      </c>
      <c r="S28" s="107">
        <v>-17.584611512313465</v>
      </c>
      <c r="T28" s="107">
        <v>-5.5401828292288453</v>
      </c>
      <c r="V28" s="107">
        <v>-5.5401828292288453</v>
      </c>
      <c r="W28" s="102">
        <v>353527.39848037547</v>
      </c>
    </row>
    <row r="29" spans="1:23">
      <c r="A29" s="102" t="s">
        <v>335</v>
      </c>
      <c r="B29" s="102" t="s">
        <v>336</v>
      </c>
      <c r="D29" s="107" t="s">
        <v>176</v>
      </c>
      <c r="F29" s="107">
        <v>1.3503171707711548</v>
      </c>
      <c r="H29" s="107">
        <v>1.3503171707711548</v>
      </c>
      <c r="I29" s="107">
        <v>1.3503171707711548</v>
      </c>
      <c r="K29" s="107">
        <v>1.3503171707711548</v>
      </c>
      <c r="L29" s="107">
        <v>1.6204599999999998</v>
      </c>
      <c r="N29" s="107">
        <v>1.6204599999999998</v>
      </c>
      <c r="O29" s="107">
        <v>0.90266000000000013</v>
      </c>
      <c r="Q29" s="107">
        <v>0.90266000000000013</v>
      </c>
      <c r="R29" s="107">
        <v>-9.7675115123134635</v>
      </c>
      <c r="S29" s="107">
        <v>-9.7675115123134635</v>
      </c>
      <c r="T29" s="107">
        <v>-3.9270828292288447</v>
      </c>
      <c r="V29" s="107">
        <v>-3.9270828292288447</v>
      </c>
      <c r="W29" s="102">
        <v>20281.116715330543</v>
      </c>
    </row>
    <row r="30" spans="1:23">
      <c r="A30" s="102" t="s">
        <v>337</v>
      </c>
      <c r="B30" s="102" t="s">
        <v>338</v>
      </c>
      <c r="D30" s="107" t="s">
        <v>176</v>
      </c>
      <c r="F30" s="107">
        <v>4.3884371707711542</v>
      </c>
      <c r="H30" s="107">
        <v>4.3884371707711542</v>
      </c>
      <c r="I30" s="107">
        <v>4.3884371707711542</v>
      </c>
      <c r="K30" s="107">
        <v>4.3884371707711542</v>
      </c>
      <c r="L30" s="107">
        <v>4.6887799999999995</v>
      </c>
      <c r="N30" s="107">
        <v>4.6887799999999995</v>
      </c>
      <c r="O30" s="107">
        <v>4.1823800000000011</v>
      </c>
      <c r="Q30" s="107">
        <v>4.1823800000000011</v>
      </c>
      <c r="R30" s="107">
        <v>-15.749391512313462</v>
      </c>
      <c r="S30" s="107">
        <v>-15.749391512313462</v>
      </c>
      <c r="T30" s="107">
        <v>-2.2177628292288443</v>
      </c>
      <c r="V30" s="107">
        <v>-2.2177628292288443</v>
      </c>
      <c r="W30" s="102">
        <v>2.8345468450236071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2.9583382179750781E-3</v>
      </c>
      <c r="C2">
        <f>SUM('Mass Balance'!E2:H2)</f>
        <v>2.9602837863565647E-3</v>
      </c>
      <c r="D2">
        <f>Concentrations!F2/Concentrations!E2</f>
        <v>1.0013100611618808</v>
      </c>
    </row>
    <row r="3" spans="1:4">
      <c r="A3" s="164">
        <f>'Mass Balance'!I3</f>
        <v>0</v>
      </c>
      <c r="B3">
        <f>'Mass Balance'!E3</f>
        <v>2.5367840831518659E-3</v>
      </c>
      <c r="C3">
        <f>SUM('Mass Balance'!E3:H3)</f>
        <v>2.6622684464739522E-3</v>
      </c>
      <c r="D3">
        <f>Concentrations!F3/Concentrations!E3</f>
        <v>0.95474141433163562</v>
      </c>
    </row>
    <row r="4" spans="1:4">
      <c r="A4" s="164">
        <f>'Mass Balance'!I4</f>
        <v>0</v>
      </c>
      <c r="B4">
        <f>'Mass Balance'!E4</f>
        <v>6.9276091892009274E-4</v>
      </c>
      <c r="C4">
        <f>SUM('Mass Balance'!E4:H4)</f>
        <v>2.294387878317811E-3</v>
      </c>
      <c r="D4">
        <f>Concentrations!F4/Concentrations!E4</f>
        <v>0.30253152911673686</v>
      </c>
    </row>
    <row r="5" spans="1:4">
      <c r="A5" s="164">
        <f>'Mass Balance'!I5</f>
        <v>0</v>
      </c>
      <c r="B5">
        <f>'Mass Balance'!E5</f>
        <v>2.904464324195318E-3</v>
      </c>
      <c r="C5">
        <f>SUM('Mass Balance'!E5:H5)</f>
        <v>2.9130887371369499E-3</v>
      </c>
      <c r="D5">
        <f>Concentrations!F5/Concentrations!E5</f>
        <v>0.99900217707107919</v>
      </c>
    </row>
    <row r="6" spans="1:4">
      <c r="A6" s="164">
        <f>'Mass Balance'!I6</f>
        <v>0</v>
      </c>
      <c r="B6">
        <f>'Mass Balance'!E6</f>
        <v>4.1662461652137039E-5</v>
      </c>
      <c r="C6">
        <f>SUM('Mass Balance'!E6:H6)</f>
        <v>2.6845161025486177E-3</v>
      </c>
      <c r="D6">
        <f>Concentrations!F6/Concentrations!E6</f>
        <v>1.5550093903850239E-2</v>
      </c>
    </row>
    <row r="7" spans="1:4">
      <c r="A7" s="164">
        <f>'Mass Balance'!I7</f>
        <v>0</v>
      </c>
      <c r="B7">
        <f>'Mass Balance'!E7</f>
        <v>2.9832307915067715E-3</v>
      </c>
      <c r="C7">
        <f>SUM('Mass Balance'!E7:H7)</f>
        <v>2.9835979309595622E-3</v>
      </c>
      <c r="D7">
        <f>Concentrations!F7/Concentrations!E7</f>
        <v>1.001845283734397</v>
      </c>
    </row>
    <row r="8" spans="1:4">
      <c r="A8" s="164">
        <f>'Mass Balance'!I8</f>
        <v>0</v>
      </c>
      <c r="B8">
        <f>'Mass Balance'!E8</f>
        <v>2.907031216937115E-3</v>
      </c>
      <c r="C8">
        <f>SUM('Mass Balance'!E8:H8)</f>
        <v>2.9152499748648537E-3</v>
      </c>
      <c r="D8">
        <f>Concentrations!F8/Concentrations!E8</f>
        <v>0.99914379946368248</v>
      </c>
    </row>
    <row r="9" spans="1:4">
      <c r="A9" s="164">
        <f>'Mass Balance'!I9</f>
        <v>0</v>
      </c>
      <c r="B9">
        <f>'Mass Balance'!E9</f>
        <v>3.1879444128439427E-6</v>
      </c>
      <c r="C9">
        <f>SUM('Mass Balance'!E9:H9)</f>
        <v>2.7902262725067518E-3</v>
      </c>
      <c r="D9">
        <f>Concentrations!F9/Concentrations!E9</f>
        <v>1.144788923876607E-3</v>
      </c>
    </row>
    <row r="10" spans="1:4">
      <c r="A10" s="164">
        <f>'Mass Balance'!I10</f>
        <v>0</v>
      </c>
      <c r="B10">
        <f>'Mass Balance'!E10</f>
        <v>2.2888659807427957E-3</v>
      </c>
      <c r="C10">
        <f>SUM('Mass Balance'!E10:H10)</f>
        <v>2.5377257944473727E-3</v>
      </c>
      <c r="D10">
        <f>Concentrations!F10/Concentrations!E10</f>
        <v>0.90371142471898969</v>
      </c>
    </row>
    <row r="11" spans="1:4">
      <c r="A11" s="164">
        <f>'Mass Balance'!I11</f>
        <v>0</v>
      </c>
      <c r="B11">
        <f>'Mass Balance'!E11</f>
        <v>2.4974448221522557E-3</v>
      </c>
      <c r="C11">
        <f>SUM('Mass Balance'!E11:H11)</f>
        <v>2.6406348851573647E-3</v>
      </c>
      <c r="D11">
        <f>Concentrations!F11/Concentrations!E11</f>
        <v>0.94763621148722499</v>
      </c>
    </row>
    <row r="12" spans="1:4">
      <c r="A12" s="164">
        <f>'Mass Balance'!I12</f>
        <v>0</v>
      </c>
      <c r="B12">
        <f>'Mass Balance'!E12</f>
        <v>2.7979929965319039E-3</v>
      </c>
      <c r="C12">
        <f>SUM('Mass Balance'!E12:H12)</f>
        <v>2.8296560799637126E-3</v>
      </c>
      <c r="D12">
        <f>Concentrations!F12/Concentrations!E12</f>
        <v>0.99075682215075889</v>
      </c>
    </row>
    <row r="13" spans="1:4">
      <c r="A13" s="164">
        <f>'Mass Balance'!I13</f>
        <v>0</v>
      </c>
      <c r="B13">
        <f>'Mass Balance'!E13</f>
        <v>2.0456506004030701E-5</v>
      </c>
      <c r="C13">
        <f>SUM('Mass Balance'!E13:H13)</f>
        <v>2.6831806466345804E-3</v>
      </c>
      <c r="D13">
        <f>Concentrations!F13/Concentrations!E13</f>
        <v>7.6389848253166984E-3</v>
      </c>
    </row>
    <row r="14" spans="1:4">
      <c r="A14" s="164">
        <f>'Mass Balance'!I14</f>
        <v>0</v>
      </c>
      <c r="B14">
        <f>'Mass Balance'!E14</f>
        <v>4.1749661663138034E-4</v>
      </c>
      <c r="C14">
        <f>SUM('Mass Balance'!E14:H14)</f>
        <v>1.0214146106835207E-3</v>
      </c>
      <c r="D14">
        <f>Concentrations!F14/Concentrations!E14</f>
        <v>0.40954817675957206</v>
      </c>
    </row>
    <row r="15" spans="1:4">
      <c r="A15" s="164">
        <f>'Mass Balance'!I15</f>
        <v>0</v>
      </c>
      <c r="B15">
        <f>'Mass Balance'!E15</f>
        <v>2.2860043824878665E-4</v>
      </c>
      <c r="C15">
        <f>SUM('Mass Balance'!E15:H15)</f>
        <v>2.4981061470517592E-3</v>
      </c>
      <c r="D15">
        <f>Concentrations!F15/Concentrations!E15</f>
        <v>9.1689641147294179E-2</v>
      </c>
    </row>
    <row r="16" spans="1:4">
      <c r="A16" s="164">
        <f>'Mass Balance'!I16</f>
        <v>0</v>
      </c>
      <c r="B16">
        <f>'Mass Balance'!E16</f>
        <v>2.832466487471581E-3</v>
      </c>
      <c r="C16">
        <f>SUM('Mass Balance'!E16:H16)</f>
        <v>2.9997732184425955E-3</v>
      </c>
      <c r="D16">
        <f>Concentrations!F16/Concentrations!E16</f>
        <v>0.94608565835279845</v>
      </c>
    </row>
    <row r="17" spans="1:4">
      <c r="A17" s="164">
        <f>'Mass Balance'!I17</f>
        <v>0</v>
      </c>
      <c r="B17">
        <f>'Mass Balance'!E17</f>
        <v>4.7384464849008365E-5</v>
      </c>
      <c r="C17">
        <f>SUM('Mass Balance'!E17:H17)</f>
        <v>2.6895040110356963E-3</v>
      </c>
      <c r="D17">
        <f>Concentrations!F17/Concentrations!E17</f>
        <v>1.7652974190006238E-2</v>
      </c>
    </row>
    <row r="18" spans="1:4">
      <c r="A18" s="164">
        <f>'Mass Balance'!I18</f>
        <v>0</v>
      </c>
      <c r="B18">
        <f>'Mass Balance'!E18</f>
        <v>2.9566313475595509E-3</v>
      </c>
      <c r="C18">
        <f>SUM('Mass Balance'!E18:H18)</f>
        <v>2.9587240385794333E-3</v>
      </c>
      <c r="D18">
        <f>Concentrations!F18/Concentrations!E18</f>
        <v>1.0012598910953301</v>
      </c>
    </row>
    <row r="19" spans="1:4">
      <c r="A19" s="164">
        <f>'Mass Balance'!I19</f>
        <v>0</v>
      </c>
      <c r="B19">
        <f>'Mass Balance'!E19</f>
        <v>2.9031537599454576E-3</v>
      </c>
      <c r="C19">
        <f>SUM('Mass Balance'!E19:H19)</f>
        <v>2.9119883714926152E-3</v>
      </c>
      <c r="D19">
        <f>Concentrations!F19/Concentrations!E19</f>
        <v>0.99892873016916917</v>
      </c>
    </row>
    <row r="20" spans="1:4">
      <c r="A20" s="164">
        <f>'Mass Balance'!I20</f>
        <v>0</v>
      </c>
      <c r="B20">
        <f>'Mass Balance'!E20</f>
        <v>5.8274389242912315E-4</v>
      </c>
      <c r="C20">
        <f>SUM('Mass Balance'!E20:H20)</f>
        <v>2.9987254914922976E-3</v>
      </c>
      <c r="D20">
        <f>Concentrations!F20/Concentrations!E20</f>
        <v>0.19471307767918883</v>
      </c>
    </row>
    <row r="21" spans="1:4">
      <c r="A21" s="164">
        <f>'Mass Balance'!I21</f>
        <v>0</v>
      </c>
      <c r="B21">
        <f>'Mass Balance'!E21</f>
        <v>1.0939655946126159E-4</v>
      </c>
      <c r="C21">
        <f>SUM('Mass Balance'!E21:H21)</f>
        <v>2.6263855388681859E-3</v>
      </c>
      <c r="D21">
        <f>Concentrations!F21/Concentrations!E21</f>
        <v>4.1734891378637368E-2</v>
      </c>
    </row>
    <row r="22" spans="1:4">
      <c r="A22" s="164">
        <f>'Mass Balance'!I22</f>
        <v>0</v>
      </c>
      <c r="B22">
        <f>'Mass Balance'!E22</f>
        <v>2.9884832406905691E-3</v>
      </c>
      <c r="C22">
        <f>SUM('Mass Balance'!E22:H22)</f>
        <v>2.9886665538055332E-3</v>
      </c>
      <c r="D22">
        <f>Concentrations!F22/Concentrations!E22</f>
        <v>1.0019071217300624</v>
      </c>
    </row>
    <row r="23" spans="1:4">
      <c r="A23" s="164">
        <f>'Mass Balance'!I23</f>
        <v>0</v>
      </c>
      <c r="B23">
        <f>'Mass Balance'!E23</f>
        <v>1.786051870351163E-3</v>
      </c>
      <c r="C23">
        <f>SUM('Mass Balance'!E23:H23)</f>
        <v>2.3600676258349216E-3</v>
      </c>
      <c r="D23">
        <f>Concentrations!F23/Concentrations!E23</f>
        <v>0.75826973523376207</v>
      </c>
    </row>
    <row r="24" spans="1:4">
      <c r="A24" s="164">
        <f>'Mass Balance'!I24</f>
        <v>0</v>
      </c>
      <c r="B24">
        <f>'Mass Balance'!E24</f>
        <v>2.9804776787925704E-3</v>
      </c>
      <c r="C24">
        <f>SUM('Mass Balance'!E24:H24)</f>
        <v>2.9809635531946707E-3</v>
      </c>
      <c r="D24">
        <f>Concentrations!F24/Concentrations!E24</f>
        <v>1.001805265300286</v>
      </c>
    </row>
    <row r="25" spans="1:4">
      <c r="A25" s="164">
        <f>'Mass Balance'!I25</f>
        <v>0</v>
      </c>
      <c r="B25">
        <f>'Mass Balance'!E25</f>
        <v>2.9951575494054292E-3</v>
      </c>
      <c r="C25">
        <f>SUM('Mass Balance'!E25:H25)</f>
        <v>2.9951942664732667E-3</v>
      </c>
      <c r="D25">
        <f>Concentrations!F25/Concentrations!E25</f>
        <v>1.0019562957710113</v>
      </c>
    </row>
    <row r="26" spans="1:4">
      <c r="A26" s="164">
        <f>'Mass Balance'!I26</f>
        <v>0</v>
      </c>
      <c r="B26">
        <f>'Mass Balance'!E26</f>
        <v>2.9888562988739896E-3</v>
      </c>
      <c r="C26">
        <f>SUM('Mass Balance'!E26:H26)</f>
        <v>2.9890287768315955E-3</v>
      </c>
      <c r="D26">
        <f>Concentrations!F26/Concentrations!E26</f>
        <v>1.001910761289635</v>
      </c>
    </row>
    <row r="27" spans="1:4">
      <c r="A27" s="164">
        <f>'Mass Balance'!I27</f>
        <v>0</v>
      </c>
      <c r="B27">
        <f>'Mass Balance'!E27</f>
        <v>2.9324041474344856E-3</v>
      </c>
      <c r="C27">
        <f>SUM('Mass Balance'!E27:H27)</f>
        <v>2.9370633136614065E-3</v>
      </c>
      <c r="D27">
        <f>Concentrations!F27/Concentrations!E27</f>
        <v>1.0003791207737058</v>
      </c>
    </row>
    <row r="28" spans="1:4">
      <c r="A28" s="164">
        <f>'Mass Balance'!I28</f>
        <v>0</v>
      </c>
      <c r="B28">
        <f>'Mass Balance'!E28</f>
        <v>2.9941825821839562E-3</v>
      </c>
      <c r="C28">
        <f>SUM('Mass Balance'!E28:H28)</f>
        <v>2.9942342169942582E-3</v>
      </c>
      <c r="D28">
        <f>Concentrations!F28/Concentrations!E28</f>
        <v>1.0019512998688151</v>
      </c>
    </row>
    <row r="29" spans="1:4">
      <c r="A29" s="164">
        <f>'Mass Balance'!I29</f>
        <v>0</v>
      </c>
      <c r="B29">
        <f>'Mass Balance'!E29</f>
        <v>2.73346505887873E-3</v>
      </c>
      <c r="C29">
        <f>SUM('Mass Balance'!E29:H29)</f>
        <v>2.7840299206012835E-3</v>
      </c>
      <c r="D29">
        <f>Concentrations!F29/Concentrations!E29</f>
        <v>0.983770353662342</v>
      </c>
    </row>
    <row r="30" spans="1:4">
      <c r="A30" s="164">
        <f>'Mass Balance'!I30</f>
        <v>0</v>
      </c>
      <c r="B30">
        <f>'Mass Balance'!E30</f>
        <v>8.1570032386180414E-5</v>
      </c>
      <c r="C30">
        <f>SUM('Mass Balance'!E30:H30)</f>
        <v>2.6699873033904993E-3</v>
      </c>
      <c r="D30">
        <f>Concentrations!F30/Concentrations!E30</f>
        <v>3.0610860695680656E-2</v>
      </c>
    </row>
    <row r="31" spans="1:4">
      <c r="A31" s="164">
        <f>'Mass Balance'!I31</f>
        <v>0</v>
      </c>
      <c r="B31">
        <f>'Mass Balance'!E31</f>
        <v>1.9657182734258943E-3</v>
      </c>
      <c r="C31">
        <f>SUM('Mass Balance'!E31:H31)</f>
        <v>2.4131578635313367E-3</v>
      </c>
      <c r="D31">
        <f>Concentrations!F31/Concentrations!E31</f>
        <v>0.81618694493434929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2024-10-25T23:43:05Z</dcterms:modified>
</cp:coreProperties>
</file>