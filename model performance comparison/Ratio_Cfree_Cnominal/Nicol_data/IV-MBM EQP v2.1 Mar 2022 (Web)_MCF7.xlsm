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Validation_Unilever\"/>
    </mc:Choice>
  </mc:AlternateContent>
  <xr:revisionPtr revIDLastSave="0" documentId="13_ncr:1_{2B8E9971-94A4-45B7-8A3F-904154DE681C}" xr6:coauthVersionLast="47" xr6:coauthVersionMax="47" xr10:uidLastSave="{00000000-0000-0000-0000-000000000000}"/>
  <bookViews>
    <workbookView minimized="1" xWindow="5250" yWindow="3045" windowWidth="11153" windowHeight="6577" tabRatio="841" firstSheet="1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<sst xmlns="http://schemas.openxmlformats.org/spreadsheetml/2006/main" count="1067" uniqueCount="342">
  <si>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</si>
  <si>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</si>
  <si>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</si>
  <si>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</si>
  <si>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</si>
  <si>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</si>
  <si>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</si>
  <si>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</si>
  <si>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</si>
  <si>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</si>
  <si>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</si>
  <si>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</si>
  <si>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</si>
  <si>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</si>
  <si>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</si>
  <si>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</si>
  <si>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</si>
  <si>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</si>
  <si>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</si>
  <si>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</si>
  <si>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</si>
  <si>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</si>
  <si>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</si>
  <si>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</si>
  <si>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</si>
  <si>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</si>
  <si>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</si>
  <si>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</si>
  <si>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</si>
  <si>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</si>
  <si>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</si>
  <si>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</si>
  <si>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</si>
  <si>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</si>
  <si>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</si>
  <si>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</si>
  <si>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</si>
  <si>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</si>
  <si>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</si>
  <si>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</si>
  <si>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</si>
  <si>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</si>
  <si>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</si>
  <si>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</si>
  <si>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</si>
  <si>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</si>
  <si>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</si>
  <si>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</si>
  <si>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</si>
  <si>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</si>
  <si>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</si>
  <si>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</si>
  <si>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</si>
  <si>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</si>
  <si>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</si>
  <si>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</si>
  <si>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</si>
  <si>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</si>
  <si>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</si>
  <si>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</si>
  <si>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</si>
  <si>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</si>
  <si>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</si>
  <si>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</si>
  <si>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</si>
  <si>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</si>
  <si>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</si>
  <si>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</si>
  <si>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</si>
  <si>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</si>
  <si>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</si>
  <si>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</si>
  <si>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</si>
  <si>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</si>
  <si>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</si>
  <si>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</si>
  <si>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</si>
  <si>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</si>
  <si>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</si>
  <si>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</si>
  <si>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</si>
  <si>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</si>
  <si>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</si>
  <si>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</si>
  <si>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</si>
  <si>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</si>
  <si>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</si>
  <si>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</si>
  <si>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</si>
  <si>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</si>
  <si>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</si>
  <si>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</si>
  <si>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</si>
  <si>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</si>
  <si>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</si>
  <si>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</si>
  <si>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</si>
  <si>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</si>
  <si>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</si>
  <si>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</si>
  <si>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</si>
  <si>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</si>
  <si>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</si>
  <si>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</si>
  <si>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</si>
  <si>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</si>
  <si>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</si>
  <si>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</si>
  <si>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</si>
  <si>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</si>
  <si>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</si>
  <si>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</si>
  <si>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</si>
  <si>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</si>
  <si>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</si>
  <si>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</si>
  <si>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</si>
  <si>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</si>
  <si>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</si>
  <si>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</si>
  <si>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</si>
  <si>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</si>
  <si>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</si>
  <si>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</si>
  <si>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</si>
  <si>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</si>
  <si>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</si>
  <si>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</si>
  <si>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</si>
  <si>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</si>
  <si>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</si>
  <si>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</si>
  <si>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</si>
  <si>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</si>
  <si>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</si>
  <si>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</si>
  <si>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</si>
  <si>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</si>
  <si>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</si>
  <si>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</si>
  <si>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</si>
  <si>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</si>
  <si>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</si>
  <si>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</si>
  <si>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</si>
  <si>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</si>
  <si>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</si>
  <si>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</si>
  <si>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</si>
  <si>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</si>
  <si>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</si>
  <si>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</si>
  <si>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</si>
  <si>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</si>
  <si>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</si>
  <si>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</si>
  <si>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</si>
  <si>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</si>
  <si>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</si>
  <si>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</si>
  <si>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</si>
  <si>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</si>
  <si>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</si>
  <si>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</si>
  <si>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</si>
  <si>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</si>
  <si>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</si>
  <si>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</si>
  <si>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</si>
  <si>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</si>
  <si>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</si>
  <si>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</si>
  <si>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</si>
  <si>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</si>
  <si>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</si>
  <si>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</si>
  <si>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</si>
  <si>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</si>
  <si>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</si>
  <si>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</si>
  <si>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</si>
  <si>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</si>
  <si>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</si>
  <si>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</si>
  <si>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</si>
  <si>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</si>
  <si>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</si>
  <si>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</si>
  <si>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</si>
  <si>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</si>
  <si>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</si>
  <si>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</si>
  <si>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</si>
  <si>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</si>
  <si>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</si>
  <si>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</si>
  <si>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</si>
  <si>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</si>
  <si>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</si>
  <si>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</si>
  <si>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</si>
  <si>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</si>
  <si>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</si>
  <si>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</si>
  <si>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</si>
  <si>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</si>
  <si>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</si>
  <si>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</si>
  <si>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</si>
  <si>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</si>
  <si>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</si>
  <si>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</si>
  <si>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</si>
  <si>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</si>
  <si>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</si>
  <si>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</si>
  <si>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</si>
  <si>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</si>
  <si>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</si>
  <si>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</si>
  <si>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</si>
  <si>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</si>
  <si>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</si>
  <si>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</si>
  <si>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</si>
  <si>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</si>
  <si>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</si>
  <si>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</si>
  <si>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</si>
  <si>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</si>
  <si>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</si>
  <si>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</si>
  <si>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</si>
  <si>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</si>
  <si>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</si>
  <si>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</si>
  <si>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</si>
  <si>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</si>
  <si>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</si>
  <si>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</si>
  <si>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</si>
  <si>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</si>
  <si>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</si>
  <si>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</si>
  <si>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</si>
  <si>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</si>
  <si>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</si>
  <si>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</si>
  <si>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</si>
  <si>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</si>
  <si>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</si>
  <si>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</si>
  <si>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</si>
  <si>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</si>
  <si>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</si>
  <si>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</si>
  <si>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</si>
  <si>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</si>
  <si>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</si>
  <si>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</si>
  <si>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</si>
  <si>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</si>
  <si>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</si>
  <si>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</si>
  <si>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</si>
  <si>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</si>
  <si>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</si>
  <si>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</si>
  <si>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</si>
  <si>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</si>
  <si>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</si>
  <si>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</si>
  <si>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</si>
  <si>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</si>
  <si>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</si>
  <si>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Warfarin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</si>
  <si>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</si>
  <si>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</si>
  <si>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</si>
  <si>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</si>
  <si>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</si>
  <si>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</si>
  <si>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</si>
  <si>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</si>
  <si>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Ibuprofen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</si>
  <si>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</si>
  <si>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</si>
  <si>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</si>
  <si>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</si>
  <si>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</si>
  <si>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</si>
  <si>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</si>
  <si>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</si>
  <si>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</si>
  <si>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</si>
  <si>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</si>
  <si>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</si>
  <si>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</si>
  <si>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</si>
  <si>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</si>
  <si>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</si>
  <si>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</si>
  <si>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</si>
  <si>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</si>
  <si>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</si>
  <si>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</si>
  <si>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</si>
  <si>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</si>
  <si>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</si>
  <si>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</si>
  <si>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</si>
  <si>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</si>
  <si>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</si>
  <si>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</si>
  <si>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</si>
  <si>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</si>
  <si>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</si>
  <si>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</si>
  <si>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</si>
  <si>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</si>
  <si>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</si>
  <si>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</si>
  <si>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</si>
  <si>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</si>
  <si>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</si>
  <si>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</si>
  <si>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</si>
  <si>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</si>
  <si>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</si>
  <si>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</si>
  <si>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</si>
  <si>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</si>
  <si>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</si>
  <si>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</si>
  <si>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</si>
  <si>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</si>
  <si>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</si>
  <si>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</si>
  <si>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</si>
  <si>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</si>
  <si>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50 - 500</t>
    <phoneticPr fontId="34" type="noConversion"/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</si>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</sst>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G2" sqref="G2:G31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1" width="7.42578125" style="3" customWidth="1"/>
    <col min="12" max="12" width="12.2109375" style="3" bestFit="1" customWidth="1"/>
    <col min="13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285</v>
      </c>
      <c r="B2" s="103" t="s">
        <v>286</v>
      </c>
      <c r="C2" s="127"/>
      <c r="D2" s="104">
        <v>277.26</v>
      </c>
      <c r="E2" s="104">
        <v>244</v>
      </c>
      <c r="F2" s="103"/>
      <c r="G2" s="104" t="s">
        <v>277</v>
      </c>
      <c r="H2" s="107">
        <v>8.1999999999999993</v>
      </c>
      <c r="I2" s="107">
        <v>0.1</v>
      </c>
      <c r="J2" s="107"/>
      <c r="K2" s="103"/>
      <c r="O2" s="103"/>
      <c r="P2" s="103"/>
      <c r="Q2" s="103"/>
      <c r="R2" s="103"/>
      <c r="S2" s="107"/>
      <c r="T2" s="107">
        <v>-15.1</v>
      </c>
      <c r="U2" s="103"/>
      <c r="V2" s="115">
        <v>100.09086000000001</v>
      </c>
      <c r="W2" s="115"/>
      <c r="X2" s="107"/>
      <c r="Y2" s="103"/>
      <c r="Z2" s="115">
        <v>10</v>
      </c>
    </row>
    <row r="3" spans="1:27" s="102" customFormat="1">
      <c r="A3" s="102" t="s">
        <v>287</v>
      </c>
      <c r="B3" s="103" t="s">
        <v>288</v>
      </c>
      <c r="C3" s="127"/>
      <c r="D3" s="104">
        <v>165.19</v>
      </c>
      <c r="E3" s="104">
        <v>92</v>
      </c>
      <c r="F3" s="103"/>
      <c r="G3" s="104" t="s">
        <v>176</v>
      </c>
      <c r="H3" s="107"/>
      <c r="I3" s="107">
        <v>1.86</v>
      </c>
      <c r="J3" s="107"/>
      <c r="K3" s="103"/>
      <c r="O3" s="103"/>
      <c r="P3" s="103"/>
      <c r="Q3" s="103"/>
      <c r="R3" s="103"/>
      <c r="S3" s="107"/>
      <c r="T3" s="107">
        <v>-6.33</v>
      </c>
      <c r="U3" s="103"/>
      <c r="V3" s="115">
        <v>834.20950000000005</v>
      </c>
      <c r="W3" s="115"/>
      <c r="X3" s="107"/>
      <c r="Y3" s="103"/>
      <c r="Z3" s="115">
        <v>10</v>
      </c>
      <c r="AA3" s="18"/>
    </row>
    <row r="4" spans="1:27" s="102" customFormat="1">
      <c r="A4" s="102" t="s">
        <v>289</v>
      </c>
      <c r="B4" s="103" t="s">
        <v>290</v>
      </c>
      <c r="C4" s="127"/>
      <c r="D4" s="104">
        <v>180.24</v>
      </c>
      <c r="E4" s="104">
        <v>64.900000000000006</v>
      </c>
      <c r="F4" s="104"/>
      <c r="G4" s="104" t="s">
        <v>176</v>
      </c>
      <c r="H4" s="107"/>
      <c r="I4" s="107">
        <v>3.42</v>
      </c>
      <c r="J4" s="107"/>
      <c r="K4" s="103"/>
      <c r="O4" s="103"/>
      <c r="P4" s="103"/>
      <c r="Q4" s="103"/>
      <c r="R4" s="103"/>
      <c r="S4" s="107"/>
      <c r="T4" s="107">
        <v>-4.8</v>
      </c>
      <c r="U4" s="103"/>
      <c r="V4" s="115">
        <v>358.67759999999998</v>
      </c>
      <c r="W4" s="115"/>
      <c r="X4" s="103"/>
      <c r="Y4" s="103"/>
      <c r="Z4" s="115">
        <v>10</v>
      </c>
    </row>
    <row r="5" spans="1:27" s="102" customFormat="1">
      <c r="A5" s="102" t="s">
        <v>291</v>
      </c>
      <c r="B5" s="103" t="s">
        <v>292</v>
      </c>
      <c r="C5" s="127"/>
      <c r="D5" s="104">
        <v>388.89</v>
      </c>
      <c r="E5" s="104">
        <v>249</v>
      </c>
      <c r="F5" s="103"/>
      <c r="G5" s="104" t="s">
        <v>277</v>
      </c>
      <c r="H5" s="107">
        <v>4.7</v>
      </c>
      <c r="I5" s="107">
        <v>0.71499999999999997</v>
      </c>
      <c r="J5" s="107"/>
      <c r="K5" s="103"/>
      <c r="O5" s="103"/>
      <c r="P5" s="103"/>
      <c r="Q5" s="103"/>
      <c r="R5" s="103"/>
      <c r="S5" s="107"/>
      <c r="T5" s="107">
        <v>-16.600000000000001</v>
      </c>
      <c r="U5" s="103"/>
      <c r="V5" s="115">
        <v>443.33460000000002</v>
      </c>
      <c r="W5" s="115"/>
      <c r="X5" s="107"/>
      <c r="Y5" s="103"/>
      <c r="Z5" s="115">
        <v>10</v>
      </c>
      <c r="AA5" s="112"/>
    </row>
    <row r="6" spans="1:27" s="102" customFormat="1">
      <c r="A6" s="102" t="s">
        <v>278</v>
      </c>
      <c r="B6" s="103" t="s">
        <v>279</v>
      </c>
      <c r="C6" s="128"/>
      <c r="D6" s="104">
        <v>350.59</v>
      </c>
      <c r="E6" s="104">
        <v>42</v>
      </c>
      <c r="F6" s="104"/>
      <c r="G6" s="104" t="s">
        <v>176</v>
      </c>
      <c r="H6" s="107"/>
      <c r="I6" s="107">
        <v>4.96</v>
      </c>
      <c r="J6" s="107"/>
      <c r="K6" s="103"/>
      <c r="O6" s="103"/>
      <c r="P6" s="103"/>
      <c r="Q6" s="103"/>
      <c r="R6" s="103"/>
      <c r="S6" s="107"/>
      <c r="T6" s="107">
        <v>-4.17</v>
      </c>
      <c r="U6" s="103"/>
      <c r="V6" s="115">
        <v>1.1499352</v>
      </c>
      <c r="W6" s="115"/>
      <c r="X6" s="107"/>
      <c r="Y6" s="129"/>
      <c r="Z6" s="115">
        <v>10</v>
      </c>
    </row>
    <row r="7" spans="1:27" s="102" customFormat="1" ht="13.15">
      <c r="A7" s="102" t="s">
        <v>293</v>
      </c>
      <c r="B7" s="103" t="s">
        <v>294</v>
      </c>
      <c r="C7" s="127"/>
      <c r="D7" s="104">
        <v>179.24</v>
      </c>
      <c r="E7" s="104">
        <v>107</v>
      </c>
      <c r="F7" s="103"/>
      <c r="G7" s="104" t="s">
        <v>341</v>
      </c>
      <c r="H7" s="107">
        <v>17.600000000000001</v>
      </c>
      <c r="I7" s="107">
        <v>-0.58499999999999996</v>
      </c>
      <c r="J7" s="107"/>
      <c r="K7" s="103"/>
      <c r="O7" s="103"/>
      <c r="P7" s="103"/>
      <c r="Q7" s="103"/>
      <c r="R7" s="103"/>
      <c r="S7" s="107"/>
      <c r="T7" s="107">
        <v>-9.77</v>
      </c>
      <c r="U7" s="103"/>
      <c r="V7" s="115">
        <v>874691.2</v>
      </c>
      <c r="W7" s="115"/>
      <c r="X7" s="107"/>
      <c r="Y7" s="103"/>
      <c r="Z7" s="115">
        <v>10</v>
      </c>
      <c r="AA7" s="24"/>
    </row>
    <row r="8" spans="1:27" s="102" customFormat="1">
      <c r="A8" s="102" t="s">
        <v>295</v>
      </c>
      <c r="B8" s="103" t="s">
        <v>296</v>
      </c>
      <c r="C8" s="127"/>
      <c r="D8" s="104">
        <v>261.08999999999997</v>
      </c>
      <c r="E8" s="104">
        <v>61.5</v>
      </c>
      <c r="F8" s="104"/>
      <c r="G8" s="104" t="s">
        <v>341</v>
      </c>
      <c r="H8" s="107">
        <v>6.1</v>
      </c>
      <c r="I8" s="107">
        <v>0.69499999999999995</v>
      </c>
      <c r="J8" s="107"/>
      <c r="K8" s="103"/>
      <c r="O8" s="103"/>
      <c r="P8" s="103"/>
      <c r="Q8" s="103"/>
      <c r="R8" s="103"/>
      <c r="S8" s="107"/>
      <c r="T8" s="107">
        <v>-10.199999999999999</v>
      </c>
      <c r="U8" s="103"/>
      <c r="V8" s="115">
        <v>46212.93</v>
      </c>
      <c r="W8" s="115"/>
      <c r="X8" s="107"/>
      <c r="Y8" s="103"/>
      <c r="Z8" s="115">
        <v>10</v>
      </c>
      <c r="AA8" s="112"/>
    </row>
    <row r="9" spans="1:27" s="102" customFormat="1">
      <c r="A9" s="102" t="s">
        <v>297</v>
      </c>
      <c r="B9" s="103" t="s">
        <v>298</v>
      </c>
      <c r="C9" s="127"/>
      <c r="D9" s="104">
        <v>416.3</v>
      </c>
      <c r="E9" s="104">
        <v>102</v>
      </c>
      <c r="F9" s="104"/>
      <c r="G9" s="104" t="s">
        <v>176</v>
      </c>
      <c r="H9" s="107"/>
      <c r="I9" s="107">
        <v>6.62</v>
      </c>
      <c r="J9" s="107"/>
      <c r="K9" s="103"/>
      <c r="O9" s="103"/>
      <c r="P9" s="103"/>
      <c r="Q9" s="103"/>
      <c r="R9" s="103"/>
      <c r="S9" s="107"/>
      <c r="T9" s="107">
        <v>-6.45</v>
      </c>
      <c r="U9" s="103"/>
      <c r="V9" s="115">
        <v>1.4778650000000001E-2</v>
      </c>
      <c r="W9" s="115"/>
      <c r="X9" s="107"/>
      <c r="Y9" s="103"/>
      <c r="Z9" s="115">
        <v>10</v>
      </c>
    </row>
    <row r="10" spans="1:27" s="102" customFormat="1">
      <c r="A10" s="102" t="s">
        <v>299</v>
      </c>
      <c r="B10" s="103" t="s">
        <v>300</v>
      </c>
      <c r="C10" s="127"/>
      <c r="D10" s="104">
        <v>191.27</v>
      </c>
      <c r="E10" s="104">
        <v>-45</v>
      </c>
      <c r="F10" s="103"/>
      <c r="G10" s="104" t="s">
        <v>176</v>
      </c>
      <c r="H10" s="107"/>
      <c r="I10" s="107">
        <v>2.1800000000000002</v>
      </c>
      <c r="J10" s="107"/>
      <c r="K10" s="103"/>
      <c r="O10" s="103"/>
      <c r="P10" s="103"/>
      <c r="Q10" s="103"/>
      <c r="R10" s="103"/>
      <c r="S10" s="107"/>
      <c r="T10" s="107">
        <v>-6.57</v>
      </c>
      <c r="U10" s="103"/>
      <c r="V10" s="115">
        <v>916.18330000000003</v>
      </c>
      <c r="W10" s="115"/>
      <c r="X10" s="107"/>
      <c r="Y10" s="103"/>
      <c r="Z10" s="115">
        <v>10</v>
      </c>
    </row>
    <row r="11" spans="1:27" s="102" customFormat="1">
      <c r="A11" s="102" t="s">
        <v>301</v>
      </c>
      <c r="B11" s="103" t="s">
        <v>302</v>
      </c>
      <c r="C11" s="128"/>
      <c r="D11" s="104">
        <v>392.46</v>
      </c>
      <c r="E11" s="104">
        <v>248</v>
      </c>
      <c r="F11" s="103"/>
      <c r="G11" s="104" t="s">
        <v>176</v>
      </c>
      <c r="H11" s="107"/>
      <c r="I11" s="107">
        <v>1.92</v>
      </c>
      <c r="J11" s="107"/>
      <c r="K11" s="103"/>
      <c r="O11" s="103"/>
      <c r="P11" s="103"/>
      <c r="Q11" s="103"/>
      <c r="R11" s="103"/>
      <c r="S11" s="107"/>
      <c r="T11" s="107">
        <v>-18.8</v>
      </c>
      <c r="U11" s="103"/>
      <c r="V11" s="115">
        <v>78.492000000000004</v>
      </c>
      <c r="W11" s="115"/>
      <c r="X11" s="107"/>
      <c r="Y11" s="103"/>
      <c r="Z11" s="115">
        <v>10</v>
      </c>
    </row>
    <row r="12" spans="1:27" s="102" customFormat="1" ht="13.15">
      <c r="A12" s="102" t="s">
        <v>303</v>
      </c>
      <c r="B12" s="103" t="s">
        <v>304</v>
      </c>
      <c r="C12" s="128"/>
      <c r="D12" s="104">
        <v>780.94</v>
      </c>
      <c r="E12" s="104">
        <v>426</v>
      </c>
      <c r="F12" s="104"/>
      <c r="G12" s="104" t="s">
        <v>176</v>
      </c>
      <c r="H12" s="107"/>
      <c r="I12" s="107">
        <v>1.26</v>
      </c>
      <c r="J12" s="107"/>
      <c r="K12" s="103"/>
      <c r="O12" s="103"/>
      <c r="P12" s="103"/>
      <c r="Q12" s="103"/>
      <c r="R12" s="103"/>
      <c r="S12" s="107"/>
      <c r="T12" s="107">
        <v>-30.7</v>
      </c>
      <c r="U12" s="103"/>
      <c r="V12" s="115">
        <v>59.195252000000004</v>
      </c>
      <c r="W12" s="115"/>
      <c r="X12" s="107"/>
      <c r="Y12" s="103"/>
      <c r="Z12" s="115">
        <v>10</v>
      </c>
      <c r="AA12" s="15"/>
    </row>
    <row r="13" spans="1:27" s="102" customFormat="1">
      <c r="A13" s="102" t="s">
        <v>305</v>
      </c>
      <c r="B13" s="103" t="s">
        <v>306</v>
      </c>
      <c r="C13" s="127"/>
      <c r="D13" s="104">
        <v>306.39999999999998</v>
      </c>
      <c r="E13" s="104">
        <v>78.5</v>
      </c>
      <c r="F13" s="103"/>
      <c r="G13" s="104" t="s">
        <v>176</v>
      </c>
      <c r="H13" s="107"/>
      <c r="I13" s="107">
        <v>5.51</v>
      </c>
      <c r="J13" s="107"/>
      <c r="K13" s="103"/>
      <c r="O13" s="103"/>
      <c r="P13" s="103"/>
      <c r="Q13" s="103"/>
      <c r="R13" s="103"/>
      <c r="S13" s="107"/>
      <c r="T13" s="107">
        <v>-7.24</v>
      </c>
      <c r="U13" s="103"/>
      <c r="V13" s="115">
        <v>0.1495232</v>
      </c>
      <c r="W13" s="115"/>
      <c r="X13" s="107"/>
      <c r="Y13" s="103"/>
      <c r="Z13" s="115">
        <v>10</v>
      </c>
      <c r="AA13" s="18"/>
    </row>
    <row r="14" spans="1:27" s="102" customFormat="1">
      <c r="A14" s="102" t="s">
        <v>307</v>
      </c>
      <c r="B14" s="103" t="s">
        <v>308</v>
      </c>
      <c r="C14" s="127"/>
      <c r="D14" s="104">
        <v>336.82</v>
      </c>
      <c r="E14" s="104">
        <v>125</v>
      </c>
      <c r="F14" s="104"/>
      <c r="G14" s="104" t="s">
        <v>176</v>
      </c>
      <c r="H14" s="107"/>
      <c r="I14" s="107">
        <v>3.23</v>
      </c>
      <c r="J14" s="107"/>
      <c r="K14" s="103"/>
      <c r="P14" s="103"/>
      <c r="Q14" s="103"/>
      <c r="R14" s="103"/>
      <c r="S14" s="107"/>
      <c r="T14" s="107">
        <v>-10</v>
      </c>
      <c r="U14" s="103"/>
      <c r="V14" s="115">
        <v>0.37387019999999999</v>
      </c>
      <c r="W14" s="115"/>
      <c r="X14" s="103"/>
      <c r="Y14" s="103"/>
      <c r="Z14" s="115">
        <v>10</v>
      </c>
      <c r="AA14" s="101"/>
    </row>
    <row r="15" spans="1:27" s="102" customFormat="1">
      <c r="A15" s="102" t="s">
        <v>309</v>
      </c>
      <c r="B15" s="103" t="s">
        <v>310</v>
      </c>
      <c r="C15" s="127"/>
      <c r="D15" s="104">
        <v>465.09</v>
      </c>
      <c r="E15" s="104">
        <v>113</v>
      </c>
      <c r="F15" s="103"/>
      <c r="G15" s="104" t="s">
        <v>176</v>
      </c>
      <c r="H15" s="107"/>
      <c r="I15" s="107">
        <v>4.01</v>
      </c>
      <c r="J15" s="107"/>
      <c r="K15" s="103"/>
      <c r="O15" s="103"/>
      <c r="P15" s="103"/>
      <c r="Q15" s="103"/>
      <c r="R15" s="103"/>
      <c r="S15" s="107"/>
      <c r="T15" s="107">
        <v>-4.7</v>
      </c>
      <c r="U15" s="103"/>
      <c r="V15" s="115">
        <v>0.48834450000000001</v>
      </c>
      <c r="W15" s="115"/>
      <c r="X15" s="107"/>
      <c r="Y15" s="103"/>
      <c r="Z15" s="115">
        <v>10</v>
      </c>
      <c r="AA15" s="18"/>
    </row>
    <row r="16" spans="1:27" s="102" customFormat="1">
      <c r="A16" s="102" t="s">
        <v>311</v>
      </c>
      <c r="B16" s="103" t="s">
        <v>312</v>
      </c>
      <c r="C16" s="127"/>
      <c r="D16" s="104">
        <v>330.74</v>
      </c>
      <c r="E16" s="104">
        <v>261</v>
      </c>
      <c r="F16" s="104"/>
      <c r="G16" s="104" t="s">
        <v>277</v>
      </c>
      <c r="H16" s="107">
        <v>3</v>
      </c>
      <c r="I16" s="107">
        <v>2.0299999999999998</v>
      </c>
      <c r="J16" s="107"/>
      <c r="K16" s="103"/>
      <c r="O16" s="103"/>
      <c r="P16" s="103"/>
      <c r="Q16" s="103"/>
      <c r="R16" s="103"/>
      <c r="S16" s="107"/>
      <c r="T16" s="107">
        <v>-16.3</v>
      </c>
      <c r="U16" s="103"/>
      <c r="V16" s="115">
        <v>43.988419999999998</v>
      </c>
      <c r="W16" s="115"/>
      <c r="X16" s="103"/>
      <c r="Y16" s="103"/>
      <c r="Z16" s="115">
        <v>10</v>
      </c>
      <c r="AA16" s="101"/>
    </row>
    <row r="17" spans="1:30" s="102" customFormat="1">
      <c r="A17" s="102" t="s">
        <v>313</v>
      </c>
      <c r="B17" s="103" t="s">
        <v>314</v>
      </c>
      <c r="C17" s="128"/>
      <c r="D17" s="104">
        <v>494</v>
      </c>
      <c r="E17" s="104">
        <v>169</v>
      </c>
      <c r="F17" s="103"/>
      <c r="G17" s="104" t="s">
        <v>277</v>
      </c>
      <c r="H17" s="107">
        <v>5</v>
      </c>
      <c r="I17" s="107">
        <v>4.8499999999999996</v>
      </c>
      <c r="J17" s="107"/>
      <c r="K17" s="103"/>
      <c r="O17" s="103"/>
      <c r="P17" s="103"/>
      <c r="Q17" s="103"/>
      <c r="R17" s="103"/>
      <c r="S17" s="107"/>
      <c r="T17" s="107">
        <v>-18</v>
      </c>
      <c r="U17" s="103"/>
      <c r="V17" s="115">
        <v>4.0063399999999998</v>
      </c>
      <c r="W17" s="115"/>
      <c r="X17" s="107"/>
      <c r="Y17" s="103"/>
      <c r="Z17" s="115">
        <v>10</v>
      </c>
    </row>
    <row r="18" spans="1:30" s="102" customFormat="1">
      <c r="A18" s="102" t="s">
        <v>315</v>
      </c>
      <c r="B18" s="103" t="s">
        <v>316</v>
      </c>
      <c r="C18" s="127"/>
      <c r="D18" s="104">
        <v>197.19</v>
      </c>
      <c r="E18" s="104">
        <v>152</v>
      </c>
      <c r="F18" s="104"/>
      <c r="G18" s="104" t="s">
        <v>176</v>
      </c>
      <c r="H18" s="107"/>
      <c r="I18" s="107">
        <v>0.13</v>
      </c>
      <c r="J18" s="107"/>
      <c r="K18" s="103"/>
      <c r="O18" s="103"/>
      <c r="P18" s="103"/>
      <c r="Q18" s="103"/>
      <c r="R18" s="103"/>
      <c r="S18" s="107"/>
      <c r="T18" s="107">
        <v>-11.8</v>
      </c>
      <c r="U18" s="103"/>
      <c r="V18" s="115">
        <v>121074.66</v>
      </c>
      <c r="W18" s="115"/>
      <c r="X18" s="103"/>
      <c r="Y18" s="103"/>
      <c r="Z18" s="115">
        <v>10</v>
      </c>
      <c r="AA18" s="101"/>
    </row>
    <row r="19" spans="1:30" s="102" customFormat="1">
      <c r="A19" s="102" t="s">
        <v>317</v>
      </c>
      <c r="B19" s="103" t="s">
        <v>318</v>
      </c>
      <c r="C19" s="127"/>
      <c r="D19" s="104">
        <v>160.18</v>
      </c>
      <c r="E19" s="104">
        <v>163</v>
      </c>
      <c r="F19" s="103"/>
      <c r="G19" s="104" t="s">
        <v>341</v>
      </c>
      <c r="H19" s="107">
        <v>6</v>
      </c>
      <c r="I19" s="107">
        <v>0.72499999999999998</v>
      </c>
      <c r="J19" s="103"/>
      <c r="K19" s="103"/>
      <c r="O19" s="103"/>
      <c r="P19" s="103"/>
      <c r="Q19" s="103"/>
      <c r="R19" s="103"/>
      <c r="S19" s="107"/>
      <c r="T19" s="107">
        <v>-11.6</v>
      </c>
      <c r="U19" s="103"/>
      <c r="V19" s="115">
        <v>211437.6</v>
      </c>
      <c r="W19" s="115"/>
      <c r="X19" s="107"/>
      <c r="Y19" s="103"/>
      <c r="Z19" s="115">
        <v>10</v>
      </c>
      <c r="AA19" s="112"/>
    </row>
    <row r="20" spans="1:30" s="102" customFormat="1">
      <c r="A20" s="102" t="s">
        <v>284</v>
      </c>
      <c r="B20" s="103" t="s">
        <v>276</v>
      </c>
      <c r="C20" s="127"/>
      <c r="D20" s="104">
        <v>206.28</v>
      </c>
      <c r="E20" s="104">
        <v>89.1</v>
      </c>
      <c r="F20" s="104"/>
      <c r="G20" s="104" t="s">
        <v>277</v>
      </c>
      <c r="H20" s="107">
        <v>5.4</v>
      </c>
      <c r="I20" s="107">
        <v>3.73</v>
      </c>
      <c r="J20" s="107"/>
      <c r="K20" s="103"/>
      <c r="O20" s="103"/>
      <c r="P20" s="103"/>
      <c r="Q20" s="103"/>
      <c r="R20" s="103"/>
      <c r="S20" s="107"/>
      <c r="T20" s="107">
        <v>-6.22</v>
      </c>
      <c r="U20" s="103"/>
      <c r="V20" s="115">
        <v>35.686439999999997</v>
      </c>
      <c r="W20" s="115"/>
      <c r="X20" s="107"/>
      <c r="Y20" s="103"/>
      <c r="Z20" s="115">
        <v>10</v>
      </c>
      <c r="AD20" s="112"/>
    </row>
    <row r="21" spans="1:30" s="102" customFormat="1">
      <c r="A21" s="102" t="s">
        <v>319</v>
      </c>
      <c r="B21" s="103" t="s">
        <v>320</v>
      </c>
      <c r="C21" s="128"/>
      <c r="D21" s="104">
        <v>531.42999999999995</v>
      </c>
      <c r="E21" s="104">
        <v>146</v>
      </c>
      <c r="F21" s="103"/>
      <c r="G21" s="104" t="s">
        <v>341</v>
      </c>
      <c r="H21" s="107">
        <v>6.6</v>
      </c>
      <c r="I21" s="107">
        <v>4.3499999999999996</v>
      </c>
      <c r="J21" s="107"/>
      <c r="K21" s="103"/>
      <c r="O21" s="103"/>
      <c r="P21" s="103"/>
      <c r="Q21" s="103"/>
      <c r="R21" s="103"/>
      <c r="S21" s="107"/>
      <c r="T21" s="107">
        <v>-20</v>
      </c>
      <c r="U21" s="103"/>
      <c r="V21" s="115">
        <v>83.965940000000003</v>
      </c>
      <c r="W21" s="115"/>
      <c r="X21" s="107"/>
      <c r="Y21" s="103"/>
      <c r="Z21" s="115">
        <v>10</v>
      </c>
      <c r="AA21" s="112"/>
    </row>
    <row r="22" spans="1:30" s="102" customFormat="1">
      <c r="A22" s="102" t="s">
        <v>321</v>
      </c>
      <c r="B22" s="103" t="s">
        <v>322</v>
      </c>
      <c r="C22" s="127"/>
      <c r="D22" s="104">
        <v>129.16</v>
      </c>
      <c r="E22" s="104">
        <v>74.3</v>
      </c>
      <c r="F22" s="103"/>
      <c r="G22" s="104" t="s">
        <v>341</v>
      </c>
      <c r="H22" s="107">
        <v>9.6</v>
      </c>
      <c r="I22" s="107">
        <v>-0.87</v>
      </c>
      <c r="J22" s="107"/>
      <c r="K22" s="103"/>
      <c r="O22" s="103"/>
      <c r="P22" s="103"/>
      <c r="Q22" s="103"/>
      <c r="R22" s="103"/>
      <c r="S22" s="107"/>
      <c r="T22" s="107">
        <v>-9.1300000000000008</v>
      </c>
      <c r="U22" s="103"/>
      <c r="V22" s="115">
        <v>1016489.2</v>
      </c>
      <c r="W22" s="115"/>
      <c r="X22" s="107"/>
      <c r="Y22" s="103"/>
      <c r="Z22" s="115">
        <v>10</v>
      </c>
    </row>
    <row r="23" spans="1:30" s="102" customFormat="1">
      <c r="A23" s="102" t="s">
        <v>323</v>
      </c>
      <c r="B23" s="103" t="s">
        <v>324</v>
      </c>
      <c r="C23" s="128"/>
      <c r="D23" s="104">
        <v>299.8</v>
      </c>
      <c r="E23" s="104">
        <v>147</v>
      </c>
      <c r="F23" s="103"/>
      <c r="G23" s="104" t="s">
        <v>341</v>
      </c>
      <c r="H23" s="107">
        <v>9</v>
      </c>
      <c r="I23" s="107">
        <v>2.62</v>
      </c>
      <c r="J23" s="107"/>
      <c r="K23" s="103"/>
      <c r="O23" s="103"/>
      <c r="P23" s="103"/>
      <c r="Q23" s="103"/>
      <c r="R23" s="103"/>
      <c r="S23" s="107"/>
      <c r="T23" s="107">
        <v>-12.3</v>
      </c>
      <c r="U23" s="103"/>
      <c r="V23" s="115">
        <v>174.7834</v>
      </c>
      <c r="W23" s="115"/>
      <c r="X23" s="107"/>
      <c r="Y23" s="103"/>
      <c r="Z23" s="115">
        <v>10</v>
      </c>
      <c r="AA23" s="131"/>
    </row>
    <row r="24" spans="1:30" s="102" customFormat="1">
      <c r="A24" s="102" t="s">
        <v>325</v>
      </c>
      <c r="B24" s="103" t="s">
        <v>326</v>
      </c>
      <c r="C24" s="127"/>
      <c r="D24" s="104">
        <v>238.16</v>
      </c>
      <c r="E24" s="104">
        <v>263</v>
      </c>
      <c r="F24" s="103"/>
      <c r="G24" s="104" t="s">
        <v>277</v>
      </c>
      <c r="H24" s="107">
        <v>7.3</v>
      </c>
      <c r="I24" s="107">
        <v>-0.47</v>
      </c>
      <c r="J24" s="107"/>
      <c r="K24" s="103"/>
      <c r="O24" s="103"/>
      <c r="P24" s="103"/>
      <c r="Q24" s="103"/>
      <c r="R24" s="103"/>
      <c r="S24" s="107"/>
      <c r="T24" s="107">
        <v>-12.7</v>
      </c>
      <c r="U24" s="103"/>
      <c r="V24" s="115">
        <v>96.216639999999998</v>
      </c>
      <c r="W24" s="115"/>
      <c r="X24" s="107"/>
      <c r="Y24" s="103"/>
      <c r="Z24" s="115">
        <v>10</v>
      </c>
    </row>
    <row r="25" spans="1:30" s="102" customFormat="1">
      <c r="A25" s="102" t="s">
        <v>327</v>
      </c>
      <c r="B25" s="103" t="s">
        <v>328</v>
      </c>
      <c r="C25" s="128"/>
      <c r="D25" s="104">
        <v>460.43</v>
      </c>
      <c r="E25" s="104">
        <v>460</v>
      </c>
      <c r="F25" s="103"/>
      <c r="G25" s="104" t="s">
        <v>277</v>
      </c>
      <c r="H25" s="107">
        <v>4.5</v>
      </c>
      <c r="I25" s="107">
        <v>-1.53</v>
      </c>
      <c r="J25" s="107"/>
      <c r="K25" s="103"/>
      <c r="O25" s="103"/>
      <c r="P25" s="103"/>
      <c r="Q25" s="103"/>
      <c r="R25" s="103"/>
      <c r="S25" s="107"/>
      <c r="T25" s="107">
        <v>-28.9</v>
      </c>
      <c r="U25" s="103"/>
      <c r="V25" s="115">
        <v>501868.7</v>
      </c>
      <c r="W25" s="115"/>
      <c r="X25" s="107"/>
      <c r="Y25" s="103"/>
      <c r="Z25" s="115">
        <v>10</v>
      </c>
      <c r="AA25" s="18"/>
    </row>
    <row r="26" spans="1:30" s="102" customFormat="1">
      <c r="A26" s="102" t="s">
        <v>329</v>
      </c>
      <c r="B26" s="103" t="s">
        <v>330</v>
      </c>
      <c r="C26" s="127"/>
      <c r="D26" s="104">
        <v>205.25</v>
      </c>
      <c r="E26" s="104">
        <v>164</v>
      </c>
      <c r="F26" s="104"/>
      <c r="G26" s="104" t="s">
        <v>176</v>
      </c>
      <c r="H26" s="107"/>
      <c r="I26" s="107">
        <v>-0.89500000000000002</v>
      </c>
      <c r="J26" s="107"/>
      <c r="K26" s="103"/>
      <c r="O26" s="103"/>
      <c r="P26" s="103"/>
      <c r="Q26" s="103"/>
      <c r="R26" s="103"/>
      <c r="S26" s="107"/>
      <c r="T26" s="107">
        <v>-15</v>
      </c>
      <c r="U26" s="103"/>
      <c r="V26" s="115">
        <v>1034460</v>
      </c>
      <c r="W26" s="115"/>
      <c r="X26" s="107"/>
      <c r="Y26" s="103"/>
      <c r="Z26" s="115">
        <v>10</v>
      </c>
      <c r="AA26" s="112"/>
      <c r="AD26" s="112"/>
    </row>
    <row r="27" spans="1:30" s="102" customFormat="1">
      <c r="A27" s="102" t="s">
        <v>331</v>
      </c>
      <c r="B27" s="103" t="s">
        <v>332</v>
      </c>
      <c r="C27" s="128"/>
      <c r="D27" s="104">
        <v>151.16</v>
      </c>
      <c r="E27" s="104">
        <v>170</v>
      </c>
      <c r="F27" s="103"/>
      <c r="G27" s="104" t="s">
        <v>176</v>
      </c>
      <c r="H27" s="107"/>
      <c r="I27" s="107">
        <v>0.46</v>
      </c>
      <c r="J27" s="107"/>
      <c r="K27" s="103"/>
      <c r="O27" s="103"/>
      <c r="P27" s="103"/>
      <c r="Q27" s="103"/>
      <c r="R27" s="103"/>
      <c r="S27" s="107"/>
      <c r="T27" s="107">
        <v>-10.9</v>
      </c>
      <c r="U27" s="103"/>
      <c r="V27" s="115">
        <v>14224.156000000001</v>
      </c>
      <c r="W27" s="115"/>
      <c r="X27" s="107"/>
      <c r="Y27" s="103"/>
      <c r="Z27" s="115">
        <v>10</v>
      </c>
      <c r="AA27" s="112"/>
    </row>
    <row r="28" spans="1:30" s="102" customFormat="1" ht="13.15">
      <c r="A28" s="102" t="s">
        <v>333</v>
      </c>
      <c r="B28" s="103" t="s">
        <v>334</v>
      </c>
      <c r="C28" s="128"/>
      <c r="D28" s="104">
        <v>339.36</v>
      </c>
      <c r="E28" s="104">
        <v>165</v>
      </c>
      <c r="F28" s="103"/>
      <c r="G28" s="104" t="s">
        <v>277</v>
      </c>
      <c r="H28" s="107">
        <v>9.1999999999999993</v>
      </c>
      <c r="I28" s="107">
        <v>-1.39</v>
      </c>
      <c r="J28" s="107"/>
      <c r="K28" s="103"/>
      <c r="O28" s="103"/>
      <c r="P28" s="103"/>
      <c r="Q28" s="103"/>
      <c r="R28" s="103"/>
      <c r="S28" s="107"/>
      <c r="T28" s="107">
        <v>-18</v>
      </c>
      <c r="U28" s="103"/>
      <c r="V28" s="115">
        <v>264022.08</v>
      </c>
      <c r="W28" s="115"/>
      <c r="X28" s="107"/>
      <c r="Y28" s="103"/>
      <c r="Z28" s="115">
        <v>10</v>
      </c>
      <c r="AA28" s="24"/>
    </row>
    <row r="29" spans="1:30" s="102" customFormat="1">
      <c r="A29" s="102" t="s">
        <v>335</v>
      </c>
      <c r="B29" s="103" t="s">
        <v>336</v>
      </c>
      <c r="C29" s="127"/>
      <c r="D29" s="104">
        <v>192.13</v>
      </c>
      <c r="E29" s="104">
        <v>162</v>
      </c>
      <c r="F29" s="103"/>
      <c r="G29" s="104" t="s">
        <v>277</v>
      </c>
      <c r="H29" s="107">
        <v>3.3</v>
      </c>
      <c r="I29" s="107">
        <v>1.46</v>
      </c>
      <c r="J29" s="107"/>
      <c r="K29" s="103"/>
      <c r="O29" s="103"/>
      <c r="P29" s="103"/>
      <c r="Q29" s="103"/>
      <c r="R29" s="103"/>
      <c r="S29" s="107"/>
      <c r="T29" s="107">
        <v>-10.199999999999999</v>
      </c>
      <c r="U29" s="103"/>
      <c r="V29" s="115">
        <v>15754.66</v>
      </c>
      <c r="W29" s="115"/>
      <c r="X29" s="107"/>
      <c r="Y29" s="103"/>
      <c r="Z29" s="115">
        <v>10</v>
      </c>
      <c r="AA29" s="112"/>
    </row>
    <row r="30" spans="1:30" s="102" customFormat="1">
      <c r="A30" s="102" t="s">
        <v>337</v>
      </c>
      <c r="B30" s="103" t="s">
        <v>338</v>
      </c>
      <c r="C30" s="127"/>
      <c r="D30" s="104">
        <v>454.6</v>
      </c>
      <c r="E30" s="104">
        <v>200</v>
      </c>
      <c r="F30" s="103"/>
      <c r="G30" s="104" t="s">
        <v>341</v>
      </c>
      <c r="H30" s="107">
        <v>9.1999999999999993</v>
      </c>
      <c r="I30" s="107">
        <v>4.4800000000000004</v>
      </c>
      <c r="J30" s="107"/>
      <c r="K30" s="103"/>
      <c r="O30" s="103"/>
      <c r="P30" s="103"/>
      <c r="Q30" s="103"/>
      <c r="R30" s="103"/>
      <c r="S30" s="107"/>
      <c r="T30" s="107">
        <v>-16.2</v>
      </c>
      <c r="U30" s="103"/>
      <c r="V30" s="115">
        <v>2.2957299999999998</v>
      </c>
      <c r="W30" s="115"/>
      <c r="X30" s="107"/>
      <c r="Y30" s="103"/>
      <c r="Z30" s="115">
        <v>10</v>
      </c>
      <c r="AA30" s="112"/>
    </row>
    <row r="31" spans="1:30" s="102" customFormat="1">
      <c r="A31" s="102" t="s">
        <v>275</v>
      </c>
      <c r="B31" s="103" t="s">
        <v>339</v>
      </c>
      <c r="C31" s="127"/>
      <c r="D31" s="104">
        <v>308.33</v>
      </c>
      <c r="E31" s="104">
        <v>175</v>
      </c>
      <c r="F31" s="103"/>
      <c r="G31" s="104" t="s">
        <v>176</v>
      </c>
      <c r="H31" s="107"/>
      <c r="I31" s="107">
        <v>2.48</v>
      </c>
      <c r="J31" s="107"/>
      <c r="K31" s="103"/>
      <c r="O31" s="103"/>
      <c r="P31" s="103"/>
      <c r="Q31" s="103"/>
      <c r="R31" s="103"/>
      <c r="S31" s="107"/>
      <c r="T31" s="107">
        <v>-11.6</v>
      </c>
      <c r="U31" s="103"/>
      <c r="V31" s="115">
        <v>82.940770000000001</v>
      </c>
      <c r="W31" s="115"/>
      <c r="X31" s="107"/>
      <c r="Y31" s="103"/>
      <c r="Z31" s="115">
        <v>10</v>
      </c>
      <c r="AA31" s="112"/>
    </row>
    <row r="32" spans="1:30" s="102" customFormat="1">
      <c r="B32" s="103"/>
      <c r="C32" s="127"/>
      <c r="D32" s="104"/>
      <c r="E32" s="104"/>
      <c r="F32" s="103"/>
      <c r="G32" s="104"/>
      <c r="H32" s="107"/>
      <c r="I32" s="107"/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/>
      <c r="U32" s="103"/>
      <c r="V32" s="115"/>
      <c r="W32" s="115"/>
      <c r="X32" s="107"/>
      <c r="Y32" s="103"/>
      <c r="Z32" s="115"/>
      <c r="AA32" s="112"/>
    </row>
    <row r="33" spans="2:29" s="102" customFormat="1">
      <c r="B33" s="103"/>
      <c r="C33" s="127"/>
      <c r="D33" s="104"/>
      <c r="E33" s="104"/>
      <c r="F33" s="103"/>
      <c r="G33" s="104"/>
      <c r="H33" s="107"/>
      <c r="I33" s="107"/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/>
      <c r="U33" s="103"/>
      <c r="V33" s="115"/>
      <c r="W33" s="115"/>
      <c r="X33" s="107"/>
      <c r="Y33" s="103"/>
      <c r="Z33" s="115"/>
      <c r="AA33" s="112"/>
    </row>
    <row r="34" spans="2:29" s="102" customFormat="1">
      <c r="B34" s="103"/>
      <c r="C34" s="127"/>
      <c r="D34" s="104"/>
      <c r="E34" s="104"/>
      <c r="F34" s="103"/>
      <c r="G34" s="104"/>
      <c r="H34" s="107"/>
      <c r="I34" s="107"/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/>
      <c r="U34" s="103"/>
      <c r="V34" s="115"/>
      <c r="W34" s="115"/>
      <c r="X34" s="107"/>
      <c r="Y34" s="103"/>
      <c r="Z34" s="115"/>
      <c r="AA34" s="112"/>
    </row>
    <row r="35" spans="2:29" s="102" customFormat="1">
      <c r="B35" s="103"/>
      <c r="C35" s="127"/>
      <c r="D35" s="104"/>
      <c r="E35" s="104"/>
      <c r="F35" s="103"/>
      <c r="G35" s="104"/>
      <c r="H35" s="107"/>
      <c r="I35" s="107"/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/>
      <c r="U35" s="103"/>
      <c r="V35" s="115"/>
      <c r="W35" s="115"/>
      <c r="X35" s="107"/>
      <c r="Y35" s="103"/>
      <c r="Z35" s="115"/>
      <c r="AA35" s="112"/>
    </row>
    <row r="36" spans="2:29" s="102" customFormat="1">
      <c r="B36" s="103"/>
      <c r="C36" s="127"/>
      <c r="D36" s="104"/>
      <c r="E36" s="104"/>
      <c r="F36" s="103"/>
      <c r="G36" s="104"/>
      <c r="H36" s="107"/>
      <c r="I36" s="107"/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/>
      <c r="U36" s="103"/>
      <c r="V36" s="115"/>
      <c r="W36" s="115"/>
      <c r="X36" s="107"/>
      <c r="Y36" s="103"/>
      <c r="Z36" s="115"/>
      <c r="AA36" s="112"/>
    </row>
    <row r="37" spans="2:29" s="102" customFormat="1">
      <c r="B37" s="103"/>
      <c r="C37" s="127"/>
      <c r="D37" s="104"/>
      <c r="E37" s="104"/>
      <c r="F37" s="103"/>
      <c r="G37" s="104"/>
      <c r="H37" s="107"/>
      <c r="I37" s="107"/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/>
      <c r="U37" s="103"/>
      <c r="V37" s="115"/>
      <c r="W37" s="115"/>
      <c r="X37" s="107"/>
      <c r="Y37" s="103"/>
      <c r="Z37" s="115"/>
      <c r="AA37" s="112"/>
    </row>
    <row r="38" spans="2:29" s="102" customFormat="1">
      <c r="B38" s="103"/>
      <c r="C38" s="127"/>
      <c r="D38" s="104"/>
      <c r="E38" s="104"/>
      <c r="F38" s="103"/>
      <c r="G38" s="104"/>
      <c r="H38" s="107"/>
      <c r="I38" s="107"/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/>
      <c r="U38" s="103"/>
      <c r="V38" s="115"/>
      <c r="W38" s="115"/>
      <c r="X38" s="107"/>
      <c r="Y38" s="103"/>
      <c r="Z38" s="115"/>
      <c r="AA38" s="112"/>
    </row>
    <row r="39" spans="2:29" s="102" customFormat="1">
      <c r="B39" s="103"/>
      <c r="C39" s="127"/>
      <c r="D39" s="104"/>
      <c r="E39" s="104"/>
      <c r="F39" s="103"/>
      <c r="G39" s="104"/>
      <c r="H39" s="107"/>
      <c r="I39" s="107"/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/>
      <c r="U39" s="103"/>
      <c r="V39" s="115"/>
      <c r="W39" s="115"/>
      <c r="X39" s="107"/>
      <c r="Y39" s="103"/>
      <c r="Z39" s="115"/>
      <c r="AA39" s="112"/>
    </row>
    <row r="40" spans="2:29" s="102" customFormat="1">
      <c r="B40" s="103"/>
      <c r="C40" s="127"/>
      <c r="D40" s="104"/>
      <c r="E40" s="104"/>
      <c r="F40" s="103"/>
      <c r="G40" s="104"/>
      <c r="H40" s="107"/>
      <c r="I40" s="107"/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/>
      <c r="U40" s="103"/>
      <c r="V40" s="115"/>
      <c r="W40" s="115"/>
      <c r="X40" s="107"/>
      <c r="Y40" s="103"/>
      <c r="Z40" s="115"/>
      <c r="AA40" s="112"/>
    </row>
    <row r="41" spans="2:29" s="102" customFormat="1">
      <c r="B41" s="103"/>
      <c r="C41" s="127"/>
      <c r="D41" s="104"/>
      <c r="E41" s="104"/>
      <c r="F41" s="103"/>
      <c r="G41" s="104"/>
      <c r="H41" s="107"/>
      <c r="I41" s="107"/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/>
      <c r="U41" s="103"/>
      <c r="V41" s="115"/>
      <c r="W41" s="115"/>
      <c r="X41" s="107"/>
      <c r="Y41" s="103"/>
      <c r="Z41" s="115"/>
      <c r="AA41" s="112"/>
    </row>
    <row r="42" spans="2:29" s="102" customFormat="1">
      <c r="B42" s="103"/>
      <c r="C42" s="127"/>
      <c r="D42" s="104"/>
      <c r="E42" s="104"/>
      <c r="F42" s="104"/>
      <c r="G42" s="104"/>
      <c r="H42" s="107"/>
      <c r="I42" s="107"/>
      <c r="J42" s="107"/>
      <c r="K42" s="103"/>
      <c r="L42" s="103"/>
      <c r="M42" s="103"/>
      <c r="N42" s="103"/>
      <c r="O42" s="103"/>
      <c r="P42" s="103"/>
      <c r="Q42" s="103"/>
      <c r="R42" s="107"/>
      <c r="S42" s="107"/>
      <c r="T42" s="107"/>
      <c r="U42" s="103"/>
      <c r="V42" s="115"/>
      <c r="W42" s="115"/>
      <c r="X42" s="107"/>
      <c r="Y42" s="103"/>
      <c r="Z42" s="115"/>
      <c r="AA42" s="103"/>
      <c r="AB42" s="103"/>
      <c r="AC42" s="104"/>
    </row>
    <row r="43" spans="2:29" s="102" customFormat="1">
      <c r="B43" s="103"/>
      <c r="C43" s="127"/>
      <c r="D43" s="104"/>
      <c r="E43" s="104"/>
      <c r="F43" s="103"/>
      <c r="G43" s="104"/>
      <c r="H43" s="107"/>
      <c r="I43" s="107"/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/>
      <c r="U43" s="103"/>
      <c r="V43" s="115"/>
      <c r="W43" s="115"/>
      <c r="X43" s="107"/>
      <c r="Y43" s="103"/>
      <c r="Z43" s="115"/>
      <c r="AA43" s="103"/>
      <c r="AB43" s="103"/>
      <c r="AC43" s="104"/>
    </row>
    <row r="44" spans="2:29" s="102" customFormat="1">
      <c r="B44" s="103"/>
      <c r="C44" s="127"/>
      <c r="D44" s="104"/>
      <c r="E44" s="104"/>
      <c r="F44" s="103"/>
      <c r="G44" s="104"/>
      <c r="H44" s="107"/>
      <c r="I44" s="107"/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/>
      <c r="U44" s="103"/>
      <c r="V44" s="115"/>
      <c r="W44" s="115"/>
      <c r="X44" s="107"/>
      <c r="Y44" s="103"/>
      <c r="Z44" s="115"/>
      <c r="AA44" s="103"/>
      <c r="AB44" s="103"/>
      <c r="AC44" s="104"/>
    </row>
    <row r="45" spans="2:29" s="102" customFormat="1">
      <c r="B45" s="103"/>
      <c r="C45" s="127"/>
      <c r="D45" s="104"/>
      <c r="E45" s="104"/>
      <c r="F45" s="103"/>
      <c r="G45" s="104"/>
      <c r="H45" s="107"/>
      <c r="I45" s="107"/>
      <c r="J45" s="107"/>
      <c r="K45" s="103"/>
      <c r="L45" s="103"/>
      <c r="M45" s="103"/>
      <c r="N45" s="103"/>
      <c r="O45" s="103"/>
      <c r="P45" s="103"/>
      <c r="Q45" s="103"/>
      <c r="R45" s="107"/>
      <c r="S45" s="107"/>
      <c r="T45" s="107"/>
      <c r="U45" s="103"/>
      <c r="V45" s="115"/>
      <c r="W45" s="115"/>
      <c r="X45" s="107"/>
      <c r="Y45" s="103"/>
      <c r="Z45" s="115"/>
      <c r="AA45" s="103"/>
      <c r="AB45" s="103"/>
      <c r="AC45" s="104"/>
    </row>
    <row r="46" spans="2:29" s="102" customFormat="1">
      <c r="B46" s="103"/>
      <c r="C46" s="127"/>
      <c r="D46" s="104"/>
      <c r="E46" s="104"/>
      <c r="F46" s="103"/>
      <c r="G46" s="104"/>
      <c r="H46" s="107"/>
      <c r="I46" s="107"/>
      <c r="J46" s="103"/>
      <c r="K46" s="103"/>
      <c r="L46" s="103"/>
      <c r="M46" s="103"/>
      <c r="N46" s="103"/>
      <c r="O46" s="103"/>
      <c r="P46" s="103"/>
      <c r="Q46" s="103"/>
      <c r="R46" s="107"/>
      <c r="S46" s="107"/>
      <c r="T46" s="107"/>
      <c r="U46" s="103"/>
      <c r="V46" s="115"/>
      <c r="W46" s="115"/>
      <c r="X46" s="107"/>
      <c r="Y46" s="103"/>
      <c r="Z46" s="115"/>
      <c r="AA46" s="103"/>
      <c r="AB46" s="103"/>
      <c r="AC46" s="104"/>
    </row>
    <row r="47" spans="2:29" s="102" customFormat="1">
      <c r="B47" s="103"/>
      <c r="C47" s="127"/>
      <c r="D47" s="104"/>
      <c r="E47" s="104"/>
      <c r="F47" s="103"/>
      <c r="G47" s="104"/>
      <c r="H47" s="107"/>
      <c r="I47" s="107"/>
      <c r="J47" s="107"/>
      <c r="K47" s="103"/>
      <c r="L47" s="103"/>
      <c r="M47" s="103"/>
      <c r="N47" s="103"/>
      <c r="O47" s="103"/>
      <c r="P47" s="103"/>
      <c r="Q47" s="103"/>
      <c r="R47" s="107"/>
      <c r="S47" s="107"/>
      <c r="T47" s="107"/>
      <c r="U47" s="103"/>
      <c r="V47" s="115"/>
      <c r="W47" s="115"/>
      <c r="X47" s="107"/>
      <c r="Y47" s="103"/>
      <c r="Z47" s="115"/>
      <c r="AA47" s="103"/>
      <c r="AB47" s="103"/>
      <c r="AC47" s="104"/>
    </row>
    <row r="48" spans="2:29" s="102" customFormat="1">
      <c r="B48" s="103"/>
      <c r="C48" s="128"/>
      <c r="D48" s="104"/>
      <c r="E48" s="104"/>
      <c r="F48" s="103"/>
      <c r="G48" s="104"/>
      <c r="H48" s="107"/>
      <c r="I48" s="107"/>
      <c r="J48" s="107"/>
      <c r="K48" s="103"/>
      <c r="L48" s="103"/>
      <c r="M48" s="103"/>
      <c r="N48" s="103"/>
      <c r="O48" s="103"/>
      <c r="P48" s="103"/>
      <c r="Q48" s="103"/>
      <c r="R48" s="107"/>
      <c r="S48" s="107"/>
      <c r="T48" s="107"/>
      <c r="U48" s="103"/>
      <c r="V48" s="115"/>
      <c r="W48" s="115"/>
      <c r="X48" s="107"/>
      <c r="Y48" s="103"/>
      <c r="Z48" s="115"/>
      <c r="AA48" s="103"/>
      <c r="AB48" s="103"/>
      <c r="AC48" s="104"/>
    </row>
    <row r="49" spans="1:27">
      <c r="A49" s="102"/>
      <c r="B49" s="103"/>
      <c r="C49" s="103"/>
      <c r="D49" s="104"/>
      <c r="E49" s="104"/>
      <c r="F49" s="104"/>
      <c r="G49" s="104"/>
      <c r="H49" s="103"/>
      <c r="I49" s="107"/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/>
      <c r="U49" s="103"/>
      <c r="V49" s="115"/>
      <c r="W49" s="115"/>
      <c r="X49" s="107"/>
      <c r="Y49" s="103"/>
      <c r="Z49" s="115"/>
      <c r="AA49" s="11"/>
    </row>
    <row r="50" spans="1:27">
      <c r="A50" s="102"/>
      <c r="B50" s="103"/>
      <c r="C50" s="103"/>
      <c r="D50" s="104"/>
      <c r="E50" s="104"/>
      <c r="F50" s="104"/>
      <c r="G50" s="104"/>
      <c r="H50" s="103"/>
      <c r="I50" s="107"/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/>
      <c r="U50" s="103"/>
      <c r="V50" s="115"/>
      <c r="W50" s="115"/>
      <c r="X50" s="107"/>
      <c r="Y50" s="103"/>
      <c r="Z50" s="115"/>
      <c r="AA50" s="11"/>
    </row>
    <row r="51" spans="1:27">
      <c r="A51" s="102"/>
      <c r="B51" s="103"/>
      <c r="C51" s="103"/>
      <c r="D51" s="104"/>
      <c r="E51" s="104"/>
      <c r="F51" s="104"/>
      <c r="G51" s="104"/>
      <c r="H51" s="103"/>
      <c r="I51" s="107"/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/>
      <c r="U51" s="103"/>
      <c r="V51" s="115"/>
      <c r="W51" s="115"/>
      <c r="X51" s="107"/>
      <c r="Y51" s="103"/>
      <c r="Z51" s="115"/>
      <c r="AA51" s="11"/>
    </row>
    <row r="52" spans="1:27">
      <c r="A52" s="102"/>
      <c r="B52" s="103"/>
      <c r="C52" s="103"/>
      <c r="D52" s="104"/>
      <c r="E52" s="104"/>
      <c r="F52" s="104"/>
      <c r="G52" s="104"/>
      <c r="H52" s="103"/>
      <c r="I52" s="107"/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/>
      <c r="U52" s="103"/>
      <c r="V52" s="115"/>
      <c r="W52" s="115"/>
      <c r="X52" s="107"/>
      <c r="Y52" s="103"/>
      <c r="Z52" s="115"/>
      <c r="AA52" s="11"/>
    </row>
    <row r="53" spans="1:27">
      <c r="A53" s="102"/>
      <c r="B53" s="103"/>
      <c r="C53" s="103"/>
      <c r="D53" s="104"/>
      <c r="E53" s="102"/>
      <c r="F53" s="102"/>
      <c r="G53" s="102"/>
      <c r="H53" s="103"/>
      <c r="I53" s="107"/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/>
      <c r="U53" s="103"/>
      <c r="V53" s="115"/>
      <c r="W53" s="115"/>
      <c r="X53" s="107"/>
      <c r="Y53" s="103"/>
      <c r="Z53" s="115"/>
      <c r="AA53" s="11"/>
    </row>
    <row r="54" spans="1:27">
      <c r="A54" s="102"/>
      <c r="B54" s="103"/>
      <c r="C54" s="103"/>
      <c r="D54" s="104"/>
      <c r="E54" s="102"/>
      <c r="F54" s="102"/>
      <c r="G54" s="102"/>
      <c r="H54" s="103"/>
      <c r="I54" s="107"/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/>
      <c r="U54" s="103"/>
      <c r="V54" s="115"/>
      <c r="W54" s="115"/>
      <c r="X54" s="107"/>
      <c r="Y54" s="103"/>
      <c r="Z54" s="115"/>
      <c r="AA54" s="11"/>
    </row>
    <row r="55" spans="1:27">
      <c r="A55" s="102"/>
      <c r="B55" s="103"/>
      <c r="C55" s="103"/>
      <c r="D55" s="104"/>
      <c r="E55" s="102"/>
      <c r="F55" s="102"/>
      <c r="G55" s="102"/>
      <c r="H55" s="103"/>
      <c r="I55" s="107"/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/>
      <c r="U55" s="103"/>
      <c r="V55" s="115"/>
      <c r="W55" s="115"/>
      <c r="X55" s="107"/>
      <c r="Y55" s="103"/>
      <c r="Z55" s="115"/>
      <c r="AA55" s="11"/>
    </row>
    <row r="56" spans="1:27">
      <c r="A56" s="102"/>
      <c r="B56" s="103"/>
      <c r="C56" s="103"/>
      <c r="D56" s="104"/>
      <c r="E56" s="103"/>
      <c r="F56" s="103"/>
      <c r="G56" s="104"/>
      <c r="H56" s="103"/>
      <c r="I56" s="107"/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/>
      <c r="U56" s="103"/>
      <c r="V56" s="115"/>
      <c r="W56" s="115"/>
      <c r="X56" s="107"/>
      <c r="Y56" s="103"/>
      <c r="Z56" s="115"/>
      <c r="AA56" s="11"/>
    </row>
    <row r="57" spans="1:27">
      <c r="A57" s="102"/>
      <c r="B57" s="103"/>
      <c r="C57" s="103"/>
      <c r="D57" s="104"/>
      <c r="E57" s="103"/>
      <c r="F57" s="103"/>
      <c r="G57" s="104"/>
      <c r="H57" s="103"/>
      <c r="I57" s="107"/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/>
      <c r="U57" s="103"/>
      <c r="V57" s="115"/>
      <c r="W57" s="115"/>
      <c r="X57" s="107"/>
      <c r="Y57" s="103"/>
      <c r="Z57" s="115"/>
      <c r="AA57" s="11"/>
    </row>
    <row r="58" spans="1:27">
      <c r="A58" s="102"/>
      <c r="B58" s="103"/>
      <c r="C58" s="103"/>
      <c r="D58" s="104"/>
      <c r="E58" s="103"/>
      <c r="F58" s="103"/>
      <c r="G58" s="104"/>
      <c r="H58" s="103"/>
      <c r="I58" s="107"/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/>
      <c r="U58" s="103"/>
      <c r="V58" s="115"/>
      <c r="W58" s="115"/>
      <c r="X58" s="107"/>
      <c r="Y58" s="103"/>
      <c r="Z58" s="115"/>
      <c r="AA58" s="11"/>
    </row>
    <row r="59" spans="1:27">
      <c r="A59" s="102"/>
      <c r="B59" s="103"/>
      <c r="C59" s="103"/>
      <c r="D59" s="104"/>
      <c r="E59" s="103"/>
      <c r="F59" s="103"/>
      <c r="G59" s="104"/>
      <c r="H59" s="103"/>
      <c r="I59" s="107"/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/>
      <c r="U59" s="103"/>
      <c r="V59" s="115"/>
      <c r="W59" s="115"/>
      <c r="X59" s="107"/>
      <c r="Y59" s="103"/>
      <c r="Z59" s="115"/>
      <c r="AA59" s="11"/>
    </row>
    <row r="60" spans="1:27">
      <c r="A60" s="102"/>
      <c r="B60" s="103"/>
      <c r="C60" s="103"/>
      <c r="D60" s="104"/>
      <c r="E60" s="103"/>
      <c r="F60" s="103"/>
      <c r="G60" s="104"/>
      <c r="H60" s="103"/>
      <c r="I60" s="107"/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/>
      <c r="U60" s="103"/>
      <c r="V60" s="115"/>
      <c r="W60" s="115"/>
      <c r="X60" s="107"/>
      <c r="Y60" s="103"/>
      <c r="Z60" s="115"/>
      <c r="AA60" s="11"/>
    </row>
    <row r="61" spans="1:27">
      <c r="A61" s="102"/>
      <c r="B61" s="103"/>
      <c r="C61" s="103"/>
      <c r="D61" s="104"/>
      <c r="E61" s="103"/>
      <c r="F61" s="103"/>
      <c r="G61" s="104"/>
      <c r="H61" s="103"/>
      <c r="I61" s="107"/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/>
      <c r="U61" s="103"/>
      <c r="V61" s="115"/>
      <c r="W61" s="115"/>
      <c r="X61" s="107"/>
      <c r="Y61" s="103"/>
      <c r="Z61" s="115"/>
      <c r="AA61" s="11"/>
    </row>
    <row r="62" spans="1:27">
      <c r="A62" s="102"/>
      <c r="B62" s="103"/>
      <c r="C62" s="103"/>
      <c r="D62" s="104"/>
      <c r="E62" s="103"/>
      <c r="F62" s="103"/>
      <c r="G62" s="104"/>
      <c r="H62" s="103"/>
      <c r="I62" s="107"/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/>
      <c r="U62" s="103"/>
      <c r="V62" s="115"/>
      <c r="W62" s="115"/>
      <c r="X62" s="107"/>
      <c r="Y62" s="103"/>
      <c r="Z62" s="115"/>
      <c r="AA62" s="11"/>
    </row>
    <row r="63" spans="1:27">
      <c r="A63" s="102"/>
      <c r="B63" s="103"/>
      <c r="C63" s="103"/>
      <c r="D63" s="104"/>
      <c r="E63" s="103"/>
      <c r="F63" s="103"/>
      <c r="G63" s="104"/>
      <c r="H63" s="103"/>
      <c r="I63" s="107"/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/>
      <c r="U63" s="103"/>
      <c r="V63" s="115"/>
      <c r="W63" s="115"/>
      <c r="X63" s="107"/>
      <c r="Y63" s="103"/>
      <c r="Z63" s="115"/>
      <c r="AA63" s="11"/>
    </row>
    <row r="64" spans="1:27">
      <c r="A64" s="102"/>
      <c r="B64" s="103"/>
      <c r="C64" s="103"/>
      <c r="D64" s="104"/>
      <c r="E64" s="103"/>
      <c r="F64" s="103"/>
      <c r="G64" s="104"/>
      <c r="H64" s="103"/>
      <c r="I64" s="107"/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/>
      <c r="U64" s="103"/>
      <c r="V64" s="115"/>
      <c r="W64" s="115"/>
      <c r="X64" s="107"/>
      <c r="Y64" s="103"/>
      <c r="Z64" s="115"/>
      <c r="AA64" s="11"/>
    </row>
    <row r="65" spans="1:27">
      <c r="A65" s="102"/>
      <c r="B65" s="103"/>
      <c r="C65" s="103"/>
      <c r="D65" s="104"/>
      <c r="E65" s="103"/>
      <c r="F65" s="103"/>
      <c r="G65" s="104"/>
      <c r="H65" s="103"/>
      <c r="I65" s="107"/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/>
      <c r="U65" s="103"/>
      <c r="V65" s="115"/>
      <c r="W65" s="115"/>
      <c r="X65" s="107"/>
      <c r="Y65" s="103"/>
      <c r="Z65" s="115"/>
      <c r="AA65" s="11"/>
    </row>
    <row r="66" spans="1:27">
      <c r="A66" s="102"/>
      <c r="B66" s="103"/>
      <c r="C66" s="103"/>
      <c r="D66" s="104"/>
      <c r="E66" s="103"/>
      <c r="F66" s="103"/>
      <c r="G66" s="104"/>
      <c r="H66" s="103"/>
      <c r="I66" s="107"/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/>
      <c r="U66" s="103"/>
      <c r="V66" s="115"/>
      <c r="W66" s="115"/>
      <c r="X66" s="107"/>
      <c r="Y66" s="103"/>
      <c r="Z66" s="115"/>
      <c r="AA66" s="11"/>
    </row>
    <row r="67" spans="1:27">
      <c r="A67" s="102"/>
      <c r="B67" s="103"/>
      <c r="C67" s="103"/>
      <c r="D67" s="104"/>
      <c r="E67" s="103"/>
      <c r="F67" s="103"/>
      <c r="G67" s="104"/>
      <c r="H67" s="103"/>
      <c r="I67" s="107"/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/>
      <c r="U67" s="103"/>
      <c r="V67" s="115"/>
      <c r="W67" s="115"/>
      <c r="X67" s="107"/>
      <c r="Y67" s="103"/>
      <c r="Z67" s="115"/>
      <c r="AA67" s="11"/>
    </row>
    <row r="68" spans="1:27">
      <c r="A68" s="102"/>
      <c r="B68" s="103"/>
      <c r="C68" s="103"/>
      <c r="D68" s="104"/>
      <c r="E68" s="103"/>
      <c r="F68" s="103"/>
      <c r="G68" s="104"/>
      <c r="H68" s="103"/>
      <c r="I68" s="107"/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/>
      <c r="U68" s="103"/>
      <c r="V68" s="115"/>
      <c r="W68" s="115"/>
      <c r="X68" s="107"/>
      <c r="Y68" s="103"/>
      <c r="Z68" s="115"/>
      <c r="AA68" s="11"/>
    </row>
    <row r="69" spans="1:27">
      <c r="A69" s="102"/>
      <c r="B69" s="103"/>
      <c r="C69" s="103"/>
      <c r="D69" s="104"/>
      <c r="E69" s="103"/>
      <c r="F69" s="103"/>
      <c r="G69" s="104"/>
      <c r="H69" s="103"/>
      <c r="I69" s="107"/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/>
      <c r="U69" s="103"/>
      <c r="V69" s="115"/>
      <c r="W69" s="115"/>
      <c r="X69" s="107"/>
      <c r="Y69" s="103"/>
      <c r="Z69" s="115"/>
      <c r="AA69" s="11"/>
    </row>
    <row r="70" spans="1:27">
      <c r="A70" s="102"/>
      <c r="B70" s="103"/>
      <c r="C70" s="103"/>
      <c r="D70" s="104"/>
      <c r="E70" s="103"/>
      <c r="F70" s="103"/>
      <c r="G70" s="104"/>
      <c r="H70" s="103"/>
      <c r="I70" s="107"/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/>
      <c r="U70" s="103"/>
      <c r="V70" s="115"/>
      <c r="W70" s="115"/>
      <c r="X70" s="107"/>
      <c r="Y70" s="103"/>
      <c r="Z70" s="115"/>
      <c r="AA70" s="11"/>
    </row>
    <row r="71" spans="1:27">
      <c r="A71" s="102"/>
      <c r="B71" s="103"/>
      <c r="C71" s="103"/>
      <c r="D71" s="104"/>
      <c r="E71" s="103"/>
      <c r="F71" s="103"/>
      <c r="G71" s="104"/>
      <c r="I71" s="107"/>
      <c r="T71" s="107"/>
      <c r="U71" s="103"/>
      <c r="V71" s="115"/>
      <c r="AA71" s="11"/>
    </row>
    <row r="72" spans="1:27">
      <c r="A72" s="102"/>
      <c r="B72" s="103"/>
      <c r="C72" s="103"/>
      <c r="D72" s="104"/>
      <c r="E72" s="104"/>
      <c r="F72" s="104"/>
      <c r="G72" s="104"/>
      <c r="H72" s="3"/>
      <c r="I72" s="107"/>
      <c r="T72" s="107"/>
      <c r="U72" s="103"/>
      <c r="V72" s="115"/>
      <c r="AA72" s="11"/>
    </row>
    <row r="73" spans="1:27">
      <c r="A73" s="102"/>
      <c r="B73" s="103"/>
      <c r="C73" s="103"/>
      <c r="D73" s="104"/>
      <c r="E73" s="103"/>
      <c r="F73" s="103"/>
      <c r="G73" s="104"/>
      <c r="H73" s="3"/>
      <c r="I73" s="107"/>
      <c r="T73" s="107"/>
      <c r="U73" s="103"/>
      <c r="V73" s="115"/>
      <c r="AA73" s="11"/>
    </row>
    <row r="74" spans="1:27">
      <c r="A74" s="102"/>
      <c r="B74" s="103"/>
      <c r="C74" s="103"/>
      <c r="D74" s="104"/>
      <c r="E74" s="103"/>
      <c r="F74" s="103"/>
      <c r="G74" s="104"/>
      <c r="I74" s="107"/>
      <c r="T74" s="107"/>
      <c r="U74" s="103"/>
      <c r="V74" s="115"/>
      <c r="AA74" s="11"/>
    </row>
    <row r="75" spans="1:27">
      <c r="A75" s="102"/>
      <c r="B75" s="103"/>
      <c r="C75" s="103"/>
      <c r="D75" s="104"/>
      <c r="E75" s="104"/>
      <c r="F75" s="104"/>
      <c r="G75" s="104"/>
      <c r="I75" s="107"/>
      <c r="T75" s="107"/>
      <c r="U75" s="103"/>
      <c r="V75" s="115"/>
      <c r="AA75" s="11"/>
    </row>
    <row r="76" spans="1:27">
      <c r="A76" s="102"/>
      <c r="B76" s="103"/>
      <c r="C76" s="103"/>
      <c r="D76" s="104"/>
      <c r="E76" s="104"/>
      <c r="F76" s="104"/>
      <c r="G76" s="104"/>
      <c r="I76" s="107"/>
      <c r="T76" s="107"/>
      <c r="U76" s="103"/>
      <c r="V76" s="115"/>
      <c r="AA76" s="11"/>
    </row>
    <row r="77" spans="1:27">
      <c r="A77" s="102"/>
      <c r="B77" s="103"/>
      <c r="C77" s="103"/>
      <c r="D77" s="104"/>
      <c r="E77" s="104"/>
      <c r="F77" s="104"/>
      <c r="G77" s="104"/>
      <c r="I77" s="107"/>
      <c r="T77" s="107"/>
      <c r="U77" s="103"/>
      <c r="V77" s="115"/>
      <c r="AA77" s="11"/>
    </row>
    <row r="78" spans="1:27">
      <c r="A78" s="102"/>
      <c r="B78" s="103"/>
      <c r="C78" s="103"/>
      <c r="D78" s="104"/>
      <c r="E78" s="104"/>
      <c r="F78" s="104"/>
      <c r="G78" s="104"/>
      <c r="I78" s="107"/>
      <c r="T78" s="107"/>
      <c r="U78" s="103"/>
      <c r="V78" s="115"/>
      <c r="AA78" s="11"/>
    </row>
    <row r="79" spans="1:27">
      <c r="A79" s="102"/>
      <c r="B79" s="103"/>
      <c r="C79" s="103"/>
      <c r="D79" s="104"/>
      <c r="E79" s="104"/>
      <c r="F79" s="104"/>
      <c r="G79" s="104"/>
      <c r="I79" s="107"/>
      <c r="T79" s="107"/>
      <c r="U79" s="103"/>
      <c r="V79" s="115"/>
      <c r="AA79" s="11"/>
    </row>
    <row r="80" spans="1:27">
      <c r="A80" s="102"/>
      <c r="B80" s="103"/>
      <c r="C80" s="103"/>
      <c r="D80" s="104"/>
      <c r="E80" s="104"/>
      <c r="F80" s="104"/>
      <c r="G80" s="104"/>
      <c r="I80" s="107"/>
      <c r="T80" s="107"/>
      <c r="U80" s="103"/>
      <c r="V80" s="115"/>
      <c r="AA80" s="11"/>
    </row>
    <row r="81" spans="1:27">
      <c r="A81" s="102"/>
      <c r="B81" s="103"/>
      <c r="C81" s="103"/>
      <c r="D81" s="104"/>
      <c r="E81" s="104"/>
      <c r="F81" s="104"/>
      <c r="G81" s="104"/>
      <c r="I81" s="107"/>
      <c r="T81" s="107"/>
      <c r="U81" s="103"/>
      <c r="V81" s="115"/>
      <c r="AA81" s="11"/>
    </row>
    <row r="82" spans="1:27">
      <c r="A82" s="102"/>
      <c r="B82" s="103"/>
      <c r="C82" s="103"/>
      <c r="D82" s="104"/>
      <c r="E82" s="104"/>
      <c r="F82" s="104"/>
      <c r="G82" s="104"/>
      <c r="I82" s="107"/>
      <c r="T82" s="107"/>
      <c r="U82" s="103"/>
      <c r="V82" s="115"/>
      <c r="AA82" s="11"/>
    </row>
    <row r="83" spans="1:27">
      <c r="A83" s="102"/>
      <c r="B83" s="103"/>
      <c r="C83" s="103"/>
      <c r="D83" s="104"/>
      <c r="E83" s="104"/>
      <c r="F83" s="104"/>
      <c r="G83" s="104"/>
      <c r="I83" s="107"/>
      <c r="T83" s="107"/>
      <c r="U83" s="103"/>
      <c r="V83" s="115"/>
      <c r="AA83" s="11"/>
    </row>
    <row r="84" spans="1:27">
      <c r="A84" s="102"/>
      <c r="B84" s="103"/>
      <c r="C84" s="103"/>
      <c r="D84" s="104"/>
      <c r="E84" s="104"/>
      <c r="F84" s="104"/>
      <c r="G84" s="104"/>
      <c r="I84" s="107"/>
      <c r="T84" s="107"/>
      <c r="U84" s="103"/>
      <c r="V84" s="115"/>
      <c r="AA84" s="11"/>
    </row>
    <row r="85" spans="1:27">
      <c r="A85" s="102"/>
      <c r="B85" s="103"/>
      <c r="C85" s="103"/>
      <c r="D85" s="104"/>
      <c r="E85" s="104"/>
      <c r="F85" s="104"/>
      <c r="G85" s="104"/>
      <c r="I85" s="107"/>
      <c r="T85" s="107"/>
      <c r="U85" s="103"/>
      <c r="V85" s="115"/>
      <c r="AA85" s="11"/>
    </row>
    <row r="86" spans="1:27">
      <c r="A86" s="102"/>
      <c r="B86" s="103"/>
      <c r="C86" s="103"/>
      <c r="D86" s="104"/>
      <c r="E86" s="104"/>
      <c r="F86" s="104"/>
      <c r="G86" s="104"/>
      <c r="I86" s="107"/>
      <c r="T86" s="107"/>
      <c r="U86" s="103"/>
      <c r="V86" s="115"/>
      <c r="AA86" s="11"/>
    </row>
    <row r="87" spans="1:27">
      <c r="A87" s="102"/>
      <c r="B87" s="103"/>
      <c r="C87" s="103"/>
      <c r="D87" s="104"/>
      <c r="E87" s="104"/>
      <c r="F87" s="104"/>
      <c r="G87" s="104"/>
      <c r="I87" s="107"/>
      <c r="T87" s="107"/>
      <c r="U87" s="103"/>
      <c r="V87" s="115"/>
      <c r="AA87" s="11"/>
    </row>
    <row r="88" spans="1:27">
      <c r="A88" s="102"/>
      <c r="B88" s="103"/>
      <c r="C88" s="103"/>
      <c r="D88" s="104"/>
      <c r="E88" s="104"/>
      <c r="F88" s="104"/>
      <c r="G88" s="104"/>
      <c r="I88" s="107"/>
      <c r="T88" s="107"/>
      <c r="U88" s="103"/>
      <c r="V88" s="115"/>
      <c r="AA88" s="11"/>
    </row>
    <row r="89" spans="1:27">
      <c r="A89" s="102"/>
      <c r="B89" s="103"/>
      <c r="C89" s="103"/>
      <c r="D89" s="104"/>
      <c r="E89" s="104"/>
      <c r="F89" s="104"/>
      <c r="G89" s="104"/>
      <c r="I89" s="107"/>
      <c r="T89" s="107"/>
      <c r="U89" s="103"/>
      <c r="V89" s="115"/>
      <c r="AA89" s="11"/>
    </row>
    <row r="90" spans="1:27">
      <c r="A90" s="102"/>
      <c r="B90" s="103"/>
      <c r="C90" s="103"/>
      <c r="D90" s="104"/>
      <c r="E90" s="104"/>
      <c r="F90" s="104"/>
      <c r="G90" s="104"/>
      <c r="I90" s="107"/>
      <c r="T90" s="107"/>
      <c r="U90" s="103"/>
      <c r="V90" s="115"/>
      <c r="AA90" s="11"/>
    </row>
    <row r="91" spans="1:27">
      <c r="A91" s="102"/>
      <c r="B91" s="103"/>
      <c r="C91" s="103"/>
      <c r="D91" s="104"/>
      <c r="E91" s="104"/>
      <c r="F91" s="104"/>
      <c r="G91" s="104"/>
      <c r="I91" s="107"/>
      <c r="T91" s="107"/>
      <c r="U91" s="103"/>
      <c r="V91" s="115"/>
      <c r="AA91" s="11"/>
    </row>
    <row r="92" spans="1:27">
      <c r="A92" s="102"/>
      <c r="B92" s="103"/>
      <c r="C92" s="103"/>
      <c r="D92" s="104"/>
      <c r="E92" s="104"/>
      <c r="F92" s="104"/>
      <c r="G92" s="104"/>
      <c r="I92" s="107"/>
      <c r="T92" s="107"/>
      <c r="U92" s="103"/>
      <c r="V92" s="115"/>
      <c r="AA92" s="11"/>
    </row>
    <row r="93" spans="1:27">
      <c r="A93" s="102"/>
      <c r="B93" s="103"/>
      <c r="C93" s="103"/>
      <c r="D93" s="104"/>
      <c r="E93" s="104"/>
      <c r="F93" s="104"/>
      <c r="G93" s="104"/>
      <c r="I93" s="107"/>
      <c r="T93" s="107"/>
      <c r="U93" s="103"/>
      <c r="V93" s="115"/>
      <c r="AA93" s="11"/>
    </row>
    <row r="94" spans="1:27">
      <c r="A94" s="102"/>
      <c r="B94" s="103"/>
      <c r="C94" s="103"/>
      <c r="D94" s="104"/>
      <c r="E94" s="104"/>
      <c r="F94" s="104"/>
      <c r="G94" s="104"/>
      <c r="I94" s="107"/>
      <c r="T94" s="107"/>
      <c r="U94" s="103"/>
      <c r="V94" s="115"/>
      <c r="AA94" s="11"/>
    </row>
    <row r="95" spans="1:27">
      <c r="A95" s="102"/>
      <c r="B95" s="103"/>
      <c r="C95" s="103"/>
      <c r="D95" s="104"/>
      <c r="E95" s="104"/>
      <c r="F95" s="104"/>
      <c r="G95" s="104"/>
      <c r="I95" s="107"/>
      <c r="T95" s="107"/>
      <c r="U95" s="103"/>
      <c r="V95" s="115"/>
      <c r="AA95" s="11"/>
    </row>
    <row r="96" spans="1:27">
      <c r="A96" s="102"/>
      <c r="B96" s="103"/>
      <c r="C96" s="103"/>
      <c r="D96" s="104"/>
      <c r="E96" s="104"/>
      <c r="F96" s="104"/>
      <c r="G96" s="104"/>
      <c r="I96" s="107"/>
      <c r="T96" s="107"/>
      <c r="U96" s="103"/>
      <c r="V96" s="115"/>
      <c r="AA96" s="11"/>
    </row>
    <row r="97" spans="1:27">
      <c r="A97" s="102"/>
      <c r="B97" s="103"/>
      <c r="C97" s="103"/>
      <c r="D97" s="104"/>
      <c r="E97" s="104"/>
      <c r="F97" s="104"/>
      <c r="G97" s="104"/>
      <c r="I97" s="107"/>
      <c r="T97" s="107"/>
      <c r="U97" s="103"/>
      <c r="V97" s="115"/>
      <c r="AA97" s="11"/>
    </row>
    <row r="98" spans="1:27">
      <c r="A98" s="102"/>
      <c r="B98" s="103"/>
      <c r="C98" s="103"/>
      <c r="D98" s="104"/>
      <c r="E98" s="104"/>
      <c r="F98" s="104"/>
      <c r="G98" s="104"/>
      <c r="I98" s="107"/>
      <c r="T98" s="107"/>
      <c r="U98" s="103"/>
      <c r="V98" s="115"/>
      <c r="AA98" s="11"/>
    </row>
    <row r="99" spans="1:27">
      <c r="A99" s="102"/>
      <c r="B99" s="103"/>
      <c r="C99" s="103"/>
      <c r="D99" s="104"/>
      <c r="E99" s="104"/>
      <c r="F99" s="104"/>
      <c r="G99" s="104"/>
      <c r="I99" s="107"/>
      <c r="T99" s="107"/>
      <c r="U99" s="103"/>
      <c r="V99" s="115"/>
      <c r="AA99" s="11"/>
    </row>
    <row r="100" spans="1:27">
      <c r="A100" s="102"/>
      <c r="B100" s="103"/>
      <c r="C100" s="103"/>
      <c r="D100" s="104"/>
      <c r="E100" s="104"/>
      <c r="F100" s="104"/>
      <c r="G100" s="104"/>
      <c r="I100" s="107"/>
      <c r="T100" s="107"/>
      <c r="U100" s="103"/>
      <c r="V100" s="115"/>
      <c r="AA100" s="11"/>
    </row>
    <row r="101" spans="1:27">
      <c r="A101" s="102"/>
      <c r="B101" s="103"/>
      <c r="C101" s="103"/>
      <c r="D101" s="104"/>
      <c r="E101" s="104"/>
      <c r="F101" s="104"/>
      <c r="G101" s="104"/>
      <c r="I101" s="107"/>
      <c r="T101" s="107"/>
      <c r="U101" s="103"/>
      <c r="V101" s="115"/>
      <c r="AA101" s="11"/>
    </row>
    <row r="102" spans="1:27">
      <c r="A102" s="102"/>
      <c r="B102" s="103"/>
      <c r="C102" s="103"/>
      <c r="D102" s="104"/>
      <c r="E102" s="104"/>
      <c r="F102" s="104"/>
      <c r="G102" s="104"/>
      <c r="I102" s="107"/>
      <c r="T102" s="107"/>
      <c r="U102" s="103"/>
      <c r="V102" s="115"/>
      <c r="AA102" s="11"/>
    </row>
    <row r="103" spans="1:27">
      <c r="A103" s="102"/>
      <c r="B103" s="103"/>
      <c r="C103" s="103"/>
      <c r="D103" s="104"/>
      <c r="E103" s="104"/>
      <c r="F103" s="104"/>
      <c r="G103" s="104"/>
      <c r="I103" s="107"/>
      <c r="T103" s="107"/>
      <c r="U103" s="103"/>
      <c r="V103" s="115"/>
      <c r="AA103" s="11"/>
    </row>
    <row r="104" spans="1:27">
      <c r="A104" s="102"/>
      <c r="B104" s="103"/>
      <c r="C104" s="103"/>
      <c r="D104" s="104"/>
      <c r="E104" s="104"/>
      <c r="F104" s="104"/>
      <c r="G104" s="104"/>
      <c r="I104" s="107"/>
      <c r="T104" s="107"/>
      <c r="U104" s="103"/>
      <c r="V104" s="115"/>
      <c r="AA104" s="11"/>
    </row>
    <row r="105" spans="1:27">
      <c r="A105" s="102"/>
      <c r="B105" s="103"/>
      <c r="C105" s="103"/>
      <c r="D105" s="104"/>
      <c r="E105" s="104"/>
      <c r="F105" s="104"/>
      <c r="G105" s="104"/>
      <c r="I105" s="107"/>
      <c r="T105" s="107"/>
      <c r="U105" s="103"/>
      <c r="V105" s="115"/>
      <c r="AA105" s="11"/>
    </row>
    <row r="106" spans="1:27">
      <c r="A106" s="102"/>
      <c r="B106" s="103"/>
      <c r="C106" s="103"/>
      <c r="D106" s="104"/>
      <c r="E106" s="104"/>
      <c r="F106" s="104"/>
      <c r="G106" s="104"/>
      <c r="I106" s="107"/>
      <c r="T106" s="107"/>
      <c r="U106" s="103"/>
      <c r="V106" s="115"/>
      <c r="AA106" s="11"/>
    </row>
    <row r="107" spans="1:27">
      <c r="A107" s="102"/>
      <c r="B107" s="103"/>
      <c r="C107" s="103"/>
      <c r="D107" s="104"/>
      <c r="E107" s="104"/>
      <c r="F107" s="104"/>
      <c r="G107" s="104"/>
      <c r="I107" s="107"/>
      <c r="T107" s="107"/>
      <c r="U107" s="103"/>
      <c r="V107" s="115"/>
      <c r="AA107" s="11"/>
    </row>
    <row r="108" spans="1:27">
      <c r="A108" s="102"/>
      <c r="B108" s="103"/>
      <c r="C108" s="103"/>
      <c r="D108" s="104"/>
      <c r="E108" s="104"/>
      <c r="F108" s="104"/>
      <c r="G108" s="104"/>
      <c r="I108" s="107"/>
      <c r="T108" s="107"/>
      <c r="U108" s="103"/>
      <c r="V108" s="115"/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6</v>
      </c>
      <c r="D16" s="154">
        <v>28.274333882308138</v>
      </c>
      <c r="E16" s="154">
        <v>600</v>
      </c>
      <c r="F16" s="152" t="s">
        <v>340</v>
      </c>
      <c r="G16" s="154">
        <v>300</v>
      </c>
      <c r="H16" s="154">
        <v>0</v>
      </c>
      <c r="I16" s="155">
        <f t="shared" si="0"/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600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300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15000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0.53195968169761276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f>57/(500+57+5.5+3)</f>
        <v>0.10079575596816977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5.745358090185676E-2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0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0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1.9151193633952252E-4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1.7731989389920425E-3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1" sqref="N31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285</v>
      </c>
      <c r="B2" s="66" t="s">
        <v>286</v>
      </c>
      <c r="D2" s="66" t="s">
        <v>277</v>
      </c>
      <c r="E2" s="132">
        <v>8.1999999999999993</v>
      </c>
      <c r="F2" s="67" t="s">
        <v>231</v>
      </c>
      <c r="G2" s="67" t="s">
        <v>231</v>
      </c>
      <c r="H2" s="67" t="s">
        <v>231</v>
      </c>
      <c r="I2" s="68">
        <v>1.9348607300525002E-4</v>
      </c>
      <c r="J2" s="67" t="s">
        <v>231</v>
      </c>
      <c r="K2" s="68">
        <v>0</v>
      </c>
      <c r="L2" s="67" t="s">
        <v>231</v>
      </c>
      <c r="M2" s="68">
        <v>0</v>
      </c>
      <c r="N2" s="67" t="s">
        <v>231</v>
      </c>
      <c r="P2" s="109" t="s">
        <v>188</v>
      </c>
    </row>
    <row r="3" spans="1:17">
      <c r="A3" s="65" t="s">
        <v>287</v>
      </c>
      <c r="B3" s="66" t="s">
        <v>288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3.9273121959124667E-4</v>
      </c>
      <c r="J3" s="67" t="s">
        <v>231</v>
      </c>
      <c r="K3" s="68">
        <v>0</v>
      </c>
      <c r="L3" s="67" t="s">
        <v>231</v>
      </c>
      <c r="M3" s="68">
        <v>0</v>
      </c>
      <c r="N3" s="67" t="s">
        <v>231</v>
      </c>
      <c r="P3" s="109" t="s">
        <v>189</v>
      </c>
    </row>
    <row r="4" spans="1:17">
      <c r="A4" s="65" t="s">
        <v>289</v>
      </c>
      <c r="B4" s="66" t="s">
        <v>290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5.0357110774947587E-4</v>
      </c>
      <c r="J4" s="67" t="s">
        <v>231</v>
      </c>
      <c r="K4" s="68">
        <v>0</v>
      </c>
      <c r="L4" s="67" t="s">
        <v>231</v>
      </c>
      <c r="M4" s="68">
        <v>0</v>
      </c>
      <c r="N4" s="67" t="s">
        <v>231</v>
      </c>
    </row>
    <row r="5" spans="1:17">
      <c r="A5" s="65" t="s">
        <v>291</v>
      </c>
      <c r="B5" s="66" t="s">
        <v>292</v>
      </c>
      <c r="D5" s="66" t="s">
        <v>277</v>
      </c>
      <c r="E5" s="132">
        <v>4.7</v>
      </c>
      <c r="F5" s="67" t="s">
        <v>231</v>
      </c>
      <c r="G5" s="67" t="s">
        <v>231</v>
      </c>
      <c r="H5" s="67" t="s">
        <v>231</v>
      </c>
      <c r="I5" s="68">
        <v>1.2902689700707456E-7</v>
      </c>
      <c r="J5" s="67" t="s">
        <v>231</v>
      </c>
      <c r="K5" s="68">
        <v>0</v>
      </c>
      <c r="L5" s="67" t="s">
        <v>231</v>
      </c>
      <c r="M5" s="68">
        <v>0</v>
      </c>
      <c r="N5" s="67" t="s">
        <v>231</v>
      </c>
      <c r="P5" s="109" t="s">
        <v>190</v>
      </c>
    </row>
    <row r="6" spans="1:17">
      <c r="A6" s="65" t="s">
        <v>278</v>
      </c>
      <c r="B6" s="66" t="s">
        <v>279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3.0998746122700867E-2</v>
      </c>
      <c r="J6" s="67" t="s">
        <v>232</v>
      </c>
      <c r="K6" s="68">
        <v>0</v>
      </c>
      <c r="L6" s="67" t="s">
        <v>231</v>
      </c>
      <c r="M6" s="68">
        <v>0</v>
      </c>
      <c r="N6" s="67" t="s">
        <v>231</v>
      </c>
      <c r="P6" s="109" t="s">
        <v>191</v>
      </c>
    </row>
    <row r="7" spans="1:17">
      <c r="A7" s="65" t="s">
        <v>293</v>
      </c>
      <c r="B7" s="66" t="s">
        <v>294</v>
      </c>
      <c r="D7" s="66" t="s">
        <v>341</v>
      </c>
      <c r="E7" s="132">
        <v>17.600000000000001</v>
      </c>
      <c r="F7" s="67" t="s">
        <v>231</v>
      </c>
      <c r="G7" s="67" t="s">
        <v>231</v>
      </c>
      <c r="H7" s="67" t="s">
        <v>231</v>
      </c>
      <c r="I7" s="68">
        <v>2.1105679612980816E-17</v>
      </c>
      <c r="J7" s="67" t="s">
        <v>231</v>
      </c>
      <c r="K7" s="68">
        <v>0</v>
      </c>
      <c r="L7" s="67" t="s">
        <v>231</v>
      </c>
      <c r="M7" s="68">
        <v>0</v>
      </c>
      <c r="N7" s="67" t="s">
        <v>231</v>
      </c>
      <c r="P7" s="109" t="s">
        <v>192</v>
      </c>
    </row>
    <row r="8" spans="1:17" ht="17.25">
      <c r="A8" s="65" t="s">
        <v>295</v>
      </c>
      <c r="B8" s="66" t="s">
        <v>296</v>
      </c>
      <c r="D8" s="66" t="s">
        <v>341</v>
      </c>
      <c r="E8" s="132">
        <v>6.1</v>
      </c>
      <c r="F8" s="67" t="s">
        <v>231</v>
      </c>
      <c r="G8" s="67" t="s">
        <v>231</v>
      </c>
      <c r="H8" s="67" t="s">
        <v>231</v>
      </c>
      <c r="I8" s="68">
        <v>2.3507653191091666E-5</v>
      </c>
      <c r="J8" s="67" t="s">
        <v>231</v>
      </c>
      <c r="K8" s="68">
        <v>0</v>
      </c>
      <c r="L8" s="67" t="s">
        <v>231</v>
      </c>
      <c r="M8" s="68">
        <v>0</v>
      </c>
      <c r="N8" s="67" t="s">
        <v>231</v>
      </c>
      <c r="P8" s="109" t="s">
        <v>193</v>
      </c>
    </row>
    <row r="9" spans="1:17" ht="17.25">
      <c r="A9" s="65" t="s">
        <v>297</v>
      </c>
      <c r="B9" s="66" t="s">
        <v>298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6.0227070417329734E-2</v>
      </c>
      <c r="J9" s="67" t="s">
        <v>232</v>
      </c>
      <c r="K9" s="68">
        <v>0</v>
      </c>
      <c r="L9" s="67" t="s">
        <v>231</v>
      </c>
      <c r="M9" s="68">
        <v>0</v>
      </c>
      <c r="N9" s="67" t="s">
        <v>231</v>
      </c>
      <c r="P9" s="109" t="s">
        <v>194</v>
      </c>
    </row>
    <row r="10" spans="1:17">
      <c r="A10" s="65" t="s">
        <v>299</v>
      </c>
      <c r="B10" s="66" t="s">
        <v>300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1.2521457083937929E-3</v>
      </c>
      <c r="J10" s="67" t="s">
        <v>231</v>
      </c>
      <c r="K10" s="68">
        <v>0</v>
      </c>
      <c r="L10" s="67" t="s">
        <v>231</v>
      </c>
      <c r="M10" s="68">
        <v>0</v>
      </c>
      <c r="N10" s="67" t="s">
        <v>231</v>
      </c>
    </row>
    <row r="11" spans="1:17" ht="13.15">
      <c r="A11" s="65" t="s">
        <v>301</v>
      </c>
      <c r="B11" s="66" t="s">
        <v>302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3.202783672269902E-4</v>
      </c>
      <c r="J11" s="67" t="s">
        <v>231</v>
      </c>
      <c r="K11" s="68">
        <v>0</v>
      </c>
      <c r="L11" s="67" t="s">
        <v>231</v>
      </c>
      <c r="M11" s="68">
        <v>0</v>
      </c>
      <c r="N11" s="67" t="s">
        <v>231</v>
      </c>
      <c r="P11" s="15" t="s">
        <v>195</v>
      </c>
    </row>
    <row r="12" spans="1:17">
      <c r="A12" s="65" t="s">
        <v>303</v>
      </c>
      <c r="B12" s="66" t="s">
        <v>304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1.8990606250025207E-5</v>
      </c>
      <c r="J12" s="67" t="s">
        <v>231</v>
      </c>
      <c r="K12" s="68">
        <v>0</v>
      </c>
      <c r="L12" s="67" t="s">
        <v>231</v>
      </c>
      <c r="M12" s="68">
        <v>0</v>
      </c>
      <c r="N12" s="67" t="s">
        <v>231</v>
      </c>
      <c r="P12" s="109" t="s">
        <v>196</v>
      </c>
      <c r="Q12" s="103">
        <f>COUNTIF(F2:F50000,"Yes")</f>
        <v>1</v>
      </c>
    </row>
    <row r="13" spans="1:17">
      <c r="A13" s="65" t="s">
        <v>305</v>
      </c>
      <c r="B13" s="66" t="s">
        <v>306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4.6331116575972289E-2</v>
      </c>
      <c r="J13" s="67" t="s">
        <v>232</v>
      </c>
      <c r="K13" s="68">
        <v>0</v>
      </c>
      <c r="L13" s="67" t="s">
        <v>231</v>
      </c>
      <c r="M13" s="68">
        <v>0</v>
      </c>
      <c r="N13" s="67" t="s">
        <v>231</v>
      </c>
      <c r="P13" s="109" t="s">
        <v>192</v>
      </c>
      <c r="Q13" s="103">
        <f>COUNTIF(J2:J50000,"Yes")</f>
        <v>5</v>
      </c>
    </row>
    <row r="14" spans="1:17" ht="15">
      <c r="A14" s="65" t="s">
        <v>307</v>
      </c>
      <c r="B14" s="66" t="s">
        <v>308</v>
      </c>
      <c r="D14" s="66" t="s">
        <v>176</v>
      </c>
      <c r="F14" s="67" t="s">
        <v>232</v>
      </c>
      <c r="G14" s="67" t="s">
        <v>231</v>
      </c>
      <c r="H14" s="67" t="s">
        <v>231</v>
      </c>
      <c r="I14" s="68">
        <v>0.14542706889302778</v>
      </c>
      <c r="J14" s="67" t="s">
        <v>232</v>
      </c>
      <c r="K14" s="68">
        <v>0</v>
      </c>
      <c r="L14" s="67" t="s">
        <v>231</v>
      </c>
      <c r="M14" s="68">
        <v>0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309</v>
      </c>
      <c r="B15" s="66" t="s">
        <v>310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0.11067964754147455</v>
      </c>
      <c r="J15" s="67" t="s">
        <v>232</v>
      </c>
      <c r="K15" s="68">
        <v>0</v>
      </c>
      <c r="L15" s="67" t="s">
        <v>231</v>
      </c>
      <c r="M15" s="68">
        <v>0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311</v>
      </c>
      <c r="B16" s="66" t="s">
        <v>312</v>
      </c>
      <c r="D16" s="66" t="s">
        <v>277</v>
      </c>
      <c r="E16" s="132">
        <v>3</v>
      </c>
      <c r="F16" s="67" t="s">
        <v>231</v>
      </c>
      <c r="G16" s="67" t="s">
        <v>231</v>
      </c>
      <c r="H16" s="67" t="s">
        <v>231</v>
      </c>
      <c r="I16" s="68">
        <v>1.6380487944440434E-8</v>
      </c>
      <c r="J16" s="67" t="s">
        <v>231</v>
      </c>
      <c r="K16" s="68">
        <v>0</v>
      </c>
      <c r="L16" s="67" t="s">
        <v>231</v>
      </c>
      <c r="M16" s="68">
        <v>0</v>
      </c>
      <c r="N16" s="67" t="s">
        <v>231</v>
      </c>
      <c r="P16" s="109" t="s">
        <v>197</v>
      </c>
      <c r="Q16" s="103">
        <f>COUNTIF(G2:G50000,"Yes")</f>
        <v>0</v>
      </c>
    </row>
    <row r="17" spans="1:18">
      <c r="A17" s="65" t="s">
        <v>313</v>
      </c>
      <c r="B17" s="66" t="s">
        <v>314</v>
      </c>
      <c r="D17" s="66" t="s">
        <v>277</v>
      </c>
      <c r="E17" s="132">
        <v>5</v>
      </c>
      <c r="F17" s="67" t="s">
        <v>231</v>
      </c>
      <c r="G17" s="67" t="s">
        <v>231</v>
      </c>
      <c r="H17" s="67" t="s">
        <v>231</v>
      </c>
      <c r="I17" s="68">
        <v>4.8316653776824501E-6</v>
      </c>
      <c r="J17" s="67" t="s">
        <v>231</v>
      </c>
      <c r="K17" s="68">
        <v>0</v>
      </c>
      <c r="L17" s="67" t="s">
        <v>231</v>
      </c>
      <c r="M17" s="68">
        <v>0</v>
      </c>
      <c r="N17" s="67" t="s">
        <v>231</v>
      </c>
      <c r="Q17" s="103">
        <f>COUNT(I2:I50000)</f>
        <v>30</v>
      </c>
      <c r="R17" s="111"/>
    </row>
    <row r="18" spans="1:18">
      <c r="A18" s="65" t="s">
        <v>315</v>
      </c>
      <c r="B18" s="167">
        <v>354656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9.8725289010320615E-7</v>
      </c>
      <c r="J18" s="67" t="s">
        <v>231</v>
      </c>
      <c r="K18" s="68">
        <v>0</v>
      </c>
      <c r="L18" s="67" t="s">
        <v>231</v>
      </c>
      <c r="M18" s="68">
        <v>0</v>
      </c>
      <c r="N18" s="67" t="s">
        <v>231</v>
      </c>
      <c r="R18" s="111"/>
    </row>
    <row r="19" spans="1:18">
      <c r="A19" s="65" t="s">
        <v>317</v>
      </c>
      <c r="B19" s="66" t="s">
        <v>318</v>
      </c>
      <c r="D19" s="66" t="s">
        <v>341</v>
      </c>
      <c r="E19" s="132">
        <v>6</v>
      </c>
      <c r="F19" s="67" t="s">
        <v>231</v>
      </c>
      <c r="G19" s="67" t="s">
        <v>231</v>
      </c>
      <c r="H19" s="67" t="s">
        <v>231</v>
      </c>
      <c r="I19" s="68">
        <v>3.4401342305285829E-7</v>
      </c>
      <c r="J19" s="67" t="s">
        <v>231</v>
      </c>
      <c r="K19" s="68">
        <v>0</v>
      </c>
      <c r="L19" s="67" t="s">
        <v>231</v>
      </c>
      <c r="M19" s="68">
        <v>0</v>
      </c>
      <c r="N19" s="67" t="s">
        <v>231</v>
      </c>
      <c r="P19" s="109" t="s">
        <v>198</v>
      </c>
      <c r="Q19" s="111"/>
      <c r="R19" s="111"/>
    </row>
    <row r="20" spans="1:18">
      <c r="A20" s="65" t="s">
        <v>284</v>
      </c>
      <c r="B20" s="66" t="s">
        <v>276</v>
      </c>
      <c r="D20" s="66" t="s">
        <v>277</v>
      </c>
      <c r="E20" s="132">
        <v>5.4</v>
      </c>
      <c r="F20" s="67" t="s">
        <v>231</v>
      </c>
      <c r="G20" s="67" t="s">
        <v>231</v>
      </c>
      <c r="H20" s="67" t="s">
        <v>231</v>
      </c>
      <c r="I20" s="68">
        <v>2.8398326388187461E-5</v>
      </c>
      <c r="J20" s="67" t="s">
        <v>231</v>
      </c>
      <c r="K20" s="68">
        <v>0</v>
      </c>
      <c r="L20" s="67" t="s">
        <v>231</v>
      </c>
      <c r="M20" s="68">
        <v>0</v>
      </c>
      <c r="N20" s="67" t="s">
        <v>231</v>
      </c>
      <c r="Q20" s="111"/>
      <c r="R20" s="111"/>
    </row>
    <row r="21" spans="1:18">
      <c r="A21" s="65" t="s">
        <v>319</v>
      </c>
      <c r="B21" s="66" t="s">
        <v>320</v>
      </c>
      <c r="D21" s="66" t="s">
        <v>341</v>
      </c>
      <c r="E21" s="132">
        <v>6.6</v>
      </c>
      <c r="F21" s="67" t="s">
        <v>231</v>
      </c>
      <c r="G21" s="67" t="s">
        <v>231</v>
      </c>
      <c r="H21" s="67" t="s">
        <v>231</v>
      </c>
      <c r="I21" s="68">
        <v>1.6873399593783284E-4</v>
      </c>
      <c r="J21" s="67" t="s">
        <v>231</v>
      </c>
      <c r="K21" s="68">
        <v>0</v>
      </c>
      <c r="L21" s="67" t="s">
        <v>231</v>
      </c>
      <c r="M21" s="68">
        <v>0</v>
      </c>
      <c r="N21" s="67" t="s">
        <v>231</v>
      </c>
      <c r="Q21" s="111"/>
      <c r="R21" s="111"/>
    </row>
    <row r="22" spans="1:18">
      <c r="A22" s="65" t="s">
        <v>321</v>
      </c>
      <c r="B22" s="66" t="s">
        <v>322</v>
      </c>
      <c r="D22" s="66" t="s">
        <v>341</v>
      </c>
      <c r="E22" s="132">
        <v>9.6</v>
      </c>
      <c r="F22" s="67" t="s">
        <v>231</v>
      </c>
      <c r="G22" s="67" t="s">
        <v>231</v>
      </c>
      <c r="H22" s="67" t="s">
        <v>231</v>
      </c>
      <c r="I22" s="68">
        <v>2.6518434786341677E-9</v>
      </c>
      <c r="J22" s="67" t="s">
        <v>231</v>
      </c>
      <c r="K22" s="68">
        <v>0</v>
      </c>
      <c r="L22" s="67" t="s">
        <v>231</v>
      </c>
      <c r="M22" s="68">
        <v>0</v>
      </c>
      <c r="N22" s="67" t="s">
        <v>231</v>
      </c>
      <c r="Q22" s="111"/>
      <c r="R22" s="111"/>
    </row>
    <row r="23" spans="1:18">
      <c r="A23" s="65" t="s">
        <v>323</v>
      </c>
      <c r="B23" s="66" t="s">
        <v>324</v>
      </c>
      <c r="D23" s="66" t="s">
        <v>341</v>
      </c>
      <c r="E23" s="132">
        <v>9</v>
      </c>
      <c r="F23" s="67" t="s">
        <v>231</v>
      </c>
      <c r="G23" s="67" t="s">
        <v>231</v>
      </c>
      <c r="H23" s="67" t="s">
        <v>231</v>
      </c>
      <c r="I23" s="68">
        <v>2.8650833102742264E-5</v>
      </c>
      <c r="J23" s="67" t="s">
        <v>231</v>
      </c>
      <c r="K23" s="68">
        <v>0</v>
      </c>
      <c r="L23" s="67" t="s">
        <v>231</v>
      </c>
      <c r="M23" s="68">
        <v>0</v>
      </c>
      <c r="N23" s="67" t="s">
        <v>231</v>
      </c>
      <c r="Q23" s="111"/>
      <c r="R23" s="111"/>
    </row>
    <row r="24" spans="1:18">
      <c r="A24" s="65" t="s">
        <v>325</v>
      </c>
      <c r="B24" s="66" t="s">
        <v>326</v>
      </c>
      <c r="D24" s="66" t="s">
        <v>277</v>
      </c>
      <c r="E24" s="132">
        <v>7.3</v>
      </c>
      <c r="F24" s="67" t="s">
        <v>231</v>
      </c>
      <c r="G24" s="67" t="s">
        <v>231</v>
      </c>
      <c r="H24" s="67" t="s">
        <v>231</v>
      </c>
      <c r="I24" s="68">
        <v>5.8552216077322401E-5</v>
      </c>
      <c r="J24" s="67" t="s">
        <v>231</v>
      </c>
      <c r="K24" s="68">
        <v>0</v>
      </c>
      <c r="L24" s="67" t="s">
        <v>231</v>
      </c>
      <c r="M24" s="68">
        <v>0</v>
      </c>
      <c r="N24" s="67" t="s">
        <v>231</v>
      </c>
      <c r="Q24" s="111"/>
      <c r="R24" s="111"/>
    </row>
    <row r="25" spans="1:18">
      <c r="A25" s="65" t="s">
        <v>327</v>
      </c>
      <c r="B25" s="66" t="s">
        <v>328</v>
      </c>
      <c r="D25" s="66" t="s">
        <v>277</v>
      </c>
      <c r="E25" s="132">
        <v>4.5</v>
      </c>
      <c r="F25" s="67" t="s">
        <v>231</v>
      </c>
      <c r="G25" s="67" t="s">
        <v>231</v>
      </c>
      <c r="H25" s="67" t="s">
        <v>231</v>
      </c>
      <c r="I25" s="68">
        <v>8.1328310878715612E-13</v>
      </c>
      <c r="J25" s="67" t="s">
        <v>231</v>
      </c>
      <c r="K25" s="68">
        <v>0</v>
      </c>
      <c r="L25" s="67" t="s">
        <v>231</v>
      </c>
      <c r="M25" s="68">
        <v>0</v>
      </c>
      <c r="N25" s="67" t="s">
        <v>231</v>
      </c>
      <c r="Q25" s="111"/>
      <c r="R25" s="111"/>
    </row>
    <row r="26" spans="1:18">
      <c r="A26" s="65" t="s">
        <v>329</v>
      </c>
      <c r="B26" s="66" t="s">
        <v>330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9.2159342547066613E-8</v>
      </c>
      <c r="J26" s="67" t="s">
        <v>231</v>
      </c>
      <c r="K26" s="68">
        <v>0</v>
      </c>
      <c r="L26" s="67" t="s">
        <v>231</v>
      </c>
      <c r="M26" s="68">
        <v>0</v>
      </c>
      <c r="N26" s="67" t="s">
        <v>231</v>
      </c>
      <c r="Q26" s="111"/>
      <c r="R26" s="111"/>
    </row>
    <row r="27" spans="1:18">
      <c r="A27" s="65" t="s">
        <v>331</v>
      </c>
      <c r="B27" s="66" t="s">
        <v>332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4.3264999359224869E-6</v>
      </c>
      <c r="J27" s="67" t="s">
        <v>231</v>
      </c>
      <c r="K27" s="68">
        <v>0</v>
      </c>
      <c r="L27" s="67" t="s">
        <v>231</v>
      </c>
      <c r="M27" s="68">
        <v>0</v>
      </c>
      <c r="N27" s="67" t="s">
        <v>231</v>
      </c>
      <c r="Q27" s="111"/>
      <c r="R27" s="111"/>
    </row>
    <row r="28" spans="1:18">
      <c r="A28" s="65" t="s">
        <v>333</v>
      </c>
      <c r="B28" s="66" t="s">
        <v>334</v>
      </c>
      <c r="D28" s="66" t="s">
        <v>277</v>
      </c>
      <c r="E28" s="132">
        <v>9.1999999999999993</v>
      </c>
      <c r="F28" s="67" t="s">
        <v>231</v>
      </c>
      <c r="G28" s="67" t="s">
        <v>231</v>
      </c>
      <c r="H28" s="67" t="s">
        <v>231</v>
      </c>
      <c r="I28" s="68">
        <v>5.720870100436962E-7</v>
      </c>
      <c r="J28" s="67" t="s">
        <v>231</v>
      </c>
      <c r="K28" s="68">
        <v>0</v>
      </c>
      <c r="L28" s="67" t="s">
        <v>231</v>
      </c>
      <c r="M28" s="68">
        <v>0</v>
      </c>
      <c r="N28" s="67" t="s">
        <v>231</v>
      </c>
      <c r="Q28" s="111"/>
      <c r="R28" s="111"/>
    </row>
    <row r="29" spans="1:18">
      <c r="A29" s="65" t="s">
        <v>335</v>
      </c>
      <c r="B29" s="66" t="s">
        <v>336</v>
      </c>
      <c r="D29" s="66" t="s">
        <v>277</v>
      </c>
      <c r="E29" s="132">
        <v>3.3</v>
      </c>
      <c r="F29" s="67" t="s">
        <v>231</v>
      </c>
      <c r="G29" s="67" t="s">
        <v>231</v>
      </c>
      <c r="H29" s="67" t="s">
        <v>231</v>
      </c>
      <c r="I29" s="68">
        <v>4.8057489612194933E-10</v>
      </c>
      <c r="J29" s="67" t="s">
        <v>231</v>
      </c>
      <c r="K29" s="68">
        <v>0</v>
      </c>
      <c r="L29" s="67" t="s">
        <v>231</v>
      </c>
      <c r="M29" s="68">
        <v>0</v>
      </c>
      <c r="N29" s="67" t="s">
        <v>231</v>
      </c>
      <c r="Q29" s="111"/>
      <c r="R29" s="111"/>
    </row>
    <row r="30" spans="1:18">
      <c r="A30" s="65" t="s">
        <v>337</v>
      </c>
      <c r="B30" s="66" t="s">
        <v>338</v>
      </c>
      <c r="D30" s="66" t="s">
        <v>341</v>
      </c>
      <c r="E30" s="132">
        <v>9.1999999999999993</v>
      </c>
      <c r="F30" s="67" t="s">
        <v>231</v>
      </c>
      <c r="G30" s="67" t="s">
        <v>231</v>
      </c>
      <c r="H30" s="67" t="s">
        <v>231</v>
      </c>
      <c r="I30" s="68">
        <v>1.6694649183653375E-4</v>
      </c>
      <c r="J30" s="67" t="s">
        <v>231</v>
      </c>
      <c r="K30" s="68">
        <v>0</v>
      </c>
      <c r="L30" s="67" t="s">
        <v>231</v>
      </c>
      <c r="M30" s="68">
        <v>0</v>
      </c>
      <c r="N30" s="67" t="s">
        <v>231</v>
      </c>
    </row>
    <row r="31" spans="1:18">
      <c r="A31" s="65" t="s">
        <v>275</v>
      </c>
      <c r="B31" s="66" t="s">
        <v>339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9.3500626419852856E-4</v>
      </c>
      <c r="J31" s="67" t="s">
        <v>231</v>
      </c>
      <c r="K31" s="68">
        <v>0</v>
      </c>
      <c r="L31" s="67" t="s">
        <v>231</v>
      </c>
      <c r="M31" s="68">
        <v>0</v>
      </c>
      <c r="N31" s="67" t="s">
        <v>231</v>
      </c>
    </row>
    <row r="33" spans="2:18">
      <c r="O33" s="65"/>
      <c r="P33" s="102"/>
    </row>
    <row r="34" spans="2:18">
      <c r="O34" s="65"/>
      <c r="P34" s="102"/>
    </row>
    <row r="35" spans="2:18">
      <c r="O35" s="65"/>
      <c r="P35" s="102"/>
    </row>
    <row r="36" spans="2:18">
      <c r="O36" s="65"/>
      <c r="P36" s="102"/>
    </row>
    <row r="37" spans="2:18">
      <c r="O37" s="65"/>
      <c r="P37" s="102"/>
    </row>
    <row r="38" spans="2:18">
      <c r="O38" s="65"/>
      <c r="P38" s="102"/>
    </row>
    <row r="39" spans="2:18">
      <c r="O39" s="65"/>
      <c r="P39" s="102"/>
    </row>
    <row r="40" spans="2:18">
      <c r="O40" s="65"/>
      <c r="P40" s="102"/>
    </row>
    <row r="41" spans="2:18">
      <c r="O41" s="65"/>
      <c r="P41" s="102"/>
    </row>
    <row r="42" spans="2:18">
      <c r="O42" s="65"/>
      <c r="P42" s="102"/>
    </row>
    <row r="43" spans="2:18">
      <c r="O43" s="65"/>
      <c r="P43" s="102"/>
    </row>
    <row r="44" spans="2:18">
      <c r="O44" s="65"/>
      <c r="P44" s="102"/>
    </row>
    <row r="45" spans="2:18">
      <c r="O45" s="65"/>
      <c r="P45" s="102"/>
    </row>
    <row r="46" spans="2:18">
      <c r="I46" s="69"/>
      <c r="O46" s="65"/>
      <c r="P46" s="102"/>
    </row>
    <row r="47" spans="2:18" s="139" customFormat="1">
      <c r="B47" s="140"/>
      <c r="C47" s="140"/>
      <c r="D47" s="140"/>
      <c r="E47" s="141"/>
      <c r="F47" s="142"/>
      <c r="G47" s="142"/>
      <c r="H47" s="142"/>
      <c r="I47" s="143"/>
      <c r="J47" s="142"/>
      <c r="K47" s="143"/>
      <c r="L47" s="142"/>
      <c r="M47" s="143"/>
      <c r="N47" s="142"/>
      <c r="P47" s="130"/>
      <c r="Q47" s="130"/>
      <c r="R47" s="130"/>
    </row>
    <row r="48" spans="2:18" s="139" customFormat="1">
      <c r="B48" s="140"/>
      <c r="C48" s="140"/>
      <c r="D48" s="140"/>
      <c r="E48" s="141"/>
      <c r="F48" s="142"/>
      <c r="G48" s="142"/>
      <c r="H48" s="142"/>
      <c r="I48" s="143"/>
      <c r="J48" s="142"/>
      <c r="K48" s="143"/>
      <c r="L48" s="142"/>
      <c r="M48" s="143"/>
      <c r="N48" s="142"/>
      <c r="P48" s="130"/>
      <c r="Q48" s="130"/>
      <c r="R48" s="130"/>
    </row>
    <row r="49" spans="2:18" s="139" customFormat="1">
      <c r="B49" s="140"/>
      <c r="C49" s="140"/>
      <c r="D49" s="140"/>
      <c r="E49" s="141"/>
      <c r="F49" s="142"/>
      <c r="G49" s="142"/>
      <c r="H49" s="142"/>
      <c r="I49" s="143"/>
      <c r="J49" s="142"/>
      <c r="K49" s="143"/>
      <c r="L49" s="142"/>
      <c r="M49" s="143"/>
      <c r="N49" s="142"/>
      <c r="P49" s="130"/>
      <c r="Q49" s="130"/>
      <c r="R49" s="130"/>
    </row>
    <row r="50" spans="2:18" s="139" customFormat="1">
      <c r="B50" s="140"/>
      <c r="C50" s="140"/>
      <c r="D50" s="140"/>
      <c r="E50" s="141"/>
      <c r="F50" s="142"/>
      <c r="G50" s="142"/>
      <c r="H50" s="142"/>
      <c r="I50" s="143"/>
      <c r="J50" s="142"/>
      <c r="K50" s="143"/>
      <c r="L50" s="142"/>
      <c r="M50" s="143"/>
      <c r="N50" s="142"/>
      <c r="P50" s="130"/>
      <c r="Q50" s="130"/>
      <c r="R50" s="130"/>
    </row>
    <row r="51" spans="2:18" s="139" customFormat="1">
      <c r="B51" s="140"/>
      <c r="C51" s="140"/>
      <c r="D51" s="140"/>
      <c r="E51" s="141"/>
      <c r="F51" s="142"/>
      <c r="G51" s="142"/>
      <c r="H51" s="142"/>
      <c r="I51" s="143"/>
      <c r="J51" s="142"/>
      <c r="K51" s="143"/>
      <c r="L51" s="142"/>
      <c r="M51" s="143"/>
      <c r="N51" s="142"/>
      <c r="P51" s="130"/>
      <c r="Q51" s="130"/>
      <c r="R51" s="130"/>
    </row>
    <row r="52" spans="2:18" s="139" customFormat="1">
      <c r="B52" s="140"/>
      <c r="C52" s="140"/>
      <c r="D52" s="140"/>
      <c r="E52" s="141"/>
      <c r="F52" s="142"/>
      <c r="G52" s="142"/>
      <c r="H52" s="142"/>
      <c r="I52" s="143"/>
      <c r="J52" s="142"/>
      <c r="K52" s="143"/>
      <c r="L52" s="142"/>
      <c r="M52" s="143"/>
      <c r="N52" s="142"/>
      <c r="P52" s="130"/>
      <c r="Q52" s="130"/>
      <c r="R52" s="130"/>
    </row>
    <row r="53" spans="2:18" s="139" customFormat="1">
      <c r="B53" s="140"/>
      <c r="C53" s="140"/>
      <c r="D53" s="140"/>
      <c r="E53" s="141"/>
      <c r="F53" s="142"/>
      <c r="G53" s="142"/>
      <c r="H53" s="142"/>
      <c r="I53" s="143"/>
      <c r="J53" s="142"/>
      <c r="K53" s="143"/>
      <c r="L53" s="142"/>
      <c r="M53" s="143"/>
      <c r="N53" s="142"/>
      <c r="P53" s="130"/>
      <c r="Q53" s="130"/>
      <c r="R53" s="130"/>
    </row>
    <row r="54" spans="2:18">
      <c r="O54" s="65"/>
      <c r="P54" s="102"/>
    </row>
    <row r="55" spans="2:18">
      <c r="O55" s="65"/>
      <c r="P55" s="102"/>
    </row>
    <row r="56" spans="2:18">
      <c r="O56" s="65"/>
      <c r="P56" s="102"/>
    </row>
    <row r="57" spans="2:18">
      <c r="O57" s="65"/>
      <c r="P57" s="102"/>
    </row>
    <row r="58" spans="2:18">
      <c r="O58" s="65"/>
      <c r="P58" s="102"/>
    </row>
    <row r="59" spans="2:18">
      <c r="O59" s="65"/>
      <c r="P59" s="102"/>
    </row>
    <row r="60" spans="2:18">
      <c r="O60" s="65"/>
      <c r="P60" s="102"/>
    </row>
    <row r="61" spans="2:18">
      <c r="O61" s="65"/>
      <c r="P61" s="102"/>
    </row>
    <row r="62" spans="2:18">
      <c r="O62" s="65"/>
      <c r="P62" s="102"/>
    </row>
    <row r="63" spans="2:18">
      <c r="O63" s="65"/>
      <c r="P63" s="102"/>
    </row>
    <row r="64" spans="2:18">
      <c r="O64" s="65"/>
      <c r="P64" s="102"/>
    </row>
    <row r="65" spans="15:16">
      <c r="O65" s="65"/>
      <c r="P65" s="102"/>
    </row>
    <row r="66" spans="15:16">
      <c r="O66" s="65"/>
      <c r="P66" s="102"/>
    </row>
    <row r="67" spans="15:16">
      <c r="O67" s="65"/>
      <c r="P67" s="102"/>
    </row>
    <row r="68" spans="15:16">
      <c r="O68" s="65"/>
      <c r="P68" s="102"/>
    </row>
    <row r="69" spans="15:16">
      <c r="O69" s="65"/>
      <c r="P69" s="102"/>
    </row>
    <row r="70" spans="15:16">
      <c r="O70" s="65"/>
      <c r="P70" s="102"/>
    </row>
    <row r="71" spans="15:16">
      <c r="O71" s="65"/>
      <c r="P71" s="102"/>
    </row>
    <row r="72" spans="15:16">
      <c r="O72" s="65"/>
      <c r="P72" s="102"/>
    </row>
    <row r="73" spans="15:16">
      <c r="O73" s="65"/>
      <c r="P73" s="102"/>
    </row>
    <row r="74" spans="15:16">
      <c r="O74" s="65"/>
      <c r="P74" s="102"/>
    </row>
    <row r="75" spans="15:16">
      <c r="O75" s="65"/>
      <c r="P75" s="102"/>
    </row>
    <row r="76" spans="15:16">
      <c r="O76" s="65"/>
      <c r="P76" s="102"/>
    </row>
    <row r="77" spans="15:16">
      <c r="O77" s="65"/>
      <c r="P77" s="102"/>
    </row>
    <row r="78" spans="15:16">
      <c r="O78" s="65"/>
      <c r="P78" s="102"/>
    </row>
    <row r="79" spans="15:16">
      <c r="O79" s="65"/>
      <c r="P79" s="102"/>
    </row>
    <row r="80" spans="15:16">
      <c r="O80" s="65"/>
      <c r="P80" s="102"/>
    </row>
    <row r="81" spans="15:16">
      <c r="O81" s="65"/>
      <c r="P81" s="102"/>
    </row>
    <row r="82" spans="15:16">
      <c r="O82" s="65"/>
      <c r="P82" s="102"/>
    </row>
    <row r="83" spans="15:16">
      <c r="O83" s="65"/>
      <c r="P83" s="102"/>
    </row>
    <row r="84" spans="15:16">
      <c r="O84" s="65"/>
      <c r="P84" s="102"/>
    </row>
    <row r="85" spans="15:16">
      <c r="O85" s="65"/>
      <c r="P85" s="102"/>
    </row>
    <row r="86" spans="15:16">
      <c r="O86" s="65"/>
      <c r="P86" s="102"/>
    </row>
    <row r="87" spans="15:16">
      <c r="O87" s="65"/>
      <c r="P87" s="102"/>
    </row>
    <row r="88" spans="15:16">
      <c r="O88" s="65"/>
      <c r="P88" s="102"/>
    </row>
    <row r="89" spans="15:16">
      <c r="O89" s="65"/>
      <c r="P89" s="102"/>
    </row>
    <row r="90" spans="15:16">
      <c r="O90" s="65"/>
      <c r="P90" s="102"/>
    </row>
    <row r="91" spans="15:16">
      <c r="O91" s="65"/>
      <c r="P91" s="102"/>
    </row>
    <row r="92" spans="15:16">
      <c r="O92" s="65"/>
      <c r="P92" s="102"/>
    </row>
    <row r="93" spans="15:16">
      <c r="O93" s="65"/>
      <c r="P93" s="102"/>
    </row>
    <row r="94" spans="15:16">
      <c r="O94" s="65"/>
      <c r="P94" s="102"/>
    </row>
    <row r="95" spans="15:16">
      <c r="O95" s="65"/>
      <c r="P95" s="102"/>
    </row>
    <row r="96" spans="15:16">
      <c r="O96" s="65"/>
      <c r="P96" s="102"/>
    </row>
    <row r="97" spans="9:16">
      <c r="O97" s="65"/>
      <c r="P97" s="102"/>
    </row>
    <row r="98" spans="9:16">
      <c r="O98" s="65"/>
      <c r="P98" s="102"/>
    </row>
    <row r="99" spans="9:16">
      <c r="O99" s="65"/>
      <c r="P99" s="102"/>
    </row>
    <row r="100" spans="9:16">
      <c r="O100" s="65"/>
      <c r="P100" s="102"/>
    </row>
    <row r="101" spans="9:16">
      <c r="O101" s="65"/>
      <c r="P101" s="102"/>
    </row>
    <row r="102" spans="9:16">
      <c r="O102" s="65"/>
      <c r="P102" s="102"/>
    </row>
    <row r="103" spans="9:16">
      <c r="O103" s="65"/>
      <c r="P103" s="102"/>
    </row>
    <row r="104" spans="9:16">
      <c r="O104" s="65"/>
      <c r="P104" s="102"/>
    </row>
    <row r="105" spans="9:16">
      <c r="I105" s="69"/>
      <c r="O105" s="65"/>
      <c r="P105" s="102"/>
    </row>
    <row r="106" spans="9:16">
      <c r="O106" s="65"/>
      <c r="P106" s="102"/>
    </row>
    <row r="107" spans="9:16">
      <c r="O107" s="65"/>
      <c r="P107" s="102"/>
    </row>
    <row r="108" spans="9:16">
      <c r="O108" s="65"/>
      <c r="P108" s="102"/>
    </row>
    <row r="109" spans="9:16">
      <c r="O109" s="65"/>
      <c r="P109" s="102"/>
    </row>
    <row r="110" spans="9:16">
      <c r="O110" s="65"/>
      <c r="P110" s="102"/>
    </row>
    <row r="111" spans="9:16">
      <c r="O111" s="65"/>
      <c r="P111" s="102"/>
    </row>
    <row r="112" spans="9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31"/>
  <sheetViews>
    <sheetView tabSelected="1" workbookViewId="0">
      <pane ySplit="1" topLeftCell="A6" activePane="bottomLeft" state="frozen"/>
      <selection pane="bottomLeft" activeCell="L2" sqref="L2:L31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285</v>
      </c>
      <c r="B2" s="16" t="s">
        <v>286</v>
      </c>
      <c r="D2" s="14">
        <v>10</v>
      </c>
      <c r="E2" s="14">
        <v>9.8855082593438404</v>
      </c>
      <c r="F2" s="14">
        <v>9.8987080354190571</v>
      </c>
      <c r="G2" s="14">
        <v>1.803079884653128E-14</v>
      </c>
      <c r="H2" s="14">
        <v>2.6380226181772226</v>
      </c>
      <c r="I2" s="14">
        <v>8.2009736632365708</v>
      </c>
      <c r="J2" s="14">
        <v>0</v>
      </c>
      <c r="K2" s="14">
        <v>1.0102328469754343</v>
      </c>
      <c r="L2" s="14">
        <v>0.98987080354190549</v>
      </c>
      <c r="M2" s="14">
        <v>0.81218899430613345</v>
      </c>
      <c r="N2" s="14">
        <v>0</v>
      </c>
      <c r="O2" s="14">
        <v>0</v>
      </c>
      <c r="P2" s="8">
        <v>0</v>
      </c>
      <c r="Q2" s="54">
        <v>0.17173761098288823</v>
      </c>
      <c r="S2" s="102"/>
    </row>
    <row r="3" spans="1:20">
      <c r="A3" s="2" t="s">
        <v>287</v>
      </c>
      <c r="B3" s="16" t="s">
        <v>288</v>
      </c>
      <c r="D3" s="14">
        <v>10</v>
      </c>
      <c r="E3" s="14">
        <v>8.8742281549131761</v>
      </c>
      <c r="F3" s="14">
        <v>8.4725931397234273</v>
      </c>
      <c r="G3" s="14">
        <v>1.0787103344267182E-5</v>
      </c>
      <c r="H3" s="14">
        <v>184.10956494652979</v>
      </c>
      <c r="I3" s="14">
        <v>479.43918069612073</v>
      </c>
      <c r="J3" s="14">
        <v>0</v>
      </c>
      <c r="K3" s="14">
        <v>1.180276195857368</v>
      </c>
      <c r="L3" s="14">
        <v>0.84725931397234266</v>
      </c>
      <c r="M3" s="14">
        <v>0.69517626711430724</v>
      </c>
      <c r="N3" s="14">
        <v>0</v>
      </c>
      <c r="O3" s="14">
        <v>0</v>
      </c>
      <c r="P3" s="8">
        <v>0</v>
      </c>
      <c r="Q3" s="54">
        <v>1.6878487348794193</v>
      </c>
      <c r="S3" s="109"/>
      <c r="T3" s="22"/>
    </row>
    <row r="4" spans="1:20">
      <c r="A4" s="2" t="s">
        <v>289</v>
      </c>
      <c r="B4" s="16" t="s">
        <v>290</v>
      </c>
      <c r="D4" s="14">
        <v>10</v>
      </c>
      <c r="E4" s="14">
        <v>7.647959594392705</v>
      </c>
      <c r="F4" s="14">
        <v>2.3137489107146436</v>
      </c>
      <c r="G4" s="14">
        <v>1.0199167283128313E-4</v>
      </c>
      <c r="H4" s="14">
        <v>2486.2009456149626</v>
      </c>
      <c r="I4" s="14">
        <v>4857.2828943210425</v>
      </c>
      <c r="J4" s="14">
        <v>0</v>
      </c>
      <c r="K4" s="14">
        <v>4.321990149273077</v>
      </c>
      <c r="L4" s="14">
        <v>0.23137489107146433</v>
      </c>
      <c r="M4" s="14">
        <v>0.18984309812413649</v>
      </c>
      <c r="N4" s="14">
        <v>0</v>
      </c>
      <c r="O4" s="14">
        <v>0</v>
      </c>
      <c r="P4" s="8">
        <v>0</v>
      </c>
      <c r="Q4" s="54">
        <v>3.5204112329485953</v>
      </c>
      <c r="S4" s="102"/>
    </row>
    <row r="5" spans="1:20">
      <c r="A5" s="2" t="s">
        <v>291</v>
      </c>
      <c r="B5" s="16" t="s">
        <v>292</v>
      </c>
      <c r="D5" s="14">
        <v>10</v>
      </c>
      <c r="E5" s="14">
        <v>9.9993112690604189</v>
      </c>
      <c r="F5" s="14">
        <v>9.9969452881794947</v>
      </c>
      <c r="G5" s="14">
        <v>1.3397387993496817E-18</v>
      </c>
      <c r="H5" s="14">
        <v>12.401017354949333</v>
      </c>
      <c r="I5" s="14">
        <v>9.1990049407595489E-2</v>
      </c>
      <c r="J5" s="14">
        <v>0</v>
      </c>
      <c r="K5" s="14">
        <v>1.0003055645232066</v>
      </c>
      <c r="L5" s="14">
        <v>0.9996945288179494</v>
      </c>
      <c r="M5" s="14">
        <v>0.82024936089512746</v>
      </c>
      <c r="N5" s="14">
        <v>0</v>
      </c>
      <c r="O5" s="14">
        <v>0</v>
      </c>
      <c r="P5" s="8">
        <v>0</v>
      </c>
      <c r="Q5" s="54">
        <v>1.0330964093762042E-3</v>
      </c>
      <c r="S5" s="102"/>
    </row>
    <row r="6" spans="1:20">
      <c r="A6" s="2" t="s">
        <v>278</v>
      </c>
      <c r="B6" s="16" t="s">
        <v>279</v>
      </c>
      <c r="D6" s="14">
        <v>10</v>
      </c>
      <c r="E6" s="14">
        <v>8.9483870084953914</v>
      </c>
      <c r="F6" s="14">
        <v>0.13914825827009686</v>
      </c>
      <c r="G6" s="14">
        <v>2.6727987670483864E-5</v>
      </c>
      <c r="H6" s="14">
        <v>3850.6830617180431</v>
      </c>
      <c r="I6" s="14">
        <v>10346.535337492778</v>
      </c>
      <c r="J6" s="14">
        <v>0</v>
      </c>
      <c r="K6" s="14">
        <v>71.865793537920368</v>
      </c>
      <c r="L6" s="14">
        <v>1.3914825827009685E-2</v>
      </c>
      <c r="M6" s="14">
        <v>1.1417114591061447E-2</v>
      </c>
      <c r="N6" s="14">
        <v>0</v>
      </c>
      <c r="O6" s="14">
        <v>0</v>
      </c>
      <c r="P6" s="8">
        <v>0</v>
      </c>
      <c r="Q6" s="54">
        <v>1.5754148881816306</v>
      </c>
      <c r="S6" s="102"/>
    </row>
    <row r="7" spans="1:20">
      <c r="A7" s="2" t="s">
        <v>293</v>
      </c>
      <c r="B7" s="16" t="s">
        <v>294</v>
      </c>
      <c r="D7" s="14">
        <v>10</v>
      </c>
      <c r="E7" s="14">
        <v>9.9999826137615315</v>
      </c>
      <c r="F7" s="14">
        <v>10.019582689638298</v>
      </c>
      <c r="G7" s="14">
        <v>2.8253231073149283E-19</v>
      </c>
      <c r="H7" s="14">
        <v>4.8154805606178387E-2</v>
      </c>
      <c r="I7" s="14">
        <v>6.2215255812618118E-4</v>
      </c>
      <c r="J7" s="14">
        <v>0</v>
      </c>
      <c r="K7" s="14">
        <v>0.99804555835857822</v>
      </c>
      <c r="L7" s="14">
        <v>1.0019582689638298</v>
      </c>
      <c r="M7" s="14">
        <v>0.82210675968482239</v>
      </c>
      <c r="N7" s="14">
        <v>0</v>
      </c>
      <c r="O7" s="14">
        <v>0</v>
      </c>
      <c r="P7" s="8">
        <v>0</v>
      </c>
      <c r="Q7" s="54">
        <v>2.6079357704391144E-5</v>
      </c>
    </row>
    <row r="8" spans="1:20">
      <c r="A8" s="2" t="s">
        <v>295</v>
      </c>
      <c r="B8" s="16" t="s">
        <v>296</v>
      </c>
      <c r="D8" s="14">
        <v>10</v>
      </c>
      <c r="E8" s="14">
        <v>9.7305827084431122</v>
      </c>
      <c r="F8" s="14">
        <v>9.7234625734153237</v>
      </c>
      <c r="G8" s="14">
        <v>1.5648799733279024E-9</v>
      </c>
      <c r="H8" s="14">
        <v>10.980540981305129</v>
      </c>
      <c r="I8" s="14">
        <v>35.262784153965789</v>
      </c>
      <c r="J8" s="14">
        <v>0</v>
      </c>
      <c r="K8" s="14">
        <v>1.0284402212171568</v>
      </c>
      <c r="L8" s="14">
        <v>0.97234625734153235</v>
      </c>
      <c r="M8" s="14">
        <v>0.79781010414872722</v>
      </c>
      <c r="N8" s="14">
        <v>0</v>
      </c>
      <c r="O8" s="14">
        <v>0</v>
      </c>
      <c r="P8" s="8">
        <v>0</v>
      </c>
      <c r="Q8" s="54">
        <v>0.4041258199693335</v>
      </c>
    </row>
    <row r="9" spans="1:20">
      <c r="A9" s="2" t="s">
        <v>297</v>
      </c>
      <c r="B9" s="16" t="s">
        <v>298</v>
      </c>
      <c r="D9" s="14">
        <v>10</v>
      </c>
      <c r="E9" s="14">
        <v>9.3007542416891749</v>
      </c>
      <c r="F9" s="14">
        <v>1.0647400439584139E-2</v>
      </c>
      <c r="G9" s="14">
        <v>1.0982268959000457E-8</v>
      </c>
      <c r="H9" s="14">
        <v>1240.1196464623395</v>
      </c>
      <c r="I9" s="14">
        <v>37027.190338733009</v>
      </c>
      <c r="J9" s="14">
        <v>0</v>
      </c>
      <c r="K9" s="14">
        <v>939.19638476474699</v>
      </c>
      <c r="L9" s="14">
        <v>1.0647400439584137E-3</v>
      </c>
      <c r="M9" s="14">
        <v>8.7361920606787854E-4</v>
      </c>
      <c r="N9" s="14">
        <v>0</v>
      </c>
      <c r="O9" s="14">
        <v>0</v>
      </c>
      <c r="P9" s="8">
        <v>0</v>
      </c>
      <c r="Q9" s="54">
        <v>1.0488678137960683</v>
      </c>
    </row>
    <row r="10" spans="1:20">
      <c r="A10" s="2" t="s">
        <v>299</v>
      </c>
      <c r="B10" s="16" t="s">
        <v>300</v>
      </c>
      <c r="D10" s="14">
        <v>10</v>
      </c>
      <c r="E10" s="14">
        <v>8.4590859814912438</v>
      </c>
      <c r="F10" s="14">
        <v>7.644572644153885</v>
      </c>
      <c r="G10" s="14">
        <v>5.6255073917879905E-6</v>
      </c>
      <c r="H10" s="14">
        <v>369.7713100971992</v>
      </c>
      <c r="I10" s="14">
        <v>907.8004271562445</v>
      </c>
      <c r="J10" s="14">
        <v>0</v>
      </c>
      <c r="K10" s="14">
        <v>1.3081175973450139</v>
      </c>
      <c r="L10" s="14">
        <v>0.76445726441538853</v>
      </c>
      <c r="M10" s="14">
        <v>0.62723718545282625</v>
      </c>
      <c r="N10" s="14">
        <v>0</v>
      </c>
      <c r="O10" s="14">
        <v>0</v>
      </c>
      <c r="P10" s="8">
        <v>0</v>
      </c>
      <c r="Q10" s="54">
        <v>2.3109491147087522</v>
      </c>
    </row>
    <row r="11" spans="1:20">
      <c r="A11" s="2" t="s">
        <v>301</v>
      </c>
      <c r="B11" s="16" t="s">
        <v>302</v>
      </c>
      <c r="D11" s="14">
        <v>10</v>
      </c>
      <c r="E11" s="14">
        <v>8.8021162838578828</v>
      </c>
      <c r="F11" s="14">
        <v>8.3412041283050957</v>
      </c>
      <c r="G11" s="14">
        <v>3.6014487351526644E-18</v>
      </c>
      <c r="H11" s="14">
        <v>210.5953363651428</v>
      </c>
      <c r="I11" s="14">
        <v>542.38281437212993</v>
      </c>
      <c r="J11" s="14">
        <v>0</v>
      </c>
      <c r="K11" s="14">
        <v>1.1988676749998166</v>
      </c>
      <c r="L11" s="14">
        <v>0.83412041283050942</v>
      </c>
      <c r="M11" s="14">
        <v>0.68439579872743295</v>
      </c>
      <c r="N11" s="14">
        <v>0</v>
      </c>
      <c r="O11" s="14">
        <v>0</v>
      </c>
      <c r="P11" s="8">
        <v>0</v>
      </c>
      <c r="Q11" s="54">
        <v>1.7968255742131769</v>
      </c>
    </row>
    <row r="12" spans="1:20">
      <c r="A12" s="2" t="s">
        <v>303</v>
      </c>
      <c r="B12" s="16" t="s">
        <v>304</v>
      </c>
      <c r="D12" s="14">
        <v>10</v>
      </c>
      <c r="E12" s="14">
        <v>9.4321869332123764</v>
      </c>
      <c r="F12" s="14">
        <v>9.3450035518814065</v>
      </c>
      <c r="G12" s="14">
        <v>5.0334754931303481E-30</v>
      </c>
      <c r="H12" s="14">
        <v>45.293874329671659</v>
      </c>
      <c r="I12" s="14">
        <v>131.73362463644776</v>
      </c>
      <c r="J12" s="14">
        <v>0</v>
      </c>
      <c r="K12" s="14">
        <v>1.0700905510075194</v>
      </c>
      <c r="L12" s="14">
        <v>0.93450035518814067</v>
      </c>
      <c r="M12" s="14">
        <v>0.76675754143186947</v>
      </c>
      <c r="N12" s="14">
        <v>0</v>
      </c>
      <c r="O12" s="14">
        <v>0</v>
      </c>
      <c r="P12" s="8">
        <v>0</v>
      </c>
      <c r="Q12" s="54">
        <v>0.85171960018143444</v>
      </c>
    </row>
    <row r="13" spans="1:20">
      <c r="A13" s="2" t="s">
        <v>305</v>
      </c>
      <c r="B13" s="16" t="s">
        <v>306</v>
      </c>
      <c r="D13" s="14">
        <v>10</v>
      </c>
      <c r="E13" s="14">
        <v>8.9439354887819356</v>
      </c>
      <c r="F13" s="14">
        <v>6.8322587477416694E-2</v>
      </c>
      <c r="G13" s="14">
        <v>1.1255189022594833E-8</v>
      </c>
      <c r="H13" s="14">
        <v>3043.8574197272251</v>
      </c>
      <c r="I13" s="14">
        <v>18162.744603893163</v>
      </c>
      <c r="J13" s="14">
        <v>0</v>
      </c>
      <c r="K13" s="14">
        <v>146.36448016997883</v>
      </c>
      <c r="L13" s="14">
        <v>6.8322587477416688E-3</v>
      </c>
      <c r="M13" s="14">
        <v>5.6058683025220395E-3</v>
      </c>
      <c r="N13" s="14">
        <v>0</v>
      </c>
      <c r="O13" s="14">
        <v>0</v>
      </c>
      <c r="P13" s="8">
        <v>0</v>
      </c>
      <c r="Q13" s="54">
        <v>1.5840959226879194</v>
      </c>
    </row>
    <row r="14" spans="1:20">
      <c r="A14" s="2" t="s">
        <v>307</v>
      </c>
      <c r="B14" s="16" t="s">
        <v>308</v>
      </c>
      <c r="D14" s="14">
        <v>10</v>
      </c>
      <c r="E14" s="14">
        <v>3.4047153689450695</v>
      </c>
      <c r="F14" s="14">
        <v>1.394394971736747</v>
      </c>
      <c r="G14" s="14">
        <v>3.8680697403264076E-10</v>
      </c>
      <c r="H14" s="14">
        <v>931.67793035400871</v>
      </c>
      <c r="I14" s="14">
        <v>1885.0504542325425</v>
      </c>
      <c r="J14" s="14">
        <v>0</v>
      </c>
      <c r="K14" s="14">
        <v>7.1715691770924845</v>
      </c>
      <c r="L14" s="14">
        <v>0.13943949717367468</v>
      </c>
      <c r="M14" s="14">
        <v>0.11441010743100008</v>
      </c>
      <c r="N14" s="14">
        <v>0</v>
      </c>
      <c r="O14" s="14">
        <v>0</v>
      </c>
      <c r="P14" s="8">
        <v>0</v>
      </c>
      <c r="Q14" s="54">
        <v>1.6562388927845408</v>
      </c>
    </row>
    <row r="15" spans="1:20">
      <c r="A15" s="2" t="s">
        <v>309</v>
      </c>
      <c r="B15" s="16" t="s">
        <v>310</v>
      </c>
      <c r="D15" s="14">
        <v>10</v>
      </c>
      <c r="E15" s="14">
        <v>8.3270204901725329</v>
      </c>
      <c r="F15" s="14">
        <v>0.76350152057008525</v>
      </c>
      <c r="G15" s="14">
        <v>4.2716768783739498E-5</v>
      </c>
      <c r="H15" s="14">
        <v>3587.3182448333505</v>
      </c>
      <c r="I15" s="14">
        <v>6286.762834685409</v>
      </c>
      <c r="J15" s="14">
        <v>0</v>
      </c>
      <c r="K15" s="14">
        <v>13.097550863465578</v>
      </c>
      <c r="L15" s="14">
        <v>7.6350152057008513E-2</v>
      </c>
      <c r="M15" s="14">
        <v>6.2645299762775483E-2</v>
      </c>
      <c r="N15" s="14">
        <v>0</v>
      </c>
      <c r="O15" s="14">
        <v>0</v>
      </c>
      <c r="P15" s="8">
        <v>0</v>
      </c>
      <c r="Q15" s="54">
        <v>2.5062655070824262</v>
      </c>
    </row>
    <row r="16" spans="1:20">
      <c r="A16" s="2" t="s">
        <v>311</v>
      </c>
      <c r="B16" s="16" t="s">
        <v>312</v>
      </c>
      <c r="D16" s="14">
        <v>10</v>
      </c>
      <c r="E16" s="14">
        <v>9.9994417450140762</v>
      </c>
      <c r="F16" s="14">
        <v>9.4603465575893022</v>
      </c>
      <c r="G16" s="14">
        <v>5.1498934596937583E-20</v>
      </c>
      <c r="H16" s="14">
        <v>314.47566636369066</v>
      </c>
      <c r="I16" s="14">
        <v>0.28256858030441051</v>
      </c>
      <c r="J16" s="14">
        <v>0</v>
      </c>
      <c r="K16" s="14">
        <v>1.0570437286969974</v>
      </c>
      <c r="L16" s="14">
        <v>0.9460346557589302</v>
      </c>
      <c r="M16" s="14">
        <v>0.77622143505020225</v>
      </c>
      <c r="N16" s="14">
        <v>0</v>
      </c>
      <c r="O16" s="14">
        <v>0</v>
      </c>
      <c r="P16" s="8">
        <v>0</v>
      </c>
      <c r="Q16" s="54">
        <v>8.3738247888927753E-4</v>
      </c>
    </row>
    <row r="17" spans="1:21">
      <c r="A17" s="2" t="s">
        <v>313</v>
      </c>
      <c r="B17" s="16" t="s">
        <v>314</v>
      </c>
      <c r="D17" s="14">
        <v>10</v>
      </c>
      <c r="E17" s="14">
        <v>9.9938729110131295</v>
      </c>
      <c r="F17" s="14">
        <v>0.21888609893905903</v>
      </c>
      <c r="G17" s="14">
        <v>2.4621876229332902E-21</v>
      </c>
      <c r="H17" s="14">
        <v>5507.0393688310851</v>
      </c>
      <c r="I17" s="14">
        <v>53.993993126845623</v>
      </c>
      <c r="J17" s="14">
        <v>0</v>
      </c>
      <c r="K17" s="14">
        <v>45.685861498149052</v>
      </c>
      <c r="L17" s="14">
        <v>2.1888609893905901E-2</v>
      </c>
      <c r="M17" s="14">
        <v>1.7959604417949793E-2</v>
      </c>
      <c r="N17" s="14">
        <v>0</v>
      </c>
      <c r="O17" s="14">
        <v>0</v>
      </c>
      <c r="P17" s="8">
        <v>0</v>
      </c>
      <c r="Q17" s="54">
        <v>9.1906334803078926E-3</v>
      </c>
    </row>
    <row r="18" spans="1:21">
      <c r="A18" s="2" t="s">
        <v>315</v>
      </c>
      <c r="B18" s="166">
        <v>354656</v>
      </c>
      <c r="D18" s="14">
        <v>10</v>
      </c>
      <c r="E18" s="14">
        <v>9.8624134619314461</v>
      </c>
      <c r="F18" s="14">
        <v>9.8748390288305963</v>
      </c>
      <c r="G18" s="14">
        <v>4.1594749442284055E-11</v>
      </c>
      <c r="H18" s="14">
        <v>2.8366778978536011</v>
      </c>
      <c r="I18" s="14">
        <v>10.15937978276728</v>
      </c>
      <c r="J18" s="14">
        <v>0</v>
      </c>
      <c r="K18" s="14">
        <v>1.0126747353353289</v>
      </c>
      <c r="L18" s="14">
        <v>0.98748390288305954</v>
      </c>
      <c r="M18" s="14">
        <v>0.81023054231555036</v>
      </c>
      <c r="N18" s="14">
        <v>0</v>
      </c>
      <c r="O18" s="14">
        <v>0</v>
      </c>
      <c r="P18" s="8">
        <v>0</v>
      </c>
      <c r="Q18" s="54">
        <v>0.20637980398322489</v>
      </c>
    </row>
    <row r="19" spans="1:21">
      <c r="A19" s="2" t="s">
        <v>317</v>
      </c>
      <c r="B19" s="16" t="s">
        <v>318</v>
      </c>
      <c r="D19" s="14">
        <v>10</v>
      </c>
      <c r="E19" s="14">
        <v>9.7175098642213946</v>
      </c>
      <c r="F19" s="14">
        <v>9.7081436230548039</v>
      </c>
      <c r="G19" s="14">
        <v>6.2843503835211217E-11</v>
      </c>
      <c r="H19" s="14">
        <v>11.922228149574071</v>
      </c>
      <c r="I19" s="14">
        <v>38.11487866688546</v>
      </c>
      <c r="J19" s="14">
        <v>0</v>
      </c>
      <c r="K19" s="14">
        <v>1.030063046889016</v>
      </c>
      <c r="L19" s="14">
        <v>0.97081436230548024</v>
      </c>
      <c r="M19" s="14">
        <v>0.79655318427164656</v>
      </c>
      <c r="N19" s="14">
        <v>0</v>
      </c>
      <c r="O19" s="14">
        <v>0</v>
      </c>
      <c r="P19" s="8">
        <v>0</v>
      </c>
      <c r="Q19" s="54">
        <v>0.42373519895464812</v>
      </c>
    </row>
    <row r="20" spans="1:21">
      <c r="A20" s="2" t="s">
        <v>284</v>
      </c>
      <c r="B20" s="16" t="s">
        <v>276</v>
      </c>
      <c r="D20" s="14">
        <v>10</v>
      </c>
      <c r="E20" s="14">
        <v>9.9699154234417158</v>
      </c>
      <c r="F20" s="14">
        <v>1.9385416014981678</v>
      </c>
      <c r="G20" s="14">
        <v>3.230444167235019E-8</v>
      </c>
      <c r="H20" s="14">
        <v>4522.2558109779948</v>
      </c>
      <c r="I20" s="14">
        <v>85.233798715159821</v>
      </c>
      <c r="J20" s="14">
        <v>0</v>
      </c>
      <c r="K20" s="14">
        <v>5.1585170997989813</v>
      </c>
      <c r="L20" s="14">
        <v>0.19385416014981677</v>
      </c>
      <c r="M20" s="14">
        <v>0.15905733840292466</v>
      </c>
      <c r="N20" s="14">
        <v>0</v>
      </c>
      <c r="O20" s="14">
        <v>0</v>
      </c>
      <c r="P20" s="8">
        <v>0</v>
      </c>
      <c r="Q20" s="54">
        <v>4.5124442004303711E-2</v>
      </c>
    </row>
    <row r="21" spans="1:21">
      <c r="A21" s="2" t="s">
        <v>319</v>
      </c>
      <c r="B21" s="16" t="s">
        <v>320</v>
      </c>
      <c r="D21" s="14">
        <v>10</v>
      </c>
      <c r="E21" s="14">
        <v>8.7754733914240184</v>
      </c>
      <c r="F21" s="14">
        <v>0.41617173719718498</v>
      </c>
      <c r="G21" s="14">
        <v>1.0120664701358564E-20</v>
      </c>
      <c r="H21" s="14">
        <v>4012.4504055229163</v>
      </c>
      <c r="I21" s="14">
        <v>6502.1874528271901</v>
      </c>
      <c r="J21" s="14">
        <v>0</v>
      </c>
      <c r="K21" s="14">
        <v>24.028541840317075</v>
      </c>
      <c r="L21" s="14">
        <v>4.1617173719718493E-2</v>
      </c>
      <c r="M21" s="14">
        <v>3.4146891037029024E-2</v>
      </c>
      <c r="N21" s="14">
        <v>0</v>
      </c>
      <c r="O21" s="14">
        <v>0</v>
      </c>
      <c r="P21" s="8">
        <v>0</v>
      </c>
      <c r="Q21" s="54">
        <v>1.836789912863974</v>
      </c>
      <c r="T21" s="22"/>
    </row>
    <row r="22" spans="1:21">
      <c r="A22" s="2" t="s">
        <v>321</v>
      </c>
      <c r="B22" s="16" t="s">
        <v>322</v>
      </c>
      <c r="D22" s="14">
        <v>10</v>
      </c>
      <c r="E22" s="14">
        <v>9.9997503080119383</v>
      </c>
      <c r="F22" s="14">
        <v>10.019390000267721</v>
      </c>
      <c r="G22" s="14">
        <v>1.2207259167468369E-10</v>
      </c>
      <c r="H22" s="14">
        <v>2.4943767677719809E-2</v>
      </c>
      <c r="I22" s="14">
        <v>6.6939929403335196E-3</v>
      </c>
      <c r="J22" s="14">
        <v>0</v>
      </c>
      <c r="K22" s="14">
        <v>0.99806475241834058</v>
      </c>
      <c r="L22" s="14">
        <v>1.0019390000267721</v>
      </c>
      <c r="M22" s="14">
        <v>0.82209094952196649</v>
      </c>
      <c r="N22" s="14">
        <v>0</v>
      </c>
      <c r="O22" s="14">
        <v>0</v>
      </c>
      <c r="P22" s="8">
        <v>0</v>
      </c>
      <c r="Q22" s="54">
        <v>3.7452882665162991E-4</v>
      </c>
      <c r="T22" s="22"/>
      <c r="U22" s="22"/>
    </row>
    <row r="23" spans="1:21">
      <c r="A23" s="2" t="s">
        <v>323</v>
      </c>
      <c r="B23" s="16" t="s">
        <v>324</v>
      </c>
      <c r="D23" s="14">
        <v>10</v>
      </c>
      <c r="E23" s="14">
        <v>9.9146818752800705</v>
      </c>
      <c r="F23" s="14">
        <v>9.6160408733077212</v>
      </c>
      <c r="G23" s="14">
        <v>3.248407936008221E-13</v>
      </c>
      <c r="H23" s="14">
        <v>170.59443853511092</v>
      </c>
      <c r="I23" s="14">
        <v>78.511370793683994</v>
      </c>
      <c r="J23" s="14">
        <v>0</v>
      </c>
      <c r="K23" s="14">
        <v>1.0399290239872083</v>
      </c>
      <c r="L23" s="14">
        <v>0.96160408733077207</v>
      </c>
      <c r="M23" s="14">
        <v>0.7889961536548985</v>
      </c>
      <c r="N23" s="14">
        <v>0</v>
      </c>
      <c r="O23" s="14">
        <v>0</v>
      </c>
      <c r="P23" s="8">
        <v>0</v>
      </c>
      <c r="Q23" s="54">
        <v>0.12797718705552982</v>
      </c>
      <c r="T23" s="22"/>
      <c r="U23" s="22"/>
    </row>
    <row r="24" spans="1:21">
      <c r="A24" s="2" t="s">
        <v>325</v>
      </c>
      <c r="B24" s="16" t="s">
        <v>326</v>
      </c>
      <c r="D24" s="14">
        <v>10</v>
      </c>
      <c r="E24" s="14">
        <v>9.9717976337690217</v>
      </c>
      <c r="F24" s="14">
        <v>9.9900730557090593</v>
      </c>
      <c r="G24" s="14">
        <v>2.3258155017564749E-12</v>
      </c>
      <c r="H24" s="14">
        <v>0.64010123358913074</v>
      </c>
      <c r="I24" s="14">
        <v>1.1339053521849789</v>
      </c>
      <c r="J24" s="14">
        <v>0</v>
      </c>
      <c r="K24" s="14">
        <v>1.0009936808505386</v>
      </c>
      <c r="L24" s="14">
        <v>0.99900730557090589</v>
      </c>
      <c r="M24" s="14">
        <v>0.81968549422092829</v>
      </c>
      <c r="N24" s="14">
        <v>0</v>
      </c>
      <c r="O24" s="14">
        <v>0</v>
      </c>
      <c r="P24" s="8">
        <v>0</v>
      </c>
      <c r="Q24" s="54">
        <v>4.2303549172033827E-2</v>
      </c>
      <c r="T24" s="22"/>
      <c r="U24" s="22"/>
    </row>
    <row r="25" spans="1:21">
      <c r="A25" s="2" t="s">
        <v>327</v>
      </c>
      <c r="B25" s="16" t="s">
        <v>328</v>
      </c>
      <c r="D25" s="14">
        <v>10</v>
      </c>
      <c r="E25" s="14">
        <v>9.9999747586942505</v>
      </c>
      <c r="F25" s="14">
        <v>10.019579893764597</v>
      </c>
      <c r="G25" s="14">
        <v>4.1195672772557176E-31</v>
      </c>
      <c r="H25" s="14">
        <v>4.5328308461673295E-2</v>
      </c>
      <c r="I25" s="14">
        <v>3.4673930676865739E-4</v>
      </c>
      <c r="J25" s="14">
        <v>0</v>
      </c>
      <c r="K25" s="14">
        <v>0.99804583685421966</v>
      </c>
      <c r="L25" s="14">
        <v>1.0019579893764596</v>
      </c>
      <c r="M25" s="14">
        <v>0.82210653028338521</v>
      </c>
      <c r="N25" s="14">
        <v>0</v>
      </c>
      <c r="O25" s="14">
        <v>0</v>
      </c>
      <c r="P25" s="8">
        <v>0</v>
      </c>
      <c r="Q25" s="54">
        <v>3.7861958626075332E-5</v>
      </c>
      <c r="T25" s="22"/>
      <c r="U25" s="22"/>
    </row>
    <row r="26" spans="1:21">
      <c r="A26" s="2" t="s">
        <v>329</v>
      </c>
      <c r="B26" s="16" t="s">
        <v>330</v>
      </c>
      <c r="D26" s="14">
        <v>10</v>
      </c>
      <c r="E26" s="14">
        <v>9.9634292561053197</v>
      </c>
      <c r="F26" s="14">
        <v>9.9824669910399013</v>
      </c>
      <c r="G26" s="14">
        <v>2.6157508220480974E-14</v>
      </c>
      <c r="H26" s="14">
        <v>0.22098758852186609</v>
      </c>
      <c r="I26" s="14">
        <v>0.95592771581042402</v>
      </c>
      <c r="J26" s="14">
        <v>0</v>
      </c>
      <c r="K26" s="14">
        <v>1.0017563803592675</v>
      </c>
      <c r="L26" s="14">
        <v>0.99824669910399011</v>
      </c>
      <c r="M26" s="14">
        <v>0.8190614166148239</v>
      </c>
      <c r="N26" s="14">
        <v>0</v>
      </c>
      <c r="O26" s="14">
        <v>0</v>
      </c>
      <c r="P26" s="8">
        <v>0</v>
      </c>
      <c r="Q26" s="54">
        <v>5.4856115840058887E-2</v>
      </c>
    </row>
    <row r="27" spans="1:21">
      <c r="A27" s="2" t="s">
        <v>331</v>
      </c>
      <c r="B27" s="16" t="s">
        <v>332</v>
      </c>
      <c r="D27" s="14">
        <v>10</v>
      </c>
      <c r="E27" s="14">
        <v>9.7902110455380225</v>
      </c>
      <c r="F27" s="14">
        <v>9.7939227179243495</v>
      </c>
      <c r="G27" s="14">
        <v>3.2918888312443499E-10</v>
      </c>
      <c r="H27" s="14">
        <v>6.4212070339094947</v>
      </c>
      <c r="I27" s="14">
        <v>21.640826516482147</v>
      </c>
      <c r="J27" s="14">
        <v>0</v>
      </c>
      <c r="K27" s="14">
        <v>1.0210413424743998</v>
      </c>
      <c r="L27" s="14">
        <v>0.97939227179243493</v>
      </c>
      <c r="M27" s="14">
        <v>0.8035913590056929</v>
      </c>
      <c r="N27" s="14">
        <v>0</v>
      </c>
      <c r="O27" s="14">
        <v>0</v>
      </c>
      <c r="P27" s="8">
        <v>0</v>
      </c>
      <c r="Q27" s="54">
        <v>0.31468340700380137</v>
      </c>
    </row>
    <row r="28" spans="1:21">
      <c r="A28" s="2" t="s">
        <v>333</v>
      </c>
      <c r="B28" s="16" t="s">
        <v>334</v>
      </c>
      <c r="D28" s="14">
        <v>10</v>
      </c>
      <c r="E28" s="14">
        <v>9.9810799122919622</v>
      </c>
      <c r="F28" s="14">
        <v>10.000556902793823</v>
      </c>
      <c r="G28" s="14">
        <v>2.5620260704096621E-17</v>
      </c>
      <c r="H28" s="14">
        <v>6.4207267127424528E-2</v>
      </c>
      <c r="I28" s="14">
        <v>0.29951212222841911</v>
      </c>
      <c r="J28" s="14">
        <v>0</v>
      </c>
      <c r="K28" s="14">
        <v>0.99994431282185225</v>
      </c>
      <c r="L28" s="14">
        <v>1.0000556902793822</v>
      </c>
      <c r="M28" s="14">
        <v>0.82054569387423304</v>
      </c>
      <c r="N28" s="14">
        <v>0</v>
      </c>
      <c r="O28" s="14">
        <v>0</v>
      </c>
      <c r="P28" s="8">
        <v>0</v>
      </c>
      <c r="Q28" s="54">
        <v>2.8380131562056172E-2</v>
      </c>
    </row>
    <row r="29" spans="1:21">
      <c r="A29" s="2" t="s">
        <v>335</v>
      </c>
      <c r="B29" s="16" t="s">
        <v>336</v>
      </c>
      <c r="D29" s="14">
        <v>10</v>
      </c>
      <c r="E29" s="14">
        <v>9.9996918012757412</v>
      </c>
      <c r="F29" s="14">
        <v>9.8790826243095911</v>
      </c>
      <c r="G29" s="14">
        <v>1.3402030733217072E-13</v>
      </c>
      <c r="H29" s="14">
        <v>78.954450931599666</v>
      </c>
      <c r="I29" s="14">
        <v>8.7563293112221205E-2</v>
      </c>
      <c r="J29" s="14">
        <v>0</v>
      </c>
      <c r="K29" s="14">
        <v>1.0122397372599017</v>
      </c>
      <c r="L29" s="14">
        <v>0.98790826243095908</v>
      </c>
      <c r="M29" s="14">
        <v>0.81057872932460195</v>
      </c>
      <c r="N29" s="14">
        <v>0</v>
      </c>
      <c r="O29" s="14">
        <v>0</v>
      </c>
      <c r="P29" s="8">
        <v>0</v>
      </c>
      <c r="Q29" s="54">
        <v>4.6229807634107797E-4</v>
      </c>
    </row>
    <row r="30" spans="1:21">
      <c r="A30" s="2" t="s">
        <v>337</v>
      </c>
      <c r="B30" s="16" t="s">
        <v>338</v>
      </c>
      <c r="D30" s="14">
        <v>10</v>
      </c>
      <c r="E30" s="14">
        <v>9.8475361857826513</v>
      </c>
      <c r="F30" s="14">
        <v>2.3728484300688786</v>
      </c>
      <c r="G30" s="14">
        <v>6.5924881396791399E-18</v>
      </c>
      <c r="H30" s="14">
        <v>4118.2518633120471</v>
      </c>
      <c r="I30" s="14">
        <v>923.54495329916813</v>
      </c>
      <c r="J30" s="14">
        <v>0</v>
      </c>
      <c r="K30" s="14">
        <v>4.2143441921023683</v>
      </c>
      <c r="L30" s="14">
        <v>0.23728484300688785</v>
      </c>
      <c r="M30" s="14">
        <v>0.19469221368715148</v>
      </c>
      <c r="N30" s="14">
        <v>0</v>
      </c>
      <c r="O30" s="14">
        <v>0</v>
      </c>
      <c r="P30" s="8">
        <v>0</v>
      </c>
      <c r="Q30" s="54">
        <v>0.22869572132602381</v>
      </c>
    </row>
    <row r="31" spans="1:21">
      <c r="A31" s="2" t="s">
        <v>275</v>
      </c>
      <c r="B31" s="16" t="s">
        <v>339</v>
      </c>
      <c r="D31" s="14">
        <v>10</v>
      </c>
      <c r="E31" s="14">
        <v>8.043859545104457</v>
      </c>
      <c r="F31" s="14">
        <v>6.5652931475998111</v>
      </c>
      <c r="G31" s="14">
        <v>4.5275432771912259E-11</v>
      </c>
      <c r="H31" s="14">
        <v>672.40993651585165</v>
      </c>
      <c r="I31" s="14">
        <v>1562.0369156704326</v>
      </c>
      <c r="J31" s="14">
        <v>0</v>
      </c>
      <c r="K31" s="14">
        <v>1.5231612321311006</v>
      </c>
      <c r="L31" s="14">
        <v>0.65652931475998111</v>
      </c>
      <c r="M31" s="14">
        <v>0.5386823027605645</v>
      </c>
      <c r="N31" s="14">
        <v>0</v>
      </c>
      <c r="O31" s="14">
        <v>0</v>
      </c>
      <c r="P31" s="8">
        <v>0</v>
      </c>
      <c r="Q31" s="54">
        <v>2.9342106789476587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31"/>
  <sheetViews>
    <sheetView workbookViewId="0">
      <pane ySplit="1" topLeftCell="A2" activePane="bottomLeft" state="frozen"/>
      <selection pane="bottomLeft" activeCell="L31" sqref="L31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285</v>
      </c>
      <c r="B2" s="3" t="s">
        <v>286</v>
      </c>
      <c r="D2" s="20">
        <v>9.0153994232656399E-14</v>
      </c>
      <c r="E2" s="20">
        <v>0.98855082593438393</v>
      </c>
      <c r="F2" s="20">
        <v>4.6777389075888613E-4</v>
      </c>
      <c r="G2" s="20">
        <v>1.5705843461158629E-4</v>
      </c>
      <c r="H2" s="20">
        <v>0</v>
      </c>
      <c r="I2" s="20">
        <v>0.98792599360901345</v>
      </c>
      <c r="J2" s="20">
        <v>0</v>
      </c>
      <c r="K2" s="20">
        <v>1.1449174065525881E-2</v>
      </c>
      <c r="L2" s="20">
        <v>0</v>
      </c>
      <c r="N2" s="102"/>
    </row>
    <row r="3" spans="1:14">
      <c r="A3" s="2" t="s">
        <v>287</v>
      </c>
      <c r="B3" s="3" t="s">
        <v>288</v>
      </c>
      <c r="D3" s="20">
        <v>5.3935516721335903E-5</v>
      </c>
      <c r="E3" s="20">
        <v>0.88742281549131741</v>
      </c>
      <c r="F3" s="20">
        <v>3.2646288522147314E-2</v>
      </c>
      <c r="G3" s="20">
        <v>9.1818325852148323E-3</v>
      </c>
      <c r="H3" s="20">
        <v>0</v>
      </c>
      <c r="I3" s="20">
        <v>0.84559469438395529</v>
      </c>
      <c r="J3" s="20">
        <v>0</v>
      </c>
      <c r="K3" s="20">
        <v>0.11252324899196128</v>
      </c>
      <c r="L3" s="20">
        <v>0</v>
      </c>
      <c r="N3" s="102"/>
    </row>
    <row r="4" spans="1:14">
      <c r="A4" s="2" t="s">
        <v>289</v>
      </c>
      <c r="B4" s="3" t="s">
        <v>290</v>
      </c>
      <c r="D4" s="20">
        <v>5.0995836415641566E-4</v>
      </c>
      <c r="E4" s="20">
        <v>0.76479595943927037</v>
      </c>
      <c r="F4" s="20">
        <v>0.44085288788854649</v>
      </c>
      <c r="G4" s="20">
        <v>9.3022765244026334E-2</v>
      </c>
      <c r="H4" s="20">
        <v>0</v>
      </c>
      <c r="I4" s="20">
        <v>0.23092030630669758</v>
      </c>
      <c r="J4" s="20">
        <v>0</v>
      </c>
      <c r="K4" s="20">
        <v>0.23469408219657301</v>
      </c>
      <c r="L4" s="20">
        <v>0</v>
      </c>
      <c r="N4" s="102"/>
    </row>
    <row r="5" spans="1:14">
      <c r="A5" s="2" t="s">
        <v>291</v>
      </c>
      <c r="B5" s="3" t="s">
        <v>292</v>
      </c>
      <c r="D5" s="20">
        <v>6.6986939967484081E-18</v>
      </c>
      <c r="E5" s="20">
        <v>0.99993112690604169</v>
      </c>
      <c r="F5" s="20">
        <v>2.1989470816218062E-3</v>
      </c>
      <c r="G5" s="20">
        <v>1.7617192486016962E-6</v>
      </c>
      <c r="H5" s="20">
        <v>0</v>
      </c>
      <c r="I5" s="20">
        <v>0.99773041810517127</v>
      </c>
      <c r="J5" s="20">
        <v>0</v>
      </c>
      <c r="K5" s="20">
        <v>6.8873093958413616E-5</v>
      </c>
      <c r="L5" s="20">
        <v>0</v>
      </c>
      <c r="N5" s="102"/>
    </row>
    <row r="6" spans="1:14">
      <c r="A6" s="2" t="s">
        <v>278</v>
      </c>
      <c r="B6" s="3" t="s">
        <v>279</v>
      </c>
      <c r="D6" s="20">
        <v>1.3363993835241932E-4</v>
      </c>
      <c r="E6" s="20">
        <v>0.89483870084953909</v>
      </c>
      <c r="F6" s="20">
        <v>0.68280271194330633</v>
      </c>
      <c r="G6" s="20">
        <v>0.1981485016888537</v>
      </c>
      <c r="H6" s="20">
        <v>0</v>
      </c>
      <c r="I6" s="20">
        <v>1.3887487217379013E-2</v>
      </c>
      <c r="J6" s="20">
        <v>0</v>
      </c>
      <c r="K6" s="20">
        <v>0.10502765921210869</v>
      </c>
      <c r="L6" s="20">
        <v>0</v>
      </c>
    </row>
    <row r="7" spans="1:14">
      <c r="A7" s="2" t="s">
        <v>293</v>
      </c>
      <c r="B7" s="3" t="s">
        <v>294</v>
      </c>
      <c r="D7" s="20">
        <v>1.412661553657464E-18</v>
      </c>
      <c r="E7" s="20">
        <v>0.999998261376153</v>
      </c>
      <c r="F7" s="20">
        <v>8.5388050208243565E-6</v>
      </c>
      <c r="G7" s="20">
        <v>1.191496411053323E-8</v>
      </c>
      <c r="H7" s="20">
        <v>0</v>
      </c>
      <c r="I7" s="20">
        <v>0.99998971065616804</v>
      </c>
      <c r="J7" s="20">
        <v>0</v>
      </c>
      <c r="K7" s="20">
        <v>1.7386238469594095E-6</v>
      </c>
      <c r="L7" s="20">
        <v>0</v>
      </c>
    </row>
    <row r="8" spans="1:14">
      <c r="A8" s="2" t="s">
        <v>295</v>
      </c>
      <c r="B8" s="3" t="s">
        <v>296</v>
      </c>
      <c r="D8" s="20">
        <v>7.8243998666395126E-9</v>
      </c>
      <c r="E8" s="20">
        <v>0.97305827084431118</v>
      </c>
      <c r="F8" s="20">
        <v>1.9470683617608896E-3</v>
      </c>
      <c r="G8" s="20">
        <v>6.7532440740486195E-4</v>
      </c>
      <c r="H8" s="20">
        <v>0</v>
      </c>
      <c r="I8" s="20">
        <v>0.97043587807514542</v>
      </c>
      <c r="J8" s="20">
        <v>0</v>
      </c>
      <c r="K8" s="20">
        <v>2.6941721331288897E-2</v>
      </c>
      <c r="L8" s="20">
        <v>0</v>
      </c>
    </row>
    <row r="9" spans="1:14">
      <c r="A9" s="2" t="s">
        <v>297</v>
      </c>
      <c r="B9" s="3" t="s">
        <v>298</v>
      </c>
      <c r="D9" s="20">
        <v>5.4911344795002286E-8</v>
      </c>
      <c r="E9" s="20">
        <v>0.93007542416891731</v>
      </c>
      <c r="F9" s="20">
        <v>0.21989788413302072</v>
      </c>
      <c r="G9" s="20">
        <v>0.70911489189828192</v>
      </c>
      <c r="H9" s="20">
        <v>0</v>
      </c>
      <c r="I9" s="20">
        <v>1.0626481376146476E-3</v>
      </c>
      <c r="J9" s="20">
        <v>0</v>
      </c>
      <c r="K9" s="20">
        <v>6.9924520919737887E-2</v>
      </c>
      <c r="L9" s="20">
        <v>0</v>
      </c>
    </row>
    <row r="10" spans="1:14">
      <c r="A10" s="2" t="s">
        <v>299</v>
      </c>
      <c r="B10" s="3" t="s">
        <v>300</v>
      </c>
      <c r="D10" s="20">
        <v>2.8127536958939952E-5</v>
      </c>
      <c r="E10" s="20">
        <v>0.84590859814912422</v>
      </c>
      <c r="F10" s="20">
        <v>6.5567809473405111E-2</v>
      </c>
      <c r="G10" s="20">
        <v>1.7385461761453804E-2</v>
      </c>
      <c r="H10" s="20">
        <v>0</v>
      </c>
      <c r="I10" s="20">
        <v>0.76295532691426526</v>
      </c>
      <c r="J10" s="20">
        <v>0</v>
      </c>
      <c r="K10" s="20">
        <v>0.15406327431391681</v>
      </c>
      <c r="L10" s="20">
        <v>0</v>
      </c>
    </row>
    <row r="11" spans="1:14">
      <c r="A11" s="2" t="s">
        <v>301</v>
      </c>
      <c r="B11" s="3" t="s">
        <v>302</v>
      </c>
      <c r="D11" s="20">
        <v>1.8007243675763322E-17</v>
      </c>
      <c r="E11" s="20">
        <v>0.88021162838578826</v>
      </c>
      <c r="F11" s="20">
        <v>3.7342742699934352E-2</v>
      </c>
      <c r="G11" s="20">
        <v>1.0387278301768641E-2</v>
      </c>
      <c r="H11" s="20">
        <v>0</v>
      </c>
      <c r="I11" s="20">
        <v>0.83248160738408528</v>
      </c>
      <c r="J11" s="20">
        <v>0</v>
      </c>
      <c r="K11" s="20">
        <v>0.1197883716142118</v>
      </c>
      <c r="L11" s="20">
        <v>0</v>
      </c>
    </row>
    <row r="12" spans="1:14">
      <c r="A12" s="2" t="s">
        <v>303</v>
      </c>
      <c r="B12" s="3" t="s">
        <v>304</v>
      </c>
      <c r="D12" s="20">
        <v>2.5167377465651741E-29</v>
      </c>
      <c r="E12" s="20">
        <v>0.94321869332123753</v>
      </c>
      <c r="F12" s="20">
        <v>8.0315049904212694E-3</v>
      </c>
      <c r="G12" s="20">
        <v>2.5228561535149941E-3</v>
      </c>
      <c r="H12" s="20">
        <v>0</v>
      </c>
      <c r="I12" s="20">
        <v>0.93266433217730127</v>
      </c>
      <c r="J12" s="20">
        <v>0</v>
      </c>
      <c r="K12" s="20">
        <v>5.6781306678762293E-2</v>
      </c>
      <c r="L12" s="20">
        <v>0</v>
      </c>
    </row>
    <row r="13" spans="1:14">
      <c r="A13" s="2" t="s">
        <v>305</v>
      </c>
      <c r="B13" s="3" t="s">
        <v>306</v>
      </c>
      <c r="D13" s="20">
        <v>5.6275945112974164E-8</v>
      </c>
      <c r="E13" s="20">
        <v>0.89439354887819356</v>
      </c>
      <c r="F13" s="20">
        <v>0.53973647471033726</v>
      </c>
      <c r="G13" s="20">
        <v>0.34783823883317938</v>
      </c>
      <c r="H13" s="20">
        <v>0</v>
      </c>
      <c r="I13" s="20">
        <v>6.8188353346769004E-3</v>
      </c>
      <c r="J13" s="20">
        <v>0</v>
      </c>
      <c r="K13" s="20">
        <v>0.1056063948458613</v>
      </c>
      <c r="L13" s="20">
        <v>0</v>
      </c>
    </row>
    <row r="14" spans="1:14">
      <c r="A14" s="2" t="s">
        <v>307</v>
      </c>
      <c r="B14" s="3" t="s">
        <v>308</v>
      </c>
      <c r="D14" s="20">
        <v>1.9340348701632037E-9</v>
      </c>
      <c r="E14" s="20">
        <v>0.34047153689450688</v>
      </c>
      <c r="F14" s="20">
        <v>0.16520503175860302</v>
      </c>
      <c r="G14" s="20">
        <v>3.6100966258777074E-2</v>
      </c>
      <c r="H14" s="20">
        <v>0</v>
      </c>
      <c r="I14" s="20">
        <v>0.13916553887712679</v>
      </c>
      <c r="J14" s="20">
        <v>0</v>
      </c>
      <c r="K14" s="20">
        <v>0.11041592618563605</v>
      </c>
      <c r="L14" s="20">
        <v>0.54911253498582224</v>
      </c>
    </row>
    <row r="15" spans="1:14">
      <c r="A15" s="2" t="s">
        <v>309</v>
      </c>
      <c r="B15" s="3" t="s">
        <v>310</v>
      </c>
      <c r="D15" s="20">
        <v>2.1358384391869747E-4</v>
      </c>
      <c r="E15" s="20">
        <v>0.83270204901725309</v>
      </c>
      <c r="F15" s="20">
        <v>0.63610289055652935</v>
      </c>
      <c r="G15" s="20">
        <v>0.12039901237779484</v>
      </c>
      <c r="H15" s="20">
        <v>0</v>
      </c>
      <c r="I15" s="20">
        <v>7.6200146082928882E-2</v>
      </c>
      <c r="J15" s="20">
        <v>0</v>
      </c>
      <c r="K15" s="20">
        <v>0.1670843671388284</v>
      </c>
      <c r="L15" s="20">
        <v>0</v>
      </c>
    </row>
    <row r="16" spans="1:14">
      <c r="A16" s="2" t="s">
        <v>311</v>
      </c>
      <c r="B16" s="3" t="s">
        <v>312</v>
      </c>
      <c r="D16" s="20">
        <v>2.574946729846879E-19</v>
      </c>
      <c r="E16" s="20">
        <v>0.99994417450140749</v>
      </c>
      <c r="F16" s="20">
        <v>5.5762791793491188E-2</v>
      </c>
      <c r="G16" s="20">
        <v>5.4115255962807532E-6</v>
      </c>
      <c r="H16" s="20">
        <v>0</v>
      </c>
      <c r="I16" s="20">
        <v>0.94417597118232</v>
      </c>
      <c r="J16" s="20">
        <v>0</v>
      </c>
      <c r="K16" s="20">
        <v>5.5825498592618494E-5</v>
      </c>
      <c r="L16" s="20">
        <v>0</v>
      </c>
    </row>
    <row r="17" spans="1:12">
      <c r="A17" s="2" t="s">
        <v>313</v>
      </c>
      <c r="B17" s="3" t="s">
        <v>314</v>
      </c>
      <c r="D17" s="20">
        <v>1.231093811466645E-20</v>
      </c>
      <c r="E17" s="20">
        <v>0.99938729110131275</v>
      </c>
      <c r="F17" s="20">
        <v>0.97650763657986883</v>
      </c>
      <c r="G17" s="20">
        <v>1.0340494174425076E-3</v>
      </c>
      <c r="H17" s="20">
        <v>0</v>
      </c>
      <c r="I17" s="20">
        <v>2.1845605104001454E-2</v>
      </c>
      <c r="J17" s="20">
        <v>0</v>
      </c>
      <c r="K17" s="20">
        <v>6.1270889868719281E-4</v>
      </c>
      <c r="L17" s="20">
        <v>0</v>
      </c>
    </row>
    <row r="18" spans="1:12">
      <c r="A18" s="2" t="s">
        <v>315</v>
      </c>
      <c r="B18" s="165">
        <v>354656</v>
      </c>
      <c r="D18" s="20">
        <v>2.0797374721142026E-10</v>
      </c>
      <c r="E18" s="20">
        <v>0.98624134619314452</v>
      </c>
      <c r="F18" s="20">
        <v>5.0299942387361835E-4</v>
      </c>
      <c r="G18" s="20">
        <v>1.9456424942063594E-4</v>
      </c>
      <c r="H18" s="20">
        <v>0</v>
      </c>
      <c r="I18" s="20">
        <v>0.98554378251985031</v>
      </c>
      <c r="J18" s="20">
        <v>0</v>
      </c>
      <c r="K18" s="20">
        <v>1.3758653598881659E-2</v>
      </c>
      <c r="L18" s="20">
        <v>0</v>
      </c>
    </row>
    <row r="19" spans="1:12">
      <c r="A19" s="2" t="s">
        <v>317</v>
      </c>
      <c r="B19" s="3" t="s">
        <v>318</v>
      </c>
      <c r="D19" s="20">
        <v>3.1421751917605603E-10</v>
      </c>
      <c r="E19" s="20">
        <v>0.9717509864221392</v>
      </c>
      <c r="F19" s="20">
        <v>2.1140482305245802E-3</v>
      </c>
      <c r="G19" s="20">
        <v>7.2994542168411944E-4</v>
      </c>
      <c r="H19" s="20">
        <v>0</v>
      </c>
      <c r="I19" s="20">
        <v>0.96890699276993053</v>
      </c>
      <c r="J19" s="20">
        <v>0</v>
      </c>
      <c r="K19" s="20">
        <v>2.8249013263643204E-2</v>
      </c>
      <c r="L19" s="20">
        <v>0</v>
      </c>
    </row>
    <row r="20" spans="1:12">
      <c r="A20" s="2" t="s">
        <v>284</v>
      </c>
      <c r="B20" s="3" t="s">
        <v>276</v>
      </c>
      <c r="D20" s="20">
        <v>1.6152220836175093E-7</v>
      </c>
      <c r="E20" s="20">
        <v>0.99699154234417142</v>
      </c>
      <c r="F20" s="20">
        <v>0.80188592058767794</v>
      </c>
      <c r="G20" s="20">
        <v>1.6323289833513365E-3</v>
      </c>
      <c r="H20" s="20">
        <v>0</v>
      </c>
      <c r="I20" s="20">
        <v>0.19347329277314212</v>
      </c>
      <c r="J20" s="20">
        <v>0</v>
      </c>
      <c r="K20" s="20">
        <v>3.0082961336202474E-3</v>
      </c>
      <c r="L20" s="20">
        <v>0</v>
      </c>
    </row>
    <row r="21" spans="1:12">
      <c r="A21" s="2" t="s">
        <v>319</v>
      </c>
      <c r="B21" s="3" t="s">
        <v>320</v>
      </c>
      <c r="D21" s="20">
        <v>5.0603323506792816E-20</v>
      </c>
      <c r="E21" s="20">
        <v>0.87754733914240179</v>
      </c>
      <c r="F21" s="20">
        <v>0.71148728018314267</v>
      </c>
      <c r="G21" s="20">
        <v>0.1245246509533483</v>
      </c>
      <c r="H21" s="20">
        <v>0</v>
      </c>
      <c r="I21" s="20">
        <v>4.1535408005910796E-2</v>
      </c>
      <c r="J21" s="20">
        <v>0</v>
      </c>
      <c r="K21" s="20">
        <v>0.12245266085759825</v>
      </c>
      <c r="L21" s="20">
        <v>0</v>
      </c>
    </row>
    <row r="22" spans="1:12">
      <c r="A22" s="2" t="s">
        <v>321</v>
      </c>
      <c r="B22" s="3" t="s">
        <v>322</v>
      </c>
      <c r="D22" s="20">
        <v>6.103629583734185E-10</v>
      </c>
      <c r="E22" s="20">
        <v>0.99997503080119376</v>
      </c>
      <c r="F22" s="20">
        <v>4.4230262380596772E-6</v>
      </c>
      <c r="G22" s="20">
        <v>1.2819795498463664E-7</v>
      </c>
      <c r="H22" s="20">
        <v>0</v>
      </c>
      <c r="I22" s="20">
        <v>0.99997047957700069</v>
      </c>
      <c r="J22" s="20">
        <v>0</v>
      </c>
      <c r="K22" s="20">
        <v>2.4968588443441993E-5</v>
      </c>
      <c r="L22" s="20">
        <v>0</v>
      </c>
    </row>
    <row r="23" spans="1:12">
      <c r="A23" s="2" t="s">
        <v>323</v>
      </c>
      <c r="B23" s="3" t="s">
        <v>324</v>
      </c>
      <c r="D23" s="20">
        <v>1.6242039680041104E-12</v>
      </c>
      <c r="E23" s="20">
        <v>0.99146818752800692</v>
      </c>
      <c r="F23" s="20">
        <v>3.0249787740840191E-2</v>
      </c>
      <c r="G23" s="20">
        <v>1.5035864645368661E-3</v>
      </c>
      <c r="H23" s="20">
        <v>0</v>
      </c>
      <c r="I23" s="20">
        <v>0.95971481332262987</v>
      </c>
      <c r="J23" s="20">
        <v>0</v>
      </c>
      <c r="K23" s="20">
        <v>8.5318124703686535E-3</v>
      </c>
      <c r="L23" s="20">
        <v>0</v>
      </c>
    </row>
    <row r="24" spans="1:12">
      <c r="A24" s="2" t="s">
        <v>325</v>
      </c>
      <c r="B24" s="3" t="s">
        <v>326</v>
      </c>
      <c r="D24" s="20">
        <v>1.1629077508782374E-11</v>
      </c>
      <c r="E24" s="20">
        <v>0.99717976337690195</v>
      </c>
      <c r="F24" s="20">
        <v>1.1350268282477441E-4</v>
      </c>
      <c r="G24" s="20">
        <v>2.1715640962269356E-5</v>
      </c>
      <c r="H24" s="20">
        <v>0</v>
      </c>
      <c r="I24" s="20">
        <v>0.99704454505311491</v>
      </c>
      <c r="J24" s="20">
        <v>0</v>
      </c>
      <c r="K24" s="20">
        <v>2.8202366114689218E-3</v>
      </c>
      <c r="L24" s="20">
        <v>0</v>
      </c>
    </row>
    <row r="25" spans="1:12">
      <c r="A25" s="2" t="s">
        <v>327</v>
      </c>
      <c r="B25" s="3" t="s">
        <v>328</v>
      </c>
      <c r="D25" s="20">
        <v>2.0597836386278587E-30</v>
      </c>
      <c r="E25" s="20">
        <v>0.99999747586942489</v>
      </c>
      <c r="F25" s="20">
        <v>8.0376108470543109E-6</v>
      </c>
      <c r="G25" s="20">
        <v>6.6404716044289302E-9</v>
      </c>
      <c r="H25" s="20">
        <v>0</v>
      </c>
      <c r="I25" s="20">
        <v>0.99998943161810627</v>
      </c>
      <c r="J25" s="20">
        <v>0</v>
      </c>
      <c r="K25" s="20">
        <v>2.5241305750716888E-6</v>
      </c>
      <c r="L25" s="20">
        <v>0</v>
      </c>
    </row>
    <row r="26" spans="1:12">
      <c r="A26" s="2" t="s">
        <v>329</v>
      </c>
      <c r="B26" s="3" t="s">
        <v>330</v>
      </c>
      <c r="D26" s="20">
        <v>1.3078754110240487E-13</v>
      </c>
      <c r="E26" s="20">
        <v>0.99634292561053184</v>
      </c>
      <c r="F26" s="20">
        <v>3.9185495749738304E-5</v>
      </c>
      <c r="G26" s="20">
        <v>1.8307156785547113E-5</v>
      </c>
      <c r="H26" s="20">
        <v>0</v>
      </c>
      <c r="I26" s="20">
        <v>0.99628543295799654</v>
      </c>
      <c r="J26" s="20">
        <v>0</v>
      </c>
      <c r="K26" s="20">
        <v>3.6570743893372588E-3</v>
      </c>
      <c r="L26" s="20">
        <v>0</v>
      </c>
    </row>
    <row r="27" spans="1:12">
      <c r="A27" s="2" t="s">
        <v>331</v>
      </c>
      <c r="B27" s="3" t="s">
        <v>332</v>
      </c>
      <c r="D27" s="20">
        <v>1.6459444156221746E-9</v>
      </c>
      <c r="E27" s="20">
        <v>0.97902110455380209</v>
      </c>
      <c r="F27" s="20">
        <v>1.1386077499576557E-3</v>
      </c>
      <c r="G27" s="20">
        <v>4.1444765901591798E-4</v>
      </c>
      <c r="H27" s="20">
        <v>0</v>
      </c>
      <c r="I27" s="20">
        <v>0.97746804914482854</v>
      </c>
      <c r="J27" s="20">
        <v>0</v>
      </c>
      <c r="K27" s="20">
        <v>2.0978893800253421E-2</v>
      </c>
      <c r="L27" s="20">
        <v>0</v>
      </c>
    </row>
    <row r="28" spans="1:12">
      <c r="A28" s="2" t="s">
        <v>333</v>
      </c>
      <c r="B28" s="3" t="s">
        <v>334</v>
      </c>
      <c r="D28" s="20">
        <v>1.281013035204831E-16</v>
      </c>
      <c r="E28" s="20">
        <v>0.99810799122919602</v>
      </c>
      <c r="F28" s="20">
        <v>1.1385225794592782E-5</v>
      </c>
      <c r="G28" s="20">
        <v>5.7360146485124291E-6</v>
      </c>
      <c r="H28" s="20">
        <v>0</v>
      </c>
      <c r="I28" s="20">
        <v>0.99809086998875296</v>
      </c>
      <c r="J28" s="20">
        <v>0</v>
      </c>
      <c r="K28" s="20">
        <v>1.8920087708037445E-3</v>
      </c>
      <c r="L28" s="20">
        <v>0</v>
      </c>
    </row>
    <row r="29" spans="1:12">
      <c r="A29" s="2" t="s">
        <v>335</v>
      </c>
      <c r="B29" s="3" t="s">
        <v>336</v>
      </c>
      <c r="D29" s="20">
        <v>6.7010153666085356E-13</v>
      </c>
      <c r="E29" s="20">
        <v>0.99996918012757385</v>
      </c>
      <c r="F29" s="20">
        <v>1.4000194862061182E-2</v>
      </c>
      <c r="G29" s="20">
        <v>1.676941581618666E-6</v>
      </c>
      <c r="H29" s="20">
        <v>0</v>
      </c>
      <c r="I29" s="20">
        <v>0.98596730832393109</v>
      </c>
      <c r="J29" s="20">
        <v>0</v>
      </c>
      <c r="K29" s="20">
        <v>3.0819871756071861E-5</v>
      </c>
      <c r="L29" s="20">
        <v>0</v>
      </c>
    </row>
    <row r="30" spans="1:12">
      <c r="A30" s="2" t="s">
        <v>337</v>
      </c>
      <c r="B30" s="3" t="s">
        <v>338</v>
      </c>
      <c r="D30" s="20">
        <v>3.29624406983957E-17</v>
      </c>
      <c r="E30" s="20">
        <v>0.98475361857826493</v>
      </c>
      <c r="F30" s="20">
        <v>0.73024798345269226</v>
      </c>
      <c r="G30" s="20">
        <v>1.7686988230291759E-2</v>
      </c>
      <c r="H30" s="20">
        <v>0</v>
      </c>
      <c r="I30" s="20">
        <v>0.23681864689528087</v>
      </c>
      <c r="J30" s="20">
        <v>0</v>
      </c>
      <c r="K30" s="20">
        <v>1.5246381421734919E-2</v>
      </c>
      <c r="L30" s="20">
        <v>0</v>
      </c>
    </row>
    <row r="31" spans="1:12">
      <c r="A31" s="2" t="s">
        <v>275</v>
      </c>
      <c r="B31" s="3" t="s">
        <v>339</v>
      </c>
      <c r="D31" s="20">
        <v>2.2637716385956129E-10</v>
      </c>
      <c r="E31" s="20">
        <v>0.80438595451044559</v>
      </c>
      <c r="F31" s="20">
        <v>0.11923165859976148</v>
      </c>
      <c r="G31" s="20">
        <v>2.9914871435386004E-2</v>
      </c>
      <c r="H31" s="20">
        <v>0</v>
      </c>
      <c r="I31" s="20">
        <v>0.65523942447529815</v>
      </c>
      <c r="J31" s="20">
        <v>0</v>
      </c>
      <c r="K31" s="20">
        <v>0.19561404526317724</v>
      </c>
      <c r="L31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31"/>
  <sheetViews>
    <sheetView workbookViewId="0">
      <pane ySplit="1" topLeftCell="A2" activePane="bottomLeft" state="frozen"/>
      <selection pane="bottomLeft" activeCell="K31" sqref="K31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285</v>
      </c>
      <c r="B2" s="3" t="s">
        <v>286</v>
      </c>
      <c r="D2" s="14">
        <v>2.7046198269796918E-16</v>
      </c>
      <c r="E2" s="14">
        <v>2.9637779808270406E-3</v>
      </c>
      <c r="F2" s="14">
        <v>1.4033216722766584E-6</v>
      </c>
      <c r="G2" s="14">
        <v>4.7117530383475888E-7</v>
      </c>
      <c r="H2" s="14">
        <v>0</v>
      </c>
      <c r="I2" s="14">
        <v>0</v>
      </c>
      <c r="J2" s="14">
        <v>3.4347522196577648E-5</v>
      </c>
      <c r="K2" s="14">
        <v>0</v>
      </c>
      <c r="L2" s="21"/>
      <c r="M2" s="102"/>
    </row>
    <row r="3" spans="1:23">
      <c r="A3" s="2" t="s">
        <v>287</v>
      </c>
      <c r="B3" s="3" t="s">
        <v>288</v>
      </c>
      <c r="D3" s="14">
        <v>1.618065501640077E-7</v>
      </c>
      <c r="E3" s="14">
        <v>2.5367840831518659E-3</v>
      </c>
      <c r="F3" s="14">
        <v>9.793886556644195E-5</v>
      </c>
      <c r="G3" s="14">
        <v>2.7545497755644493E-5</v>
      </c>
      <c r="H3" s="14">
        <v>0</v>
      </c>
      <c r="I3" s="14">
        <v>0</v>
      </c>
      <c r="J3" s="14">
        <v>3.3756974697588384E-4</v>
      </c>
      <c r="K3" s="14">
        <v>0</v>
      </c>
      <c r="L3" s="21"/>
      <c r="M3" s="102"/>
    </row>
    <row r="4" spans="1:23">
      <c r="A4" s="2" t="s">
        <v>289</v>
      </c>
      <c r="B4" s="3" t="s">
        <v>290</v>
      </c>
      <c r="D4" s="14">
        <v>1.529875092469247E-6</v>
      </c>
      <c r="E4" s="14">
        <v>6.9276091892009274E-4</v>
      </c>
      <c r="F4" s="14">
        <v>1.3225586636656393E-3</v>
      </c>
      <c r="G4" s="14">
        <v>2.7906829573207901E-4</v>
      </c>
      <c r="H4" s="14">
        <v>0</v>
      </c>
      <c r="I4" s="14">
        <v>0</v>
      </c>
      <c r="J4" s="14">
        <v>7.0408224658971899E-4</v>
      </c>
      <c r="K4" s="14">
        <v>0</v>
      </c>
      <c r="L4" s="21"/>
    </row>
    <row r="5" spans="1:23">
      <c r="A5" s="2" t="s">
        <v>291</v>
      </c>
      <c r="B5" s="3" t="s">
        <v>292</v>
      </c>
      <c r="D5" s="14">
        <v>2.0096081990245225E-20</v>
      </c>
      <c r="E5" s="14">
        <v>2.9931912543155136E-3</v>
      </c>
      <c r="F5" s="14">
        <v>6.596841244865418E-6</v>
      </c>
      <c r="G5" s="14">
        <v>5.285157745805088E-9</v>
      </c>
      <c r="H5" s="14">
        <v>0</v>
      </c>
      <c r="I5" s="14">
        <v>0</v>
      </c>
      <c r="J5" s="14">
        <v>2.0661928187524086E-7</v>
      </c>
      <c r="K5" s="14">
        <v>0</v>
      </c>
      <c r="L5" s="21"/>
    </row>
    <row r="6" spans="1:23">
      <c r="A6" s="2" t="s">
        <v>278</v>
      </c>
      <c r="B6" s="3" t="s">
        <v>279</v>
      </c>
      <c r="D6" s="14">
        <v>4.0091981505725798E-7</v>
      </c>
      <c r="E6" s="14">
        <v>4.1662461652137039E-5</v>
      </c>
      <c r="F6" s="14">
        <v>2.0484081358299192E-3</v>
      </c>
      <c r="G6" s="14">
        <v>5.9444550506656114E-4</v>
      </c>
      <c r="H6" s="14">
        <v>0</v>
      </c>
      <c r="I6" s="14">
        <v>0</v>
      </c>
      <c r="J6" s="14">
        <v>3.1508297763632606E-4</v>
      </c>
      <c r="K6" s="14">
        <v>0</v>
      </c>
      <c r="L6" s="21"/>
      <c r="M6" s="12"/>
    </row>
    <row r="7" spans="1:23">
      <c r="A7" s="2" t="s">
        <v>293</v>
      </c>
      <c r="B7" s="3" t="s">
        <v>294</v>
      </c>
      <c r="D7" s="14">
        <v>4.2379846609723914E-21</v>
      </c>
      <c r="E7" s="14">
        <v>2.9999691319685042E-3</v>
      </c>
      <c r="F7" s="14">
        <v>2.561641506247307E-8</v>
      </c>
      <c r="G7" s="14">
        <v>3.574489233159969E-11</v>
      </c>
      <c r="H7" s="14">
        <v>0</v>
      </c>
      <c r="I7" s="14">
        <v>0</v>
      </c>
      <c r="J7" s="14">
        <v>5.2158715408782283E-9</v>
      </c>
      <c r="K7" s="14">
        <v>0</v>
      </c>
      <c r="L7" s="21"/>
      <c r="M7" s="12"/>
    </row>
    <row r="8" spans="1:23">
      <c r="A8" s="2" t="s">
        <v>295</v>
      </c>
      <c r="B8" s="3" t="s">
        <v>296</v>
      </c>
      <c r="D8" s="14">
        <v>2.3473199599918538E-11</v>
      </c>
      <c r="E8" s="14">
        <v>2.9113076342254362E-3</v>
      </c>
      <c r="F8" s="14">
        <v>5.8412050852826691E-6</v>
      </c>
      <c r="G8" s="14">
        <v>2.0259732222145859E-6</v>
      </c>
      <c r="H8" s="14">
        <v>0</v>
      </c>
      <c r="I8" s="14">
        <v>0</v>
      </c>
      <c r="J8" s="14">
        <v>8.082516399386669E-5</v>
      </c>
      <c r="K8" s="14">
        <v>0</v>
      </c>
      <c r="L8" s="21"/>
      <c r="M8" s="12"/>
    </row>
    <row r="9" spans="1:23">
      <c r="A9" s="2" t="s">
        <v>297</v>
      </c>
      <c r="B9" s="3" t="s">
        <v>298</v>
      </c>
      <c r="D9" s="14">
        <v>1.6473403438500685E-10</v>
      </c>
      <c r="E9" s="14">
        <v>3.1879444128439427E-6</v>
      </c>
      <c r="F9" s="14">
        <v>6.5969365239906212E-4</v>
      </c>
      <c r="G9" s="14">
        <v>2.1273446756948458E-3</v>
      </c>
      <c r="H9" s="14">
        <v>0</v>
      </c>
      <c r="I9" s="14">
        <v>0</v>
      </c>
      <c r="J9" s="14">
        <v>2.0977356275921364E-4</v>
      </c>
      <c r="K9" s="14">
        <v>0</v>
      </c>
      <c r="L9" s="21"/>
      <c r="M9" s="12"/>
    </row>
    <row r="10" spans="1:23">
      <c r="A10" s="2" t="s">
        <v>299</v>
      </c>
      <c r="B10" s="3" t="s">
        <v>300</v>
      </c>
      <c r="D10" s="14">
        <v>8.438261087681985E-8</v>
      </c>
      <c r="E10" s="14">
        <v>2.2888659807427957E-3</v>
      </c>
      <c r="F10" s="14">
        <v>1.9670342842021535E-4</v>
      </c>
      <c r="G10" s="14">
        <v>5.2156385284361415E-5</v>
      </c>
      <c r="H10" s="14">
        <v>0</v>
      </c>
      <c r="I10" s="14">
        <v>0</v>
      </c>
      <c r="J10" s="14">
        <v>4.6218982294175039E-4</v>
      </c>
      <c r="K10" s="14">
        <v>0</v>
      </c>
      <c r="L10" s="21"/>
      <c r="M10" s="12"/>
    </row>
    <row r="11" spans="1:23">
      <c r="A11" s="2" t="s">
        <v>301</v>
      </c>
      <c r="B11" s="3" t="s">
        <v>302</v>
      </c>
      <c r="D11" s="14">
        <v>5.4021731027289968E-20</v>
      </c>
      <c r="E11" s="14">
        <v>2.4974448221522557E-3</v>
      </c>
      <c r="F11" s="14">
        <v>1.1202822809980305E-4</v>
      </c>
      <c r="G11" s="14">
        <v>3.1161834905305924E-5</v>
      </c>
      <c r="H11" s="14">
        <v>0</v>
      </c>
      <c r="I11" s="14">
        <v>0</v>
      </c>
      <c r="J11" s="14">
        <v>3.593651148426354E-4</v>
      </c>
      <c r="K11" s="14">
        <v>0</v>
      </c>
      <c r="L11" s="21"/>
      <c r="M11" s="12"/>
    </row>
    <row r="12" spans="1:23">
      <c r="A12" s="2" t="s">
        <v>303</v>
      </c>
      <c r="B12" s="3" t="s">
        <v>304</v>
      </c>
      <c r="D12" s="14">
        <v>7.5502132396955226E-32</v>
      </c>
      <c r="E12" s="14">
        <v>2.7979929965319039E-3</v>
      </c>
      <c r="F12" s="14">
        <v>2.409451497126381E-5</v>
      </c>
      <c r="G12" s="14">
        <v>7.5685684605449829E-6</v>
      </c>
      <c r="H12" s="14">
        <v>0</v>
      </c>
      <c r="I12" s="14">
        <v>0</v>
      </c>
      <c r="J12" s="14">
        <v>1.7034392003628687E-4</v>
      </c>
      <c r="K12" s="14">
        <v>0</v>
      </c>
      <c r="L12" s="21"/>
      <c r="M12" s="12"/>
    </row>
    <row r="13" spans="1:23">
      <c r="A13" s="2" t="s">
        <v>305</v>
      </c>
      <c r="B13" s="3" t="s">
        <v>306</v>
      </c>
      <c r="D13" s="14">
        <v>1.6882783533892249E-10</v>
      </c>
      <c r="E13" s="14">
        <v>2.0456506004030701E-5</v>
      </c>
      <c r="F13" s="14">
        <v>1.6192094241310117E-3</v>
      </c>
      <c r="G13" s="14">
        <v>1.043514716499538E-3</v>
      </c>
      <c r="H13" s="14">
        <v>0</v>
      </c>
      <c r="I13" s="14">
        <v>0</v>
      </c>
      <c r="J13" s="14">
        <v>3.1681918453758392E-4</v>
      </c>
      <c r="K13" s="14">
        <v>0</v>
      </c>
      <c r="L13" s="21"/>
      <c r="M13" s="12"/>
    </row>
    <row r="14" spans="1:23">
      <c r="A14" s="2" t="s">
        <v>307</v>
      </c>
      <c r="B14" s="3" t="s">
        <v>308</v>
      </c>
      <c r="D14" s="14">
        <v>5.802104610489611E-12</v>
      </c>
      <c r="E14" s="14">
        <v>4.1749661663138034E-4</v>
      </c>
      <c r="F14" s="14">
        <v>4.9561509527580908E-4</v>
      </c>
      <c r="G14" s="14">
        <v>1.0830289877633121E-4</v>
      </c>
      <c r="H14" s="14">
        <v>0</v>
      </c>
      <c r="I14" s="14">
        <v>0</v>
      </c>
      <c r="J14" s="14">
        <v>3.3124777855690813E-4</v>
      </c>
      <c r="K14" s="14">
        <v>1.6473376049574665E-3</v>
      </c>
      <c r="L14" s="21"/>
      <c r="M14" s="12"/>
    </row>
    <row r="15" spans="1:23">
      <c r="A15" s="2" t="s">
        <v>309</v>
      </c>
      <c r="B15" s="3" t="s">
        <v>310</v>
      </c>
      <c r="D15" s="14">
        <v>6.4075153175609243E-7</v>
      </c>
      <c r="E15" s="14">
        <v>2.2860043824878665E-4</v>
      </c>
      <c r="F15" s="14">
        <v>1.9083086716695881E-3</v>
      </c>
      <c r="G15" s="14">
        <v>3.6119703713338448E-4</v>
      </c>
      <c r="H15" s="14">
        <v>0</v>
      </c>
      <c r="I15" s="14">
        <v>0</v>
      </c>
      <c r="J15" s="14">
        <v>5.0125310141648524E-4</v>
      </c>
      <c r="K15" s="14">
        <v>0</v>
      </c>
      <c r="L15" s="21"/>
      <c r="M15" s="12"/>
    </row>
    <row r="16" spans="1:23">
      <c r="A16" s="2" t="s">
        <v>311</v>
      </c>
      <c r="B16" s="3" t="s">
        <v>312</v>
      </c>
      <c r="D16" s="14">
        <v>7.7248401895406375E-22</v>
      </c>
      <c r="E16" s="14">
        <v>2.8325279135469599E-3</v>
      </c>
      <c r="F16" s="14">
        <v>1.6728837538047356E-4</v>
      </c>
      <c r="G16" s="14">
        <v>1.623457678884226E-8</v>
      </c>
      <c r="H16" s="14">
        <v>0</v>
      </c>
      <c r="I16" s="14">
        <v>0</v>
      </c>
      <c r="J16" s="14">
        <v>1.6747649577785548E-7</v>
      </c>
      <c r="K16" s="14">
        <v>0</v>
      </c>
      <c r="L16" s="21"/>
      <c r="M16" s="12"/>
      <c r="U16" s="22"/>
      <c r="W16" s="22"/>
    </row>
    <row r="17" spans="1:13">
      <c r="A17" s="2" t="s">
        <v>313</v>
      </c>
      <c r="B17" s="3" t="s">
        <v>314</v>
      </c>
      <c r="D17" s="14">
        <v>3.693281434399935E-23</v>
      </c>
      <c r="E17" s="14">
        <v>6.5536815312004356E-5</v>
      </c>
      <c r="F17" s="14">
        <v>2.9295229097396065E-3</v>
      </c>
      <c r="G17" s="14">
        <v>3.1021482523275231E-6</v>
      </c>
      <c r="H17" s="14">
        <v>0</v>
      </c>
      <c r="I17" s="14">
        <v>0</v>
      </c>
      <c r="J17" s="14">
        <v>1.8381266960615783E-6</v>
      </c>
      <c r="K17" s="14">
        <v>0</v>
      </c>
      <c r="L17" s="21"/>
      <c r="M17" s="12"/>
    </row>
    <row r="18" spans="1:13">
      <c r="A18" s="2" t="s">
        <v>315</v>
      </c>
      <c r="B18" s="165">
        <v>354656</v>
      </c>
      <c r="D18" s="14">
        <v>6.2392124163426086E-13</v>
      </c>
      <c r="E18" s="14">
        <v>2.9566313475595509E-3</v>
      </c>
      <c r="F18" s="14">
        <v>1.5089982716208551E-6</v>
      </c>
      <c r="G18" s="14">
        <v>5.8369274826190785E-7</v>
      </c>
      <c r="H18" s="14">
        <v>0</v>
      </c>
      <c r="I18" s="14">
        <v>0</v>
      </c>
      <c r="J18" s="14">
        <v>4.1275960796644976E-5</v>
      </c>
      <c r="K18" s="14">
        <v>0</v>
      </c>
      <c r="L18" s="21"/>
      <c r="M18" s="12"/>
    </row>
    <row r="19" spans="1:13">
      <c r="A19" s="2" t="s">
        <v>317</v>
      </c>
      <c r="B19" s="3" t="s">
        <v>318</v>
      </c>
      <c r="D19" s="14">
        <v>9.4265255752816801E-13</v>
      </c>
      <c r="E19" s="14">
        <v>2.9067209783097915E-3</v>
      </c>
      <c r="F19" s="14">
        <v>6.3421446915737414E-6</v>
      </c>
      <c r="G19" s="14">
        <v>2.1898362650523584E-6</v>
      </c>
      <c r="H19" s="14">
        <v>0</v>
      </c>
      <c r="I19" s="14">
        <v>0</v>
      </c>
      <c r="J19" s="14">
        <v>8.4747039790929605E-5</v>
      </c>
      <c r="K19" s="14">
        <v>0</v>
      </c>
      <c r="L19" s="21"/>
      <c r="M19" s="12"/>
    </row>
    <row r="20" spans="1:13">
      <c r="A20" s="2" t="s">
        <v>284</v>
      </c>
      <c r="B20" s="3" t="s">
        <v>276</v>
      </c>
      <c r="D20" s="14">
        <v>4.8456662508525282E-10</v>
      </c>
      <c r="E20" s="14">
        <v>5.804198783194264E-4</v>
      </c>
      <c r="F20" s="14">
        <v>2.405657761763034E-3</v>
      </c>
      <c r="G20" s="14">
        <v>4.8969869500540095E-6</v>
      </c>
      <c r="H20" s="14">
        <v>0</v>
      </c>
      <c r="I20" s="14">
        <v>0</v>
      </c>
      <c r="J20" s="14">
        <v>9.0248884008607422E-6</v>
      </c>
      <c r="K20" s="14">
        <v>0</v>
      </c>
      <c r="L20" s="21"/>
      <c r="M20" s="12"/>
    </row>
    <row r="21" spans="1:13">
      <c r="A21" s="2" t="s">
        <v>319</v>
      </c>
      <c r="B21" s="3" t="s">
        <v>320</v>
      </c>
      <c r="D21" s="14">
        <v>1.5180997052037845E-22</v>
      </c>
      <c r="E21" s="14">
        <v>1.2460622401773238E-4</v>
      </c>
      <c r="F21" s="14">
        <v>2.1344618405494281E-3</v>
      </c>
      <c r="G21" s="14">
        <v>3.7357395286004492E-4</v>
      </c>
      <c r="H21" s="14">
        <v>0</v>
      </c>
      <c r="I21" s="14">
        <v>0</v>
      </c>
      <c r="J21" s="14">
        <v>3.6735798257279473E-4</v>
      </c>
      <c r="K21" s="14">
        <v>0</v>
      </c>
      <c r="L21" s="21"/>
      <c r="M21" s="12"/>
    </row>
    <row r="22" spans="1:13">
      <c r="A22" s="2" t="s">
        <v>321</v>
      </c>
      <c r="B22" s="3" t="s">
        <v>322</v>
      </c>
      <c r="D22" s="14">
        <v>1.8310888751202556E-12</v>
      </c>
      <c r="E22" s="14">
        <v>2.9999114387310021E-3</v>
      </c>
      <c r="F22" s="14">
        <v>1.3269078714179032E-8</v>
      </c>
      <c r="G22" s="14">
        <v>3.8459386495390992E-10</v>
      </c>
      <c r="H22" s="14">
        <v>0</v>
      </c>
      <c r="I22" s="14">
        <v>0</v>
      </c>
      <c r="J22" s="14">
        <v>7.4905765330325979E-8</v>
      </c>
      <c r="K22" s="14">
        <v>0</v>
      </c>
      <c r="L22" s="21"/>
      <c r="M22" s="12"/>
    </row>
    <row r="23" spans="1:13">
      <c r="A23" s="2" t="s">
        <v>323</v>
      </c>
      <c r="B23" s="3" t="s">
        <v>324</v>
      </c>
      <c r="D23" s="14">
        <v>4.8726119040123309E-15</v>
      </c>
      <c r="E23" s="14">
        <v>2.8791444399678895E-3</v>
      </c>
      <c r="F23" s="14">
        <v>9.0749363222520577E-5</v>
      </c>
      <c r="G23" s="14">
        <v>4.5107593936105986E-6</v>
      </c>
      <c r="H23" s="14">
        <v>0</v>
      </c>
      <c r="I23" s="14">
        <v>0</v>
      </c>
      <c r="J23" s="14">
        <v>2.559543741110596E-5</v>
      </c>
      <c r="K23" s="14">
        <v>0</v>
      </c>
      <c r="L23" s="21"/>
    </row>
    <row r="24" spans="1:13">
      <c r="A24" s="2" t="s">
        <v>325</v>
      </c>
      <c r="B24" s="3" t="s">
        <v>326</v>
      </c>
      <c r="D24" s="14">
        <v>3.4887232526347121E-14</v>
      </c>
      <c r="E24" s="14">
        <v>2.9911336351593448E-3</v>
      </c>
      <c r="F24" s="14">
        <v>3.4050804847432324E-7</v>
      </c>
      <c r="G24" s="14">
        <v>6.5146922886808069E-8</v>
      </c>
      <c r="H24" s="14">
        <v>0</v>
      </c>
      <c r="I24" s="14">
        <v>0</v>
      </c>
      <c r="J24" s="14">
        <v>8.4607098344067656E-6</v>
      </c>
      <c r="K24" s="14">
        <v>0</v>
      </c>
      <c r="L24" s="21"/>
    </row>
    <row r="25" spans="1:13">
      <c r="A25" s="2" t="s">
        <v>327</v>
      </c>
      <c r="B25" s="3" t="s">
        <v>328</v>
      </c>
      <c r="D25" s="14">
        <v>6.1793509158835754E-33</v>
      </c>
      <c r="E25" s="14">
        <v>2.9999682948543189E-3</v>
      </c>
      <c r="F25" s="14">
        <v>2.4112832541162936E-8</v>
      </c>
      <c r="G25" s="14">
        <v>1.9921414813286789E-11</v>
      </c>
      <c r="H25" s="14">
        <v>0</v>
      </c>
      <c r="I25" s="14">
        <v>0</v>
      </c>
      <c r="J25" s="14">
        <v>7.5723917252150664E-9</v>
      </c>
      <c r="K25" s="14">
        <v>0</v>
      </c>
      <c r="L25" s="21"/>
    </row>
    <row r="26" spans="1:13">
      <c r="A26" s="2" t="s">
        <v>329</v>
      </c>
      <c r="B26" s="3" t="s">
        <v>330</v>
      </c>
      <c r="D26" s="14">
        <v>3.9236262330721464E-16</v>
      </c>
      <c r="E26" s="14">
        <v>2.9888562988739896E-3</v>
      </c>
      <c r="F26" s="14">
        <v>1.1755648724921491E-7</v>
      </c>
      <c r="G26" s="14">
        <v>5.492147035664134E-8</v>
      </c>
      <c r="H26" s="14">
        <v>0</v>
      </c>
      <c r="I26" s="14">
        <v>0</v>
      </c>
      <c r="J26" s="14">
        <v>1.0971223168011776E-5</v>
      </c>
      <c r="K26" s="14">
        <v>0</v>
      </c>
    </row>
    <row r="27" spans="1:13">
      <c r="A27" s="2" t="s">
        <v>331</v>
      </c>
      <c r="B27" s="3" t="s">
        <v>332</v>
      </c>
      <c r="D27" s="14">
        <v>4.9378332468665235E-12</v>
      </c>
      <c r="E27" s="14">
        <v>2.9324041474344856E-3</v>
      </c>
      <c r="F27" s="14">
        <v>3.4158232498729669E-6</v>
      </c>
      <c r="G27" s="14">
        <v>1.243342977047754E-6</v>
      </c>
      <c r="H27" s="14">
        <v>0</v>
      </c>
      <c r="I27" s="14">
        <v>0</v>
      </c>
      <c r="J27" s="14">
        <v>6.2936681400760261E-5</v>
      </c>
      <c r="K27" s="14">
        <v>0</v>
      </c>
    </row>
    <row r="28" spans="1:13">
      <c r="A28" s="2" t="s">
        <v>333</v>
      </c>
      <c r="B28" s="3" t="s">
        <v>334</v>
      </c>
      <c r="D28" s="14">
        <v>3.8430391056144929E-19</v>
      </c>
      <c r="E28" s="14">
        <v>2.994272609966259E-3</v>
      </c>
      <c r="F28" s="14">
        <v>3.4155677383778351E-8</v>
      </c>
      <c r="G28" s="14">
        <v>1.7208043945537289E-8</v>
      </c>
      <c r="H28" s="14">
        <v>0</v>
      </c>
      <c r="I28" s="14">
        <v>0</v>
      </c>
      <c r="J28" s="14">
        <v>5.6760263124112338E-6</v>
      </c>
      <c r="K28" s="14">
        <v>0</v>
      </c>
    </row>
    <row r="29" spans="1:13">
      <c r="A29" s="2" t="s">
        <v>335</v>
      </c>
      <c r="B29" s="3" t="s">
        <v>336</v>
      </c>
      <c r="D29" s="14">
        <v>2.0103046099825606E-15</v>
      </c>
      <c r="E29" s="14">
        <v>2.9579019249717934E-3</v>
      </c>
      <c r="F29" s="14">
        <v>4.2000584586183542E-5</v>
      </c>
      <c r="G29" s="14">
        <v>5.0308247448559979E-9</v>
      </c>
      <c r="H29" s="14">
        <v>0</v>
      </c>
      <c r="I29" s="14">
        <v>0</v>
      </c>
      <c r="J29" s="14">
        <v>9.2459615268215592E-8</v>
      </c>
      <c r="K29" s="14">
        <v>0</v>
      </c>
    </row>
    <row r="30" spans="1:13">
      <c r="A30" s="2" t="s">
        <v>337</v>
      </c>
      <c r="B30" s="3" t="s">
        <v>338</v>
      </c>
      <c r="D30" s="14">
        <v>9.8887322095187099E-20</v>
      </c>
      <c r="E30" s="14">
        <v>7.1045594068584262E-4</v>
      </c>
      <c r="F30" s="14">
        <v>2.1907439503580767E-3</v>
      </c>
      <c r="G30" s="14">
        <v>5.3060964690875282E-5</v>
      </c>
      <c r="H30" s="14">
        <v>0</v>
      </c>
      <c r="I30" s="14">
        <v>0</v>
      </c>
      <c r="J30" s="14">
        <v>4.573914426520476E-5</v>
      </c>
      <c r="K30" s="14">
        <v>0</v>
      </c>
    </row>
    <row r="31" spans="1:13">
      <c r="A31" s="2" t="s">
        <v>275</v>
      </c>
      <c r="B31" s="3" t="s">
        <v>339</v>
      </c>
      <c r="D31" s="14">
        <v>6.7913149157868392E-13</v>
      </c>
      <c r="E31" s="14">
        <v>1.9657182734258943E-3</v>
      </c>
      <c r="F31" s="14">
        <v>3.5769497579928445E-4</v>
      </c>
      <c r="G31" s="14">
        <v>8.9744614306158012E-5</v>
      </c>
      <c r="H31" s="14">
        <v>0</v>
      </c>
      <c r="I31" s="14">
        <v>0</v>
      </c>
      <c r="J31" s="14">
        <v>5.8684213578953171E-4</v>
      </c>
      <c r="K31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1" sqref="R31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285</v>
      </c>
      <c r="B2" s="102" t="s">
        <v>286</v>
      </c>
      <c r="D2" s="103" t="s">
        <v>277</v>
      </c>
      <c r="E2" s="107">
        <v>8.1999999999999993</v>
      </c>
      <c r="F2" s="107">
        <v>-8.1713097632659604E-2</v>
      </c>
      <c r="G2" s="107">
        <v>-14.739563546456843</v>
      </c>
      <c r="H2" s="107">
        <v>0.18163709416907323</v>
      </c>
      <c r="I2" s="107">
        <v>-7.9390614177506133E-2</v>
      </c>
      <c r="J2" s="107">
        <v>-1.6241500051562583E-2</v>
      </c>
      <c r="K2" s="115">
        <v>10</v>
      </c>
      <c r="L2" s="115">
        <v>0</v>
      </c>
      <c r="M2" s="115">
        <v>0</v>
      </c>
      <c r="N2" s="115">
        <v>0</v>
      </c>
      <c r="O2" s="115">
        <v>8.2449476148278649</v>
      </c>
      <c r="P2" s="115">
        <v>9.5353582575875286</v>
      </c>
      <c r="Q2" s="111">
        <v>0.82449476148278644</v>
      </c>
      <c r="R2" s="68">
        <v>0.95353582575875284</v>
      </c>
    </row>
    <row r="3" spans="1:22">
      <c r="A3" s="102" t="s">
        <v>287</v>
      </c>
      <c r="B3" s="102" t="s">
        <v>288</v>
      </c>
      <c r="D3" s="103" t="s">
        <v>176</v>
      </c>
      <c r="F3" s="107">
        <v>1.7527171707711544</v>
      </c>
      <c r="G3" s="107">
        <v>-5.8951115123134636</v>
      </c>
      <c r="H3" s="107">
        <v>2.0268600000000001</v>
      </c>
      <c r="I3" s="107">
        <v>0.25997889291375675</v>
      </c>
      <c r="J3" s="107">
        <v>0.2587938554837696</v>
      </c>
      <c r="K3" s="115">
        <v>10</v>
      </c>
      <c r="L3" s="115">
        <v>0</v>
      </c>
      <c r="M3" s="115">
        <v>0</v>
      </c>
      <c r="N3" s="115">
        <v>0</v>
      </c>
      <c r="O3" s="115">
        <v>15.416835721292333</v>
      </c>
      <c r="P3" s="115">
        <v>15.374825920963394</v>
      </c>
      <c r="Q3" s="111">
        <v>1.541683572129233</v>
      </c>
      <c r="R3" s="68">
        <v>1.5374825920963393</v>
      </c>
    </row>
    <row r="4" spans="1:22">
      <c r="A4" s="102" t="s">
        <v>289</v>
      </c>
      <c r="B4" s="102" t="s">
        <v>290</v>
      </c>
      <c r="D4" s="103" t="s">
        <v>176</v>
      </c>
      <c r="F4" s="107">
        <v>3.3220771707711547</v>
      </c>
      <c r="G4" s="107">
        <v>-4.3557515123134634</v>
      </c>
      <c r="H4" s="107">
        <v>3.6118199999999989</v>
      </c>
      <c r="I4" s="107">
        <v>1.6283679201447347</v>
      </c>
      <c r="J4" s="107">
        <v>1.6105797570240485</v>
      </c>
      <c r="K4" s="115">
        <v>10</v>
      </c>
      <c r="L4" s="115">
        <v>0</v>
      </c>
      <c r="M4" s="115">
        <v>0</v>
      </c>
      <c r="N4" s="115">
        <v>0</v>
      </c>
      <c r="O4" s="115">
        <v>98.329571691239039</v>
      </c>
      <c r="P4" s="115">
        <v>94.383479611328951</v>
      </c>
      <c r="Q4" s="111">
        <v>9.8329571691239028</v>
      </c>
      <c r="R4" s="68">
        <v>9.4383479611328944</v>
      </c>
      <c r="T4" s="146"/>
    </row>
    <row r="5" spans="1:22">
      <c r="A5" s="102" t="s">
        <v>291</v>
      </c>
      <c r="B5" s="102" t="s">
        <v>292</v>
      </c>
      <c r="D5" s="103" t="s">
        <v>277</v>
      </c>
      <c r="E5" s="107">
        <v>4.7</v>
      </c>
      <c r="F5" s="107">
        <v>-2.0361264631682592</v>
      </c>
      <c r="G5" s="107">
        <v>-18.872847180396256</v>
      </c>
      <c r="H5" s="107">
        <v>-0.12874566885275762</v>
      </c>
      <c r="I5" s="107">
        <v>-7.396756885022962E-2</v>
      </c>
      <c r="J5" s="107">
        <v>-3.5556972060378981E-3</v>
      </c>
      <c r="K5" s="115">
        <v>10</v>
      </c>
      <c r="L5" s="115">
        <v>0</v>
      </c>
      <c r="M5" s="115">
        <v>0</v>
      </c>
      <c r="N5" s="115">
        <v>0</v>
      </c>
      <c r="O5" s="115">
        <v>8.4314010284174206</v>
      </c>
      <c r="P5" s="115">
        <v>9.9154314883021435</v>
      </c>
      <c r="Q5" s="111">
        <v>0.84314010284174201</v>
      </c>
      <c r="R5" s="68">
        <v>0.99154314883021433</v>
      </c>
    </row>
    <row r="6" spans="1:22">
      <c r="A6" s="102" t="s">
        <v>278</v>
      </c>
      <c r="B6" s="102" t="s">
        <v>279</v>
      </c>
      <c r="D6" s="103" t="s">
        <v>176</v>
      </c>
      <c r="F6" s="107">
        <v>4.871317170771154</v>
      </c>
      <c r="G6" s="107">
        <v>-3.7165115123134638</v>
      </c>
      <c r="H6" s="107">
        <v>5.1764599999999996</v>
      </c>
      <c r="I6" s="107">
        <v>3.1213421800980909</v>
      </c>
      <c r="J6" s="107">
        <v>3.0472767166822177</v>
      </c>
      <c r="K6" s="115">
        <v>10</v>
      </c>
      <c r="L6" s="115">
        <v>0</v>
      </c>
      <c r="M6" s="115">
        <v>0</v>
      </c>
      <c r="N6" s="115">
        <v>0</v>
      </c>
      <c r="O6" s="115">
        <v>184.00090314898563</v>
      </c>
      <c r="P6" s="115">
        <v>155.15096862834579</v>
      </c>
      <c r="Q6" s="111">
        <v>18.400090314898563</v>
      </c>
      <c r="R6" s="68">
        <v>15.515096862834579</v>
      </c>
    </row>
    <row r="7" spans="1:22">
      <c r="A7" s="102" t="s">
        <v>293</v>
      </c>
      <c r="B7" s="102" t="s">
        <v>294</v>
      </c>
      <c r="D7" s="103" t="s">
        <v>341</v>
      </c>
      <c r="E7" s="107">
        <v>17.600000000000001</v>
      </c>
      <c r="F7" s="107">
        <v>-4.2069527426031152</v>
      </c>
      <c r="G7" s="107">
        <v>-19.549781512340864</v>
      </c>
      <c r="H7" s="107">
        <v>-1.4572599997533806</v>
      </c>
      <c r="I7" s="107">
        <v>-8.5130648399872097E-2</v>
      </c>
      <c r="J7" s="107">
        <v>-1.980794302636487E-2</v>
      </c>
      <c r="K7" s="115">
        <v>10</v>
      </c>
      <c r="L7" s="115">
        <v>0</v>
      </c>
      <c r="M7" s="115">
        <v>0</v>
      </c>
      <c r="N7" s="115">
        <v>0</v>
      </c>
      <c r="O7" s="115">
        <v>8.2360502061561824</v>
      </c>
      <c r="P7" s="115">
        <v>9.5728596297286561</v>
      </c>
      <c r="Q7" s="111">
        <v>0.82360502061561813</v>
      </c>
      <c r="R7" s="68">
        <v>0.95728596297286561</v>
      </c>
    </row>
    <row r="8" spans="1:22">
      <c r="A8" s="102" t="s">
        <v>295</v>
      </c>
      <c r="B8" s="102" t="s">
        <v>296</v>
      </c>
      <c r="D8" s="103" t="s">
        <v>341</v>
      </c>
      <c r="E8" s="107">
        <v>6.1</v>
      </c>
      <c r="F8" s="107">
        <v>0.55949565190603401</v>
      </c>
      <c r="G8" s="107">
        <v>-9.7933399142277171</v>
      </c>
      <c r="H8" s="107">
        <v>0.82415279024988986</v>
      </c>
      <c r="I8" s="107">
        <v>-5.8677726642215364E-2</v>
      </c>
      <c r="J8" s="107">
        <v>-2.7154204399630973E-3</v>
      </c>
      <c r="K8" s="115">
        <v>10</v>
      </c>
      <c r="L8" s="115">
        <v>0</v>
      </c>
      <c r="M8" s="115">
        <v>0</v>
      </c>
      <c r="N8" s="115">
        <v>0</v>
      </c>
      <c r="O8" s="115">
        <v>8.4946056125433778</v>
      </c>
      <c r="P8" s="115">
        <v>9.6628564207360927</v>
      </c>
      <c r="Q8" s="111">
        <v>0.84946056125433778</v>
      </c>
      <c r="R8" s="68">
        <v>0.96628564207360912</v>
      </c>
    </row>
    <row r="9" spans="1:22">
      <c r="A9" s="102" t="s">
        <v>297</v>
      </c>
      <c r="B9" s="102" t="s">
        <v>298</v>
      </c>
      <c r="D9" s="103" t="s">
        <v>176</v>
      </c>
      <c r="F9" s="107">
        <v>6.5412771707711537</v>
      </c>
      <c r="G9" s="107">
        <v>-5.9865515123134632</v>
      </c>
      <c r="H9" s="107">
        <v>6.8630199999999997</v>
      </c>
      <c r="I9" s="107">
        <v>4.6391319103974498</v>
      </c>
      <c r="J9" s="107">
        <v>4.2592918731342024</v>
      </c>
      <c r="K9" s="115">
        <v>10</v>
      </c>
      <c r="L9" s="115">
        <v>0</v>
      </c>
      <c r="M9" s="115">
        <v>0</v>
      </c>
      <c r="N9" s="115">
        <v>0</v>
      </c>
      <c r="O9" s="115">
        <v>463.84779690949875</v>
      </c>
      <c r="P9" s="115">
        <v>193.43517955877851</v>
      </c>
      <c r="Q9" s="111">
        <v>46.38477969094987</v>
      </c>
      <c r="R9" s="68">
        <v>19.34351795587785</v>
      </c>
    </row>
    <row r="10" spans="1:22">
      <c r="A10" s="102" t="s">
        <v>299</v>
      </c>
      <c r="B10" s="102" t="s">
        <v>300</v>
      </c>
      <c r="D10" s="103" t="s">
        <v>176</v>
      </c>
      <c r="F10" s="107">
        <v>2.0746371707711551</v>
      </c>
      <c r="G10" s="107">
        <v>-6.1331915123134637</v>
      </c>
      <c r="H10" s="107">
        <v>2.3519799999999997</v>
      </c>
      <c r="I10" s="107">
        <v>0.47204291197982046</v>
      </c>
      <c r="J10" s="107">
        <v>0.45363558687719796</v>
      </c>
      <c r="K10" s="115">
        <v>10</v>
      </c>
      <c r="L10" s="115">
        <v>0</v>
      </c>
      <c r="M10" s="115">
        <v>0</v>
      </c>
      <c r="N10" s="115">
        <v>0</v>
      </c>
      <c r="O10" s="115">
        <v>22.66710852689328</v>
      </c>
      <c r="P10" s="115">
        <v>21.726451422233314</v>
      </c>
      <c r="Q10" s="111">
        <v>2.2667108526893278</v>
      </c>
      <c r="R10" s="68">
        <v>2.1726451422233315</v>
      </c>
    </row>
    <row r="11" spans="1:22">
      <c r="A11" s="102" t="s">
        <v>301</v>
      </c>
      <c r="B11" s="102" t="s">
        <v>302</v>
      </c>
      <c r="D11" s="103" t="s">
        <v>176</v>
      </c>
      <c r="F11" s="107">
        <v>1.8130771707711544</v>
      </c>
      <c r="G11" s="107">
        <v>-18.364751512313465</v>
      </c>
      <c r="H11" s="107">
        <v>2.0878200000000002</v>
      </c>
      <c r="I11" s="107">
        <v>0.29521463966104228</v>
      </c>
      <c r="J11" s="107">
        <v>0.29030408360380838</v>
      </c>
      <c r="K11" s="115">
        <v>10</v>
      </c>
      <c r="L11" s="115">
        <v>0</v>
      </c>
      <c r="M11" s="115">
        <v>0</v>
      </c>
      <c r="N11" s="115">
        <v>0</v>
      </c>
      <c r="O11" s="115">
        <v>16.460513874568292</v>
      </c>
      <c r="P11" s="115">
        <v>16.27544355005729</v>
      </c>
      <c r="Q11" s="111">
        <v>1.646051387456829</v>
      </c>
      <c r="R11" s="68">
        <v>1.6275443550057289</v>
      </c>
    </row>
    <row r="12" spans="1:22">
      <c r="A12" s="102" t="s">
        <v>303</v>
      </c>
      <c r="B12" s="102" t="s">
        <v>304</v>
      </c>
      <c r="D12" s="103" t="s">
        <v>176</v>
      </c>
      <c r="F12" s="107">
        <v>1.1491171707711545</v>
      </c>
      <c r="G12" s="107">
        <v>-30.268711512313462</v>
      </c>
      <c r="H12" s="107">
        <v>1.41726</v>
      </c>
      <c r="I12" s="107">
        <v>2.5113799753956154E-2</v>
      </c>
      <c r="J12" s="107">
        <v>6.1248705413908158E-2</v>
      </c>
      <c r="K12" s="115">
        <v>10</v>
      </c>
      <c r="L12" s="115">
        <v>0</v>
      </c>
      <c r="M12" s="115">
        <v>0</v>
      </c>
      <c r="N12" s="115">
        <v>0</v>
      </c>
      <c r="O12" s="115">
        <v>9.9013239639664317</v>
      </c>
      <c r="P12" s="115">
        <v>10.760394063257126</v>
      </c>
      <c r="Q12" s="111">
        <v>0.99013239639664308</v>
      </c>
      <c r="R12" s="68">
        <v>1.0760394063257126</v>
      </c>
    </row>
    <row r="13" spans="1:22">
      <c r="A13" s="102" t="s">
        <v>305</v>
      </c>
      <c r="B13" s="102" t="s">
        <v>306</v>
      </c>
      <c r="D13" s="103" t="s">
        <v>176</v>
      </c>
      <c r="F13" s="107">
        <v>5.4246171707711541</v>
      </c>
      <c r="G13" s="107">
        <v>-6.7832115123134633</v>
      </c>
      <c r="H13" s="107">
        <v>5.7352599999999994</v>
      </c>
      <c r="I13" s="107">
        <v>3.5877531235180431</v>
      </c>
      <c r="J13" s="107">
        <v>3.3824103498024978</v>
      </c>
      <c r="K13" s="115">
        <v>10</v>
      </c>
      <c r="L13" s="115">
        <v>0</v>
      </c>
      <c r="M13" s="115">
        <v>0</v>
      </c>
      <c r="N13" s="115">
        <v>0</v>
      </c>
      <c r="O13" s="115">
        <v>264.43408184193748</v>
      </c>
      <c r="P13" s="115">
        <v>164.80662098332485</v>
      </c>
      <c r="Q13" s="111">
        <v>26.443408184193746</v>
      </c>
      <c r="R13" s="68">
        <v>16.480662098332484</v>
      </c>
    </row>
    <row r="14" spans="1:22">
      <c r="A14" s="102" t="s">
        <v>307</v>
      </c>
      <c r="B14" s="102" t="s">
        <v>308</v>
      </c>
      <c r="D14" s="103" t="s">
        <v>176</v>
      </c>
      <c r="F14" s="107">
        <v>3.1309371707711549</v>
      </c>
      <c r="G14" s="107">
        <v>-9.556891512313463</v>
      </c>
      <c r="H14" s="107">
        <v>3.4187799999999995</v>
      </c>
      <c r="I14" s="107">
        <v>1.4354157319734149</v>
      </c>
      <c r="J14" s="107">
        <v>1.4134498053298963</v>
      </c>
      <c r="K14" s="115">
        <v>10</v>
      </c>
      <c r="L14" s="115">
        <v>0</v>
      </c>
      <c r="M14" s="115">
        <v>0</v>
      </c>
      <c r="N14" s="115">
        <v>0</v>
      </c>
      <c r="O14" s="115">
        <v>38.00157004579706</v>
      </c>
      <c r="P14" s="115">
        <v>36.127308973964595</v>
      </c>
      <c r="Q14" s="111">
        <v>3.8001570045797055</v>
      </c>
      <c r="R14" s="68">
        <v>3.6127308973964589</v>
      </c>
    </row>
    <row r="15" spans="1:22">
      <c r="A15" s="102" t="s">
        <v>309</v>
      </c>
      <c r="B15" s="102" t="s">
        <v>310</v>
      </c>
      <c r="D15" s="103" t="s">
        <v>176</v>
      </c>
      <c r="F15" s="107">
        <v>3.9156171707711542</v>
      </c>
      <c r="G15" s="107">
        <v>-4.2522115123134636</v>
      </c>
      <c r="H15" s="107">
        <v>4.2112599999999993</v>
      </c>
      <c r="I15" s="107">
        <v>2.2368304962501209</v>
      </c>
      <c r="J15" s="107">
        <v>2.2340635740461319</v>
      </c>
      <c r="K15" s="115">
        <v>10</v>
      </c>
      <c r="L15" s="115">
        <v>0</v>
      </c>
      <c r="M15" s="115">
        <v>0</v>
      </c>
      <c r="N15" s="115">
        <v>0</v>
      </c>
      <c r="O15" s="115">
        <v>131.71656689002074</v>
      </c>
      <c r="P15" s="115">
        <v>130.88005847695132</v>
      </c>
      <c r="Q15" s="111">
        <v>13.171656689002072</v>
      </c>
      <c r="R15" s="68">
        <v>13.088005847695131</v>
      </c>
    </row>
    <row r="16" spans="1:22">
      <c r="A16" s="102" t="s">
        <v>311</v>
      </c>
      <c r="B16" s="102" t="s">
        <v>312</v>
      </c>
      <c r="D16" s="103" t="s">
        <v>277</v>
      </c>
      <c r="E16" s="107">
        <v>3</v>
      </c>
      <c r="F16" s="107">
        <v>-1.5247831764342068</v>
      </c>
      <c r="G16" s="107">
        <v>-20.264108801544054</v>
      </c>
      <c r="H16" s="107">
        <v>1.1997355721103982</v>
      </c>
      <c r="I16" s="107">
        <v>0.14262956193442364</v>
      </c>
      <c r="J16" s="107">
        <v>0.28600572919583267</v>
      </c>
      <c r="K16" s="115">
        <v>10</v>
      </c>
      <c r="L16" s="115">
        <v>0</v>
      </c>
      <c r="M16" s="115">
        <v>0</v>
      </c>
      <c r="N16" s="115">
        <v>0</v>
      </c>
      <c r="O16" s="115">
        <v>13.13822236315729</v>
      </c>
      <c r="P16" s="115">
        <v>18.27733092950761</v>
      </c>
      <c r="Q16" s="111">
        <v>1.3138222363157288</v>
      </c>
      <c r="R16" s="68">
        <v>1.8277330929507609</v>
      </c>
    </row>
    <row r="17" spans="1:18">
      <c r="A17" s="102" t="s">
        <v>313</v>
      </c>
      <c r="B17" s="102" t="s">
        <v>314</v>
      </c>
      <c r="D17" s="103" t="s">
        <v>277</v>
      </c>
      <c r="E17" s="107">
        <v>5</v>
      </c>
      <c r="F17" s="107">
        <v>2.3921272657307884</v>
      </c>
      <c r="G17" s="107">
        <v>-19.948897037342256</v>
      </c>
      <c r="H17" s="107">
        <v>4.0799287642507389</v>
      </c>
      <c r="I17" s="107">
        <v>2.6346778208938741</v>
      </c>
      <c r="J17" s="107">
        <v>2.869421642515726</v>
      </c>
      <c r="K17" s="115">
        <v>10</v>
      </c>
      <c r="L17" s="115">
        <v>0</v>
      </c>
      <c r="M17" s="115">
        <v>0</v>
      </c>
      <c r="N17" s="115">
        <v>0</v>
      </c>
      <c r="O17" s="115">
        <v>94.38348346990125</v>
      </c>
      <c r="P17" s="115">
        <v>162.04656285100882</v>
      </c>
      <c r="Q17" s="111">
        <v>9.438348346990125</v>
      </c>
      <c r="R17" s="68">
        <v>16.204656285100878</v>
      </c>
    </row>
    <row r="18" spans="1:18">
      <c r="A18" s="102" t="s">
        <v>315</v>
      </c>
      <c r="B18" s="168">
        <v>354656</v>
      </c>
      <c r="D18" s="103" t="s">
        <v>176</v>
      </c>
      <c r="F18" s="107">
        <v>1.2337170771154734E-2</v>
      </c>
      <c r="G18" s="107">
        <v>-11.375491512313465</v>
      </c>
      <c r="H18" s="107">
        <v>0.26918000000000003</v>
      </c>
      <c r="I18" s="107">
        <v>-7.7391929118608094E-2</v>
      </c>
      <c r="J18" s="107">
        <v>-1.4948200712105831E-2</v>
      </c>
      <c r="K18" s="115">
        <v>10</v>
      </c>
      <c r="L18" s="115">
        <v>0</v>
      </c>
      <c r="M18" s="115">
        <v>0</v>
      </c>
      <c r="N18" s="115">
        <v>0</v>
      </c>
      <c r="O18" s="115">
        <v>8.2630065257134735</v>
      </c>
      <c r="P18" s="115">
        <v>9.540734800904124</v>
      </c>
      <c r="Q18" s="111">
        <v>0.82630065257134733</v>
      </c>
      <c r="R18" s="68">
        <v>0.95407348009041226</v>
      </c>
    </row>
    <row r="19" spans="1:18">
      <c r="A19" s="102" t="s">
        <v>317</v>
      </c>
      <c r="B19" s="102" t="s">
        <v>318</v>
      </c>
      <c r="D19" s="103" t="s">
        <v>341</v>
      </c>
      <c r="E19" s="107">
        <v>6</v>
      </c>
      <c r="F19" s="107">
        <v>0.59395834890080101</v>
      </c>
      <c r="G19" s="107">
        <v>-11.188875801592996</v>
      </c>
      <c r="H19" s="107">
        <v>0.85847123574925954</v>
      </c>
      <c r="I19" s="107">
        <v>-5.6470302894490072E-2</v>
      </c>
      <c r="J19" s="107">
        <v>-1.2120388349072706E-3</v>
      </c>
      <c r="K19" s="115">
        <v>10</v>
      </c>
      <c r="L19" s="115">
        <v>0</v>
      </c>
      <c r="M19" s="115">
        <v>0</v>
      </c>
      <c r="N19" s="115">
        <v>0</v>
      </c>
      <c r="O19" s="115">
        <v>8.5244406184466683</v>
      </c>
      <c r="P19" s="115">
        <v>9.6810876885969588</v>
      </c>
      <c r="Q19" s="111">
        <v>0.8524440618446667</v>
      </c>
      <c r="R19" s="68">
        <v>0.96810876885969577</v>
      </c>
    </row>
    <row r="20" spans="1:18">
      <c r="A20" s="102" t="s">
        <v>284</v>
      </c>
      <c r="B20" s="102" t="s">
        <v>276</v>
      </c>
      <c r="D20" s="103" t="s">
        <v>277</v>
      </c>
      <c r="E20" s="107">
        <v>5.4</v>
      </c>
      <c r="F20" s="107">
        <v>1.6431367190965502</v>
      </c>
      <c r="G20" s="107">
        <v>-7.7782128860961048</v>
      </c>
      <c r="H20" s="107">
        <v>2.9638513113755822</v>
      </c>
      <c r="I20" s="107">
        <v>1.6065690659269836</v>
      </c>
      <c r="J20" s="107">
        <v>1.8411474861463284</v>
      </c>
      <c r="K20" s="115">
        <v>10</v>
      </c>
      <c r="L20" s="115">
        <v>0</v>
      </c>
      <c r="M20" s="115">
        <v>0</v>
      </c>
      <c r="N20" s="115">
        <v>0</v>
      </c>
      <c r="O20" s="115">
        <v>78.350936431468597</v>
      </c>
      <c r="P20" s="115">
        <v>134.46913513629204</v>
      </c>
      <c r="Q20" s="111">
        <v>7.835093643146859</v>
      </c>
      <c r="R20" s="68">
        <v>13.446913513629204</v>
      </c>
    </row>
    <row r="21" spans="1:18">
      <c r="A21" s="102" t="s">
        <v>319</v>
      </c>
      <c r="B21" s="102" t="s">
        <v>320</v>
      </c>
      <c r="D21" s="103" t="s">
        <v>341</v>
      </c>
      <c r="E21" s="107">
        <v>6.6</v>
      </c>
      <c r="F21" s="107">
        <v>4.1937869023673393</v>
      </c>
      <c r="G21" s="107">
        <v>-19.61406354645684</v>
      </c>
      <c r="H21" s="107">
        <v>4.4996370941690724</v>
      </c>
      <c r="I21" s="107">
        <v>2.4942883814989214</v>
      </c>
      <c r="J21" s="107">
        <v>2.4969881571845289</v>
      </c>
      <c r="K21" s="115">
        <v>10</v>
      </c>
      <c r="L21" s="115">
        <v>0</v>
      </c>
      <c r="M21" s="115">
        <v>0</v>
      </c>
      <c r="N21" s="115">
        <v>0</v>
      </c>
      <c r="O21" s="115">
        <v>129.88558801528248</v>
      </c>
      <c r="P21" s="115">
        <v>130.69553188447065</v>
      </c>
      <c r="Q21" s="111">
        <v>12.988558801528246</v>
      </c>
      <c r="R21" s="68">
        <v>13.069553188447065</v>
      </c>
    </row>
    <row r="22" spans="1:18">
      <c r="A22" s="102" t="s">
        <v>321</v>
      </c>
      <c r="B22" s="102" t="s">
        <v>322</v>
      </c>
      <c r="D22" s="103" t="s">
        <v>341</v>
      </c>
      <c r="E22" s="107">
        <v>9.6</v>
      </c>
      <c r="F22" s="107">
        <v>-3.1751560316495278</v>
      </c>
      <c r="G22" s="107">
        <v>-10.914223116648401</v>
      </c>
      <c r="H22" s="107">
        <v>-1.7229792287388364</v>
      </c>
      <c r="I22" s="107">
        <v>-8.517421219361139E-2</v>
      </c>
      <c r="J22" s="107">
        <v>-1.9851302709104488E-2</v>
      </c>
      <c r="K22" s="115">
        <v>10</v>
      </c>
      <c r="L22" s="115">
        <v>0</v>
      </c>
      <c r="M22" s="115">
        <v>0</v>
      </c>
      <c r="N22" s="115">
        <v>0</v>
      </c>
      <c r="O22" s="115">
        <v>8.2350657209367863</v>
      </c>
      <c r="P22" s="115">
        <v>9.5717198493310907</v>
      </c>
      <c r="Q22" s="111">
        <v>0.8235065720936785</v>
      </c>
      <c r="R22" s="68">
        <v>0.95717198493310895</v>
      </c>
    </row>
    <row r="23" spans="1:18">
      <c r="A23" s="102" t="s">
        <v>323</v>
      </c>
      <c r="B23" s="102" t="s">
        <v>324</v>
      </c>
      <c r="D23" s="103" t="s">
        <v>341</v>
      </c>
      <c r="E23" s="107">
        <v>9</v>
      </c>
      <c r="F23" s="107">
        <v>0.91193625947924384</v>
      </c>
      <c r="G23" s="107">
        <v>-13.471325737825421</v>
      </c>
      <c r="H23" s="107">
        <v>1.8855685681967382</v>
      </c>
      <c r="I23" s="107">
        <v>0.1207333357165573</v>
      </c>
      <c r="J23" s="107">
        <v>0.18625457716203825</v>
      </c>
      <c r="K23" s="115">
        <v>10</v>
      </c>
      <c r="L23" s="115">
        <v>0</v>
      </c>
      <c r="M23" s="115">
        <v>0</v>
      </c>
      <c r="N23" s="115">
        <v>0</v>
      </c>
      <c r="O23" s="115">
        <v>12.697833741551332</v>
      </c>
      <c r="P23" s="115">
        <v>14.765592472499925</v>
      </c>
      <c r="Q23" s="111">
        <v>1.2697833741551332</v>
      </c>
      <c r="R23" s="68">
        <v>1.4765592472499924</v>
      </c>
    </row>
    <row r="24" spans="1:18">
      <c r="A24" s="102" t="s">
        <v>325</v>
      </c>
      <c r="B24" s="102" t="s">
        <v>326</v>
      </c>
      <c r="D24" s="103" t="s">
        <v>277</v>
      </c>
      <c r="E24" s="107">
        <v>7.3</v>
      </c>
      <c r="F24" s="107">
        <v>-0.94499185893172233</v>
      </c>
      <c r="G24" s="107">
        <v>-12.632993403357329</v>
      </c>
      <c r="H24" s="107">
        <v>-0.64282494901863718</v>
      </c>
      <c r="I24" s="107">
        <v>-8.4383700475463327E-2</v>
      </c>
      <c r="J24" s="107">
        <v>-1.9240662194238381E-2</v>
      </c>
      <c r="K24" s="115">
        <v>10</v>
      </c>
      <c r="L24" s="115">
        <v>0</v>
      </c>
      <c r="M24" s="115">
        <v>0</v>
      </c>
      <c r="N24" s="115">
        <v>0</v>
      </c>
      <c r="O24" s="115">
        <v>8.2259291325157324</v>
      </c>
      <c r="P24" s="115">
        <v>9.5571411893341836</v>
      </c>
      <c r="Q24" s="111">
        <v>0.82259291325157313</v>
      </c>
      <c r="R24" s="68">
        <v>0.95571411893341829</v>
      </c>
    </row>
    <row r="25" spans="1:18">
      <c r="A25" s="102" t="s">
        <v>327</v>
      </c>
      <c r="B25" s="102" t="s">
        <v>328</v>
      </c>
      <c r="D25" s="103" t="s">
        <v>277</v>
      </c>
      <c r="E25" s="107">
        <v>4.5</v>
      </c>
      <c r="F25" s="107">
        <v>-4.4608464360130071</v>
      </c>
      <c r="G25" s="107">
        <v>-31.385997912806317</v>
      </c>
      <c r="H25" s="107">
        <v>-2.4124930862728111</v>
      </c>
      <c r="I25" s="107">
        <v>-8.5179250643888926E-2</v>
      </c>
      <c r="J25" s="107">
        <v>-1.9832949396761699E-2</v>
      </c>
      <c r="K25" s="115">
        <v>10</v>
      </c>
      <c r="L25" s="115">
        <v>0</v>
      </c>
      <c r="M25" s="115">
        <v>0</v>
      </c>
      <c r="N25" s="115">
        <v>0</v>
      </c>
      <c r="O25" s="115">
        <v>8.235126256802074</v>
      </c>
      <c r="P25" s="115">
        <v>9.5723057760159165</v>
      </c>
      <c r="Q25" s="111">
        <v>0.82351262568020744</v>
      </c>
      <c r="R25" s="68">
        <v>0.95723057760159147</v>
      </c>
    </row>
    <row r="26" spans="1:18">
      <c r="A26" s="102" t="s">
        <v>329</v>
      </c>
      <c r="B26" s="102" t="s">
        <v>330</v>
      </c>
      <c r="D26" s="103" t="s">
        <v>176</v>
      </c>
      <c r="F26" s="107">
        <v>-1.0188128292288452</v>
      </c>
      <c r="G26" s="107">
        <v>-14.581641512313464</v>
      </c>
      <c r="H26" s="107">
        <v>-0.77222000000000002</v>
      </c>
      <c r="I26" s="107">
        <v>-8.5163974954877333E-2</v>
      </c>
      <c r="J26" s="107">
        <v>-2.0122302778720215E-2</v>
      </c>
      <c r="K26" s="115">
        <v>10</v>
      </c>
      <c r="L26" s="115">
        <v>0</v>
      </c>
      <c r="M26" s="115">
        <v>0</v>
      </c>
      <c r="N26" s="115">
        <v>0</v>
      </c>
      <c r="O26" s="115">
        <v>8.2049116288006854</v>
      </c>
      <c r="P26" s="115">
        <v>9.5304976808968593</v>
      </c>
      <c r="Q26" s="111">
        <v>0.82049116288006851</v>
      </c>
      <c r="R26" s="68">
        <v>0.95304976808968578</v>
      </c>
    </row>
    <row r="27" spans="1:18">
      <c r="A27" s="102" t="s">
        <v>331</v>
      </c>
      <c r="B27" s="102" t="s">
        <v>332</v>
      </c>
      <c r="D27" s="103" t="s">
        <v>176</v>
      </c>
      <c r="F27" s="107">
        <v>0.34431717077115459</v>
      </c>
      <c r="G27" s="107">
        <v>-10.473511512313463</v>
      </c>
      <c r="H27" s="107">
        <v>0.60446</v>
      </c>
      <c r="I27" s="107">
        <v>-6.7456527615101999E-2</v>
      </c>
      <c r="J27" s="107">
        <v>-8.0567912229723461E-3</v>
      </c>
      <c r="K27" s="115">
        <v>10</v>
      </c>
      <c r="L27" s="115">
        <v>0</v>
      </c>
      <c r="M27" s="115">
        <v>0</v>
      </c>
      <c r="N27" s="115">
        <v>0</v>
      </c>
      <c r="O27" s="115">
        <v>8.3849435884670473</v>
      </c>
      <c r="P27" s="115">
        <v>9.6139062221622424</v>
      </c>
      <c r="Q27" s="111">
        <v>0.83849435884670465</v>
      </c>
      <c r="R27" s="68">
        <v>0.96139062221622418</v>
      </c>
    </row>
    <row r="28" spans="1:18">
      <c r="A28" s="102" t="s">
        <v>333</v>
      </c>
      <c r="B28" s="102" t="s">
        <v>334</v>
      </c>
      <c r="D28" s="103" t="s">
        <v>277</v>
      </c>
      <c r="E28" s="107">
        <v>9.1999999999999993</v>
      </c>
      <c r="F28" s="107">
        <v>-1.5236097809182529</v>
      </c>
      <c r="G28" s="107">
        <v>-17.591440640625915</v>
      </c>
      <c r="H28" s="107">
        <v>-1.2812813628181341</v>
      </c>
      <c r="I28" s="107">
        <v>-8.5706425590229895E-2</v>
      </c>
      <c r="J28" s="107">
        <v>-2.0466341544571883E-2</v>
      </c>
      <c r="K28" s="115">
        <v>10</v>
      </c>
      <c r="L28" s="115">
        <v>0</v>
      </c>
      <c r="M28" s="115">
        <v>0</v>
      </c>
      <c r="N28" s="115">
        <v>0</v>
      </c>
      <c r="O28" s="115">
        <v>8.2095198958702529</v>
      </c>
      <c r="P28" s="115">
        <v>9.5402080058824996</v>
      </c>
      <c r="Q28" s="111">
        <v>0.82095198958702509</v>
      </c>
      <c r="R28" s="68">
        <v>0.9540208005882499</v>
      </c>
    </row>
    <row r="29" spans="1:18">
      <c r="A29" s="102" t="s">
        <v>335</v>
      </c>
      <c r="B29" s="102" t="s">
        <v>336</v>
      </c>
      <c r="D29" s="103" t="s">
        <v>277</v>
      </c>
      <c r="E29" s="107">
        <v>3.3</v>
      </c>
      <c r="F29" s="107">
        <v>-2.0523945313870318</v>
      </c>
      <c r="G29" s="107">
        <v>-13.867546008180344</v>
      </c>
      <c r="H29" s="107">
        <v>0.62077033956414307</v>
      </c>
      <c r="I29" s="107">
        <v>-1.8185909227640202E-2</v>
      </c>
      <c r="J29" s="107">
        <v>7.5695781598402664E-2</v>
      </c>
      <c r="K29" s="115">
        <v>10</v>
      </c>
      <c r="L29" s="115">
        <v>0</v>
      </c>
      <c r="M29" s="115">
        <v>0</v>
      </c>
      <c r="N29" s="115">
        <v>0</v>
      </c>
      <c r="O29" s="115">
        <v>9.4739417129725521</v>
      </c>
      <c r="P29" s="115">
        <v>11.760137492829507</v>
      </c>
      <c r="Q29" s="111">
        <v>0.94739417129725523</v>
      </c>
      <c r="R29" s="68">
        <v>1.1760137492829505</v>
      </c>
    </row>
    <row r="30" spans="1:18">
      <c r="A30" s="102" t="s">
        <v>337</v>
      </c>
      <c r="B30" s="102" t="s">
        <v>338</v>
      </c>
      <c r="D30" s="103" t="s">
        <v>341</v>
      </c>
      <c r="E30" s="107">
        <v>9.1999999999999993</v>
      </c>
      <c r="F30" s="107">
        <v>2.5901880416887386</v>
      </c>
      <c r="G30" s="107">
        <v>-17.556220640625913</v>
      </c>
      <c r="H30" s="107">
        <v>3.7458429058309264</v>
      </c>
      <c r="I30" s="107">
        <v>1.6337163299651054</v>
      </c>
      <c r="J30" s="107">
        <v>1.7477799996926326</v>
      </c>
      <c r="K30" s="115">
        <v>10</v>
      </c>
      <c r="L30" s="115">
        <v>0</v>
      </c>
      <c r="M30" s="115">
        <v>0</v>
      </c>
      <c r="N30" s="115">
        <v>0</v>
      </c>
      <c r="O30" s="115">
        <v>102.09073434473362</v>
      </c>
      <c r="P30" s="115">
        <v>132.75472806984681</v>
      </c>
      <c r="Q30" s="111">
        <v>10.20907343447336</v>
      </c>
      <c r="R30" s="68">
        <v>13.275472806984681</v>
      </c>
    </row>
    <row r="31" spans="1:18">
      <c r="A31" s="102" t="s">
        <v>275</v>
      </c>
      <c r="B31" s="102" t="s">
        <v>339</v>
      </c>
      <c r="D31" s="103" t="s">
        <v>176</v>
      </c>
      <c r="F31" s="107">
        <v>2.3764371707711547</v>
      </c>
      <c r="G31" s="107">
        <v>-11.161391512313463</v>
      </c>
      <c r="H31" s="107">
        <v>2.6567799999999995</v>
      </c>
      <c r="I31" s="107">
        <v>0.717032144567608</v>
      </c>
      <c r="J31" s="107">
        <v>0.69013713823220491</v>
      </c>
      <c r="K31" s="115">
        <v>10</v>
      </c>
      <c r="L31" s="115">
        <v>0</v>
      </c>
      <c r="M31" s="115">
        <v>0</v>
      </c>
      <c r="N31" s="115">
        <v>0</v>
      </c>
      <c r="O31" s="115">
        <v>34.220493410528761</v>
      </c>
      <c r="P31" s="115">
        <v>32.165570663937103</v>
      </c>
      <c r="Q31" s="111">
        <v>3.4220493410528761</v>
      </c>
      <c r="R31" s="68">
        <v>3.2165570663937104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31"/>
  <sheetViews>
    <sheetView workbookViewId="0">
      <selection activeCell="W31" sqref="W31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285</v>
      </c>
      <c r="B2" s="102" t="s">
        <v>286</v>
      </c>
      <c r="D2" s="107" t="s">
        <v>277</v>
      </c>
      <c r="E2" s="107">
        <v>8.1999999999999993</v>
      </c>
      <c r="F2" s="107">
        <v>-1.7842829228845294E-2</v>
      </c>
      <c r="G2" s="107">
        <v>-3.5178428292288446</v>
      </c>
      <c r="H2" s="107">
        <v>-8.1713097632659604E-2</v>
      </c>
      <c r="I2" s="107">
        <v>-1.7842829228845294E-2</v>
      </c>
      <c r="J2" s="107">
        <v>-3.5178428292288446</v>
      </c>
      <c r="K2" s="107">
        <v>-8.1713097632659604E-2</v>
      </c>
      <c r="L2" s="107">
        <v>0.23869999999999994</v>
      </c>
      <c r="M2" s="107">
        <v>-0.76129999999999998</v>
      </c>
      <c r="N2" s="107">
        <v>0.18163709416907323</v>
      </c>
      <c r="O2" s="107">
        <v>-0.57429999999999992</v>
      </c>
      <c r="P2" s="107">
        <v>-0.57429999999999992</v>
      </c>
      <c r="Q2" s="107">
        <v>-0.57429999999999992</v>
      </c>
      <c r="R2" s="107">
        <v>-14.675671512313464</v>
      </c>
      <c r="S2" s="107">
        <v>-14.739563546456843</v>
      </c>
      <c r="T2" s="107">
        <v>-4.6968428292288449</v>
      </c>
      <c r="U2" s="107">
        <v>-8.1968428292288458</v>
      </c>
      <c r="V2" s="107">
        <v>-4.7607130976326593</v>
      </c>
      <c r="W2" s="112">
        <v>152.10002456018552</v>
      </c>
    </row>
    <row r="3" spans="1:23">
      <c r="A3" s="102" t="s">
        <v>287</v>
      </c>
      <c r="B3" s="102" t="s">
        <v>288</v>
      </c>
      <c r="D3" s="107" t="s">
        <v>176</v>
      </c>
      <c r="F3" s="107">
        <v>1.7527171707711544</v>
      </c>
      <c r="H3" s="107">
        <v>1.7527171707711544</v>
      </c>
      <c r="I3" s="107">
        <v>1.7527171707711544</v>
      </c>
      <c r="K3" s="107">
        <v>1.7527171707711544</v>
      </c>
      <c r="L3" s="107">
        <v>2.0268600000000001</v>
      </c>
      <c r="N3" s="107">
        <v>2.0268600000000001</v>
      </c>
      <c r="O3" s="107">
        <v>1.3370600000000001</v>
      </c>
      <c r="Q3" s="107">
        <v>1.3370600000000001</v>
      </c>
      <c r="R3" s="107">
        <v>-5.8951115123134636</v>
      </c>
      <c r="S3" s="107">
        <v>-5.8951115123134636</v>
      </c>
      <c r="T3" s="107">
        <v>-3.7006828292288447</v>
      </c>
      <c r="V3" s="107">
        <v>-3.7006828292288447</v>
      </c>
      <c r="W3" s="112">
        <v>1067.9673129192126</v>
      </c>
    </row>
    <row r="4" spans="1:23">
      <c r="A4" s="102" t="s">
        <v>289</v>
      </c>
      <c r="B4" s="102" t="s">
        <v>290</v>
      </c>
      <c r="D4" s="107" t="s">
        <v>176</v>
      </c>
      <c r="F4" s="107">
        <v>3.3220771707711547</v>
      </c>
      <c r="H4" s="107">
        <v>3.3220771707711547</v>
      </c>
      <c r="I4" s="107">
        <v>3.3220771707711547</v>
      </c>
      <c r="K4" s="107">
        <v>3.3220771707711547</v>
      </c>
      <c r="L4" s="107">
        <v>3.6118199999999989</v>
      </c>
      <c r="N4" s="107">
        <v>3.6118199999999989</v>
      </c>
      <c r="O4" s="107">
        <v>3.0312199999999998</v>
      </c>
      <c r="Q4" s="107">
        <v>3.0312199999999998</v>
      </c>
      <c r="R4" s="107">
        <v>-4.3557515123134634</v>
      </c>
      <c r="S4" s="107">
        <v>-4.3557515123134634</v>
      </c>
      <c r="T4" s="107">
        <v>-2.8177228292288445</v>
      </c>
      <c r="V4" s="107">
        <v>-2.8177228292288445</v>
      </c>
      <c r="W4" s="112">
        <v>449.39380818936843</v>
      </c>
    </row>
    <row r="5" spans="1:23">
      <c r="A5" s="102" t="s">
        <v>291</v>
      </c>
      <c r="B5" s="102" t="s">
        <v>292</v>
      </c>
      <c r="D5" s="107" t="s">
        <v>277</v>
      </c>
      <c r="E5" s="107">
        <v>4.7</v>
      </c>
      <c r="F5" s="107">
        <v>0.60084717077115468</v>
      </c>
      <c r="G5" s="107">
        <v>-2.8991528292288451</v>
      </c>
      <c r="H5" s="107">
        <v>-2.0361264631682592</v>
      </c>
      <c r="I5" s="107">
        <v>0.60084717077115468</v>
      </c>
      <c r="J5" s="107">
        <v>-2.8991528292288451</v>
      </c>
      <c r="K5" s="107">
        <v>-2.0361264631682592</v>
      </c>
      <c r="L5" s="107">
        <v>0.86353999999999997</v>
      </c>
      <c r="M5" s="107">
        <v>-0.13646000000000005</v>
      </c>
      <c r="N5" s="107">
        <v>-0.12874566885275762</v>
      </c>
      <c r="O5" s="107">
        <v>9.3590000000000062E-2</v>
      </c>
      <c r="P5" s="107">
        <v>9.3590000000000062E-2</v>
      </c>
      <c r="Q5" s="107">
        <v>9.3590000000000062E-2</v>
      </c>
      <c r="R5" s="107">
        <v>-16.171981512313462</v>
      </c>
      <c r="S5" s="107">
        <v>-18.872847180396256</v>
      </c>
      <c r="T5" s="107">
        <v>-4.3487528292288449</v>
      </c>
      <c r="U5" s="107">
        <v>-7.8487528292288449</v>
      </c>
      <c r="V5" s="107">
        <v>-6.985726463168259</v>
      </c>
      <c r="W5" s="112">
        <v>289567.70520483505</v>
      </c>
    </row>
    <row r="6" spans="1:23">
      <c r="A6" s="102" t="s">
        <v>278</v>
      </c>
      <c r="B6" s="102" t="s">
        <v>279</v>
      </c>
      <c r="D6" s="107" t="s">
        <v>176</v>
      </c>
      <c r="F6" s="107">
        <v>4.871317170771154</v>
      </c>
      <c r="H6" s="107">
        <v>4.871317170771154</v>
      </c>
      <c r="I6" s="107">
        <v>4.871317170771154</v>
      </c>
      <c r="K6" s="107">
        <v>4.871317170771154</v>
      </c>
      <c r="L6" s="107">
        <v>5.1764599999999996</v>
      </c>
      <c r="N6" s="107">
        <v>5.1764599999999996</v>
      </c>
      <c r="O6" s="107">
        <v>4.4420599999999997</v>
      </c>
      <c r="Q6" s="107">
        <v>4.4420599999999997</v>
      </c>
      <c r="R6" s="107">
        <v>-3.7165115123134638</v>
      </c>
      <c r="S6" s="107">
        <v>-3.7165115123134638</v>
      </c>
      <c r="T6" s="107">
        <v>-1.9460828292288448</v>
      </c>
      <c r="V6" s="107">
        <v>-1.9460828292288448</v>
      </c>
      <c r="W6" s="112">
        <v>1.4104451355628023</v>
      </c>
    </row>
    <row r="7" spans="1:23">
      <c r="A7" s="102" t="s">
        <v>293</v>
      </c>
      <c r="B7" s="102" t="s">
        <v>294</v>
      </c>
      <c r="D7" s="107" t="s">
        <v>341</v>
      </c>
      <c r="E7" s="107">
        <v>17.600000000000001</v>
      </c>
      <c r="F7" s="107">
        <v>-0.70695282922884517</v>
      </c>
      <c r="G7" s="107">
        <v>-4.2069528292288458</v>
      </c>
      <c r="H7" s="107">
        <v>-4.2069527426031152</v>
      </c>
      <c r="I7" s="107">
        <v>-0.70695282922884517</v>
      </c>
      <c r="J7" s="107">
        <v>-4.2069528292288458</v>
      </c>
      <c r="K7" s="107">
        <v>-4.2069527426031152</v>
      </c>
      <c r="L7" s="107">
        <v>-0.45726</v>
      </c>
      <c r="M7" s="107">
        <v>-1.45726</v>
      </c>
      <c r="N7" s="107">
        <v>-1.4572599997533806</v>
      </c>
      <c r="O7" s="107">
        <v>-1.3182099999999999</v>
      </c>
      <c r="P7" s="107">
        <v>-2.3182099999999997</v>
      </c>
      <c r="Q7" s="107">
        <v>-2.3182099997533805</v>
      </c>
      <c r="R7" s="107">
        <v>-9.3497815123134629</v>
      </c>
      <c r="S7" s="107">
        <v>-19.549781512340864</v>
      </c>
      <c r="T7" s="107">
        <v>-5.0845528292288451</v>
      </c>
      <c r="U7" s="107">
        <v>-8.5845528292288442</v>
      </c>
      <c r="V7" s="107">
        <v>-8.5845527426031136</v>
      </c>
      <c r="W7" s="112">
        <v>1.8357248480915556E+16</v>
      </c>
    </row>
    <row r="8" spans="1:23">
      <c r="A8" s="102" t="s">
        <v>295</v>
      </c>
      <c r="B8" s="102" t="s">
        <v>296</v>
      </c>
      <c r="D8" s="107" t="s">
        <v>341</v>
      </c>
      <c r="E8" s="107">
        <v>6.1</v>
      </c>
      <c r="F8" s="107">
        <v>0.58072717077115465</v>
      </c>
      <c r="G8" s="107">
        <v>-2.919272829228845</v>
      </c>
      <c r="H8" s="107">
        <v>0.55949565190603401</v>
      </c>
      <c r="I8" s="107">
        <v>0.58072717077115465</v>
      </c>
      <c r="J8" s="107">
        <v>-2.919272829228845</v>
      </c>
      <c r="K8" s="107">
        <v>0.55949565190603401</v>
      </c>
      <c r="L8" s="107">
        <v>0.84321999999999997</v>
      </c>
      <c r="M8" s="107">
        <v>-0.15678000000000003</v>
      </c>
      <c r="N8" s="107">
        <v>0.82415279024988986</v>
      </c>
      <c r="O8" s="107">
        <v>7.1870000000000003E-2</v>
      </c>
      <c r="P8" s="107">
        <v>-0.9281299999999999</v>
      </c>
      <c r="Q8" s="107">
        <v>5.2802790249890021E-2</v>
      </c>
      <c r="R8" s="107">
        <v>-9.772101512313462</v>
      </c>
      <c r="S8" s="107">
        <v>-9.7933399142277171</v>
      </c>
      <c r="T8" s="107">
        <v>-4.3600728292288453</v>
      </c>
      <c r="U8" s="107">
        <v>-7.8600728292288453</v>
      </c>
      <c r="V8" s="107">
        <v>-4.3813043480939662</v>
      </c>
      <c r="W8" s="112">
        <v>63135.661590961579</v>
      </c>
    </row>
    <row r="9" spans="1:23">
      <c r="A9" s="102" t="s">
        <v>297</v>
      </c>
      <c r="B9" s="102" t="s">
        <v>298</v>
      </c>
      <c r="D9" s="107" t="s">
        <v>176</v>
      </c>
      <c r="F9" s="107">
        <v>6.5412771707711537</v>
      </c>
      <c r="H9" s="107">
        <v>6.5412771707711537</v>
      </c>
      <c r="I9" s="107">
        <v>6.5412771707711537</v>
      </c>
      <c r="K9" s="107">
        <v>6.5412771707711537</v>
      </c>
      <c r="L9" s="107">
        <v>6.8630199999999997</v>
      </c>
      <c r="N9" s="107">
        <v>6.8630199999999997</v>
      </c>
      <c r="O9" s="107">
        <v>5.0662199999999995</v>
      </c>
      <c r="Q9" s="107">
        <v>5.0662199999999995</v>
      </c>
      <c r="R9" s="107">
        <v>-5.9865515123134632</v>
      </c>
      <c r="S9" s="107">
        <v>-5.9865515123134632</v>
      </c>
      <c r="T9" s="107">
        <v>-1.0065228292288448</v>
      </c>
      <c r="V9" s="107">
        <v>-1.0065228292288448</v>
      </c>
      <c r="W9" s="112">
        <v>1.7715670462431807E-2</v>
      </c>
    </row>
    <row r="10" spans="1:23">
      <c r="A10" s="102" t="s">
        <v>299</v>
      </c>
      <c r="B10" s="102" t="s">
        <v>300</v>
      </c>
      <c r="D10" s="107" t="s">
        <v>176</v>
      </c>
      <c r="F10" s="107">
        <v>2.0746371707711551</v>
      </c>
      <c r="H10" s="107">
        <v>2.0746371707711551</v>
      </c>
      <c r="I10" s="107">
        <v>2.0746371707711551</v>
      </c>
      <c r="K10" s="107">
        <v>2.0746371707711551</v>
      </c>
      <c r="L10" s="107">
        <v>2.3519799999999997</v>
      </c>
      <c r="N10" s="107">
        <v>2.3519799999999997</v>
      </c>
      <c r="O10" s="107">
        <v>1.6845800000000002</v>
      </c>
      <c r="Q10" s="107">
        <v>1.6845800000000002</v>
      </c>
      <c r="R10" s="107">
        <v>-6.1331915123134637</v>
      </c>
      <c r="S10" s="107">
        <v>-6.1331915123134637</v>
      </c>
      <c r="T10" s="107">
        <v>-3.5195628292288443</v>
      </c>
      <c r="V10" s="107">
        <v>-3.5195628292288443</v>
      </c>
      <c r="W10" s="112">
        <v>1167.7374285161602</v>
      </c>
    </row>
    <row r="11" spans="1:23">
      <c r="A11" s="102" t="s">
        <v>301</v>
      </c>
      <c r="B11" s="102" t="s">
        <v>302</v>
      </c>
      <c r="D11" s="107" t="s">
        <v>176</v>
      </c>
      <c r="F11" s="107">
        <v>1.8130771707711544</v>
      </c>
      <c r="H11" s="107">
        <v>1.8130771707711544</v>
      </c>
      <c r="I11" s="107">
        <v>1.8130771707711544</v>
      </c>
      <c r="K11" s="107">
        <v>1.8130771707711544</v>
      </c>
      <c r="L11" s="107">
        <v>2.0878200000000002</v>
      </c>
      <c r="N11" s="107">
        <v>2.0878200000000002</v>
      </c>
      <c r="O11" s="107">
        <v>1.4022200000000002</v>
      </c>
      <c r="Q11" s="107">
        <v>1.4022200000000002</v>
      </c>
      <c r="R11" s="107">
        <v>-18.364751512313465</v>
      </c>
      <c r="S11" s="107">
        <v>-18.364751512313465</v>
      </c>
      <c r="T11" s="107">
        <v>-3.6667228292288443</v>
      </c>
      <c r="V11" s="107">
        <v>-3.6667228292288443</v>
      </c>
      <c r="W11" s="112">
        <v>100.40335484097999</v>
      </c>
    </row>
    <row r="12" spans="1:23">
      <c r="A12" s="102" t="s">
        <v>303</v>
      </c>
      <c r="B12" s="102" t="s">
        <v>304</v>
      </c>
      <c r="D12" s="107" t="s">
        <v>176</v>
      </c>
      <c r="F12" s="107">
        <v>1.1491171707711545</v>
      </c>
      <c r="H12" s="107">
        <v>1.1491171707711545</v>
      </c>
      <c r="I12" s="107">
        <v>1.1491171707711545</v>
      </c>
      <c r="K12" s="107">
        <v>1.1491171707711545</v>
      </c>
      <c r="L12" s="107">
        <v>1.41726</v>
      </c>
      <c r="N12" s="107">
        <v>1.41726</v>
      </c>
      <c r="O12" s="107">
        <v>0.68546000000000007</v>
      </c>
      <c r="Q12" s="107">
        <v>0.68546000000000007</v>
      </c>
      <c r="R12" s="107">
        <v>-30.268711512313462</v>
      </c>
      <c r="S12" s="107">
        <v>-30.268711512313462</v>
      </c>
      <c r="T12" s="107">
        <v>-4.0402828292288442</v>
      </c>
      <c r="V12" s="107">
        <v>-4.0402828292288442</v>
      </c>
      <c r="W12" s="112">
        <v>76.413431494481472</v>
      </c>
    </row>
    <row r="13" spans="1:23">
      <c r="A13" s="102" t="s">
        <v>305</v>
      </c>
      <c r="B13" s="102" t="s">
        <v>306</v>
      </c>
      <c r="D13" s="107" t="s">
        <v>176</v>
      </c>
      <c r="F13" s="107">
        <v>5.4246171707711541</v>
      </c>
      <c r="H13" s="107">
        <v>5.4246171707711541</v>
      </c>
      <c r="I13" s="107">
        <v>5.4246171707711541</v>
      </c>
      <c r="K13" s="107">
        <v>5.4246171707711541</v>
      </c>
      <c r="L13" s="107">
        <v>5.7352599999999994</v>
      </c>
      <c r="N13" s="107">
        <v>5.7352599999999994</v>
      </c>
      <c r="O13" s="107">
        <v>4.64886</v>
      </c>
      <c r="Q13" s="107">
        <v>4.64886</v>
      </c>
      <c r="R13" s="107">
        <v>-6.7832115123134633</v>
      </c>
      <c r="S13" s="107">
        <v>-6.7832115123134633</v>
      </c>
      <c r="T13" s="107">
        <v>-1.6347828292288451</v>
      </c>
      <c r="V13" s="107">
        <v>-1.6347828292288451</v>
      </c>
      <c r="W13" s="112">
        <v>0.18200839174765743</v>
      </c>
    </row>
    <row r="14" spans="1:23">
      <c r="A14" s="102" t="s">
        <v>307</v>
      </c>
      <c r="B14" s="102" t="s">
        <v>308</v>
      </c>
      <c r="D14" s="107" t="s">
        <v>176</v>
      </c>
      <c r="F14" s="107">
        <v>3.1309371707711549</v>
      </c>
      <c r="H14" s="107">
        <v>3.1309371707711549</v>
      </c>
      <c r="I14" s="107">
        <v>3.1309371707711549</v>
      </c>
      <c r="K14" s="107">
        <v>3.1309371707711549</v>
      </c>
      <c r="L14" s="107">
        <v>3.4187799999999995</v>
      </c>
      <c r="N14" s="107">
        <v>3.4187799999999995</v>
      </c>
      <c r="O14" s="107">
        <v>2.8248799999999998</v>
      </c>
      <c r="Q14" s="107">
        <v>2.8248799999999998</v>
      </c>
      <c r="R14" s="107">
        <v>-9.556891512313463</v>
      </c>
      <c r="S14" s="107">
        <v>-9.556891512313463</v>
      </c>
      <c r="T14" s="107">
        <v>-2.9252628292288443</v>
      </c>
      <c r="V14" s="107">
        <v>-2.9252628292288443</v>
      </c>
      <c r="W14" s="112">
        <v>0.46966011438037109</v>
      </c>
    </row>
    <row r="15" spans="1:23">
      <c r="A15" s="102" t="s">
        <v>309</v>
      </c>
      <c r="B15" s="102" t="s">
        <v>310</v>
      </c>
      <c r="D15" s="107" t="s">
        <v>176</v>
      </c>
      <c r="F15" s="107">
        <v>3.9156171707711542</v>
      </c>
      <c r="H15" s="107">
        <v>3.9156171707711542</v>
      </c>
      <c r="I15" s="107">
        <v>3.9156171707711542</v>
      </c>
      <c r="K15" s="107">
        <v>3.9156171707711542</v>
      </c>
      <c r="L15" s="107">
        <v>4.2112599999999993</v>
      </c>
      <c r="N15" s="107">
        <v>4.2112599999999993</v>
      </c>
      <c r="O15" s="107">
        <v>3.6719599999999999</v>
      </c>
      <c r="Q15" s="107">
        <v>3.6719599999999999</v>
      </c>
      <c r="R15" s="107">
        <v>-4.2522115123134636</v>
      </c>
      <c r="S15" s="107">
        <v>-4.2522115123134636</v>
      </c>
      <c r="T15" s="107">
        <v>-2.4837828292288444</v>
      </c>
      <c r="V15" s="107">
        <v>-2.4837828292288444</v>
      </c>
      <c r="W15" s="112">
        <v>0.60688881019684437</v>
      </c>
    </row>
    <row r="16" spans="1:23">
      <c r="A16" s="102" t="s">
        <v>311</v>
      </c>
      <c r="B16" s="102" t="s">
        <v>312</v>
      </c>
      <c r="D16" s="107" t="s">
        <v>277</v>
      </c>
      <c r="E16" s="107">
        <v>3</v>
      </c>
      <c r="F16" s="107">
        <v>1.9237371707711546</v>
      </c>
      <c r="G16" s="107">
        <v>-1.5762628292288452</v>
      </c>
      <c r="H16" s="107">
        <v>-1.5247831764342068</v>
      </c>
      <c r="I16" s="107">
        <v>1.9237371707711546</v>
      </c>
      <c r="J16" s="107">
        <v>-1.5762628292288452</v>
      </c>
      <c r="K16" s="107">
        <v>-1.5247831764342068</v>
      </c>
      <c r="L16" s="107">
        <v>2.1995799999999992</v>
      </c>
      <c r="M16" s="107">
        <v>1.1995799999999996</v>
      </c>
      <c r="N16" s="107">
        <v>1.1997355721103982</v>
      </c>
      <c r="O16" s="107">
        <v>1.5216799999999999</v>
      </c>
      <c r="P16" s="107">
        <v>1.5216799999999999</v>
      </c>
      <c r="Q16" s="107">
        <v>1.5216799999999999</v>
      </c>
      <c r="R16" s="107">
        <v>-15.864091512313463</v>
      </c>
      <c r="S16" s="107">
        <v>-20.264108801544054</v>
      </c>
      <c r="T16" s="107">
        <v>-3.6044628292288445</v>
      </c>
      <c r="U16" s="107">
        <v>-7.1044628292288454</v>
      </c>
      <c r="V16" s="107">
        <v>-7.0529831764342052</v>
      </c>
      <c r="W16" s="112">
        <v>1411297.2051767451</v>
      </c>
    </row>
    <row r="17" spans="1:23">
      <c r="A17" s="102" t="s">
        <v>313</v>
      </c>
      <c r="B17" s="102" t="s">
        <v>314</v>
      </c>
      <c r="D17" s="107" t="s">
        <v>277</v>
      </c>
      <c r="E17" s="107">
        <v>5</v>
      </c>
      <c r="F17" s="107">
        <v>4.7606571707711538</v>
      </c>
      <c r="G17" s="107">
        <v>1.2606571707711545</v>
      </c>
      <c r="H17" s="107">
        <v>2.3921272657307884</v>
      </c>
      <c r="I17" s="107">
        <v>4.7606571707711538</v>
      </c>
      <c r="J17" s="107">
        <v>1.2606571707711545</v>
      </c>
      <c r="K17" s="107">
        <v>2.3921272657307884</v>
      </c>
      <c r="L17" s="107">
        <v>5.0646999999999993</v>
      </c>
      <c r="M17" s="107">
        <v>4.0646999999999984</v>
      </c>
      <c r="N17" s="107">
        <v>4.0799287642507389</v>
      </c>
      <c r="O17" s="107">
        <v>4.4006999999999996</v>
      </c>
      <c r="P17" s="107">
        <v>4.4006999999999996</v>
      </c>
      <c r="Q17" s="107">
        <v>4.4006999999999996</v>
      </c>
      <c r="R17" s="107">
        <v>-17.547171512313462</v>
      </c>
      <c r="S17" s="107">
        <v>-19.948897037342256</v>
      </c>
      <c r="T17" s="107">
        <v>-2.008342829228845</v>
      </c>
      <c r="U17" s="107">
        <v>-5.5083428292288446</v>
      </c>
      <c r="V17" s="107">
        <v>-4.3768727342692104</v>
      </c>
      <c r="W17" s="112">
        <v>1241.1268109543619</v>
      </c>
    </row>
    <row r="18" spans="1:23">
      <c r="A18" s="102" t="s">
        <v>315</v>
      </c>
      <c r="B18" s="168">
        <v>354656</v>
      </c>
      <c r="D18" s="107" t="s">
        <v>176</v>
      </c>
      <c r="F18" s="107">
        <v>1.2337170771154734E-2</v>
      </c>
      <c r="H18" s="107">
        <v>1.2337170771154734E-2</v>
      </c>
      <c r="I18" s="107">
        <v>1.2337170771154734E-2</v>
      </c>
      <c r="K18" s="107">
        <v>1.2337170771154734E-2</v>
      </c>
      <c r="L18" s="107">
        <v>0.26918000000000003</v>
      </c>
      <c r="N18" s="107">
        <v>0.26918000000000003</v>
      </c>
      <c r="O18" s="107">
        <v>-0.54171999999999987</v>
      </c>
      <c r="Q18" s="107">
        <v>-0.54171999999999987</v>
      </c>
      <c r="R18" s="107">
        <v>-11.375491512313465</v>
      </c>
      <c r="S18" s="107">
        <v>-11.375491512313465</v>
      </c>
      <c r="T18" s="107">
        <v>-4.6798628292288447</v>
      </c>
      <c r="V18" s="107">
        <v>-4.6798628292288447</v>
      </c>
      <c r="W18" s="112">
        <v>158750.86025550656</v>
      </c>
    </row>
    <row r="19" spans="1:23">
      <c r="A19" s="102" t="s">
        <v>317</v>
      </c>
      <c r="B19" s="102" t="s">
        <v>318</v>
      </c>
      <c r="D19" s="107" t="s">
        <v>341</v>
      </c>
      <c r="E19" s="107">
        <v>6</v>
      </c>
      <c r="F19" s="107">
        <v>0.61090717077115464</v>
      </c>
      <c r="G19" s="107">
        <v>-2.8890928292288449</v>
      </c>
      <c r="H19" s="107">
        <v>0.59395834890080101</v>
      </c>
      <c r="I19" s="107">
        <v>0.61090717077115464</v>
      </c>
      <c r="J19" s="107">
        <v>-2.8890928292288449</v>
      </c>
      <c r="K19" s="107">
        <v>0.59395834890080101</v>
      </c>
      <c r="L19" s="107">
        <v>0.8736999999999997</v>
      </c>
      <c r="M19" s="107">
        <v>-0.12630000000000005</v>
      </c>
      <c r="N19" s="107">
        <v>0.85847123574925954</v>
      </c>
      <c r="O19" s="107">
        <v>0.10445000000000002</v>
      </c>
      <c r="P19" s="107">
        <v>-0.89554999999999985</v>
      </c>
      <c r="Q19" s="107">
        <v>8.922123574925972E-2</v>
      </c>
      <c r="R19" s="107">
        <v>-11.171921512313462</v>
      </c>
      <c r="S19" s="107">
        <v>-11.188875801592996</v>
      </c>
      <c r="T19" s="107">
        <v>-4.3430928292288451</v>
      </c>
      <c r="U19" s="107">
        <v>-7.8430928292288451</v>
      </c>
      <c r="V19" s="107">
        <v>-4.3600416510991993</v>
      </c>
      <c r="W19" s="112">
        <v>285909.99573127169</v>
      </c>
    </row>
    <row r="20" spans="1:23">
      <c r="A20" s="102" t="s">
        <v>284</v>
      </c>
      <c r="B20" s="102" t="s">
        <v>276</v>
      </c>
      <c r="D20" s="107" t="s">
        <v>277</v>
      </c>
      <c r="E20" s="107">
        <v>5.4</v>
      </c>
      <c r="F20" s="107">
        <v>3.6339371707711541</v>
      </c>
      <c r="G20" s="107">
        <v>0.13393717077115466</v>
      </c>
      <c r="H20" s="107">
        <v>1.6431367190965502</v>
      </c>
      <c r="I20" s="107">
        <v>3.6339371707711541</v>
      </c>
      <c r="J20" s="107">
        <v>0.13393717077115466</v>
      </c>
      <c r="K20" s="107">
        <v>1.6431367190965502</v>
      </c>
      <c r="L20" s="107">
        <v>3.9267799999999999</v>
      </c>
      <c r="M20" s="107">
        <v>2.9267799999999995</v>
      </c>
      <c r="N20" s="107">
        <v>2.9638513113755822</v>
      </c>
      <c r="O20" s="107">
        <v>3.3678799999999995</v>
      </c>
      <c r="P20" s="107">
        <v>3.3678799999999995</v>
      </c>
      <c r="Q20" s="107">
        <v>3.3678799999999995</v>
      </c>
      <c r="R20" s="107">
        <v>-5.7738915123134635</v>
      </c>
      <c r="S20" s="107">
        <v>-7.7782128860961048</v>
      </c>
      <c r="T20" s="107">
        <v>-2.6422628292288444</v>
      </c>
      <c r="U20" s="107">
        <v>-6.1422628292288444</v>
      </c>
      <c r="V20" s="107">
        <v>-4.6330632809034498</v>
      </c>
      <c r="W20" s="112">
        <v>4496.6328499680267</v>
      </c>
    </row>
    <row r="21" spans="1:23">
      <c r="A21" s="102" t="s">
        <v>319</v>
      </c>
      <c r="B21" s="102" t="s">
        <v>320</v>
      </c>
      <c r="D21" s="107" t="s">
        <v>341</v>
      </c>
      <c r="E21" s="107">
        <v>6.6</v>
      </c>
      <c r="F21" s="107">
        <v>4.2576571707711537</v>
      </c>
      <c r="G21" s="107">
        <v>0.75765717077115424</v>
      </c>
      <c r="H21" s="107">
        <v>4.1937869023673393</v>
      </c>
      <c r="I21" s="107">
        <v>4.2576571707711537</v>
      </c>
      <c r="J21" s="107">
        <v>0.75765717077115424</v>
      </c>
      <c r="K21" s="107">
        <v>4.1937869023673393</v>
      </c>
      <c r="L21" s="107">
        <v>4.5566999999999993</v>
      </c>
      <c r="M21" s="107">
        <v>3.5566999999999993</v>
      </c>
      <c r="N21" s="107">
        <v>4.4996370941690724</v>
      </c>
      <c r="O21" s="107">
        <v>4.041199999999999</v>
      </c>
      <c r="P21" s="107">
        <v>3.0411999999999995</v>
      </c>
      <c r="Q21" s="107">
        <v>3.984137094169073</v>
      </c>
      <c r="R21" s="107">
        <v>-19.550171512313462</v>
      </c>
      <c r="S21" s="107">
        <v>-19.61406354645684</v>
      </c>
      <c r="T21" s="107">
        <v>-2.2913428292288449</v>
      </c>
      <c r="U21" s="107">
        <v>-5.7913428292288449</v>
      </c>
      <c r="V21" s="107">
        <v>-2.3552130976326588</v>
      </c>
      <c r="W21" s="112">
        <v>120.32005385890838</v>
      </c>
    </row>
    <row r="22" spans="1:23">
      <c r="A22" s="102" t="s">
        <v>321</v>
      </c>
      <c r="B22" s="102" t="s">
        <v>322</v>
      </c>
      <c r="D22" s="107" t="s">
        <v>341</v>
      </c>
      <c r="E22" s="107">
        <v>9.6</v>
      </c>
      <c r="F22" s="107">
        <v>-0.9936628292288453</v>
      </c>
      <c r="G22" s="107">
        <v>-4.4936628292288452</v>
      </c>
      <c r="H22" s="107">
        <v>-3.1751560316495278</v>
      </c>
      <c r="I22" s="107">
        <v>-0.9936628292288453</v>
      </c>
      <c r="J22" s="107">
        <v>-4.4936628292288452</v>
      </c>
      <c r="K22" s="107">
        <v>-3.1751560316495278</v>
      </c>
      <c r="L22" s="107">
        <v>-0.74682000000000004</v>
      </c>
      <c r="M22" s="107">
        <v>-1.74682</v>
      </c>
      <c r="N22" s="107">
        <v>-1.7229792287388364</v>
      </c>
      <c r="O22" s="107">
        <v>-1.6277199999999996</v>
      </c>
      <c r="P22" s="107">
        <v>-2.6277199999999992</v>
      </c>
      <c r="Q22" s="107">
        <v>-2.6038792287388359</v>
      </c>
      <c r="R22" s="107">
        <v>-8.7114915123134633</v>
      </c>
      <c r="S22" s="107">
        <v>-10.914223116648401</v>
      </c>
      <c r="T22" s="107">
        <v>-5.2458628292288445</v>
      </c>
      <c r="U22" s="107">
        <v>-8.7458628292288427</v>
      </c>
      <c r="V22" s="107">
        <v>-7.427356031649528</v>
      </c>
      <c r="W22" s="102">
        <v>215524775.9380753</v>
      </c>
    </row>
    <row r="23" spans="1:23">
      <c r="A23" s="102" t="s">
        <v>323</v>
      </c>
      <c r="B23" s="102" t="s">
        <v>324</v>
      </c>
      <c r="D23" s="107" t="s">
        <v>341</v>
      </c>
      <c r="E23" s="107">
        <v>9</v>
      </c>
      <c r="F23" s="107">
        <v>2.5172771707711545</v>
      </c>
      <c r="G23" s="107">
        <v>-0.98272282922884502</v>
      </c>
      <c r="H23" s="107">
        <v>0.91193625947924384</v>
      </c>
      <c r="I23" s="107">
        <v>2.5172771707711545</v>
      </c>
      <c r="J23" s="107">
        <v>-0.98272282922884502</v>
      </c>
      <c r="K23" s="107">
        <v>0.91193625947924384</v>
      </c>
      <c r="L23" s="107">
        <v>2.7990199999999996</v>
      </c>
      <c r="M23" s="107">
        <v>1.7990199999999998</v>
      </c>
      <c r="N23" s="107">
        <v>1.8855685681967382</v>
      </c>
      <c r="O23" s="107">
        <v>2.16242</v>
      </c>
      <c r="P23" s="107">
        <v>1.1624200000000002</v>
      </c>
      <c r="Q23" s="107">
        <v>1.2489685681967386</v>
      </c>
      <c r="R23" s="107">
        <v>-11.860551512313464</v>
      </c>
      <c r="S23" s="107">
        <v>-13.471325737825421</v>
      </c>
      <c r="T23" s="107">
        <v>-3.2705228292288444</v>
      </c>
      <c r="U23" s="107">
        <v>-6.7705228292288444</v>
      </c>
      <c r="V23" s="107">
        <v>-4.8758637405207548</v>
      </c>
      <c r="W23" s="102">
        <v>9036.4372678997679</v>
      </c>
    </row>
    <row r="24" spans="1:23">
      <c r="A24" s="102" t="s">
        <v>325</v>
      </c>
      <c r="B24" s="102" t="s">
        <v>326</v>
      </c>
      <c r="D24" s="107" t="s">
        <v>277</v>
      </c>
      <c r="E24" s="107">
        <v>7.3</v>
      </c>
      <c r="F24" s="107">
        <v>-0.59126282922884521</v>
      </c>
      <c r="G24" s="107">
        <v>-4.0912628292288451</v>
      </c>
      <c r="H24" s="107">
        <v>-0.94499185893172233</v>
      </c>
      <c r="I24" s="107">
        <v>-0.59126282922884521</v>
      </c>
      <c r="J24" s="107">
        <v>-4.0912628292288451</v>
      </c>
      <c r="K24" s="107">
        <v>-0.94499185893172233</v>
      </c>
      <c r="L24" s="107">
        <v>-0.34041999999999994</v>
      </c>
      <c r="M24" s="107">
        <v>-1.3404199999999999</v>
      </c>
      <c r="N24" s="107">
        <v>-0.64282494901863718</v>
      </c>
      <c r="O24" s="107">
        <v>-1.1933199999999997</v>
      </c>
      <c r="P24" s="107">
        <v>-1.1933199999999997</v>
      </c>
      <c r="Q24" s="107">
        <v>-1.1933199999999997</v>
      </c>
      <c r="R24" s="107">
        <v>-12.279091512313462</v>
      </c>
      <c r="S24" s="107">
        <v>-12.632993403357329</v>
      </c>
      <c r="T24" s="107">
        <v>-5.0194628292288455</v>
      </c>
      <c r="U24" s="107">
        <v>-8.5194628292288446</v>
      </c>
      <c r="V24" s="107">
        <v>-5.3731918589317225</v>
      </c>
      <c r="W24" s="102">
        <v>287.35245178106493</v>
      </c>
    </row>
    <row r="25" spans="1:23">
      <c r="A25" s="102" t="s">
        <v>327</v>
      </c>
      <c r="B25" s="102" t="s">
        <v>328</v>
      </c>
      <c r="D25" s="107" t="s">
        <v>277</v>
      </c>
      <c r="E25" s="107">
        <v>4.5</v>
      </c>
      <c r="F25" s="107">
        <v>-1.6576228292288453</v>
      </c>
      <c r="G25" s="107">
        <v>-5.1576228292288455</v>
      </c>
      <c r="H25" s="107">
        <v>-4.4608464360130071</v>
      </c>
      <c r="I25" s="107">
        <v>-1.6576228292288453</v>
      </c>
      <c r="J25" s="107">
        <v>-5.1576228292288455</v>
      </c>
      <c r="K25" s="107">
        <v>-4.4608464360130071</v>
      </c>
      <c r="L25" s="107">
        <v>-1.4173799999999999</v>
      </c>
      <c r="M25" s="107">
        <v>-2.4173799999999996</v>
      </c>
      <c r="N25" s="107">
        <v>-2.4124930862728111</v>
      </c>
      <c r="O25" s="107">
        <v>-2.3444799999999999</v>
      </c>
      <c r="P25" s="107">
        <v>-2.3444799999999999</v>
      </c>
      <c r="Q25" s="107">
        <v>-2.3444799999999999</v>
      </c>
      <c r="R25" s="107">
        <v>-28.48545151231346</v>
      </c>
      <c r="S25" s="107">
        <v>-31.385997912806317</v>
      </c>
      <c r="T25" s="107">
        <v>-5.6194228292288448</v>
      </c>
      <c r="U25" s="107">
        <v>-9.1194228292288422</v>
      </c>
      <c r="V25" s="107">
        <v>-8.4226464360130056</v>
      </c>
      <c r="W25" s="102">
        <v>535499834.12688011</v>
      </c>
    </row>
    <row r="26" spans="1:23">
      <c r="A26" s="102" t="s">
        <v>329</v>
      </c>
      <c r="B26" s="102" t="s">
        <v>330</v>
      </c>
      <c r="D26" s="107" t="s">
        <v>176</v>
      </c>
      <c r="F26" s="107">
        <v>-1.0188128292288452</v>
      </c>
      <c r="H26" s="107">
        <v>-1.0188128292288452</v>
      </c>
      <c r="I26" s="107">
        <v>-1.0188128292288452</v>
      </c>
      <c r="K26" s="107">
        <v>-1.0188128292288452</v>
      </c>
      <c r="L26" s="107">
        <v>-0.77222000000000002</v>
      </c>
      <c r="N26" s="107">
        <v>-0.77222000000000002</v>
      </c>
      <c r="O26" s="107">
        <v>-1.6548699999999998</v>
      </c>
      <c r="Q26" s="107">
        <v>-1.6548699999999998</v>
      </c>
      <c r="R26" s="107">
        <v>-14.581641512313464</v>
      </c>
      <c r="S26" s="107">
        <v>-14.581641512313464</v>
      </c>
      <c r="T26" s="107">
        <v>-5.2600128292288453</v>
      </c>
      <c r="V26" s="107">
        <v>-5.2600128292288453</v>
      </c>
      <c r="W26" s="102">
        <v>1375708.8510795245</v>
      </c>
    </row>
    <row r="27" spans="1:23">
      <c r="A27" s="102" t="s">
        <v>331</v>
      </c>
      <c r="B27" s="102" t="s">
        <v>332</v>
      </c>
      <c r="D27" s="107" t="s">
        <v>176</v>
      </c>
      <c r="F27" s="107">
        <v>0.34431717077115459</v>
      </c>
      <c r="H27" s="107">
        <v>0.34431717077115459</v>
      </c>
      <c r="I27" s="107">
        <v>0.34431717077115459</v>
      </c>
      <c r="K27" s="107">
        <v>0.34431717077115459</v>
      </c>
      <c r="L27" s="107">
        <v>0.60446</v>
      </c>
      <c r="N27" s="107">
        <v>0.60446</v>
      </c>
      <c r="O27" s="107">
        <v>-0.18333999999999986</v>
      </c>
      <c r="Q27" s="107">
        <v>-0.18333999999999986</v>
      </c>
      <c r="R27" s="107">
        <v>-10.473511512313463</v>
      </c>
      <c r="S27" s="107">
        <v>-10.473511512313463</v>
      </c>
      <c r="T27" s="107">
        <v>-4.4930828292288449</v>
      </c>
      <c r="V27" s="107">
        <v>-4.4930828292288449</v>
      </c>
      <c r="W27" s="102">
        <v>18565.61481910104</v>
      </c>
    </row>
    <row r="28" spans="1:23">
      <c r="A28" s="102" t="s">
        <v>333</v>
      </c>
      <c r="B28" s="102" t="s">
        <v>334</v>
      </c>
      <c r="D28" s="107" t="s">
        <v>277</v>
      </c>
      <c r="E28" s="107">
        <v>9.1999999999999993</v>
      </c>
      <c r="F28" s="107">
        <v>-1.5167828292288452</v>
      </c>
      <c r="G28" s="107">
        <v>-5.0167828292288448</v>
      </c>
      <c r="H28" s="107">
        <v>-1.5236097809182529</v>
      </c>
      <c r="I28" s="107">
        <v>-1.5167828292288452</v>
      </c>
      <c r="J28" s="107">
        <v>-5.0167828292288448</v>
      </c>
      <c r="K28" s="107">
        <v>-1.5236097809182529</v>
      </c>
      <c r="L28" s="107">
        <v>-1.2751399999999997</v>
      </c>
      <c r="M28" s="107">
        <v>-2.2751399999999999</v>
      </c>
      <c r="N28" s="107">
        <v>-1.2812813628181341</v>
      </c>
      <c r="O28" s="107">
        <v>-2.1924399999999999</v>
      </c>
      <c r="P28" s="107">
        <v>-2.1924399999999999</v>
      </c>
      <c r="Q28" s="107">
        <v>-2.1924399999999999</v>
      </c>
      <c r="R28" s="107">
        <v>-17.584611512313465</v>
      </c>
      <c r="S28" s="107">
        <v>-17.591440640625915</v>
      </c>
      <c r="T28" s="107">
        <v>-5.5401828292288453</v>
      </c>
      <c r="U28" s="107">
        <v>-9.0401828292288435</v>
      </c>
      <c r="V28" s="107">
        <v>-5.5470097809182528</v>
      </c>
      <c r="W28" s="102">
        <v>359130.43015237583</v>
      </c>
    </row>
    <row r="29" spans="1:23">
      <c r="A29" s="102" t="s">
        <v>335</v>
      </c>
      <c r="B29" s="102" t="s">
        <v>336</v>
      </c>
      <c r="D29" s="107" t="s">
        <v>277</v>
      </c>
      <c r="E29" s="107">
        <v>3.3</v>
      </c>
      <c r="F29" s="107">
        <v>1.3503171707711548</v>
      </c>
      <c r="G29" s="107">
        <v>-2.149682829228845</v>
      </c>
      <c r="H29" s="107">
        <v>-2.0523945313870318</v>
      </c>
      <c r="I29" s="107">
        <v>1.3503171707711548</v>
      </c>
      <c r="J29" s="107">
        <v>-2.149682829228845</v>
      </c>
      <c r="K29" s="107">
        <v>-2.0523945313870318</v>
      </c>
      <c r="L29" s="107">
        <v>1.6204599999999998</v>
      </c>
      <c r="M29" s="107">
        <v>0.62046000000000001</v>
      </c>
      <c r="N29" s="107">
        <v>0.62077033956414307</v>
      </c>
      <c r="O29" s="107">
        <v>0.90266000000000013</v>
      </c>
      <c r="P29" s="107">
        <v>0.90266000000000013</v>
      </c>
      <c r="Q29" s="107">
        <v>0.90266000000000013</v>
      </c>
      <c r="R29" s="107">
        <v>-9.7675115123134635</v>
      </c>
      <c r="S29" s="107">
        <v>-13.867546008180344</v>
      </c>
      <c r="T29" s="107">
        <v>-3.9270828292288447</v>
      </c>
      <c r="U29" s="107">
        <v>-7.4270828292288442</v>
      </c>
      <c r="V29" s="107">
        <v>-7.3297945313870319</v>
      </c>
      <c r="W29" s="102">
        <v>255344413.24164638</v>
      </c>
    </row>
    <row r="30" spans="1:23">
      <c r="A30" s="102" t="s">
        <v>337</v>
      </c>
      <c r="B30" s="102" t="s">
        <v>338</v>
      </c>
      <c r="D30" s="107" t="s">
        <v>341</v>
      </c>
      <c r="E30" s="107">
        <v>9.1999999999999993</v>
      </c>
      <c r="F30" s="107">
        <v>4.3884371707711542</v>
      </c>
      <c r="G30" s="107">
        <v>0.88843717077115514</v>
      </c>
      <c r="H30" s="107">
        <v>2.5901880416887386</v>
      </c>
      <c r="I30" s="107">
        <v>4.3884371707711542</v>
      </c>
      <c r="J30" s="107">
        <v>0.88843717077115514</v>
      </c>
      <c r="K30" s="107">
        <v>2.5901880416887386</v>
      </c>
      <c r="L30" s="107">
        <v>4.6887799999999995</v>
      </c>
      <c r="M30" s="107">
        <v>3.6887799999999995</v>
      </c>
      <c r="N30" s="107">
        <v>3.7458429058309264</v>
      </c>
      <c r="O30" s="107">
        <v>4.1823800000000011</v>
      </c>
      <c r="P30" s="107">
        <v>3.1823800000000002</v>
      </c>
      <c r="Q30" s="107">
        <v>3.2394429058309271</v>
      </c>
      <c r="R30" s="107">
        <v>-15.749391512313462</v>
      </c>
      <c r="S30" s="107">
        <v>-17.556220640625913</v>
      </c>
      <c r="T30" s="107">
        <v>-2.2177628292288443</v>
      </c>
      <c r="U30" s="107">
        <v>-5.7177628292288443</v>
      </c>
      <c r="V30" s="107">
        <v>-4.0160119583112603</v>
      </c>
      <c r="W30" s="102">
        <v>181.68236185910365</v>
      </c>
    </row>
    <row r="31" spans="1:23">
      <c r="A31" s="102" t="s">
        <v>275</v>
      </c>
      <c r="B31" s="102" t="s">
        <v>339</v>
      </c>
      <c r="D31" s="107" t="s">
        <v>176</v>
      </c>
      <c r="F31" s="107">
        <v>2.3764371707711547</v>
      </c>
      <c r="H31" s="107">
        <v>2.3764371707711547</v>
      </c>
      <c r="I31" s="107">
        <v>2.3764371707711547</v>
      </c>
      <c r="K31" s="107">
        <v>2.3764371707711547</v>
      </c>
      <c r="L31" s="107">
        <v>2.6567799999999995</v>
      </c>
      <c r="N31" s="107">
        <v>2.6567799999999995</v>
      </c>
      <c r="O31" s="107">
        <v>2.0103800000000001</v>
      </c>
      <c r="Q31" s="107">
        <v>2.0103800000000001</v>
      </c>
      <c r="R31" s="107">
        <v>-11.161391512313463</v>
      </c>
      <c r="S31" s="107">
        <v>-11.161391512313463</v>
      </c>
      <c r="T31" s="107">
        <v>-3.3497628292288444</v>
      </c>
      <c r="V31" s="107">
        <v>-3.3497628292288444</v>
      </c>
      <c r="W31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84"/>
  <sheetViews>
    <sheetView topLeftCell="A49" workbookViewId="0">
      <selection activeCell="A70" sqref="A70:D84"/>
    </sheetView>
  </sheetViews>
  <sheetFormatPr defaultRowHeight="15"/>
  <cols>
    <col min="2" max="3" width="13.5" bestFit="1" customWidth="1"/>
  </cols>
  <sheetData>
    <row r="1" spans="1:4">
      <c r="A1" s="163" t="s">
        <v>280</v>
      </c>
      <c r="B1" s="163" t="s">
        <v>281</v>
      </c>
      <c r="C1" s="163" t="s">
        <v>282</v>
      </c>
      <c r="D1" s="163" t="s">
        <v>283</v>
      </c>
    </row>
    <row r="2" spans="1:4">
      <c r="A2" s="164">
        <f>'Mass Balance'!I2</f>
        <v>0</v>
      </c>
      <c r="B2">
        <f>'Mass Balance'!E2</f>
        <v>2.9637779808270406E-3</v>
      </c>
      <c r="C2">
        <f>SUM('Mass Balance'!E2:H2)</f>
        <v>2.9656524778031521E-3</v>
      </c>
      <c r="D2">
        <f>Concentrations!F2/Concentrations!E2</f>
        <v>1.0013352652922767</v>
      </c>
    </row>
    <row r="3" spans="1:4">
      <c r="A3" s="164">
        <f>'Mass Balance'!I3</f>
        <v>0</v>
      </c>
      <c r="B3">
        <f>'Mass Balance'!E3</f>
        <v>2.5367840831518659E-3</v>
      </c>
      <c r="C3">
        <f>SUM('Mass Balance'!E3:H3)</f>
        <v>2.6622684464739522E-3</v>
      </c>
      <c r="D3">
        <f>Concentrations!F3/Concentrations!E3</f>
        <v>0.95474141433163562</v>
      </c>
    </row>
    <row r="4" spans="1:4">
      <c r="A4" s="164">
        <f>'Mass Balance'!I4</f>
        <v>0</v>
      </c>
      <c r="B4">
        <f>'Mass Balance'!E4</f>
        <v>6.9276091892009274E-4</v>
      </c>
      <c r="C4">
        <f>SUM('Mass Balance'!E4:H4)</f>
        <v>2.294387878317811E-3</v>
      </c>
      <c r="D4">
        <f>Concentrations!F4/Concentrations!E4</f>
        <v>0.30253152911673686</v>
      </c>
    </row>
    <row r="5" spans="1:4">
      <c r="A5" s="164">
        <f>'Mass Balance'!I5</f>
        <v>0</v>
      </c>
      <c r="B5">
        <f>'Mass Balance'!E5</f>
        <v>2.9931912543155136E-3</v>
      </c>
      <c r="C5">
        <f>SUM('Mass Balance'!E5:H5)</f>
        <v>2.9997933807181247E-3</v>
      </c>
      <c r="D5">
        <f>Concentrations!F5/Concentrations!E5</f>
        <v>0.9997633856155429</v>
      </c>
    </row>
    <row r="6" spans="1:4">
      <c r="A6" s="164">
        <f>'Mass Balance'!I6</f>
        <v>0</v>
      </c>
      <c r="B6">
        <f>'Mass Balance'!E6</f>
        <v>4.1662461652137039E-5</v>
      </c>
      <c r="C6">
        <f>SUM('Mass Balance'!E6:H6)</f>
        <v>2.6845161025486177E-3</v>
      </c>
      <c r="D6">
        <f>Concentrations!F6/Concentrations!E6</f>
        <v>1.5550093903850239E-2</v>
      </c>
    </row>
    <row r="7" spans="1:4">
      <c r="A7" s="164">
        <f>'Mass Balance'!I7</f>
        <v>0</v>
      </c>
      <c r="B7">
        <f>'Mass Balance'!E7</f>
        <v>2.9999691319685042E-3</v>
      </c>
      <c r="C7">
        <f>SUM('Mass Balance'!E7:H7)</f>
        <v>2.999994784128459E-3</v>
      </c>
      <c r="D7">
        <f>Concentrations!F7/Concentrations!E7</f>
        <v>1.0019600109953986</v>
      </c>
    </row>
    <row r="8" spans="1:4">
      <c r="A8" s="164">
        <f>'Mass Balance'!I8</f>
        <v>0</v>
      </c>
      <c r="B8">
        <f>'Mass Balance'!E8</f>
        <v>2.9113076342254362E-3</v>
      </c>
      <c r="C8">
        <f>SUM('Mass Balance'!E8:H8)</f>
        <v>2.9191748125329338E-3</v>
      </c>
      <c r="D8">
        <f>Concentrations!F8/Concentrations!E8</f>
        <v>0.99926827249290939</v>
      </c>
    </row>
    <row r="9" spans="1:4">
      <c r="A9" s="164">
        <f>'Mass Balance'!I9</f>
        <v>0</v>
      </c>
      <c r="B9">
        <f>'Mass Balance'!E9</f>
        <v>3.1879444128439427E-6</v>
      </c>
      <c r="C9">
        <f>SUM('Mass Balance'!E9:H9)</f>
        <v>2.7902262725067518E-3</v>
      </c>
      <c r="D9">
        <f>Concentrations!F9/Concentrations!E9</f>
        <v>1.144788923876607E-3</v>
      </c>
    </row>
    <row r="10" spans="1:4">
      <c r="A10" s="164">
        <f>'Mass Balance'!I10</f>
        <v>0</v>
      </c>
      <c r="B10">
        <f>'Mass Balance'!E10</f>
        <v>2.2888659807427957E-3</v>
      </c>
      <c r="C10">
        <f>SUM('Mass Balance'!E10:H10)</f>
        <v>2.5377257944473727E-3</v>
      </c>
      <c r="D10">
        <f>Concentrations!F10/Concentrations!E10</f>
        <v>0.90371142471898969</v>
      </c>
    </row>
    <row r="11" spans="1:4">
      <c r="A11" s="164">
        <f>'Mass Balance'!I11</f>
        <v>0</v>
      </c>
      <c r="B11">
        <f>'Mass Balance'!E11</f>
        <v>2.4974448221522557E-3</v>
      </c>
      <c r="C11">
        <f>SUM('Mass Balance'!E11:H11)</f>
        <v>2.6406348851573647E-3</v>
      </c>
      <c r="D11">
        <f>Concentrations!F11/Concentrations!E11</f>
        <v>0.94763621148722499</v>
      </c>
    </row>
    <row r="12" spans="1:4">
      <c r="A12" s="164">
        <f>'Mass Balance'!I12</f>
        <v>0</v>
      </c>
      <c r="B12">
        <f>'Mass Balance'!E12</f>
        <v>2.7979929965319039E-3</v>
      </c>
      <c r="C12">
        <f>SUM('Mass Balance'!E12:H12)</f>
        <v>2.8296560799637126E-3</v>
      </c>
      <c r="D12">
        <f>Concentrations!F12/Concentrations!E12</f>
        <v>0.99075682215075889</v>
      </c>
    </row>
    <row r="13" spans="1:4">
      <c r="A13" s="164">
        <f>'Mass Balance'!I13</f>
        <v>0</v>
      </c>
      <c r="B13">
        <f>'Mass Balance'!E13</f>
        <v>2.0456506004030701E-5</v>
      </c>
      <c r="C13">
        <f>SUM('Mass Balance'!E13:H13)</f>
        <v>2.6831806466345804E-3</v>
      </c>
      <c r="D13">
        <f>Concentrations!F13/Concentrations!E13</f>
        <v>7.6389848253166984E-3</v>
      </c>
    </row>
    <row r="14" spans="1:4">
      <c r="A14" s="164">
        <f>'Mass Balance'!I14</f>
        <v>0</v>
      </c>
      <c r="B14">
        <f>'Mass Balance'!E14</f>
        <v>4.1749661663138034E-4</v>
      </c>
      <c r="C14">
        <f>SUM('Mass Balance'!E14:H14)</f>
        <v>1.0214146106835207E-3</v>
      </c>
      <c r="D14">
        <f>Concentrations!F14/Concentrations!E14</f>
        <v>0.40954817675957206</v>
      </c>
    </row>
    <row r="15" spans="1:4">
      <c r="A15" s="164">
        <f>'Mass Balance'!I15</f>
        <v>0</v>
      </c>
      <c r="B15">
        <f>'Mass Balance'!E15</f>
        <v>2.2860043824878665E-4</v>
      </c>
      <c r="C15">
        <f>SUM('Mass Balance'!E15:H15)</f>
        <v>2.4981061470517592E-3</v>
      </c>
      <c r="D15">
        <f>Concentrations!F15/Concentrations!E15</f>
        <v>9.1689641147294179E-2</v>
      </c>
    </row>
    <row r="16" spans="1:4">
      <c r="A16" s="164">
        <f>'Mass Balance'!I16</f>
        <v>0</v>
      </c>
      <c r="B16">
        <f>'Mass Balance'!E16</f>
        <v>2.8325279135469599E-3</v>
      </c>
      <c r="C16">
        <f>SUM('Mass Balance'!E16:H16)</f>
        <v>2.9998325235042222E-3</v>
      </c>
      <c r="D16">
        <f>Concentrations!F16/Concentrations!E16</f>
        <v>0.94608747156374229</v>
      </c>
    </row>
    <row r="17" spans="1:4">
      <c r="A17" s="164">
        <f>'Mass Balance'!I17</f>
        <v>0</v>
      </c>
      <c r="B17">
        <f>'Mass Balance'!E17</f>
        <v>6.5536815312004356E-5</v>
      </c>
      <c r="C17">
        <f>SUM('Mass Balance'!E17:H17)</f>
        <v>2.9981618733039383E-3</v>
      </c>
      <c r="D17">
        <f>Concentrations!F17/Concentrations!E17</f>
        <v>2.1902029462256733E-2</v>
      </c>
    </row>
    <row r="18" spans="1:4">
      <c r="A18" s="164">
        <f>'Mass Balance'!I18</f>
        <v>0</v>
      </c>
      <c r="B18">
        <f>'Mass Balance'!E18</f>
        <v>2.9566313475595509E-3</v>
      </c>
      <c r="C18">
        <f>SUM('Mass Balance'!E18:H18)</f>
        <v>2.9587240385794333E-3</v>
      </c>
      <c r="D18">
        <f>Concentrations!F18/Concentrations!E18</f>
        <v>1.0012598910953301</v>
      </c>
    </row>
    <row r="19" spans="1:4">
      <c r="A19" s="164">
        <f>'Mass Balance'!I19</f>
        <v>0</v>
      </c>
      <c r="B19">
        <f>'Mass Balance'!E19</f>
        <v>2.9067209783097915E-3</v>
      </c>
      <c r="C19">
        <f>SUM('Mass Balance'!E19:H19)</f>
        <v>2.9152529592664177E-3</v>
      </c>
      <c r="D19">
        <f>Concentrations!F19/Concentrations!E19</f>
        <v>0.99903614801554497</v>
      </c>
    </row>
    <row r="20" spans="1:4">
      <c r="A20" s="164">
        <f>'Mass Balance'!I20</f>
        <v>0</v>
      </c>
      <c r="B20">
        <f>'Mass Balance'!E20</f>
        <v>5.804198783194264E-4</v>
      </c>
      <c r="C20">
        <f>SUM('Mass Balance'!E20:H20)</f>
        <v>2.9909746270325144E-3</v>
      </c>
      <c r="D20">
        <f>Concentrations!F20/Concentrations!E20</f>
        <v>0.19443912201503546</v>
      </c>
    </row>
    <row r="21" spans="1:4">
      <c r="A21" s="164">
        <f>'Mass Balance'!I21</f>
        <v>0</v>
      </c>
      <c r="B21">
        <f>'Mass Balance'!E21</f>
        <v>1.2460622401773238E-4</v>
      </c>
      <c r="C21">
        <f>SUM('Mass Balance'!E21:H21)</f>
        <v>2.6326420174272057E-3</v>
      </c>
      <c r="D21">
        <f>Concentrations!F21/Concentrations!E21</f>
        <v>4.7424420157651657E-2</v>
      </c>
    </row>
    <row r="22" spans="1:4">
      <c r="A22" s="164">
        <f>'Mass Balance'!I22</f>
        <v>0</v>
      </c>
      <c r="B22">
        <f>'Mass Balance'!E22</f>
        <v>2.9999114387310021E-3</v>
      </c>
      <c r="C22">
        <f>SUM('Mass Balance'!E22:H22)</f>
        <v>2.9999250924035814E-3</v>
      </c>
      <c r="D22">
        <f>Concentrations!F22/Concentrations!E22</f>
        <v>1.0019640182655409</v>
      </c>
    </row>
    <row r="23" spans="1:4">
      <c r="A23" s="164">
        <f>'Mass Balance'!I23</f>
        <v>0</v>
      </c>
      <c r="B23">
        <f>'Mass Balance'!E23</f>
        <v>2.8791444399678895E-3</v>
      </c>
      <c r="C23">
        <f>SUM('Mass Balance'!E23:H23)</f>
        <v>2.9744045625840205E-3</v>
      </c>
      <c r="D23">
        <f>Concentrations!F23/Concentrations!E23</f>
        <v>0.96987891233132351</v>
      </c>
    </row>
    <row r="24" spans="1:4">
      <c r="A24" s="164">
        <f>'Mass Balance'!I24</f>
        <v>0</v>
      </c>
      <c r="B24">
        <f>'Mass Balance'!E24</f>
        <v>2.9911336351593448E-3</v>
      </c>
      <c r="C24">
        <f>SUM('Mass Balance'!E24:H24)</f>
        <v>2.991539290130706E-3</v>
      </c>
      <c r="D24">
        <f>Concentrations!F24/Concentrations!E24</f>
        <v>1.0018327108723255</v>
      </c>
    </row>
    <row r="25" spans="1:4">
      <c r="A25" s="164">
        <f>'Mass Balance'!I25</f>
        <v>0</v>
      </c>
      <c r="B25">
        <f>'Mass Balance'!E25</f>
        <v>2.9999682948543189E-3</v>
      </c>
      <c r="C25">
        <f>SUM('Mass Balance'!E25:H25)</f>
        <v>2.9999924276082747E-3</v>
      </c>
      <c r="D25">
        <f>Concentrations!F25/Concentrations!E25</f>
        <v>1.0019605184556393</v>
      </c>
    </row>
    <row r="26" spans="1:4">
      <c r="A26" s="164">
        <f>'Mass Balance'!I26</f>
        <v>0</v>
      </c>
      <c r="B26">
        <f>'Mass Balance'!E26</f>
        <v>2.9888562988739896E-3</v>
      </c>
      <c r="C26">
        <f>SUM('Mass Balance'!E26:H26)</f>
        <v>2.9890287768315955E-3</v>
      </c>
      <c r="D26">
        <f>Concentrations!F26/Concentrations!E26</f>
        <v>1.001910761289635</v>
      </c>
    </row>
    <row r="27" spans="1:4">
      <c r="A27" s="164">
        <f>'Mass Balance'!I27</f>
        <v>0</v>
      </c>
      <c r="B27">
        <f>'Mass Balance'!E27</f>
        <v>2.9324041474344856E-3</v>
      </c>
      <c r="C27">
        <f>SUM('Mass Balance'!E27:H27)</f>
        <v>2.9370633136614065E-3</v>
      </c>
      <c r="D27">
        <f>Concentrations!F27/Concentrations!E27</f>
        <v>1.0003791207737058</v>
      </c>
    </row>
    <row r="28" spans="1:4">
      <c r="A28" s="164">
        <f>'Mass Balance'!I28</f>
        <v>0</v>
      </c>
      <c r="B28">
        <f>'Mass Balance'!E28</f>
        <v>2.994272609966259E-3</v>
      </c>
      <c r="C28">
        <f>SUM('Mass Balance'!E28:H28)</f>
        <v>2.9943239736875881E-3</v>
      </c>
      <c r="D28">
        <f>Concentrations!F28/Concentrations!E28</f>
        <v>1.0019513910992612</v>
      </c>
    </row>
    <row r="29" spans="1:4">
      <c r="A29" s="164">
        <f>'Mass Balance'!I29</f>
        <v>0</v>
      </c>
      <c r="B29">
        <f>'Mass Balance'!E29</f>
        <v>2.9579019249717934E-3</v>
      </c>
      <c r="C29">
        <f>SUM('Mass Balance'!E29:H29)</f>
        <v>2.9999075403827221E-3</v>
      </c>
      <c r="D29">
        <f>Concentrations!F29/Concentrations!E29</f>
        <v>0.98793871057598359</v>
      </c>
    </row>
    <row r="30" spans="1:4">
      <c r="A30" s="164">
        <f>'Mass Balance'!I30</f>
        <v>0</v>
      </c>
      <c r="B30">
        <f>'Mass Balance'!E30</f>
        <v>7.1045594068584262E-4</v>
      </c>
      <c r="C30">
        <f>SUM('Mass Balance'!E30:H30)</f>
        <v>2.9542608557347944E-3</v>
      </c>
      <c r="D30">
        <f>Concentrations!F30/Concentrations!E30</f>
        <v>0.24095858957032024</v>
      </c>
    </row>
    <row r="31" spans="1:4">
      <c r="A31" s="164">
        <f>'Mass Balance'!I31</f>
        <v>0</v>
      </c>
      <c r="B31">
        <f>'Mass Balance'!E31</f>
        <v>1.9657182734258943E-3</v>
      </c>
      <c r="C31">
        <f>SUM('Mass Balance'!E31:H31)</f>
        <v>2.4131578635313367E-3</v>
      </c>
      <c r="D31">
        <f>Concentrations!F31/Concentrations!E31</f>
        <v>0.81618694493434929</v>
      </c>
    </row>
    <row r="32" spans="1:4">
      <c r="A32" s="164">
        <f>'Mass Balance'!I32</f>
        <v>0</v>
      </c>
      <c r="B32">
        <f>'Mass Balance'!E32</f>
        <v>0</v>
      </c>
      <c r="C32">
        <f>SUM('Mass Balance'!E32:H32)</f>
        <v>0</v>
      </c>
      <c r="D32" t="e">
        <f>Concentrations!F32/Concentrations!E32</f>
        <v>#DIV/0!</v>
      </c>
    </row>
    <row r="33" spans="1:4">
      <c r="A33" s="164">
        <f>'Mass Balance'!I33</f>
        <v>0</v>
      </c>
      <c r="B33">
        <f>'Mass Balance'!E33</f>
        <v>0</v>
      </c>
      <c r="C33">
        <f>SUM('Mass Balance'!E33:H33)</f>
        <v>0</v>
      </c>
      <c r="D33" t="e">
        <f>Concentrations!F33/Concentrations!E33</f>
        <v>#DIV/0!</v>
      </c>
    </row>
    <row r="34" spans="1:4">
      <c r="A34" s="164">
        <f>'Mass Balance'!I34</f>
        <v>0</v>
      </c>
      <c r="B34">
        <f>'Mass Balance'!E34</f>
        <v>0</v>
      </c>
      <c r="C34">
        <f>SUM('Mass Balance'!E34:H34)</f>
        <v>0</v>
      </c>
      <c r="D34" t="e">
        <f>Concentrations!F34/Concentrations!E34</f>
        <v>#DIV/0!</v>
      </c>
    </row>
    <row r="35" spans="1:4">
      <c r="A35" s="164">
        <f>'Mass Balance'!I35</f>
        <v>0</v>
      </c>
      <c r="B35">
        <f>'Mass Balance'!E35</f>
        <v>0</v>
      </c>
      <c r="C35">
        <f>SUM('Mass Balance'!E35:H35)</f>
        <v>0</v>
      </c>
      <c r="D35" t="e">
        <f>Concentrations!F35/Concentrations!E35</f>
        <v>#DIV/0!</v>
      </c>
    </row>
    <row r="36" spans="1:4">
      <c r="A36" s="164">
        <f>'Mass Balance'!I36</f>
        <v>0</v>
      </c>
      <c r="B36">
        <f>'Mass Balance'!E36</f>
        <v>0</v>
      </c>
      <c r="C36">
        <f>SUM('Mass Balance'!E36:H36)</f>
        <v>0</v>
      </c>
      <c r="D36" t="e">
        <f>Concentrations!F36/Concentrations!E36</f>
        <v>#DIV/0!</v>
      </c>
    </row>
    <row r="37" spans="1:4">
      <c r="A37" s="164">
        <f>'Mass Balance'!I37</f>
        <v>0</v>
      </c>
      <c r="B37">
        <f>'Mass Balance'!E37</f>
        <v>0</v>
      </c>
      <c r="C37">
        <f>SUM('Mass Balance'!E37:H37)</f>
        <v>0</v>
      </c>
      <c r="D37" t="e">
        <f>Concentrations!F37/Concentrations!E37</f>
        <v>#DIV/0!</v>
      </c>
    </row>
    <row r="38" spans="1:4">
      <c r="A38" s="164">
        <f>'Mass Balance'!I38</f>
        <v>0</v>
      </c>
      <c r="B38">
        <f>'Mass Balance'!E38</f>
        <v>0</v>
      </c>
      <c r="C38">
        <f>SUM('Mass Balance'!E38:H38)</f>
        <v>0</v>
      </c>
      <c r="D38" t="e">
        <f>Concentrations!F38/Concentrations!E38</f>
        <v>#DIV/0!</v>
      </c>
    </row>
    <row r="39" spans="1:4">
      <c r="A39" s="164">
        <f>'Mass Balance'!I39</f>
        <v>0</v>
      </c>
      <c r="B39">
        <f>'Mass Balance'!E39</f>
        <v>0</v>
      </c>
      <c r="C39">
        <f>SUM('Mass Balance'!E39:H39)</f>
        <v>0</v>
      </c>
      <c r="D39" t="e">
        <f>Concentrations!F39/Concentrations!E39</f>
        <v>#DIV/0!</v>
      </c>
    </row>
    <row r="40" spans="1:4">
      <c r="A40" s="164">
        <f>'Mass Balance'!I40</f>
        <v>0</v>
      </c>
      <c r="B40">
        <f>'Mass Balance'!E40</f>
        <v>0</v>
      </c>
      <c r="C40">
        <f>SUM('Mass Balance'!E40:H40)</f>
        <v>0</v>
      </c>
      <c r="D40" t="e">
        <f>Concentrations!F40/Concentrations!E40</f>
        <v>#DIV/0!</v>
      </c>
    </row>
    <row r="41" spans="1:4">
      <c r="A41" s="164">
        <f>'Mass Balance'!I41</f>
        <v>0</v>
      </c>
      <c r="B41">
        <f>'Mass Balance'!E41</f>
        <v>0</v>
      </c>
      <c r="C41">
        <f>SUM('Mass Balance'!E41:H41)</f>
        <v>0</v>
      </c>
      <c r="D41" t="e">
        <f>Concentrations!F41/Concentrations!E41</f>
        <v>#DIV/0!</v>
      </c>
    </row>
    <row r="42" spans="1:4">
      <c r="A42" s="164">
        <f>'Mass Balance'!I42</f>
        <v>0</v>
      </c>
      <c r="B42">
        <f>'Mass Balance'!E42</f>
        <v>0</v>
      </c>
      <c r="C42">
        <f>SUM('Mass Balance'!E42:H42)</f>
        <v>0</v>
      </c>
      <c r="D42" t="e">
        <f>Concentrations!F42/Concentrations!E42</f>
        <v>#DIV/0!</v>
      </c>
    </row>
    <row r="43" spans="1:4">
      <c r="A43" s="164">
        <f>'Mass Balance'!I43</f>
        <v>0</v>
      </c>
      <c r="B43">
        <f>'Mass Balance'!E43</f>
        <v>0</v>
      </c>
      <c r="C43">
        <f>SUM('Mass Balance'!E43:H43)</f>
        <v>0</v>
      </c>
      <c r="D43" t="e">
        <f>Concentrations!F43/Concentrations!E43</f>
        <v>#DIV/0!</v>
      </c>
    </row>
    <row r="44" spans="1:4">
      <c r="A44" s="164">
        <f>'Mass Balance'!I44</f>
        <v>0</v>
      </c>
      <c r="B44">
        <f>'Mass Balance'!E44</f>
        <v>0</v>
      </c>
      <c r="C44">
        <f>SUM('Mass Balance'!E44:H44)</f>
        <v>0</v>
      </c>
      <c r="D44" t="e">
        <f>Concentrations!F44/Concentrations!E44</f>
        <v>#DIV/0!</v>
      </c>
    </row>
    <row r="45" spans="1:4">
      <c r="A45" s="164">
        <f>'Mass Balance'!I45</f>
        <v>0</v>
      </c>
      <c r="B45">
        <f>'Mass Balance'!E45</f>
        <v>0</v>
      </c>
      <c r="C45">
        <f>SUM('Mass Balance'!E45:H45)</f>
        <v>0</v>
      </c>
      <c r="D45" t="e">
        <f>Concentrations!F45/Concentrations!E45</f>
        <v>#DIV/0!</v>
      </c>
    </row>
    <row r="46" spans="1:4">
      <c r="A46" s="164">
        <f>'Mass Balance'!I46</f>
        <v>0</v>
      </c>
      <c r="B46">
        <f>'Mass Balance'!E46</f>
        <v>0</v>
      </c>
      <c r="C46">
        <f>SUM('Mass Balance'!E46:H46)</f>
        <v>0</v>
      </c>
      <c r="D46" t="e">
        <f>Concentrations!F46/Concentrations!E46</f>
        <v>#DIV/0!</v>
      </c>
    </row>
    <row r="47" spans="1:4">
      <c r="A47" s="164">
        <f>'Mass Balance'!I47</f>
        <v>0</v>
      </c>
      <c r="B47">
        <f>'Mass Balance'!E47</f>
        <v>0</v>
      </c>
      <c r="C47">
        <f>SUM('Mass Balance'!E47:H47)</f>
        <v>0</v>
      </c>
      <c r="D47" t="e">
        <f>Concentrations!F47/Concentrations!E47</f>
        <v>#DIV/0!</v>
      </c>
    </row>
    <row r="48" spans="1:4">
      <c r="A48" s="164">
        <f>'Mass Balance'!I48</f>
        <v>0</v>
      </c>
      <c r="B48">
        <f>'Mass Balance'!E48</f>
        <v>0</v>
      </c>
      <c r="C48">
        <f>SUM('Mass Balance'!E48:H48)</f>
        <v>0</v>
      </c>
      <c r="D48" t="e">
        <f>Concentrations!F48/Concentrations!E48</f>
        <v>#DIV/0!</v>
      </c>
    </row>
    <row r="49" spans="1:4">
      <c r="A49" s="164">
        <f>'Mass Balance'!I49</f>
        <v>0</v>
      </c>
      <c r="B49">
        <f>'Mass Balance'!E49</f>
        <v>0</v>
      </c>
      <c r="C49">
        <f>SUM('Mass Balance'!E49:H49)</f>
        <v>0</v>
      </c>
      <c r="D49" t="e">
        <f>Concentrations!F49/Concentrations!E49</f>
        <v>#DIV/0!</v>
      </c>
    </row>
    <row r="50" spans="1:4">
      <c r="A50" s="164">
        <f>'Mass Balance'!I50</f>
        <v>0</v>
      </c>
      <c r="B50">
        <f>'Mass Balance'!E50</f>
        <v>0</v>
      </c>
      <c r="C50">
        <f>SUM('Mass Balance'!E50:H50)</f>
        <v>0</v>
      </c>
      <c r="D50" t="e">
        <f>Concentrations!F50/Concentrations!E50</f>
        <v>#DIV/0!</v>
      </c>
    </row>
    <row r="51" spans="1:4">
      <c r="A51" s="164">
        <f>'Mass Balance'!I51</f>
        <v>0</v>
      </c>
      <c r="B51">
        <f>'Mass Balance'!E51</f>
        <v>0</v>
      </c>
      <c r="C51">
        <f>SUM('Mass Balance'!E51:H51)</f>
        <v>0</v>
      </c>
      <c r="D51" t="e">
        <f>Concentrations!F51/Concentrations!E51</f>
        <v>#DIV/0!</v>
      </c>
    </row>
    <row r="52" spans="1:4">
      <c r="A52" s="164">
        <f>'Mass Balance'!I52</f>
        <v>0</v>
      </c>
      <c r="B52">
        <f>'Mass Balance'!E52</f>
        <v>0</v>
      </c>
      <c r="C52">
        <f>SUM('Mass Balance'!E52:H52)</f>
        <v>0</v>
      </c>
      <c r="D52" t="e">
        <f>Concentrations!F52/Concentrations!E52</f>
        <v>#DIV/0!</v>
      </c>
    </row>
    <row r="53" spans="1:4">
      <c r="A53" s="164">
        <f>'Mass Balance'!I53</f>
        <v>0</v>
      </c>
      <c r="B53">
        <f>'Mass Balance'!E53</f>
        <v>0</v>
      </c>
      <c r="C53">
        <f>SUM('Mass Balance'!E53:H53)</f>
        <v>0</v>
      </c>
      <c r="D53" t="e">
        <f>Concentrations!F53/Concentrations!E53</f>
        <v>#DIV/0!</v>
      </c>
    </row>
    <row r="54" spans="1:4">
      <c r="A54" s="164">
        <f>'Mass Balance'!I54</f>
        <v>0</v>
      </c>
      <c r="B54">
        <f>'Mass Balance'!E54</f>
        <v>0</v>
      </c>
      <c r="C54">
        <f>SUM('Mass Balance'!E54:H54)</f>
        <v>0</v>
      </c>
      <c r="D54" t="e">
        <f>Concentrations!F54/Concentrations!E54</f>
        <v>#DIV/0!</v>
      </c>
    </row>
    <row r="55" spans="1:4">
      <c r="A55" s="164">
        <f>'Mass Balance'!I55</f>
        <v>0</v>
      </c>
      <c r="B55">
        <f>'Mass Balance'!E55</f>
        <v>0</v>
      </c>
      <c r="C55">
        <f>SUM('Mass Balance'!E55:H55)</f>
        <v>0</v>
      </c>
      <c r="D55" t="e">
        <f>Concentrations!F55/Concentrations!E55</f>
        <v>#DIV/0!</v>
      </c>
    </row>
    <row r="56" spans="1:4">
      <c r="A56" s="164">
        <f>'Mass Balance'!I56</f>
        <v>0</v>
      </c>
      <c r="B56">
        <f>'Mass Balance'!E56</f>
        <v>0</v>
      </c>
      <c r="C56">
        <f>SUM('Mass Balance'!E56:H56)</f>
        <v>0</v>
      </c>
      <c r="D56" t="e">
        <f>Concentrations!F56/Concentrations!E56</f>
        <v>#DIV/0!</v>
      </c>
    </row>
    <row r="57" spans="1:4">
      <c r="A57" s="164">
        <f>'Mass Balance'!I57</f>
        <v>0</v>
      </c>
      <c r="B57">
        <f>'Mass Balance'!E57</f>
        <v>0</v>
      </c>
      <c r="C57">
        <f>SUM('Mass Balance'!E57:H57)</f>
        <v>0</v>
      </c>
      <c r="D57" t="e">
        <f>Concentrations!F57/Concentrations!E57</f>
        <v>#DIV/0!</v>
      </c>
    </row>
    <row r="58" spans="1:4">
      <c r="A58" s="164">
        <f>'Mass Balance'!I58</f>
        <v>0</v>
      </c>
      <c r="B58">
        <f>'Mass Balance'!E58</f>
        <v>0</v>
      </c>
      <c r="C58">
        <f>SUM('Mass Balance'!E58:H58)</f>
        <v>0</v>
      </c>
      <c r="D58" t="e">
        <f>Concentrations!F58/Concentrations!E58</f>
        <v>#DIV/0!</v>
      </c>
    </row>
    <row r="59" spans="1:4">
      <c r="A59" s="164">
        <f>'Mass Balance'!I59</f>
        <v>0</v>
      </c>
      <c r="B59">
        <f>'Mass Balance'!E59</f>
        <v>0</v>
      </c>
      <c r="C59">
        <f>SUM('Mass Balance'!E59:H59)</f>
        <v>0</v>
      </c>
      <c r="D59" t="e">
        <f>Concentrations!F59/Concentrations!E59</f>
        <v>#DIV/0!</v>
      </c>
    </row>
    <row r="60" spans="1:4">
      <c r="A60" s="164">
        <f>'Mass Balance'!I60</f>
        <v>0</v>
      </c>
      <c r="B60">
        <f>'Mass Balance'!E60</f>
        <v>0</v>
      </c>
      <c r="C60">
        <f>SUM('Mass Balance'!E60:H60)</f>
        <v>0</v>
      </c>
      <c r="D60" t="e">
        <f>Concentrations!F60/Concentrations!E60</f>
        <v>#DIV/0!</v>
      </c>
    </row>
    <row r="61" spans="1:4">
      <c r="A61" s="164">
        <f>'Mass Balance'!I61</f>
        <v>0</v>
      </c>
      <c r="B61">
        <f>'Mass Balance'!E61</f>
        <v>0</v>
      </c>
      <c r="C61">
        <f>SUM('Mass Balance'!E61:H61)</f>
        <v>0</v>
      </c>
      <c r="D61" t="e">
        <f>Concentrations!F61/Concentrations!E61</f>
        <v>#DIV/0!</v>
      </c>
    </row>
    <row r="62" spans="1:4">
      <c r="A62" s="164">
        <f>'Mass Balance'!I62</f>
        <v>0</v>
      </c>
      <c r="B62">
        <f>'Mass Balance'!E62</f>
        <v>0</v>
      </c>
      <c r="C62">
        <f>SUM('Mass Balance'!E62:H62)</f>
        <v>0</v>
      </c>
      <c r="D62" t="e">
        <f>Concentrations!F62/Concentrations!E62</f>
        <v>#DIV/0!</v>
      </c>
    </row>
    <row r="63" spans="1:4">
      <c r="A63" s="164">
        <f>'Mass Balance'!I63</f>
        <v>0</v>
      </c>
      <c r="B63">
        <f>'Mass Balance'!E63</f>
        <v>0</v>
      </c>
      <c r="C63">
        <f>SUM('Mass Balance'!E63:H63)</f>
        <v>0</v>
      </c>
      <c r="D63" t="e">
        <f>Concentrations!F63/Concentrations!E63</f>
        <v>#DIV/0!</v>
      </c>
    </row>
    <row r="64" spans="1:4">
      <c r="A64" s="164">
        <f>'Mass Balance'!I64</f>
        <v>0</v>
      </c>
      <c r="B64">
        <f>'Mass Balance'!E64</f>
        <v>0</v>
      </c>
      <c r="C64">
        <f>SUM('Mass Balance'!E64:H64)</f>
        <v>0</v>
      </c>
      <c r="D64" t="e">
        <f>Concentrations!F64/Concentrations!E64</f>
        <v>#DIV/0!</v>
      </c>
    </row>
    <row r="65" spans="1:4">
      <c r="A65" s="164">
        <f>'Mass Balance'!I65</f>
        <v>0</v>
      </c>
      <c r="B65">
        <f>'Mass Balance'!E65</f>
        <v>0</v>
      </c>
      <c r="C65">
        <f>SUM('Mass Balance'!E65:H65)</f>
        <v>0</v>
      </c>
      <c r="D65" t="e">
        <f>Concentrations!F65/Concentrations!E65</f>
        <v>#DIV/0!</v>
      </c>
    </row>
    <row r="66" spans="1:4">
      <c r="A66" s="164">
        <f>'Mass Balance'!I66</f>
        <v>0</v>
      </c>
      <c r="B66">
        <f>'Mass Balance'!E66</f>
        <v>0</v>
      </c>
      <c r="C66">
        <f>SUM('Mass Balance'!E66:H66)</f>
        <v>0</v>
      </c>
      <c r="D66" t="e">
        <f>Concentrations!F66/Concentrations!E66</f>
        <v>#DIV/0!</v>
      </c>
    </row>
    <row r="67" spans="1:4">
      <c r="A67" s="164">
        <f>'Mass Balance'!I67</f>
        <v>0</v>
      </c>
      <c r="B67">
        <f>'Mass Balance'!E67</f>
        <v>0</v>
      </c>
      <c r="C67">
        <f>SUM('Mass Balance'!E67:H67)</f>
        <v>0</v>
      </c>
      <c r="D67" t="e">
        <f>Concentrations!F67/Concentrations!E67</f>
        <v>#DIV/0!</v>
      </c>
    </row>
    <row r="68" spans="1:4">
      <c r="A68" s="164">
        <f>'Mass Balance'!I68</f>
        <v>0</v>
      </c>
      <c r="B68">
        <f>'Mass Balance'!E68</f>
        <v>0</v>
      </c>
      <c r="C68">
        <f>SUM('Mass Balance'!E68:H68)</f>
        <v>0</v>
      </c>
      <c r="D68" t="e">
        <f>Concentrations!F68/Concentrations!E68</f>
        <v>#DIV/0!</v>
      </c>
    </row>
    <row r="69" spans="1:4">
      <c r="A69" s="164">
        <f>'Mass Balance'!I69</f>
        <v>0</v>
      </c>
      <c r="B69">
        <f>'Mass Balance'!E69</f>
        <v>0</v>
      </c>
      <c r="C69">
        <f>SUM('Mass Balance'!E69:H69)</f>
        <v>0</v>
      </c>
      <c r="D69" t="e">
        <f>Concentrations!F69/Concentrations!E69</f>
        <v>#DIV/0!</v>
      </c>
    </row>
    <row r="70" spans="1:4">
      <c r="A70" s="164">
        <f>'Mass Balance'!I70</f>
        <v>0</v>
      </c>
      <c r="B70">
        <f>'Mass Balance'!E70</f>
        <v>0</v>
      </c>
      <c r="C70">
        <f>SUM('Mass Balance'!E70:H70)</f>
        <v>0</v>
      </c>
      <c r="D70" t="e">
        <f>Concentrations!F70/Concentrations!E70</f>
        <v>#DIV/0!</v>
      </c>
    </row>
    <row r="71" spans="1:4">
      <c r="A71" s="164">
        <f>'Mass Balance'!I71</f>
        <v>0</v>
      </c>
      <c r="B71">
        <f>'Mass Balance'!E71</f>
        <v>0</v>
      </c>
      <c r="C71">
        <f>SUM('Mass Balance'!E71:H71)</f>
        <v>0</v>
      </c>
      <c r="D71" t="e">
        <f>Concentrations!F71/Concentrations!E71</f>
        <v>#DIV/0!</v>
      </c>
    </row>
    <row r="72" spans="1:4">
      <c r="A72" s="164">
        <f>'Mass Balance'!I72</f>
        <v>0</v>
      </c>
      <c r="B72">
        <f>'Mass Balance'!E72</f>
        <v>0</v>
      </c>
      <c r="C72">
        <f>SUM('Mass Balance'!E72:H72)</f>
        <v>0</v>
      </c>
      <c r="D72" t="e">
        <f>Concentrations!F72/Concentrations!E72</f>
        <v>#DIV/0!</v>
      </c>
    </row>
    <row r="73" spans="1:4">
      <c r="A73" s="164">
        <f>'Mass Balance'!I73</f>
        <v>0</v>
      </c>
      <c r="B73">
        <f>'Mass Balance'!E73</f>
        <v>0</v>
      </c>
      <c r="C73">
        <f>SUM('Mass Balance'!E73:H73)</f>
        <v>0</v>
      </c>
      <c r="D73" t="e">
        <f>Concentrations!F73/Concentrations!E73</f>
        <v>#DIV/0!</v>
      </c>
    </row>
    <row r="74" spans="1:4">
      <c r="A74" s="164">
        <f>'Mass Balance'!I74</f>
        <v>0</v>
      </c>
      <c r="B74">
        <f>'Mass Balance'!E74</f>
        <v>0</v>
      </c>
      <c r="C74">
        <f>SUM('Mass Balance'!E74:H74)</f>
        <v>0</v>
      </c>
      <c r="D74" t="e">
        <f>Concentrations!F74/Concentrations!E74</f>
        <v>#DIV/0!</v>
      </c>
    </row>
    <row r="75" spans="1:4">
      <c r="A75" s="164">
        <f>'Mass Balance'!I75</f>
        <v>0</v>
      </c>
      <c r="B75">
        <f>'Mass Balance'!E75</f>
        <v>0</v>
      </c>
      <c r="C75">
        <f>SUM('Mass Balance'!E75:H75)</f>
        <v>0</v>
      </c>
      <c r="D75" t="e">
        <f>Concentrations!F75/Concentrations!E75</f>
        <v>#DIV/0!</v>
      </c>
    </row>
    <row r="76" spans="1:4">
      <c r="A76" s="164">
        <f>'Mass Balance'!I76</f>
        <v>0</v>
      </c>
      <c r="B76">
        <f>'Mass Balance'!E76</f>
        <v>0</v>
      </c>
      <c r="C76">
        <f>SUM('Mass Balance'!E76:H76)</f>
        <v>0</v>
      </c>
      <c r="D76" t="e">
        <f>Concentrations!F76/Concentrations!E76</f>
        <v>#DIV/0!</v>
      </c>
    </row>
    <row r="77" spans="1:4">
      <c r="A77" s="164">
        <f>'Mass Balance'!I77</f>
        <v>0</v>
      </c>
      <c r="B77">
        <f>'Mass Balance'!E77</f>
        <v>0</v>
      </c>
      <c r="C77">
        <f>SUM('Mass Balance'!E77:H77)</f>
        <v>0</v>
      </c>
      <c r="D77" t="e">
        <f>Concentrations!F77/Concentrations!E77</f>
        <v>#DIV/0!</v>
      </c>
    </row>
    <row r="78" spans="1:4">
      <c r="A78" s="164">
        <f>'Mass Balance'!I78</f>
        <v>0</v>
      </c>
      <c r="B78">
        <f>'Mass Balance'!E78</f>
        <v>0</v>
      </c>
      <c r="C78">
        <f>SUM('Mass Balance'!E78:H78)</f>
        <v>0</v>
      </c>
      <c r="D78" t="e">
        <f>Concentrations!F78/Concentrations!E78</f>
        <v>#DIV/0!</v>
      </c>
    </row>
    <row r="79" spans="1:4">
      <c r="A79" s="164">
        <f>'Mass Balance'!I79</f>
        <v>0</v>
      </c>
      <c r="B79">
        <f>'Mass Balance'!E79</f>
        <v>0</v>
      </c>
      <c r="C79">
        <f>SUM('Mass Balance'!E79:H79)</f>
        <v>0</v>
      </c>
      <c r="D79" t="e">
        <f>Concentrations!F79/Concentrations!E79</f>
        <v>#DIV/0!</v>
      </c>
    </row>
    <row r="80" spans="1:4">
      <c r="A80" s="164">
        <f>'Mass Balance'!I80</f>
        <v>0</v>
      </c>
      <c r="B80">
        <f>'Mass Balance'!E80</f>
        <v>0</v>
      </c>
      <c r="C80">
        <f>SUM('Mass Balance'!E80:H80)</f>
        <v>0</v>
      </c>
      <c r="D80" t="e">
        <f>Concentrations!F80/Concentrations!E80</f>
        <v>#DIV/0!</v>
      </c>
    </row>
    <row r="81" spans="1:4">
      <c r="A81" s="164">
        <f>'Mass Balance'!I81</f>
        <v>0</v>
      </c>
      <c r="B81">
        <f>'Mass Balance'!E81</f>
        <v>0</v>
      </c>
      <c r="C81">
        <f>SUM('Mass Balance'!E81:H81)</f>
        <v>0</v>
      </c>
      <c r="D81" t="e">
        <f>Concentrations!F81/Concentrations!E81</f>
        <v>#DIV/0!</v>
      </c>
    </row>
    <row r="82" spans="1:4">
      <c r="A82" s="164">
        <f>'Mass Balance'!I82</f>
        <v>0</v>
      </c>
      <c r="B82">
        <f>'Mass Balance'!E82</f>
        <v>0</v>
      </c>
      <c r="C82">
        <f>SUM('Mass Balance'!E82:H82)</f>
        <v>0</v>
      </c>
      <c r="D82" t="e">
        <f>Concentrations!F82/Concentrations!E82</f>
        <v>#DIV/0!</v>
      </c>
    </row>
    <row r="83" spans="1:4">
      <c r="A83" s="164">
        <f>'Mass Balance'!I83</f>
        <v>0</v>
      </c>
      <c r="B83">
        <f>'Mass Balance'!E83</f>
        <v>0</v>
      </c>
      <c r="C83">
        <f>SUM('Mass Balance'!E83:H83)</f>
        <v>0</v>
      </c>
      <c r="D83" t="e">
        <f>Concentrations!F83/Concentrations!E83</f>
        <v>#DIV/0!</v>
      </c>
    </row>
    <row r="84" spans="1:4">
      <c r="A84" s="164">
        <f>'Mass Balance'!I84</f>
        <v>0</v>
      </c>
      <c r="B84">
        <f>'Mass Balance'!E84</f>
        <v>0</v>
      </c>
      <c r="C84">
        <f>SUM('Mass Balance'!E84:H84)</f>
        <v>0</v>
      </c>
      <c r="D84" t="e">
        <f>Concentrations!F84/Concentrations!E84</f>
        <v>#DIV/0!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2025-01-18T04:01:35Z</dcterms:modified>
</cp:coreProperties>
</file>