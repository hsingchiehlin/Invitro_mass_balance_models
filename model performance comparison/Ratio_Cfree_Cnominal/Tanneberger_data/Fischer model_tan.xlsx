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Validation_Armitage\Validation_Tann\"/>
    </mc:Choice>
  </mc:AlternateContent>
  <xr:revisionPtr revIDLastSave="0" documentId="13_ncr:1_{7F9F2EB2-3933-4A95-A272-4BAE4FCC225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4" l="1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28" i="4"/>
  <c r="L23" i="1"/>
  <c r="O23" i="1" s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N31" i="4" s="1"/>
  <c r="Q31" i="4" s="1"/>
  <c r="I33" i="4"/>
  <c r="I30" i="4"/>
  <c r="I32" i="4"/>
  <c r="I28" i="4"/>
  <c r="I29" i="4"/>
  <c r="N29" i="4" s="1"/>
  <c r="Q29" i="4" s="1"/>
  <c r="I34" i="4"/>
  <c r="J31" i="4"/>
  <c r="J29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K31" i="4"/>
  <c r="O31" i="4" s="1"/>
  <c r="P31" i="4" s="1"/>
  <c r="L31" i="4"/>
  <c r="M31" i="4" s="1"/>
  <c r="K29" i="4"/>
  <c r="O29" i="4" s="1"/>
  <c r="P29" i="4" s="1"/>
  <c r="L29" i="4"/>
  <c r="M29" i="4" s="1"/>
  <c r="O70" i="4" l="1"/>
  <c r="P70" i="4" s="1"/>
  <c r="J21" i="4" l="1"/>
  <c r="J9" i="4"/>
  <c r="J22" i="4"/>
  <c r="J10" i="4" s="1"/>
  <c r="J20" i="4"/>
  <c r="N36" i="4" s="1"/>
  <c r="O24" i="1"/>
  <c r="L24" i="1" s="1"/>
  <c r="N24" i="1"/>
  <c r="N46" i="4" l="1"/>
  <c r="N48" i="4"/>
  <c r="N28" i="4"/>
  <c r="J19" i="4"/>
  <c r="K19" i="4" s="1"/>
  <c r="N32" i="4"/>
  <c r="N45" i="4"/>
  <c r="N37" i="4"/>
  <c r="Q37" i="4" s="1"/>
  <c r="N44" i="4"/>
  <c r="Q44" i="4" s="1"/>
  <c r="N49" i="4"/>
  <c r="N53" i="4"/>
  <c r="Q53" i="4" s="1"/>
  <c r="J8" i="4"/>
  <c r="N30" i="4"/>
  <c r="N51" i="4"/>
  <c r="N41" i="4"/>
  <c r="K20" i="4"/>
  <c r="K22" i="4"/>
  <c r="K21" i="4"/>
  <c r="J7" i="4"/>
  <c r="Q48" i="4" s="1"/>
  <c r="M24" i="1"/>
  <c r="O25" i="1" s="1"/>
  <c r="N50" i="4"/>
  <c r="N43" i="4"/>
  <c r="N39" i="4"/>
  <c r="N42" i="4"/>
  <c r="N40" i="4"/>
  <c r="N34" i="4"/>
  <c r="N38" i="4"/>
  <c r="N54" i="4"/>
  <c r="N33" i="4"/>
  <c r="Q33" i="4" s="1"/>
  <c r="N35" i="4"/>
  <c r="Q35" i="4" s="1"/>
  <c r="N52" i="4"/>
  <c r="N47" i="4"/>
  <c r="Q41" i="4" l="1"/>
  <c r="Q28" i="4"/>
  <c r="Q42" i="4"/>
  <c r="Q39" i="4"/>
  <c r="Q43" i="4"/>
  <c r="K9" i="4"/>
  <c r="Q50" i="4"/>
  <c r="Q47" i="4"/>
  <c r="Q52" i="4"/>
  <c r="K7" i="4"/>
  <c r="Q32" i="4"/>
  <c r="K8" i="4"/>
  <c r="J28" i="4"/>
  <c r="J33" i="4"/>
  <c r="J52" i="4"/>
  <c r="J49" i="4"/>
  <c r="J40" i="4"/>
  <c r="J37" i="4"/>
  <c r="J38" i="4"/>
  <c r="J45" i="4"/>
  <c r="J32" i="4"/>
  <c r="J42" i="4"/>
  <c r="J39" i="4"/>
  <c r="J53" i="4"/>
  <c r="J54" i="4"/>
  <c r="J41" i="4"/>
  <c r="J36" i="4"/>
  <c r="J44" i="4"/>
  <c r="J46" i="4"/>
  <c r="J35" i="4"/>
  <c r="J47" i="4"/>
  <c r="J50" i="4"/>
  <c r="J34" i="4"/>
  <c r="J30" i="4"/>
  <c r="J48" i="4"/>
  <c r="J51" i="4"/>
  <c r="J43" i="4"/>
  <c r="K10" i="4"/>
  <c r="Q54" i="4"/>
  <c r="Q51" i="4"/>
  <c r="Q38" i="4"/>
  <c r="Q36" i="4"/>
  <c r="Q34" i="4"/>
  <c r="Q46" i="4"/>
  <c r="Q45" i="4"/>
  <c r="Q40" i="4"/>
  <c r="Q30" i="4"/>
  <c r="Q49" i="4"/>
  <c r="L34" i="4" l="1"/>
  <c r="M34" i="4" s="1"/>
  <c r="K34" i="4"/>
  <c r="O34" i="4" s="1"/>
  <c r="P34" i="4" s="1"/>
  <c r="L32" i="4"/>
  <c r="M32" i="4" s="1"/>
  <c r="K32" i="4"/>
  <c r="O32" i="4" s="1"/>
  <c r="P32" i="4" s="1"/>
  <c r="L45" i="4"/>
  <c r="M45" i="4" s="1"/>
  <c r="K45" i="4"/>
  <c r="O45" i="4" s="1"/>
  <c r="P45" i="4" s="1"/>
  <c r="L47" i="4"/>
  <c r="M47" i="4" s="1"/>
  <c r="K47" i="4"/>
  <c r="O47" i="4" s="1"/>
  <c r="P47" i="4" s="1"/>
  <c r="L38" i="4"/>
  <c r="M38" i="4" s="1"/>
  <c r="K38" i="4"/>
  <c r="O38" i="4" s="1"/>
  <c r="P38" i="4" s="1"/>
  <c r="L37" i="4"/>
  <c r="M37" i="4" s="1"/>
  <c r="K37" i="4"/>
  <c r="O37" i="4" s="1"/>
  <c r="P37" i="4" s="1"/>
  <c r="K46" i="4"/>
  <c r="O46" i="4" s="1"/>
  <c r="P46" i="4" s="1"/>
  <c r="L46" i="4"/>
  <c r="M46" i="4" s="1"/>
  <c r="L40" i="4"/>
  <c r="M40" i="4" s="1"/>
  <c r="K40" i="4"/>
  <c r="O40" i="4" s="1"/>
  <c r="P40" i="4" s="1"/>
  <c r="L44" i="4"/>
  <c r="M44" i="4" s="1"/>
  <c r="K44" i="4"/>
  <c r="O44" i="4" s="1"/>
  <c r="P44" i="4" s="1"/>
  <c r="L36" i="4"/>
  <c r="M36" i="4" s="1"/>
  <c r="K36" i="4"/>
  <c r="O36" i="4" s="1"/>
  <c r="P36" i="4" s="1"/>
  <c r="K52" i="4"/>
  <c r="O52" i="4" s="1"/>
  <c r="P52" i="4" s="1"/>
  <c r="L52" i="4"/>
  <c r="M52" i="4" s="1"/>
  <c r="L41" i="4"/>
  <c r="M41" i="4" s="1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28" i="4"/>
  <c r="M28" i="4" s="1"/>
  <c r="K28" i="4"/>
  <c r="O28" i="4" s="1"/>
  <c r="P28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M33" i="4" s="1"/>
  <c r="K33" i="4"/>
  <c r="O33" i="4" s="1"/>
  <c r="P33" i="4" s="1"/>
  <c r="K30" i="4"/>
  <c r="O30" i="4" s="1"/>
  <c r="P30" i="4" s="1"/>
  <c r="L30" i="4"/>
  <c r="M30" i="4" s="1"/>
  <c r="L42" i="4"/>
  <c r="M42" i="4" s="1"/>
  <c r="K42" i="4"/>
  <c r="O42" i="4" s="1"/>
  <c r="P4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<sst xmlns="http://schemas.openxmlformats.org/spreadsheetml/2006/main" count="157" uniqueCount="134">
  <si>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</si>
  <si>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</si>
  <si>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</si>
  <si>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</si>
  <si>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</si>
  <si>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</si>
  <si>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</si>
  <si>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</si>
  <si>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</si>
  <si>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</si>
  <si>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</si>
  <si>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</si>
  <si>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</si>
  <si>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</si>
  <si>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</si>
  <si>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</si>
  <si>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</si>
  <si>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</si>
  <si>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</si>
  <si>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</si>
  <si>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</si>
  <si>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</si>
  <si>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</si>
  <si>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</si>
  <si>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</si>
  <si>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</si>
  <si>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</si>
  <si>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</si>
  <si>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</si>
  <si>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</si>
  <si>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</si>
  <si>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</si>
  <si>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</si>
  <si>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</si>
  <si>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</si>
  <si>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</si>
  <si>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</si>
  <si>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</si>
  <si>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</si>
  <si>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</si>
  <si>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</si>
  <si>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</si>
  <si>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</si>
  <si>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</si>
  <si>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</si>
  <si>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</si>
  <si>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</si>
  <si>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</si>
  <si>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</si>
  <si>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</si>
  <si>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</si>
  <si>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</si>
  <si>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</si>
  <si>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</si>
  <si>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</si>
  <si>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</si>
  <si>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</si>
  <si>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</si>
  <si>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</si>
  <si>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</si>
  <si>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</si>
  <si>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</si>
  <si>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</si>
  <si>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</si>
  <si>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</si>
  <si>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</si>
  <si>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</si>
  <si>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</si>
  <si>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</si>
  <si>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</si>
  <si>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</si>
  <si>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</si>
  <si>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</si>
  <si>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</si>
  <si>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</si>
  <si>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</si>
  <si>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</si>
  <si>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</si>
  <si>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</si>
  <si>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OptiMEM</t>
    <phoneticPr fontId="18" type="noConversion"/>
  </si>
  <si>
    <t>Caffeine</t>
  </si>
  <si>
    <t>di-n-butylphthalate</t>
    <phoneticPr fontId="25" type="noConversion"/>
  </si>
  <si>
    <t>84-74-2</t>
    <phoneticPr fontId="25" type="noConversion"/>
  </si>
  <si>
    <t>hexachlorophene</t>
  </si>
  <si>
    <t>70-30-4</t>
    <phoneticPr fontId="25" type="noConversion"/>
  </si>
  <si>
    <t>58-08-2</t>
    <phoneticPr fontId="25" type="noConversion"/>
  </si>
  <si>
    <t>hexamethylenetetramine</t>
    <phoneticPr fontId="25" type="noConversion"/>
  </si>
  <si>
    <t>100-97-0</t>
    <phoneticPr fontId="25" type="noConversion"/>
  </si>
  <si>
    <t>Malathion</t>
  </si>
  <si>
    <t>121-75-5</t>
    <phoneticPr fontId="25" type="noConversion"/>
  </si>
  <si>
    <t>pentachlorophenol</t>
  </si>
  <si>
    <t>87-86-5</t>
    <phoneticPr fontId="25" type="noConversion"/>
  </si>
  <si>
    <t>2,4-dinitrophenol</t>
  </si>
  <si>
    <t>51-28-5</t>
    <phoneticPr fontId="25" type="noConversion"/>
  </si>
  <si>
    <t>2,2,2-trichloroethanol</t>
  </si>
  <si>
    <t>115-20-8</t>
    <phoneticPr fontId="25" type="noConversion"/>
  </si>
  <si>
    <t>parathion ethyl</t>
  </si>
  <si>
    <t>56-38-2</t>
    <phoneticPr fontId="25" type="noConversion"/>
  </si>
  <si>
    <t>diethylphthalate</t>
    <phoneticPr fontId="25" type="noConversion"/>
  </si>
  <si>
    <t>84-66-2</t>
    <phoneticPr fontId="25" type="noConversion"/>
  </si>
  <si>
    <t>4-chlorophenol</t>
  </si>
  <si>
    <t>106-48-9</t>
    <phoneticPr fontId="25" type="noConversion"/>
  </si>
  <si>
    <t>permethrin</t>
  </si>
  <si>
    <t>52645-53-1</t>
    <phoneticPr fontId="25" type="noConversion"/>
  </si>
  <si>
    <t>Aniline</t>
  </si>
  <si>
    <t>62-53-3</t>
    <phoneticPr fontId="25" type="noConversion"/>
  </si>
  <si>
    <t>disulfoton</t>
  </si>
  <si>
    <t>298-04-4</t>
    <phoneticPr fontId="25" type="noConversion"/>
  </si>
  <si>
    <t>4-fluoroaniline</t>
  </si>
  <si>
    <t>371-40-4</t>
    <phoneticPr fontId="25" type="noConversion"/>
  </si>
  <si>
    <t>2,4,6-trichlorophenol</t>
    <phoneticPr fontId="25" type="noConversion"/>
  </si>
  <si>
    <t>88-06-2</t>
    <phoneticPr fontId="25" type="noConversion"/>
  </si>
  <si>
    <t>Allyl alcohol</t>
  </si>
  <si>
    <t>107-18-6</t>
    <phoneticPr fontId="25" type="noConversion"/>
  </si>
  <si>
    <t>lindane</t>
  </si>
  <si>
    <t>58-89-9</t>
    <phoneticPr fontId="25" type="noConversion"/>
  </si>
  <si>
    <t>N-methylaniline</t>
  </si>
  <si>
    <t>100-61-8</t>
    <phoneticPr fontId="25" type="noConversion"/>
  </si>
  <si>
    <t>3,4-dichloroaniline</t>
  </si>
  <si>
    <t>95-76-1</t>
    <phoneticPr fontId="25" type="noConversion"/>
  </si>
  <si>
    <t>4-decylaniline</t>
  </si>
  <si>
    <t>37529-30-9</t>
    <phoneticPr fontId="25" type="noConversion"/>
  </si>
  <si>
    <t>naphthalene</t>
  </si>
  <si>
    <t>91-20-3</t>
    <phoneticPr fontId="25" type="noConversion"/>
  </si>
  <si>
    <t>1,2,4-trichlorobenzene</t>
    <phoneticPr fontId="25" type="noConversion"/>
  </si>
  <si>
    <t>120-82-1</t>
    <phoneticPr fontId="25" type="noConversion"/>
  </si>
  <si>
    <t>1,2-dichlorobenzene</t>
  </si>
  <si>
    <t>95-50-1</t>
    <phoneticPr fontId="25" type="noConversion"/>
  </si>
  <si>
    <t>dichloromethane</t>
  </si>
  <si>
    <t>75-09-2</t>
    <phoneticPr fontId="25" type="noConversion"/>
  </si>
  <si>
    <t>tetrachloroethylene</t>
  </si>
  <si>
    <t>127-18-4</t>
    <phoneticPr fontId="25" type="noConversion"/>
  </si>
  <si>
    <t>2,3-dimethyl-1,3-butadiene</t>
  </si>
  <si>
    <t>513-81-5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</si>
</sst>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</numFmts>
  <fonts count="26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11"/>
      <color theme="0" tint="-0.34998626667073579"/>
      <name val="Helvetica"/>
      <family val="2"/>
    </font>
    <font>
      <sz val="9"/>
      <name val="Calibri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3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24" fillId="2" borderId="7" xfId="0" applyNumberFormat="1" applyFont="1" applyFill="1" applyBorder="1" applyAlignment="1" applyProtection="1">
      <alignment horizontal="center" vertical="center"/>
      <protection hidden="1"/>
    </xf>
    <xf numFmtId="10" fontId="24" fillId="2" borderId="7" xfId="0" applyNumberFormat="1" applyFont="1" applyFill="1" applyBorder="1" applyAlignment="1" applyProtection="1">
      <alignment horizontal="center" vertical="center"/>
      <protection hidden="1"/>
    </xf>
    <xf numFmtId="11" fontId="24" fillId="2" borderId="7" xfId="0" applyNumberFormat="1" applyFont="1" applyFill="1" applyBorder="1" applyAlignment="1" applyProtection="1">
      <alignment horizontal="center" vertical="center"/>
      <protection hidden="1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24" fillId="4" borderId="7" xfId="0" applyFont="1" applyFill="1" applyBorder="1" applyAlignment="1" applyProtection="1">
      <alignment horizontal="left" vertical="center"/>
      <protection locked="0"/>
    </xf>
    <xf numFmtId="2" fontId="24" fillId="4" borderId="7" xfId="0" applyNumberFormat="1" applyFont="1" applyFill="1" applyBorder="1" applyAlignment="1" applyProtection="1">
      <alignment horizontal="center" vertical="center"/>
      <protection locked="0"/>
    </xf>
    <xf numFmtId="11" fontId="24" fillId="4" borderId="7" xfId="0" applyNumberFormat="1" applyFont="1" applyFill="1" applyBorder="1" applyAlignment="1" applyProtection="1">
      <alignment horizontal="center" vertical="center"/>
      <protection locked="0"/>
    </xf>
    <xf numFmtId="2" fontId="24" fillId="9" borderId="7" xfId="0" applyNumberFormat="1" applyFont="1" applyFill="1" applyBorder="1" applyAlignment="1" applyProtection="1">
      <alignment horizontal="center" vertical="center"/>
      <protection locked="0"/>
    </xf>
    <xf numFmtId="11" fontId="24" fillId="9" borderId="7" xfId="0" applyNumberFormat="1" applyFont="1" applyFill="1" applyBorder="1" applyAlignment="1" applyProtection="1">
      <alignment horizontal="center" vertical="center"/>
      <protection locked="0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A4" zoomScale="90" zoomScaleNormal="90" workbookViewId="0">
      <selection activeCell="L17" sqref="L17:N17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8" t="s">
        <v>59</v>
      </c>
      <c r="C2" s="119"/>
      <c r="D2" s="119"/>
      <c r="E2" s="119"/>
      <c r="F2" s="119"/>
      <c r="G2" s="119"/>
      <c r="H2" s="120"/>
      <c r="I2" s="7"/>
      <c r="J2" s="109" t="s">
        <v>58</v>
      </c>
      <c r="K2" s="110"/>
      <c r="L2" s="110"/>
      <c r="M2" s="110"/>
      <c r="N2" s="110"/>
      <c r="O2" s="111"/>
      <c r="P2" s="7"/>
      <c r="Q2" s="109" t="s">
        <v>60</v>
      </c>
      <c r="R2" s="110"/>
      <c r="S2" s="110"/>
      <c r="T2" s="110"/>
      <c r="U2" s="110"/>
      <c r="V2" s="111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12"/>
      <c r="K3" s="113"/>
      <c r="L3" s="113"/>
      <c r="M3" s="113"/>
      <c r="N3" s="113"/>
      <c r="O3" s="114"/>
      <c r="P3" s="7"/>
      <c r="Q3" s="112"/>
      <c r="R3" s="113"/>
      <c r="S3" s="113"/>
      <c r="T3" s="113"/>
      <c r="U3" s="113"/>
      <c r="V3" s="114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5"/>
      <c r="K4" s="116"/>
      <c r="L4" s="116"/>
      <c r="M4" s="116"/>
      <c r="N4" s="116"/>
      <c r="O4" s="117"/>
      <c r="P4" s="7"/>
      <c r="Q4" s="115"/>
      <c r="R4" s="116"/>
      <c r="S4" s="116"/>
      <c r="T4" s="116"/>
      <c r="U4" s="116"/>
      <c r="V4" s="11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79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83">
        <v>2.7039712999999996E-3</v>
      </c>
      <c r="M17" s="83">
        <v>1.8229019999999998E-4</v>
      </c>
      <c r="N17" s="83">
        <v>1.519085E-4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>
        <f>1-M23-N23</f>
        <v>0.8899999999999999</v>
      </c>
      <c r="M23" s="88">
        <v>0.06</v>
      </c>
      <c r="N23" s="87">
        <v>0.05</v>
      </c>
      <c r="O23" s="87">
        <f>SUM(L23:N23)</f>
        <v>1</v>
      </c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>
        <f>L23*$O$24</f>
        <v>2.7039712999999991E-3</v>
      </c>
      <c r="M24" s="91">
        <f t="shared" ref="M24:N24" si="0">M23*$O$24</f>
        <v>1.8229019999999995E-4</v>
      </c>
      <c r="N24" s="91">
        <f t="shared" si="0"/>
        <v>1.5190849999999998E-4</v>
      </c>
      <c r="O24" s="89">
        <f>SUM(L17:N17)</f>
        <v>3.0381699999999993E-3</v>
      </c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>
        <f>SUM(L24:N24)</f>
        <v>3.0381699999999989E-3</v>
      </c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8" zoomScale="90" zoomScaleNormal="90" workbookViewId="0">
      <selection activeCell="R28" sqref="R28:R54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46"/>
      <c r="H1" s="14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46"/>
      <c r="H2" s="146"/>
      <c r="I2" s="159" t="s">
        <v>20</v>
      </c>
      <c r="J2" s="160"/>
      <c r="K2" s="160"/>
      <c r="L2" s="160"/>
      <c r="M2" s="160"/>
      <c r="N2" s="160"/>
      <c r="O2" s="160"/>
      <c r="P2" s="160"/>
      <c r="Q2" s="161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46"/>
      <c r="H3" s="146"/>
      <c r="I3" s="162"/>
      <c r="J3" s="163"/>
      <c r="K3" s="163"/>
      <c r="L3" s="163"/>
      <c r="M3" s="163"/>
      <c r="N3" s="163"/>
      <c r="O3" s="163"/>
      <c r="P3" s="163"/>
      <c r="Q3" s="164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46"/>
      <c r="H4" s="146"/>
      <c r="I4" s="165"/>
      <c r="J4" s="166"/>
      <c r="K4" s="166"/>
      <c r="L4" s="166"/>
      <c r="M4" s="166"/>
      <c r="N4" s="166"/>
      <c r="O4" s="166"/>
      <c r="P4" s="166"/>
      <c r="Q4" s="16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46"/>
      <c r="H5" s="146"/>
      <c r="I5" s="168" t="s">
        <v>40</v>
      </c>
      <c r="J5" s="169"/>
      <c r="K5" s="169"/>
      <c r="L5" s="169"/>
      <c r="M5" s="169"/>
      <c r="N5" s="169"/>
      <c r="O5" s="169"/>
      <c r="P5" s="169"/>
      <c r="Q5" s="170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46"/>
      <c r="H6" s="146"/>
      <c r="I6" s="50" t="s">
        <v>51</v>
      </c>
      <c r="J6" s="50" t="s">
        <v>52</v>
      </c>
      <c r="K6" s="50" t="s">
        <v>48</v>
      </c>
      <c r="L6" s="138" t="s">
        <v>41</v>
      </c>
      <c r="M6" s="139"/>
      <c r="N6" s="139"/>
      <c r="O6" s="139"/>
      <c r="P6" s="139"/>
      <c r="Q6" s="140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46"/>
      <c r="H7" s="146"/>
      <c r="I7" s="51" t="s">
        <v>21</v>
      </c>
      <c r="J7" s="38">
        <f>SUM(J13,J19)</f>
        <v>2000.9114509999999</v>
      </c>
      <c r="K7" s="39">
        <f>J7/J7</f>
        <v>1</v>
      </c>
      <c r="L7" s="121" t="s">
        <v>70</v>
      </c>
      <c r="M7" s="122"/>
      <c r="N7" s="122"/>
      <c r="O7" s="122"/>
      <c r="P7" s="122"/>
      <c r="Q7" s="12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84" t="s">
        <v>3</v>
      </c>
      <c r="C8" s="185"/>
      <c r="D8" s="185"/>
      <c r="E8" s="185"/>
      <c r="F8" s="186"/>
      <c r="G8" s="146"/>
      <c r="H8" s="146"/>
      <c r="I8" s="52" t="s">
        <v>6</v>
      </c>
      <c r="J8" s="38">
        <f>SUM(J14,J20)</f>
        <v>2000.81119139</v>
      </c>
      <c r="K8" s="40">
        <f>J8/J7</f>
        <v>0.99994989303002402</v>
      </c>
      <c r="L8" s="121" t="s">
        <v>71</v>
      </c>
      <c r="M8" s="122"/>
      <c r="N8" s="122"/>
      <c r="O8" s="122"/>
      <c r="P8" s="122"/>
      <c r="Q8" s="12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87"/>
      <c r="C9" s="188"/>
      <c r="D9" s="188"/>
      <c r="E9" s="188"/>
      <c r="F9" s="189"/>
      <c r="G9" s="146"/>
      <c r="H9" s="146"/>
      <c r="I9" s="51" t="s">
        <v>8</v>
      </c>
      <c r="J9" s="41">
        <f t="shared" ref="J9:J10" si="0">SUM(J15,J21)</f>
        <v>5.4687059999999989E-2</v>
      </c>
      <c r="K9" s="40">
        <f>J9/J7</f>
        <v>2.7331074532393183E-5</v>
      </c>
      <c r="L9" s="121" t="s">
        <v>71</v>
      </c>
      <c r="M9" s="122"/>
      <c r="N9" s="122"/>
      <c r="O9" s="122"/>
      <c r="P9" s="122"/>
      <c r="Q9" s="12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90"/>
      <c r="C10" s="191"/>
      <c r="D10" s="191"/>
      <c r="E10" s="191"/>
      <c r="F10" s="192"/>
      <c r="G10" s="146"/>
      <c r="H10" s="146"/>
      <c r="I10" s="52" t="s">
        <v>9</v>
      </c>
      <c r="J10" s="41">
        <f t="shared" si="0"/>
        <v>4.5572550000000003E-2</v>
      </c>
      <c r="K10" s="40">
        <f>J10/J7</f>
        <v>2.2775895443660994E-5</v>
      </c>
      <c r="L10" s="121" t="s">
        <v>71</v>
      </c>
      <c r="M10" s="122"/>
      <c r="N10" s="122"/>
      <c r="O10" s="122"/>
      <c r="P10" s="122"/>
      <c r="Q10" s="12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49" t="s">
        <v>38</v>
      </c>
      <c r="C11" s="150"/>
      <c r="D11" s="150"/>
      <c r="E11" s="150"/>
      <c r="F11" s="151"/>
      <c r="G11" s="146"/>
      <c r="H11" s="146"/>
      <c r="I11" s="137"/>
      <c r="J11" s="137"/>
      <c r="K11" s="137"/>
      <c r="L11" s="137"/>
      <c r="M11" s="137"/>
      <c r="N11" s="137"/>
      <c r="O11" s="137"/>
      <c r="P11" s="137"/>
      <c r="Q11" s="13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2"/>
      <c r="C12" s="153"/>
      <c r="D12" s="153"/>
      <c r="E12" s="153"/>
      <c r="F12" s="154"/>
      <c r="G12" s="146"/>
      <c r="H12" s="146"/>
      <c r="I12" s="50" t="s">
        <v>53</v>
      </c>
      <c r="J12" s="50" t="s">
        <v>52</v>
      </c>
      <c r="K12" s="50" t="s">
        <v>48</v>
      </c>
      <c r="L12" s="138" t="s">
        <v>41</v>
      </c>
      <c r="M12" s="139"/>
      <c r="N12" s="139"/>
      <c r="O12" s="139"/>
      <c r="P12" s="139"/>
      <c r="Q12" s="140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41" t="s">
        <v>4</v>
      </c>
      <c r="C13" s="142"/>
      <c r="D13" s="174" t="s">
        <v>41</v>
      </c>
      <c r="E13" s="174"/>
      <c r="F13" s="174"/>
      <c r="G13" s="146"/>
      <c r="H13" s="146"/>
      <c r="I13" s="51" t="s">
        <v>5</v>
      </c>
      <c r="J13" s="42">
        <f>SUM(J14:J16)</f>
        <v>2000</v>
      </c>
      <c r="K13" s="39">
        <f>J13/J13</f>
        <v>1</v>
      </c>
      <c r="L13" s="121" t="s">
        <v>73</v>
      </c>
      <c r="M13" s="122"/>
      <c r="N13" s="122"/>
      <c r="O13" s="122"/>
      <c r="P13" s="122"/>
      <c r="Q13" s="12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35</v>
      </c>
      <c r="C14" s="44">
        <v>2000</v>
      </c>
      <c r="D14" s="175" t="s">
        <v>18</v>
      </c>
      <c r="E14" s="175"/>
      <c r="F14" s="175"/>
      <c r="G14" s="146"/>
      <c r="H14" s="146"/>
      <c r="I14" s="52" t="s">
        <v>45</v>
      </c>
      <c r="J14" s="42">
        <f>C14-SUM(J15:J16)</f>
        <v>2000</v>
      </c>
      <c r="K14" s="40">
        <f>J14/J13</f>
        <v>1</v>
      </c>
      <c r="L14" s="143" t="s">
        <v>72</v>
      </c>
      <c r="M14" s="144"/>
      <c r="N14" s="144"/>
      <c r="O14" s="144"/>
      <c r="P14" s="144"/>
      <c r="Q14" s="145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15</v>
      </c>
      <c r="C15" s="44" t="s">
        <v>14</v>
      </c>
      <c r="D15" s="176" t="s">
        <v>62</v>
      </c>
      <c r="E15" s="176"/>
      <c r="F15" s="176"/>
      <c r="G15" s="146"/>
      <c r="H15" s="146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21" t="s">
        <v>71</v>
      </c>
      <c r="M15" s="122"/>
      <c r="N15" s="122"/>
      <c r="O15" s="122"/>
      <c r="P15" s="122"/>
      <c r="Q15" s="12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36</v>
      </c>
      <c r="C16" s="45">
        <v>1</v>
      </c>
      <c r="D16" s="177" t="s">
        <v>42</v>
      </c>
      <c r="E16" s="178"/>
      <c r="F16" s="179"/>
      <c r="G16" s="146"/>
      <c r="H16" s="146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21" t="s">
        <v>71</v>
      </c>
      <c r="M16" s="122"/>
      <c r="N16" s="122"/>
      <c r="O16" s="122"/>
      <c r="P16" s="122"/>
      <c r="Q16" s="12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16</v>
      </c>
      <c r="C17" s="44" t="s">
        <v>78</v>
      </c>
      <c r="D17" s="180" t="s">
        <v>63</v>
      </c>
      <c r="E17" s="181"/>
      <c r="F17" s="182"/>
      <c r="G17" s="146"/>
      <c r="H17" s="146"/>
      <c r="I17" s="143"/>
      <c r="J17" s="144"/>
      <c r="K17" s="144"/>
      <c r="L17" s="144"/>
      <c r="M17" s="144"/>
      <c r="N17" s="144"/>
      <c r="O17" s="144"/>
      <c r="P17" s="144"/>
      <c r="Q17" s="145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37</v>
      </c>
      <c r="C18" s="45">
        <v>0</v>
      </c>
      <c r="D18" s="177" t="s">
        <v>43</v>
      </c>
      <c r="E18" s="178"/>
      <c r="F18" s="179"/>
      <c r="G18" s="146"/>
      <c r="H18" s="146"/>
      <c r="I18" s="50" t="s">
        <v>31</v>
      </c>
      <c r="J18" s="50" t="s">
        <v>52</v>
      </c>
      <c r="K18" s="50" t="s">
        <v>48</v>
      </c>
      <c r="L18" s="138" t="s">
        <v>41</v>
      </c>
      <c r="M18" s="139"/>
      <c r="N18" s="139"/>
      <c r="O18" s="139"/>
      <c r="P18" s="139"/>
      <c r="Q18" s="140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76"/>
      <c r="C19" s="176"/>
      <c r="D19" s="176"/>
      <c r="E19" s="176"/>
      <c r="F19" s="176"/>
      <c r="G19" s="146"/>
      <c r="H19" s="146"/>
      <c r="I19" s="51" t="s">
        <v>5</v>
      </c>
      <c r="J19" s="42">
        <f>SUM(J20:J22)</f>
        <v>0.9114509999999999</v>
      </c>
      <c r="K19" s="39">
        <f>J19/J19</f>
        <v>1</v>
      </c>
      <c r="L19" s="121" t="s">
        <v>57</v>
      </c>
      <c r="M19" s="122"/>
      <c r="N19" s="122"/>
      <c r="O19" s="122"/>
      <c r="P19" s="122"/>
      <c r="Q19" s="12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41" t="s">
        <v>7</v>
      </c>
      <c r="C20" s="142"/>
      <c r="D20" s="174" t="s">
        <v>41</v>
      </c>
      <c r="E20" s="174"/>
      <c r="F20" s="174"/>
      <c r="G20" s="146"/>
      <c r="H20" s="146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0.81119138999999985</v>
      </c>
      <c r="K20" s="40">
        <f>J20/J19</f>
        <v>0.8899999999999999</v>
      </c>
      <c r="L20" s="121" t="s">
        <v>71</v>
      </c>
      <c r="M20" s="122"/>
      <c r="N20" s="122"/>
      <c r="O20" s="122"/>
      <c r="P20" s="122"/>
      <c r="Q20" s="12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77</v>
      </c>
      <c r="D21" s="180" t="s">
        <v>63</v>
      </c>
      <c r="E21" s="181"/>
      <c r="F21" s="182"/>
      <c r="G21" s="146"/>
      <c r="H21" s="146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5.4687059999999989E-2</v>
      </c>
      <c r="K21" s="40">
        <f>J21/J19</f>
        <v>5.9999999999999991E-2</v>
      </c>
      <c r="L21" s="121" t="s">
        <v>71</v>
      </c>
      <c r="M21" s="122"/>
      <c r="N21" s="122"/>
      <c r="O21" s="122"/>
      <c r="P21" s="122"/>
      <c r="Q21" s="12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19</v>
      </c>
      <c r="C22" s="46">
        <v>300000</v>
      </c>
      <c r="D22" s="183" t="s">
        <v>69</v>
      </c>
      <c r="E22" s="183"/>
      <c r="F22" s="183"/>
      <c r="G22" s="146"/>
      <c r="H22" s="146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4.5572550000000003E-2</v>
      </c>
      <c r="K22" s="40">
        <f>J22/J19</f>
        <v>5.000000000000001E-2</v>
      </c>
      <c r="L22" s="121" t="s">
        <v>71</v>
      </c>
      <c r="M22" s="122"/>
      <c r="N22" s="122"/>
      <c r="O22" s="122"/>
      <c r="P22" s="122"/>
      <c r="Q22" s="12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71"/>
      <c r="C23" s="172"/>
      <c r="D23" s="172"/>
      <c r="E23" s="172"/>
      <c r="F23" s="173"/>
      <c r="G23" s="146"/>
      <c r="H23" s="146"/>
      <c r="I23" s="132"/>
      <c r="J23" s="133"/>
      <c r="K23" s="133"/>
      <c r="L23" s="133"/>
      <c r="M23" s="133"/>
      <c r="N23" s="133"/>
      <c r="O23" s="133"/>
      <c r="P23" s="133"/>
      <c r="Q23" s="134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49" t="s">
        <v>39</v>
      </c>
      <c r="C24" s="150"/>
      <c r="D24" s="150"/>
      <c r="E24" s="150"/>
      <c r="F24" s="151"/>
      <c r="G24" s="146"/>
      <c r="H24" s="146"/>
      <c r="I24" s="126" t="s">
        <v>44</v>
      </c>
      <c r="J24" s="127"/>
      <c r="K24" s="127"/>
      <c r="L24" s="127"/>
      <c r="M24" s="127"/>
      <c r="N24" s="127"/>
      <c r="O24" s="127"/>
      <c r="P24" s="127"/>
      <c r="Q24" s="128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2"/>
      <c r="C25" s="153"/>
      <c r="D25" s="153"/>
      <c r="E25" s="153"/>
      <c r="F25" s="154"/>
      <c r="G25" s="146"/>
      <c r="H25" s="146"/>
      <c r="I25" s="129"/>
      <c r="J25" s="130"/>
      <c r="K25" s="130"/>
      <c r="L25" s="130"/>
      <c r="M25" s="130"/>
      <c r="N25" s="130"/>
      <c r="O25" s="130"/>
      <c r="P25" s="130"/>
      <c r="Q25" s="131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47" t="s">
        <v>11</v>
      </c>
      <c r="C26" s="147" t="s">
        <v>12</v>
      </c>
      <c r="D26" s="155" t="s">
        <v>49</v>
      </c>
      <c r="E26" s="155" t="s">
        <v>50</v>
      </c>
      <c r="F26" s="157" t="s">
        <v>68</v>
      </c>
      <c r="G26" s="146"/>
      <c r="H26" s="146"/>
      <c r="I26" s="135" t="s">
        <v>55</v>
      </c>
      <c r="J26" s="135" t="s">
        <v>56</v>
      </c>
      <c r="K26" s="124" t="s">
        <v>76</v>
      </c>
      <c r="L26" s="124" t="s">
        <v>54</v>
      </c>
      <c r="M26" s="124" t="s">
        <v>61</v>
      </c>
      <c r="N26" s="124" t="s">
        <v>64</v>
      </c>
      <c r="O26" s="124" t="s">
        <v>75</v>
      </c>
      <c r="P26" s="124" t="s">
        <v>66</v>
      </c>
      <c r="Q26" s="124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48"/>
      <c r="C27" s="148"/>
      <c r="D27" s="156"/>
      <c r="E27" s="156"/>
      <c r="F27" s="158"/>
      <c r="G27" s="146"/>
      <c r="H27" s="146"/>
      <c r="I27" s="136"/>
      <c r="J27" s="136"/>
      <c r="K27" s="125"/>
      <c r="L27" s="125"/>
      <c r="M27" s="125"/>
      <c r="N27" s="125"/>
      <c r="O27" s="125"/>
      <c r="P27" s="125"/>
      <c r="Q27" s="125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 t="s">
        <v>81</v>
      </c>
      <c r="C28" s="47" t="s">
        <v>82</v>
      </c>
      <c r="D28" s="48">
        <v>3.4409280000000009</v>
      </c>
      <c r="E28" s="48">
        <v>4.1160660000000009</v>
      </c>
      <c r="F28" s="58">
        <v>8.3558613910051624E-7</v>
      </c>
      <c r="G28" s="146"/>
      <c r="H28" s="146"/>
      <c r="I28" s="102">
        <f t="shared" ref="I28:I47" si="1">IF(D28=0,"",LOG($K$15*10^D28+$K$16*10^E28+$K$14))</f>
        <v>0</v>
      </c>
      <c r="J28" s="102">
        <f t="shared" ref="J28:J47" si="2">IF(D28=0,"",LOG($K$21*10^D28+$K$22*10^E28+$K$20))</f>
        <v>2.9136453532291715</v>
      </c>
      <c r="K28" s="103">
        <f t="shared" ref="K28:K47" si="3">IF(D28=0,"",1/(1+10^D28*$J$15/$J$14+10^E28*$J$16/$J$14+10^J28*$J$19/$J$14))</f>
        <v>0.7280405052290404</v>
      </c>
      <c r="L28" s="103">
        <f t="shared" ref="L28:L47" si="4">IF(D28=0,"",1/(1+10^I28/10^J28*$J$13/$J$19))</f>
        <v>0.2719594947709596</v>
      </c>
      <c r="M28" s="103">
        <f t="shared" ref="M28:M47" si="5">IF(D28=0,"",1-L28)</f>
        <v>0.7280405052290404</v>
      </c>
      <c r="N28" s="103">
        <f t="shared" ref="N28:N47" si="6">IF(D28=0,"",1/(1/10^E28*$J$20/$J$22+10^D28/10^E28*$J$21/$J$22+10^I28/10^E28*$J$13/$J$22+1))</f>
        <v>0.21671794644806847</v>
      </c>
      <c r="O28" s="41">
        <f t="shared" ref="O28:O47" si="7">IF(D28=0,"",F28*K28*$J$7/$J$14)</f>
        <v>6.0861779117666295E-7</v>
      </c>
      <c r="P28" s="41">
        <f t="shared" ref="P28:P47" si="8">IF(D28=0,"",O28*10^J28)</f>
        <v>4.9887299665015035E-4</v>
      </c>
      <c r="Q28" s="41">
        <f t="shared" ref="Q28:Q47" si="9">IF(D28=0,"",F28*N28*$J$7/$J$22)</f>
        <v>7.9507966039918804E-3</v>
      </c>
      <c r="R28" s="9">
        <f>O28/F28</f>
        <v>0.72837229185230623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104" t="s">
        <v>83</v>
      </c>
      <c r="C29" s="104" t="s">
        <v>84</v>
      </c>
      <c r="D29" s="105"/>
      <c r="E29" s="105"/>
      <c r="F29" s="106">
        <v>4.915212582944213E-8</v>
      </c>
      <c r="G29" s="146"/>
      <c r="H29" s="146"/>
      <c r="I29" s="97" t="str">
        <f t="shared" si="1"/>
        <v/>
      </c>
      <c r="J29" s="97" t="str">
        <f t="shared" si="2"/>
        <v/>
      </c>
      <c r="K29" s="98" t="str">
        <f t="shared" si="3"/>
        <v/>
      </c>
      <c r="L29" s="98" t="str">
        <f t="shared" si="4"/>
        <v/>
      </c>
      <c r="M29" s="98" t="str">
        <f t="shared" si="5"/>
        <v/>
      </c>
      <c r="N29" s="98" t="str">
        <f t="shared" si="6"/>
        <v/>
      </c>
      <c r="O29" s="99" t="str">
        <f t="shared" si="7"/>
        <v/>
      </c>
      <c r="P29" s="99" t="str">
        <f t="shared" si="8"/>
        <v/>
      </c>
      <c r="Q29" s="99" t="str">
        <f t="shared" si="9"/>
        <v/>
      </c>
      <c r="R29" s="9" t="e">
        <f t="shared" ref="R29:R54" si="10">O29/F29</f>
        <v>#VALUE!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 t="s">
        <v>80</v>
      </c>
      <c r="C30" s="47" t="s">
        <v>85</v>
      </c>
      <c r="D30" s="95">
        <v>6.5247999999999973E-2</v>
      </c>
      <c r="E30" s="95">
        <v>8.2216000000000289E-2</v>
      </c>
      <c r="F30" s="96">
        <v>1.4037075180226571E-2</v>
      </c>
      <c r="G30" s="146"/>
      <c r="H30" s="146"/>
      <c r="I30" s="102">
        <f t="shared" si="1"/>
        <v>0</v>
      </c>
      <c r="J30" s="102">
        <f t="shared" si="2"/>
        <v>8.66295144485788E-3</v>
      </c>
      <c r="K30" s="103">
        <f t="shared" si="3"/>
        <v>0.99953530882821029</v>
      </c>
      <c r="L30" s="103">
        <f t="shared" si="4"/>
        <v>4.6469117178965904E-4</v>
      </c>
      <c r="M30" s="103">
        <f t="shared" si="5"/>
        <v>0.99953530882821029</v>
      </c>
      <c r="N30" s="103">
        <f t="shared" si="6"/>
        <v>2.7522474290866779E-5</v>
      </c>
      <c r="O30" s="41">
        <f t="shared" si="7"/>
        <v>1.4036946355763514E-2</v>
      </c>
      <c r="P30" s="41">
        <f t="shared" si="8"/>
        <v>1.4319755133523161E-2</v>
      </c>
      <c r="Q30" s="41">
        <f t="shared" si="9"/>
        <v>1.6962452331342918E-2</v>
      </c>
      <c r="R30" s="9">
        <f t="shared" si="10"/>
        <v>0.99999082255659366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104" t="s">
        <v>86</v>
      </c>
      <c r="C31" s="104" t="s">
        <v>87</v>
      </c>
      <c r="D31" s="107"/>
      <c r="E31" s="107"/>
      <c r="F31" s="108">
        <v>9.8787446504992868E-2</v>
      </c>
      <c r="G31" s="146"/>
      <c r="H31" s="146"/>
      <c r="I31" s="97" t="str">
        <f t="shared" si="1"/>
        <v/>
      </c>
      <c r="J31" s="97" t="str">
        <f t="shared" si="2"/>
        <v/>
      </c>
      <c r="K31" s="98" t="str">
        <f t="shared" si="3"/>
        <v/>
      </c>
      <c r="L31" s="98" t="str">
        <f t="shared" si="4"/>
        <v/>
      </c>
      <c r="M31" s="98" t="str">
        <f t="shared" si="5"/>
        <v/>
      </c>
      <c r="N31" s="98" t="str">
        <f t="shared" si="6"/>
        <v/>
      </c>
      <c r="O31" s="99" t="str">
        <f t="shared" si="7"/>
        <v/>
      </c>
      <c r="P31" s="99" t="str">
        <f t="shared" si="8"/>
        <v/>
      </c>
      <c r="Q31" s="99" t="str">
        <f t="shared" si="9"/>
        <v/>
      </c>
      <c r="R31" s="9" t="e">
        <f t="shared" si="10"/>
        <v>#VALUE!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47" t="s">
        <v>88</v>
      </c>
      <c r="C32" s="47" t="s">
        <v>89</v>
      </c>
      <c r="D32" s="95">
        <v>2.3414159999999997</v>
      </c>
      <c r="E32" s="95">
        <v>2.4767320000000002</v>
      </c>
      <c r="F32" s="96">
        <v>3.934624697336562E-5</v>
      </c>
      <c r="G32" s="146"/>
      <c r="H32" s="146"/>
      <c r="I32" s="102">
        <f t="shared" si="1"/>
        <v>0</v>
      </c>
      <c r="J32" s="102">
        <f t="shared" si="2"/>
        <v>1.4630863314519809</v>
      </c>
      <c r="K32" s="103">
        <f t="shared" si="3"/>
        <v>0.9869359263546803</v>
      </c>
      <c r="L32" s="103">
        <f t="shared" si="4"/>
        <v>1.3064073645319651E-2</v>
      </c>
      <c r="M32" s="103">
        <f t="shared" si="5"/>
        <v>0.9869359263546803</v>
      </c>
      <c r="N32" s="103">
        <f t="shared" si="6"/>
        <v>6.7405338319878163E-3</v>
      </c>
      <c r="O32" s="41">
        <f t="shared" si="7"/>
        <v>3.8849921540258532E-5</v>
      </c>
      <c r="P32" s="41">
        <f t="shared" si="8"/>
        <v>1.1284348169723598E-3</v>
      </c>
      <c r="Q32" s="41">
        <f t="shared" si="9"/>
        <v>1.1644534878629062E-2</v>
      </c>
      <c r="R32" s="9">
        <f t="shared" si="10"/>
        <v>0.987385698223186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47" t="s">
        <v>90</v>
      </c>
      <c r="C33" s="47" t="s">
        <v>91</v>
      </c>
      <c r="D33" s="95">
        <v>4.3302640000000006</v>
      </c>
      <c r="E33" s="95">
        <v>5.074033</v>
      </c>
      <c r="F33" s="96">
        <v>7.510326699211416E-8</v>
      </c>
      <c r="G33" s="146"/>
      <c r="H33" s="146"/>
      <c r="I33" s="102">
        <f t="shared" si="1"/>
        <v>0</v>
      </c>
      <c r="J33" s="102">
        <f t="shared" si="2"/>
        <v>3.8581605774828258</v>
      </c>
      <c r="K33" s="103">
        <f t="shared" si="3"/>
        <v>0.23323691502532815</v>
      </c>
      <c r="L33" s="103">
        <f t="shared" si="4"/>
        <v>0.76676308497467183</v>
      </c>
      <c r="M33" s="103">
        <f t="shared" si="5"/>
        <v>0.23323691502532817</v>
      </c>
      <c r="N33" s="103">
        <f t="shared" si="6"/>
        <v>0.63023660342274157</v>
      </c>
      <c r="O33" s="41">
        <f t="shared" si="7"/>
        <v>1.7524837178749271E-8</v>
      </c>
      <c r="P33" s="41">
        <f t="shared" si="8"/>
        <v>1.2641964578955208E-4</v>
      </c>
      <c r="Q33" s="41">
        <f t="shared" si="9"/>
        <v>2.0781983308689207E-3</v>
      </c>
      <c r="R33" s="9">
        <f t="shared" si="10"/>
        <v>0.23334320703504655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 t="s">
        <v>92</v>
      </c>
      <c r="C34" s="47" t="s">
        <v>93</v>
      </c>
      <c r="D34" s="100">
        <v>1.6437199999999998</v>
      </c>
      <c r="E34" s="100">
        <v>1.9024449999999995</v>
      </c>
      <c r="F34" s="101">
        <v>4.1281912004345465E-6</v>
      </c>
      <c r="G34" s="146"/>
      <c r="H34" s="146"/>
      <c r="I34" s="102">
        <f t="shared" si="1"/>
        <v>0</v>
      </c>
      <c r="J34" s="102">
        <f t="shared" si="2"/>
        <v>0.87654628857053851</v>
      </c>
      <c r="K34" s="103">
        <f t="shared" si="3"/>
        <v>0.99658207373381325</v>
      </c>
      <c r="L34" s="103">
        <f t="shared" si="4"/>
        <v>3.4179262661867774E-3</v>
      </c>
      <c r="M34" s="103">
        <f t="shared" si="5"/>
        <v>0.99658207373381325</v>
      </c>
      <c r="N34" s="103">
        <f t="shared" si="6"/>
        <v>1.8139754510559936E-3</v>
      </c>
      <c r="O34" s="41">
        <f t="shared" si="7"/>
        <v>4.115956239077779E-6</v>
      </c>
      <c r="P34" s="41">
        <f t="shared" si="8"/>
        <v>3.0975408125465011E-5</v>
      </c>
      <c r="Q34" s="41">
        <f t="shared" si="9"/>
        <v>3.2878784122350848E-4</v>
      </c>
      <c r="R34" s="9">
        <f t="shared" si="10"/>
        <v>0.99703624159765669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 t="s">
        <v>94</v>
      </c>
      <c r="C35" s="47" t="s">
        <v>95</v>
      </c>
      <c r="D35" s="95">
        <v>1.4854320000000003</v>
      </c>
      <c r="E35" s="95">
        <v>1.5057189999999996</v>
      </c>
      <c r="F35" s="96">
        <v>7.1285140562248994E-4</v>
      </c>
      <c r="G35" s="146"/>
      <c r="H35" s="146"/>
      <c r="I35" s="102">
        <f t="shared" si="1"/>
        <v>0</v>
      </c>
      <c r="J35" s="102">
        <f t="shared" si="2"/>
        <v>0.63617430590334978</v>
      </c>
      <c r="K35" s="103">
        <f t="shared" si="3"/>
        <v>0.99803201353038928</v>
      </c>
      <c r="L35" s="103">
        <f t="shared" si="4"/>
        <v>1.9679864696107371E-3</v>
      </c>
      <c r="M35" s="103">
        <f t="shared" si="5"/>
        <v>0.99803201353038928</v>
      </c>
      <c r="N35" s="103">
        <f t="shared" si="6"/>
        <v>7.2867992785570154E-4</v>
      </c>
      <c r="O35" s="41">
        <f t="shared" si="7"/>
        <v>7.1177274893556998E-4</v>
      </c>
      <c r="P35" s="41">
        <f t="shared" si="8"/>
        <v>3.0797514077509241E-3</v>
      </c>
      <c r="Q35" s="41">
        <f t="shared" si="9"/>
        <v>2.2806590068247021E-2</v>
      </c>
      <c r="R35" s="9">
        <f t="shared" si="10"/>
        <v>0.99848684216877148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 t="s">
        <v>96</v>
      </c>
      <c r="C36" s="47" t="s">
        <v>97</v>
      </c>
      <c r="D36" s="95">
        <v>2.6972559999999999</v>
      </c>
      <c r="E36" s="95">
        <v>3.431432</v>
      </c>
      <c r="F36" s="96">
        <v>2.8836251287332645E-6</v>
      </c>
      <c r="G36" s="146"/>
      <c r="H36" s="146"/>
      <c r="I36" s="102">
        <f t="shared" si="1"/>
        <v>0</v>
      </c>
      <c r="J36" s="102">
        <f t="shared" si="2"/>
        <v>2.21956631274778</v>
      </c>
      <c r="K36" s="103">
        <f t="shared" si="3"/>
        <v>0.92975157891714244</v>
      </c>
      <c r="L36" s="103">
        <f t="shared" si="4"/>
        <v>7.0248421082857518E-2</v>
      </c>
      <c r="M36" s="103">
        <f t="shared" si="5"/>
        <v>0.92975157891714244</v>
      </c>
      <c r="N36" s="103">
        <f t="shared" si="6"/>
        <v>5.7210040997612038E-2</v>
      </c>
      <c r="O36" s="41">
        <f t="shared" si="7"/>
        <v>2.6822768415827975E-6</v>
      </c>
      <c r="P36" s="41">
        <f t="shared" si="8"/>
        <v>4.4470284997014922E-4</v>
      </c>
      <c r="Q36" s="41">
        <f t="shared" si="9"/>
        <v>7.2432854394091284E-3</v>
      </c>
      <c r="R36" s="9">
        <f t="shared" si="10"/>
        <v>0.93017529042032021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47" t="s">
        <v>98</v>
      </c>
      <c r="C37" s="47" t="s">
        <v>99</v>
      </c>
      <c r="D37" s="95">
        <v>2.0758240000000003</v>
      </c>
      <c r="E37" s="95">
        <v>2.477398</v>
      </c>
      <c r="F37" s="96">
        <v>3.1053105310531058E-4</v>
      </c>
      <c r="G37" s="146"/>
      <c r="H37" s="146"/>
      <c r="I37" s="102">
        <f t="shared" si="1"/>
        <v>0</v>
      </c>
      <c r="J37" s="102">
        <f t="shared" si="2"/>
        <v>1.3625600825731248</v>
      </c>
      <c r="K37" s="103">
        <f t="shared" si="3"/>
        <v>0.98960734944651685</v>
      </c>
      <c r="L37" s="103">
        <f t="shared" si="4"/>
        <v>1.0392650553483056E-2</v>
      </c>
      <c r="M37" s="103">
        <f t="shared" si="5"/>
        <v>0.98960734944651696</v>
      </c>
      <c r="N37" s="103">
        <f t="shared" si="6"/>
        <v>6.7691516914327541E-3</v>
      </c>
      <c r="O37" s="41">
        <f t="shared" si="7"/>
        <v>3.074438585679327E-4</v>
      </c>
      <c r="P37" s="41">
        <f t="shared" si="8"/>
        <v>7.0847724273049159E-3</v>
      </c>
      <c r="Q37" s="41">
        <f t="shared" si="9"/>
        <v>9.2291949994670663E-2</v>
      </c>
      <c r="R37" s="9">
        <f t="shared" si="10"/>
        <v>0.99005833875064686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 t="s">
        <v>100</v>
      </c>
      <c r="C38" s="47" t="s">
        <v>101</v>
      </c>
      <c r="D38" s="95">
        <v>2.3078000000000003</v>
      </c>
      <c r="E38" s="95">
        <v>2.5099249999999995</v>
      </c>
      <c r="F38" s="96">
        <v>9.3312597200622088E-5</v>
      </c>
      <c r="G38" s="146"/>
      <c r="H38" s="146"/>
      <c r="I38" s="102">
        <f t="shared" si="1"/>
        <v>0</v>
      </c>
      <c r="J38" s="102">
        <f t="shared" si="2"/>
        <v>1.4662062884307068</v>
      </c>
      <c r="K38" s="103">
        <f t="shared" si="3"/>
        <v>0.98684297582245795</v>
      </c>
      <c r="L38" s="103">
        <f t="shared" si="4"/>
        <v>1.3157024177541912E-2</v>
      </c>
      <c r="M38" s="103">
        <f t="shared" si="5"/>
        <v>0.98684297582245806</v>
      </c>
      <c r="N38" s="103">
        <f t="shared" si="6"/>
        <v>7.2752243202773527E-3</v>
      </c>
      <c r="O38" s="41">
        <f t="shared" si="7"/>
        <v>9.2126846531667442E-5</v>
      </c>
      <c r="P38" s="41">
        <f t="shared" si="8"/>
        <v>2.6952092849098354E-3</v>
      </c>
      <c r="Q38" s="41">
        <f t="shared" si="9"/>
        <v>2.980651532324952E-2</v>
      </c>
      <c r="R38" s="9">
        <f t="shared" si="10"/>
        <v>0.98729270533103608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 t="s">
        <v>102</v>
      </c>
      <c r="C39" s="47" t="s">
        <v>103</v>
      </c>
      <c r="D39" s="95">
        <v>5.676184000000001</v>
      </c>
      <c r="E39" s="95">
        <v>7.0708080000000004</v>
      </c>
      <c r="F39" s="96">
        <v>2.3000255558395091E-5</v>
      </c>
      <c r="G39" s="146"/>
      <c r="H39" s="146"/>
      <c r="I39" s="102">
        <f t="shared" si="1"/>
        <v>0</v>
      </c>
      <c r="J39" s="102">
        <f t="shared" si="2"/>
        <v>5.7902923462368587</v>
      </c>
      <c r="K39" s="103">
        <f t="shared" si="3"/>
        <v>3.5437457957753827E-3</v>
      </c>
      <c r="L39" s="103">
        <f t="shared" si="4"/>
        <v>0.99645625420422457</v>
      </c>
      <c r="M39" s="103">
        <f t="shared" si="5"/>
        <v>3.5437457957754326E-3</v>
      </c>
      <c r="N39" s="103">
        <f t="shared" si="6"/>
        <v>0.95048199719052395</v>
      </c>
      <c r="O39" s="41">
        <f t="shared" si="7"/>
        <v>8.1544203782009484E-8</v>
      </c>
      <c r="P39" s="41">
        <f t="shared" si="8"/>
        <v>5.0313605794667086E-2</v>
      </c>
      <c r="Q39" s="41">
        <f t="shared" si="9"/>
        <v>0.959844977033396</v>
      </c>
      <c r="R39" s="9">
        <f t="shared" si="10"/>
        <v>3.545360771100035E-3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 t="s">
        <v>104</v>
      </c>
      <c r="C40" s="47" t="s">
        <v>105</v>
      </c>
      <c r="D40" s="95">
        <v>1.2599279999999999</v>
      </c>
      <c r="E40" s="95">
        <v>1.3925860000000003</v>
      </c>
      <c r="F40" s="96">
        <v>4.7497314715359831E-3</v>
      </c>
      <c r="G40" s="146"/>
      <c r="H40" s="146"/>
      <c r="I40" s="102">
        <f t="shared" si="1"/>
        <v>0</v>
      </c>
      <c r="J40" s="102">
        <f t="shared" si="2"/>
        <v>0.50735979747220017</v>
      </c>
      <c r="K40" s="103">
        <f t="shared" si="3"/>
        <v>0.99853638442697068</v>
      </c>
      <c r="L40" s="103">
        <f t="shared" si="4"/>
        <v>1.4636155730292668E-3</v>
      </c>
      <c r="M40" s="103">
        <f t="shared" si="5"/>
        <v>0.99853638442697068</v>
      </c>
      <c r="N40" s="103">
        <f t="shared" si="6"/>
        <v>5.6185367859626573E-4</v>
      </c>
      <c r="O40" s="41">
        <f t="shared" si="7"/>
        <v>4.7449410962324187E-3</v>
      </c>
      <c r="P40" s="41">
        <f t="shared" si="8"/>
        <v>1.5261268139036237E-2</v>
      </c>
      <c r="Q40" s="41">
        <f t="shared" si="9"/>
        <v>0.1171701067133977</v>
      </c>
      <c r="R40" s="9">
        <f t="shared" si="10"/>
        <v>0.99899144292003195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47" t="s">
        <v>106</v>
      </c>
      <c r="C41" s="47" t="s">
        <v>107</v>
      </c>
      <c r="D41" s="95">
        <v>2.8295519999999996</v>
      </c>
      <c r="E41" s="95">
        <v>3.5791989999999991</v>
      </c>
      <c r="F41" s="96">
        <v>9.1107871720116634E-6</v>
      </c>
      <c r="G41" s="146"/>
      <c r="H41" s="146"/>
      <c r="I41" s="102">
        <f t="shared" si="1"/>
        <v>0</v>
      </c>
      <c r="J41" s="102">
        <f t="shared" si="2"/>
        <v>2.3639081225718592</v>
      </c>
      <c r="K41" s="103">
        <f t="shared" si="3"/>
        <v>0.90469540558817929</v>
      </c>
      <c r="L41" s="103">
        <f t="shared" si="4"/>
        <v>9.5304594411820681E-2</v>
      </c>
      <c r="M41" s="103">
        <f t="shared" si="5"/>
        <v>0.90469540558817929</v>
      </c>
      <c r="N41" s="103">
        <f t="shared" si="6"/>
        <v>7.8230250199687434E-2</v>
      </c>
      <c r="O41" s="41">
        <f t="shared" si="7"/>
        <v>8.2462436074547993E-6</v>
      </c>
      <c r="P41" s="41">
        <f t="shared" si="8"/>
        <v>1.9061816435468762E-3</v>
      </c>
      <c r="Q41" s="41">
        <f t="shared" si="9"/>
        <v>3.1293573582897062E-2</v>
      </c>
      <c r="R41" s="9">
        <f t="shared" si="10"/>
        <v>0.90510769835423865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 t="s">
        <v>108</v>
      </c>
      <c r="C42" s="47" t="s">
        <v>109</v>
      </c>
      <c r="D42" s="95">
        <v>1.2889359999999999</v>
      </c>
      <c r="E42" s="95">
        <v>1.371977</v>
      </c>
      <c r="F42" s="96">
        <v>1.9135913591359136E-3</v>
      </c>
      <c r="G42" s="146"/>
      <c r="H42" s="146"/>
      <c r="I42" s="102">
        <f t="shared" si="1"/>
        <v>0</v>
      </c>
      <c r="J42" s="102">
        <f t="shared" si="2"/>
        <v>0.50980800632319268</v>
      </c>
      <c r="K42" s="103">
        <f t="shared" si="3"/>
        <v>0.99852812259887169</v>
      </c>
      <c r="L42" s="103">
        <f t="shared" si="4"/>
        <v>1.4718774011283698E-3</v>
      </c>
      <c r="M42" s="103">
        <f t="shared" si="5"/>
        <v>0.99852812259887158</v>
      </c>
      <c r="N42" s="103">
        <f t="shared" si="6"/>
        <v>5.3580977863250335E-4</v>
      </c>
      <c r="O42" s="41">
        <f t="shared" si="7"/>
        <v>1.9116455760547183E-3</v>
      </c>
      <c r="P42" s="41">
        <f t="shared" si="8"/>
        <v>6.183229729592443E-3</v>
      </c>
      <c r="Q42" s="41">
        <f t="shared" si="9"/>
        <v>4.5017811267528164E-2</v>
      </c>
      <c r="R42" s="9">
        <f t="shared" si="10"/>
        <v>0.99898317732680719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 t="s">
        <v>110</v>
      </c>
      <c r="C43" s="47" t="s">
        <v>111</v>
      </c>
      <c r="D43" s="95">
        <v>3.3144320000000005</v>
      </c>
      <c r="E43" s="95">
        <v>3.8699789999999998</v>
      </c>
      <c r="F43" s="96">
        <v>1.0126582278481012E-5</v>
      </c>
      <c r="G43" s="146"/>
      <c r="H43" s="146"/>
      <c r="I43" s="102">
        <f t="shared" si="1"/>
        <v>0</v>
      </c>
      <c r="J43" s="102">
        <f t="shared" si="2"/>
        <v>2.6948578399819088</v>
      </c>
      <c r="K43" s="103">
        <f t="shared" si="3"/>
        <v>0.81585008137930193</v>
      </c>
      <c r="L43" s="103">
        <f t="shared" si="4"/>
        <v>0.18414991862069802</v>
      </c>
      <c r="M43" s="103">
        <f t="shared" si="5"/>
        <v>0.81585008137930193</v>
      </c>
      <c r="N43" s="103">
        <f t="shared" si="6"/>
        <v>0.13780427660094791</v>
      </c>
      <c r="O43" s="41">
        <f t="shared" si="7"/>
        <v>8.2655380766132997E-6</v>
      </c>
      <c r="P43" s="41">
        <f t="shared" si="8"/>
        <v>4.0938221443387783E-3</v>
      </c>
      <c r="Q43" s="41">
        <f t="shared" si="9"/>
        <v>6.1270317506416531E-2</v>
      </c>
      <c r="R43" s="9">
        <f t="shared" si="10"/>
        <v>0.81622188506556337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 t="s">
        <v>112</v>
      </c>
      <c r="C44" s="47" t="s">
        <v>113</v>
      </c>
      <c r="D44" s="95">
        <v>0.29376000000000013</v>
      </c>
      <c r="E44" s="95">
        <v>0.18140000000000034</v>
      </c>
      <c r="F44" s="96">
        <v>1.4359724612736659E-2</v>
      </c>
      <c r="G44" s="146"/>
      <c r="H44" s="146"/>
      <c r="I44" s="102">
        <f t="shared" si="1"/>
        <v>0</v>
      </c>
      <c r="J44" s="102">
        <f t="shared" si="2"/>
        <v>3.5001380315970977E-2</v>
      </c>
      <c r="K44" s="103">
        <f t="shared" si="3"/>
        <v>0.99950626918568264</v>
      </c>
      <c r="L44" s="103">
        <f t="shared" si="4"/>
        <v>4.9373081431732088E-4</v>
      </c>
      <c r="M44" s="103">
        <f t="shared" si="5"/>
        <v>0.99950626918568264</v>
      </c>
      <c r="N44" s="103">
        <f t="shared" si="6"/>
        <v>3.4582696788128269E-5</v>
      </c>
      <c r="O44" s="41">
        <f t="shared" si="7"/>
        <v>1.4359175635869033E-2</v>
      </c>
      <c r="P44" s="41">
        <f t="shared" si="8"/>
        <v>1.5564346402881376E-2</v>
      </c>
      <c r="Q44" s="41">
        <f t="shared" si="9"/>
        <v>2.1803665347502645E-2</v>
      </c>
      <c r="R44" s="9">
        <f t="shared" si="10"/>
        <v>0.99996176967996031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 t="s">
        <v>114</v>
      </c>
      <c r="C45" s="47" t="s">
        <v>115</v>
      </c>
      <c r="D45" s="95">
        <v>2.7665919999999997</v>
      </c>
      <c r="E45" s="95">
        <v>3.5255839999999989</v>
      </c>
      <c r="F45" s="96">
        <v>3.3356258596973862E-5</v>
      </c>
      <c r="G45" s="146"/>
      <c r="H45" s="146"/>
      <c r="I45" s="102">
        <f t="shared" si="1"/>
        <v>0</v>
      </c>
      <c r="J45" s="102">
        <f t="shared" si="2"/>
        <v>2.3088898400463114</v>
      </c>
      <c r="K45" s="103">
        <f t="shared" si="3"/>
        <v>0.91507244020466227</v>
      </c>
      <c r="L45" s="103">
        <f t="shared" si="4"/>
        <v>8.4927559795337684E-2</v>
      </c>
      <c r="M45" s="103">
        <f t="shared" si="5"/>
        <v>0.91507244020466227</v>
      </c>
      <c r="N45" s="103">
        <f t="shared" si="6"/>
        <v>6.9937935798952452E-2</v>
      </c>
      <c r="O45" s="41">
        <f t="shared" si="7"/>
        <v>3.0537303238944645E-5</v>
      </c>
      <c r="P45" s="41">
        <f t="shared" si="8"/>
        <v>6.2189994978478214E-3</v>
      </c>
      <c r="Q45" s="41">
        <f t="shared" si="9"/>
        <v>0.10242705398868081</v>
      </c>
      <c r="R45" s="9">
        <f t="shared" si="10"/>
        <v>0.91548946205001069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 t="s">
        <v>116</v>
      </c>
      <c r="C46" s="47" t="s">
        <v>117</v>
      </c>
      <c r="D46" s="100">
        <v>1.6175039999999998</v>
      </c>
      <c r="E46" s="100">
        <v>1.8999029999999997</v>
      </c>
      <c r="F46" s="96">
        <v>1.5093283582089552E-3</v>
      </c>
      <c r="G46" s="146"/>
      <c r="H46" s="146"/>
      <c r="I46" s="102">
        <f t="shared" si="1"/>
        <v>0</v>
      </c>
      <c r="J46" s="102">
        <f t="shared" si="2"/>
        <v>0.86614766954915146</v>
      </c>
      <c r="K46" s="103">
        <f t="shared" si="3"/>
        <v>0.9966626696992521</v>
      </c>
      <c r="L46" s="103">
        <f t="shared" si="4"/>
        <v>3.3373303007478718E-3</v>
      </c>
      <c r="M46" s="103">
        <f t="shared" si="5"/>
        <v>0.9966626696992521</v>
      </c>
      <c r="N46" s="103">
        <f t="shared" si="6"/>
        <v>1.8035347988674965E-3</v>
      </c>
      <c r="O46" s="41">
        <f t="shared" si="7"/>
        <v>1.5049767748186945E-3</v>
      </c>
      <c r="P46" s="41">
        <f t="shared" si="8"/>
        <v>1.1058022452045289E-2</v>
      </c>
      <c r="Q46" s="41">
        <f t="shared" si="9"/>
        <v>0.11951785709944596</v>
      </c>
      <c r="R46" s="9">
        <f t="shared" si="10"/>
        <v>0.9971168742927321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 t="s">
        <v>118</v>
      </c>
      <c r="C47" s="47" t="s">
        <v>119</v>
      </c>
      <c r="D47" s="95">
        <v>2.5898400000000001</v>
      </c>
      <c r="E47" s="95">
        <v>2.96393</v>
      </c>
      <c r="F47" s="96">
        <v>4.7839506172839504E-5</v>
      </c>
      <c r="G47" s="146"/>
      <c r="H47" s="146"/>
      <c r="I47" s="102">
        <f t="shared" si="1"/>
        <v>0</v>
      </c>
      <c r="J47" s="102">
        <f t="shared" si="2"/>
        <v>1.8465793817928891</v>
      </c>
      <c r="K47" s="103">
        <f t="shared" si="3"/>
        <v>0.96898306369363929</v>
      </c>
      <c r="L47" s="103">
        <f t="shared" si="4"/>
        <v>3.1016936306360675E-2</v>
      </c>
      <c r="M47" s="103">
        <f t="shared" si="5"/>
        <v>0.96898306369363929</v>
      </c>
      <c r="N47" s="103">
        <f t="shared" si="6"/>
        <v>2.0319804291509161E-2</v>
      </c>
      <c r="O47" s="41">
        <f t="shared" si="7"/>
        <v>4.6376796718410197E-5</v>
      </c>
      <c r="P47" s="41">
        <f t="shared" si="8"/>
        <v>3.2574677899298438E-3</v>
      </c>
      <c r="Q47" s="41">
        <f t="shared" si="9"/>
        <v>4.2680622820697747E-2</v>
      </c>
      <c r="R47" s="9">
        <f t="shared" si="10"/>
        <v>0.96942465398483257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 t="s">
        <v>120</v>
      </c>
      <c r="C48" s="47" t="s">
        <v>121</v>
      </c>
      <c r="D48" s="95">
        <v>5.0487680000000008</v>
      </c>
      <c r="E48" s="95">
        <v>6.0352960000000007</v>
      </c>
      <c r="F48" s="96">
        <v>2.3993144815766926E-6</v>
      </c>
      <c r="G48" s="146"/>
      <c r="H48" s="146"/>
      <c r="I48" s="102">
        <f t="shared" ref="I48:I50" si="11">IF(D48=0,"",LOG($K$15*10^D48+$K$16*10^E48+$K$14))</f>
        <v>0</v>
      </c>
      <c r="J48" s="102">
        <f t="shared" ref="J48:J50" si="12">IF(D48=0,"",LOG($K$21*10^D48+$K$22*10^E48+$K$20))</f>
        <v>4.7849539498028779</v>
      </c>
      <c r="K48" s="103">
        <f t="shared" ref="K48:K50" si="13">IF(D48=0,"",1/(1+10^D48*$J$15/$J$14+10^E48*$J$16/$J$14+10^J48*$J$19/$J$14))</f>
        <v>3.4752141112504742E-2</v>
      </c>
      <c r="L48" s="103">
        <f t="shared" ref="L48:L50" si="14">IF(D48=0,"",1/(1+10^I48/10^J48*$J$13/$J$19))</f>
        <v>0.96524785888749531</v>
      </c>
      <c r="M48" s="103">
        <f t="shared" ref="M48:M92" si="15">IF(D48=0,"",1-L48)</f>
        <v>3.4752141112504686E-2</v>
      </c>
      <c r="N48" s="103">
        <f t="shared" ref="N48:N50" si="16">IF(D48=0,"",1/(1/10^E48*$J$20/$J$22+10^D48/10^E48*$J$21/$J$22+10^I48/10^E48*$J$13/$J$22+1))</f>
        <v>0.85891641248907402</v>
      </c>
      <c r="O48" s="41">
        <f t="shared" ref="O48:O92" si="17">IF(D48=0,"",F48*K48*$J$7/$J$14)</f>
        <v>8.3419314428697577E-8</v>
      </c>
      <c r="P48" s="41">
        <f t="shared" ref="P48:P50" si="18">IF(D48=0,"",O48*10^J48)</f>
        <v>5.0841758820600758E-3</v>
      </c>
      <c r="Q48" s="41">
        <f t="shared" ref="Q48:Q50" si="19">IF(D48=0,"",F48*N48*$J$7/$J$22)</f>
        <v>9.0482088488973197E-2</v>
      </c>
      <c r="R48" s="9">
        <f t="shared" si="10"/>
        <v>3.476797854938931E-2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 t="s">
        <v>122</v>
      </c>
      <c r="C49" s="47" t="s">
        <v>123</v>
      </c>
      <c r="D49" s="95">
        <v>2.7330160000000001</v>
      </c>
      <c r="E49" s="95">
        <v>3.3310319999999995</v>
      </c>
      <c r="F49" s="96">
        <v>2.1918876755070205E-4</v>
      </c>
      <c r="G49" s="146"/>
      <c r="H49" s="146"/>
      <c r="I49" s="102">
        <f t="shared" si="11"/>
        <v>0</v>
      </c>
      <c r="J49" s="102">
        <f t="shared" si="12"/>
        <v>2.1476419495508856</v>
      </c>
      <c r="K49" s="103">
        <f t="shared" si="13"/>
        <v>0.93982810254478732</v>
      </c>
      <c r="L49" s="103">
        <f t="shared" si="14"/>
        <v>6.0171897455212571E-2</v>
      </c>
      <c r="M49" s="103">
        <f t="shared" si="15"/>
        <v>0.93982810254478744</v>
      </c>
      <c r="N49" s="103">
        <f t="shared" si="16"/>
        <v>4.589377281973292E-2</v>
      </c>
      <c r="O49" s="41">
        <f t="shared" si="17"/>
        <v>2.0609364285153057E-4</v>
      </c>
      <c r="P49" s="41">
        <f t="shared" si="18"/>
        <v>2.8953865012727849E-2</v>
      </c>
      <c r="Q49" s="41">
        <f t="shared" si="19"/>
        <v>0.4416686723686602</v>
      </c>
      <c r="R49" s="9">
        <f t="shared" si="10"/>
        <v>0.94025640617673367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 t="s">
        <v>124</v>
      </c>
      <c r="C50" s="47" t="s">
        <v>125</v>
      </c>
      <c r="D50" s="95">
        <v>3.4406639999999999</v>
      </c>
      <c r="E50" s="95">
        <v>4.222847999999999</v>
      </c>
      <c r="F50" s="96">
        <v>7.8236914600550962E-5</v>
      </c>
      <c r="G50" s="146"/>
      <c r="H50" s="146"/>
      <c r="I50" s="102">
        <f t="shared" si="11"/>
        <v>0</v>
      </c>
      <c r="J50" s="102">
        <f t="shared" si="12"/>
        <v>3.0007157776870899</v>
      </c>
      <c r="K50" s="103">
        <f t="shared" si="13"/>
        <v>0.68658815081174607</v>
      </c>
      <c r="L50" s="103">
        <f t="shared" si="14"/>
        <v>0.31341184918825393</v>
      </c>
      <c r="M50" s="103">
        <f t="shared" si="15"/>
        <v>0.68658815081174607</v>
      </c>
      <c r="N50" s="103">
        <f t="shared" si="16"/>
        <v>0.2613470717918237</v>
      </c>
      <c r="O50" s="41">
        <f t="shared" si="17"/>
        <v>5.3741018517184442E-5</v>
      </c>
      <c r="P50" s="41">
        <f t="shared" si="18"/>
        <v>5.3829664217585602E-2</v>
      </c>
      <c r="Q50" s="41">
        <f t="shared" si="19"/>
        <v>0.89774685642806606</v>
      </c>
      <c r="R50" s="9">
        <f t="shared" si="10"/>
        <v>0.68690104654006878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 t="s">
        <v>126</v>
      </c>
      <c r="C51" s="47" t="s">
        <v>127</v>
      </c>
      <c r="D51" s="95">
        <v>2.8976480000000002</v>
      </c>
      <c r="E51" s="95">
        <v>3.5312959999999993</v>
      </c>
      <c r="F51" s="96">
        <v>1.8299319727891158E-4</v>
      </c>
      <c r="G51" s="146"/>
      <c r="H51" s="146"/>
      <c r="I51" s="102">
        <f t="shared" ref="I51:I70" si="20">IF(D51=0,"",LOG($K$15*10^D51+$K$16*10^E51+$K$14))</f>
        <v>0</v>
      </c>
      <c r="J51" s="102">
        <f t="shared" ref="J51:J70" si="21">IF(D51=0,"",LOG($K$21*10^D51+$K$22*10^E51+$K$20))</f>
        <v>2.3388959370141773</v>
      </c>
      <c r="K51" s="103">
        <f t="shared" ref="K51:K70" si="22">IF(D51=0,"",1/(1+10^D51*$J$15/$J$14+10^E51*$J$16/$J$14+10^J51*$J$19/$J$14))</f>
        <v>0.90954672769646305</v>
      </c>
      <c r="L51" s="103">
        <f t="shared" ref="L51:L70" si="23">IF(D51=0,"",1/(1+10^I51/10^J51*$J$13/$J$19))</f>
        <v>9.0453272303536961E-2</v>
      </c>
      <c r="M51" s="103">
        <f t="shared" ref="M51:M70" si="24">IF(D51=0,"",1-L51)</f>
        <v>0.90954672769646305</v>
      </c>
      <c r="N51" s="103">
        <f t="shared" ref="N51:N70" si="25">IF(D51=0,"",1/(1/10^E51*$J$20/$J$22+10^D51/10^E51*$J$21/$J$22+10^I51/10^E51*$J$13/$J$22+1))</f>
        <v>7.0435945728286015E-2</v>
      </c>
      <c r="O51" s="41">
        <f t="shared" ref="O51:O70" si="26">IF(D51=0,"",F51*K51*$J$7/$J$14)</f>
        <v>1.6651671512161198E-4</v>
      </c>
      <c r="P51" s="41">
        <f t="shared" ref="P51:P70" si="27">IF(D51=0,"",O51*10^J51)</f>
        <v>3.6337393504699972E-2</v>
      </c>
      <c r="Q51" s="41">
        <f t="shared" ref="Q51:Q70" si="28">IF(D51=0,"",F51*N51*$J$7/$J$22)</f>
        <v>0.56591842652536906</v>
      </c>
      <c r="R51" s="9">
        <f t="shared" si="10"/>
        <v>0.90996123133371598</v>
      </c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 t="s">
        <v>128</v>
      </c>
      <c r="C52" s="47" t="s">
        <v>129</v>
      </c>
      <c r="D52" s="48">
        <v>1.423632</v>
      </c>
      <c r="E52" s="48">
        <v>1.638849</v>
      </c>
      <c r="F52" s="96">
        <v>1.7656065959952887E-2</v>
      </c>
      <c r="G52" s="146"/>
      <c r="H52" s="146"/>
      <c r="I52" s="102">
        <f t="shared" si="20"/>
        <v>0</v>
      </c>
      <c r="J52" s="102">
        <f t="shared" si="21"/>
        <v>0.66821968451796954</v>
      </c>
      <c r="K52" s="103">
        <f t="shared" si="22"/>
        <v>0.99788162890488785</v>
      </c>
      <c r="L52" s="103">
        <f t="shared" si="23"/>
        <v>2.1183710951120111E-3</v>
      </c>
      <c r="M52" s="103">
        <f t="shared" si="24"/>
        <v>0.99788162890488796</v>
      </c>
      <c r="N52" s="103">
        <f t="shared" si="25"/>
        <v>9.8992287897453515E-4</v>
      </c>
      <c r="O52" s="41">
        <f t="shared" si="26"/>
        <v>1.7626693134566936E-2</v>
      </c>
      <c r="P52" s="41">
        <f t="shared" si="27"/>
        <v>8.2108955662081526E-2</v>
      </c>
      <c r="Q52" s="41">
        <f t="shared" si="28"/>
        <v>0.76739655262622763</v>
      </c>
      <c r="R52" s="9">
        <f t="shared" si="10"/>
        <v>0.99833638900916133</v>
      </c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 t="s">
        <v>130</v>
      </c>
      <c r="C53" s="47" t="s">
        <v>131</v>
      </c>
      <c r="D53" s="48">
        <v>2.6912000000000003</v>
      </c>
      <c r="E53" s="48">
        <v>3.3249699999999995</v>
      </c>
      <c r="F53" s="96">
        <v>1.9541616405307596E-4</v>
      </c>
      <c r="G53" s="146"/>
      <c r="H53" s="146"/>
      <c r="I53" s="102">
        <f t="shared" si="20"/>
        <v>0</v>
      </c>
      <c r="J53" s="102">
        <f t="shared" si="21"/>
        <v>2.1336193491516409</v>
      </c>
      <c r="K53" s="103">
        <f t="shared" si="22"/>
        <v>0.94162832025632281</v>
      </c>
      <c r="L53" s="103">
        <f t="shared" si="23"/>
        <v>5.8371679743677268E-2</v>
      </c>
      <c r="M53" s="103">
        <f t="shared" si="24"/>
        <v>0.9416283202563227</v>
      </c>
      <c r="N53" s="103">
        <f t="shared" si="25"/>
        <v>4.534431507064695E-2</v>
      </c>
      <c r="O53" s="41">
        <f t="shared" si="26"/>
        <v>1.8409325208145773E-4</v>
      </c>
      <c r="P53" s="41">
        <f t="shared" si="27"/>
        <v>2.50413200505335E-2</v>
      </c>
      <c r="Q53" s="41">
        <f t="shared" si="28"/>
        <v>0.38905219488027259</v>
      </c>
      <c r="R53" s="9">
        <f t="shared" si="10"/>
        <v>0.94205744429338567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 t="s">
        <v>132</v>
      </c>
      <c r="C54" s="47" t="s">
        <v>133</v>
      </c>
      <c r="D54" s="48">
        <v>2.1493200000000003</v>
      </c>
      <c r="E54" s="48">
        <v>2.6108399999999996</v>
      </c>
      <c r="F54" s="96">
        <v>1E-3</v>
      </c>
      <c r="G54" s="146"/>
      <c r="H54" s="146"/>
      <c r="I54" s="102">
        <f t="shared" si="20"/>
        <v>0</v>
      </c>
      <c r="J54" s="102">
        <f t="shared" si="21"/>
        <v>1.4736389783743882</v>
      </c>
      <c r="K54" s="103">
        <f t="shared" si="22"/>
        <v>0.98661890234461946</v>
      </c>
      <c r="L54" s="103">
        <f t="shared" si="23"/>
        <v>1.3381097655380519E-2</v>
      </c>
      <c r="M54" s="103">
        <f t="shared" si="24"/>
        <v>0.98661890234461946</v>
      </c>
      <c r="N54" s="103">
        <f t="shared" si="25"/>
        <v>9.1761977918289293E-3</v>
      </c>
      <c r="O54" s="41">
        <f t="shared" si="26"/>
        <v>9.8706852973719987E-4</v>
      </c>
      <c r="P54" s="41">
        <f t="shared" si="27"/>
        <v>2.937556876409169E-2</v>
      </c>
      <c r="Q54" s="41">
        <f t="shared" si="28"/>
        <v>0.4028907585445935</v>
      </c>
      <c r="R54" s="9">
        <f t="shared" si="10"/>
        <v>0.98706852973719983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46"/>
      <c r="H55" s="146"/>
      <c r="I55" s="55" t="str">
        <f t="shared" si="20"/>
        <v/>
      </c>
      <c r="J55" s="55" t="str">
        <f t="shared" si="21"/>
        <v/>
      </c>
      <c r="K55" s="56" t="str">
        <f t="shared" si="22"/>
        <v/>
      </c>
      <c r="L55" s="56" t="str">
        <f t="shared" si="23"/>
        <v/>
      </c>
      <c r="M55" s="56" t="str">
        <f t="shared" si="24"/>
        <v/>
      </c>
      <c r="N55" s="56" t="str">
        <f t="shared" si="25"/>
        <v/>
      </c>
      <c r="O55" s="57" t="str">
        <f t="shared" si="26"/>
        <v/>
      </c>
      <c r="P55" s="57" t="str">
        <f t="shared" si="27"/>
        <v/>
      </c>
      <c r="Q55" s="57" t="str">
        <f t="shared" si="28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46"/>
      <c r="H56" s="146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46"/>
      <c r="H57" s="146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46"/>
      <c r="H58" s="146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46"/>
      <c r="H59" s="146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46"/>
      <c r="H60" s="146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46"/>
      <c r="H61" s="146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46"/>
      <c r="H62" s="146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46"/>
      <c r="H63" s="146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46"/>
      <c r="H64" s="146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46"/>
      <c r="H65" s="146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46"/>
      <c r="H66" s="146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46"/>
      <c r="H67" s="146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46"/>
      <c r="H68" s="146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46"/>
      <c r="H69" s="146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46"/>
      <c r="H70" s="146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46"/>
      <c r="H71" s="146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46"/>
      <c r="H72" s="146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46"/>
      <c r="H73" s="146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46"/>
      <c r="H74" s="146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46"/>
      <c r="H75" s="146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46"/>
      <c r="H76" s="146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46"/>
      <c r="H77" s="146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2024-04-10T19:34:19Z</dcterms:modified>
</cp:coreProperties>
</file>