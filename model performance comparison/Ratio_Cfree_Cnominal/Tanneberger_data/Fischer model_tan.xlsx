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tiff" ContentType="image/tiff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embeddings/oleObject4.bin" ContentType="application/vnd.openxmlformats-officedocument.oleObject"/>
  <Override PartName="/xl/embeddings/oleObject5.bin" ContentType="application/vnd.openxmlformats-officedocument.oleObject"/>
  <Override PartName="/xl/embeddings/oleObject6.bin" ContentType="application/vnd.openxmlformats-officedocument.oleObject"/>
  <Override PartName="/xl/embeddings/oleObject7.bin" ContentType="application/vnd.openxmlformats-officedocument.oleObject"/>
  <Override PartName="/xl/embeddings/oleObject8.bin" ContentType="application/vnd.openxmlformats-officedocument.oleObject"/>
  <Override PartName="/xl/embeddings/oleObject9.bin" ContentType="application/vnd.openxmlformats-officedocument.oleObject"/>
  <Override PartName="/xl/embeddings/oleObject10.bin" ContentType="application/vnd.openxmlformats-officedocument.oleObject"/>
  <Override PartName="/xl/embeddings/oleObject11.bin" ContentType="application/vnd.openxmlformats-officedocument.oleObject"/>
  <Override PartName="/xl/embeddings/oleObject12.bin" ContentType="application/vnd.openxmlformats-officedocument.oleObject"/>
  <Override PartName="/xl/embeddings/oleObject13.bin" ContentType="application/vnd.openxmlformats-officedocument.oleObject"/>
  <Override PartName="/xl/embeddings/oleObject14.bin" ContentType="application/vnd.openxmlformats-officedocument.oleObject"/>
  <Override PartName="/xl/embeddings/oleObject15.bin" ContentType="application/vnd.openxmlformats-officedocument.oleObject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AMU PHD\MassBalance project\Paper writing\R1\model comparison_update_based reviewer\Validation_Armitage\Validation_Tann\"/>
    </mc:Choice>
  </mc:AlternateContent>
  <xr:revisionPtr revIDLastSave="0" documentId="13_ncr:1_{34E651BD-865C-476D-B11C-8E17B89839EF}" xr6:coauthVersionLast="47" xr6:coauthVersionMax="47" xr10:uidLastSave="{00000000-0000-0000-0000-000000000000}"/>
  <bookViews>
    <workbookView xWindow="-98" yWindow="-98" windowWidth="21795" windowHeight="13875" activeTab="1" xr2:uid="{00000000-000D-0000-FFFF-FFFF00000000}"/>
  </bookViews>
  <sheets>
    <sheet name="Model structure" sheetId="1" r:id="rId1"/>
    <sheet name="User input and model output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23" i="1" l="1"/>
  <c r="O23" i="1" s="1"/>
  <c r="M71" i="4"/>
  <c r="M72" i="4"/>
  <c r="M73" i="4"/>
  <c r="M74" i="4"/>
  <c r="M75" i="4"/>
  <c r="M76" i="4"/>
  <c r="M77" i="4"/>
  <c r="M78" i="4"/>
  <c r="M79" i="4"/>
  <c r="M80" i="4"/>
  <c r="M81" i="4"/>
  <c r="M82" i="4"/>
  <c r="M83" i="4"/>
  <c r="M84" i="4"/>
  <c r="M85" i="4"/>
  <c r="M86" i="4"/>
  <c r="M87" i="4"/>
  <c r="M88" i="4"/>
  <c r="M89" i="4"/>
  <c r="M90" i="4"/>
  <c r="M91" i="4"/>
  <c r="M92" i="4"/>
  <c r="M93" i="4"/>
  <c r="M94" i="4"/>
  <c r="M95" i="4"/>
  <c r="M96" i="4"/>
  <c r="M97" i="4"/>
  <c r="M98" i="4"/>
  <c r="M99" i="4"/>
  <c r="M100" i="4"/>
  <c r="M101" i="4"/>
  <c r="M102" i="4"/>
  <c r="M103" i="4"/>
  <c r="M104" i="4"/>
  <c r="M105" i="4"/>
  <c r="M106" i="4"/>
  <c r="M107" i="4"/>
  <c r="M108" i="4"/>
  <c r="M109" i="4"/>
  <c r="M110" i="4"/>
  <c r="M111" i="4"/>
  <c r="M112" i="4"/>
  <c r="M113" i="4"/>
  <c r="M114" i="4"/>
  <c r="M115" i="4"/>
  <c r="M116" i="4"/>
  <c r="M117" i="4"/>
  <c r="M118" i="4"/>
  <c r="M119" i="4"/>
  <c r="M120" i="4"/>
  <c r="M121" i="4"/>
  <c r="M122" i="4"/>
  <c r="M123" i="4"/>
  <c r="M124" i="4"/>
  <c r="M125" i="4"/>
  <c r="M126" i="4"/>
  <c r="M127" i="4"/>
  <c r="J16" i="4"/>
  <c r="J15" i="4"/>
  <c r="J87" i="4"/>
  <c r="K87" i="4"/>
  <c r="J122" i="4"/>
  <c r="K122" i="4"/>
  <c r="J117" i="4"/>
  <c r="K117" i="4"/>
  <c r="J120" i="4"/>
  <c r="K120" i="4"/>
  <c r="J101" i="4"/>
  <c r="K101" i="4"/>
  <c r="J86" i="4"/>
  <c r="K86" i="4"/>
  <c r="J85" i="4"/>
  <c r="K85" i="4"/>
  <c r="J88" i="4"/>
  <c r="K88" i="4"/>
  <c r="J119" i="4"/>
  <c r="K119" i="4"/>
  <c r="J72" i="4"/>
  <c r="K72" i="4"/>
  <c r="J103" i="4"/>
  <c r="K103" i="4"/>
  <c r="J118" i="4"/>
  <c r="K118" i="4"/>
  <c r="J104" i="4"/>
  <c r="K104" i="4"/>
  <c r="J90" i="4"/>
  <c r="K90" i="4"/>
  <c r="J71" i="4"/>
  <c r="K71" i="4"/>
  <c r="J110" i="4"/>
  <c r="K110" i="4"/>
  <c r="J82" i="4"/>
  <c r="K82" i="4"/>
  <c r="J113" i="4"/>
  <c r="K113" i="4"/>
  <c r="J97" i="4"/>
  <c r="K97" i="4"/>
  <c r="J81" i="4"/>
  <c r="K81" i="4"/>
  <c r="J116" i="4"/>
  <c r="K116" i="4"/>
  <c r="J100" i="4"/>
  <c r="K100" i="4"/>
  <c r="O100" i="4"/>
  <c r="J84" i="4"/>
  <c r="K84" i="4"/>
  <c r="J114" i="4"/>
  <c r="K114" i="4"/>
  <c r="J78" i="4"/>
  <c r="K78" i="4"/>
  <c r="J115" i="4"/>
  <c r="K115" i="4"/>
  <c r="O115" i="4"/>
  <c r="J99" i="4"/>
  <c r="K99" i="4"/>
  <c r="J83" i="4"/>
  <c r="K83" i="4"/>
  <c r="J102" i="4"/>
  <c r="K102" i="4"/>
  <c r="J74" i="4"/>
  <c r="K74" i="4"/>
  <c r="J125" i="4"/>
  <c r="K125" i="4"/>
  <c r="J109" i="4"/>
  <c r="K109" i="4"/>
  <c r="J93" i="4"/>
  <c r="K93" i="4"/>
  <c r="J77" i="4"/>
  <c r="K77" i="4"/>
  <c r="J112" i="4"/>
  <c r="K112" i="4"/>
  <c r="J96" i="4"/>
  <c r="K96" i="4"/>
  <c r="J80" i="4"/>
  <c r="K80" i="4"/>
  <c r="J106" i="4"/>
  <c r="K106" i="4"/>
  <c r="J127" i="4"/>
  <c r="K127" i="4"/>
  <c r="J111" i="4"/>
  <c r="K111" i="4"/>
  <c r="J95" i="4"/>
  <c r="K95" i="4"/>
  <c r="J79" i="4"/>
  <c r="K79" i="4"/>
  <c r="J126" i="4"/>
  <c r="K126" i="4"/>
  <c r="J94" i="4"/>
  <c r="K94" i="4"/>
  <c r="J121" i="4"/>
  <c r="K121" i="4"/>
  <c r="J105" i="4"/>
  <c r="K105" i="4"/>
  <c r="J89" i="4"/>
  <c r="K89" i="4"/>
  <c r="J73" i="4"/>
  <c r="K73" i="4"/>
  <c r="J124" i="4"/>
  <c r="K124" i="4"/>
  <c r="J108" i="4"/>
  <c r="K108" i="4"/>
  <c r="J92" i="4"/>
  <c r="K92" i="4"/>
  <c r="J76" i="4"/>
  <c r="K76" i="4"/>
  <c r="J98" i="4"/>
  <c r="K98" i="4"/>
  <c r="J123" i="4"/>
  <c r="K123" i="4"/>
  <c r="J107" i="4"/>
  <c r="K107" i="4"/>
  <c r="J91" i="4"/>
  <c r="K91" i="4"/>
  <c r="J75" i="4"/>
  <c r="K75" i="4"/>
  <c r="P100" i="4"/>
  <c r="P115" i="4"/>
  <c r="O107" i="4"/>
  <c r="P107" i="4"/>
  <c r="O73" i="4"/>
  <c r="P73" i="4"/>
  <c r="O79" i="4"/>
  <c r="P79" i="4"/>
  <c r="O112" i="4"/>
  <c r="P112" i="4"/>
  <c r="O83" i="4"/>
  <c r="P83" i="4"/>
  <c r="O75" i="4"/>
  <c r="P75" i="4"/>
  <c r="O98" i="4"/>
  <c r="P98" i="4"/>
  <c r="O108" i="4"/>
  <c r="P108" i="4"/>
  <c r="O105" i="4"/>
  <c r="P105" i="4"/>
  <c r="O126" i="4"/>
  <c r="P126" i="4"/>
  <c r="O111" i="4"/>
  <c r="P111" i="4"/>
  <c r="O80" i="4"/>
  <c r="P80" i="4"/>
  <c r="O77" i="4"/>
  <c r="P77" i="4"/>
  <c r="O74" i="4"/>
  <c r="P74" i="4"/>
  <c r="O84" i="4"/>
  <c r="P84" i="4"/>
  <c r="O81" i="4"/>
  <c r="P81" i="4"/>
  <c r="O82" i="4"/>
  <c r="P82" i="4"/>
  <c r="O104" i="4"/>
  <c r="P104" i="4"/>
  <c r="O85" i="4"/>
  <c r="P85" i="4"/>
  <c r="O120" i="4"/>
  <c r="P120" i="4"/>
  <c r="O91" i="4"/>
  <c r="P91" i="4"/>
  <c r="O124" i="4"/>
  <c r="P124" i="4"/>
  <c r="O121" i="4"/>
  <c r="P121" i="4"/>
  <c r="O127" i="4"/>
  <c r="P127" i="4"/>
  <c r="O96" i="4"/>
  <c r="P96" i="4"/>
  <c r="O93" i="4"/>
  <c r="P93" i="4"/>
  <c r="O102" i="4"/>
  <c r="P102" i="4"/>
  <c r="O78" i="4"/>
  <c r="P78" i="4"/>
  <c r="O97" i="4"/>
  <c r="P97" i="4"/>
  <c r="O110" i="4"/>
  <c r="P110" i="4"/>
  <c r="O118" i="4"/>
  <c r="P118" i="4"/>
  <c r="O86" i="4"/>
  <c r="P86" i="4"/>
  <c r="O117" i="4"/>
  <c r="P117" i="4"/>
  <c r="O76" i="4"/>
  <c r="P76" i="4"/>
  <c r="O106" i="4"/>
  <c r="P106" i="4"/>
  <c r="O109" i="4"/>
  <c r="P109" i="4"/>
  <c r="O114" i="4"/>
  <c r="P114" i="4"/>
  <c r="O116" i="4"/>
  <c r="P116" i="4"/>
  <c r="O113" i="4"/>
  <c r="P113" i="4"/>
  <c r="O71" i="4"/>
  <c r="P71" i="4"/>
  <c r="O103" i="4"/>
  <c r="P103" i="4"/>
  <c r="O119" i="4"/>
  <c r="P119" i="4"/>
  <c r="O122" i="4"/>
  <c r="P122" i="4"/>
  <c r="O123" i="4"/>
  <c r="P123" i="4"/>
  <c r="O92" i="4"/>
  <c r="P92" i="4"/>
  <c r="O89" i="4"/>
  <c r="P89" i="4"/>
  <c r="O94" i="4"/>
  <c r="P94" i="4"/>
  <c r="O95" i="4"/>
  <c r="P95" i="4"/>
  <c r="O125" i="4"/>
  <c r="P125" i="4"/>
  <c r="O99" i="4"/>
  <c r="P99" i="4"/>
  <c r="O90" i="4"/>
  <c r="P90" i="4"/>
  <c r="O72" i="4"/>
  <c r="P72" i="4"/>
  <c r="O88" i="4"/>
  <c r="P88" i="4"/>
  <c r="O101" i="4"/>
  <c r="P101" i="4"/>
  <c r="O87" i="4"/>
  <c r="P87" i="4"/>
  <c r="I76" i="4"/>
  <c r="I77" i="4"/>
  <c r="I81" i="4"/>
  <c r="I89" i="4"/>
  <c r="I90" i="4"/>
  <c r="I96" i="4"/>
  <c r="I99" i="4"/>
  <c r="I102" i="4"/>
  <c r="I104" i="4"/>
  <c r="I108" i="4"/>
  <c r="I111" i="4"/>
  <c r="I113" i="4"/>
  <c r="I115" i="4"/>
  <c r="I119" i="4"/>
  <c r="I120" i="4"/>
  <c r="I123" i="4"/>
  <c r="I125" i="4"/>
  <c r="I79" i="4"/>
  <c r="I92" i="4"/>
  <c r="I100" i="4"/>
  <c r="I103" i="4"/>
  <c r="I107" i="4"/>
  <c r="I109" i="4"/>
  <c r="I110" i="4"/>
  <c r="I117" i="4"/>
  <c r="I124" i="4"/>
  <c r="I72" i="4"/>
  <c r="I106" i="4"/>
  <c r="I71" i="4"/>
  <c r="I75" i="4"/>
  <c r="I80" i="4"/>
  <c r="I83" i="4"/>
  <c r="I86" i="4"/>
  <c r="I88" i="4"/>
  <c r="I94" i="4"/>
  <c r="I95" i="4"/>
  <c r="I98" i="4"/>
  <c r="I101" i="4"/>
  <c r="I118" i="4"/>
  <c r="I127" i="4"/>
  <c r="I73" i="4"/>
  <c r="I74" i="4"/>
  <c r="I78" i="4"/>
  <c r="I82" i="4"/>
  <c r="I85" i="4"/>
  <c r="I93" i="4"/>
  <c r="I112" i="4"/>
  <c r="I114" i="4"/>
  <c r="I121" i="4"/>
  <c r="I122" i="4"/>
  <c r="I84" i="4"/>
  <c r="I87" i="4"/>
  <c r="I91" i="4"/>
  <c r="I97" i="4"/>
  <c r="I105" i="4"/>
  <c r="I116" i="4"/>
  <c r="I126" i="4"/>
  <c r="L105" i="4"/>
  <c r="N105" i="4"/>
  <c r="Q105" i="4"/>
  <c r="L84" i="4"/>
  <c r="N84" i="4"/>
  <c r="Q84" i="4"/>
  <c r="N121" i="4"/>
  <c r="Q121" i="4"/>
  <c r="L121" i="4"/>
  <c r="N85" i="4"/>
  <c r="Q85" i="4"/>
  <c r="L85" i="4"/>
  <c r="L73" i="4"/>
  <c r="N73" i="4"/>
  <c r="Q73" i="4"/>
  <c r="N101" i="4"/>
  <c r="Q101" i="4"/>
  <c r="L101" i="4"/>
  <c r="N88" i="4"/>
  <c r="Q88" i="4"/>
  <c r="L88" i="4"/>
  <c r="N75" i="4"/>
  <c r="Q75" i="4"/>
  <c r="L75" i="4"/>
  <c r="L106" i="4"/>
  <c r="N106" i="4"/>
  <c r="Q106" i="4"/>
  <c r="L124" i="4"/>
  <c r="N124" i="4"/>
  <c r="Q124" i="4"/>
  <c r="N107" i="4"/>
  <c r="Q107" i="4"/>
  <c r="L107" i="4"/>
  <c r="N79" i="4"/>
  <c r="Q79" i="4"/>
  <c r="L79" i="4"/>
  <c r="N119" i="4"/>
  <c r="Q119" i="4"/>
  <c r="L119" i="4"/>
  <c r="N108" i="4"/>
  <c r="Q108" i="4"/>
  <c r="L108" i="4"/>
  <c r="L96" i="4"/>
  <c r="N96" i="4"/>
  <c r="Q96" i="4"/>
  <c r="N77" i="4"/>
  <c r="Q77" i="4"/>
  <c r="L77" i="4"/>
  <c r="L97" i="4"/>
  <c r="N97" i="4"/>
  <c r="Q97" i="4"/>
  <c r="N114" i="4"/>
  <c r="Q114" i="4"/>
  <c r="L114" i="4"/>
  <c r="L82" i="4"/>
  <c r="N82" i="4"/>
  <c r="Q82" i="4"/>
  <c r="N98" i="4"/>
  <c r="Q98" i="4"/>
  <c r="L98" i="4"/>
  <c r="N86" i="4"/>
  <c r="Q86" i="4"/>
  <c r="L86" i="4"/>
  <c r="N71" i="4"/>
  <c r="Q71" i="4"/>
  <c r="L71" i="4"/>
  <c r="L72" i="4"/>
  <c r="N72" i="4"/>
  <c r="Q72" i="4"/>
  <c r="N117" i="4"/>
  <c r="Q117" i="4"/>
  <c r="L117" i="4"/>
  <c r="N103" i="4"/>
  <c r="Q103" i="4"/>
  <c r="L103" i="4"/>
  <c r="L125" i="4"/>
  <c r="N125" i="4"/>
  <c r="Q125" i="4"/>
  <c r="N115" i="4"/>
  <c r="Q115" i="4"/>
  <c r="L115" i="4"/>
  <c r="L104" i="4"/>
  <c r="N104" i="4"/>
  <c r="Q104" i="4"/>
  <c r="N90" i="4"/>
  <c r="Q90" i="4"/>
  <c r="L90" i="4"/>
  <c r="N76" i="4"/>
  <c r="Q76" i="4"/>
  <c r="L76" i="4"/>
  <c r="N126" i="4"/>
  <c r="Q126" i="4"/>
  <c r="L126" i="4"/>
  <c r="N91" i="4"/>
  <c r="Q91" i="4"/>
  <c r="L91" i="4"/>
  <c r="L112" i="4"/>
  <c r="N112" i="4"/>
  <c r="Q112" i="4"/>
  <c r="L78" i="4"/>
  <c r="N78" i="4"/>
  <c r="Q78" i="4"/>
  <c r="L127" i="4"/>
  <c r="N127" i="4"/>
  <c r="Q127" i="4"/>
  <c r="N95" i="4"/>
  <c r="Q95" i="4"/>
  <c r="L95" i="4"/>
  <c r="N83" i="4"/>
  <c r="Q83" i="4"/>
  <c r="L83" i="4"/>
  <c r="N110" i="4"/>
  <c r="Q110" i="4"/>
  <c r="L110" i="4"/>
  <c r="L100" i="4"/>
  <c r="N100" i="4"/>
  <c r="Q100" i="4"/>
  <c r="L123" i="4"/>
  <c r="N123" i="4"/>
  <c r="Q123" i="4"/>
  <c r="N113" i="4"/>
  <c r="Q113" i="4"/>
  <c r="L113" i="4"/>
  <c r="L102" i="4"/>
  <c r="N102" i="4"/>
  <c r="Q102" i="4"/>
  <c r="N89" i="4"/>
  <c r="Q89" i="4"/>
  <c r="L89" i="4"/>
  <c r="N116" i="4"/>
  <c r="Q116" i="4"/>
  <c r="L116" i="4"/>
  <c r="N87" i="4"/>
  <c r="Q87" i="4"/>
  <c r="L87" i="4"/>
  <c r="N122" i="4"/>
  <c r="Q122" i="4"/>
  <c r="L122" i="4"/>
  <c r="N93" i="4"/>
  <c r="Q93" i="4"/>
  <c r="L93" i="4"/>
  <c r="N74" i="4"/>
  <c r="Q74" i="4"/>
  <c r="L74" i="4"/>
  <c r="N118" i="4"/>
  <c r="Q118" i="4"/>
  <c r="L118" i="4"/>
  <c r="L94" i="4"/>
  <c r="N94" i="4"/>
  <c r="Q94" i="4"/>
  <c r="L80" i="4"/>
  <c r="N80" i="4"/>
  <c r="Q80" i="4"/>
  <c r="N109" i="4"/>
  <c r="Q109" i="4"/>
  <c r="L109" i="4"/>
  <c r="L92" i="4"/>
  <c r="N92" i="4"/>
  <c r="Q92" i="4"/>
  <c r="N120" i="4"/>
  <c r="Q120" i="4"/>
  <c r="L120" i="4"/>
  <c r="N111" i="4"/>
  <c r="Q111" i="4"/>
  <c r="L111" i="4"/>
  <c r="N99" i="4"/>
  <c r="Q99" i="4"/>
  <c r="L99" i="4"/>
  <c r="L81" i="4"/>
  <c r="N81" i="4"/>
  <c r="Q81" i="4"/>
  <c r="J14" i="4" l="1"/>
  <c r="J13" i="4" s="1"/>
  <c r="K16" i="4" s="1"/>
  <c r="K14" i="4" l="1"/>
  <c r="K13" i="4"/>
  <c r="K15" i="4"/>
  <c r="I63" i="4" l="1"/>
  <c r="N63" i="4" s="1"/>
  <c r="Q63" i="4" s="1"/>
  <c r="I69" i="4"/>
  <c r="N69" i="4" s="1"/>
  <c r="Q69" i="4" s="1"/>
  <c r="I70" i="4"/>
  <c r="N70" i="4" s="1"/>
  <c r="Q70" i="4" s="1"/>
  <c r="I66" i="4"/>
  <c r="N66" i="4" s="1"/>
  <c r="Q66" i="4" s="1"/>
  <c r="I64" i="4"/>
  <c r="N64" i="4" s="1"/>
  <c r="Q64" i="4" s="1"/>
  <c r="I67" i="4"/>
  <c r="N67" i="4" s="1"/>
  <c r="Q67" i="4" s="1"/>
  <c r="I68" i="4"/>
  <c r="N68" i="4" s="1"/>
  <c r="Q68" i="4" s="1"/>
  <c r="I65" i="4"/>
  <c r="N65" i="4" s="1"/>
  <c r="Q65" i="4" s="1"/>
  <c r="J63" i="4"/>
  <c r="K63" i="4" s="1"/>
  <c r="J66" i="4"/>
  <c r="J69" i="4"/>
  <c r="J65" i="4"/>
  <c r="J67" i="4"/>
  <c r="J64" i="4"/>
  <c r="J70" i="4"/>
  <c r="J68" i="4"/>
  <c r="J62" i="4"/>
  <c r="K62" i="4" s="1"/>
  <c r="O62" i="4" s="1"/>
  <c r="P62" i="4" s="1"/>
  <c r="J60" i="4"/>
  <c r="K60" i="4" s="1"/>
  <c r="O60" i="4" s="1"/>
  <c r="P60" i="4" s="1"/>
  <c r="J56" i="4"/>
  <c r="K56" i="4" s="1"/>
  <c r="O56" i="4" s="1"/>
  <c r="P56" i="4" s="1"/>
  <c r="J58" i="4"/>
  <c r="K58" i="4" s="1"/>
  <c r="O58" i="4" s="1"/>
  <c r="P58" i="4" s="1"/>
  <c r="J55" i="4"/>
  <c r="K55" i="4" s="1"/>
  <c r="O55" i="4" s="1"/>
  <c r="P55" i="4" s="1"/>
  <c r="J61" i="4"/>
  <c r="K61" i="4" s="1"/>
  <c r="O61" i="4" s="1"/>
  <c r="P61" i="4" s="1"/>
  <c r="J57" i="4"/>
  <c r="K57" i="4" s="1"/>
  <c r="O57" i="4" s="1"/>
  <c r="P57" i="4" s="1"/>
  <c r="J59" i="4"/>
  <c r="K59" i="4" s="1"/>
  <c r="O59" i="4" s="1"/>
  <c r="P59" i="4" s="1"/>
  <c r="I61" i="4"/>
  <c r="I37" i="4"/>
  <c r="I59" i="4"/>
  <c r="I49" i="4"/>
  <c r="I47" i="4"/>
  <c r="I50" i="4"/>
  <c r="I62" i="4"/>
  <c r="I41" i="4"/>
  <c r="I52" i="4"/>
  <c r="I60" i="4"/>
  <c r="I36" i="4"/>
  <c r="I39" i="4"/>
  <c r="I43" i="4"/>
  <c r="I45" i="4"/>
  <c r="I51" i="4"/>
  <c r="I55" i="4"/>
  <c r="I48" i="4"/>
  <c r="I40" i="4"/>
  <c r="I57" i="4"/>
  <c r="I46" i="4"/>
  <c r="I42" i="4"/>
  <c r="I53" i="4"/>
  <c r="I44" i="4"/>
  <c r="I54" i="4"/>
  <c r="I38" i="4"/>
  <c r="I58" i="4"/>
  <c r="I56" i="4"/>
  <c r="I35" i="4"/>
  <c r="I31" i="4"/>
  <c r="N31" i="4" s="1"/>
  <c r="Q31" i="4" s="1"/>
  <c r="I33" i="4"/>
  <c r="I30" i="4"/>
  <c r="I32" i="4"/>
  <c r="I28" i="4"/>
  <c r="I29" i="4"/>
  <c r="N29" i="4" s="1"/>
  <c r="Q29" i="4" s="1"/>
  <c r="I34" i="4"/>
  <c r="J31" i="4"/>
  <c r="J29" i="4"/>
  <c r="L66" i="4" l="1"/>
  <c r="M66" i="4" s="1"/>
  <c r="K66" i="4"/>
  <c r="O66" i="4" s="1"/>
  <c r="P66" i="4" s="1"/>
  <c r="K70" i="4"/>
  <c r="L70" i="4"/>
  <c r="M70" i="4" s="1"/>
  <c r="K64" i="4"/>
  <c r="O64" i="4" s="1"/>
  <c r="P64" i="4" s="1"/>
  <c r="L64" i="4"/>
  <c r="M64" i="4" s="1"/>
  <c r="O63" i="4"/>
  <c r="P63" i="4" s="1"/>
  <c r="L63" i="4"/>
  <c r="M63" i="4" s="1"/>
  <c r="K68" i="4"/>
  <c r="O68" i="4" s="1"/>
  <c r="P68" i="4" s="1"/>
  <c r="L68" i="4"/>
  <c r="M68" i="4" s="1"/>
  <c r="L67" i="4"/>
  <c r="M67" i="4" s="1"/>
  <c r="K67" i="4"/>
  <c r="O67" i="4" s="1"/>
  <c r="P67" i="4" s="1"/>
  <c r="L65" i="4"/>
  <c r="M65" i="4" s="1"/>
  <c r="K65" i="4"/>
  <c r="O65" i="4" s="1"/>
  <c r="P65" i="4" s="1"/>
  <c r="K69" i="4"/>
  <c r="O69" i="4" s="1"/>
  <c r="P69" i="4" s="1"/>
  <c r="L69" i="4"/>
  <c r="M69" i="4" s="1"/>
  <c r="N62" i="4"/>
  <c r="Q62" i="4" s="1"/>
  <c r="L62" i="4"/>
  <c r="M62" i="4" s="1"/>
  <c r="N55" i="4"/>
  <c r="Q55" i="4" s="1"/>
  <c r="L55" i="4"/>
  <c r="M55" i="4" s="1"/>
  <c r="L56" i="4"/>
  <c r="M56" i="4" s="1"/>
  <c r="N56" i="4"/>
  <c r="Q56" i="4" s="1"/>
  <c r="N59" i="4"/>
  <c r="Q59" i="4" s="1"/>
  <c r="L59" i="4"/>
  <c r="M59" i="4" s="1"/>
  <c r="N57" i="4"/>
  <c r="Q57" i="4" s="1"/>
  <c r="L57" i="4"/>
  <c r="M57" i="4" s="1"/>
  <c r="L58" i="4"/>
  <c r="M58" i="4" s="1"/>
  <c r="N58" i="4"/>
  <c r="Q58" i="4" s="1"/>
  <c r="N61" i="4"/>
  <c r="Q61" i="4" s="1"/>
  <c r="L61" i="4"/>
  <c r="M61" i="4" s="1"/>
  <c r="L60" i="4"/>
  <c r="M60" i="4" s="1"/>
  <c r="N60" i="4"/>
  <c r="Q60" i="4" s="1"/>
  <c r="K31" i="4"/>
  <c r="O31" i="4" s="1"/>
  <c r="L31" i="4"/>
  <c r="M31" i="4" s="1"/>
  <c r="K29" i="4"/>
  <c r="O29" i="4" s="1"/>
  <c r="L29" i="4"/>
  <c r="M29" i="4" s="1"/>
  <c r="P29" i="4" l="1"/>
  <c r="R29" i="4"/>
  <c r="P31" i="4"/>
  <c r="R31" i="4"/>
  <c r="O70" i="4"/>
  <c r="P70" i="4" s="1"/>
  <c r="J21" i="4" l="1"/>
  <c r="J9" i="4"/>
  <c r="J22" i="4"/>
  <c r="J10" i="4" s="1"/>
  <c r="J20" i="4"/>
  <c r="N36" i="4" s="1"/>
  <c r="O24" i="1"/>
  <c r="L24" i="1" s="1"/>
  <c r="N24" i="1"/>
  <c r="N46" i="4" l="1"/>
  <c r="N48" i="4"/>
  <c r="N28" i="4"/>
  <c r="J19" i="4"/>
  <c r="K19" i="4" s="1"/>
  <c r="N32" i="4"/>
  <c r="N45" i="4"/>
  <c r="N37" i="4"/>
  <c r="Q37" i="4" s="1"/>
  <c r="N44" i="4"/>
  <c r="Q44" i="4" s="1"/>
  <c r="N49" i="4"/>
  <c r="N53" i="4"/>
  <c r="Q53" i="4" s="1"/>
  <c r="J8" i="4"/>
  <c r="N30" i="4"/>
  <c r="N51" i="4"/>
  <c r="N41" i="4"/>
  <c r="K20" i="4"/>
  <c r="K22" i="4"/>
  <c r="K21" i="4"/>
  <c r="J7" i="4"/>
  <c r="Q48" i="4" s="1"/>
  <c r="M24" i="1"/>
  <c r="O25" i="1" s="1"/>
  <c r="N50" i="4"/>
  <c r="N43" i="4"/>
  <c r="N39" i="4"/>
  <c r="N42" i="4"/>
  <c r="N40" i="4"/>
  <c r="N34" i="4"/>
  <c r="N38" i="4"/>
  <c r="N54" i="4"/>
  <c r="N33" i="4"/>
  <c r="Q33" i="4" s="1"/>
  <c r="N35" i="4"/>
  <c r="Q35" i="4" s="1"/>
  <c r="N52" i="4"/>
  <c r="N47" i="4"/>
  <c r="Q41" i="4" l="1"/>
  <c r="Q28" i="4"/>
  <c r="Q42" i="4"/>
  <c r="Q39" i="4"/>
  <c r="Q43" i="4"/>
  <c r="K9" i="4"/>
  <c r="Q50" i="4"/>
  <c r="Q47" i="4"/>
  <c r="Q52" i="4"/>
  <c r="K7" i="4"/>
  <c r="Q32" i="4"/>
  <c r="K8" i="4"/>
  <c r="J28" i="4"/>
  <c r="J33" i="4"/>
  <c r="J52" i="4"/>
  <c r="J49" i="4"/>
  <c r="J40" i="4"/>
  <c r="J37" i="4"/>
  <c r="J38" i="4"/>
  <c r="J45" i="4"/>
  <c r="J32" i="4"/>
  <c r="J42" i="4"/>
  <c r="J39" i="4"/>
  <c r="J53" i="4"/>
  <c r="J54" i="4"/>
  <c r="J41" i="4"/>
  <c r="J36" i="4"/>
  <c r="J44" i="4"/>
  <c r="J46" i="4"/>
  <c r="J35" i="4"/>
  <c r="J47" i="4"/>
  <c r="J50" i="4"/>
  <c r="J34" i="4"/>
  <c r="J30" i="4"/>
  <c r="J48" i="4"/>
  <c r="J51" i="4"/>
  <c r="J43" i="4"/>
  <c r="K10" i="4"/>
  <c r="Q54" i="4"/>
  <c r="Q51" i="4"/>
  <c r="Q38" i="4"/>
  <c r="Q36" i="4"/>
  <c r="Q34" i="4"/>
  <c r="Q46" i="4"/>
  <c r="Q45" i="4"/>
  <c r="Q40" i="4"/>
  <c r="Q30" i="4"/>
  <c r="Q49" i="4"/>
  <c r="L34" i="4" l="1"/>
  <c r="M34" i="4" s="1"/>
  <c r="K34" i="4"/>
  <c r="O34" i="4" s="1"/>
  <c r="L32" i="4"/>
  <c r="M32" i="4" s="1"/>
  <c r="K32" i="4"/>
  <c r="O32" i="4" s="1"/>
  <c r="L45" i="4"/>
  <c r="M45" i="4" s="1"/>
  <c r="K45" i="4"/>
  <c r="O45" i="4" s="1"/>
  <c r="L47" i="4"/>
  <c r="M47" i="4" s="1"/>
  <c r="K47" i="4"/>
  <c r="O47" i="4" s="1"/>
  <c r="L38" i="4"/>
  <c r="M38" i="4" s="1"/>
  <c r="K38" i="4"/>
  <c r="O38" i="4" s="1"/>
  <c r="L37" i="4"/>
  <c r="M37" i="4" s="1"/>
  <c r="K37" i="4"/>
  <c r="O37" i="4" s="1"/>
  <c r="K46" i="4"/>
  <c r="O46" i="4" s="1"/>
  <c r="L46" i="4"/>
  <c r="M46" i="4" s="1"/>
  <c r="L40" i="4"/>
  <c r="M40" i="4" s="1"/>
  <c r="K40" i="4"/>
  <c r="O40" i="4" s="1"/>
  <c r="L44" i="4"/>
  <c r="M44" i="4" s="1"/>
  <c r="K44" i="4"/>
  <c r="O44" i="4" s="1"/>
  <c r="L36" i="4"/>
  <c r="M36" i="4" s="1"/>
  <c r="K36" i="4"/>
  <c r="O36" i="4" s="1"/>
  <c r="K52" i="4"/>
  <c r="O52" i="4" s="1"/>
  <c r="L52" i="4"/>
  <c r="M52" i="4" s="1"/>
  <c r="L41" i="4"/>
  <c r="M41" i="4" s="1"/>
  <c r="K41" i="4"/>
  <c r="O41" i="4" s="1"/>
  <c r="L43" i="4"/>
  <c r="M43" i="4" s="1"/>
  <c r="K43" i="4"/>
  <c r="O43" i="4" s="1"/>
  <c r="L54" i="4"/>
  <c r="M54" i="4" s="1"/>
  <c r="K54" i="4"/>
  <c r="O54" i="4" s="1"/>
  <c r="L28" i="4"/>
  <c r="M28" i="4" s="1"/>
  <c r="K28" i="4"/>
  <c r="O28" i="4" s="1"/>
  <c r="L51" i="4"/>
  <c r="M51" i="4" s="1"/>
  <c r="K51" i="4"/>
  <c r="O51" i="4" s="1"/>
  <c r="L53" i="4"/>
  <c r="M53" i="4" s="1"/>
  <c r="K53" i="4"/>
  <c r="O53" i="4" s="1"/>
  <c r="L48" i="4"/>
  <c r="M48" i="4" s="1"/>
  <c r="K48" i="4"/>
  <c r="O48" i="4" s="1"/>
  <c r="L39" i="4"/>
  <c r="M39" i="4" s="1"/>
  <c r="K39" i="4"/>
  <c r="O39" i="4" s="1"/>
  <c r="L50" i="4"/>
  <c r="M50" i="4" s="1"/>
  <c r="K50" i="4"/>
  <c r="O50" i="4" s="1"/>
  <c r="L35" i="4"/>
  <c r="M35" i="4" s="1"/>
  <c r="K35" i="4"/>
  <c r="O35" i="4" s="1"/>
  <c r="L49" i="4"/>
  <c r="M49" i="4" s="1"/>
  <c r="K49" i="4"/>
  <c r="O49" i="4" s="1"/>
  <c r="L33" i="4"/>
  <c r="M33" i="4" s="1"/>
  <c r="K33" i="4"/>
  <c r="O33" i="4" s="1"/>
  <c r="K30" i="4"/>
  <c r="O30" i="4" s="1"/>
  <c r="L30" i="4"/>
  <c r="M30" i="4" s="1"/>
  <c r="L42" i="4"/>
  <c r="M42" i="4" s="1"/>
  <c r="K42" i="4"/>
  <c r="O42" i="4" s="1"/>
  <c r="P51" i="4" l="1"/>
  <c r="R51" i="4"/>
  <c r="P37" i="4"/>
  <c r="R37" i="4"/>
  <c r="P38" i="4"/>
  <c r="R38" i="4"/>
  <c r="P35" i="4"/>
  <c r="R35" i="4"/>
  <c r="P45" i="4"/>
  <c r="R45" i="4"/>
  <c r="P30" i="4"/>
  <c r="R30" i="4"/>
  <c r="P52" i="4"/>
  <c r="R52" i="4"/>
  <c r="P44" i="4"/>
  <c r="R44" i="4"/>
  <c r="P48" i="4"/>
  <c r="R48" i="4"/>
  <c r="P36" i="4"/>
  <c r="R36" i="4"/>
  <c r="P28" i="4"/>
  <c r="R28" i="4"/>
  <c r="P50" i="4"/>
  <c r="R50" i="4"/>
  <c r="P54" i="4"/>
  <c r="R54" i="4"/>
  <c r="P40" i="4"/>
  <c r="R40" i="4"/>
  <c r="P32" i="4"/>
  <c r="R32" i="4"/>
  <c r="P33" i="4"/>
  <c r="R33" i="4"/>
  <c r="P47" i="4"/>
  <c r="R47" i="4"/>
  <c r="P41" i="4"/>
  <c r="R41" i="4"/>
  <c r="P53" i="4"/>
  <c r="R53" i="4"/>
  <c r="P49" i="4"/>
  <c r="R49" i="4"/>
  <c r="P42" i="4"/>
  <c r="R42" i="4"/>
  <c r="P39" i="4"/>
  <c r="R39" i="4"/>
  <c r="P43" i="4"/>
  <c r="R43" i="4"/>
  <c r="P34" i="4"/>
  <c r="R34" i="4"/>
  <c r="P46" i="4"/>
  <c r="R46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Fabian Fischer</author>
  </authors>
  <commentList>
    <comment ref="J7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(1)</t>
        </r>
      </text>
    </comment>
    <comment ref="J13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(2)</t>
        </r>
      </text>
    </comment>
    <comment ref="D15" authorId="0" shapeId="0" xr:uid="{00000000-0006-0000-0100-000003000000}">
      <text>
        <r>
          <rPr>
            <b/>
            <sz val="10"/>
            <color indexed="81"/>
            <rFont val="Helvetica"/>
            <family val="2"/>
          </rPr>
          <t>Choose between: "OptiMEM"
"DMEM Glutamax" "Phenol-Red Free DMEM"</t>
        </r>
      </text>
    </comment>
    <comment ref="D17" authorId="0" shapeId="0" xr:uid="{00000000-0006-0000-0100-000004000000}">
      <text>
        <r>
          <rPr>
            <b/>
            <sz val="10"/>
            <color indexed="81"/>
            <rFont val="Helvetica"/>
            <family val="2"/>
          </rPr>
          <t>Choose between: 
"FBS"
"d-FBS"
"cs-FBS"</t>
        </r>
      </text>
    </comment>
    <comment ref="J19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(3)</t>
        </r>
      </text>
    </comment>
    <comment ref="D21" authorId="0" shapeId="0" xr:uid="{00000000-0006-0000-0100-000006000000}">
      <text>
        <r>
          <rPr>
            <b/>
            <sz val="10"/>
            <color indexed="81"/>
            <rFont val="Helvetica"/>
            <family val="2"/>
          </rPr>
          <t>Choose between: "HEK293T" 
"HEK293H"
"HepG2"
"HCT116"
"ME-180"</t>
        </r>
      </text>
    </comment>
    <comment ref="D26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(6)</t>
        </r>
      </text>
    </comment>
    <comment ref="E26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(7)</t>
        </r>
      </text>
    </comment>
    <comment ref="I26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(4)</t>
        </r>
      </text>
    </comment>
    <comment ref="J26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(5)</t>
        </r>
      </text>
    </comment>
    <comment ref="K26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(11)</t>
        </r>
      </text>
    </comment>
    <comment ref="L26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(9)</t>
        </r>
      </text>
    </comment>
    <comment ref="M26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(10)</t>
        </r>
      </text>
    </comment>
    <comment ref="N26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(12)</t>
        </r>
      </text>
    </comment>
    <comment ref="O26" authorId="0" shapeId="0" xr:uid="{00000000-0006-0000-0100-00000F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(13)</t>
        </r>
      </text>
    </comment>
    <comment ref="P26" authorId="0" shapeId="0" xr:uid="{00000000-0006-0000-0100-000010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(14)</t>
        </r>
      </text>
    </comment>
    <comment ref="Q26" authorId="0" shapeId="0" xr:uid="{00000000-0006-0000-0100-000011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(15)</t>
        </r>
      </text>
    </comment>
  </commentList>
</comments>
</file>

<file path=xl/sharedStrings.xml><?xml version="1.0" encoding="utf-8"?>
<sst xmlns="http://schemas.openxmlformats.org/spreadsheetml/2006/main" count="157" uniqueCount="134">
  <si>
    <t>Assumptions:</t>
  </si>
  <si>
    <t>1. Test chemicals partition between test medium and cells</t>
  </si>
  <si>
    <t>2. Test medium and cells are composed of water, proteins, and lipids</t>
  </si>
  <si>
    <t>User input</t>
  </si>
  <si>
    <t>Characteristics of Test medium</t>
  </si>
  <si>
    <t>Total volume</t>
  </si>
  <si>
    <t>Total water volume</t>
  </si>
  <si>
    <t>Characteristics of cells</t>
  </si>
  <si>
    <t>Total protein volume</t>
  </si>
  <si>
    <t>Total lipid volume</t>
  </si>
  <si>
    <t>Cell line</t>
  </si>
  <si>
    <t>Compound</t>
  </si>
  <si>
    <t>CAS</t>
  </si>
  <si>
    <t>HEK293T</t>
  </si>
  <si>
    <t>OptiMEM</t>
  </si>
  <si>
    <t>Type of base medium</t>
  </si>
  <si>
    <t>Type of serum</t>
  </si>
  <si>
    <t>FBS</t>
  </si>
  <si>
    <t>cells excluded</t>
  </si>
  <si>
    <t>Cell number at test start</t>
  </si>
  <si>
    <t>Model output</t>
  </si>
  <si>
    <t>System volume</t>
  </si>
  <si>
    <t>Media</t>
  </si>
  <si>
    <t>protein content (mL/L)</t>
  </si>
  <si>
    <t>DMEM Glutamax</t>
  </si>
  <si>
    <t>cs-FBS</t>
  </si>
  <si>
    <t>d-FBS</t>
  </si>
  <si>
    <t>lipid content (mL/L)</t>
  </si>
  <si>
    <r>
      <t>Water content (mL/10</t>
    </r>
    <r>
      <rPr>
        <b/>
        <vertAlign val="superscript"/>
        <sz val="11"/>
        <color theme="1"/>
        <rFont val="Helvetica"/>
        <family val="2"/>
      </rPr>
      <t>6</t>
    </r>
    <r>
      <rPr>
        <b/>
        <sz val="11"/>
        <color theme="1"/>
        <rFont val="Helvetica"/>
        <family val="2"/>
      </rPr>
      <t xml:space="preserve"> cells)</t>
    </r>
  </si>
  <si>
    <r>
      <t>protein content (mL/10</t>
    </r>
    <r>
      <rPr>
        <b/>
        <vertAlign val="superscript"/>
        <sz val="11"/>
        <color theme="1"/>
        <rFont val="Helvetica"/>
        <family val="2"/>
      </rPr>
      <t>6</t>
    </r>
    <r>
      <rPr>
        <b/>
        <sz val="11"/>
        <color theme="1"/>
        <rFont val="Helvetica"/>
        <family val="2"/>
      </rPr>
      <t xml:space="preserve"> cells)</t>
    </r>
  </si>
  <si>
    <r>
      <t>lipid content (mL/10</t>
    </r>
    <r>
      <rPr>
        <b/>
        <vertAlign val="superscript"/>
        <sz val="11"/>
        <color theme="1"/>
        <rFont val="Helvetica"/>
        <family val="2"/>
      </rPr>
      <t>6</t>
    </r>
    <r>
      <rPr>
        <b/>
        <sz val="11"/>
        <color theme="1"/>
        <rFont val="Helvetica"/>
        <family val="2"/>
      </rPr>
      <t xml:space="preserve"> cells)</t>
    </r>
  </si>
  <si>
    <t>Cells</t>
  </si>
  <si>
    <t>HEK293H</t>
  </si>
  <si>
    <t>HCT116</t>
  </si>
  <si>
    <t>Me-180</t>
  </si>
  <si>
    <t>Medium volume (µL)</t>
  </si>
  <si>
    <t>Fraction of base medium (%)</t>
  </si>
  <si>
    <t>Fraction of serum (%)</t>
  </si>
  <si>
    <t>1. Test system parameters</t>
  </si>
  <si>
    <t>2. Chemical parameters</t>
  </si>
  <si>
    <t>1. System information</t>
  </si>
  <si>
    <t>Information and comments</t>
  </si>
  <si>
    <t>Percentage of medium base in the test medium</t>
  </si>
  <si>
    <t>Percentage of serum in the test medium</t>
  </si>
  <si>
    <t>2. Chemical partitioning</t>
  </si>
  <si>
    <t>Water volume</t>
  </si>
  <si>
    <t>Protein volume</t>
  </si>
  <si>
    <t>Lipid volume</t>
  </si>
  <si>
    <t>MB (%)</t>
  </si>
  <si>
    <r>
      <t>log D</t>
    </r>
    <r>
      <rPr>
        <i/>
        <vertAlign val="subscript"/>
        <sz val="12"/>
        <rFont val="Helvetica"/>
        <family val="2"/>
      </rPr>
      <t>BSA/w</t>
    </r>
    <r>
      <rPr>
        <i/>
        <sz val="12"/>
        <rFont val="Helvetica"/>
        <family val="2"/>
      </rPr>
      <t xml:space="preserve"> [L/L], pH 7.4, 37 °C</t>
    </r>
  </si>
  <si>
    <r>
      <t>log D</t>
    </r>
    <r>
      <rPr>
        <i/>
        <vertAlign val="subscript"/>
        <sz val="12"/>
        <rFont val="Helvetica"/>
        <family val="2"/>
      </rPr>
      <t>lip/w</t>
    </r>
    <r>
      <rPr>
        <i/>
        <sz val="12"/>
        <rFont val="Helvetica"/>
        <family val="2"/>
      </rPr>
      <t xml:space="preserve"> [L/L], pH 7.4, 37 °C</t>
    </r>
  </si>
  <si>
    <t>Total Test system</t>
  </si>
  <si>
    <t>Volumes (µL)</t>
  </si>
  <si>
    <t>Test medium</t>
  </si>
  <si>
    <r>
      <t>f</t>
    </r>
    <r>
      <rPr>
        <i/>
        <vertAlign val="subscript"/>
        <sz val="12"/>
        <rFont val="Helvetica"/>
        <family val="2"/>
      </rPr>
      <t xml:space="preserve">cell       </t>
    </r>
    <r>
      <rPr>
        <i/>
        <sz val="12"/>
        <rFont val="Helvetica"/>
        <family val="2"/>
      </rPr>
      <t>(%)</t>
    </r>
  </si>
  <si>
    <r>
      <t>log D</t>
    </r>
    <r>
      <rPr>
        <i/>
        <vertAlign val="subscript"/>
        <sz val="11"/>
        <color theme="1"/>
        <rFont val="Helvetica"/>
        <family val="2"/>
      </rPr>
      <t>medium/w</t>
    </r>
    <r>
      <rPr>
        <i/>
        <sz val="11"/>
        <color theme="1"/>
        <rFont val="Helvetica"/>
        <family val="2"/>
      </rPr>
      <t xml:space="preserve"> [L/L], pH 7.4, 37 °C</t>
    </r>
  </si>
  <si>
    <r>
      <t>log D</t>
    </r>
    <r>
      <rPr>
        <i/>
        <vertAlign val="subscript"/>
        <sz val="11"/>
        <color theme="1"/>
        <rFont val="Helvetica"/>
        <family val="2"/>
      </rPr>
      <t>cell/w</t>
    </r>
    <r>
      <rPr>
        <i/>
        <sz val="11"/>
        <color theme="1"/>
        <rFont val="Helvetica"/>
        <family val="2"/>
      </rPr>
      <t xml:space="preserve"> [L/L], pH 7.4, 37 °C</t>
    </r>
  </si>
  <si>
    <t>Cells are solely composed of water, proteins, and lipids</t>
  </si>
  <si>
    <t>Information on media constituents and cells</t>
  </si>
  <si>
    <t>Model setup</t>
  </si>
  <si>
    <t>Equations</t>
  </si>
  <si>
    <r>
      <t>f</t>
    </r>
    <r>
      <rPr>
        <i/>
        <vertAlign val="subscript"/>
        <sz val="12"/>
        <rFont val="Helvetica"/>
        <family val="2"/>
      </rPr>
      <t xml:space="preserve">medium      </t>
    </r>
    <r>
      <rPr>
        <i/>
        <sz val="12"/>
        <rFont val="Helvetica"/>
        <family val="2"/>
      </rPr>
      <t>(%)</t>
    </r>
  </si>
  <si>
    <t>Choose from comment (mouseover) or leave empty of not available</t>
  </si>
  <si>
    <t>Choose from comment (mouseover) or leave empty if not available</t>
  </si>
  <si>
    <r>
      <t>f</t>
    </r>
    <r>
      <rPr>
        <i/>
        <vertAlign val="subscript"/>
        <sz val="12"/>
        <rFont val="Helvetica"/>
        <family val="2"/>
      </rPr>
      <t xml:space="preserve">mem         </t>
    </r>
    <r>
      <rPr>
        <i/>
        <sz val="12"/>
        <rFont val="Helvetica"/>
        <family val="2"/>
      </rPr>
      <t>(%)</t>
    </r>
  </si>
  <si>
    <t>Phenol-Red free DMEM</t>
  </si>
  <si>
    <r>
      <t>(E)C</t>
    </r>
    <r>
      <rPr>
        <i/>
        <vertAlign val="subscript"/>
        <sz val="12"/>
        <rFont val="Helvetica"/>
        <family val="2"/>
      </rPr>
      <t xml:space="preserve">cell </t>
    </r>
    <r>
      <rPr>
        <i/>
        <sz val="12"/>
        <rFont val="Helvetica"/>
        <family val="2"/>
      </rPr>
      <t>[mol/L</t>
    </r>
    <r>
      <rPr>
        <i/>
        <vertAlign val="subscript"/>
        <sz val="12"/>
        <rFont val="Helvetica"/>
        <family val="2"/>
      </rPr>
      <t>cell</t>
    </r>
    <r>
      <rPr>
        <i/>
        <sz val="12"/>
        <rFont val="Helvetica"/>
        <family val="2"/>
      </rPr>
      <t>]</t>
    </r>
  </si>
  <si>
    <r>
      <t>(E)C</t>
    </r>
    <r>
      <rPr>
        <i/>
        <vertAlign val="subscript"/>
        <sz val="12"/>
        <rFont val="Helvetica"/>
        <family val="2"/>
      </rPr>
      <t xml:space="preserve">mem </t>
    </r>
    <r>
      <rPr>
        <i/>
        <sz val="12"/>
        <rFont val="Helvetica"/>
        <family val="2"/>
      </rPr>
      <t>[mol/L</t>
    </r>
    <r>
      <rPr>
        <i/>
        <vertAlign val="subscript"/>
        <sz val="12"/>
        <rFont val="Helvetica"/>
        <family val="2"/>
      </rPr>
      <t>mem</t>
    </r>
    <r>
      <rPr>
        <i/>
        <sz val="12"/>
        <rFont val="Helvetica"/>
        <family val="2"/>
      </rPr>
      <t>]</t>
    </r>
  </si>
  <si>
    <r>
      <t>(E)C</t>
    </r>
    <r>
      <rPr>
        <i/>
        <vertAlign val="subscript"/>
        <sz val="12"/>
        <rFont val="Helvetica"/>
        <family val="2"/>
      </rPr>
      <t>nom</t>
    </r>
    <r>
      <rPr>
        <i/>
        <sz val="12"/>
        <rFont val="Helvetica"/>
        <family val="2"/>
      </rPr>
      <t xml:space="preserve"> [mol/L]</t>
    </r>
  </si>
  <si>
    <t>Plated cell number - Disregard cell growth</t>
  </si>
  <si>
    <t>cells &amp; media, MB = Mass Balance</t>
  </si>
  <si>
    <t>MB = Mass Balance</t>
  </si>
  <si>
    <t>mass balance, MB = Mass Balance</t>
  </si>
  <si>
    <t>equals C14, MB = Mass Balance</t>
  </si>
  <si>
    <t>Drag down to enlarge list size</t>
  </si>
  <si>
    <r>
      <t>(E)C</t>
    </r>
    <r>
      <rPr>
        <i/>
        <vertAlign val="subscript"/>
        <sz val="12"/>
        <rFont val="Helvetica"/>
        <family val="2"/>
      </rPr>
      <t xml:space="preserve">free </t>
    </r>
    <r>
      <rPr>
        <i/>
        <sz val="12"/>
        <rFont val="Helvetica"/>
        <family val="2"/>
      </rPr>
      <t>[mol/L</t>
    </r>
    <r>
      <rPr>
        <i/>
        <vertAlign val="subscript"/>
        <sz val="12"/>
        <rFont val="Helvetica"/>
        <family val="2"/>
      </rPr>
      <t>w,medium</t>
    </r>
    <r>
      <rPr>
        <i/>
        <sz val="12"/>
        <rFont val="Helvetica"/>
        <family val="2"/>
      </rPr>
      <t>]</t>
    </r>
  </si>
  <si>
    <r>
      <t>f</t>
    </r>
    <r>
      <rPr>
        <i/>
        <vertAlign val="subscript"/>
        <sz val="12"/>
        <rFont val="Helvetica"/>
        <family val="2"/>
      </rPr>
      <t xml:space="preserve">w,medium      </t>
    </r>
    <r>
      <rPr>
        <i/>
        <sz val="12"/>
        <rFont val="Helvetica"/>
        <family val="2"/>
      </rPr>
      <t>(%)</t>
    </r>
  </si>
  <si>
    <t>HepG2</t>
    <phoneticPr fontId="18" type="noConversion"/>
  </si>
  <si>
    <t>FBS</t>
    <phoneticPr fontId="18" type="noConversion"/>
  </si>
  <si>
    <t>OptiMEM</t>
    <phoneticPr fontId="18" type="noConversion"/>
  </si>
  <si>
    <t>Caffeine</t>
  </si>
  <si>
    <t>di-n-butylphthalate</t>
    <phoneticPr fontId="25" type="noConversion"/>
  </si>
  <si>
    <t>84-74-2</t>
    <phoneticPr fontId="25" type="noConversion"/>
  </si>
  <si>
    <t>hexachlorophene</t>
  </si>
  <si>
    <t>70-30-4</t>
    <phoneticPr fontId="25" type="noConversion"/>
  </si>
  <si>
    <t>58-08-2</t>
    <phoneticPr fontId="25" type="noConversion"/>
  </si>
  <si>
    <t>hexamethylenetetramine</t>
    <phoneticPr fontId="25" type="noConversion"/>
  </si>
  <si>
    <t>100-97-0</t>
    <phoneticPr fontId="25" type="noConversion"/>
  </si>
  <si>
    <t>Malathion</t>
  </si>
  <si>
    <t>121-75-5</t>
    <phoneticPr fontId="25" type="noConversion"/>
  </si>
  <si>
    <t>pentachlorophenol</t>
  </si>
  <si>
    <t>87-86-5</t>
    <phoneticPr fontId="25" type="noConversion"/>
  </si>
  <si>
    <t>2,4-dinitrophenol</t>
  </si>
  <si>
    <t>51-28-5</t>
    <phoneticPr fontId="25" type="noConversion"/>
  </si>
  <si>
    <t>2,2,2-trichloroethanol</t>
  </si>
  <si>
    <t>115-20-8</t>
    <phoneticPr fontId="25" type="noConversion"/>
  </si>
  <si>
    <t>parathion ethyl</t>
  </si>
  <si>
    <t>56-38-2</t>
    <phoneticPr fontId="25" type="noConversion"/>
  </si>
  <si>
    <t>diethylphthalate</t>
    <phoneticPr fontId="25" type="noConversion"/>
  </si>
  <si>
    <t>84-66-2</t>
    <phoneticPr fontId="25" type="noConversion"/>
  </si>
  <si>
    <t>4-chlorophenol</t>
  </si>
  <si>
    <t>106-48-9</t>
    <phoneticPr fontId="25" type="noConversion"/>
  </si>
  <si>
    <t>permethrin</t>
  </si>
  <si>
    <t>52645-53-1</t>
    <phoneticPr fontId="25" type="noConversion"/>
  </si>
  <si>
    <t>Aniline</t>
  </si>
  <si>
    <t>62-53-3</t>
    <phoneticPr fontId="25" type="noConversion"/>
  </si>
  <si>
    <t>disulfoton</t>
  </si>
  <si>
    <t>298-04-4</t>
    <phoneticPr fontId="25" type="noConversion"/>
  </si>
  <si>
    <t>4-fluoroaniline</t>
  </si>
  <si>
    <t>371-40-4</t>
    <phoneticPr fontId="25" type="noConversion"/>
  </si>
  <si>
    <t>2,4,6-trichlorophenol</t>
    <phoneticPr fontId="25" type="noConversion"/>
  </si>
  <si>
    <t>88-06-2</t>
    <phoneticPr fontId="25" type="noConversion"/>
  </si>
  <si>
    <t>Allyl alcohol</t>
  </si>
  <si>
    <t>107-18-6</t>
    <phoneticPr fontId="25" type="noConversion"/>
  </si>
  <si>
    <t>lindane</t>
  </si>
  <si>
    <t>58-89-9</t>
    <phoneticPr fontId="25" type="noConversion"/>
  </si>
  <si>
    <t>N-methylaniline</t>
  </si>
  <si>
    <t>100-61-8</t>
    <phoneticPr fontId="25" type="noConversion"/>
  </si>
  <si>
    <t>3,4-dichloroaniline</t>
  </si>
  <si>
    <t>95-76-1</t>
    <phoneticPr fontId="25" type="noConversion"/>
  </si>
  <si>
    <t>4-decylaniline</t>
  </si>
  <si>
    <t>37529-30-9</t>
    <phoneticPr fontId="25" type="noConversion"/>
  </si>
  <si>
    <t>naphthalene</t>
  </si>
  <si>
    <t>91-20-3</t>
    <phoneticPr fontId="25" type="noConversion"/>
  </si>
  <si>
    <t>1,2,4-trichlorobenzene</t>
    <phoneticPr fontId="25" type="noConversion"/>
  </si>
  <si>
    <t>120-82-1</t>
    <phoneticPr fontId="25" type="noConversion"/>
  </si>
  <si>
    <t>1,2-dichlorobenzene</t>
  </si>
  <si>
    <t>95-50-1</t>
    <phoneticPr fontId="25" type="noConversion"/>
  </si>
  <si>
    <t>dichloromethane</t>
  </si>
  <si>
    <t>75-09-2</t>
    <phoneticPr fontId="25" type="noConversion"/>
  </si>
  <si>
    <t>tetrachloroethylene</t>
  </si>
  <si>
    <t>127-18-4</t>
    <phoneticPr fontId="25" type="noConversion"/>
  </si>
  <si>
    <t>2,3-dimethyl-1,3-butadiene</t>
  </si>
  <si>
    <t>513-81-5</t>
    <phoneticPr fontId="2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</si>
</sst>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0.000"/>
    <numFmt numFmtId="177" formatCode="0.000000000"/>
    <numFmt numFmtId="178" formatCode="0.00000000000"/>
    <numFmt numFmtId="179" formatCode="0.0%"/>
    <numFmt numFmtId="180" formatCode="0.00_);[Red]\(0.00\)"/>
    <numFmt numFmtId="181" formatCode="0.00000_);[Red]\(0.00000\)"/>
    <numFmt numFmtId="182" formatCode="0.000000_);[Red]\(0.000000\)"/>
  </numFmts>
  <fonts count="26" x14ac:knownFonts="1">
    <font>
      <sz val="11"/>
      <color theme="1"/>
      <name val="新細明體"/>
      <family val="2"/>
      <scheme val="minor"/>
    </font>
    <font>
      <sz val="11"/>
      <color theme="1"/>
      <name val="Helvetica"/>
      <family val="2"/>
    </font>
    <font>
      <b/>
      <sz val="11"/>
      <color theme="1"/>
      <name val="Helvetica"/>
      <family val="2"/>
    </font>
    <font>
      <b/>
      <sz val="12"/>
      <color theme="1"/>
      <name val="Helvetica"/>
      <family val="2"/>
    </font>
    <font>
      <sz val="11"/>
      <name val="Helvetica"/>
      <family val="2"/>
    </font>
    <font>
      <b/>
      <sz val="20"/>
      <color theme="1"/>
      <name val="Helvetica"/>
      <family val="2"/>
    </font>
    <font>
      <b/>
      <sz val="10"/>
      <color indexed="81"/>
      <name val="Helvetica"/>
      <family val="2"/>
    </font>
    <font>
      <b/>
      <sz val="11"/>
      <name val="Helvetica"/>
      <family val="2"/>
    </font>
    <font>
      <b/>
      <vertAlign val="superscript"/>
      <sz val="11"/>
      <color theme="1"/>
      <name val="Helvetica"/>
      <family val="2"/>
    </font>
    <font>
      <b/>
      <sz val="14"/>
      <color theme="1"/>
      <name val="Helvetica"/>
      <family val="2"/>
    </font>
    <font>
      <i/>
      <sz val="12"/>
      <name val="Helvetica"/>
      <family val="2"/>
    </font>
    <font>
      <i/>
      <vertAlign val="subscript"/>
      <sz val="12"/>
      <name val="Helvetica"/>
      <family val="2"/>
    </font>
    <font>
      <i/>
      <sz val="11"/>
      <color theme="1"/>
      <name val="Helvetica"/>
      <family val="2"/>
    </font>
    <font>
      <i/>
      <vertAlign val="subscript"/>
      <sz val="11"/>
      <color theme="1"/>
      <name val="Helvetica"/>
      <family val="2"/>
    </font>
    <font>
      <b/>
      <u/>
      <sz val="14"/>
      <color theme="1"/>
      <name val="Helvetic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2"/>
      <scheme val="minor"/>
    </font>
    <font>
      <sz val="10"/>
      <color theme="1"/>
      <name val="Arial"/>
      <family val="2"/>
    </font>
    <font>
      <sz val="11"/>
      <color rgb="FFFF0000"/>
      <name val="新細明體"/>
      <family val="2"/>
      <scheme val="minor"/>
    </font>
    <font>
      <sz val="11"/>
      <color theme="1"/>
      <name val="Helvetica"/>
    </font>
    <font>
      <sz val="12"/>
      <color theme="0" tint="-0.34998626667073579"/>
      <name val="Helvetica"/>
      <family val="2"/>
    </font>
    <font>
      <sz val="11"/>
      <color theme="0" tint="-0.34998626667073579"/>
      <name val="Helvetica"/>
      <family val="2"/>
    </font>
    <font>
      <sz val="9"/>
      <name val="新細明體"/>
      <family val="2"/>
      <charset val="136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D8E4BC"/>
        <bgColor indexed="64"/>
      </patternFill>
    </fill>
  </fills>
  <borders count="2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0" fontId="19" fillId="0" borderId="0"/>
  </cellStyleXfs>
  <cellXfs count="191">
    <xf numFmtId="0" fontId="0" fillId="0" borderId="0" xfId="0"/>
    <xf numFmtId="0" fontId="1" fillId="3" borderId="2" xfId="0" applyFont="1" applyFill="1" applyBorder="1"/>
    <xf numFmtId="0" fontId="1" fillId="3" borderId="3" xfId="0" applyFont="1" applyFill="1" applyBorder="1"/>
    <xf numFmtId="0" fontId="1" fillId="3" borderId="5" xfId="0" applyFont="1" applyFill="1" applyBorder="1"/>
    <xf numFmtId="0" fontId="1" fillId="0" borderId="7" xfId="0" applyFont="1" applyBorder="1"/>
    <xf numFmtId="0" fontId="1" fillId="0" borderId="7" xfId="0" applyFont="1" applyBorder="1" applyAlignment="1">
      <alignment horizontal="left" vertical="center"/>
    </xf>
    <xf numFmtId="0" fontId="1" fillId="0" borderId="23" xfId="0" applyFont="1" applyBorder="1" applyAlignment="1">
      <alignment horizontal="left" vertical="center"/>
    </xf>
    <xf numFmtId="0" fontId="0" fillId="3" borderId="0" xfId="0" applyFill="1"/>
    <xf numFmtId="0" fontId="3" fillId="3" borderId="0" xfId="0" applyFont="1" applyFill="1" applyAlignment="1">
      <alignment vertical="center"/>
    </xf>
    <xf numFmtId="11" fontId="0" fillId="3" borderId="0" xfId="0" applyNumberFormat="1" applyFill="1"/>
    <xf numFmtId="177" fontId="0" fillId="3" borderId="0" xfId="0" applyNumberFormat="1" applyFill="1"/>
    <xf numFmtId="178" fontId="0" fillId="3" borderId="0" xfId="0" applyNumberFormat="1" applyFill="1"/>
    <xf numFmtId="0" fontId="0" fillId="3" borderId="13" xfId="0" applyFill="1" applyBorder="1"/>
    <xf numFmtId="0" fontId="0" fillId="3" borderId="4" xfId="0" applyFill="1" applyBorder="1"/>
    <xf numFmtId="0" fontId="1" fillId="3" borderId="0" xfId="0" applyFont="1" applyFill="1"/>
    <xf numFmtId="0" fontId="0" fillId="3" borderId="14" xfId="0" applyFill="1" applyBorder="1"/>
    <xf numFmtId="0" fontId="0" fillId="3" borderId="6" xfId="0" applyFill="1" applyBorder="1"/>
    <xf numFmtId="0" fontId="9" fillId="3" borderId="13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14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wrapText="1"/>
    </xf>
    <xf numFmtId="0" fontId="1" fillId="3" borderId="2" xfId="0" applyFont="1" applyFill="1" applyBorder="1" applyAlignment="1">
      <alignment wrapText="1"/>
    </xf>
    <xf numFmtId="0" fontId="0" fillId="3" borderId="13" xfId="0" applyFill="1" applyBorder="1" applyAlignment="1">
      <alignment wrapText="1"/>
    </xf>
    <xf numFmtId="0" fontId="0" fillId="3" borderId="0" xfId="0" applyFill="1" applyAlignment="1">
      <alignment wrapText="1"/>
    </xf>
    <xf numFmtId="0" fontId="0" fillId="3" borderId="5" xfId="0" applyFill="1" applyBorder="1"/>
    <xf numFmtId="0" fontId="1" fillId="3" borderId="13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1" fillId="3" borderId="14" xfId="0" applyFont="1" applyFill="1" applyBorder="1" applyAlignment="1">
      <alignment horizontal="left"/>
    </xf>
    <xf numFmtId="0" fontId="1" fillId="3" borderId="4" xfId="0" applyFont="1" applyFill="1" applyBorder="1" applyAlignment="1">
      <alignment horizontal="left" wrapText="1"/>
    </xf>
    <xf numFmtId="0" fontId="1" fillId="3" borderId="5" xfId="0" applyFont="1" applyFill="1" applyBorder="1" applyAlignment="1">
      <alignment horizontal="left"/>
    </xf>
    <xf numFmtId="0" fontId="1" fillId="3" borderId="5" xfId="0" applyFont="1" applyFill="1" applyBorder="1" applyAlignment="1">
      <alignment horizontal="left" wrapText="1"/>
    </xf>
    <xf numFmtId="0" fontId="1" fillId="3" borderId="6" xfId="0" applyFont="1" applyFill="1" applyBorder="1" applyAlignment="1">
      <alignment horizontal="left"/>
    </xf>
    <xf numFmtId="0" fontId="1" fillId="3" borderId="7" xfId="0" applyFont="1" applyFill="1" applyBorder="1"/>
    <xf numFmtId="0" fontId="1" fillId="3" borderId="7" xfId="0" applyFont="1" applyFill="1" applyBorder="1" applyAlignment="1">
      <alignment horizontal="center"/>
    </xf>
    <xf numFmtId="2" fontId="1" fillId="3" borderId="7" xfId="0" applyNumberFormat="1" applyFont="1" applyFill="1" applyBorder="1" applyAlignment="1">
      <alignment horizontal="center"/>
    </xf>
    <xf numFmtId="0" fontId="2" fillId="6" borderId="7" xfId="0" applyFont="1" applyFill="1" applyBorder="1" applyAlignment="1">
      <alignment horizontal="left" vertical="center"/>
    </xf>
    <xf numFmtId="0" fontId="2" fillId="6" borderId="7" xfId="0" applyFont="1" applyFill="1" applyBorder="1" applyAlignment="1">
      <alignment horizontal="center" wrapText="1"/>
    </xf>
    <xf numFmtId="0" fontId="2" fillId="6" borderId="7" xfId="0" applyFont="1" applyFill="1" applyBorder="1" applyAlignment="1">
      <alignment vertical="center"/>
    </xf>
    <xf numFmtId="176" fontId="1" fillId="2" borderId="7" xfId="0" applyNumberFormat="1" applyFont="1" applyFill="1" applyBorder="1" applyAlignment="1" applyProtection="1">
      <alignment horizontal="center" vertical="center"/>
      <protection hidden="1"/>
    </xf>
    <xf numFmtId="9" fontId="1" fillId="2" borderId="7" xfId="0" applyNumberFormat="1" applyFont="1" applyFill="1" applyBorder="1" applyAlignment="1" applyProtection="1">
      <alignment horizontal="center"/>
      <protection hidden="1"/>
    </xf>
    <xf numFmtId="10" fontId="1" fillId="2" borderId="7" xfId="0" applyNumberFormat="1" applyFont="1" applyFill="1" applyBorder="1" applyAlignment="1" applyProtection="1">
      <alignment horizontal="center"/>
      <protection hidden="1"/>
    </xf>
    <xf numFmtId="11" fontId="1" fillId="2" borderId="7" xfId="0" applyNumberFormat="1" applyFont="1" applyFill="1" applyBorder="1" applyAlignment="1" applyProtection="1">
      <alignment horizontal="center" vertical="center"/>
      <protection hidden="1"/>
    </xf>
    <xf numFmtId="176" fontId="1" fillId="2" borderId="7" xfId="0" applyNumberFormat="1" applyFont="1" applyFill="1" applyBorder="1" applyAlignment="1" applyProtection="1">
      <alignment horizontal="center"/>
      <protection hidden="1"/>
    </xf>
    <xf numFmtId="11" fontId="1" fillId="2" borderId="7" xfId="0" applyNumberFormat="1" applyFont="1" applyFill="1" applyBorder="1" applyAlignment="1" applyProtection="1">
      <alignment horizontal="center"/>
      <protection hidden="1"/>
    </xf>
    <xf numFmtId="176" fontId="1" fillId="4" borderId="7" xfId="0" applyNumberFormat="1" applyFont="1" applyFill="1" applyBorder="1" applyAlignment="1" applyProtection="1">
      <alignment horizontal="center"/>
      <protection locked="0"/>
    </xf>
    <xf numFmtId="179" fontId="1" fillId="4" borderId="7" xfId="0" applyNumberFormat="1" applyFont="1" applyFill="1" applyBorder="1" applyAlignment="1" applyProtection="1">
      <alignment horizontal="center"/>
      <protection locked="0"/>
    </xf>
    <xf numFmtId="1" fontId="1" fillId="4" borderId="23" xfId="0" applyNumberFormat="1" applyFont="1" applyFill="1" applyBorder="1" applyAlignment="1" applyProtection="1">
      <alignment horizontal="center"/>
      <protection locked="0"/>
    </xf>
    <xf numFmtId="0" fontId="4" fillId="4" borderId="7" xfId="0" applyFont="1" applyFill="1" applyBorder="1" applyAlignment="1" applyProtection="1">
      <alignment horizontal="left" vertical="center"/>
      <protection locked="0"/>
    </xf>
    <xf numFmtId="2" fontId="4" fillId="4" borderId="7" xfId="0" applyNumberFormat="1" applyFont="1" applyFill="1" applyBorder="1" applyAlignment="1" applyProtection="1">
      <alignment horizontal="center" vertical="center"/>
      <protection locked="0"/>
    </xf>
    <xf numFmtId="0" fontId="0" fillId="3" borderId="0" xfId="0" applyFill="1" applyProtection="1">
      <protection locked="0"/>
    </xf>
    <xf numFmtId="0" fontId="2" fillId="0" borderId="7" xfId="0" applyFont="1" applyBorder="1" applyAlignment="1" applyProtection="1">
      <alignment horizontal="center" vertical="center"/>
      <protection hidden="1"/>
    </xf>
    <xf numFmtId="0" fontId="1" fillId="0" borderId="7" xfId="0" applyFont="1" applyBorder="1" applyProtection="1">
      <protection hidden="1"/>
    </xf>
    <xf numFmtId="0" fontId="1" fillId="0" borderId="7" xfId="0" applyFont="1" applyBorder="1" applyAlignment="1" applyProtection="1">
      <alignment horizontal="left" vertical="center"/>
      <protection hidden="1"/>
    </xf>
    <xf numFmtId="0" fontId="1" fillId="0" borderId="27" xfId="0" applyFont="1" applyBorder="1" applyAlignment="1" applyProtection="1">
      <alignment horizontal="left" vertical="center"/>
      <protection hidden="1"/>
    </xf>
    <xf numFmtId="11" fontId="1" fillId="2" borderId="27" xfId="0" applyNumberFormat="1" applyFont="1" applyFill="1" applyBorder="1" applyAlignment="1" applyProtection="1">
      <alignment horizontal="center"/>
      <protection hidden="1"/>
    </xf>
    <xf numFmtId="2" fontId="4" fillId="2" borderId="7" xfId="0" applyNumberFormat="1" applyFont="1" applyFill="1" applyBorder="1" applyAlignment="1" applyProtection="1">
      <alignment horizontal="center" vertical="center"/>
      <protection hidden="1"/>
    </xf>
    <xf numFmtId="10" fontId="4" fillId="2" borderId="7" xfId="0" applyNumberFormat="1" applyFont="1" applyFill="1" applyBorder="1" applyAlignment="1" applyProtection="1">
      <alignment horizontal="center" vertical="center"/>
      <protection hidden="1"/>
    </xf>
    <xf numFmtId="11" fontId="4" fillId="2" borderId="7" xfId="0" applyNumberFormat="1" applyFont="1" applyFill="1" applyBorder="1" applyAlignment="1" applyProtection="1">
      <alignment horizontal="center" vertical="center"/>
      <protection hidden="1"/>
    </xf>
    <xf numFmtId="11" fontId="4" fillId="4" borderId="7" xfId="0" applyNumberFormat="1" applyFont="1" applyFill="1" applyBorder="1" applyAlignment="1" applyProtection="1">
      <alignment horizontal="center" vertical="center"/>
      <protection locked="0"/>
    </xf>
    <xf numFmtId="11" fontId="1" fillId="3" borderId="7" xfId="0" applyNumberFormat="1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3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2" fontId="1" fillId="3" borderId="0" xfId="0" applyNumberFormat="1" applyFont="1" applyFill="1" applyAlignment="1">
      <alignment horizontal="center"/>
    </xf>
    <xf numFmtId="11" fontId="1" fillId="3" borderId="0" xfId="0" applyNumberFormat="1" applyFont="1" applyFill="1" applyAlignment="1">
      <alignment horizontal="center"/>
    </xf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0" fontId="0" fillId="0" borderId="2" xfId="0" applyBorder="1"/>
    <xf numFmtId="0" fontId="0" fillId="0" borderId="5" xfId="0" applyBorder="1"/>
    <xf numFmtId="11" fontId="1" fillId="3" borderId="2" xfId="0" applyNumberFormat="1" applyFont="1" applyFill="1" applyBorder="1" applyAlignment="1">
      <alignment horizontal="center"/>
    </xf>
    <xf numFmtId="11" fontId="1" fillId="3" borderId="5" xfId="0" applyNumberFormat="1" applyFont="1" applyFill="1" applyBorder="1" applyAlignment="1">
      <alignment horizontal="center"/>
    </xf>
    <xf numFmtId="0" fontId="0" fillId="3" borderId="25" xfId="0" applyFill="1" applyBorder="1"/>
    <xf numFmtId="0" fontId="2" fillId="3" borderId="24" xfId="0" applyFont="1" applyFill="1" applyBorder="1" applyAlignment="1">
      <alignment vertical="center"/>
    </xf>
    <xf numFmtId="0" fontId="2" fillId="3" borderId="24" xfId="0" applyFont="1" applyFill="1" applyBorder="1" applyAlignment="1">
      <alignment horizontal="center" wrapText="1"/>
    </xf>
    <xf numFmtId="0" fontId="0" fillId="3" borderId="26" xfId="0" applyFill="1" applyBorder="1"/>
    <xf numFmtId="0" fontId="1" fillId="3" borderId="2" xfId="0" applyFont="1" applyFill="1" applyBorder="1" applyAlignment="1">
      <alignment horizontal="center"/>
    </xf>
    <xf numFmtId="2" fontId="1" fillId="3" borderId="2" xfId="0" applyNumberFormat="1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2" fontId="1" fillId="3" borderId="5" xfId="0" applyNumberFormat="1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 wrapText="1"/>
    </xf>
    <xf numFmtId="0" fontId="17" fillId="3" borderId="0" xfId="0" applyFont="1" applyFill="1"/>
    <xf numFmtId="11" fontId="1" fillId="7" borderId="7" xfId="0" applyNumberFormat="1" applyFont="1" applyFill="1" applyBorder="1" applyAlignment="1">
      <alignment horizontal="center"/>
    </xf>
    <xf numFmtId="0" fontId="1" fillId="7" borderId="7" xfId="0" applyFont="1" applyFill="1" applyBorder="1"/>
    <xf numFmtId="0" fontId="1" fillId="7" borderId="7" xfId="0" applyFont="1" applyFill="1" applyBorder="1" applyAlignment="1">
      <alignment horizontal="center"/>
    </xf>
    <xf numFmtId="2" fontId="1" fillId="7" borderId="7" xfId="0" applyNumberFormat="1" applyFont="1" applyFill="1" applyBorder="1" applyAlignment="1">
      <alignment horizontal="center"/>
    </xf>
    <xf numFmtId="180" fontId="0" fillId="3" borderId="0" xfId="0" applyNumberFormat="1" applyFill="1"/>
    <xf numFmtId="2" fontId="20" fillId="8" borderId="28" xfId="0" applyNumberFormat="1" applyFont="1" applyFill="1" applyBorder="1" applyAlignment="1">
      <alignment horizontal="center"/>
    </xf>
    <xf numFmtId="181" fontId="0" fillId="3" borderId="0" xfId="0" applyNumberFormat="1" applyFill="1"/>
    <xf numFmtId="182" fontId="0" fillId="3" borderId="0" xfId="0" applyNumberFormat="1" applyFill="1"/>
    <xf numFmtId="182" fontId="21" fillId="3" borderId="0" xfId="0" applyNumberFormat="1" applyFont="1" applyFill="1"/>
    <xf numFmtId="0" fontId="4" fillId="9" borderId="7" xfId="0" applyFont="1" applyFill="1" applyBorder="1" applyAlignment="1" applyProtection="1">
      <alignment horizontal="left" vertical="center"/>
      <protection locked="0"/>
    </xf>
    <xf numFmtId="0" fontId="22" fillId="0" borderId="0" xfId="0" applyFont="1" applyAlignment="1">
      <alignment vertical="center"/>
    </xf>
    <xf numFmtId="0" fontId="23" fillId="0" borderId="0" xfId="0" applyFont="1" applyAlignment="1">
      <alignment vertical="center"/>
    </xf>
    <xf numFmtId="2" fontId="4" fillId="9" borderId="7" xfId="0" applyNumberFormat="1" applyFont="1" applyFill="1" applyBorder="1" applyAlignment="1" applyProtection="1">
      <alignment horizontal="center" vertical="center"/>
      <protection locked="0"/>
    </xf>
    <xf numFmtId="11" fontId="4" fillId="9" borderId="7" xfId="0" applyNumberFormat="1" applyFont="1" applyFill="1" applyBorder="1" applyAlignment="1" applyProtection="1">
      <alignment horizontal="center" vertical="center"/>
      <protection locked="0"/>
    </xf>
    <xf numFmtId="2" fontId="24" fillId="2" borderId="7" xfId="0" applyNumberFormat="1" applyFont="1" applyFill="1" applyBorder="1" applyAlignment="1" applyProtection="1">
      <alignment horizontal="center" vertical="center"/>
      <protection hidden="1"/>
    </xf>
    <xf numFmtId="10" fontId="24" fillId="2" borderId="7" xfId="0" applyNumberFormat="1" applyFont="1" applyFill="1" applyBorder="1" applyAlignment="1" applyProtection="1">
      <alignment horizontal="center" vertical="center"/>
      <protection hidden="1"/>
    </xf>
    <xf numFmtId="11" fontId="24" fillId="2" borderId="7" xfId="0" applyNumberFormat="1" applyFont="1" applyFill="1" applyBorder="1" applyAlignment="1" applyProtection="1">
      <alignment horizontal="center" vertical="center"/>
      <protection hidden="1"/>
    </xf>
    <xf numFmtId="2" fontId="1" fillId="9" borderId="7" xfId="0" applyNumberFormat="1" applyFont="1" applyFill="1" applyBorder="1" applyAlignment="1" applyProtection="1">
      <alignment horizontal="center" vertical="center"/>
      <protection locked="0"/>
    </xf>
    <xf numFmtId="11" fontId="1" fillId="9" borderId="7" xfId="0" applyNumberFormat="1" applyFont="1" applyFill="1" applyBorder="1" applyAlignment="1" applyProtection="1">
      <alignment horizontal="center" vertical="center"/>
      <protection locked="0"/>
    </xf>
    <xf numFmtId="2" fontId="1" fillId="2" borderId="7" xfId="0" applyNumberFormat="1" applyFont="1" applyFill="1" applyBorder="1" applyAlignment="1" applyProtection="1">
      <alignment horizontal="center" vertical="center"/>
      <protection hidden="1"/>
    </xf>
    <xf numFmtId="10" fontId="1" fillId="2" borderId="7" xfId="0" applyNumberFormat="1" applyFont="1" applyFill="1" applyBorder="1" applyAlignment="1" applyProtection="1">
      <alignment horizontal="center" vertical="center"/>
      <protection hidden="1"/>
    </xf>
    <xf numFmtId="0" fontId="14" fillId="3" borderId="1" xfId="0" applyFont="1" applyFill="1" applyBorder="1" applyAlignment="1">
      <alignment horizontal="center" vertical="center"/>
    </xf>
    <xf numFmtId="0" fontId="14" fillId="3" borderId="2" xfId="0" applyFont="1" applyFill="1" applyBorder="1" applyAlignment="1">
      <alignment horizontal="center" vertical="center"/>
    </xf>
    <xf numFmtId="0" fontId="14" fillId="3" borderId="3" xfId="0" applyFont="1" applyFill="1" applyBorder="1" applyAlignment="1">
      <alignment horizontal="center" vertical="center"/>
    </xf>
    <xf numFmtId="0" fontId="14" fillId="3" borderId="13" xfId="0" applyFont="1" applyFill="1" applyBorder="1" applyAlignment="1">
      <alignment horizontal="center" vertical="center"/>
    </xf>
    <xf numFmtId="0" fontId="14" fillId="3" borderId="0" xfId="0" applyFont="1" applyFill="1" applyAlignment="1">
      <alignment horizontal="center" vertical="center"/>
    </xf>
    <xf numFmtId="0" fontId="14" fillId="3" borderId="14" xfId="0" applyFont="1" applyFill="1" applyBorder="1" applyAlignment="1">
      <alignment horizontal="center" vertical="center"/>
    </xf>
    <xf numFmtId="0" fontId="14" fillId="3" borderId="4" xfId="0" applyFont="1" applyFill="1" applyBorder="1" applyAlignment="1">
      <alignment horizontal="center" vertical="center"/>
    </xf>
    <xf numFmtId="0" fontId="14" fillId="3" borderId="5" xfId="0" applyFont="1" applyFill="1" applyBorder="1" applyAlignment="1">
      <alignment horizontal="center" vertical="center"/>
    </xf>
    <xf numFmtId="0" fontId="14" fillId="3" borderId="6" xfId="0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center"/>
    </xf>
    <xf numFmtId="0" fontId="14" fillId="3" borderId="2" xfId="0" applyFont="1" applyFill="1" applyBorder="1" applyAlignment="1">
      <alignment horizontal="center"/>
    </xf>
    <xf numFmtId="0" fontId="14" fillId="3" borderId="3" xfId="0" applyFont="1" applyFill="1" applyBorder="1" applyAlignment="1">
      <alignment horizontal="center"/>
    </xf>
    <xf numFmtId="0" fontId="5" fillId="2" borderId="1" xfId="0" applyFont="1" applyFill="1" applyBorder="1" applyAlignment="1" applyProtection="1">
      <alignment horizontal="center" vertical="center"/>
      <protection hidden="1"/>
    </xf>
    <xf numFmtId="0" fontId="5" fillId="2" borderId="2" xfId="0" applyFont="1" applyFill="1" applyBorder="1" applyAlignment="1" applyProtection="1">
      <alignment horizontal="center" vertical="center"/>
      <protection hidden="1"/>
    </xf>
    <xf numFmtId="0" fontId="5" fillId="2" borderId="3" xfId="0" applyFont="1" applyFill="1" applyBorder="1" applyAlignment="1" applyProtection="1">
      <alignment horizontal="center" vertical="center"/>
      <protection hidden="1"/>
    </xf>
    <xf numFmtId="0" fontId="5" fillId="2" borderId="13" xfId="0" applyFont="1" applyFill="1" applyBorder="1" applyAlignment="1" applyProtection="1">
      <alignment horizontal="center" vertical="center"/>
      <protection hidden="1"/>
    </xf>
    <xf numFmtId="0" fontId="5" fillId="2" borderId="0" xfId="0" applyFont="1" applyFill="1" applyAlignment="1" applyProtection="1">
      <alignment horizontal="center" vertical="center"/>
      <protection hidden="1"/>
    </xf>
    <xf numFmtId="0" fontId="5" fillId="2" borderId="14" xfId="0" applyFont="1" applyFill="1" applyBorder="1" applyAlignment="1" applyProtection="1">
      <alignment horizontal="center" vertical="center"/>
      <protection hidden="1"/>
    </xf>
    <xf numFmtId="0" fontId="5" fillId="2" borderId="4" xfId="0" applyFont="1" applyFill="1" applyBorder="1" applyAlignment="1" applyProtection="1">
      <alignment horizontal="center" vertical="center"/>
      <protection hidden="1"/>
    </xf>
    <xf numFmtId="0" fontId="5" fillId="2" borderId="5" xfId="0" applyFont="1" applyFill="1" applyBorder="1" applyAlignment="1" applyProtection="1">
      <alignment horizontal="center" vertical="center"/>
      <protection hidden="1"/>
    </xf>
    <xf numFmtId="0" fontId="5" fillId="2" borderId="6" xfId="0" applyFont="1" applyFill="1" applyBorder="1" applyAlignment="1" applyProtection="1">
      <alignment horizontal="center" vertical="center"/>
      <protection hidden="1"/>
    </xf>
    <xf numFmtId="0" fontId="9" fillId="0" borderId="15" xfId="0" applyFont="1" applyBorder="1" applyAlignment="1" applyProtection="1">
      <alignment horizontal="center" vertical="center"/>
      <protection hidden="1"/>
    </xf>
    <xf numFmtId="0" fontId="9" fillId="0" borderId="16" xfId="0" applyFont="1" applyBorder="1" applyAlignment="1" applyProtection="1">
      <alignment horizontal="center" vertical="center"/>
      <protection hidden="1"/>
    </xf>
    <xf numFmtId="0" fontId="9" fillId="0" borderId="17" xfId="0" applyFont="1" applyBorder="1" applyAlignment="1" applyProtection="1">
      <alignment horizontal="center" vertical="center"/>
      <protection hidden="1"/>
    </xf>
    <xf numFmtId="0" fontId="1" fillId="5" borderId="25" xfId="0" applyFont="1" applyFill="1" applyBorder="1" applyAlignment="1">
      <alignment horizontal="center" vertical="center"/>
    </xf>
    <xf numFmtId="0" fontId="1" fillId="5" borderId="24" xfId="0" applyFont="1" applyFill="1" applyBorder="1" applyAlignment="1">
      <alignment horizontal="center" vertical="center"/>
    </xf>
    <xf numFmtId="0" fontId="1" fillId="5" borderId="26" xfId="0" applyFont="1" applyFill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4" fillId="0" borderId="7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13" xfId="0" applyFont="1" applyFill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5" fillId="4" borderId="14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wrapText="1"/>
    </xf>
    <xf numFmtId="0" fontId="10" fillId="0" borderId="12" xfId="0" applyFont="1" applyBorder="1" applyAlignment="1">
      <alignment horizontal="center" wrapText="1"/>
    </xf>
    <xf numFmtId="0" fontId="10" fillId="0" borderId="27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4" fillId="0" borderId="8" xfId="0" applyFont="1" applyBorder="1" applyAlignment="1" applyProtection="1">
      <alignment horizontal="center"/>
      <protection hidden="1"/>
    </xf>
    <xf numFmtId="0" fontId="4" fillId="0" borderId="10" xfId="0" applyFont="1" applyBorder="1" applyAlignment="1" applyProtection="1">
      <alignment horizontal="center"/>
      <protection hidden="1"/>
    </xf>
    <xf numFmtId="0" fontId="4" fillId="0" borderId="9" xfId="0" applyFont="1" applyBorder="1" applyAlignment="1" applyProtection="1">
      <alignment horizontal="center"/>
      <protection hidden="1"/>
    </xf>
    <xf numFmtId="0" fontId="1" fillId="0" borderId="8" xfId="0" applyFont="1" applyBorder="1" applyAlignment="1" applyProtection="1">
      <alignment horizontal="center"/>
      <protection hidden="1"/>
    </xf>
    <xf numFmtId="0" fontId="1" fillId="0" borderId="10" xfId="0" applyFont="1" applyBorder="1" applyAlignment="1" applyProtection="1">
      <alignment horizontal="center"/>
      <protection hidden="1"/>
    </xf>
    <xf numFmtId="0" fontId="1" fillId="0" borderId="9" xfId="0" applyFont="1" applyBorder="1" applyAlignment="1" applyProtection="1">
      <alignment horizontal="center"/>
      <protection hidden="1"/>
    </xf>
    <xf numFmtId="0" fontId="7" fillId="0" borderId="8" xfId="0" applyFont="1" applyBorder="1" applyAlignment="1" applyProtection="1">
      <alignment horizontal="center" vertical="center"/>
      <protection hidden="1"/>
    </xf>
    <xf numFmtId="0" fontId="7" fillId="0" borderId="10" xfId="0" applyFont="1" applyBorder="1" applyAlignment="1" applyProtection="1">
      <alignment horizontal="center" vertical="center"/>
      <protection hidden="1"/>
    </xf>
    <xf numFmtId="0" fontId="7" fillId="0" borderId="9" xfId="0" applyFont="1" applyBorder="1" applyAlignment="1" applyProtection="1">
      <alignment horizontal="center" vertical="center"/>
      <protection hidden="1"/>
    </xf>
    <xf numFmtId="0" fontId="0" fillId="0" borderId="0" xfId="0" applyAlignment="1">
      <alignment horizontal="center"/>
    </xf>
    <xf numFmtId="0" fontId="10" fillId="0" borderId="27" xfId="0" applyFont="1" applyBorder="1" applyAlignment="1" applyProtection="1">
      <alignment horizontal="center" vertical="center" wrapText="1"/>
      <protection hidden="1"/>
    </xf>
    <xf numFmtId="0" fontId="10" fillId="0" borderId="12" xfId="0" applyFont="1" applyBorder="1" applyAlignment="1" applyProtection="1">
      <alignment horizontal="center" vertical="center" wrapText="1"/>
      <protection hidden="1"/>
    </xf>
    <xf numFmtId="0" fontId="10" fillId="0" borderId="11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9" fillId="0" borderId="21" xfId="0" applyFont="1" applyBorder="1" applyAlignment="1" applyProtection="1">
      <alignment horizontal="center" vertical="center"/>
      <protection hidden="1"/>
    </xf>
    <xf numFmtId="0" fontId="9" fillId="0" borderId="2" xfId="0" applyFont="1" applyBorder="1" applyAlignment="1" applyProtection="1">
      <alignment horizontal="center" vertical="center"/>
      <protection hidden="1"/>
    </xf>
    <xf numFmtId="0" fontId="9" fillId="0" borderId="22" xfId="0" applyFont="1" applyBorder="1" applyAlignment="1" applyProtection="1">
      <alignment horizontal="center" vertical="center"/>
      <protection hidden="1"/>
    </xf>
    <xf numFmtId="0" fontId="9" fillId="0" borderId="18" xfId="0" applyFont="1" applyBorder="1" applyAlignment="1" applyProtection="1">
      <alignment horizontal="center" vertical="center"/>
      <protection hidden="1"/>
    </xf>
    <xf numFmtId="0" fontId="9" fillId="0" borderId="19" xfId="0" applyFont="1" applyBorder="1" applyAlignment="1" applyProtection="1">
      <alignment horizontal="center" vertical="center"/>
      <protection hidden="1"/>
    </xf>
    <xf numFmtId="0" fontId="9" fillId="0" borderId="20" xfId="0" applyFont="1" applyBorder="1" applyAlignment="1" applyProtection="1">
      <alignment horizontal="center" vertical="center"/>
      <protection hidden="1"/>
    </xf>
    <xf numFmtId="0" fontId="1" fillId="5" borderId="25" xfId="0" applyFont="1" applyFill="1" applyBorder="1" applyAlignment="1" applyProtection="1">
      <alignment horizontal="center" vertical="center"/>
      <protection hidden="1"/>
    </xf>
    <xf numFmtId="0" fontId="1" fillId="5" borderId="24" xfId="0" applyFont="1" applyFill="1" applyBorder="1" applyAlignment="1" applyProtection="1">
      <alignment horizontal="center" vertical="center"/>
      <protection hidden="1"/>
    </xf>
    <xf numFmtId="0" fontId="1" fillId="5" borderId="26" xfId="0" applyFont="1" applyFill="1" applyBorder="1" applyAlignment="1" applyProtection="1">
      <alignment horizontal="center" vertical="center"/>
      <protection hidden="1"/>
    </xf>
    <xf numFmtId="2" fontId="12" fillId="0" borderId="27" xfId="0" applyNumberFormat="1" applyFont="1" applyBorder="1" applyAlignment="1" applyProtection="1">
      <alignment horizontal="center" vertical="center" wrapText="1"/>
      <protection hidden="1"/>
    </xf>
    <xf numFmtId="2" fontId="12" fillId="0" borderId="12" xfId="0" applyNumberFormat="1" applyFont="1" applyBorder="1" applyAlignment="1" applyProtection="1">
      <alignment horizontal="center" vertical="center" wrapText="1"/>
      <protection hidden="1"/>
    </xf>
    <xf numFmtId="0" fontId="1" fillId="0" borderId="7" xfId="0" applyFont="1" applyBorder="1" applyAlignment="1" applyProtection="1">
      <alignment horizontal="center"/>
      <protection hidden="1"/>
    </xf>
    <xf numFmtId="0" fontId="1" fillId="4" borderId="7" xfId="0" applyFont="1" applyFill="1" applyBorder="1" applyAlignment="1" applyProtection="1">
      <alignment horizontal="left" vertical="center"/>
      <protection locked="0"/>
    </xf>
    <xf numFmtId="2" fontId="1" fillId="4" borderId="7" xfId="0" applyNumberFormat="1" applyFont="1" applyFill="1" applyBorder="1" applyAlignment="1" applyProtection="1">
      <alignment horizontal="center" vertical="center"/>
      <protection locked="0"/>
    </xf>
    <xf numFmtId="11" fontId="1" fillId="4" borderId="7" xfId="0" applyNumberFormat="1" applyFont="1" applyFill="1" applyBorder="1" applyAlignment="1" applyProtection="1">
      <alignment horizontal="center" vertical="center"/>
      <protection locked="0"/>
    </xf>
  </cellXfs>
  <cellStyles count="2">
    <cellStyle name="一般" xfId="0" builtinId="0"/>
    <cellStyle name="一般 2" xfId="1" xr:uid="{EAD913AB-B22E-45C0-B24F-41FAA7E034FC}"/>
  </cellStyles>
  <dxfs count="0"/>
  <tableStyles count="0" defaultTableStyle="TableStyleMedium2" defaultPivotStyle="PivotStyleLight16"/>
  <colors>
    <mruColors>
      <color rgb="FFD8E4B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tiff"/></Relationships>
</file>

<file path=xl/drawings/_rels/vmlDrawing1.v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13" Type="http://schemas.openxmlformats.org/officeDocument/2006/relationships/image" Target="../media/image13.emf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12" Type="http://schemas.openxmlformats.org/officeDocument/2006/relationships/image" Target="../media/image12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1" Type="http://schemas.openxmlformats.org/officeDocument/2006/relationships/image" Target="../media/image11.emf"/><Relationship Id="rId5" Type="http://schemas.openxmlformats.org/officeDocument/2006/relationships/image" Target="../media/image5.emf"/><Relationship Id="rId15" Type="http://schemas.openxmlformats.org/officeDocument/2006/relationships/image" Target="../media/image15.emf"/><Relationship Id="rId10" Type="http://schemas.openxmlformats.org/officeDocument/2006/relationships/image" Target="../media/image10.emf"/><Relationship Id="rId4" Type="http://schemas.openxmlformats.org/officeDocument/2006/relationships/image" Target="../media/image4.emf"/><Relationship Id="rId9" Type="http://schemas.openxmlformats.org/officeDocument/2006/relationships/image" Target="../media/image9.emf"/><Relationship Id="rId14" Type="http://schemas.openxmlformats.org/officeDocument/2006/relationships/image" Target="../media/image1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781229</xdr:colOff>
      <xdr:row>4</xdr:row>
      <xdr:rowOff>29633</xdr:rowOff>
    </xdr:from>
    <xdr:to>
      <xdr:col>7</xdr:col>
      <xdr:colOff>247646</xdr:colOff>
      <xdr:row>23</xdr:row>
      <xdr:rowOff>180312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88146" y="844550"/>
          <a:ext cx="4176000" cy="4284000"/>
        </a:xfrm>
        <a:prstGeom prst="rect">
          <a:avLst/>
        </a:prstGeom>
        <a:noFill/>
        <a:ln>
          <a:noFill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190500</xdr:colOff>
          <xdr:row>4</xdr:row>
          <xdr:rowOff>133350</xdr:rowOff>
        </xdr:from>
        <xdr:to>
          <xdr:col>21</xdr:col>
          <xdr:colOff>104775</xdr:colOff>
          <xdr:row>5</xdr:row>
          <xdr:rowOff>304800</xdr:rowOff>
        </xdr:to>
        <xdr:sp macro="" textlink="">
          <xdr:nvSpPr>
            <xdr:cNvPr id="1027" name="Object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552450</xdr:colOff>
          <xdr:row>6</xdr:row>
          <xdr:rowOff>9525</xdr:rowOff>
        </xdr:from>
        <xdr:to>
          <xdr:col>21</xdr:col>
          <xdr:colOff>1304925</xdr:colOff>
          <xdr:row>7</xdr:row>
          <xdr:rowOff>180975</xdr:rowOff>
        </xdr:to>
        <xdr:sp macro="" textlink="">
          <xdr:nvSpPr>
            <xdr:cNvPr id="1028" name="Object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409575</xdr:colOff>
          <xdr:row>8</xdr:row>
          <xdr:rowOff>38100</xdr:rowOff>
        </xdr:from>
        <xdr:to>
          <xdr:col>21</xdr:col>
          <xdr:colOff>762000</xdr:colOff>
          <xdr:row>10</xdr:row>
          <xdr:rowOff>9525</xdr:rowOff>
        </xdr:to>
        <xdr:sp macro="" textlink="">
          <xdr:nvSpPr>
            <xdr:cNvPr id="1029" name="Object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0</xdr:colOff>
          <xdr:row>10</xdr:row>
          <xdr:rowOff>123825</xdr:rowOff>
        </xdr:from>
        <xdr:to>
          <xdr:col>21</xdr:col>
          <xdr:colOff>1933575</xdr:colOff>
          <xdr:row>12</xdr:row>
          <xdr:rowOff>66675</xdr:rowOff>
        </xdr:to>
        <xdr:sp macro="" textlink="">
          <xdr:nvSpPr>
            <xdr:cNvPr id="1030" name="Object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333375</xdr:colOff>
          <xdr:row>13</xdr:row>
          <xdr:rowOff>57150</xdr:rowOff>
        </xdr:from>
        <xdr:to>
          <xdr:col>21</xdr:col>
          <xdr:colOff>1695450</xdr:colOff>
          <xdr:row>13</xdr:row>
          <xdr:rowOff>381000</xdr:rowOff>
        </xdr:to>
        <xdr:sp macro="" textlink="">
          <xdr:nvSpPr>
            <xdr:cNvPr id="1031" name="Object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447675</xdr:colOff>
          <xdr:row>14</xdr:row>
          <xdr:rowOff>57150</xdr:rowOff>
        </xdr:from>
        <xdr:to>
          <xdr:col>21</xdr:col>
          <xdr:colOff>1543050</xdr:colOff>
          <xdr:row>15</xdr:row>
          <xdr:rowOff>152400</xdr:rowOff>
        </xdr:to>
        <xdr:sp macro="" textlink="">
          <xdr:nvSpPr>
            <xdr:cNvPr id="1032" name="Object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542925</xdr:colOff>
          <xdr:row>16</xdr:row>
          <xdr:rowOff>161925</xdr:rowOff>
        </xdr:from>
        <xdr:to>
          <xdr:col>21</xdr:col>
          <xdr:colOff>1476375</xdr:colOff>
          <xdr:row>18</xdr:row>
          <xdr:rowOff>104775</xdr:rowOff>
        </xdr:to>
        <xdr:sp macro="" textlink="">
          <xdr:nvSpPr>
            <xdr:cNvPr id="1033" name="Object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695325</xdr:colOff>
          <xdr:row>19</xdr:row>
          <xdr:rowOff>9525</xdr:rowOff>
        </xdr:from>
        <xdr:to>
          <xdr:col>21</xdr:col>
          <xdr:colOff>485775</xdr:colOff>
          <xdr:row>21</xdr:row>
          <xdr:rowOff>180975</xdr:rowOff>
        </xdr:to>
        <xdr:sp macro="" textlink="">
          <xdr:nvSpPr>
            <xdr:cNvPr id="1034" name="Object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752475</xdr:colOff>
          <xdr:row>22</xdr:row>
          <xdr:rowOff>9525</xdr:rowOff>
        </xdr:from>
        <xdr:to>
          <xdr:col>21</xdr:col>
          <xdr:colOff>542925</xdr:colOff>
          <xdr:row>24</xdr:row>
          <xdr:rowOff>190500</xdr:rowOff>
        </xdr:to>
        <xdr:sp macro="" textlink="">
          <xdr:nvSpPr>
            <xdr:cNvPr id="1035" name="Object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400050</xdr:colOff>
          <xdr:row>25</xdr:row>
          <xdr:rowOff>47625</xdr:rowOff>
        </xdr:from>
        <xdr:to>
          <xdr:col>20</xdr:col>
          <xdr:colOff>742950</xdr:colOff>
          <xdr:row>26</xdr:row>
          <xdr:rowOff>152400</xdr:rowOff>
        </xdr:to>
        <xdr:sp macro="" textlink="">
          <xdr:nvSpPr>
            <xdr:cNvPr id="1037" name="Object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0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323850</xdr:colOff>
          <xdr:row>27</xdr:row>
          <xdr:rowOff>114300</xdr:rowOff>
        </xdr:from>
        <xdr:to>
          <xdr:col>21</xdr:col>
          <xdr:colOff>1962150</xdr:colOff>
          <xdr:row>30</xdr:row>
          <xdr:rowOff>123825</xdr:rowOff>
        </xdr:to>
        <xdr:sp macro="" textlink="">
          <xdr:nvSpPr>
            <xdr:cNvPr id="1038" name="Object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180975</xdr:colOff>
          <xdr:row>31</xdr:row>
          <xdr:rowOff>123825</xdr:rowOff>
        </xdr:from>
        <xdr:to>
          <xdr:col>21</xdr:col>
          <xdr:colOff>1762125</xdr:colOff>
          <xdr:row>34</xdr:row>
          <xdr:rowOff>171450</xdr:rowOff>
        </xdr:to>
        <xdr:sp macro="" textlink="">
          <xdr:nvSpPr>
            <xdr:cNvPr id="1039" name="Object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666750</xdr:colOff>
          <xdr:row>35</xdr:row>
          <xdr:rowOff>76200</xdr:rowOff>
        </xdr:from>
        <xdr:to>
          <xdr:col>21</xdr:col>
          <xdr:colOff>685800</xdr:colOff>
          <xdr:row>38</xdr:row>
          <xdr:rowOff>133350</xdr:rowOff>
        </xdr:to>
        <xdr:sp macro="" textlink="">
          <xdr:nvSpPr>
            <xdr:cNvPr id="1040" name="Object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0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676275</xdr:colOff>
          <xdr:row>42</xdr:row>
          <xdr:rowOff>76200</xdr:rowOff>
        </xdr:from>
        <xdr:to>
          <xdr:col>21</xdr:col>
          <xdr:colOff>704850</xdr:colOff>
          <xdr:row>45</xdr:row>
          <xdr:rowOff>133350</xdr:rowOff>
        </xdr:to>
        <xdr:sp macro="" textlink="">
          <xdr:nvSpPr>
            <xdr:cNvPr id="1042" name="Object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0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457200</xdr:colOff>
          <xdr:row>39</xdr:row>
          <xdr:rowOff>133350</xdr:rowOff>
        </xdr:from>
        <xdr:to>
          <xdr:col>21</xdr:col>
          <xdr:colOff>209550</xdr:colOff>
          <xdr:row>41</xdr:row>
          <xdr:rowOff>57150</xdr:rowOff>
        </xdr:to>
        <xdr:sp macro="" textlink="">
          <xdr:nvSpPr>
            <xdr:cNvPr id="1043" name="Object 19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00000000-0008-0000-0000-00001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5.emf"/><Relationship Id="rId18" Type="http://schemas.openxmlformats.org/officeDocument/2006/relationships/oleObject" Target="../embeddings/oleObject8.bin"/><Relationship Id="rId26" Type="http://schemas.openxmlformats.org/officeDocument/2006/relationships/oleObject" Target="../embeddings/oleObject12.bin"/><Relationship Id="rId3" Type="http://schemas.openxmlformats.org/officeDocument/2006/relationships/vmlDrawing" Target="../drawings/vmlDrawing1.vml"/><Relationship Id="rId21" Type="http://schemas.openxmlformats.org/officeDocument/2006/relationships/image" Target="../media/image9.emf"/><Relationship Id="rId7" Type="http://schemas.openxmlformats.org/officeDocument/2006/relationships/image" Target="../media/image2.emf"/><Relationship Id="rId12" Type="http://schemas.openxmlformats.org/officeDocument/2006/relationships/oleObject" Target="../embeddings/oleObject5.bin"/><Relationship Id="rId17" Type="http://schemas.openxmlformats.org/officeDocument/2006/relationships/image" Target="../media/image7.emf"/><Relationship Id="rId25" Type="http://schemas.openxmlformats.org/officeDocument/2006/relationships/image" Target="../media/image11.emf"/><Relationship Id="rId33" Type="http://schemas.openxmlformats.org/officeDocument/2006/relationships/image" Target="../media/image15.emf"/><Relationship Id="rId2" Type="http://schemas.openxmlformats.org/officeDocument/2006/relationships/drawing" Target="../drawings/drawing1.xml"/><Relationship Id="rId16" Type="http://schemas.openxmlformats.org/officeDocument/2006/relationships/oleObject" Target="../embeddings/oleObject7.bin"/><Relationship Id="rId20" Type="http://schemas.openxmlformats.org/officeDocument/2006/relationships/oleObject" Target="../embeddings/oleObject9.bin"/><Relationship Id="rId29" Type="http://schemas.openxmlformats.org/officeDocument/2006/relationships/image" Target="../media/image13.emf"/><Relationship Id="rId1" Type="http://schemas.openxmlformats.org/officeDocument/2006/relationships/printerSettings" Target="../printerSettings/printerSettings1.bin"/><Relationship Id="rId6" Type="http://schemas.openxmlformats.org/officeDocument/2006/relationships/oleObject" Target="../embeddings/oleObject2.bin"/><Relationship Id="rId11" Type="http://schemas.openxmlformats.org/officeDocument/2006/relationships/image" Target="../media/image4.emf"/><Relationship Id="rId24" Type="http://schemas.openxmlformats.org/officeDocument/2006/relationships/oleObject" Target="../embeddings/oleObject11.bin"/><Relationship Id="rId32" Type="http://schemas.openxmlformats.org/officeDocument/2006/relationships/oleObject" Target="../embeddings/oleObject15.bin"/><Relationship Id="rId5" Type="http://schemas.openxmlformats.org/officeDocument/2006/relationships/image" Target="../media/image1.emf"/><Relationship Id="rId15" Type="http://schemas.openxmlformats.org/officeDocument/2006/relationships/image" Target="../media/image6.emf"/><Relationship Id="rId23" Type="http://schemas.openxmlformats.org/officeDocument/2006/relationships/image" Target="../media/image10.emf"/><Relationship Id="rId28" Type="http://schemas.openxmlformats.org/officeDocument/2006/relationships/oleObject" Target="../embeddings/oleObject13.bin"/><Relationship Id="rId10" Type="http://schemas.openxmlformats.org/officeDocument/2006/relationships/oleObject" Target="../embeddings/oleObject4.bin"/><Relationship Id="rId19" Type="http://schemas.openxmlformats.org/officeDocument/2006/relationships/image" Target="../media/image8.emf"/><Relationship Id="rId31" Type="http://schemas.openxmlformats.org/officeDocument/2006/relationships/image" Target="../media/image14.emf"/><Relationship Id="rId4" Type="http://schemas.openxmlformats.org/officeDocument/2006/relationships/oleObject" Target="../embeddings/oleObject1.bin"/><Relationship Id="rId9" Type="http://schemas.openxmlformats.org/officeDocument/2006/relationships/image" Target="../media/image3.emf"/><Relationship Id="rId14" Type="http://schemas.openxmlformats.org/officeDocument/2006/relationships/oleObject" Target="../embeddings/oleObject6.bin"/><Relationship Id="rId22" Type="http://schemas.openxmlformats.org/officeDocument/2006/relationships/oleObject" Target="../embeddings/oleObject10.bin"/><Relationship Id="rId27" Type="http://schemas.openxmlformats.org/officeDocument/2006/relationships/image" Target="../media/image12.emf"/><Relationship Id="rId30" Type="http://schemas.openxmlformats.org/officeDocument/2006/relationships/oleObject" Target="../embeddings/oleObject14.bin"/><Relationship Id="rId8" Type="http://schemas.openxmlformats.org/officeDocument/2006/relationships/oleObject" Target="../embeddings/oleObject3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297"/>
  <sheetViews>
    <sheetView topLeftCell="A4" zoomScale="90" zoomScaleNormal="90" workbookViewId="0">
      <selection activeCell="L17" sqref="L17:N17"/>
    </sheetView>
  </sheetViews>
  <sheetFormatPr defaultColWidth="10.85546875" defaultRowHeight="15" x14ac:dyDescent="0.45"/>
  <cols>
    <col min="1" max="1" width="4.5703125" customWidth="1"/>
    <col min="2" max="2" width="13.42578125" customWidth="1"/>
    <col min="9" max="9" width="4.7109375" customWidth="1"/>
    <col min="11" max="11" width="21.5703125" bestFit="1" customWidth="1"/>
    <col min="12" max="12" width="17.42578125" customWidth="1"/>
    <col min="13" max="13" width="16.140625" customWidth="1"/>
    <col min="14" max="14" width="16.5703125" customWidth="1"/>
    <col min="16" max="16" width="4.85546875" customWidth="1"/>
    <col min="22" max="22" width="29.5703125" customWidth="1"/>
  </cols>
  <sheetData>
    <row r="1" spans="1:32" ht="15.4" thickBot="1" x14ac:dyDescent="0.5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</row>
    <row r="2" spans="1:32" ht="17.649999999999999" x14ac:dyDescent="0.5">
      <c r="A2" s="7"/>
      <c r="B2" s="113" t="s">
        <v>59</v>
      </c>
      <c r="C2" s="114"/>
      <c r="D2" s="114"/>
      <c r="E2" s="114"/>
      <c r="F2" s="114"/>
      <c r="G2" s="114"/>
      <c r="H2" s="115"/>
      <c r="I2" s="7"/>
      <c r="J2" s="104" t="s">
        <v>58</v>
      </c>
      <c r="K2" s="105"/>
      <c r="L2" s="105"/>
      <c r="M2" s="105"/>
      <c r="N2" s="105"/>
      <c r="O2" s="106"/>
      <c r="P2" s="7"/>
      <c r="Q2" s="104" t="s">
        <v>60</v>
      </c>
      <c r="R2" s="105"/>
      <c r="S2" s="105"/>
      <c r="T2" s="105"/>
      <c r="U2" s="105"/>
      <c r="V2" s="106"/>
      <c r="W2" s="7"/>
      <c r="X2" s="7"/>
      <c r="Y2" s="7"/>
      <c r="Z2" s="7"/>
      <c r="AA2" s="7"/>
      <c r="AB2" s="7"/>
      <c r="AC2" s="7"/>
      <c r="AD2" s="7"/>
      <c r="AE2" s="7"/>
      <c r="AF2" s="7"/>
    </row>
    <row r="3" spans="1:32" x14ac:dyDescent="0.45">
      <c r="A3" s="7"/>
      <c r="B3" s="25" t="s">
        <v>0</v>
      </c>
      <c r="C3" s="26" t="s">
        <v>1</v>
      </c>
      <c r="D3" s="26"/>
      <c r="E3" s="26"/>
      <c r="F3" s="26"/>
      <c r="G3" s="26"/>
      <c r="H3" s="27"/>
      <c r="I3" s="7"/>
      <c r="J3" s="107"/>
      <c r="K3" s="108"/>
      <c r="L3" s="108"/>
      <c r="M3" s="108"/>
      <c r="N3" s="108"/>
      <c r="O3" s="109"/>
      <c r="P3" s="7"/>
      <c r="Q3" s="107"/>
      <c r="R3" s="108"/>
      <c r="S3" s="108"/>
      <c r="T3" s="108"/>
      <c r="U3" s="108"/>
      <c r="V3" s="109"/>
      <c r="W3" s="7"/>
      <c r="X3" s="7"/>
      <c r="Y3" s="7"/>
      <c r="Z3" s="7"/>
      <c r="AA3" s="7"/>
      <c r="AB3" s="7"/>
      <c r="AC3" s="7"/>
      <c r="AD3" s="7"/>
      <c r="AE3" s="7"/>
      <c r="AF3" s="7"/>
    </row>
    <row r="4" spans="1:32" ht="15" customHeight="1" thickBot="1" x14ac:dyDescent="0.5">
      <c r="A4" s="7"/>
      <c r="B4" s="28"/>
      <c r="C4" s="29" t="s">
        <v>2</v>
      </c>
      <c r="D4" s="30"/>
      <c r="E4" s="30"/>
      <c r="F4" s="30"/>
      <c r="G4" s="29"/>
      <c r="H4" s="31"/>
      <c r="I4" s="7"/>
      <c r="J4" s="110"/>
      <c r="K4" s="111"/>
      <c r="L4" s="111"/>
      <c r="M4" s="111"/>
      <c r="N4" s="111"/>
      <c r="O4" s="112"/>
      <c r="P4" s="7"/>
      <c r="Q4" s="110"/>
      <c r="R4" s="111"/>
      <c r="S4" s="111"/>
      <c r="T4" s="111"/>
      <c r="U4" s="111"/>
      <c r="V4" s="112"/>
      <c r="W4" s="7"/>
      <c r="X4" s="7"/>
      <c r="Y4" s="7"/>
      <c r="Z4" s="7"/>
      <c r="AA4" s="7"/>
      <c r="AB4" s="7"/>
      <c r="AC4" s="7"/>
      <c r="AD4" s="7"/>
      <c r="AE4" s="7"/>
      <c r="AF4" s="7"/>
    </row>
    <row r="5" spans="1:32" ht="15" customHeight="1" x14ac:dyDescent="0.45">
      <c r="A5" s="7"/>
      <c r="B5" s="20"/>
      <c r="C5" s="1"/>
      <c r="D5" s="21"/>
      <c r="E5" s="21"/>
      <c r="F5" s="21"/>
      <c r="G5" s="1"/>
      <c r="H5" s="2"/>
      <c r="I5" s="7"/>
      <c r="J5" s="17"/>
      <c r="K5" s="18"/>
      <c r="L5" s="18"/>
      <c r="M5" s="18"/>
      <c r="N5" s="18"/>
      <c r="O5" s="19"/>
      <c r="P5" s="7"/>
      <c r="Q5" s="60"/>
      <c r="R5" s="61"/>
      <c r="S5" s="61"/>
      <c r="T5" s="61"/>
      <c r="U5" s="61"/>
      <c r="V5" s="62"/>
      <c r="W5" s="7"/>
      <c r="X5" s="7"/>
      <c r="Y5" s="7"/>
      <c r="Z5" s="7"/>
      <c r="AA5" s="7"/>
      <c r="AB5" s="7"/>
      <c r="AC5" s="7"/>
      <c r="AD5" s="7"/>
      <c r="AE5" s="7"/>
      <c r="AF5" s="7"/>
    </row>
    <row r="6" spans="1:32" ht="31.5" customHeight="1" thickBot="1" x14ac:dyDescent="0.5">
      <c r="A6" s="7"/>
      <c r="B6" s="22"/>
      <c r="C6" s="23"/>
      <c r="D6" s="23"/>
      <c r="E6" s="23"/>
      <c r="F6" s="23"/>
      <c r="G6" s="7"/>
      <c r="H6" s="15"/>
      <c r="I6" s="7"/>
      <c r="J6" s="12"/>
      <c r="K6" s="35" t="s">
        <v>22</v>
      </c>
      <c r="L6" s="36" t="s">
        <v>23</v>
      </c>
      <c r="M6" s="36" t="s">
        <v>27</v>
      </c>
      <c r="N6" s="14"/>
      <c r="O6" s="15"/>
      <c r="P6" s="7"/>
      <c r="Q6" s="13"/>
      <c r="R6" s="70"/>
      <c r="S6" s="81"/>
      <c r="T6" s="81"/>
      <c r="U6" s="3"/>
      <c r="V6" s="16"/>
      <c r="W6" s="7"/>
      <c r="X6" s="7"/>
      <c r="Y6" s="7"/>
      <c r="Z6" s="7"/>
      <c r="AA6" s="7"/>
      <c r="AB6" s="7"/>
      <c r="AC6" s="7"/>
      <c r="AD6" s="7"/>
      <c r="AE6" s="7"/>
      <c r="AF6" s="7"/>
    </row>
    <row r="7" spans="1:32" x14ac:dyDescent="0.45">
      <c r="A7" s="7"/>
      <c r="B7" s="12"/>
      <c r="C7" s="7"/>
      <c r="D7" s="7"/>
      <c r="E7" s="7"/>
      <c r="F7" s="7"/>
      <c r="G7" s="7"/>
      <c r="H7" s="15"/>
      <c r="I7" s="7"/>
      <c r="J7" s="12"/>
      <c r="K7" s="84" t="s">
        <v>79</v>
      </c>
      <c r="L7" s="85">
        <v>0</v>
      </c>
      <c r="M7" s="86">
        <v>0</v>
      </c>
      <c r="N7" s="14"/>
      <c r="O7" s="15"/>
      <c r="P7" s="7"/>
      <c r="Q7" s="12"/>
      <c r="R7" s="14"/>
      <c r="S7" s="63"/>
      <c r="T7" s="64"/>
      <c r="U7" s="14"/>
      <c r="V7" s="15"/>
      <c r="W7" s="7"/>
      <c r="X7" s="7"/>
      <c r="Y7" s="7"/>
      <c r="Z7" s="7"/>
      <c r="AA7" s="7"/>
      <c r="AB7" s="7"/>
      <c r="AC7" s="7"/>
      <c r="AD7" s="7"/>
      <c r="AE7" s="7"/>
      <c r="AF7" s="7"/>
    </row>
    <row r="8" spans="1:32" ht="15.4" thickBot="1" x14ac:dyDescent="0.5">
      <c r="A8" s="7"/>
      <c r="B8" s="12"/>
      <c r="C8" s="7"/>
      <c r="D8" s="7"/>
      <c r="E8" s="7"/>
      <c r="F8" s="7"/>
      <c r="G8" s="7"/>
      <c r="H8" s="15"/>
      <c r="I8" s="7"/>
      <c r="J8" s="12"/>
      <c r="K8" s="32" t="s">
        <v>24</v>
      </c>
      <c r="L8" s="33">
        <v>0</v>
      </c>
      <c r="M8" s="34">
        <v>0</v>
      </c>
      <c r="N8" s="14"/>
      <c r="O8" s="15"/>
      <c r="P8" s="7"/>
      <c r="Q8" s="13"/>
      <c r="R8" s="3"/>
      <c r="S8" s="79"/>
      <c r="T8" s="80"/>
      <c r="U8" s="3"/>
      <c r="V8" s="16"/>
      <c r="W8" s="7"/>
      <c r="X8" s="7"/>
      <c r="Y8" s="7"/>
      <c r="Z8" s="7"/>
      <c r="AA8" s="7"/>
      <c r="AB8" s="7"/>
      <c r="AC8" s="7"/>
      <c r="AD8" s="7"/>
      <c r="AE8" s="7"/>
      <c r="AF8" s="7"/>
    </row>
    <row r="9" spans="1:32" x14ac:dyDescent="0.45">
      <c r="A9" s="7"/>
      <c r="B9" s="12"/>
      <c r="C9" s="7"/>
      <c r="D9" s="7"/>
      <c r="E9" s="7"/>
      <c r="F9" s="7"/>
      <c r="G9" s="7"/>
      <c r="H9" s="15"/>
      <c r="I9" s="7"/>
      <c r="J9" s="12"/>
      <c r="K9" s="32" t="s">
        <v>65</v>
      </c>
      <c r="L9" s="33">
        <v>0</v>
      </c>
      <c r="M9" s="34">
        <v>0</v>
      </c>
      <c r="N9" s="14"/>
      <c r="O9" s="15"/>
      <c r="P9" s="7"/>
      <c r="Q9" s="66"/>
      <c r="R9" s="1"/>
      <c r="S9" s="77"/>
      <c r="T9" s="78"/>
      <c r="U9" s="1"/>
      <c r="V9" s="68"/>
      <c r="W9" s="7"/>
      <c r="X9" s="7"/>
      <c r="Y9" s="7"/>
      <c r="Z9" s="7"/>
      <c r="AA9" s="7"/>
      <c r="AB9" s="7"/>
      <c r="AC9" s="7"/>
      <c r="AD9" s="7"/>
      <c r="AE9" s="7"/>
      <c r="AF9" s="7"/>
    </row>
    <row r="10" spans="1:32" ht="15.4" thickBot="1" x14ac:dyDescent="0.5">
      <c r="A10" s="7"/>
      <c r="B10" s="12"/>
      <c r="C10" s="7"/>
      <c r="D10" s="7"/>
      <c r="E10" s="7"/>
      <c r="F10" s="7"/>
      <c r="G10" s="7"/>
      <c r="H10" s="15"/>
      <c r="I10" s="7"/>
      <c r="J10" s="12"/>
      <c r="K10" s="84" t="s">
        <v>17</v>
      </c>
      <c r="L10" s="85">
        <v>24</v>
      </c>
      <c r="M10" s="85">
        <v>1.9</v>
      </c>
      <c r="N10" s="14"/>
      <c r="O10" s="15"/>
      <c r="P10" s="7"/>
      <c r="Q10" s="13"/>
      <c r="R10" s="3"/>
      <c r="S10" s="79"/>
      <c r="T10" s="70"/>
      <c r="U10" s="3"/>
      <c r="V10" s="16"/>
      <c r="W10" s="7"/>
      <c r="X10" s="7"/>
      <c r="Y10" s="7"/>
      <c r="Z10" s="7"/>
      <c r="AA10" s="7"/>
      <c r="AB10" s="7"/>
      <c r="AC10" s="7"/>
      <c r="AD10" s="7"/>
      <c r="AE10" s="7"/>
      <c r="AF10" s="7"/>
    </row>
    <row r="11" spans="1:32" x14ac:dyDescent="0.45">
      <c r="A11" s="7"/>
      <c r="B11" s="12"/>
      <c r="C11" s="7"/>
      <c r="D11" s="7"/>
      <c r="E11" s="7"/>
      <c r="F11" s="7"/>
      <c r="G11" s="7"/>
      <c r="H11" s="15"/>
      <c r="I11" s="7"/>
      <c r="J11" s="12"/>
      <c r="K11" s="32" t="s">
        <v>25</v>
      </c>
      <c r="L11" s="33">
        <v>46.77</v>
      </c>
      <c r="M11" s="33">
        <v>1.6</v>
      </c>
      <c r="N11" s="14"/>
      <c r="O11" s="15"/>
      <c r="P11" s="7"/>
      <c r="Q11" s="66"/>
      <c r="R11" s="1"/>
      <c r="S11" s="77"/>
      <c r="T11" s="77"/>
      <c r="U11" s="1"/>
      <c r="V11" s="68"/>
      <c r="W11" s="7"/>
      <c r="X11" s="7"/>
      <c r="Y11" s="7"/>
      <c r="Z11" s="7"/>
      <c r="AA11" s="7"/>
      <c r="AB11" s="7"/>
      <c r="AC11" s="7"/>
      <c r="AD11" s="7"/>
      <c r="AE11" s="7"/>
      <c r="AF11" s="7"/>
    </row>
    <row r="12" spans="1:32" x14ac:dyDescent="0.45">
      <c r="A12" s="7"/>
      <c r="B12" s="12"/>
      <c r="C12" s="7"/>
      <c r="D12" s="7"/>
      <c r="E12" s="7"/>
      <c r="F12" s="7"/>
      <c r="G12" s="7"/>
      <c r="H12" s="15"/>
      <c r="I12" s="7"/>
      <c r="J12" s="12"/>
      <c r="K12" s="32" t="s">
        <v>26</v>
      </c>
      <c r="L12" s="33">
        <v>37.69</v>
      </c>
      <c r="M12" s="33">
        <v>1.46</v>
      </c>
      <c r="N12" s="14"/>
      <c r="O12" s="15"/>
      <c r="P12" s="7"/>
      <c r="Q12" s="12"/>
      <c r="R12" s="14"/>
      <c r="S12" s="63"/>
      <c r="T12" s="63"/>
      <c r="U12" s="14"/>
      <c r="V12" s="15"/>
      <c r="W12" s="7"/>
      <c r="X12" s="7"/>
      <c r="Y12" s="7"/>
      <c r="Z12" s="7"/>
      <c r="AA12" s="7"/>
      <c r="AB12" s="7"/>
      <c r="AC12" s="7"/>
      <c r="AD12" s="7"/>
      <c r="AE12" s="7"/>
      <c r="AF12" s="7"/>
    </row>
    <row r="13" spans="1:32" ht="15.4" thickBot="1" x14ac:dyDescent="0.5">
      <c r="A13" s="7"/>
      <c r="B13" s="12"/>
      <c r="C13" s="7"/>
      <c r="D13" s="7"/>
      <c r="E13" s="7"/>
      <c r="F13" s="7"/>
      <c r="G13" s="7"/>
      <c r="H13" s="15"/>
      <c r="I13" s="7"/>
      <c r="J13" s="12"/>
      <c r="K13" s="14"/>
      <c r="L13" s="14"/>
      <c r="M13" s="14"/>
      <c r="N13" s="14"/>
      <c r="O13" s="15"/>
      <c r="P13" s="7"/>
      <c r="Q13" s="13"/>
      <c r="R13" s="3"/>
      <c r="S13" s="3"/>
      <c r="T13" s="3"/>
      <c r="U13" s="3"/>
      <c r="V13" s="16"/>
      <c r="W13" s="7"/>
      <c r="X13" s="7"/>
      <c r="Y13" s="7"/>
      <c r="Z13" s="7"/>
      <c r="AA13" s="7"/>
      <c r="AB13" s="7"/>
      <c r="AC13" s="7"/>
      <c r="AD13" s="7"/>
      <c r="AE13" s="7"/>
      <c r="AF13" s="7"/>
    </row>
    <row r="14" spans="1:32" ht="33" customHeight="1" thickBot="1" x14ac:dyDescent="0.5">
      <c r="A14" s="7"/>
      <c r="B14" s="12"/>
      <c r="C14" s="7"/>
      <c r="D14" s="7"/>
      <c r="E14" s="7"/>
      <c r="F14" s="7"/>
      <c r="G14" s="7"/>
      <c r="H14" s="15"/>
      <c r="I14" s="7"/>
      <c r="J14" s="12"/>
      <c r="K14" s="37" t="s">
        <v>31</v>
      </c>
      <c r="L14" s="36" t="s">
        <v>28</v>
      </c>
      <c r="M14" s="36" t="s">
        <v>29</v>
      </c>
      <c r="N14" s="36" t="s">
        <v>30</v>
      </c>
      <c r="O14" s="15"/>
      <c r="P14" s="7"/>
      <c r="Q14" s="73"/>
      <c r="R14" s="74"/>
      <c r="S14" s="75"/>
      <c r="T14" s="75"/>
      <c r="U14" s="75"/>
      <c r="V14" s="76"/>
      <c r="W14" s="7"/>
      <c r="X14" s="7"/>
      <c r="Y14" s="7"/>
      <c r="Z14" s="7"/>
      <c r="AA14" s="7"/>
      <c r="AB14" s="7"/>
      <c r="AC14" s="7"/>
      <c r="AD14" s="7"/>
      <c r="AE14" s="7"/>
      <c r="AF14" s="7"/>
    </row>
    <row r="15" spans="1:32" x14ac:dyDescent="0.45">
      <c r="A15" s="7"/>
      <c r="B15" s="12"/>
      <c r="C15" s="7"/>
      <c r="D15" s="7"/>
      <c r="E15" s="7"/>
      <c r="F15" s="7"/>
      <c r="G15" s="7"/>
      <c r="H15" s="15"/>
      <c r="I15" s="7"/>
      <c r="J15" s="12"/>
      <c r="K15" s="32" t="s">
        <v>13</v>
      </c>
      <c r="L15" s="59">
        <v>6.5792300000000001E-3</v>
      </c>
      <c r="M15" s="59">
        <v>6.1257E-4</v>
      </c>
      <c r="N15" s="59">
        <v>7.2789999999999999E-5</v>
      </c>
      <c r="O15" s="15"/>
      <c r="P15" s="9"/>
      <c r="Q15" s="66"/>
      <c r="R15" s="1"/>
      <c r="S15" s="71"/>
      <c r="T15" s="71"/>
      <c r="U15" s="71"/>
      <c r="V15" s="68"/>
      <c r="W15" s="7"/>
      <c r="X15" s="7"/>
      <c r="Y15" s="7"/>
      <c r="Z15" s="7"/>
      <c r="AA15" s="7"/>
      <c r="AB15" s="7"/>
      <c r="AC15" s="7"/>
      <c r="AD15" s="7"/>
      <c r="AE15" s="7"/>
      <c r="AF15" s="7"/>
    </row>
    <row r="16" spans="1:32" ht="15.4" thickBot="1" x14ac:dyDescent="0.5">
      <c r="A16" s="7"/>
      <c r="B16" s="12"/>
      <c r="C16" s="7"/>
      <c r="D16" s="7"/>
      <c r="E16" s="7"/>
      <c r="F16" s="7"/>
      <c r="G16" s="7"/>
      <c r="H16" s="15"/>
      <c r="I16" s="7"/>
      <c r="J16" s="12"/>
      <c r="K16" s="32" t="s">
        <v>32</v>
      </c>
      <c r="L16" s="59">
        <v>2.5484800000000001E-3</v>
      </c>
      <c r="M16" s="59">
        <v>2.2915000000000001E-4</v>
      </c>
      <c r="N16" s="59">
        <v>9.6669999999999994E-5</v>
      </c>
      <c r="O16" s="15"/>
      <c r="P16" s="9"/>
      <c r="Q16" s="13"/>
      <c r="R16" s="3"/>
      <c r="S16" s="72"/>
      <c r="T16" s="72"/>
      <c r="U16" s="72"/>
      <c r="V16" s="16"/>
      <c r="W16" s="7"/>
      <c r="X16" s="7"/>
      <c r="Y16" s="7"/>
      <c r="Z16" s="7"/>
      <c r="AA16" s="7"/>
      <c r="AB16" s="7"/>
      <c r="AC16" s="7"/>
      <c r="AD16" s="7"/>
      <c r="AE16" s="7"/>
      <c r="AF16" s="7"/>
    </row>
    <row r="17" spans="1:32" x14ac:dyDescent="0.45">
      <c r="A17" s="7"/>
      <c r="B17" s="12"/>
      <c r="C17" s="7"/>
      <c r="D17" s="7"/>
      <c r="E17" s="7"/>
      <c r="F17" s="7"/>
      <c r="G17" s="7"/>
      <c r="H17" s="15"/>
      <c r="I17" s="7"/>
      <c r="J17" s="12"/>
      <c r="K17" s="32" t="s">
        <v>77</v>
      </c>
      <c r="L17" s="83">
        <v>2.7039712999999996E-3</v>
      </c>
      <c r="M17" s="83">
        <v>1.8229019999999998E-4</v>
      </c>
      <c r="N17" s="83">
        <v>1.519085E-4</v>
      </c>
      <c r="O17" s="15"/>
      <c r="P17" s="9"/>
      <c r="Q17" s="66"/>
      <c r="R17" s="1"/>
      <c r="S17" s="71"/>
      <c r="T17" s="71"/>
      <c r="U17" s="71"/>
      <c r="V17" s="68"/>
      <c r="W17" s="7"/>
      <c r="X17" s="7"/>
      <c r="Y17" s="7"/>
      <c r="Z17" s="7"/>
      <c r="AA17" s="7"/>
      <c r="AB17" s="7"/>
      <c r="AC17" s="7"/>
      <c r="AD17" s="7"/>
      <c r="AE17" s="7"/>
      <c r="AF17" s="7"/>
    </row>
    <row r="18" spans="1:32" x14ac:dyDescent="0.45">
      <c r="A18" s="7"/>
      <c r="B18" s="12"/>
      <c r="C18" s="7"/>
      <c r="D18" s="7"/>
      <c r="E18" s="7"/>
      <c r="F18" s="7"/>
      <c r="G18" s="7"/>
      <c r="H18" s="15"/>
      <c r="I18" s="7"/>
      <c r="J18" s="12"/>
      <c r="K18" s="32" t="s">
        <v>33</v>
      </c>
      <c r="L18" s="59">
        <v>2.2457100000000002E-3</v>
      </c>
      <c r="M18" s="59">
        <v>3.0027E-4</v>
      </c>
      <c r="N18" s="59">
        <v>6.6229999999999994E-5</v>
      </c>
      <c r="O18" s="15"/>
      <c r="P18" s="9"/>
      <c r="Q18" s="12"/>
      <c r="R18" s="14"/>
      <c r="S18" s="65"/>
      <c r="T18" s="65"/>
      <c r="U18" s="65"/>
      <c r="V18" s="15"/>
      <c r="W18" s="7"/>
      <c r="X18" s="7"/>
      <c r="Y18" s="7"/>
      <c r="Z18" s="7"/>
      <c r="AA18" s="7"/>
      <c r="AB18" s="7"/>
      <c r="AC18" s="7"/>
      <c r="AD18" s="7"/>
      <c r="AE18" s="7"/>
      <c r="AF18" s="7"/>
    </row>
    <row r="19" spans="1:32" ht="15.4" thickBot="1" x14ac:dyDescent="0.5">
      <c r="A19" s="7"/>
      <c r="B19" s="12"/>
      <c r="C19" s="7"/>
      <c r="D19" s="7"/>
      <c r="E19" s="7"/>
      <c r="F19" s="7"/>
      <c r="G19" s="7"/>
      <c r="H19" s="15"/>
      <c r="I19" s="7"/>
      <c r="J19" s="12"/>
      <c r="K19" s="32" t="s">
        <v>34</v>
      </c>
      <c r="L19" s="59">
        <v>3.2730300000000001E-3</v>
      </c>
      <c r="M19" s="59">
        <v>3.9889999999999999E-4</v>
      </c>
      <c r="N19" s="59">
        <v>1.0728E-4</v>
      </c>
      <c r="O19" s="15"/>
      <c r="P19" s="9"/>
      <c r="Q19" s="13"/>
      <c r="R19" s="3"/>
      <c r="S19" s="72"/>
      <c r="T19" s="72"/>
      <c r="U19" s="72"/>
      <c r="V19" s="16"/>
      <c r="W19" s="7"/>
      <c r="X19" s="7"/>
      <c r="Y19" s="7"/>
      <c r="Z19" s="7"/>
      <c r="AA19" s="7"/>
      <c r="AB19" s="7"/>
      <c r="AC19" s="7"/>
      <c r="AD19" s="7"/>
      <c r="AE19" s="7"/>
      <c r="AF19" s="7"/>
    </row>
    <row r="20" spans="1:32" ht="15.4" thickBot="1" x14ac:dyDescent="0.5">
      <c r="A20" s="7"/>
      <c r="B20" s="12"/>
      <c r="C20" s="7"/>
      <c r="D20" s="7"/>
      <c r="E20" s="7"/>
      <c r="F20" s="7"/>
      <c r="G20" s="7"/>
      <c r="H20" s="15"/>
      <c r="I20" s="7"/>
      <c r="J20" s="13"/>
      <c r="K20" s="3"/>
      <c r="L20" s="3"/>
      <c r="M20" s="3"/>
      <c r="N20" s="3"/>
      <c r="O20" s="16"/>
      <c r="P20" s="7"/>
      <c r="Q20" s="66"/>
      <c r="R20" s="1"/>
      <c r="S20" s="1"/>
      <c r="T20" s="1"/>
      <c r="U20" s="1"/>
      <c r="V20" s="68"/>
      <c r="W20" s="7"/>
      <c r="X20" s="7"/>
      <c r="Y20" s="7"/>
      <c r="Z20" s="7"/>
      <c r="AA20" s="7"/>
      <c r="AB20" s="7"/>
      <c r="AC20" s="7"/>
      <c r="AD20" s="7"/>
      <c r="AE20" s="7"/>
      <c r="AF20" s="7"/>
    </row>
    <row r="21" spans="1:32" x14ac:dyDescent="0.45">
      <c r="A21" s="7"/>
      <c r="B21" s="12"/>
      <c r="C21" s="7"/>
      <c r="D21" s="7"/>
      <c r="E21" s="7"/>
      <c r="F21" s="7"/>
      <c r="G21" s="7"/>
      <c r="H21" s="15"/>
      <c r="I21" s="7"/>
      <c r="J21" s="7"/>
      <c r="K21" s="7"/>
      <c r="L21" s="7"/>
      <c r="M21" s="7"/>
      <c r="N21" s="7"/>
      <c r="O21" s="7"/>
      <c r="P21" s="7"/>
      <c r="Q21" s="12"/>
      <c r="R21" s="7"/>
      <c r="S21" s="7"/>
      <c r="T21" s="7"/>
      <c r="U21" s="7"/>
      <c r="V21" s="15"/>
      <c r="W21" s="7"/>
      <c r="X21" s="7"/>
      <c r="Y21" s="7"/>
      <c r="Z21" s="7"/>
      <c r="AA21" s="7"/>
      <c r="AB21" s="7"/>
      <c r="AC21" s="7"/>
      <c r="AD21" s="7"/>
      <c r="AE21" s="7"/>
      <c r="AF21" s="7"/>
    </row>
    <row r="22" spans="1:32" ht="15.4" thickBot="1" x14ac:dyDescent="0.5">
      <c r="A22" s="7"/>
      <c r="B22" s="12"/>
      <c r="C22" s="7"/>
      <c r="D22" s="7"/>
      <c r="E22" s="7"/>
      <c r="F22" s="7"/>
      <c r="G22" s="7"/>
      <c r="H22" s="15"/>
      <c r="I22" s="7"/>
      <c r="J22" s="7"/>
      <c r="K22" s="7"/>
      <c r="L22" s="7"/>
      <c r="M22" s="7"/>
      <c r="N22" s="7"/>
      <c r="O22" s="7"/>
      <c r="P22" s="7"/>
      <c r="Q22" s="13"/>
      <c r="R22" s="24"/>
      <c r="S22" s="24"/>
      <c r="T22" s="24"/>
      <c r="U22" s="24"/>
      <c r="V22" s="16"/>
      <c r="W22" s="7"/>
      <c r="X22" s="7"/>
      <c r="Y22" s="7"/>
      <c r="Z22" s="7"/>
      <c r="AA22" s="7"/>
      <c r="AB22" s="7"/>
      <c r="AC22" s="7"/>
      <c r="AD22" s="7"/>
      <c r="AE22" s="7"/>
      <c r="AF22" s="7"/>
    </row>
    <row r="23" spans="1:32" x14ac:dyDescent="0.45">
      <c r="A23" s="7"/>
      <c r="B23" s="12"/>
      <c r="C23" s="7"/>
      <c r="D23" s="7"/>
      <c r="E23" s="7"/>
      <c r="F23" s="7"/>
      <c r="G23" s="7"/>
      <c r="H23" s="15"/>
      <c r="I23" s="7"/>
      <c r="J23" s="7"/>
      <c r="K23" s="7"/>
      <c r="L23" s="87">
        <f>1-M23-N23</f>
        <v>0.8899999999999999</v>
      </c>
      <c r="M23" s="88">
        <v>0.06</v>
      </c>
      <c r="N23" s="87">
        <v>0.05</v>
      </c>
      <c r="O23" s="87">
        <f>SUM(L23:N23)</f>
        <v>1</v>
      </c>
      <c r="P23" s="7"/>
      <c r="Q23" s="66"/>
      <c r="R23" s="67"/>
      <c r="S23" s="67"/>
      <c r="T23" s="67"/>
      <c r="U23" s="67"/>
      <c r="V23" s="68"/>
      <c r="W23" s="7"/>
      <c r="X23" s="7"/>
      <c r="Y23" s="7"/>
      <c r="Z23" s="7"/>
      <c r="AA23" s="7"/>
      <c r="AB23" s="7"/>
      <c r="AC23" s="7"/>
      <c r="AD23" s="7"/>
      <c r="AE23" s="7"/>
      <c r="AF23" s="7"/>
    </row>
    <row r="24" spans="1:32" ht="15.4" thickBot="1" x14ac:dyDescent="0.5">
      <c r="A24" s="7"/>
      <c r="B24" s="13"/>
      <c r="C24" s="24"/>
      <c r="D24" s="24"/>
      <c r="E24" s="24"/>
      <c r="F24" s="24"/>
      <c r="G24" s="24"/>
      <c r="H24" s="16"/>
      <c r="I24" s="7"/>
      <c r="J24" s="7"/>
      <c r="K24" s="7"/>
      <c r="L24" s="91">
        <f>L23*$O$24</f>
        <v>2.7039712999999991E-3</v>
      </c>
      <c r="M24" s="91">
        <f t="shared" ref="M24:N24" si="0">M23*$O$24</f>
        <v>1.8229019999999995E-4</v>
      </c>
      <c r="N24" s="91">
        <f t="shared" si="0"/>
        <v>1.5190849999999998E-4</v>
      </c>
      <c r="O24" s="89">
        <f>SUM(L17:N17)</f>
        <v>3.0381699999999993E-3</v>
      </c>
      <c r="P24" s="7"/>
      <c r="Q24" s="12"/>
      <c r="R24" s="7"/>
      <c r="S24" s="7"/>
      <c r="T24" s="7"/>
      <c r="U24" s="7"/>
      <c r="V24" s="15"/>
      <c r="W24" s="7"/>
      <c r="X24" s="7"/>
      <c r="Y24" s="7"/>
      <c r="Z24" s="7"/>
      <c r="AA24" s="7"/>
      <c r="AB24" s="7"/>
      <c r="AC24" s="7"/>
      <c r="AD24" s="7"/>
      <c r="AE24" s="7"/>
      <c r="AF24" s="7"/>
    </row>
    <row r="25" spans="1:32" ht="15.4" thickBot="1" x14ac:dyDescent="0.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90">
        <f>SUM(L24:N24)</f>
        <v>3.0381699999999989E-3</v>
      </c>
      <c r="P25" s="7"/>
      <c r="Q25" s="13"/>
      <c r="R25" s="24"/>
      <c r="S25" s="24"/>
      <c r="T25" s="24"/>
      <c r="U25" s="24"/>
      <c r="V25" s="16"/>
      <c r="W25" s="7"/>
      <c r="X25" s="7"/>
      <c r="Y25" s="7"/>
      <c r="Z25" s="7"/>
      <c r="AA25" s="7"/>
      <c r="AB25" s="7"/>
      <c r="AC25" s="7"/>
      <c r="AD25" s="7"/>
      <c r="AE25" s="7"/>
      <c r="AF25" s="7"/>
    </row>
    <row r="26" spans="1:32" x14ac:dyDescent="0.45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66"/>
      <c r="R26" s="67"/>
      <c r="S26" s="67"/>
      <c r="T26" s="67"/>
      <c r="U26" s="67"/>
      <c r="V26" s="68"/>
      <c r="W26" s="7"/>
      <c r="X26" s="7"/>
      <c r="Y26" s="7"/>
      <c r="Z26" s="7"/>
      <c r="AA26" s="7"/>
      <c r="AB26" s="7"/>
      <c r="AC26" s="7"/>
      <c r="AD26" s="7"/>
      <c r="AE26" s="7"/>
      <c r="AF26" s="7"/>
    </row>
    <row r="27" spans="1:32" ht="15.4" thickBot="1" x14ac:dyDescent="0.5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13"/>
      <c r="R27" s="24"/>
      <c r="S27" s="24"/>
      <c r="T27" s="24"/>
      <c r="U27" s="24"/>
      <c r="V27" s="16"/>
      <c r="W27" s="7"/>
      <c r="X27" s="7"/>
      <c r="Y27" s="7"/>
      <c r="Z27" s="7"/>
      <c r="AA27" s="7"/>
      <c r="AB27" s="7"/>
      <c r="AC27" s="7"/>
      <c r="AD27" s="7"/>
      <c r="AE27" s="7"/>
      <c r="AF27" s="7"/>
    </row>
    <row r="28" spans="1:32" x14ac:dyDescent="0.45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66"/>
      <c r="R28" s="69"/>
      <c r="S28" s="67"/>
      <c r="T28" s="67"/>
      <c r="U28" s="67"/>
      <c r="V28" s="68"/>
      <c r="W28" s="7"/>
      <c r="X28" s="7"/>
      <c r="Y28" s="7"/>
      <c r="Z28" s="7"/>
      <c r="AA28" s="7"/>
      <c r="AB28" s="7"/>
      <c r="AC28" s="7"/>
      <c r="AD28" s="7"/>
      <c r="AE28" s="7"/>
      <c r="AF28" s="7"/>
    </row>
    <row r="29" spans="1:32" x14ac:dyDescent="0.45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12"/>
      <c r="R29" s="7"/>
      <c r="T29" s="7"/>
      <c r="U29" s="7"/>
      <c r="V29" s="15"/>
      <c r="W29" s="7"/>
      <c r="X29" s="7"/>
      <c r="Y29" s="7"/>
      <c r="Z29" s="7"/>
      <c r="AA29" s="7"/>
      <c r="AB29" s="7"/>
      <c r="AC29" s="7"/>
      <c r="AD29" s="7"/>
      <c r="AE29" s="7"/>
      <c r="AF29" s="7"/>
    </row>
    <row r="30" spans="1:32" x14ac:dyDescent="0.45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12"/>
      <c r="R30" s="7"/>
      <c r="S30" s="7"/>
      <c r="T30" s="7"/>
      <c r="U30" s="7"/>
      <c r="V30" s="15"/>
      <c r="W30" s="7"/>
      <c r="X30" s="7"/>
      <c r="Y30" s="7"/>
      <c r="Z30" s="7"/>
      <c r="AA30" s="7"/>
      <c r="AB30" s="7"/>
      <c r="AC30" s="7"/>
      <c r="AD30" s="7"/>
      <c r="AE30" s="7"/>
      <c r="AF30" s="7"/>
    </row>
    <row r="31" spans="1:32" ht="15.4" thickBot="1" x14ac:dyDescent="0.5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13"/>
      <c r="R31" s="24"/>
      <c r="S31" s="24"/>
      <c r="T31" s="24"/>
      <c r="U31" s="24"/>
      <c r="V31" s="16"/>
      <c r="W31" s="7"/>
      <c r="X31" s="7"/>
      <c r="Y31" s="7"/>
      <c r="Z31" s="7"/>
      <c r="AA31" s="7"/>
      <c r="AB31" s="7"/>
      <c r="AC31" s="7"/>
      <c r="AD31" s="7"/>
      <c r="AE31" s="7"/>
      <c r="AF31" s="7"/>
    </row>
    <row r="32" spans="1:32" x14ac:dyDescent="0.45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M32" s="7"/>
      <c r="N32" s="7"/>
      <c r="O32" s="7"/>
      <c r="P32" s="7"/>
      <c r="Q32" s="66"/>
      <c r="R32" s="67"/>
      <c r="S32" s="69"/>
      <c r="T32" s="67"/>
      <c r="U32" s="67"/>
      <c r="V32" s="68"/>
      <c r="W32" s="7"/>
      <c r="X32" s="7"/>
      <c r="Y32" s="7"/>
      <c r="Z32" s="7"/>
      <c r="AA32" s="7"/>
      <c r="AB32" s="7"/>
      <c r="AC32" s="7"/>
      <c r="AD32" s="7"/>
      <c r="AE32" s="7"/>
      <c r="AF32" s="7"/>
    </row>
    <row r="33" spans="1:32" x14ac:dyDescent="0.45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N33" s="7"/>
      <c r="O33" s="7"/>
      <c r="Q33" s="12"/>
      <c r="S33" s="7"/>
      <c r="T33" s="7"/>
      <c r="U33" s="7"/>
      <c r="V33" s="15"/>
      <c r="W33" s="7"/>
      <c r="X33" s="7"/>
      <c r="Y33" s="7"/>
      <c r="Z33" s="7"/>
      <c r="AA33" s="7"/>
      <c r="AB33" s="7"/>
      <c r="AC33" s="7"/>
      <c r="AD33" s="7"/>
      <c r="AE33" s="7"/>
      <c r="AF33" s="7"/>
    </row>
    <row r="34" spans="1:32" x14ac:dyDescent="0.45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P34" s="7"/>
      <c r="Q34" s="12"/>
      <c r="R34" s="7"/>
      <c r="S34" s="7"/>
      <c r="U34" s="7"/>
      <c r="V34" s="15"/>
      <c r="W34" s="7"/>
      <c r="X34" s="7"/>
      <c r="Y34" s="7"/>
      <c r="Z34" s="7"/>
      <c r="AA34" s="7"/>
      <c r="AB34" s="7"/>
      <c r="AC34" s="7"/>
      <c r="AD34" s="7"/>
      <c r="AE34" s="7"/>
      <c r="AF34" s="7"/>
    </row>
    <row r="35" spans="1:32" ht="15.4" thickBot="1" x14ac:dyDescent="0.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13"/>
      <c r="R35" s="24"/>
      <c r="S35" s="70"/>
      <c r="T35" s="24"/>
      <c r="U35" s="24"/>
      <c r="V35" s="16"/>
      <c r="W35" s="7"/>
      <c r="X35" s="7"/>
      <c r="Y35" s="7"/>
      <c r="Z35" s="7"/>
      <c r="AA35" s="7"/>
      <c r="AB35" s="7"/>
      <c r="AC35" s="7"/>
      <c r="AD35" s="7"/>
      <c r="AE35" s="7"/>
      <c r="AF35" s="7"/>
    </row>
    <row r="36" spans="1:32" x14ac:dyDescent="0.45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N36" s="7"/>
      <c r="P36" s="7"/>
      <c r="Q36" s="66"/>
      <c r="R36" s="67"/>
      <c r="S36" s="67"/>
      <c r="T36" s="67"/>
      <c r="U36" s="67"/>
      <c r="V36" s="68"/>
      <c r="W36" s="7"/>
      <c r="X36" s="7"/>
      <c r="Y36" s="7"/>
      <c r="Z36" s="7"/>
      <c r="AA36" s="7"/>
      <c r="AB36" s="7"/>
      <c r="AC36" s="7"/>
      <c r="AD36" s="7"/>
      <c r="AE36" s="7"/>
      <c r="AF36" s="7"/>
    </row>
    <row r="37" spans="1:32" x14ac:dyDescent="0.45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12"/>
      <c r="S37" s="7"/>
      <c r="T37" s="7"/>
      <c r="U37" s="7"/>
      <c r="V37" s="15"/>
      <c r="W37" s="7"/>
      <c r="X37" s="7"/>
      <c r="Y37" s="7"/>
      <c r="Z37" s="7"/>
      <c r="AA37" s="7"/>
      <c r="AB37" s="7"/>
      <c r="AC37" s="7"/>
      <c r="AD37" s="7"/>
      <c r="AE37" s="7"/>
      <c r="AF37" s="7"/>
    </row>
    <row r="38" spans="1:32" x14ac:dyDescent="0.45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12"/>
      <c r="R38" s="7"/>
      <c r="S38" s="7"/>
      <c r="T38" s="7"/>
      <c r="U38" s="7"/>
      <c r="V38" s="15"/>
      <c r="W38" s="7"/>
      <c r="X38" s="7"/>
      <c r="Y38" s="7"/>
      <c r="Z38" s="7"/>
      <c r="AA38" s="7"/>
      <c r="AB38" s="7"/>
      <c r="AC38" s="7"/>
      <c r="AD38" s="7"/>
      <c r="AE38" s="7"/>
      <c r="AF38" s="7"/>
    </row>
    <row r="39" spans="1:32" ht="15.4" thickBot="1" x14ac:dyDescent="0.5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13"/>
      <c r="R39" s="24"/>
      <c r="S39" s="24"/>
      <c r="T39" s="24"/>
      <c r="U39" s="24"/>
      <c r="V39" s="16"/>
      <c r="W39" s="7"/>
      <c r="X39" s="7"/>
      <c r="Y39" s="7"/>
      <c r="Z39" s="7"/>
      <c r="AA39" s="7"/>
      <c r="AB39" s="7"/>
      <c r="AC39" s="7"/>
      <c r="AD39" s="7"/>
      <c r="AE39" s="7"/>
      <c r="AF39" s="7"/>
    </row>
    <row r="40" spans="1:32" x14ac:dyDescent="0.45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66"/>
      <c r="R40" s="67"/>
      <c r="S40" s="67"/>
      <c r="T40" s="67"/>
      <c r="U40" s="67"/>
      <c r="V40" s="68"/>
      <c r="W40" s="7"/>
      <c r="X40" s="7"/>
      <c r="Y40" s="7"/>
      <c r="Z40" s="7"/>
      <c r="AA40" s="7"/>
      <c r="AB40" s="7"/>
      <c r="AC40" s="7"/>
      <c r="AD40" s="7"/>
      <c r="AE40" s="7"/>
      <c r="AF40" s="7"/>
    </row>
    <row r="41" spans="1:32" x14ac:dyDescent="0.45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12"/>
      <c r="R41" s="7"/>
      <c r="S41" s="7"/>
      <c r="T41" s="7"/>
      <c r="U41" s="7"/>
      <c r="V41" s="15"/>
      <c r="W41" s="7"/>
      <c r="X41" s="7"/>
      <c r="Y41" s="7"/>
      <c r="Z41" s="7"/>
      <c r="AA41" s="7"/>
      <c r="AB41" s="7"/>
      <c r="AC41" s="7"/>
      <c r="AD41" s="7"/>
      <c r="AE41" s="7"/>
      <c r="AF41" s="7"/>
    </row>
    <row r="42" spans="1:32" ht="15.4" thickBot="1" x14ac:dyDescent="0.5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13"/>
      <c r="R42" s="24"/>
      <c r="S42" s="24"/>
      <c r="T42" s="24"/>
      <c r="U42" s="24"/>
      <c r="V42" s="16"/>
      <c r="W42" s="7"/>
      <c r="X42" s="7"/>
      <c r="Y42" s="7"/>
      <c r="Z42" s="7"/>
      <c r="AA42" s="7"/>
      <c r="AB42" s="7"/>
      <c r="AC42" s="7"/>
      <c r="AD42" s="7"/>
      <c r="AE42" s="7"/>
      <c r="AF42" s="7"/>
    </row>
    <row r="43" spans="1:32" x14ac:dyDescent="0.45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66"/>
      <c r="R43" s="67"/>
      <c r="S43" s="67"/>
      <c r="T43" s="67"/>
      <c r="U43" s="67"/>
      <c r="V43" s="68"/>
      <c r="W43" s="7"/>
      <c r="X43" s="7"/>
      <c r="Y43" s="7"/>
      <c r="Z43" s="7"/>
      <c r="AA43" s="7"/>
      <c r="AB43" s="7"/>
      <c r="AC43" s="7"/>
      <c r="AD43" s="7"/>
      <c r="AE43" s="7"/>
      <c r="AF43" s="7"/>
    </row>
    <row r="44" spans="1:32" x14ac:dyDescent="0.45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12"/>
      <c r="R44" s="7"/>
      <c r="S44" s="7"/>
      <c r="T44" s="7"/>
      <c r="U44" s="7"/>
      <c r="V44" s="15"/>
      <c r="W44" s="7"/>
      <c r="X44" s="7"/>
      <c r="Y44" s="7"/>
      <c r="Z44" s="7"/>
      <c r="AA44" s="7"/>
      <c r="AB44" s="7"/>
      <c r="AC44" s="7"/>
      <c r="AD44" s="7"/>
      <c r="AE44" s="7"/>
      <c r="AF44" s="7"/>
    </row>
    <row r="45" spans="1:32" x14ac:dyDescent="0.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12"/>
      <c r="R45" s="7"/>
      <c r="S45" s="7"/>
      <c r="T45" s="7"/>
      <c r="U45" s="7"/>
      <c r="V45" s="15"/>
      <c r="W45" s="7"/>
      <c r="X45" s="7"/>
      <c r="Y45" s="7"/>
      <c r="Z45" s="7"/>
      <c r="AA45" s="7"/>
      <c r="AB45" s="7"/>
      <c r="AC45" s="7"/>
      <c r="AD45" s="7"/>
      <c r="AE45" s="7"/>
      <c r="AF45" s="7"/>
    </row>
    <row r="46" spans="1:32" ht="15.4" thickBot="1" x14ac:dyDescent="0.5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13"/>
      <c r="R46" s="24"/>
      <c r="S46" s="24"/>
      <c r="T46" s="24"/>
      <c r="U46" s="24"/>
      <c r="V46" s="16"/>
      <c r="W46" s="7"/>
      <c r="X46" s="7"/>
      <c r="Y46" s="7"/>
      <c r="Z46" s="7"/>
      <c r="AA46" s="7"/>
      <c r="AB46" s="7"/>
      <c r="AC46" s="7"/>
      <c r="AD46" s="7"/>
      <c r="AE46" s="7"/>
      <c r="AF46" s="7"/>
    </row>
    <row r="47" spans="1:32" x14ac:dyDescent="0.45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</row>
    <row r="48" spans="1:32" x14ac:dyDescent="0.45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</row>
    <row r="49" spans="1:32" x14ac:dyDescent="0.45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</row>
    <row r="50" spans="1:32" x14ac:dyDescent="0.45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</row>
    <row r="51" spans="1:32" x14ac:dyDescent="0.45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</row>
    <row r="52" spans="1:32" x14ac:dyDescent="0.45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</row>
    <row r="53" spans="1:32" x14ac:dyDescent="0.45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</row>
    <row r="54" spans="1:32" x14ac:dyDescent="0.45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</row>
    <row r="55" spans="1:32" x14ac:dyDescent="0.4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</row>
    <row r="56" spans="1:32" x14ac:dyDescent="0.45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</row>
    <row r="57" spans="1:32" x14ac:dyDescent="0.45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</row>
    <row r="58" spans="1:32" x14ac:dyDescent="0.45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</row>
    <row r="59" spans="1:32" x14ac:dyDescent="0.45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</row>
    <row r="60" spans="1:32" x14ac:dyDescent="0.45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</row>
    <row r="61" spans="1:32" x14ac:dyDescent="0.45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</row>
    <row r="62" spans="1:32" x14ac:dyDescent="0.45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</row>
    <row r="63" spans="1:32" x14ac:dyDescent="0.45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</row>
    <row r="64" spans="1:32" x14ac:dyDescent="0.4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</row>
    <row r="65" spans="1:32" x14ac:dyDescent="0.4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</row>
    <row r="66" spans="1:32" x14ac:dyDescent="0.4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</row>
    <row r="67" spans="1:32" x14ac:dyDescent="0.45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</row>
    <row r="68" spans="1:32" x14ac:dyDescent="0.4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</row>
    <row r="69" spans="1:32" x14ac:dyDescent="0.45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</row>
    <row r="70" spans="1:32" x14ac:dyDescent="0.4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</row>
    <row r="71" spans="1:32" x14ac:dyDescent="0.45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</row>
    <row r="72" spans="1:32" x14ac:dyDescent="0.4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</row>
    <row r="73" spans="1:32" x14ac:dyDescent="0.45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</row>
    <row r="74" spans="1:32" x14ac:dyDescent="0.4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</row>
    <row r="75" spans="1:32" x14ac:dyDescent="0.4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</row>
    <row r="76" spans="1:32" x14ac:dyDescent="0.4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</row>
    <row r="77" spans="1:32" x14ac:dyDescent="0.45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</row>
    <row r="78" spans="1:32" x14ac:dyDescent="0.45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</row>
    <row r="79" spans="1:32" x14ac:dyDescent="0.45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</row>
    <row r="80" spans="1:32" x14ac:dyDescent="0.45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</row>
    <row r="81" spans="1:32" x14ac:dyDescent="0.45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</row>
    <row r="82" spans="1:32" x14ac:dyDescent="0.45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</row>
    <row r="83" spans="1:32" x14ac:dyDescent="0.45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</row>
    <row r="84" spans="1:32" x14ac:dyDescent="0.45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</row>
    <row r="85" spans="1:32" x14ac:dyDescent="0.4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</row>
    <row r="86" spans="1:32" x14ac:dyDescent="0.45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</row>
    <row r="87" spans="1:32" x14ac:dyDescent="0.45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</row>
    <row r="88" spans="1:32" x14ac:dyDescent="0.45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</row>
    <row r="89" spans="1:32" x14ac:dyDescent="0.45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</row>
    <row r="90" spans="1:32" x14ac:dyDescent="0.45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</row>
    <row r="91" spans="1:32" x14ac:dyDescent="0.45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</row>
    <row r="92" spans="1:32" x14ac:dyDescent="0.45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</row>
    <row r="93" spans="1:32" x14ac:dyDescent="0.45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</row>
    <row r="94" spans="1:32" x14ac:dyDescent="0.45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</row>
    <row r="95" spans="1:32" x14ac:dyDescent="0.4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</row>
    <row r="96" spans="1:32" x14ac:dyDescent="0.45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</row>
    <row r="97" spans="1:32" x14ac:dyDescent="0.45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</row>
    <row r="98" spans="1:32" x14ac:dyDescent="0.45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</row>
    <row r="99" spans="1:32" x14ac:dyDescent="0.45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</row>
    <row r="100" spans="1:32" x14ac:dyDescent="0.45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</row>
    <row r="101" spans="1:32" x14ac:dyDescent="0.45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</row>
    <row r="102" spans="1:32" x14ac:dyDescent="0.45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</row>
    <row r="103" spans="1:32" x14ac:dyDescent="0.45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</row>
    <row r="104" spans="1:32" x14ac:dyDescent="0.45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</row>
    <row r="105" spans="1:32" x14ac:dyDescent="0.4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</row>
    <row r="106" spans="1:32" x14ac:dyDescent="0.45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</row>
    <row r="107" spans="1:32" x14ac:dyDescent="0.45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</row>
    <row r="108" spans="1:32" x14ac:dyDescent="0.45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</row>
    <row r="109" spans="1:32" x14ac:dyDescent="0.45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</row>
    <row r="110" spans="1:32" x14ac:dyDescent="0.45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</row>
    <row r="111" spans="1:32" x14ac:dyDescent="0.45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</row>
    <row r="112" spans="1:32" x14ac:dyDescent="0.45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</row>
    <row r="113" spans="1:32" x14ac:dyDescent="0.45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</row>
    <row r="114" spans="1:32" x14ac:dyDescent="0.45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</row>
    <row r="115" spans="1:32" x14ac:dyDescent="0.4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</row>
    <row r="116" spans="1:32" x14ac:dyDescent="0.45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</row>
    <row r="117" spans="1:32" x14ac:dyDescent="0.45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</row>
    <row r="118" spans="1:32" x14ac:dyDescent="0.45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</row>
    <row r="119" spans="1:32" x14ac:dyDescent="0.45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</row>
    <row r="120" spans="1:32" x14ac:dyDescent="0.45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</row>
    <row r="121" spans="1:32" x14ac:dyDescent="0.45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</row>
    <row r="122" spans="1:32" x14ac:dyDescent="0.45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</row>
    <row r="123" spans="1:32" x14ac:dyDescent="0.45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</row>
    <row r="124" spans="1:32" x14ac:dyDescent="0.45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</row>
    <row r="125" spans="1:32" x14ac:dyDescent="0.4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</row>
    <row r="126" spans="1:32" x14ac:dyDescent="0.45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</row>
    <row r="127" spans="1:32" x14ac:dyDescent="0.45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</row>
    <row r="128" spans="1:32" x14ac:dyDescent="0.45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</row>
    <row r="129" spans="1:32" x14ac:dyDescent="0.45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</row>
    <row r="130" spans="1:32" x14ac:dyDescent="0.45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</row>
    <row r="131" spans="1:32" x14ac:dyDescent="0.45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</row>
    <row r="132" spans="1:32" x14ac:dyDescent="0.45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</row>
    <row r="133" spans="1:32" x14ac:dyDescent="0.45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</row>
    <row r="134" spans="1:32" x14ac:dyDescent="0.45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</row>
    <row r="135" spans="1:32" x14ac:dyDescent="0.4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</row>
    <row r="136" spans="1:32" x14ac:dyDescent="0.45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</row>
    <row r="137" spans="1:32" x14ac:dyDescent="0.45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</row>
    <row r="138" spans="1:32" x14ac:dyDescent="0.45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</row>
    <row r="139" spans="1:32" x14ac:dyDescent="0.45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</row>
    <row r="140" spans="1:32" x14ac:dyDescent="0.45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</row>
    <row r="141" spans="1:32" x14ac:dyDescent="0.45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</row>
    <row r="142" spans="1:32" x14ac:dyDescent="0.45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</row>
    <row r="143" spans="1:32" x14ac:dyDescent="0.45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</row>
    <row r="144" spans="1:32" x14ac:dyDescent="0.45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</row>
    <row r="145" spans="1:32" x14ac:dyDescent="0.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</row>
    <row r="146" spans="1:32" x14ac:dyDescent="0.45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</row>
    <row r="147" spans="1:32" x14ac:dyDescent="0.45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</row>
    <row r="148" spans="1:32" x14ac:dyDescent="0.45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</row>
    <row r="149" spans="1:32" x14ac:dyDescent="0.45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</row>
    <row r="150" spans="1:32" x14ac:dyDescent="0.45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</row>
    <row r="151" spans="1:32" x14ac:dyDescent="0.45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</row>
    <row r="152" spans="1:32" x14ac:dyDescent="0.45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</row>
    <row r="153" spans="1:32" x14ac:dyDescent="0.45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</row>
    <row r="154" spans="1:32" x14ac:dyDescent="0.45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</row>
    <row r="155" spans="1:32" x14ac:dyDescent="0.4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</row>
    <row r="156" spans="1:32" x14ac:dyDescent="0.45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</row>
    <row r="157" spans="1:32" x14ac:dyDescent="0.45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</row>
    <row r="158" spans="1:32" x14ac:dyDescent="0.45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</row>
    <row r="159" spans="1:32" x14ac:dyDescent="0.45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</row>
    <row r="160" spans="1:32" x14ac:dyDescent="0.45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</row>
    <row r="161" spans="1:32" x14ac:dyDescent="0.45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</row>
    <row r="162" spans="1:32" x14ac:dyDescent="0.45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</row>
    <row r="163" spans="1:32" x14ac:dyDescent="0.45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</row>
    <row r="164" spans="1:32" x14ac:dyDescent="0.45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</row>
    <row r="165" spans="1:32" x14ac:dyDescent="0.4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</row>
    <row r="166" spans="1:32" x14ac:dyDescent="0.45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</row>
    <row r="167" spans="1:32" x14ac:dyDescent="0.45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</row>
    <row r="168" spans="1:32" x14ac:dyDescent="0.45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</row>
    <row r="169" spans="1:32" x14ac:dyDescent="0.45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</row>
    <row r="170" spans="1:32" x14ac:dyDescent="0.45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</row>
    <row r="171" spans="1:32" x14ac:dyDescent="0.45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</row>
    <row r="172" spans="1:32" x14ac:dyDescent="0.45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</row>
    <row r="173" spans="1:32" x14ac:dyDescent="0.45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</row>
    <row r="174" spans="1:32" x14ac:dyDescent="0.45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</row>
    <row r="175" spans="1:32" x14ac:dyDescent="0.4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</row>
    <row r="176" spans="1:32" x14ac:dyDescent="0.45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</row>
    <row r="177" spans="1:32" x14ac:dyDescent="0.45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</row>
    <row r="178" spans="1:32" x14ac:dyDescent="0.45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</row>
    <row r="179" spans="1:32" x14ac:dyDescent="0.45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</row>
    <row r="180" spans="1:32" x14ac:dyDescent="0.45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</row>
    <row r="181" spans="1:32" x14ac:dyDescent="0.45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</row>
    <row r="182" spans="1:32" x14ac:dyDescent="0.45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</row>
    <row r="183" spans="1:32" x14ac:dyDescent="0.45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</row>
    <row r="184" spans="1:32" x14ac:dyDescent="0.45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</row>
    <row r="185" spans="1:32" x14ac:dyDescent="0.4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</row>
    <row r="186" spans="1:32" x14ac:dyDescent="0.45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</row>
    <row r="187" spans="1:32" x14ac:dyDescent="0.45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</row>
    <row r="188" spans="1:32" x14ac:dyDescent="0.45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</row>
    <row r="189" spans="1:32" x14ac:dyDescent="0.45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</row>
    <row r="190" spans="1:32" x14ac:dyDescent="0.45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</row>
    <row r="191" spans="1:32" x14ac:dyDescent="0.45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</row>
    <row r="192" spans="1:32" x14ac:dyDescent="0.45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</row>
    <row r="193" spans="1:32" x14ac:dyDescent="0.45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</row>
    <row r="194" spans="1:32" x14ac:dyDescent="0.45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</row>
    <row r="195" spans="1:32" x14ac:dyDescent="0.4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</row>
    <row r="196" spans="1:32" x14ac:dyDescent="0.45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</row>
    <row r="197" spans="1:32" x14ac:dyDescent="0.45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</row>
    <row r="198" spans="1:32" x14ac:dyDescent="0.45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</row>
    <row r="199" spans="1:32" x14ac:dyDescent="0.45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</row>
    <row r="200" spans="1:32" x14ac:dyDescent="0.45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</row>
    <row r="201" spans="1:32" x14ac:dyDescent="0.45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</row>
    <row r="202" spans="1:32" x14ac:dyDescent="0.45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</row>
    <row r="203" spans="1:32" x14ac:dyDescent="0.45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</row>
    <row r="204" spans="1:32" x14ac:dyDescent="0.45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</row>
    <row r="205" spans="1:32" x14ac:dyDescent="0.4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</row>
    <row r="206" spans="1:32" x14ac:dyDescent="0.45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</row>
    <row r="207" spans="1:32" x14ac:dyDescent="0.45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</row>
    <row r="208" spans="1:32" x14ac:dyDescent="0.45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</row>
    <row r="209" spans="1:32" x14ac:dyDescent="0.45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</row>
    <row r="210" spans="1:32" x14ac:dyDescent="0.45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</row>
    <row r="211" spans="1:32" x14ac:dyDescent="0.45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</row>
    <row r="212" spans="1:32" x14ac:dyDescent="0.45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</row>
    <row r="213" spans="1:32" x14ac:dyDescent="0.45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</row>
    <row r="214" spans="1:32" x14ac:dyDescent="0.45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</row>
    <row r="215" spans="1:32" x14ac:dyDescent="0.4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</row>
    <row r="216" spans="1:32" x14ac:dyDescent="0.45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</row>
    <row r="217" spans="1:32" x14ac:dyDescent="0.45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</row>
    <row r="218" spans="1:32" x14ac:dyDescent="0.45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</row>
    <row r="219" spans="1:32" x14ac:dyDescent="0.45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</row>
    <row r="220" spans="1:32" x14ac:dyDescent="0.45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</row>
    <row r="221" spans="1:32" x14ac:dyDescent="0.45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</row>
    <row r="222" spans="1:32" x14ac:dyDescent="0.45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</row>
    <row r="223" spans="1:32" x14ac:dyDescent="0.45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</row>
    <row r="224" spans="1:32" x14ac:dyDescent="0.45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</row>
    <row r="225" spans="1:32" x14ac:dyDescent="0.4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</row>
    <row r="226" spans="1:32" x14ac:dyDescent="0.45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</row>
    <row r="227" spans="1:32" x14ac:dyDescent="0.45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</row>
    <row r="228" spans="1:32" x14ac:dyDescent="0.45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</row>
    <row r="229" spans="1:32" x14ac:dyDescent="0.45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</row>
    <row r="230" spans="1:32" x14ac:dyDescent="0.45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</row>
    <row r="231" spans="1:32" x14ac:dyDescent="0.45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</row>
    <row r="232" spans="1:32" x14ac:dyDescent="0.45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</row>
    <row r="233" spans="1:32" x14ac:dyDescent="0.45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</row>
    <row r="234" spans="1:32" x14ac:dyDescent="0.45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</row>
    <row r="235" spans="1:32" x14ac:dyDescent="0.4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</row>
    <row r="236" spans="1:32" x14ac:dyDescent="0.45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</row>
    <row r="237" spans="1:32" x14ac:dyDescent="0.45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</row>
    <row r="238" spans="1:32" x14ac:dyDescent="0.45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</row>
    <row r="239" spans="1:32" x14ac:dyDescent="0.45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</row>
    <row r="240" spans="1:32" x14ac:dyDescent="0.45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</row>
    <row r="241" spans="1:32" x14ac:dyDescent="0.45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</row>
    <row r="242" spans="1:32" x14ac:dyDescent="0.45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</row>
    <row r="243" spans="1:32" x14ac:dyDescent="0.45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</row>
    <row r="244" spans="1:32" x14ac:dyDescent="0.45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</row>
    <row r="245" spans="1:32" x14ac:dyDescent="0.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</row>
    <row r="246" spans="1:32" x14ac:dyDescent="0.45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</row>
    <row r="247" spans="1:32" x14ac:dyDescent="0.45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</row>
    <row r="248" spans="1:32" x14ac:dyDescent="0.45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</row>
    <row r="249" spans="1:32" x14ac:dyDescent="0.45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</row>
    <row r="250" spans="1:32" x14ac:dyDescent="0.45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</row>
    <row r="251" spans="1:32" x14ac:dyDescent="0.45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</row>
    <row r="252" spans="1:32" x14ac:dyDescent="0.45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</row>
    <row r="253" spans="1:32" x14ac:dyDescent="0.45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</row>
    <row r="254" spans="1:32" x14ac:dyDescent="0.45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</row>
    <row r="255" spans="1:32" x14ac:dyDescent="0.4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</row>
    <row r="256" spans="1:32" x14ac:dyDescent="0.45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</row>
    <row r="257" spans="1:32" x14ac:dyDescent="0.45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</row>
    <row r="258" spans="1:32" x14ac:dyDescent="0.45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</row>
    <row r="259" spans="1:32" x14ac:dyDescent="0.45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</row>
    <row r="260" spans="1:32" x14ac:dyDescent="0.45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</row>
    <row r="261" spans="1:32" x14ac:dyDescent="0.45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</row>
    <row r="262" spans="1:32" x14ac:dyDescent="0.45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</row>
    <row r="263" spans="1:32" x14ac:dyDescent="0.45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</row>
    <row r="264" spans="1:32" x14ac:dyDescent="0.45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</row>
    <row r="265" spans="1:32" x14ac:dyDescent="0.4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</row>
    <row r="266" spans="1:32" x14ac:dyDescent="0.45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</row>
    <row r="267" spans="1:32" x14ac:dyDescent="0.45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</row>
    <row r="268" spans="1:32" x14ac:dyDescent="0.45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</row>
    <row r="269" spans="1:32" x14ac:dyDescent="0.45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</row>
    <row r="270" spans="1:32" x14ac:dyDescent="0.45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</row>
    <row r="271" spans="1:32" x14ac:dyDescent="0.45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</row>
    <row r="272" spans="1:32" x14ac:dyDescent="0.45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</row>
    <row r="273" spans="1:32" x14ac:dyDescent="0.45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</row>
    <row r="274" spans="1:32" x14ac:dyDescent="0.45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</row>
    <row r="275" spans="1:32" x14ac:dyDescent="0.4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</row>
    <row r="276" spans="1:32" x14ac:dyDescent="0.45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</row>
    <row r="277" spans="1:32" x14ac:dyDescent="0.45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</row>
    <row r="278" spans="1:32" x14ac:dyDescent="0.45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</row>
    <row r="279" spans="1:32" x14ac:dyDescent="0.45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</row>
    <row r="280" spans="1:32" x14ac:dyDescent="0.45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</row>
    <row r="281" spans="1:32" x14ac:dyDescent="0.45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</row>
    <row r="282" spans="1:32" x14ac:dyDescent="0.45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</row>
    <row r="283" spans="1:32" x14ac:dyDescent="0.45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</row>
    <row r="284" spans="1:32" x14ac:dyDescent="0.45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</row>
    <row r="285" spans="1:32" x14ac:dyDescent="0.4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</row>
    <row r="286" spans="1:32" x14ac:dyDescent="0.45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</row>
    <row r="287" spans="1:32" x14ac:dyDescent="0.45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</row>
    <row r="288" spans="1:32" x14ac:dyDescent="0.45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</row>
    <row r="289" spans="1:32" x14ac:dyDescent="0.45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</row>
    <row r="290" spans="1:32" x14ac:dyDescent="0.45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</row>
    <row r="291" spans="1:32" x14ac:dyDescent="0.45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</row>
    <row r="292" spans="1:32" x14ac:dyDescent="0.45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</row>
    <row r="293" spans="1:32" x14ac:dyDescent="0.45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</row>
    <row r="294" spans="1:32" x14ac:dyDescent="0.45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</row>
    <row r="295" spans="1:32" x14ac:dyDescent="0.4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</row>
    <row r="296" spans="1:32" x14ac:dyDescent="0.45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</row>
    <row r="297" spans="1:32" x14ac:dyDescent="0.45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</row>
  </sheetData>
  <mergeCells count="3">
    <mergeCell ref="J2:O4"/>
    <mergeCell ref="B2:H2"/>
    <mergeCell ref="Q2:V4"/>
  </mergeCells>
  <phoneticPr fontId="18" type="noConversion"/>
  <pageMargins left="0.7" right="0.7" top="0.78740157499999996" bottom="0.78740157499999996" header="0.3" footer="0.3"/>
  <pageSetup paperSize="9" orientation="portrait" r:id="rId1"/>
  <drawing r:id="rId2"/>
  <legacyDrawing r:id="rId3"/>
  <oleObjects>
    <mc:AlternateContent xmlns:mc="http://schemas.openxmlformats.org/markup-compatibility/2006">
      <mc:Choice Requires="x14">
        <oleObject progId="Equation.3" shapeId="1027" r:id="rId4">
          <objectPr defaultSize="0" autoPict="0" r:id="rId5">
            <anchor moveWithCells="1" sizeWithCells="1">
              <from>
                <xdr:col>18</xdr:col>
                <xdr:colOff>190500</xdr:colOff>
                <xdr:row>4</xdr:row>
                <xdr:rowOff>133350</xdr:rowOff>
              </from>
              <to>
                <xdr:col>21</xdr:col>
                <xdr:colOff>104775</xdr:colOff>
                <xdr:row>5</xdr:row>
                <xdr:rowOff>304800</xdr:rowOff>
              </to>
            </anchor>
          </objectPr>
        </oleObject>
      </mc:Choice>
      <mc:Fallback>
        <oleObject progId="Equation.3" shapeId="1027" r:id="rId4"/>
      </mc:Fallback>
    </mc:AlternateContent>
    <mc:AlternateContent xmlns:mc="http://schemas.openxmlformats.org/markup-compatibility/2006">
      <mc:Choice Requires="x14">
        <oleObject progId="Equation.3" shapeId="1028" r:id="rId6">
          <objectPr defaultSize="0" autoPict="0" r:id="rId7">
            <anchor moveWithCells="1" sizeWithCells="1">
              <from>
                <xdr:col>16</xdr:col>
                <xdr:colOff>552450</xdr:colOff>
                <xdr:row>6</xdr:row>
                <xdr:rowOff>9525</xdr:rowOff>
              </from>
              <to>
                <xdr:col>21</xdr:col>
                <xdr:colOff>1304925</xdr:colOff>
                <xdr:row>7</xdr:row>
                <xdr:rowOff>180975</xdr:rowOff>
              </to>
            </anchor>
          </objectPr>
        </oleObject>
      </mc:Choice>
      <mc:Fallback>
        <oleObject progId="Equation.3" shapeId="1028" r:id="rId6"/>
      </mc:Fallback>
    </mc:AlternateContent>
    <mc:AlternateContent xmlns:mc="http://schemas.openxmlformats.org/markup-compatibility/2006">
      <mc:Choice Requires="x14">
        <oleObject progId="Equation.3" shapeId="1029" r:id="rId8">
          <objectPr defaultSize="0" autoPict="0" r:id="rId9">
            <anchor moveWithCells="1" sizeWithCells="1">
              <from>
                <xdr:col>17</xdr:col>
                <xdr:colOff>409575</xdr:colOff>
                <xdr:row>8</xdr:row>
                <xdr:rowOff>38100</xdr:rowOff>
              </from>
              <to>
                <xdr:col>21</xdr:col>
                <xdr:colOff>762000</xdr:colOff>
                <xdr:row>10</xdr:row>
                <xdr:rowOff>9525</xdr:rowOff>
              </to>
            </anchor>
          </objectPr>
        </oleObject>
      </mc:Choice>
      <mc:Fallback>
        <oleObject progId="Equation.3" shapeId="1029" r:id="rId8"/>
      </mc:Fallback>
    </mc:AlternateContent>
    <mc:AlternateContent xmlns:mc="http://schemas.openxmlformats.org/markup-compatibility/2006">
      <mc:Choice Requires="x14">
        <oleObject progId="Equation.3" shapeId="1030" r:id="rId10">
          <objectPr defaultSize="0" autoPict="0" r:id="rId11">
            <anchor moveWithCells="1" sizeWithCells="1">
              <from>
                <xdr:col>16</xdr:col>
                <xdr:colOff>0</xdr:colOff>
                <xdr:row>10</xdr:row>
                <xdr:rowOff>123825</xdr:rowOff>
              </from>
              <to>
                <xdr:col>21</xdr:col>
                <xdr:colOff>1933575</xdr:colOff>
                <xdr:row>12</xdr:row>
                <xdr:rowOff>66675</xdr:rowOff>
              </to>
            </anchor>
          </objectPr>
        </oleObject>
      </mc:Choice>
      <mc:Fallback>
        <oleObject progId="Equation.3" shapeId="1030" r:id="rId10"/>
      </mc:Fallback>
    </mc:AlternateContent>
    <mc:AlternateContent xmlns:mc="http://schemas.openxmlformats.org/markup-compatibility/2006">
      <mc:Choice Requires="x14">
        <oleObject progId="Equation.3" shapeId="1031" r:id="rId12">
          <objectPr defaultSize="0" autoPict="0" r:id="rId13">
            <anchor moveWithCells="1" sizeWithCells="1">
              <from>
                <xdr:col>16</xdr:col>
                <xdr:colOff>333375</xdr:colOff>
                <xdr:row>13</xdr:row>
                <xdr:rowOff>57150</xdr:rowOff>
              </from>
              <to>
                <xdr:col>21</xdr:col>
                <xdr:colOff>1695450</xdr:colOff>
                <xdr:row>13</xdr:row>
                <xdr:rowOff>381000</xdr:rowOff>
              </to>
            </anchor>
          </objectPr>
        </oleObject>
      </mc:Choice>
      <mc:Fallback>
        <oleObject progId="Equation.3" shapeId="1031" r:id="rId12"/>
      </mc:Fallback>
    </mc:AlternateContent>
    <mc:AlternateContent xmlns:mc="http://schemas.openxmlformats.org/markup-compatibility/2006">
      <mc:Choice Requires="x14">
        <oleObject progId="Equation.3" shapeId="1032" r:id="rId14">
          <objectPr defaultSize="0" autoPict="0" r:id="rId15">
            <anchor moveWithCells="1" sizeWithCells="1">
              <from>
                <xdr:col>16</xdr:col>
                <xdr:colOff>447675</xdr:colOff>
                <xdr:row>14</xdr:row>
                <xdr:rowOff>57150</xdr:rowOff>
              </from>
              <to>
                <xdr:col>21</xdr:col>
                <xdr:colOff>1543050</xdr:colOff>
                <xdr:row>15</xdr:row>
                <xdr:rowOff>152400</xdr:rowOff>
              </to>
            </anchor>
          </objectPr>
        </oleObject>
      </mc:Choice>
      <mc:Fallback>
        <oleObject progId="Equation.3" shapeId="1032" r:id="rId14"/>
      </mc:Fallback>
    </mc:AlternateContent>
    <mc:AlternateContent xmlns:mc="http://schemas.openxmlformats.org/markup-compatibility/2006">
      <mc:Choice Requires="x14">
        <oleObject progId="Equation.3" shapeId="1033" r:id="rId16">
          <objectPr defaultSize="0" autoPict="0" r:id="rId17">
            <anchor moveWithCells="1" sizeWithCells="1">
              <from>
                <xdr:col>16</xdr:col>
                <xdr:colOff>542925</xdr:colOff>
                <xdr:row>16</xdr:row>
                <xdr:rowOff>161925</xdr:rowOff>
              </from>
              <to>
                <xdr:col>21</xdr:col>
                <xdr:colOff>1476375</xdr:colOff>
                <xdr:row>18</xdr:row>
                <xdr:rowOff>104775</xdr:rowOff>
              </to>
            </anchor>
          </objectPr>
        </oleObject>
      </mc:Choice>
      <mc:Fallback>
        <oleObject progId="Equation.3" shapeId="1033" r:id="rId16"/>
      </mc:Fallback>
    </mc:AlternateContent>
    <mc:AlternateContent xmlns:mc="http://schemas.openxmlformats.org/markup-compatibility/2006">
      <mc:Choice Requires="x14">
        <oleObject progId="Equation.3" shapeId="1034" r:id="rId18">
          <objectPr defaultSize="0" autoPict="0" r:id="rId19">
            <anchor moveWithCells="1" sizeWithCells="1">
              <from>
                <xdr:col>17</xdr:col>
                <xdr:colOff>695325</xdr:colOff>
                <xdr:row>19</xdr:row>
                <xdr:rowOff>9525</xdr:rowOff>
              </from>
              <to>
                <xdr:col>21</xdr:col>
                <xdr:colOff>485775</xdr:colOff>
                <xdr:row>21</xdr:row>
                <xdr:rowOff>180975</xdr:rowOff>
              </to>
            </anchor>
          </objectPr>
        </oleObject>
      </mc:Choice>
      <mc:Fallback>
        <oleObject progId="Equation.3" shapeId="1034" r:id="rId18"/>
      </mc:Fallback>
    </mc:AlternateContent>
    <mc:AlternateContent xmlns:mc="http://schemas.openxmlformats.org/markup-compatibility/2006">
      <mc:Choice Requires="x14">
        <oleObject progId="Equation.3" shapeId="1035" r:id="rId20">
          <objectPr defaultSize="0" autoPict="0" r:id="rId21">
            <anchor moveWithCells="1" sizeWithCells="1">
              <from>
                <xdr:col>17</xdr:col>
                <xdr:colOff>752475</xdr:colOff>
                <xdr:row>22</xdr:row>
                <xdr:rowOff>9525</xdr:rowOff>
              </from>
              <to>
                <xdr:col>21</xdr:col>
                <xdr:colOff>542925</xdr:colOff>
                <xdr:row>24</xdr:row>
                <xdr:rowOff>190500</xdr:rowOff>
              </to>
            </anchor>
          </objectPr>
        </oleObject>
      </mc:Choice>
      <mc:Fallback>
        <oleObject progId="Equation.3" shapeId="1035" r:id="rId20"/>
      </mc:Fallback>
    </mc:AlternateContent>
    <mc:AlternateContent xmlns:mc="http://schemas.openxmlformats.org/markup-compatibility/2006">
      <mc:Choice Requires="x14">
        <oleObject progId="Equation.3" shapeId="1037" r:id="rId22">
          <objectPr defaultSize="0" autoPict="0" r:id="rId23">
            <anchor moveWithCells="1" sizeWithCells="1">
              <from>
                <xdr:col>18</xdr:col>
                <xdr:colOff>400050</xdr:colOff>
                <xdr:row>25</xdr:row>
                <xdr:rowOff>47625</xdr:rowOff>
              </from>
              <to>
                <xdr:col>20</xdr:col>
                <xdr:colOff>742950</xdr:colOff>
                <xdr:row>26</xdr:row>
                <xdr:rowOff>152400</xdr:rowOff>
              </to>
            </anchor>
          </objectPr>
        </oleObject>
      </mc:Choice>
      <mc:Fallback>
        <oleObject progId="Equation.3" shapeId="1037" r:id="rId22"/>
      </mc:Fallback>
    </mc:AlternateContent>
    <mc:AlternateContent xmlns:mc="http://schemas.openxmlformats.org/markup-compatibility/2006">
      <mc:Choice Requires="x14">
        <oleObject progId="Equation.3" shapeId="1038" r:id="rId24">
          <objectPr defaultSize="0" autoPict="0" r:id="rId25">
            <anchor moveWithCells="1" sizeWithCells="1">
              <from>
                <xdr:col>15</xdr:col>
                <xdr:colOff>323850</xdr:colOff>
                <xdr:row>27</xdr:row>
                <xdr:rowOff>114300</xdr:rowOff>
              </from>
              <to>
                <xdr:col>21</xdr:col>
                <xdr:colOff>1962150</xdr:colOff>
                <xdr:row>30</xdr:row>
                <xdr:rowOff>123825</xdr:rowOff>
              </to>
            </anchor>
          </objectPr>
        </oleObject>
      </mc:Choice>
      <mc:Fallback>
        <oleObject progId="Equation.3" shapeId="1038" r:id="rId24"/>
      </mc:Fallback>
    </mc:AlternateContent>
    <mc:AlternateContent xmlns:mc="http://schemas.openxmlformats.org/markup-compatibility/2006">
      <mc:Choice Requires="x14">
        <oleObject progId="Equation.3" shapeId="1039" r:id="rId26">
          <objectPr defaultSize="0" autoPict="0" r:id="rId27">
            <anchor moveWithCells="1" sizeWithCells="1">
              <from>
                <xdr:col>16</xdr:col>
                <xdr:colOff>180975</xdr:colOff>
                <xdr:row>31</xdr:row>
                <xdr:rowOff>123825</xdr:rowOff>
              </from>
              <to>
                <xdr:col>21</xdr:col>
                <xdr:colOff>1762125</xdr:colOff>
                <xdr:row>34</xdr:row>
                <xdr:rowOff>171450</xdr:rowOff>
              </to>
            </anchor>
          </objectPr>
        </oleObject>
      </mc:Choice>
      <mc:Fallback>
        <oleObject progId="Equation.3" shapeId="1039" r:id="rId26"/>
      </mc:Fallback>
    </mc:AlternateContent>
    <mc:AlternateContent xmlns:mc="http://schemas.openxmlformats.org/markup-compatibility/2006">
      <mc:Choice Requires="x14">
        <oleObject progId="Equation.3" shapeId="1040" r:id="rId28">
          <objectPr defaultSize="0" autoPict="0" r:id="rId29">
            <anchor moveWithCells="1" sizeWithCells="1">
              <from>
                <xdr:col>17</xdr:col>
                <xdr:colOff>666750</xdr:colOff>
                <xdr:row>35</xdr:row>
                <xdr:rowOff>76200</xdr:rowOff>
              </from>
              <to>
                <xdr:col>21</xdr:col>
                <xdr:colOff>685800</xdr:colOff>
                <xdr:row>38</xdr:row>
                <xdr:rowOff>133350</xdr:rowOff>
              </to>
            </anchor>
          </objectPr>
        </oleObject>
      </mc:Choice>
      <mc:Fallback>
        <oleObject progId="Equation.3" shapeId="1040" r:id="rId28"/>
      </mc:Fallback>
    </mc:AlternateContent>
    <mc:AlternateContent xmlns:mc="http://schemas.openxmlformats.org/markup-compatibility/2006">
      <mc:Choice Requires="x14">
        <oleObject progId="Equation.3" shapeId="1042" r:id="rId30">
          <objectPr defaultSize="0" autoPict="0" r:id="rId31">
            <anchor moveWithCells="1" sizeWithCells="1">
              <from>
                <xdr:col>17</xdr:col>
                <xdr:colOff>676275</xdr:colOff>
                <xdr:row>42</xdr:row>
                <xdr:rowOff>76200</xdr:rowOff>
              </from>
              <to>
                <xdr:col>21</xdr:col>
                <xdr:colOff>704850</xdr:colOff>
                <xdr:row>45</xdr:row>
                <xdr:rowOff>133350</xdr:rowOff>
              </to>
            </anchor>
          </objectPr>
        </oleObject>
      </mc:Choice>
      <mc:Fallback>
        <oleObject progId="Equation.3" shapeId="1042" r:id="rId30"/>
      </mc:Fallback>
    </mc:AlternateContent>
    <mc:AlternateContent xmlns:mc="http://schemas.openxmlformats.org/markup-compatibility/2006">
      <mc:Choice Requires="x14">
        <oleObject progId="Equation.3" shapeId="1043" r:id="rId32">
          <objectPr defaultSize="0" autoPict="0" r:id="rId33">
            <anchor moveWithCells="1" sizeWithCells="1">
              <from>
                <xdr:col>18</xdr:col>
                <xdr:colOff>457200</xdr:colOff>
                <xdr:row>39</xdr:row>
                <xdr:rowOff>133350</xdr:rowOff>
              </from>
              <to>
                <xdr:col>21</xdr:col>
                <xdr:colOff>209550</xdr:colOff>
                <xdr:row>41</xdr:row>
                <xdr:rowOff>57150</xdr:rowOff>
              </to>
            </anchor>
          </objectPr>
        </oleObject>
      </mc:Choice>
      <mc:Fallback>
        <oleObject progId="Equation.3" shapeId="1043" r:id="rId32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233"/>
  <sheetViews>
    <sheetView tabSelected="1" topLeftCell="E26" zoomScale="90" zoomScaleNormal="90" workbookViewId="0">
      <selection activeCell="R28" sqref="R28:R54"/>
    </sheetView>
  </sheetViews>
  <sheetFormatPr defaultColWidth="11.42578125" defaultRowHeight="15" x14ac:dyDescent="0.45"/>
  <cols>
    <col min="1" max="1" width="8.140625" customWidth="1"/>
    <col min="2" max="2" width="29.28515625" customWidth="1"/>
    <col min="3" max="3" width="23.140625" bestFit="1" customWidth="1"/>
    <col min="4" max="4" width="21.7109375" customWidth="1"/>
    <col min="5" max="5" width="18.5703125" customWidth="1"/>
    <col min="6" max="6" width="21.5703125" customWidth="1"/>
    <col min="7" max="7" width="5.5703125" customWidth="1"/>
    <col min="8" max="8" width="4.85546875" customWidth="1"/>
    <col min="9" max="9" width="19" customWidth="1"/>
    <col min="10" max="10" width="17.28515625" customWidth="1"/>
    <col min="11" max="11" width="9.5703125" customWidth="1"/>
    <col min="12" max="13" width="9.28515625" customWidth="1"/>
    <col min="14" max="14" width="9.42578125" customWidth="1"/>
    <col min="15" max="15" width="14.42578125" customWidth="1"/>
    <col min="16" max="16" width="11.42578125" customWidth="1"/>
    <col min="17" max="17" width="14.85546875" customWidth="1"/>
    <col min="19" max="19" width="18.42578125" bestFit="1" customWidth="1"/>
  </cols>
  <sheetData>
    <row r="1" spans="1:32" ht="15.4" thickBot="1" x14ac:dyDescent="0.5">
      <c r="A1" s="7"/>
      <c r="B1" s="7"/>
      <c r="C1" s="7"/>
      <c r="D1" s="7"/>
      <c r="E1" s="7"/>
      <c r="F1" s="7"/>
      <c r="G1" s="171"/>
      <c r="H1" s="171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</row>
    <row r="2" spans="1:32" ht="15" customHeight="1" x14ac:dyDescent="0.45">
      <c r="A2" s="7"/>
      <c r="B2" s="7"/>
      <c r="C2" s="7"/>
      <c r="D2" s="7"/>
      <c r="E2" s="7"/>
      <c r="F2" s="7"/>
      <c r="G2" s="171"/>
      <c r="H2" s="171"/>
      <c r="I2" s="116" t="s">
        <v>20</v>
      </c>
      <c r="J2" s="117"/>
      <c r="K2" s="117"/>
      <c r="L2" s="117"/>
      <c r="M2" s="117"/>
      <c r="N2" s="117"/>
      <c r="O2" s="117"/>
      <c r="P2" s="117"/>
      <c r="Q2" s="118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</row>
    <row r="3" spans="1:32" ht="15" customHeight="1" x14ac:dyDescent="0.45">
      <c r="A3" s="7"/>
      <c r="B3" s="7"/>
      <c r="C3" s="7"/>
      <c r="D3" s="7"/>
      <c r="E3" s="7"/>
      <c r="F3" s="7"/>
      <c r="G3" s="171"/>
      <c r="H3" s="171"/>
      <c r="I3" s="119"/>
      <c r="J3" s="120"/>
      <c r="K3" s="120"/>
      <c r="L3" s="120"/>
      <c r="M3" s="120"/>
      <c r="N3" s="120"/>
      <c r="O3" s="120"/>
      <c r="P3" s="120"/>
      <c r="Q3" s="121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</row>
    <row r="4" spans="1:32" ht="15" customHeight="1" thickBot="1" x14ac:dyDescent="0.5">
      <c r="A4" s="7"/>
      <c r="B4" s="7"/>
      <c r="C4" s="7"/>
      <c r="D4" s="7"/>
      <c r="E4" s="7"/>
      <c r="F4" s="7"/>
      <c r="G4" s="171"/>
      <c r="H4" s="171"/>
      <c r="I4" s="122"/>
      <c r="J4" s="123"/>
      <c r="K4" s="123"/>
      <c r="L4" s="123"/>
      <c r="M4" s="123"/>
      <c r="N4" s="123"/>
      <c r="O4" s="123"/>
      <c r="P4" s="123"/>
      <c r="Q4" s="124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</row>
    <row r="5" spans="1:32" ht="24.75" customHeight="1" x14ac:dyDescent="0.45">
      <c r="A5" s="7"/>
      <c r="B5" s="7"/>
      <c r="C5" s="7"/>
      <c r="D5" s="7"/>
      <c r="E5" s="7"/>
      <c r="F5" s="7"/>
      <c r="G5" s="171"/>
      <c r="H5" s="171"/>
      <c r="I5" s="125" t="s">
        <v>40</v>
      </c>
      <c r="J5" s="126"/>
      <c r="K5" s="126"/>
      <c r="L5" s="126"/>
      <c r="M5" s="126"/>
      <c r="N5" s="126"/>
      <c r="O5" s="126"/>
      <c r="P5" s="126"/>
      <c r="Q5" s="12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</row>
    <row r="6" spans="1:32" ht="15" customHeight="1" x14ac:dyDescent="0.45">
      <c r="A6" s="7"/>
      <c r="B6" s="7"/>
      <c r="C6" s="7"/>
      <c r="D6" s="7"/>
      <c r="E6" s="7"/>
      <c r="F6" s="7"/>
      <c r="G6" s="171"/>
      <c r="H6" s="171"/>
      <c r="I6" s="50" t="s">
        <v>51</v>
      </c>
      <c r="J6" s="50" t="s">
        <v>52</v>
      </c>
      <c r="K6" s="50" t="s">
        <v>48</v>
      </c>
      <c r="L6" s="168" t="s">
        <v>41</v>
      </c>
      <c r="M6" s="169"/>
      <c r="N6" s="169"/>
      <c r="O6" s="169"/>
      <c r="P6" s="169"/>
      <c r="Q6" s="170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</row>
    <row r="7" spans="1:32" ht="15" customHeight="1" thickBot="1" x14ac:dyDescent="0.5">
      <c r="A7" s="7"/>
      <c r="B7" s="7"/>
      <c r="C7" s="7"/>
      <c r="D7" s="7"/>
      <c r="E7" s="7"/>
      <c r="F7" s="7"/>
      <c r="G7" s="171"/>
      <c r="H7" s="171"/>
      <c r="I7" s="51" t="s">
        <v>21</v>
      </c>
      <c r="J7" s="38">
        <f>SUM(J13,J19)</f>
        <v>2000.9114509999999</v>
      </c>
      <c r="K7" s="39">
        <f>J7/J7</f>
        <v>1</v>
      </c>
      <c r="L7" s="162" t="s">
        <v>70</v>
      </c>
      <c r="M7" s="163"/>
      <c r="N7" s="163"/>
      <c r="O7" s="163"/>
      <c r="P7" s="163"/>
      <c r="Q7" s="164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</row>
    <row r="8" spans="1:32" ht="15" customHeight="1" x14ac:dyDescent="0.45">
      <c r="A8" s="7"/>
      <c r="B8" s="143" t="s">
        <v>3</v>
      </c>
      <c r="C8" s="144"/>
      <c r="D8" s="144"/>
      <c r="E8" s="144"/>
      <c r="F8" s="145"/>
      <c r="G8" s="171"/>
      <c r="H8" s="171"/>
      <c r="I8" s="52" t="s">
        <v>6</v>
      </c>
      <c r="J8" s="38">
        <f>SUM(J14,J20)</f>
        <v>2000.81119139</v>
      </c>
      <c r="K8" s="40">
        <f>J8/J7</f>
        <v>0.99994989303002402</v>
      </c>
      <c r="L8" s="162" t="s">
        <v>71</v>
      </c>
      <c r="M8" s="163"/>
      <c r="N8" s="163"/>
      <c r="O8" s="163"/>
      <c r="P8" s="163"/>
      <c r="Q8" s="164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</row>
    <row r="9" spans="1:32" ht="15" customHeight="1" x14ac:dyDescent="0.45">
      <c r="A9" s="7"/>
      <c r="B9" s="146"/>
      <c r="C9" s="147"/>
      <c r="D9" s="147"/>
      <c r="E9" s="147"/>
      <c r="F9" s="148"/>
      <c r="G9" s="171"/>
      <c r="H9" s="171"/>
      <c r="I9" s="51" t="s">
        <v>8</v>
      </c>
      <c r="J9" s="41">
        <f t="shared" ref="J9:J10" si="0">SUM(J15,J21)</f>
        <v>5.4687059999999989E-2</v>
      </c>
      <c r="K9" s="40">
        <f>J9/J7</f>
        <v>2.7331074532393183E-5</v>
      </c>
      <c r="L9" s="162" t="s">
        <v>71</v>
      </c>
      <c r="M9" s="163"/>
      <c r="N9" s="163"/>
      <c r="O9" s="163"/>
      <c r="P9" s="163"/>
      <c r="Q9" s="164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</row>
    <row r="10" spans="1:32" ht="15" customHeight="1" thickBot="1" x14ac:dyDescent="0.5">
      <c r="A10" s="7"/>
      <c r="B10" s="149"/>
      <c r="C10" s="150"/>
      <c r="D10" s="150"/>
      <c r="E10" s="150"/>
      <c r="F10" s="151"/>
      <c r="G10" s="171"/>
      <c r="H10" s="171"/>
      <c r="I10" s="52" t="s">
        <v>9</v>
      </c>
      <c r="J10" s="41">
        <f t="shared" si="0"/>
        <v>4.5572550000000003E-2</v>
      </c>
      <c r="K10" s="40">
        <f>J10/J7</f>
        <v>2.2775895443660994E-5</v>
      </c>
      <c r="L10" s="162" t="s">
        <v>71</v>
      </c>
      <c r="M10" s="163"/>
      <c r="N10" s="163"/>
      <c r="O10" s="163"/>
      <c r="P10" s="163"/>
      <c r="Q10" s="164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</row>
    <row r="11" spans="1:32" ht="15" customHeight="1" x14ac:dyDescent="0.45">
      <c r="A11" s="7"/>
      <c r="B11" s="152" t="s">
        <v>38</v>
      </c>
      <c r="C11" s="153"/>
      <c r="D11" s="153"/>
      <c r="E11" s="153"/>
      <c r="F11" s="154"/>
      <c r="G11" s="171"/>
      <c r="H11" s="171"/>
      <c r="I11" s="187"/>
      <c r="J11" s="187"/>
      <c r="K11" s="187"/>
      <c r="L11" s="187"/>
      <c r="M11" s="187"/>
      <c r="N11" s="187"/>
      <c r="O11" s="187"/>
      <c r="P11" s="187"/>
      <c r="Q11" s="18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</row>
    <row r="12" spans="1:32" ht="15" customHeight="1" x14ac:dyDescent="0.45">
      <c r="A12" s="7"/>
      <c r="B12" s="155"/>
      <c r="C12" s="156"/>
      <c r="D12" s="156"/>
      <c r="E12" s="156"/>
      <c r="F12" s="157"/>
      <c r="G12" s="171"/>
      <c r="H12" s="171"/>
      <c r="I12" s="50" t="s">
        <v>53</v>
      </c>
      <c r="J12" s="50" t="s">
        <v>52</v>
      </c>
      <c r="K12" s="50" t="s">
        <v>48</v>
      </c>
      <c r="L12" s="168" t="s">
        <v>41</v>
      </c>
      <c r="M12" s="169"/>
      <c r="N12" s="169"/>
      <c r="O12" s="169"/>
      <c r="P12" s="169"/>
      <c r="Q12" s="170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</row>
    <row r="13" spans="1:32" ht="15" customHeight="1" x14ac:dyDescent="0.45">
      <c r="A13" s="8"/>
      <c r="B13" s="141" t="s">
        <v>4</v>
      </c>
      <c r="C13" s="142"/>
      <c r="D13" s="131" t="s">
        <v>41</v>
      </c>
      <c r="E13" s="131"/>
      <c r="F13" s="131"/>
      <c r="G13" s="171"/>
      <c r="H13" s="171"/>
      <c r="I13" s="51" t="s">
        <v>5</v>
      </c>
      <c r="J13" s="42">
        <f>SUM(J14:J16)</f>
        <v>2000</v>
      </c>
      <c r="K13" s="39">
        <f>J13/J13</f>
        <v>1</v>
      </c>
      <c r="L13" s="162" t="s">
        <v>73</v>
      </c>
      <c r="M13" s="163"/>
      <c r="N13" s="163"/>
      <c r="O13" s="163"/>
      <c r="P13" s="163"/>
      <c r="Q13" s="164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</row>
    <row r="14" spans="1:32" ht="15" customHeight="1" x14ac:dyDescent="0.45">
      <c r="A14" s="7"/>
      <c r="B14" s="4" t="s">
        <v>35</v>
      </c>
      <c r="C14" s="44">
        <v>2000</v>
      </c>
      <c r="D14" s="132" t="s">
        <v>18</v>
      </c>
      <c r="E14" s="132"/>
      <c r="F14" s="132"/>
      <c r="G14" s="171"/>
      <c r="H14" s="171"/>
      <c r="I14" s="52" t="s">
        <v>45</v>
      </c>
      <c r="J14" s="42">
        <f>C14-SUM(J15:J16)</f>
        <v>2000</v>
      </c>
      <c r="K14" s="40">
        <f>J14/J13</f>
        <v>1</v>
      </c>
      <c r="L14" s="165" t="s">
        <v>72</v>
      </c>
      <c r="M14" s="166"/>
      <c r="N14" s="166"/>
      <c r="O14" s="166"/>
      <c r="P14" s="166"/>
      <c r="Q14" s="16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</row>
    <row r="15" spans="1:32" ht="15" customHeight="1" x14ac:dyDescent="0.45">
      <c r="A15" s="7"/>
      <c r="B15" s="5" t="s">
        <v>15</v>
      </c>
      <c r="C15" s="44" t="s">
        <v>14</v>
      </c>
      <c r="D15" s="133" t="s">
        <v>62</v>
      </c>
      <c r="E15" s="133"/>
      <c r="F15" s="133"/>
      <c r="G15" s="171"/>
      <c r="H15" s="171"/>
      <c r="I15" s="51" t="s">
        <v>46</v>
      </c>
      <c r="J15" s="43">
        <f>C14/1000*IF(AND(C15="OptiMEM",C17="FBS"),C16*'Model structure'!L7+'User input and model output'!C18*'Model structure'!L10,IF(AND(C15="OptiMEM",C17="d-FBS"),C16*'Model structure'!L7+'User input and model output'!C18*'Model structure'!L12,IF(AND(C15="OptiMEM",C17="cs-FBS"),C16*'Model structure'!L7+'User input and model output'!C18*'Model structure'!L11,IF(AND(C15="DMEM Glutamax",C17="FBS"),C16*'Model structure'!L8+'User input and model output'!C18*'Model structure'!L10,IF(AND(C15="DMEM Glutamax",C17="d-FBS"),C16*'Model structure'!L8+'User input and model output'!C18*'Model structure'!L12,IF(AND(C15="DMEM Glutamax",C17="cs-FBS"),C16*'Model structure'!L8+'User input and model output'!C18*'Model structure'!L11,IF(AND(C15="Phenol-Red free DMEM",C17="FBS"),C16*'Model structure'!L9+'User input and model output'!C18*'Model structure'!L10,IF(AND(C15="Phenol-Red free DMEM",C17="d-FBS"),C16*'Model structure'!L9+'User input and model output'!C18*'Model structure'!L12,IF(AND(C15="Phenol-Red free DMEM",C17="cs-FBS"),C16*'Model structure'!L9+'User input and model output'!C18*'Model structure'!L11,C16*AVERAGE('Model structure'!L7:L9)+'User input and model output'!C18*AVERAGE('Model structure'!L10:L12))))))))))</f>
        <v>0</v>
      </c>
      <c r="K15" s="40">
        <f>J15/J13</f>
        <v>0</v>
      </c>
      <c r="L15" s="162" t="s">
        <v>71</v>
      </c>
      <c r="M15" s="163"/>
      <c r="N15" s="163"/>
      <c r="O15" s="163"/>
      <c r="P15" s="163"/>
      <c r="Q15" s="164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</row>
    <row r="16" spans="1:32" ht="15" customHeight="1" x14ac:dyDescent="0.45">
      <c r="A16" s="7"/>
      <c r="B16" s="4" t="s">
        <v>36</v>
      </c>
      <c r="C16" s="45">
        <v>1</v>
      </c>
      <c r="D16" s="134" t="s">
        <v>42</v>
      </c>
      <c r="E16" s="135"/>
      <c r="F16" s="136"/>
      <c r="G16" s="171"/>
      <c r="H16" s="171"/>
      <c r="I16" s="52" t="s">
        <v>47</v>
      </c>
      <c r="J16" s="43">
        <f>C14/1000*IF(AND(C15="OptiMEM",C17="FBS"),C16*'Model structure'!M7+'User input and model output'!C18*'Model structure'!M10,IF(AND(C15="OptiMEM",C17="d-FBS"),C16*'Model structure'!M7+'User input and model output'!C18*'Model structure'!M12,IF(AND(C15="OptiMEM",C17="cs-FBS"),C16*'Model structure'!M7+'User input and model output'!C18*'Model structure'!M11,IF(AND(C15="DMEM Glutamax",C17="FBS"),C16*'Model structure'!M8+'User input and model output'!C18*'Model structure'!M10,IF(AND(C15="DMEM Glutamax",C17="d-FBS"),C16*'Model structure'!M8+'User input and model output'!C18*'Model structure'!M12,IF(AND(C15="DMEM Glutamax",C17="cs-FBS"),C16*'Model structure'!M8+'User input and model output'!C18*'Model structure'!M11,IF(AND(C15="Phenol-Red free DMEM",C17="FBS"),C16*'Model structure'!M9+'User input and model output'!C18*'Model structure'!M10,IF(AND(C15="Phenol-Red free DMEM",C17="d-FBS"),C16*'Model structure'!M9+'User input and model output'!C18*'Model structure'!M12,IF(AND(C15="Phenol-Red free DMEM",C17="cs-FBS"),C16*'Model structure'!M9+'User input and model output'!C18*'Model structure'!M11,C16*AVERAGE('Model structure'!M7:M9)+'User input and model output'!C18*AVERAGE('Model structure'!M10:M13))))))))))</f>
        <v>0</v>
      </c>
      <c r="K16" s="40">
        <f>J16/J13</f>
        <v>0</v>
      </c>
      <c r="L16" s="162" t="s">
        <v>71</v>
      </c>
      <c r="M16" s="163"/>
      <c r="N16" s="163"/>
      <c r="O16" s="163"/>
      <c r="P16" s="163"/>
      <c r="Q16" s="164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</row>
    <row r="17" spans="1:32" ht="15" customHeight="1" x14ac:dyDescent="0.45">
      <c r="A17" s="7"/>
      <c r="B17" s="5" t="s">
        <v>16</v>
      </c>
      <c r="C17" s="44" t="s">
        <v>78</v>
      </c>
      <c r="D17" s="137" t="s">
        <v>63</v>
      </c>
      <c r="E17" s="138"/>
      <c r="F17" s="139"/>
      <c r="G17" s="171"/>
      <c r="H17" s="171"/>
      <c r="I17" s="165"/>
      <c r="J17" s="166"/>
      <c r="K17" s="166"/>
      <c r="L17" s="166"/>
      <c r="M17" s="166"/>
      <c r="N17" s="166"/>
      <c r="O17" s="166"/>
      <c r="P17" s="166"/>
      <c r="Q17" s="16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</row>
    <row r="18" spans="1:32" ht="15" customHeight="1" x14ac:dyDescent="0.45">
      <c r="A18" s="7"/>
      <c r="B18" s="4" t="s">
        <v>37</v>
      </c>
      <c r="C18" s="45">
        <v>0</v>
      </c>
      <c r="D18" s="134" t="s">
        <v>43</v>
      </c>
      <c r="E18" s="135"/>
      <c r="F18" s="136"/>
      <c r="G18" s="171"/>
      <c r="H18" s="171"/>
      <c r="I18" s="50" t="s">
        <v>31</v>
      </c>
      <c r="J18" s="50" t="s">
        <v>52</v>
      </c>
      <c r="K18" s="50" t="s">
        <v>48</v>
      </c>
      <c r="L18" s="168" t="s">
        <v>41</v>
      </c>
      <c r="M18" s="169"/>
      <c r="N18" s="169"/>
      <c r="O18" s="169"/>
      <c r="P18" s="169"/>
      <c r="Q18" s="170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</row>
    <row r="19" spans="1:32" ht="15" customHeight="1" x14ac:dyDescent="0.45">
      <c r="A19" s="7"/>
      <c r="B19" s="133"/>
      <c r="C19" s="133"/>
      <c r="D19" s="133"/>
      <c r="E19" s="133"/>
      <c r="F19" s="133"/>
      <c r="G19" s="171"/>
      <c r="H19" s="171"/>
      <c r="I19" s="51" t="s">
        <v>5</v>
      </c>
      <c r="J19" s="42">
        <f>SUM(J20:J22)</f>
        <v>0.9114509999999999</v>
      </c>
      <c r="K19" s="39">
        <f>J19/J19</f>
        <v>1</v>
      </c>
      <c r="L19" s="162" t="s">
        <v>57</v>
      </c>
      <c r="M19" s="163"/>
      <c r="N19" s="163"/>
      <c r="O19" s="163"/>
      <c r="P19" s="163"/>
      <c r="Q19" s="164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</row>
    <row r="20" spans="1:32" ht="15" customHeight="1" x14ac:dyDescent="0.45">
      <c r="A20" s="7"/>
      <c r="B20" s="141" t="s">
        <v>7</v>
      </c>
      <c r="C20" s="142"/>
      <c r="D20" s="131" t="s">
        <v>41</v>
      </c>
      <c r="E20" s="131"/>
      <c r="F20" s="131"/>
      <c r="G20" s="171"/>
      <c r="H20" s="171"/>
      <c r="I20" s="52" t="s">
        <v>45</v>
      </c>
      <c r="J20" s="43">
        <f>1000*IF(C21="HEK293T",C22/1000000*'Model structure'!L15,IF(C21="HEK293H",C22/1000000*'Model structure'!L16,IF(C21="HepG2",C22/1000000*'Model structure'!L17,IF(C21="HCT116",C22/1000000*'Model structure'!L18,IF(C21="ME-180",C22/1000000*'Model structure'!L19,C22/1000000*AVERAGE('Model structure'!L15:L19))))))</f>
        <v>0.81119138999999985</v>
      </c>
      <c r="K20" s="40">
        <f>J20/J19</f>
        <v>0.8899999999999999</v>
      </c>
      <c r="L20" s="162" t="s">
        <v>71</v>
      </c>
      <c r="M20" s="163"/>
      <c r="N20" s="163"/>
      <c r="O20" s="163"/>
      <c r="P20" s="163"/>
      <c r="Q20" s="164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</row>
    <row r="21" spans="1:32" ht="15" customHeight="1" x14ac:dyDescent="0.45">
      <c r="A21" s="7"/>
      <c r="B21" s="4" t="s">
        <v>10</v>
      </c>
      <c r="C21" s="44" t="s">
        <v>77</v>
      </c>
      <c r="D21" s="137" t="s">
        <v>63</v>
      </c>
      <c r="E21" s="138"/>
      <c r="F21" s="139"/>
      <c r="G21" s="171"/>
      <c r="H21" s="171"/>
      <c r="I21" s="51" t="s">
        <v>46</v>
      </c>
      <c r="J21" s="43">
        <f>1000*IF(C21="HEK293T",C22/1000000*'Model structure'!M15,IF(C21="HEK293H",C22/1000000*'Model structure'!M16,IF(C21="HepG2",C22/1000000*'Model structure'!M17,IF(C21="HCT116",C22/1000000*'Model structure'!M18,IF(C21="ME-180",C22/1000000*'Model structure'!M19,C22/1000000*AVERAGE('Model structure'!M15:M19))))))</f>
        <v>5.4687059999999989E-2</v>
      </c>
      <c r="K21" s="40">
        <f>J21/J19</f>
        <v>5.9999999999999991E-2</v>
      </c>
      <c r="L21" s="162" t="s">
        <v>71</v>
      </c>
      <c r="M21" s="163"/>
      <c r="N21" s="163"/>
      <c r="O21" s="163"/>
      <c r="P21" s="163"/>
      <c r="Q21" s="164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</row>
    <row r="22" spans="1:32" ht="15" customHeight="1" thickBot="1" x14ac:dyDescent="0.5">
      <c r="A22" s="7"/>
      <c r="B22" s="6" t="s">
        <v>19</v>
      </c>
      <c r="C22" s="46">
        <v>300000</v>
      </c>
      <c r="D22" s="140" t="s">
        <v>69</v>
      </c>
      <c r="E22" s="140"/>
      <c r="F22" s="140"/>
      <c r="G22" s="171"/>
      <c r="H22" s="171"/>
      <c r="I22" s="53" t="s">
        <v>47</v>
      </c>
      <c r="J22" s="54">
        <f>1000*IF(C21="HEK293T",C22/1000000*'Model structure'!N15,IF(C21="HEK293H",C22/1000000*'Model structure'!N16,IF(C21="HepG2",C22/1000000*'Model structure'!N17,IF(C21="HCT116",C22/1000000*'Model structure'!N18,IF(C21="ME-180",C22/1000000*'Model structure'!N19,C22/1000000*AVERAGE('Model structure'!N15:N19))))))</f>
        <v>4.5572550000000003E-2</v>
      </c>
      <c r="K22" s="40">
        <f>J22/J19</f>
        <v>5.000000000000001E-2</v>
      </c>
      <c r="L22" s="162" t="s">
        <v>71</v>
      </c>
      <c r="M22" s="163"/>
      <c r="N22" s="163"/>
      <c r="O22" s="163"/>
      <c r="P22" s="163"/>
      <c r="Q22" s="164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</row>
    <row r="23" spans="1:32" ht="15.75" customHeight="1" thickBot="1" x14ac:dyDescent="0.5">
      <c r="A23" s="7"/>
      <c r="B23" s="128"/>
      <c r="C23" s="129"/>
      <c r="D23" s="129"/>
      <c r="E23" s="129"/>
      <c r="F23" s="130"/>
      <c r="G23" s="171"/>
      <c r="H23" s="171"/>
      <c r="I23" s="182"/>
      <c r="J23" s="183"/>
      <c r="K23" s="183"/>
      <c r="L23" s="183"/>
      <c r="M23" s="183"/>
      <c r="N23" s="183"/>
      <c r="O23" s="183"/>
      <c r="P23" s="183"/>
      <c r="Q23" s="184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</row>
    <row r="24" spans="1:32" ht="15" customHeight="1" x14ac:dyDescent="0.45">
      <c r="A24" s="7"/>
      <c r="B24" s="152" t="s">
        <v>39</v>
      </c>
      <c r="C24" s="153"/>
      <c r="D24" s="153"/>
      <c r="E24" s="153"/>
      <c r="F24" s="154"/>
      <c r="G24" s="171"/>
      <c r="H24" s="171"/>
      <c r="I24" s="176" t="s">
        <v>44</v>
      </c>
      <c r="J24" s="177"/>
      <c r="K24" s="177"/>
      <c r="L24" s="177"/>
      <c r="M24" s="177"/>
      <c r="N24" s="177"/>
      <c r="O24" s="177"/>
      <c r="P24" s="177"/>
      <c r="Q24" s="178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</row>
    <row r="25" spans="1:32" ht="15" customHeight="1" x14ac:dyDescent="0.45">
      <c r="A25" s="7"/>
      <c r="B25" s="155"/>
      <c r="C25" s="156"/>
      <c r="D25" s="156"/>
      <c r="E25" s="156"/>
      <c r="F25" s="157"/>
      <c r="G25" s="171"/>
      <c r="H25" s="171"/>
      <c r="I25" s="179"/>
      <c r="J25" s="180"/>
      <c r="K25" s="180"/>
      <c r="L25" s="180"/>
      <c r="M25" s="180"/>
      <c r="N25" s="180"/>
      <c r="O25" s="180"/>
      <c r="P25" s="180"/>
      <c r="Q25" s="181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</row>
    <row r="26" spans="1:32" ht="19.5" customHeight="1" x14ac:dyDescent="0.45">
      <c r="A26" s="7"/>
      <c r="B26" s="174" t="s">
        <v>11</v>
      </c>
      <c r="C26" s="174" t="s">
        <v>12</v>
      </c>
      <c r="D26" s="158" t="s">
        <v>49</v>
      </c>
      <c r="E26" s="158" t="s">
        <v>50</v>
      </c>
      <c r="F26" s="160" t="s">
        <v>68</v>
      </c>
      <c r="G26" s="171"/>
      <c r="H26" s="171"/>
      <c r="I26" s="185" t="s">
        <v>55</v>
      </c>
      <c r="J26" s="185" t="s">
        <v>56</v>
      </c>
      <c r="K26" s="172" t="s">
        <v>76</v>
      </c>
      <c r="L26" s="172" t="s">
        <v>54</v>
      </c>
      <c r="M26" s="172" t="s">
        <v>61</v>
      </c>
      <c r="N26" s="172" t="s">
        <v>64</v>
      </c>
      <c r="O26" s="172" t="s">
        <v>75</v>
      </c>
      <c r="P26" s="172" t="s">
        <v>66</v>
      </c>
      <c r="Q26" s="172" t="s">
        <v>67</v>
      </c>
      <c r="R26" s="9"/>
      <c r="S26" s="10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</row>
    <row r="27" spans="1:32" ht="19.5" customHeight="1" x14ac:dyDescent="0.45">
      <c r="A27" s="7"/>
      <c r="B27" s="175"/>
      <c r="C27" s="175"/>
      <c r="D27" s="159"/>
      <c r="E27" s="159"/>
      <c r="F27" s="161"/>
      <c r="G27" s="171"/>
      <c r="H27" s="171"/>
      <c r="I27" s="186"/>
      <c r="J27" s="186"/>
      <c r="K27" s="173"/>
      <c r="L27" s="173"/>
      <c r="M27" s="173"/>
      <c r="N27" s="173"/>
      <c r="O27" s="173"/>
      <c r="P27" s="173"/>
      <c r="Q27" s="173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</row>
    <row r="28" spans="1:32" x14ac:dyDescent="0.45">
      <c r="A28" s="93"/>
      <c r="B28" s="188" t="s">
        <v>81</v>
      </c>
      <c r="C28" s="188" t="s">
        <v>82</v>
      </c>
      <c r="D28" s="189">
        <v>3.4409280000000009</v>
      </c>
      <c r="E28" s="189">
        <v>4.1160660000000009</v>
      </c>
      <c r="F28" s="190">
        <v>8.3558613910051624E-7</v>
      </c>
      <c r="G28" s="171"/>
      <c r="H28" s="171"/>
      <c r="I28" s="102">
        <f t="shared" ref="I28:I47" si="1">IF(D28=0,"",LOG($K$15*10^D28+$K$16*10^E28+$K$14))</f>
        <v>0</v>
      </c>
      <c r="J28" s="102">
        <f t="shared" ref="J28:J47" si="2">IF(D28=0,"",LOG($K$21*10^D28+$K$22*10^E28+$K$20))</f>
        <v>2.9136453532291715</v>
      </c>
      <c r="K28" s="103">
        <f t="shared" ref="K28:K47" si="3">IF(D28=0,"",1/(1+10^D28*$J$15/$J$14+10^E28*$J$16/$J$14+10^J28*$J$19/$J$14))</f>
        <v>0.7280405052290404</v>
      </c>
      <c r="L28" s="103">
        <f t="shared" ref="L28:L47" si="4">IF(D28=0,"",1/(1+10^I28/10^J28*$J$13/$J$19))</f>
        <v>0.2719594947709596</v>
      </c>
      <c r="M28" s="103">
        <f t="shared" ref="M28:M47" si="5">IF(D28=0,"",1-L28)</f>
        <v>0.7280405052290404</v>
      </c>
      <c r="N28" s="103">
        <f t="shared" ref="N28:N47" si="6">IF(D28=0,"",1/(1/10^E28*$J$20/$J$22+10^D28/10^E28*$J$21/$J$22+10^I28/10^E28*$J$13/$J$22+1))</f>
        <v>0.21671794644806847</v>
      </c>
      <c r="O28" s="41">
        <f t="shared" ref="O28:O47" si="7">IF(D28=0,"",F28*K28*$J$7/$J$14)</f>
        <v>6.0861779117666295E-7</v>
      </c>
      <c r="P28" s="41">
        <f t="shared" ref="P28:P47" si="8">IF(D28=0,"",O28*10^J28)</f>
        <v>4.9887299665015035E-4</v>
      </c>
      <c r="Q28" s="41">
        <f t="shared" ref="Q28:Q47" si="9">IF(D28=0,"",F28*N28*$J$7/$J$22)</f>
        <v>7.9507966039918804E-3</v>
      </c>
      <c r="R28" s="9">
        <f>O28/F28</f>
        <v>0.72837229185230623</v>
      </c>
      <c r="S28" s="11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</row>
    <row r="29" spans="1:32" x14ac:dyDescent="0.45">
      <c r="A29" s="93"/>
      <c r="B29" s="188" t="s">
        <v>83</v>
      </c>
      <c r="C29" s="188" t="s">
        <v>84</v>
      </c>
      <c r="D29" s="189">
        <v>4.9025336133267672</v>
      </c>
      <c r="E29" s="189">
        <v>6.4965619006479365</v>
      </c>
      <c r="F29" s="190">
        <v>4.915212582944213E-8</v>
      </c>
      <c r="G29" s="171"/>
      <c r="H29" s="171"/>
      <c r="I29" s="97">
        <f t="shared" si="1"/>
        <v>0</v>
      </c>
      <c r="J29" s="97">
        <f t="shared" si="2"/>
        <v>5.2086075661318931</v>
      </c>
      <c r="K29" s="98">
        <f t="shared" si="3"/>
        <v>1.3391643924128633E-2</v>
      </c>
      <c r="L29" s="98">
        <f t="shared" si="4"/>
        <v>0.98660835607587138</v>
      </c>
      <c r="M29" s="98">
        <f t="shared" si="5"/>
        <v>1.3391643924128616E-2</v>
      </c>
      <c r="N29" s="98">
        <f t="shared" si="6"/>
        <v>0.95734644352063014</v>
      </c>
      <c r="O29" s="99">
        <f t="shared" si="7"/>
        <v>6.5852773840018582E-10</v>
      </c>
      <c r="P29" s="99">
        <f t="shared" si="8"/>
        <v>1.06458817793083E-4</v>
      </c>
      <c r="Q29" s="99">
        <f t="shared" si="9"/>
        <v>2.0660269086101505E-3</v>
      </c>
      <c r="R29" s="9">
        <f t="shared" ref="R29:R54" si="10">O29/F29</f>
        <v>1.3397746837751778E-2</v>
      </c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</row>
    <row r="30" spans="1:32" x14ac:dyDescent="0.45">
      <c r="A30" s="94"/>
      <c r="B30" s="188" t="s">
        <v>80</v>
      </c>
      <c r="C30" s="188" t="s">
        <v>85</v>
      </c>
      <c r="D30" s="100">
        <v>6.5247999999999973E-2</v>
      </c>
      <c r="E30" s="100">
        <v>8.2216000000000289E-2</v>
      </c>
      <c r="F30" s="101">
        <v>1.4037075180226571E-2</v>
      </c>
      <c r="G30" s="171"/>
      <c r="H30" s="171"/>
      <c r="I30" s="102">
        <f t="shared" si="1"/>
        <v>0</v>
      </c>
      <c r="J30" s="102">
        <f t="shared" si="2"/>
        <v>8.66295144485788E-3</v>
      </c>
      <c r="K30" s="103">
        <f t="shared" si="3"/>
        <v>0.99953530882821029</v>
      </c>
      <c r="L30" s="103">
        <f t="shared" si="4"/>
        <v>4.6469117178965904E-4</v>
      </c>
      <c r="M30" s="103">
        <f t="shared" si="5"/>
        <v>0.99953530882821029</v>
      </c>
      <c r="N30" s="103">
        <f t="shared" si="6"/>
        <v>2.7522474290866779E-5</v>
      </c>
      <c r="O30" s="41">
        <f t="shared" si="7"/>
        <v>1.4036946355763514E-2</v>
      </c>
      <c r="P30" s="41">
        <f t="shared" si="8"/>
        <v>1.4319755133523161E-2</v>
      </c>
      <c r="Q30" s="41">
        <f t="shared" si="9"/>
        <v>1.6962452331342918E-2</v>
      </c>
      <c r="R30" s="9">
        <f t="shared" si="10"/>
        <v>0.99999082255659366</v>
      </c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</row>
    <row r="31" spans="1:32" x14ac:dyDescent="0.45">
      <c r="A31" s="94"/>
      <c r="B31" s="188" t="s">
        <v>86</v>
      </c>
      <c r="C31" s="188" t="s">
        <v>87</v>
      </c>
      <c r="D31" s="100">
        <v>-0.51108880646233978</v>
      </c>
      <c r="E31" s="100">
        <v>-1.2045066120098076</v>
      </c>
      <c r="F31" s="101">
        <v>9.8787446504992868E-2</v>
      </c>
      <c r="G31" s="171"/>
      <c r="H31" s="171"/>
      <c r="I31" s="97">
        <f t="shared" si="1"/>
        <v>0</v>
      </c>
      <c r="J31" s="97">
        <f t="shared" si="2"/>
        <v>-4.018731567582539E-2</v>
      </c>
      <c r="K31" s="98">
        <f t="shared" si="3"/>
        <v>0.99958472515444274</v>
      </c>
      <c r="L31" s="98">
        <f t="shared" si="4"/>
        <v>4.152748455573851E-4</v>
      </c>
      <c r="M31" s="98">
        <f t="shared" si="5"/>
        <v>0.99958472515444263</v>
      </c>
      <c r="N31" s="98">
        <f t="shared" si="6"/>
        <v>1.4222840292261274E-6</v>
      </c>
      <c r="O31" s="99">
        <f t="shared" si="7"/>
        <v>9.8791423826198418E-2</v>
      </c>
      <c r="P31" s="99">
        <f t="shared" si="8"/>
        <v>9.0059997183968413E-2</v>
      </c>
      <c r="Q31" s="99">
        <f t="shared" si="9"/>
        <v>6.1689696372041834E-3</v>
      </c>
      <c r="R31" s="9">
        <f t="shared" si="10"/>
        <v>1.0000402614031061</v>
      </c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</row>
    <row r="32" spans="1:32" x14ac:dyDescent="0.45">
      <c r="A32" s="94"/>
      <c r="B32" s="47" t="s">
        <v>88</v>
      </c>
      <c r="C32" s="47" t="s">
        <v>89</v>
      </c>
      <c r="D32" s="95">
        <v>2.3414159999999997</v>
      </c>
      <c r="E32" s="95">
        <v>2.4767320000000002</v>
      </c>
      <c r="F32" s="96">
        <v>3.934624697336562E-5</v>
      </c>
      <c r="G32" s="171"/>
      <c r="H32" s="171"/>
      <c r="I32" s="102">
        <f t="shared" si="1"/>
        <v>0</v>
      </c>
      <c r="J32" s="102">
        <f t="shared" si="2"/>
        <v>1.4630863314519809</v>
      </c>
      <c r="K32" s="103">
        <f t="shared" si="3"/>
        <v>0.9869359263546803</v>
      </c>
      <c r="L32" s="103">
        <f t="shared" si="4"/>
        <v>1.3064073645319651E-2</v>
      </c>
      <c r="M32" s="103">
        <f t="shared" si="5"/>
        <v>0.9869359263546803</v>
      </c>
      <c r="N32" s="103">
        <f t="shared" si="6"/>
        <v>6.7405338319878163E-3</v>
      </c>
      <c r="O32" s="41">
        <f t="shared" si="7"/>
        <v>3.8849921540258532E-5</v>
      </c>
      <c r="P32" s="41">
        <f t="shared" si="8"/>
        <v>1.1284348169723598E-3</v>
      </c>
      <c r="Q32" s="41">
        <f t="shared" si="9"/>
        <v>1.1644534878629062E-2</v>
      </c>
      <c r="R32" s="9">
        <f t="shared" si="10"/>
        <v>0.987385698223186</v>
      </c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</row>
    <row r="33" spans="1:32" x14ac:dyDescent="0.45">
      <c r="A33" s="94"/>
      <c r="B33" s="47" t="s">
        <v>90</v>
      </c>
      <c r="C33" s="47" t="s">
        <v>91</v>
      </c>
      <c r="D33" s="95">
        <v>2.349974877229557</v>
      </c>
      <c r="E33" s="95">
        <v>2.8654572197209189</v>
      </c>
      <c r="F33" s="96">
        <v>7.510326699211416E-8</v>
      </c>
      <c r="G33" s="171"/>
      <c r="H33" s="171"/>
      <c r="I33" s="102">
        <f t="shared" si="1"/>
        <v>0</v>
      </c>
      <c r="J33" s="102">
        <f t="shared" si="2"/>
        <v>1.7075818611730444</v>
      </c>
      <c r="K33" s="103">
        <f t="shared" si="3"/>
        <v>0.97728532288667602</v>
      </c>
      <c r="L33" s="103">
        <f t="shared" si="4"/>
        <v>2.2714677113324058E-2</v>
      </c>
      <c r="M33" s="103">
        <f t="shared" si="5"/>
        <v>0.97728532288667591</v>
      </c>
      <c r="N33" s="103">
        <f t="shared" si="6"/>
        <v>1.6336233436276694E-2</v>
      </c>
      <c r="O33" s="41">
        <f t="shared" si="7"/>
        <v>7.3430769562830735E-8</v>
      </c>
      <c r="P33" s="41">
        <f t="shared" si="8"/>
        <v>3.7450700107521845E-6</v>
      </c>
      <c r="Q33" s="41">
        <f t="shared" si="9"/>
        <v>5.3868551708322148E-5</v>
      </c>
      <c r="R33" s="9">
        <f t="shared" si="10"/>
        <v>0.97773069672909119</v>
      </c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</row>
    <row r="34" spans="1:32" x14ac:dyDescent="0.45">
      <c r="A34" s="93"/>
      <c r="B34" s="47" t="s">
        <v>92</v>
      </c>
      <c r="C34" s="47" t="s">
        <v>93</v>
      </c>
      <c r="D34" s="100">
        <v>-0.73745450190951667</v>
      </c>
      <c r="E34" s="100">
        <v>-1.5265197844064957</v>
      </c>
      <c r="F34" s="101">
        <v>4.1281912004345465E-6</v>
      </c>
      <c r="G34" s="171"/>
      <c r="H34" s="171"/>
      <c r="I34" s="102">
        <f t="shared" si="1"/>
        <v>0</v>
      </c>
      <c r="J34" s="102">
        <f t="shared" si="2"/>
        <v>-4.4567291494222762E-2</v>
      </c>
      <c r="K34" s="103">
        <f t="shared" si="3"/>
        <v>0.99958889055048683</v>
      </c>
      <c r="L34" s="103">
        <f t="shared" si="4"/>
        <v>4.1110944951324227E-4</v>
      </c>
      <c r="M34" s="103">
        <f t="shared" si="5"/>
        <v>0.99958889055048672</v>
      </c>
      <c r="N34" s="103">
        <f t="shared" si="6"/>
        <v>6.7760245491436443E-7</v>
      </c>
      <c r="O34" s="41">
        <f t="shared" si="7"/>
        <v>4.1283746105923125E-6</v>
      </c>
      <c r="P34" s="41">
        <f t="shared" si="8"/>
        <v>3.725733673334909E-6</v>
      </c>
      <c r="Q34" s="41">
        <f t="shared" si="9"/>
        <v>1.2281723450521305E-7</v>
      </c>
      <c r="R34" s="9">
        <f t="shared" si="10"/>
        <v>1.0000444286974273</v>
      </c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</row>
    <row r="35" spans="1:32" x14ac:dyDescent="0.45">
      <c r="A35" s="93"/>
      <c r="B35" s="47" t="s">
        <v>94</v>
      </c>
      <c r="C35" s="47" t="s">
        <v>95</v>
      </c>
      <c r="D35" s="95">
        <v>1.4854320000000003</v>
      </c>
      <c r="E35" s="95">
        <v>1.5057189999999996</v>
      </c>
      <c r="F35" s="96">
        <v>7.1285140562248994E-4</v>
      </c>
      <c r="G35" s="171"/>
      <c r="H35" s="171"/>
      <c r="I35" s="102">
        <f t="shared" si="1"/>
        <v>0</v>
      </c>
      <c r="J35" s="102">
        <f t="shared" si="2"/>
        <v>0.63617430590334978</v>
      </c>
      <c r="K35" s="103">
        <f t="shared" si="3"/>
        <v>0.99803201353038928</v>
      </c>
      <c r="L35" s="103">
        <f t="shared" si="4"/>
        <v>1.9679864696107371E-3</v>
      </c>
      <c r="M35" s="103">
        <f t="shared" si="5"/>
        <v>0.99803201353038928</v>
      </c>
      <c r="N35" s="103">
        <f t="shared" si="6"/>
        <v>7.2867992785570154E-4</v>
      </c>
      <c r="O35" s="41">
        <f t="shared" si="7"/>
        <v>7.1177274893556998E-4</v>
      </c>
      <c r="P35" s="41">
        <f t="shared" si="8"/>
        <v>3.0797514077509241E-3</v>
      </c>
      <c r="Q35" s="41">
        <f t="shared" si="9"/>
        <v>2.2806590068247021E-2</v>
      </c>
      <c r="R35" s="9">
        <f t="shared" si="10"/>
        <v>0.99848684216877148</v>
      </c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</row>
    <row r="36" spans="1:32" x14ac:dyDescent="0.45">
      <c r="A36" s="93"/>
      <c r="B36" s="47" t="s">
        <v>96</v>
      </c>
      <c r="C36" s="47" t="s">
        <v>97</v>
      </c>
      <c r="D36" s="95">
        <v>2.6972559999999999</v>
      </c>
      <c r="E36" s="95">
        <v>3.431432</v>
      </c>
      <c r="F36" s="96">
        <v>2.8836251287332645E-6</v>
      </c>
      <c r="G36" s="171"/>
      <c r="H36" s="171"/>
      <c r="I36" s="102">
        <f t="shared" si="1"/>
        <v>0</v>
      </c>
      <c r="J36" s="102">
        <f t="shared" si="2"/>
        <v>2.21956631274778</v>
      </c>
      <c r="K36" s="103">
        <f t="shared" si="3"/>
        <v>0.92975157891714244</v>
      </c>
      <c r="L36" s="103">
        <f t="shared" si="4"/>
        <v>7.0248421082857518E-2</v>
      </c>
      <c r="M36" s="103">
        <f t="shared" si="5"/>
        <v>0.92975157891714244</v>
      </c>
      <c r="N36" s="103">
        <f t="shared" si="6"/>
        <v>5.7210040997612038E-2</v>
      </c>
      <c r="O36" s="41">
        <f t="shared" si="7"/>
        <v>2.6822768415827975E-6</v>
      </c>
      <c r="P36" s="41">
        <f t="shared" si="8"/>
        <v>4.4470284997014922E-4</v>
      </c>
      <c r="Q36" s="41">
        <f t="shared" si="9"/>
        <v>7.2432854394091284E-3</v>
      </c>
      <c r="R36" s="9">
        <f t="shared" si="10"/>
        <v>0.93017529042032021</v>
      </c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</row>
    <row r="37" spans="1:32" x14ac:dyDescent="0.45">
      <c r="A37" s="93"/>
      <c r="B37" s="47" t="s">
        <v>98</v>
      </c>
      <c r="C37" s="47" t="s">
        <v>99</v>
      </c>
      <c r="D37" s="95">
        <v>2.0758240000000003</v>
      </c>
      <c r="E37" s="95">
        <v>2.477398</v>
      </c>
      <c r="F37" s="96">
        <v>3.1053105310531058E-4</v>
      </c>
      <c r="G37" s="171"/>
      <c r="H37" s="171"/>
      <c r="I37" s="102">
        <f t="shared" si="1"/>
        <v>0</v>
      </c>
      <c r="J37" s="102">
        <f t="shared" si="2"/>
        <v>1.3625600825731248</v>
      </c>
      <c r="K37" s="103">
        <f t="shared" si="3"/>
        <v>0.98960734944651685</v>
      </c>
      <c r="L37" s="103">
        <f t="shared" si="4"/>
        <v>1.0392650553483056E-2</v>
      </c>
      <c r="M37" s="103">
        <f t="shared" si="5"/>
        <v>0.98960734944651696</v>
      </c>
      <c r="N37" s="103">
        <f t="shared" si="6"/>
        <v>6.7691516914327541E-3</v>
      </c>
      <c r="O37" s="41">
        <f t="shared" si="7"/>
        <v>3.074438585679327E-4</v>
      </c>
      <c r="P37" s="41">
        <f t="shared" si="8"/>
        <v>7.0847724273049159E-3</v>
      </c>
      <c r="Q37" s="41">
        <f t="shared" si="9"/>
        <v>9.2291949994670663E-2</v>
      </c>
      <c r="R37" s="9">
        <f t="shared" si="10"/>
        <v>0.99005833875064686</v>
      </c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</row>
    <row r="38" spans="1:32" x14ac:dyDescent="0.45">
      <c r="A38" s="93"/>
      <c r="B38" s="47" t="s">
        <v>100</v>
      </c>
      <c r="C38" s="47" t="s">
        <v>101</v>
      </c>
      <c r="D38" s="95">
        <v>2.3078000000000003</v>
      </c>
      <c r="E38" s="95">
        <v>2.5099249999999995</v>
      </c>
      <c r="F38" s="96">
        <v>9.3312597200622088E-5</v>
      </c>
      <c r="G38" s="171"/>
      <c r="H38" s="171"/>
      <c r="I38" s="102">
        <f t="shared" si="1"/>
        <v>0</v>
      </c>
      <c r="J38" s="102">
        <f t="shared" si="2"/>
        <v>1.4662062884307068</v>
      </c>
      <c r="K38" s="103">
        <f t="shared" si="3"/>
        <v>0.98684297582245795</v>
      </c>
      <c r="L38" s="103">
        <f t="shared" si="4"/>
        <v>1.3157024177541912E-2</v>
      </c>
      <c r="M38" s="103">
        <f t="shared" si="5"/>
        <v>0.98684297582245806</v>
      </c>
      <c r="N38" s="103">
        <f t="shared" si="6"/>
        <v>7.2752243202773527E-3</v>
      </c>
      <c r="O38" s="41">
        <f t="shared" si="7"/>
        <v>9.2126846531667442E-5</v>
      </c>
      <c r="P38" s="41">
        <f t="shared" si="8"/>
        <v>2.6952092849098354E-3</v>
      </c>
      <c r="Q38" s="41">
        <f t="shared" si="9"/>
        <v>2.980651532324952E-2</v>
      </c>
      <c r="R38" s="9">
        <f t="shared" si="10"/>
        <v>0.98729270533103608</v>
      </c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</row>
    <row r="39" spans="1:32" x14ac:dyDescent="0.45">
      <c r="A39" s="93"/>
      <c r="B39" s="47" t="s">
        <v>102</v>
      </c>
      <c r="C39" s="47" t="s">
        <v>103</v>
      </c>
      <c r="D39" s="95">
        <v>5.676184000000001</v>
      </c>
      <c r="E39" s="95">
        <v>7.0708080000000004</v>
      </c>
      <c r="F39" s="96">
        <v>2.3000255558395091E-5</v>
      </c>
      <c r="G39" s="171"/>
      <c r="H39" s="171"/>
      <c r="I39" s="102">
        <f t="shared" si="1"/>
        <v>0</v>
      </c>
      <c r="J39" s="102">
        <f t="shared" si="2"/>
        <v>5.7902923462368587</v>
      </c>
      <c r="K39" s="103">
        <f t="shared" si="3"/>
        <v>3.5437457957753827E-3</v>
      </c>
      <c r="L39" s="103">
        <f t="shared" si="4"/>
        <v>0.99645625420422457</v>
      </c>
      <c r="M39" s="103">
        <f t="shared" si="5"/>
        <v>3.5437457957754326E-3</v>
      </c>
      <c r="N39" s="103">
        <f t="shared" si="6"/>
        <v>0.95048199719052395</v>
      </c>
      <c r="O39" s="41">
        <f t="shared" si="7"/>
        <v>8.1544203782009484E-8</v>
      </c>
      <c r="P39" s="41">
        <f t="shared" si="8"/>
        <v>5.0313605794667086E-2</v>
      </c>
      <c r="Q39" s="41">
        <f t="shared" si="9"/>
        <v>0.959844977033396</v>
      </c>
      <c r="R39" s="9">
        <f t="shared" si="10"/>
        <v>3.545360771100035E-3</v>
      </c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</row>
    <row r="40" spans="1:32" x14ac:dyDescent="0.45">
      <c r="A40" s="93"/>
      <c r="B40" s="47" t="s">
        <v>104</v>
      </c>
      <c r="C40" s="47" t="s">
        <v>105</v>
      </c>
      <c r="D40" s="95">
        <v>1.2599279999999999</v>
      </c>
      <c r="E40" s="95">
        <v>1.3925860000000003</v>
      </c>
      <c r="F40" s="96">
        <v>4.7497314715359831E-3</v>
      </c>
      <c r="G40" s="171"/>
      <c r="H40" s="171"/>
      <c r="I40" s="102">
        <f t="shared" si="1"/>
        <v>0</v>
      </c>
      <c r="J40" s="102">
        <f t="shared" si="2"/>
        <v>0.50735979747220017</v>
      </c>
      <c r="K40" s="103">
        <f t="shared" si="3"/>
        <v>0.99853638442697068</v>
      </c>
      <c r="L40" s="103">
        <f t="shared" si="4"/>
        <v>1.4636155730292668E-3</v>
      </c>
      <c r="M40" s="103">
        <f t="shared" si="5"/>
        <v>0.99853638442697068</v>
      </c>
      <c r="N40" s="103">
        <f t="shared" si="6"/>
        <v>5.6185367859626573E-4</v>
      </c>
      <c r="O40" s="41">
        <f t="shared" si="7"/>
        <v>4.7449410962324187E-3</v>
      </c>
      <c r="P40" s="41">
        <f t="shared" si="8"/>
        <v>1.5261268139036237E-2</v>
      </c>
      <c r="Q40" s="41">
        <f t="shared" si="9"/>
        <v>0.1171701067133977</v>
      </c>
      <c r="R40" s="9">
        <f t="shared" si="10"/>
        <v>0.99899144292003195</v>
      </c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</row>
    <row r="41" spans="1:32" x14ac:dyDescent="0.45">
      <c r="A41" s="93"/>
      <c r="B41" s="47" t="s">
        <v>106</v>
      </c>
      <c r="C41" s="47" t="s">
        <v>107</v>
      </c>
      <c r="D41" s="95">
        <v>2.8295519999999996</v>
      </c>
      <c r="E41" s="95">
        <v>3.5791989999999991</v>
      </c>
      <c r="F41" s="96">
        <v>9.1107871720116634E-6</v>
      </c>
      <c r="G41" s="171"/>
      <c r="H41" s="171"/>
      <c r="I41" s="102">
        <f t="shared" si="1"/>
        <v>0</v>
      </c>
      <c r="J41" s="102">
        <f t="shared" si="2"/>
        <v>2.3639081225718592</v>
      </c>
      <c r="K41" s="103">
        <f t="shared" si="3"/>
        <v>0.90469540558817929</v>
      </c>
      <c r="L41" s="103">
        <f t="shared" si="4"/>
        <v>9.5304594411820681E-2</v>
      </c>
      <c r="M41" s="103">
        <f t="shared" si="5"/>
        <v>0.90469540558817929</v>
      </c>
      <c r="N41" s="103">
        <f t="shared" si="6"/>
        <v>7.8230250199687434E-2</v>
      </c>
      <c r="O41" s="41">
        <f t="shared" si="7"/>
        <v>8.2462436074547993E-6</v>
      </c>
      <c r="P41" s="41">
        <f t="shared" si="8"/>
        <v>1.9061816435468762E-3</v>
      </c>
      <c r="Q41" s="41">
        <f t="shared" si="9"/>
        <v>3.1293573582897062E-2</v>
      </c>
      <c r="R41" s="9">
        <f t="shared" si="10"/>
        <v>0.90510769835423865</v>
      </c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</row>
    <row r="42" spans="1:32" x14ac:dyDescent="0.45">
      <c r="A42" s="94"/>
      <c r="B42" s="47" t="s">
        <v>108</v>
      </c>
      <c r="C42" s="47" t="s">
        <v>109</v>
      </c>
      <c r="D42" s="95">
        <v>1.2889359999999999</v>
      </c>
      <c r="E42" s="95">
        <v>1.371977</v>
      </c>
      <c r="F42" s="96">
        <v>1.9135913591359136E-3</v>
      </c>
      <c r="G42" s="171"/>
      <c r="H42" s="171"/>
      <c r="I42" s="102">
        <f t="shared" si="1"/>
        <v>0</v>
      </c>
      <c r="J42" s="102">
        <f t="shared" si="2"/>
        <v>0.50980800632319268</v>
      </c>
      <c r="K42" s="103">
        <f t="shared" si="3"/>
        <v>0.99852812259887169</v>
      </c>
      <c r="L42" s="103">
        <f t="shared" si="4"/>
        <v>1.4718774011283698E-3</v>
      </c>
      <c r="M42" s="103">
        <f t="shared" si="5"/>
        <v>0.99852812259887158</v>
      </c>
      <c r="N42" s="103">
        <f t="shared" si="6"/>
        <v>5.3580977863250335E-4</v>
      </c>
      <c r="O42" s="41">
        <f t="shared" si="7"/>
        <v>1.9116455760547183E-3</v>
      </c>
      <c r="P42" s="41">
        <f t="shared" si="8"/>
        <v>6.183229729592443E-3</v>
      </c>
      <c r="Q42" s="41">
        <f t="shared" si="9"/>
        <v>4.5017811267528164E-2</v>
      </c>
      <c r="R42" s="9">
        <f t="shared" si="10"/>
        <v>0.99898317732680719</v>
      </c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</row>
    <row r="43" spans="1:32" x14ac:dyDescent="0.45">
      <c r="A43" s="94"/>
      <c r="B43" s="47" t="s">
        <v>110</v>
      </c>
      <c r="C43" s="47" t="s">
        <v>111</v>
      </c>
      <c r="D43" s="95">
        <v>2.5448008164668257</v>
      </c>
      <c r="E43" s="95">
        <v>3.1426039783542175</v>
      </c>
      <c r="F43" s="96">
        <v>1.0126582278481012E-5</v>
      </c>
      <c r="G43" s="171"/>
      <c r="H43" s="171"/>
      <c r="I43" s="102">
        <f t="shared" si="1"/>
        <v>0</v>
      </c>
      <c r="J43" s="102">
        <f t="shared" si="2"/>
        <v>1.9607549023758677</v>
      </c>
      <c r="K43" s="103">
        <f t="shared" si="3"/>
        <v>0.96002921462152635</v>
      </c>
      <c r="L43" s="103">
        <f t="shared" si="4"/>
        <v>3.9970785378473705E-2</v>
      </c>
      <c r="M43" s="103">
        <f t="shared" si="5"/>
        <v>0.96002921462152635</v>
      </c>
      <c r="N43" s="103">
        <f t="shared" si="6"/>
        <v>3.0378180764087069E-2</v>
      </c>
      <c r="O43" s="41">
        <f t="shared" si="7"/>
        <v>9.7262453105354362E-6</v>
      </c>
      <c r="P43" s="41">
        <f t="shared" si="8"/>
        <v>8.8858733978618414E-4</v>
      </c>
      <c r="Q43" s="41">
        <f t="shared" si="9"/>
        <v>1.3506698243283162E-2</v>
      </c>
      <c r="R43" s="9">
        <f t="shared" si="10"/>
        <v>0.9604667244153744</v>
      </c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</row>
    <row r="44" spans="1:32" x14ac:dyDescent="0.45">
      <c r="A44" s="94"/>
      <c r="B44" s="47" t="s">
        <v>112</v>
      </c>
      <c r="C44" s="47" t="s">
        <v>113</v>
      </c>
      <c r="D44" s="95">
        <v>0.29376000000000013</v>
      </c>
      <c r="E44" s="95">
        <v>0.18140000000000034</v>
      </c>
      <c r="F44" s="96">
        <v>1.4359724612736659E-2</v>
      </c>
      <c r="G44" s="171"/>
      <c r="H44" s="171"/>
      <c r="I44" s="102">
        <f t="shared" si="1"/>
        <v>0</v>
      </c>
      <c r="J44" s="102">
        <f t="shared" si="2"/>
        <v>3.5001380315970977E-2</v>
      </c>
      <c r="K44" s="103">
        <f t="shared" si="3"/>
        <v>0.99950626918568264</v>
      </c>
      <c r="L44" s="103">
        <f t="shared" si="4"/>
        <v>4.9373081431732088E-4</v>
      </c>
      <c r="M44" s="103">
        <f t="shared" si="5"/>
        <v>0.99950626918568264</v>
      </c>
      <c r="N44" s="103">
        <f t="shared" si="6"/>
        <v>3.4582696788128269E-5</v>
      </c>
      <c r="O44" s="41">
        <f t="shared" si="7"/>
        <v>1.4359175635869033E-2</v>
      </c>
      <c r="P44" s="41">
        <f t="shared" si="8"/>
        <v>1.5564346402881376E-2</v>
      </c>
      <c r="Q44" s="41">
        <f t="shared" si="9"/>
        <v>2.1803665347502645E-2</v>
      </c>
      <c r="R44" s="9">
        <f t="shared" si="10"/>
        <v>0.99996176967996031</v>
      </c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</row>
    <row r="45" spans="1:32" x14ac:dyDescent="0.45">
      <c r="A45" s="94"/>
      <c r="B45" s="47" t="s">
        <v>114</v>
      </c>
      <c r="C45" s="47" t="s">
        <v>115</v>
      </c>
      <c r="D45" s="95">
        <v>2.7665919999999997</v>
      </c>
      <c r="E45" s="95">
        <v>3.5255839999999989</v>
      </c>
      <c r="F45" s="96">
        <v>3.3356258596973862E-5</v>
      </c>
      <c r="G45" s="171"/>
      <c r="H45" s="171"/>
      <c r="I45" s="102">
        <f t="shared" si="1"/>
        <v>0</v>
      </c>
      <c r="J45" s="102">
        <f t="shared" si="2"/>
        <v>2.3088898400463114</v>
      </c>
      <c r="K45" s="103">
        <f t="shared" si="3"/>
        <v>0.91507244020466227</v>
      </c>
      <c r="L45" s="103">
        <f t="shared" si="4"/>
        <v>8.4927559795337684E-2</v>
      </c>
      <c r="M45" s="103">
        <f t="shared" si="5"/>
        <v>0.91507244020466227</v>
      </c>
      <c r="N45" s="103">
        <f t="shared" si="6"/>
        <v>6.9937935798952452E-2</v>
      </c>
      <c r="O45" s="41">
        <f t="shared" si="7"/>
        <v>3.0537303238944645E-5</v>
      </c>
      <c r="P45" s="41">
        <f t="shared" si="8"/>
        <v>6.2189994978478214E-3</v>
      </c>
      <c r="Q45" s="41">
        <f t="shared" si="9"/>
        <v>0.10242705398868081</v>
      </c>
      <c r="R45" s="9">
        <f t="shared" si="10"/>
        <v>0.91548946205001069</v>
      </c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</row>
    <row r="46" spans="1:32" x14ac:dyDescent="0.45">
      <c r="A46" s="93"/>
      <c r="B46" s="47" t="s">
        <v>116</v>
      </c>
      <c r="C46" s="47" t="s">
        <v>117</v>
      </c>
      <c r="D46" s="100">
        <v>1.6175039999999998</v>
      </c>
      <c r="E46" s="100">
        <v>1.8999029999999997</v>
      </c>
      <c r="F46" s="96">
        <v>1.5093283582089552E-3</v>
      </c>
      <c r="G46" s="171"/>
      <c r="H46" s="171"/>
      <c r="I46" s="102">
        <f t="shared" si="1"/>
        <v>0</v>
      </c>
      <c r="J46" s="102">
        <f t="shared" si="2"/>
        <v>0.86614766954915146</v>
      </c>
      <c r="K46" s="103">
        <f t="shared" si="3"/>
        <v>0.9966626696992521</v>
      </c>
      <c r="L46" s="103">
        <f t="shared" si="4"/>
        <v>3.3373303007478718E-3</v>
      </c>
      <c r="M46" s="103">
        <f t="shared" si="5"/>
        <v>0.9966626696992521</v>
      </c>
      <c r="N46" s="103">
        <f t="shared" si="6"/>
        <v>1.8035347988674965E-3</v>
      </c>
      <c r="O46" s="41">
        <f t="shared" si="7"/>
        <v>1.5049767748186945E-3</v>
      </c>
      <c r="P46" s="41">
        <f t="shared" si="8"/>
        <v>1.1058022452045289E-2</v>
      </c>
      <c r="Q46" s="41">
        <f t="shared" si="9"/>
        <v>0.11951785709944596</v>
      </c>
      <c r="R46" s="9">
        <f t="shared" si="10"/>
        <v>0.9971168742927321</v>
      </c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</row>
    <row r="47" spans="1:32" x14ac:dyDescent="0.45">
      <c r="A47" s="93"/>
      <c r="B47" s="47" t="s">
        <v>118</v>
      </c>
      <c r="C47" s="47" t="s">
        <v>119</v>
      </c>
      <c r="D47" s="95">
        <v>2.5898400000000001</v>
      </c>
      <c r="E47" s="95">
        <v>2.96393</v>
      </c>
      <c r="F47" s="96">
        <v>4.7839506172839504E-5</v>
      </c>
      <c r="G47" s="171"/>
      <c r="H47" s="171"/>
      <c r="I47" s="102">
        <f t="shared" si="1"/>
        <v>0</v>
      </c>
      <c r="J47" s="102">
        <f t="shared" si="2"/>
        <v>1.8465793817928891</v>
      </c>
      <c r="K47" s="103">
        <f t="shared" si="3"/>
        <v>0.96898306369363929</v>
      </c>
      <c r="L47" s="103">
        <f t="shared" si="4"/>
        <v>3.1016936306360675E-2</v>
      </c>
      <c r="M47" s="103">
        <f t="shared" si="5"/>
        <v>0.96898306369363929</v>
      </c>
      <c r="N47" s="103">
        <f t="shared" si="6"/>
        <v>2.0319804291509161E-2</v>
      </c>
      <c r="O47" s="41">
        <f t="shared" si="7"/>
        <v>4.6376796718410197E-5</v>
      </c>
      <c r="P47" s="41">
        <f t="shared" si="8"/>
        <v>3.2574677899298438E-3</v>
      </c>
      <c r="Q47" s="41">
        <f t="shared" si="9"/>
        <v>4.2680622820697747E-2</v>
      </c>
      <c r="R47" s="9">
        <f t="shared" si="10"/>
        <v>0.96942465398483257</v>
      </c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</row>
    <row r="48" spans="1:32" x14ac:dyDescent="0.45">
      <c r="A48" s="93"/>
      <c r="B48" s="47" t="s">
        <v>120</v>
      </c>
      <c r="C48" s="47" t="s">
        <v>121</v>
      </c>
      <c r="D48" s="95">
        <v>5.0487680000000008</v>
      </c>
      <c r="E48" s="95">
        <v>6.0352960000000007</v>
      </c>
      <c r="F48" s="96">
        <v>2.3993144815766926E-6</v>
      </c>
      <c r="G48" s="171"/>
      <c r="H48" s="171"/>
      <c r="I48" s="102">
        <f t="shared" ref="I48:I50" si="11">IF(D48=0,"",LOG($K$15*10^D48+$K$16*10^E48+$K$14))</f>
        <v>0</v>
      </c>
      <c r="J48" s="102">
        <f t="shared" ref="J48:J50" si="12">IF(D48=0,"",LOG($K$21*10^D48+$K$22*10^E48+$K$20))</f>
        <v>4.7849539498028779</v>
      </c>
      <c r="K48" s="103">
        <f t="shared" ref="K48:K50" si="13">IF(D48=0,"",1/(1+10^D48*$J$15/$J$14+10^E48*$J$16/$J$14+10^J48*$J$19/$J$14))</f>
        <v>3.4752141112504742E-2</v>
      </c>
      <c r="L48" s="103">
        <f t="shared" ref="L48:L50" si="14">IF(D48=0,"",1/(1+10^I48/10^J48*$J$13/$J$19))</f>
        <v>0.96524785888749531</v>
      </c>
      <c r="M48" s="103">
        <f t="shared" ref="M48:M92" si="15">IF(D48=0,"",1-L48)</f>
        <v>3.4752141112504686E-2</v>
      </c>
      <c r="N48" s="103">
        <f t="shared" ref="N48:N50" si="16">IF(D48=0,"",1/(1/10^E48*$J$20/$J$22+10^D48/10^E48*$J$21/$J$22+10^I48/10^E48*$J$13/$J$22+1))</f>
        <v>0.85891641248907402</v>
      </c>
      <c r="O48" s="41">
        <f t="shared" ref="O48:O92" si="17">IF(D48=0,"",F48*K48*$J$7/$J$14)</f>
        <v>8.3419314428697577E-8</v>
      </c>
      <c r="P48" s="41">
        <f t="shared" ref="P48:P50" si="18">IF(D48=0,"",O48*10^J48)</f>
        <v>5.0841758820600758E-3</v>
      </c>
      <c r="Q48" s="41">
        <f t="shared" ref="Q48:Q50" si="19">IF(D48=0,"",F48*N48*$J$7/$J$22)</f>
        <v>9.0482088488973197E-2</v>
      </c>
      <c r="R48" s="9">
        <f t="shared" si="10"/>
        <v>3.476797854938931E-2</v>
      </c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</row>
    <row r="49" spans="1:32" x14ac:dyDescent="0.45">
      <c r="A49" s="93"/>
      <c r="B49" s="47" t="s">
        <v>122</v>
      </c>
      <c r="C49" s="47" t="s">
        <v>123</v>
      </c>
      <c r="D49" s="95">
        <v>2.7330160000000001</v>
      </c>
      <c r="E49" s="95">
        <v>3.3310319999999995</v>
      </c>
      <c r="F49" s="96">
        <v>2.1918876755070205E-4</v>
      </c>
      <c r="G49" s="171"/>
      <c r="H49" s="171"/>
      <c r="I49" s="102">
        <f t="shared" si="11"/>
        <v>0</v>
      </c>
      <c r="J49" s="102">
        <f t="shared" si="12"/>
        <v>2.1476419495508856</v>
      </c>
      <c r="K49" s="103">
        <f t="shared" si="13"/>
        <v>0.93982810254478732</v>
      </c>
      <c r="L49" s="103">
        <f t="shared" si="14"/>
        <v>6.0171897455212571E-2</v>
      </c>
      <c r="M49" s="103">
        <f t="shared" si="15"/>
        <v>0.93982810254478744</v>
      </c>
      <c r="N49" s="103">
        <f t="shared" si="16"/>
        <v>4.589377281973292E-2</v>
      </c>
      <c r="O49" s="41">
        <f t="shared" si="17"/>
        <v>2.0609364285153057E-4</v>
      </c>
      <c r="P49" s="41">
        <f t="shared" si="18"/>
        <v>2.8953865012727849E-2</v>
      </c>
      <c r="Q49" s="41">
        <f t="shared" si="19"/>
        <v>0.4416686723686602</v>
      </c>
      <c r="R49" s="9">
        <f t="shared" si="10"/>
        <v>0.94025640617673367</v>
      </c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</row>
    <row r="50" spans="1:32" x14ac:dyDescent="0.45">
      <c r="A50" s="93"/>
      <c r="B50" s="47" t="s">
        <v>124</v>
      </c>
      <c r="C50" s="47" t="s">
        <v>125</v>
      </c>
      <c r="D50" s="95">
        <v>3.4406639999999999</v>
      </c>
      <c r="E50" s="95">
        <v>4.222847999999999</v>
      </c>
      <c r="F50" s="96">
        <v>7.8236914600550962E-5</v>
      </c>
      <c r="G50" s="171"/>
      <c r="H50" s="171"/>
      <c r="I50" s="102">
        <f t="shared" si="11"/>
        <v>0</v>
      </c>
      <c r="J50" s="102">
        <f t="shared" si="12"/>
        <v>3.0007157776870899</v>
      </c>
      <c r="K50" s="103">
        <f t="shared" si="13"/>
        <v>0.68658815081174607</v>
      </c>
      <c r="L50" s="103">
        <f t="shared" si="14"/>
        <v>0.31341184918825393</v>
      </c>
      <c r="M50" s="103">
        <f t="shared" si="15"/>
        <v>0.68658815081174607</v>
      </c>
      <c r="N50" s="103">
        <f t="shared" si="16"/>
        <v>0.2613470717918237</v>
      </c>
      <c r="O50" s="41">
        <f t="shared" si="17"/>
        <v>5.3741018517184442E-5</v>
      </c>
      <c r="P50" s="41">
        <f t="shared" si="18"/>
        <v>5.3829664217585602E-2</v>
      </c>
      <c r="Q50" s="41">
        <f t="shared" si="19"/>
        <v>0.89774685642806606</v>
      </c>
      <c r="R50" s="9">
        <f t="shared" si="10"/>
        <v>0.68690104654006878</v>
      </c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</row>
    <row r="51" spans="1:32" x14ac:dyDescent="0.45">
      <c r="A51" s="93"/>
      <c r="B51" s="47" t="s">
        <v>126</v>
      </c>
      <c r="C51" s="47" t="s">
        <v>127</v>
      </c>
      <c r="D51" s="95">
        <v>2.8976480000000002</v>
      </c>
      <c r="E51" s="95">
        <v>3.5312959999999993</v>
      </c>
      <c r="F51" s="96">
        <v>1.8299319727891158E-4</v>
      </c>
      <c r="G51" s="171"/>
      <c r="H51" s="171"/>
      <c r="I51" s="102">
        <f t="shared" ref="I51:I70" si="20">IF(D51=0,"",LOG($K$15*10^D51+$K$16*10^E51+$K$14))</f>
        <v>0</v>
      </c>
      <c r="J51" s="102">
        <f t="shared" ref="J51:J70" si="21">IF(D51=0,"",LOG($K$21*10^D51+$K$22*10^E51+$K$20))</f>
        <v>2.3388959370141773</v>
      </c>
      <c r="K51" s="103">
        <f t="shared" ref="K51:K70" si="22">IF(D51=0,"",1/(1+10^D51*$J$15/$J$14+10^E51*$J$16/$J$14+10^J51*$J$19/$J$14))</f>
        <v>0.90954672769646305</v>
      </c>
      <c r="L51" s="103">
        <f t="shared" ref="L51:L70" si="23">IF(D51=0,"",1/(1+10^I51/10^J51*$J$13/$J$19))</f>
        <v>9.0453272303536961E-2</v>
      </c>
      <c r="M51" s="103">
        <f t="shared" ref="M51:M70" si="24">IF(D51=0,"",1-L51)</f>
        <v>0.90954672769646305</v>
      </c>
      <c r="N51" s="103">
        <f t="shared" ref="N51:N70" si="25">IF(D51=0,"",1/(1/10^E51*$J$20/$J$22+10^D51/10^E51*$J$21/$J$22+10^I51/10^E51*$J$13/$J$22+1))</f>
        <v>7.0435945728286015E-2</v>
      </c>
      <c r="O51" s="41">
        <f t="shared" ref="O51:O70" si="26">IF(D51=0,"",F51*K51*$J$7/$J$14)</f>
        <v>1.6651671512161198E-4</v>
      </c>
      <c r="P51" s="41">
        <f t="shared" ref="P51:P70" si="27">IF(D51=0,"",O51*10^J51)</f>
        <v>3.6337393504699972E-2</v>
      </c>
      <c r="Q51" s="41">
        <f t="shared" ref="Q51:Q70" si="28">IF(D51=0,"",F51*N51*$J$7/$J$22)</f>
        <v>0.56591842652536906</v>
      </c>
      <c r="R51" s="9">
        <f t="shared" si="10"/>
        <v>0.90996123133371598</v>
      </c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</row>
    <row r="52" spans="1:32" x14ac:dyDescent="0.45">
      <c r="A52" s="7"/>
      <c r="B52" s="47" t="s">
        <v>128</v>
      </c>
      <c r="C52" s="47" t="s">
        <v>129</v>
      </c>
      <c r="D52" s="48">
        <v>1.423632</v>
      </c>
      <c r="E52" s="48">
        <v>1.638849</v>
      </c>
      <c r="F52" s="96">
        <v>1.7656065959952887E-2</v>
      </c>
      <c r="G52" s="171"/>
      <c r="H52" s="171"/>
      <c r="I52" s="102">
        <f t="shared" si="20"/>
        <v>0</v>
      </c>
      <c r="J52" s="102">
        <f t="shared" si="21"/>
        <v>0.66821968451796954</v>
      </c>
      <c r="K52" s="103">
        <f t="shared" si="22"/>
        <v>0.99788162890488785</v>
      </c>
      <c r="L52" s="103">
        <f t="shared" si="23"/>
        <v>2.1183710951120111E-3</v>
      </c>
      <c r="M52" s="103">
        <f t="shared" si="24"/>
        <v>0.99788162890488796</v>
      </c>
      <c r="N52" s="103">
        <f t="shared" si="25"/>
        <v>9.8992287897453515E-4</v>
      </c>
      <c r="O52" s="41">
        <f t="shared" si="26"/>
        <v>1.7626693134566936E-2</v>
      </c>
      <c r="P52" s="41">
        <f t="shared" si="27"/>
        <v>8.2108955662081526E-2</v>
      </c>
      <c r="Q52" s="41">
        <f t="shared" si="28"/>
        <v>0.76739655262622763</v>
      </c>
      <c r="R52" s="9">
        <f t="shared" si="10"/>
        <v>0.99833638900916133</v>
      </c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</row>
    <row r="53" spans="1:32" x14ac:dyDescent="0.45">
      <c r="A53" s="7"/>
      <c r="B53" s="47" t="s">
        <v>130</v>
      </c>
      <c r="C53" s="47" t="s">
        <v>131</v>
      </c>
      <c r="D53" s="48">
        <v>2.6912000000000003</v>
      </c>
      <c r="E53" s="48">
        <v>3.3249699999999995</v>
      </c>
      <c r="F53" s="96">
        <v>1.9541616405307596E-4</v>
      </c>
      <c r="G53" s="171"/>
      <c r="H53" s="171"/>
      <c r="I53" s="102">
        <f t="shared" si="20"/>
        <v>0</v>
      </c>
      <c r="J53" s="102">
        <f t="shared" si="21"/>
        <v>2.1336193491516409</v>
      </c>
      <c r="K53" s="103">
        <f t="shared" si="22"/>
        <v>0.94162832025632281</v>
      </c>
      <c r="L53" s="103">
        <f t="shared" si="23"/>
        <v>5.8371679743677268E-2</v>
      </c>
      <c r="M53" s="103">
        <f t="shared" si="24"/>
        <v>0.9416283202563227</v>
      </c>
      <c r="N53" s="103">
        <f t="shared" si="25"/>
        <v>4.534431507064695E-2</v>
      </c>
      <c r="O53" s="41">
        <f t="shared" si="26"/>
        <v>1.8409325208145773E-4</v>
      </c>
      <c r="P53" s="41">
        <f t="shared" si="27"/>
        <v>2.50413200505335E-2</v>
      </c>
      <c r="Q53" s="41">
        <f t="shared" si="28"/>
        <v>0.38905219488027259</v>
      </c>
      <c r="R53" s="9">
        <f t="shared" si="10"/>
        <v>0.94205744429338567</v>
      </c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</row>
    <row r="54" spans="1:32" x14ac:dyDescent="0.45">
      <c r="A54" s="7"/>
      <c r="B54" s="47" t="s">
        <v>132</v>
      </c>
      <c r="C54" s="47" t="s">
        <v>133</v>
      </c>
      <c r="D54" s="48">
        <v>2.1493200000000003</v>
      </c>
      <c r="E54" s="48">
        <v>2.6108399999999996</v>
      </c>
      <c r="F54" s="96">
        <v>1E-3</v>
      </c>
      <c r="G54" s="171"/>
      <c r="H54" s="171"/>
      <c r="I54" s="102">
        <f t="shared" si="20"/>
        <v>0</v>
      </c>
      <c r="J54" s="102">
        <f t="shared" si="21"/>
        <v>1.4736389783743882</v>
      </c>
      <c r="K54" s="103">
        <f t="shared" si="22"/>
        <v>0.98661890234461946</v>
      </c>
      <c r="L54" s="103">
        <f t="shared" si="23"/>
        <v>1.3381097655380519E-2</v>
      </c>
      <c r="M54" s="103">
        <f t="shared" si="24"/>
        <v>0.98661890234461946</v>
      </c>
      <c r="N54" s="103">
        <f t="shared" si="25"/>
        <v>9.1761977918289293E-3</v>
      </c>
      <c r="O54" s="41">
        <f t="shared" si="26"/>
        <v>9.8706852973719987E-4</v>
      </c>
      <c r="P54" s="41">
        <f t="shared" si="27"/>
        <v>2.937556876409169E-2</v>
      </c>
      <c r="Q54" s="41">
        <f t="shared" si="28"/>
        <v>0.4028907585445935</v>
      </c>
      <c r="R54" s="9">
        <f t="shared" si="10"/>
        <v>0.98706852973719983</v>
      </c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</row>
    <row r="55" spans="1:32" x14ac:dyDescent="0.45">
      <c r="A55" s="7"/>
      <c r="B55" s="47"/>
      <c r="C55" s="47"/>
      <c r="D55" s="48"/>
      <c r="E55" s="48"/>
      <c r="F55" s="58"/>
      <c r="G55" s="171"/>
      <c r="H55" s="171"/>
      <c r="I55" s="55" t="str">
        <f t="shared" si="20"/>
        <v/>
      </c>
      <c r="J55" s="55" t="str">
        <f t="shared" si="21"/>
        <v/>
      </c>
      <c r="K55" s="56" t="str">
        <f t="shared" si="22"/>
        <v/>
      </c>
      <c r="L55" s="56" t="str">
        <f t="shared" si="23"/>
        <v/>
      </c>
      <c r="M55" s="56" t="str">
        <f t="shared" si="24"/>
        <v/>
      </c>
      <c r="N55" s="56" t="str">
        <f t="shared" si="25"/>
        <v/>
      </c>
      <c r="O55" s="57" t="str">
        <f t="shared" si="26"/>
        <v/>
      </c>
      <c r="P55" s="57" t="str">
        <f t="shared" si="27"/>
        <v/>
      </c>
      <c r="Q55" s="57" t="str">
        <f t="shared" si="28"/>
        <v/>
      </c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</row>
    <row r="56" spans="1:32" x14ac:dyDescent="0.45">
      <c r="A56" s="7"/>
      <c r="B56" s="47"/>
      <c r="C56" s="47"/>
      <c r="D56" s="48"/>
      <c r="E56" s="48"/>
      <c r="F56" s="58"/>
      <c r="G56" s="171"/>
      <c r="H56" s="171"/>
      <c r="I56" s="55" t="str">
        <f t="shared" si="20"/>
        <v/>
      </c>
      <c r="J56" s="55" t="str">
        <f t="shared" si="21"/>
        <v/>
      </c>
      <c r="K56" s="56" t="str">
        <f t="shared" si="22"/>
        <v/>
      </c>
      <c r="L56" s="56" t="str">
        <f t="shared" si="23"/>
        <v/>
      </c>
      <c r="M56" s="56" t="str">
        <f t="shared" si="24"/>
        <v/>
      </c>
      <c r="N56" s="56" t="str">
        <f t="shared" si="25"/>
        <v/>
      </c>
      <c r="O56" s="57" t="str">
        <f t="shared" si="26"/>
        <v/>
      </c>
      <c r="P56" s="57" t="str">
        <f t="shared" si="27"/>
        <v/>
      </c>
      <c r="Q56" s="57" t="str">
        <f t="shared" si="28"/>
        <v/>
      </c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</row>
    <row r="57" spans="1:32" x14ac:dyDescent="0.45">
      <c r="A57" s="7"/>
      <c r="B57" s="92"/>
      <c r="C57" s="92"/>
      <c r="D57" s="95"/>
      <c r="E57" s="95"/>
      <c r="F57" s="96"/>
      <c r="G57" s="171"/>
      <c r="H57" s="171"/>
      <c r="I57" s="55" t="str">
        <f t="shared" si="20"/>
        <v/>
      </c>
      <c r="J57" s="55" t="str">
        <f t="shared" si="21"/>
        <v/>
      </c>
      <c r="K57" s="56" t="str">
        <f t="shared" si="22"/>
        <v/>
      </c>
      <c r="L57" s="56" t="str">
        <f t="shared" si="23"/>
        <v/>
      </c>
      <c r="M57" s="56" t="str">
        <f t="shared" si="24"/>
        <v/>
      </c>
      <c r="N57" s="56" t="str">
        <f t="shared" si="25"/>
        <v/>
      </c>
      <c r="O57" s="57" t="str">
        <f t="shared" si="26"/>
        <v/>
      </c>
      <c r="P57" s="57" t="str">
        <f t="shared" si="27"/>
        <v/>
      </c>
      <c r="Q57" s="57" t="str">
        <f t="shared" si="28"/>
        <v/>
      </c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</row>
    <row r="58" spans="1:32" x14ac:dyDescent="0.45">
      <c r="A58" s="7"/>
      <c r="B58" s="47"/>
      <c r="C58" s="47"/>
      <c r="D58" s="48"/>
      <c r="E58" s="48"/>
      <c r="F58" s="58"/>
      <c r="G58" s="171"/>
      <c r="H58" s="171"/>
      <c r="I58" s="55" t="str">
        <f t="shared" si="20"/>
        <v/>
      </c>
      <c r="J58" s="55" t="str">
        <f t="shared" si="21"/>
        <v/>
      </c>
      <c r="K58" s="56" t="str">
        <f t="shared" si="22"/>
        <v/>
      </c>
      <c r="L58" s="56" t="str">
        <f t="shared" si="23"/>
        <v/>
      </c>
      <c r="M58" s="56" t="str">
        <f t="shared" si="24"/>
        <v/>
      </c>
      <c r="N58" s="56" t="str">
        <f t="shared" si="25"/>
        <v/>
      </c>
      <c r="O58" s="57" t="str">
        <f t="shared" si="26"/>
        <v/>
      </c>
      <c r="P58" s="57" t="str">
        <f t="shared" si="27"/>
        <v/>
      </c>
      <c r="Q58" s="57" t="str">
        <f t="shared" si="28"/>
        <v/>
      </c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</row>
    <row r="59" spans="1:32" x14ac:dyDescent="0.45">
      <c r="A59" s="7"/>
      <c r="B59" s="47"/>
      <c r="C59" s="47"/>
      <c r="D59" s="48"/>
      <c r="E59" s="48"/>
      <c r="F59" s="58"/>
      <c r="G59" s="171"/>
      <c r="H59" s="171"/>
      <c r="I59" s="55" t="str">
        <f t="shared" si="20"/>
        <v/>
      </c>
      <c r="J59" s="55" t="str">
        <f t="shared" si="21"/>
        <v/>
      </c>
      <c r="K59" s="56" t="str">
        <f t="shared" si="22"/>
        <v/>
      </c>
      <c r="L59" s="56" t="str">
        <f t="shared" si="23"/>
        <v/>
      </c>
      <c r="M59" s="56" t="str">
        <f t="shared" si="24"/>
        <v/>
      </c>
      <c r="N59" s="56" t="str">
        <f t="shared" si="25"/>
        <v/>
      </c>
      <c r="O59" s="57" t="str">
        <f t="shared" si="26"/>
        <v/>
      </c>
      <c r="P59" s="57" t="str">
        <f t="shared" si="27"/>
        <v/>
      </c>
      <c r="Q59" s="57" t="str">
        <f t="shared" si="28"/>
        <v/>
      </c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</row>
    <row r="60" spans="1:32" x14ac:dyDescent="0.45">
      <c r="A60" s="7"/>
      <c r="B60" s="47"/>
      <c r="C60" s="47"/>
      <c r="D60" s="48"/>
      <c r="E60" s="48"/>
      <c r="F60" s="58"/>
      <c r="G60" s="171"/>
      <c r="H60" s="171"/>
      <c r="I60" s="55" t="str">
        <f t="shared" si="20"/>
        <v/>
      </c>
      <c r="J60" s="55" t="str">
        <f t="shared" si="21"/>
        <v/>
      </c>
      <c r="K60" s="56" t="str">
        <f t="shared" si="22"/>
        <v/>
      </c>
      <c r="L60" s="56" t="str">
        <f t="shared" si="23"/>
        <v/>
      </c>
      <c r="M60" s="56" t="str">
        <f t="shared" si="24"/>
        <v/>
      </c>
      <c r="N60" s="56" t="str">
        <f t="shared" si="25"/>
        <v/>
      </c>
      <c r="O60" s="57" t="str">
        <f t="shared" si="26"/>
        <v/>
      </c>
      <c r="P60" s="57" t="str">
        <f t="shared" si="27"/>
        <v/>
      </c>
      <c r="Q60" s="57" t="str">
        <f t="shared" si="28"/>
        <v/>
      </c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</row>
    <row r="61" spans="1:32" x14ac:dyDescent="0.45">
      <c r="A61" s="7"/>
      <c r="B61" s="47"/>
      <c r="C61" s="47"/>
      <c r="D61" s="48"/>
      <c r="E61" s="48"/>
      <c r="F61" s="58"/>
      <c r="G61" s="171"/>
      <c r="H61" s="171"/>
      <c r="I61" s="55" t="str">
        <f t="shared" si="20"/>
        <v/>
      </c>
      <c r="J61" s="55" t="str">
        <f t="shared" si="21"/>
        <v/>
      </c>
      <c r="K61" s="56" t="str">
        <f t="shared" si="22"/>
        <v/>
      </c>
      <c r="L61" s="56" t="str">
        <f t="shared" si="23"/>
        <v/>
      </c>
      <c r="M61" s="56" t="str">
        <f t="shared" si="24"/>
        <v/>
      </c>
      <c r="N61" s="56" t="str">
        <f t="shared" si="25"/>
        <v/>
      </c>
      <c r="O61" s="57" t="str">
        <f t="shared" si="26"/>
        <v/>
      </c>
      <c r="P61" s="57" t="str">
        <f t="shared" si="27"/>
        <v/>
      </c>
      <c r="Q61" s="57" t="str">
        <f t="shared" si="28"/>
        <v/>
      </c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</row>
    <row r="62" spans="1:32" x14ac:dyDescent="0.45">
      <c r="A62" s="7"/>
      <c r="B62" s="47"/>
      <c r="C62" s="47"/>
      <c r="D62" s="48"/>
      <c r="E62" s="48"/>
      <c r="F62" s="58"/>
      <c r="G62" s="171"/>
      <c r="H62" s="171"/>
      <c r="I62" s="55" t="str">
        <f t="shared" si="20"/>
        <v/>
      </c>
      <c r="J62" s="55" t="str">
        <f t="shared" si="21"/>
        <v/>
      </c>
      <c r="K62" s="56" t="str">
        <f t="shared" si="22"/>
        <v/>
      </c>
      <c r="L62" s="56" t="str">
        <f t="shared" si="23"/>
        <v/>
      </c>
      <c r="M62" s="56" t="str">
        <f t="shared" si="24"/>
        <v/>
      </c>
      <c r="N62" s="56" t="str">
        <f t="shared" si="25"/>
        <v/>
      </c>
      <c r="O62" s="57" t="str">
        <f t="shared" si="26"/>
        <v/>
      </c>
      <c r="P62" s="57" t="str">
        <f t="shared" si="27"/>
        <v/>
      </c>
      <c r="Q62" s="57" t="str">
        <f t="shared" si="28"/>
        <v/>
      </c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</row>
    <row r="63" spans="1:32" x14ac:dyDescent="0.45">
      <c r="A63" s="7"/>
      <c r="B63" s="47"/>
      <c r="C63" s="47"/>
      <c r="D63" s="48"/>
      <c r="E63" s="48"/>
      <c r="F63" s="58"/>
      <c r="G63" s="171"/>
      <c r="H63" s="171"/>
      <c r="I63" s="55" t="str">
        <f t="shared" si="20"/>
        <v/>
      </c>
      <c r="J63" s="55" t="str">
        <f t="shared" si="21"/>
        <v/>
      </c>
      <c r="K63" s="56" t="str">
        <f t="shared" si="22"/>
        <v/>
      </c>
      <c r="L63" s="56" t="str">
        <f t="shared" si="23"/>
        <v/>
      </c>
      <c r="M63" s="56" t="str">
        <f t="shared" si="24"/>
        <v/>
      </c>
      <c r="N63" s="56" t="str">
        <f t="shared" si="25"/>
        <v/>
      </c>
      <c r="O63" s="57" t="str">
        <f t="shared" si="26"/>
        <v/>
      </c>
      <c r="P63" s="57" t="str">
        <f t="shared" si="27"/>
        <v/>
      </c>
      <c r="Q63" s="57" t="str">
        <f t="shared" si="28"/>
        <v/>
      </c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</row>
    <row r="64" spans="1:32" x14ac:dyDescent="0.45">
      <c r="A64" s="7"/>
      <c r="B64" s="47"/>
      <c r="C64" s="47"/>
      <c r="D64" s="48"/>
      <c r="E64" s="48"/>
      <c r="F64" s="58"/>
      <c r="G64" s="171"/>
      <c r="H64" s="171"/>
      <c r="I64" s="55" t="str">
        <f t="shared" si="20"/>
        <v/>
      </c>
      <c r="J64" s="55" t="str">
        <f t="shared" si="21"/>
        <v/>
      </c>
      <c r="K64" s="56" t="str">
        <f t="shared" si="22"/>
        <v/>
      </c>
      <c r="L64" s="56" t="str">
        <f t="shared" si="23"/>
        <v/>
      </c>
      <c r="M64" s="56" t="str">
        <f t="shared" si="24"/>
        <v/>
      </c>
      <c r="N64" s="56" t="str">
        <f t="shared" si="25"/>
        <v/>
      </c>
      <c r="O64" s="57" t="str">
        <f t="shared" si="26"/>
        <v/>
      </c>
      <c r="P64" s="57" t="str">
        <f t="shared" si="27"/>
        <v/>
      </c>
      <c r="Q64" s="57" t="str">
        <f t="shared" si="28"/>
        <v/>
      </c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</row>
    <row r="65" spans="1:32" x14ac:dyDescent="0.45">
      <c r="A65" s="7"/>
      <c r="B65" s="47"/>
      <c r="C65" s="47"/>
      <c r="D65" s="48"/>
      <c r="E65" s="48"/>
      <c r="F65" s="58"/>
      <c r="G65" s="171"/>
      <c r="H65" s="171"/>
      <c r="I65" s="55" t="str">
        <f t="shared" si="20"/>
        <v/>
      </c>
      <c r="J65" s="55" t="str">
        <f t="shared" si="21"/>
        <v/>
      </c>
      <c r="K65" s="56" t="str">
        <f t="shared" si="22"/>
        <v/>
      </c>
      <c r="L65" s="56" t="str">
        <f t="shared" si="23"/>
        <v/>
      </c>
      <c r="M65" s="56" t="str">
        <f t="shared" si="24"/>
        <v/>
      </c>
      <c r="N65" s="56" t="str">
        <f t="shared" si="25"/>
        <v/>
      </c>
      <c r="O65" s="57" t="str">
        <f t="shared" si="26"/>
        <v/>
      </c>
      <c r="P65" s="57" t="str">
        <f t="shared" si="27"/>
        <v/>
      </c>
      <c r="Q65" s="57" t="str">
        <f t="shared" si="28"/>
        <v/>
      </c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</row>
    <row r="66" spans="1:32" x14ac:dyDescent="0.45">
      <c r="A66" s="7"/>
      <c r="B66" s="47"/>
      <c r="C66" s="47"/>
      <c r="D66" s="48"/>
      <c r="E66" s="48"/>
      <c r="F66" s="58"/>
      <c r="G66" s="171"/>
      <c r="H66" s="171"/>
      <c r="I66" s="55" t="str">
        <f t="shared" si="20"/>
        <v/>
      </c>
      <c r="J66" s="55" t="str">
        <f t="shared" si="21"/>
        <v/>
      </c>
      <c r="K66" s="56" t="str">
        <f t="shared" si="22"/>
        <v/>
      </c>
      <c r="L66" s="56" t="str">
        <f t="shared" si="23"/>
        <v/>
      </c>
      <c r="M66" s="56" t="str">
        <f t="shared" si="24"/>
        <v/>
      </c>
      <c r="N66" s="56" t="str">
        <f t="shared" si="25"/>
        <v/>
      </c>
      <c r="O66" s="57" t="str">
        <f t="shared" si="26"/>
        <v/>
      </c>
      <c r="P66" s="57" t="str">
        <f t="shared" si="27"/>
        <v/>
      </c>
      <c r="Q66" s="57" t="str">
        <f t="shared" si="28"/>
        <v/>
      </c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</row>
    <row r="67" spans="1:32" x14ac:dyDescent="0.45">
      <c r="A67" s="7"/>
      <c r="B67" s="47"/>
      <c r="C67" s="47"/>
      <c r="D67" s="48"/>
      <c r="E67" s="48"/>
      <c r="F67" s="58"/>
      <c r="G67" s="171"/>
      <c r="H67" s="171"/>
      <c r="I67" s="55" t="str">
        <f t="shared" si="20"/>
        <v/>
      </c>
      <c r="J67" s="55" t="str">
        <f t="shared" si="21"/>
        <v/>
      </c>
      <c r="K67" s="56" t="str">
        <f t="shared" si="22"/>
        <v/>
      </c>
      <c r="L67" s="56" t="str">
        <f t="shared" si="23"/>
        <v/>
      </c>
      <c r="M67" s="56" t="str">
        <f t="shared" si="24"/>
        <v/>
      </c>
      <c r="N67" s="56" t="str">
        <f t="shared" si="25"/>
        <v/>
      </c>
      <c r="O67" s="57" t="str">
        <f t="shared" si="26"/>
        <v/>
      </c>
      <c r="P67" s="57" t="str">
        <f t="shared" si="27"/>
        <v/>
      </c>
      <c r="Q67" s="57" t="str">
        <f t="shared" si="28"/>
        <v/>
      </c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</row>
    <row r="68" spans="1:32" x14ac:dyDescent="0.45">
      <c r="A68" s="7"/>
      <c r="B68" s="47"/>
      <c r="C68" s="47"/>
      <c r="D68" s="48"/>
      <c r="E68" s="48"/>
      <c r="F68" s="58"/>
      <c r="G68" s="171"/>
      <c r="H68" s="171"/>
      <c r="I68" s="55" t="str">
        <f t="shared" si="20"/>
        <v/>
      </c>
      <c r="J68" s="55" t="str">
        <f t="shared" si="21"/>
        <v/>
      </c>
      <c r="K68" s="56" t="str">
        <f t="shared" si="22"/>
        <v/>
      </c>
      <c r="L68" s="56" t="str">
        <f t="shared" si="23"/>
        <v/>
      </c>
      <c r="M68" s="56" t="str">
        <f t="shared" si="24"/>
        <v/>
      </c>
      <c r="N68" s="56" t="str">
        <f t="shared" si="25"/>
        <v/>
      </c>
      <c r="O68" s="57" t="str">
        <f t="shared" si="26"/>
        <v/>
      </c>
      <c r="P68" s="57" t="str">
        <f t="shared" si="27"/>
        <v/>
      </c>
      <c r="Q68" s="57" t="str">
        <f t="shared" si="28"/>
        <v/>
      </c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</row>
    <row r="69" spans="1:32" x14ac:dyDescent="0.45">
      <c r="A69" s="7"/>
      <c r="B69" s="47"/>
      <c r="C69" s="47"/>
      <c r="D69" s="48"/>
      <c r="E69" s="48"/>
      <c r="F69" s="58"/>
      <c r="G69" s="171"/>
      <c r="H69" s="171"/>
      <c r="I69" s="55" t="str">
        <f t="shared" si="20"/>
        <v/>
      </c>
      <c r="J69" s="55" t="str">
        <f t="shared" si="21"/>
        <v/>
      </c>
      <c r="K69" s="56" t="str">
        <f t="shared" si="22"/>
        <v/>
      </c>
      <c r="L69" s="56" t="str">
        <f t="shared" si="23"/>
        <v/>
      </c>
      <c r="M69" s="56" t="str">
        <f t="shared" si="24"/>
        <v/>
      </c>
      <c r="N69" s="56" t="str">
        <f t="shared" si="25"/>
        <v/>
      </c>
      <c r="O69" s="57" t="str">
        <f t="shared" si="26"/>
        <v/>
      </c>
      <c r="P69" s="57" t="str">
        <f t="shared" si="27"/>
        <v/>
      </c>
      <c r="Q69" s="57" t="str">
        <f t="shared" si="28"/>
        <v/>
      </c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</row>
    <row r="70" spans="1:32" x14ac:dyDescent="0.45">
      <c r="A70" s="7"/>
      <c r="B70" s="47"/>
      <c r="C70" s="47"/>
      <c r="D70" s="48"/>
      <c r="E70" s="48"/>
      <c r="F70" s="58"/>
      <c r="G70" s="171"/>
      <c r="H70" s="171"/>
      <c r="I70" s="55" t="str">
        <f t="shared" si="20"/>
        <v/>
      </c>
      <c r="J70" s="55" t="str">
        <f t="shared" si="21"/>
        <v/>
      </c>
      <c r="K70" s="56" t="str">
        <f t="shared" si="22"/>
        <v/>
      </c>
      <c r="L70" s="56" t="str">
        <f t="shared" si="23"/>
        <v/>
      </c>
      <c r="M70" s="56" t="str">
        <f t="shared" si="24"/>
        <v/>
      </c>
      <c r="N70" s="56" t="str">
        <f t="shared" si="25"/>
        <v/>
      </c>
      <c r="O70" s="57" t="str">
        <f t="shared" si="26"/>
        <v/>
      </c>
      <c r="P70" s="57" t="str">
        <f t="shared" si="27"/>
        <v/>
      </c>
      <c r="Q70" s="57" t="str">
        <f t="shared" si="28"/>
        <v/>
      </c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</row>
    <row r="71" spans="1:32" x14ac:dyDescent="0.45">
      <c r="A71" s="7"/>
      <c r="B71" s="47"/>
      <c r="C71" s="47"/>
      <c r="D71" s="48"/>
      <c r="E71" s="48"/>
      <c r="F71" s="58"/>
      <c r="G71" s="171"/>
      <c r="H71" s="171"/>
      <c r="I71" s="55" t="str">
        <f t="shared" ref="I71:I122" si="29">IF(D71=0,"",LOG($K$15*10^D71+$K$16*10^E71+$K$14))</f>
        <v/>
      </c>
      <c r="J71" s="55" t="str">
        <f t="shared" ref="J71:J122" si="30">IF(D71=0,"",LOG($K$21*10^D71+$K$22*10^E71+$K$20))</f>
        <v/>
      </c>
      <c r="K71" s="56" t="str">
        <f t="shared" ref="K71:K122" si="31">IF(D71=0,"",1/(1+10^D71*$J$15/$J$14+10^E71*$J$16/$J$14+10^J71*$J$19/$J$14))</f>
        <v/>
      </c>
      <c r="L71" s="56" t="str">
        <f t="shared" ref="L71:L122" si="32">IF(D71=0,"",1/(1+10^I71/10^J71*$J$13/$J$19))</f>
        <v/>
      </c>
      <c r="M71" s="56" t="str">
        <f t="shared" si="15"/>
        <v/>
      </c>
      <c r="N71" s="56" t="str">
        <f t="shared" ref="N71:N122" si="33">IF(D71=0,"",1/(1/10^E71*$J$20/$J$22+10^D71/10^E71*$J$21/$J$22+10^I71/10^E71*$J$13/$J$22+1))</f>
        <v/>
      </c>
      <c r="O71" s="57" t="str">
        <f t="shared" si="17"/>
        <v/>
      </c>
      <c r="P71" s="57" t="str">
        <f t="shared" ref="P71:P122" si="34">IF(D71=0,"",O71*10^J71)</f>
        <v/>
      </c>
      <c r="Q71" s="57" t="str">
        <f t="shared" ref="Q71:Q122" si="35">IF(D71=0,"",F71*N71*$J$7/$J$22)</f>
        <v/>
      </c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</row>
    <row r="72" spans="1:32" x14ac:dyDescent="0.45">
      <c r="A72" s="7"/>
      <c r="B72" s="47"/>
      <c r="C72" s="47"/>
      <c r="D72" s="48"/>
      <c r="E72" s="48"/>
      <c r="F72" s="58"/>
      <c r="G72" s="171"/>
      <c r="H72" s="171"/>
      <c r="I72" s="55" t="str">
        <f t="shared" si="29"/>
        <v/>
      </c>
      <c r="J72" s="55" t="str">
        <f t="shared" si="30"/>
        <v/>
      </c>
      <c r="K72" s="56" t="str">
        <f t="shared" si="31"/>
        <v/>
      </c>
      <c r="L72" s="56" t="str">
        <f t="shared" si="32"/>
        <v/>
      </c>
      <c r="M72" s="56" t="str">
        <f t="shared" si="15"/>
        <v/>
      </c>
      <c r="N72" s="56" t="str">
        <f t="shared" si="33"/>
        <v/>
      </c>
      <c r="O72" s="57" t="str">
        <f t="shared" si="17"/>
        <v/>
      </c>
      <c r="P72" s="57" t="str">
        <f t="shared" si="34"/>
        <v/>
      </c>
      <c r="Q72" s="57" t="str">
        <f t="shared" si="35"/>
        <v/>
      </c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</row>
    <row r="73" spans="1:32" x14ac:dyDescent="0.45">
      <c r="A73" s="7"/>
      <c r="B73" s="47"/>
      <c r="C73" s="47"/>
      <c r="D73" s="48"/>
      <c r="E73" s="48"/>
      <c r="F73" s="58"/>
      <c r="G73" s="171"/>
      <c r="H73" s="171"/>
      <c r="I73" s="55" t="str">
        <f t="shared" si="29"/>
        <v/>
      </c>
      <c r="J73" s="55" t="str">
        <f t="shared" si="30"/>
        <v/>
      </c>
      <c r="K73" s="56" t="str">
        <f t="shared" si="31"/>
        <v/>
      </c>
      <c r="L73" s="56" t="str">
        <f t="shared" si="32"/>
        <v/>
      </c>
      <c r="M73" s="56" t="str">
        <f t="shared" si="15"/>
        <v/>
      </c>
      <c r="N73" s="56" t="str">
        <f t="shared" si="33"/>
        <v/>
      </c>
      <c r="O73" s="57" t="str">
        <f t="shared" si="17"/>
        <v/>
      </c>
      <c r="P73" s="57" t="str">
        <f t="shared" si="34"/>
        <v/>
      </c>
      <c r="Q73" s="57" t="str">
        <f t="shared" si="35"/>
        <v/>
      </c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</row>
    <row r="74" spans="1:32" x14ac:dyDescent="0.45">
      <c r="A74" s="7"/>
      <c r="B74" s="47"/>
      <c r="C74" s="47"/>
      <c r="D74" s="48"/>
      <c r="E74" s="48"/>
      <c r="F74" s="58"/>
      <c r="G74" s="171"/>
      <c r="H74" s="171"/>
      <c r="I74" s="55" t="str">
        <f t="shared" si="29"/>
        <v/>
      </c>
      <c r="J74" s="55" t="str">
        <f t="shared" si="30"/>
        <v/>
      </c>
      <c r="K74" s="56" t="str">
        <f t="shared" si="31"/>
        <v/>
      </c>
      <c r="L74" s="56" t="str">
        <f t="shared" si="32"/>
        <v/>
      </c>
      <c r="M74" s="56" t="str">
        <f t="shared" si="15"/>
        <v/>
      </c>
      <c r="N74" s="56" t="str">
        <f t="shared" si="33"/>
        <v/>
      </c>
      <c r="O74" s="57" t="str">
        <f t="shared" si="17"/>
        <v/>
      </c>
      <c r="P74" s="57" t="str">
        <f t="shared" si="34"/>
        <v/>
      </c>
      <c r="Q74" s="57" t="str">
        <f t="shared" si="35"/>
        <v/>
      </c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</row>
    <row r="75" spans="1:32" x14ac:dyDescent="0.45">
      <c r="A75" s="7"/>
      <c r="B75" s="47"/>
      <c r="C75" s="47"/>
      <c r="D75" s="48"/>
      <c r="E75" s="48"/>
      <c r="F75" s="58"/>
      <c r="G75" s="171"/>
      <c r="H75" s="171"/>
      <c r="I75" s="55" t="str">
        <f t="shared" si="29"/>
        <v/>
      </c>
      <c r="J75" s="55" t="str">
        <f t="shared" si="30"/>
        <v/>
      </c>
      <c r="K75" s="56" t="str">
        <f t="shared" si="31"/>
        <v/>
      </c>
      <c r="L75" s="56" t="str">
        <f t="shared" si="32"/>
        <v/>
      </c>
      <c r="M75" s="56" t="str">
        <f t="shared" si="15"/>
        <v/>
      </c>
      <c r="N75" s="56" t="str">
        <f t="shared" si="33"/>
        <v/>
      </c>
      <c r="O75" s="57" t="str">
        <f t="shared" si="17"/>
        <v/>
      </c>
      <c r="P75" s="57" t="str">
        <f t="shared" si="34"/>
        <v/>
      </c>
      <c r="Q75" s="57" t="str">
        <f t="shared" si="35"/>
        <v/>
      </c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</row>
    <row r="76" spans="1:32" x14ac:dyDescent="0.45">
      <c r="A76" s="7"/>
      <c r="B76" s="47"/>
      <c r="C76" s="47"/>
      <c r="D76" s="48"/>
      <c r="E76" s="48"/>
      <c r="F76" s="58"/>
      <c r="G76" s="171"/>
      <c r="H76" s="171"/>
      <c r="I76" s="55" t="str">
        <f t="shared" si="29"/>
        <v/>
      </c>
      <c r="J76" s="55" t="str">
        <f t="shared" si="30"/>
        <v/>
      </c>
      <c r="K76" s="56" t="str">
        <f t="shared" si="31"/>
        <v/>
      </c>
      <c r="L76" s="56" t="str">
        <f t="shared" si="32"/>
        <v/>
      </c>
      <c r="M76" s="56" t="str">
        <f t="shared" si="15"/>
        <v/>
      </c>
      <c r="N76" s="56" t="str">
        <f t="shared" si="33"/>
        <v/>
      </c>
      <c r="O76" s="57" t="str">
        <f t="shared" si="17"/>
        <v/>
      </c>
      <c r="P76" s="57" t="str">
        <f t="shared" si="34"/>
        <v/>
      </c>
      <c r="Q76" s="57" t="str">
        <f t="shared" si="35"/>
        <v/>
      </c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</row>
    <row r="77" spans="1:32" x14ac:dyDescent="0.45">
      <c r="A77" s="7"/>
      <c r="B77" s="47"/>
      <c r="C77" s="47"/>
      <c r="D77" s="48"/>
      <c r="E77" s="48"/>
      <c r="F77" s="58"/>
      <c r="G77" s="171"/>
      <c r="H77" s="171"/>
      <c r="I77" s="55" t="str">
        <f t="shared" si="29"/>
        <v/>
      </c>
      <c r="J77" s="55" t="str">
        <f t="shared" si="30"/>
        <v/>
      </c>
      <c r="K77" s="56" t="str">
        <f t="shared" si="31"/>
        <v/>
      </c>
      <c r="L77" s="56" t="str">
        <f t="shared" si="32"/>
        <v/>
      </c>
      <c r="M77" s="56" t="str">
        <f t="shared" si="15"/>
        <v/>
      </c>
      <c r="N77" s="56" t="str">
        <f t="shared" si="33"/>
        <v/>
      </c>
      <c r="O77" s="57" t="str">
        <f t="shared" si="17"/>
        <v/>
      </c>
      <c r="P77" s="57" t="str">
        <f t="shared" si="34"/>
        <v/>
      </c>
      <c r="Q77" s="57" t="str">
        <f t="shared" si="35"/>
        <v/>
      </c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</row>
    <row r="78" spans="1:32" x14ac:dyDescent="0.45">
      <c r="A78" s="7"/>
      <c r="B78" s="47"/>
      <c r="C78" s="47"/>
      <c r="D78" s="48"/>
      <c r="E78" s="48"/>
      <c r="F78" s="58"/>
      <c r="G78" s="7"/>
      <c r="H78" s="7"/>
      <c r="I78" s="55" t="str">
        <f t="shared" si="29"/>
        <v/>
      </c>
      <c r="J78" s="55" t="str">
        <f t="shared" si="30"/>
        <v/>
      </c>
      <c r="K78" s="56" t="str">
        <f t="shared" si="31"/>
        <v/>
      </c>
      <c r="L78" s="56" t="str">
        <f t="shared" si="32"/>
        <v/>
      </c>
      <c r="M78" s="56" t="str">
        <f t="shared" si="15"/>
        <v/>
      </c>
      <c r="N78" s="56" t="str">
        <f t="shared" si="33"/>
        <v/>
      </c>
      <c r="O78" s="57" t="str">
        <f t="shared" si="17"/>
        <v/>
      </c>
      <c r="P78" s="57" t="str">
        <f t="shared" si="34"/>
        <v/>
      </c>
      <c r="Q78" s="57" t="str">
        <f t="shared" si="35"/>
        <v/>
      </c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</row>
    <row r="79" spans="1:32" x14ac:dyDescent="0.45">
      <c r="A79" s="7"/>
      <c r="B79" s="47"/>
      <c r="C79" s="47"/>
      <c r="D79" s="48"/>
      <c r="E79" s="48"/>
      <c r="F79" s="58"/>
      <c r="G79" s="7"/>
      <c r="H79" s="7"/>
      <c r="I79" s="55" t="str">
        <f t="shared" si="29"/>
        <v/>
      </c>
      <c r="J79" s="55" t="str">
        <f t="shared" si="30"/>
        <v/>
      </c>
      <c r="K79" s="56" t="str">
        <f t="shared" si="31"/>
        <v/>
      </c>
      <c r="L79" s="56" t="str">
        <f t="shared" si="32"/>
        <v/>
      </c>
      <c r="M79" s="56" t="str">
        <f t="shared" si="15"/>
        <v/>
      </c>
      <c r="N79" s="56" t="str">
        <f t="shared" si="33"/>
        <v/>
      </c>
      <c r="O79" s="57" t="str">
        <f t="shared" si="17"/>
        <v/>
      </c>
      <c r="P79" s="57" t="str">
        <f t="shared" si="34"/>
        <v/>
      </c>
      <c r="Q79" s="57" t="str">
        <f t="shared" si="35"/>
        <v/>
      </c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</row>
    <row r="80" spans="1:32" x14ac:dyDescent="0.45">
      <c r="A80" s="7"/>
      <c r="B80" s="47"/>
      <c r="C80" s="47"/>
      <c r="D80" s="48"/>
      <c r="E80" s="48"/>
      <c r="F80" s="58"/>
      <c r="G80" s="7"/>
      <c r="H80" s="7"/>
      <c r="I80" s="55" t="str">
        <f t="shared" si="29"/>
        <v/>
      </c>
      <c r="J80" s="55" t="str">
        <f t="shared" si="30"/>
        <v/>
      </c>
      <c r="K80" s="56" t="str">
        <f t="shared" si="31"/>
        <v/>
      </c>
      <c r="L80" s="56" t="str">
        <f t="shared" si="32"/>
        <v/>
      </c>
      <c r="M80" s="56" t="str">
        <f t="shared" si="15"/>
        <v/>
      </c>
      <c r="N80" s="56" t="str">
        <f t="shared" si="33"/>
        <v/>
      </c>
      <c r="O80" s="57" t="str">
        <f t="shared" si="17"/>
        <v/>
      </c>
      <c r="P80" s="57" t="str">
        <f t="shared" si="34"/>
        <v/>
      </c>
      <c r="Q80" s="57" t="str">
        <f t="shared" si="35"/>
        <v/>
      </c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</row>
    <row r="81" spans="1:32" x14ac:dyDescent="0.45">
      <c r="A81" s="7"/>
      <c r="B81" s="47"/>
      <c r="C81" s="47"/>
      <c r="D81" s="48"/>
      <c r="E81" s="48"/>
      <c r="F81" s="58"/>
      <c r="G81" s="7"/>
      <c r="H81" s="7"/>
      <c r="I81" s="55" t="str">
        <f t="shared" si="29"/>
        <v/>
      </c>
      <c r="J81" s="55" t="str">
        <f t="shared" si="30"/>
        <v/>
      </c>
      <c r="K81" s="56" t="str">
        <f t="shared" si="31"/>
        <v/>
      </c>
      <c r="L81" s="56" t="str">
        <f t="shared" si="32"/>
        <v/>
      </c>
      <c r="M81" s="56" t="str">
        <f t="shared" si="15"/>
        <v/>
      </c>
      <c r="N81" s="56" t="str">
        <f t="shared" si="33"/>
        <v/>
      </c>
      <c r="O81" s="57" t="str">
        <f t="shared" si="17"/>
        <v/>
      </c>
      <c r="P81" s="57" t="str">
        <f t="shared" si="34"/>
        <v/>
      </c>
      <c r="Q81" s="57" t="str">
        <f t="shared" si="35"/>
        <v/>
      </c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</row>
    <row r="82" spans="1:32" x14ac:dyDescent="0.45">
      <c r="A82" s="7"/>
      <c r="B82" s="47"/>
      <c r="C82" s="47"/>
      <c r="D82" s="48"/>
      <c r="E82" s="48"/>
      <c r="F82" s="58"/>
      <c r="G82" s="7"/>
      <c r="H82" s="7"/>
      <c r="I82" s="55" t="str">
        <f t="shared" si="29"/>
        <v/>
      </c>
      <c r="J82" s="55" t="str">
        <f t="shared" si="30"/>
        <v/>
      </c>
      <c r="K82" s="56" t="str">
        <f t="shared" si="31"/>
        <v/>
      </c>
      <c r="L82" s="56" t="str">
        <f t="shared" si="32"/>
        <v/>
      </c>
      <c r="M82" s="56" t="str">
        <f t="shared" si="15"/>
        <v/>
      </c>
      <c r="N82" s="56" t="str">
        <f t="shared" si="33"/>
        <v/>
      </c>
      <c r="O82" s="57" t="str">
        <f t="shared" si="17"/>
        <v/>
      </c>
      <c r="P82" s="57" t="str">
        <f t="shared" si="34"/>
        <v/>
      </c>
      <c r="Q82" s="57" t="str">
        <f t="shared" si="35"/>
        <v/>
      </c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</row>
    <row r="83" spans="1:32" x14ac:dyDescent="0.45">
      <c r="A83" s="7"/>
      <c r="B83" s="47"/>
      <c r="C83" s="47"/>
      <c r="D83" s="48"/>
      <c r="E83" s="48"/>
      <c r="F83" s="58"/>
      <c r="G83" s="7"/>
      <c r="H83" s="7"/>
      <c r="I83" s="55" t="str">
        <f t="shared" si="29"/>
        <v/>
      </c>
      <c r="J83" s="55" t="str">
        <f t="shared" si="30"/>
        <v/>
      </c>
      <c r="K83" s="56" t="str">
        <f t="shared" si="31"/>
        <v/>
      </c>
      <c r="L83" s="56" t="str">
        <f t="shared" si="32"/>
        <v/>
      </c>
      <c r="M83" s="56" t="str">
        <f t="shared" si="15"/>
        <v/>
      </c>
      <c r="N83" s="56" t="str">
        <f t="shared" si="33"/>
        <v/>
      </c>
      <c r="O83" s="57" t="str">
        <f t="shared" si="17"/>
        <v/>
      </c>
      <c r="P83" s="57" t="str">
        <f t="shared" si="34"/>
        <v/>
      </c>
      <c r="Q83" s="57" t="str">
        <f t="shared" si="35"/>
        <v/>
      </c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</row>
    <row r="84" spans="1:32" x14ac:dyDescent="0.45">
      <c r="A84" s="7"/>
      <c r="B84" s="47"/>
      <c r="C84" s="47"/>
      <c r="D84" s="48"/>
      <c r="E84" s="48"/>
      <c r="F84" s="58"/>
      <c r="G84" s="7"/>
      <c r="H84" s="7"/>
      <c r="I84" s="55" t="str">
        <f t="shared" si="29"/>
        <v/>
      </c>
      <c r="J84" s="55" t="str">
        <f t="shared" si="30"/>
        <v/>
      </c>
      <c r="K84" s="56" t="str">
        <f t="shared" si="31"/>
        <v/>
      </c>
      <c r="L84" s="56" t="str">
        <f t="shared" si="32"/>
        <v/>
      </c>
      <c r="M84" s="56" t="str">
        <f t="shared" si="15"/>
        <v/>
      </c>
      <c r="N84" s="56" t="str">
        <f t="shared" si="33"/>
        <v/>
      </c>
      <c r="O84" s="57" t="str">
        <f t="shared" si="17"/>
        <v/>
      </c>
      <c r="P84" s="57" t="str">
        <f t="shared" si="34"/>
        <v/>
      </c>
      <c r="Q84" s="57" t="str">
        <f t="shared" si="35"/>
        <v/>
      </c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</row>
    <row r="85" spans="1:32" x14ac:dyDescent="0.45">
      <c r="A85" s="7"/>
      <c r="B85" s="47"/>
      <c r="C85" s="47"/>
      <c r="D85" s="48"/>
      <c r="E85" s="48"/>
      <c r="F85" s="58"/>
      <c r="G85" s="7"/>
      <c r="H85" s="7"/>
      <c r="I85" s="55" t="str">
        <f t="shared" si="29"/>
        <v/>
      </c>
      <c r="J85" s="55" t="str">
        <f t="shared" si="30"/>
        <v/>
      </c>
      <c r="K85" s="56" t="str">
        <f t="shared" si="31"/>
        <v/>
      </c>
      <c r="L85" s="56" t="str">
        <f t="shared" si="32"/>
        <v/>
      </c>
      <c r="M85" s="56" t="str">
        <f t="shared" si="15"/>
        <v/>
      </c>
      <c r="N85" s="56" t="str">
        <f t="shared" si="33"/>
        <v/>
      </c>
      <c r="O85" s="57" t="str">
        <f t="shared" si="17"/>
        <v/>
      </c>
      <c r="P85" s="57" t="str">
        <f t="shared" si="34"/>
        <v/>
      </c>
      <c r="Q85" s="57" t="str">
        <f t="shared" si="35"/>
        <v/>
      </c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</row>
    <row r="86" spans="1:32" x14ac:dyDescent="0.45">
      <c r="A86" s="7"/>
      <c r="B86" s="47"/>
      <c r="C86" s="47"/>
      <c r="D86" s="48"/>
      <c r="E86" s="48"/>
      <c r="F86" s="58"/>
      <c r="G86" s="7"/>
      <c r="H86" s="7"/>
      <c r="I86" s="55" t="str">
        <f t="shared" si="29"/>
        <v/>
      </c>
      <c r="J86" s="55" t="str">
        <f t="shared" si="30"/>
        <v/>
      </c>
      <c r="K86" s="56" t="str">
        <f t="shared" si="31"/>
        <v/>
      </c>
      <c r="L86" s="56" t="str">
        <f t="shared" si="32"/>
        <v/>
      </c>
      <c r="M86" s="56" t="str">
        <f t="shared" si="15"/>
        <v/>
      </c>
      <c r="N86" s="56" t="str">
        <f t="shared" si="33"/>
        <v/>
      </c>
      <c r="O86" s="57" t="str">
        <f t="shared" si="17"/>
        <v/>
      </c>
      <c r="P86" s="57" t="str">
        <f t="shared" si="34"/>
        <v/>
      </c>
      <c r="Q86" s="57" t="str">
        <f t="shared" si="35"/>
        <v/>
      </c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</row>
    <row r="87" spans="1:32" x14ac:dyDescent="0.45">
      <c r="A87" s="7"/>
      <c r="B87" s="47"/>
      <c r="C87" s="47"/>
      <c r="D87" s="48"/>
      <c r="E87" s="48"/>
      <c r="F87" s="58"/>
      <c r="G87" s="7"/>
      <c r="H87" s="7"/>
      <c r="I87" s="55" t="str">
        <f t="shared" si="29"/>
        <v/>
      </c>
      <c r="J87" s="55" t="str">
        <f t="shared" si="30"/>
        <v/>
      </c>
      <c r="K87" s="56" t="str">
        <f t="shared" si="31"/>
        <v/>
      </c>
      <c r="L87" s="56" t="str">
        <f t="shared" si="32"/>
        <v/>
      </c>
      <c r="M87" s="56" t="str">
        <f t="shared" si="15"/>
        <v/>
      </c>
      <c r="N87" s="56" t="str">
        <f t="shared" si="33"/>
        <v/>
      </c>
      <c r="O87" s="57" t="str">
        <f t="shared" si="17"/>
        <v/>
      </c>
      <c r="P87" s="57" t="str">
        <f t="shared" si="34"/>
        <v/>
      </c>
      <c r="Q87" s="57" t="str">
        <f t="shared" si="35"/>
        <v/>
      </c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</row>
    <row r="88" spans="1:32" x14ac:dyDescent="0.45">
      <c r="A88" s="7"/>
      <c r="B88" s="47"/>
      <c r="C88" s="47"/>
      <c r="D88" s="48"/>
      <c r="E88" s="48"/>
      <c r="F88" s="58"/>
      <c r="G88" s="7"/>
      <c r="H88" s="7"/>
      <c r="I88" s="55" t="str">
        <f t="shared" si="29"/>
        <v/>
      </c>
      <c r="J88" s="55" t="str">
        <f t="shared" si="30"/>
        <v/>
      </c>
      <c r="K88" s="56" t="str">
        <f t="shared" si="31"/>
        <v/>
      </c>
      <c r="L88" s="56" t="str">
        <f t="shared" si="32"/>
        <v/>
      </c>
      <c r="M88" s="56" t="str">
        <f t="shared" si="15"/>
        <v/>
      </c>
      <c r="N88" s="56" t="str">
        <f t="shared" si="33"/>
        <v/>
      </c>
      <c r="O88" s="57" t="str">
        <f t="shared" si="17"/>
        <v/>
      </c>
      <c r="P88" s="57" t="str">
        <f t="shared" si="34"/>
        <v/>
      </c>
      <c r="Q88" s="57" t="str">
        <f t="shared" si="35"/>
        <v/>
      </c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</row>
    <row r="89" spans="1:32" x14ac:dyDescent="0.45">
      <c r="A89" s="7"/>
      <c r="B89" s="47"/>
      <c r="C89" s="47"/>
      <c r="D89" s="48"/>
      <c r="E89" s="48"/>
      <c r="F89" s="58"/>
      <c r="G89" s="7"/>
      <c r="H89" s="7"/>
      <c r="I89" s="55" t="str">
        <f t="shared" si="29"/>
        <v/>
      </c>
      <c r="J89" s="55" t="str">
        <f t="shared" si="30"/>
        <v/>
      </c>
      <c r="K89" s="56" t="str">
        <f t="shared" si="31"/>
        <v/>
      </c>
      <c r="L89" s="56" t="str">
        <f t="shared" si="32"/>
        <v/>
      </c>
      <c r="M89" s="56" t="str">
        <f t="shared" si="15"/>
        <v/>
      </c>
      <c r="N89" s="56" t="str">
        <f t="shared" si="33"/>
        <v/>
      </c>
      <c r="O89" s="57" t="str">
        <f t="shared" si="17"/>
        <v/>
      </c>
      <c r="P89" s="57" t="str">
        <f t="shared" si="34"/>
        <v/>
      </c>
      <c r="Q89" s="57" t="str">
        <f t="shared" si="35"/>
        <v/>
      </c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</row>
    <row r="90" spans="1:32" x14ac:dyDescent="0.45">
      <c r="A90" s="7"/>
      <c r="B90" s="47"/>
      <c r="C90" s="47"/>
      <c r="D90" s="48"/>
      <c r="E90" s="48"/>
      <c r="F90" s="58"/>
      <c r="G90" s="7"/>
      <c r="H90" s="7"/>
      <c r="I90" s="55" t="str">
        <f t="shared" si="29"/>
        <v/>
      </c>
      <c r="J90" s="55" t="str">
        <f t="shared" si="30"/>
        <v/>
      </c>
      <c r="K90" s="56" t="str">
        <f t="shared" si="31"/>
        <v/>
      </c>
      <c r="L90" s="56" t="str">
        <f t="shared" si="32"/>
        <v/>
      </c>
      <c r="M90" s="56" t="str">
        <f t="shared" si="15"/>
        <v/>
      </c>
      <c r="N90" s="56" t="str">
        <f t="shared" si="33"/>
        <v/>
      </c>
      <c r="O90" s="57" t="str">
        <f t="shared" si="17"/>
        <v/>
      </c>
      <c r="P90" s="57" t="str">
        <f t="shared" si="34"/>
        <v/>
      </c>
      <c r="Q90" s="57" t="str">
        <f t="shared" si="35"/>
        <v/>
      </c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</row>
    <row r="91" spans="1:32" x14ac:dyDescent="0.45">
      <c r="A91" s="7"/>
      <c r="B91" s="47"/>
      <c r="C91" s="47"/>
      <c r="D91" s="48"/>
      <c r="E91" s="48"/>
      <c r="F91" s="58"/>
      <c r="G91" s="7"/>
      <c r="H91" s="7"/>
      <c r="I91" s="55" t="str">
        <f t="shared" si="29"/>
        <v/>
      </c>
      <c r="J91" s="55" t="str">
        <f t="shared" si="30"/>
        <v/>
      </c>
      <c r="K91" s="56" t="str">
        <f t="shared" si="31"/>
        <v/>
      </c>
      <c r="L91" s="56" t="str">
        <f t="shared" si="32"/>
        <v/>
      </c>
      <c r="M91" s="56" t="str">
        <f t="shared" si="15"/>
        <v/>
      </c>
      <c r="N91" s="56" t="str">
        <f t="shared" si="33"/>
        <v/>
      </c>
      <c r="O91" s="57" t="str">
        <f t="shared" si="17"/>
        <v/>
      </c>
      <c r="P91" s="57" t="str">
        <f t="shared" si="34"/>
        <v/>
      </c>
      <c r="Q91" s="57" t="str">
        <f t="shared" si="35"/>
        <v/>
      </c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</row>
    <row r="92" spans="1:32" x14ac:dyDescent="0.45">
      <c r="A92" s="7"/>
      <c r="B92" s="47"/>
      <c r="C92" s="47"/>
      <c r="D92" s="48"/>
      <c r="E92" s="48"/>
      <c r="F92" s="58"/>
      <c r="G92" s="7"/>
      <c r="H92" s="7"/>
      <c r="I92" s="55" t="str">
        <f t="shared" si="29"/>
        <v/>
      </c>
      <c r="J92" s="55" t="str">
        <f t="shared" si="30"/>
        <v/>
      </c>
      <c r="K92" s="56" t="str">
        <f t="shared" si="31"/>
        <v/>
      </c>
      <c r="L92" s="56" t="str">
        <f t="shared" si="32"/>
        <v/>
      </c>
      <c r="M92" s="56" t="str">
        <f t="shared" si="15"/>
        <v/>
      </c>
      <c r="N92" s="56" t="str">
        <f t="shared" si="33"/>
        <v/>
      </c>
      <c r="O92" s="57" t="str">
        <f t="shared" si="17"/>
        <v/>
      </c>
      <c r="P92" s="57" t="str">
        <f t="shared" si="34"/>
        <v/>
      </c>
      <c r="Q92" s="57" t="str">
        <f t="shared" si="35"/>
        <v/>
      </c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</row>
    <row r="93" spans="1:32" x14ac:dyDescent="0.45">
      <c r="A93" s="7"/>
      <c r="B93" s="47"/>
      <c r="C93" s="47"/>
      <c r="D93" s="48"/>
      <c r="E93" s="48"/>
      <c r="F93" s="58"/>
      <c r="G93" s="7"/>
      <c r="H93" s="7"/>
      <c r="I93" s="55" t="str">
        <f t="shared" si="29"/>
        <v/>
      </c>
      <c r="J93" s="55" t="str">
        <f t="shared" si="30"/>
        <v/>
      </c>
      <c r="K93" s="56" t="str">
        <f t="shared" si="31"/>
        <v/>
      </c>
      <c r="L93" s="56" t="str">
        <f t="shared" si="32"/>
        <v/>
      </c>
      <c r="M93" s="56" t="str">
        <f t="shared" ref="M93:M127" si="36">IF(D93=0,"",1-L93)</f>
        <v/>
      </c>
      <c r="N93" s="56" t="str">
        <f t="shared" si="33"/>
        <v/>
      </c>
      <c r="O93" s="57" t="str">
        <f t="shared" ref="O93:O127" si="37">IF(D93=0,"",F93*K93*$J$7/$J$14)</f>
        <v/>
      </c>
      <c r="P93" s="57" t="str">
        <f t="shared" si="34"/>
        <v/>
      </c>
      <c r="Q93" s="57" t="str">
        <f t="shared" si="35"/>
        <v/>
      </c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</row>
    <row r="94" spans="1:32" x14ac:dyDescent="0.45">
      <c r="A94" s="7"/>
      <c r="B94" s="47"/>
      <c r="C94" s="47"/>
      <c r="D94" s="48"/>
      <c r="E94" s="48"/>
      <c r="F94" s="58"/>
      <c r="G94" s="7"/>
      <c r="H94" s="7"/>
      <c r="I94" s="55" t="str">
        <f t="shared" si="29"/>
        <v/>
      </c>
      <c r="J94" s="55" t="str">
        <f t="shared" si="30"/>
        <v/>
      </c>
      <c r="K94" s="56" t="str">
        <f t="shared" si="31"/>
        <v/>
      </c>
      <c r="L94" s="56" t="str">
        <f t="shared" si="32"/>
        <v/>
      </c>
      <c r="M94" s="56" t="str">
        <f t="shared" si="36"/>
        <v/>
      </c>
      <c r="N94" s="56" t="str">
        <f t="shared" si="33"/>
        <v/>
      </c>
      <c r="O94" s="57" t="str">
        <f t="shared" si="37"/>
        <v/>
      </c>
      <c r="P94" s="57" t="str">
        <f t="shared" si="34"/>
        <v/>
      </c>
      <c r="Q94" s="57" t="str">
        <f t="shared" si="35"/>
        <v/>
      </c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</row>
    <row r="95" spans="1:32" x14ac:dyDescent="0.45">
      <c r="A95" s="7"/>
      <c r="B95" s="47"/>
      <c r="C95" s="47"/>
      <c r="D95" s="48"/>
      <c r="E95" s="48"/>
      <c r="F95" s="58"/>
      <c r="G95" s="7"/>
      <c r="H95" s="7"/>
      <c r="I95" s="55" t="str">
        <f t="shared" si="29"/>
        <v/>
      </c>
      <c r="J95" s="55" t="str">
        <f t="shared" si="30"/>
        <v/>
      </c>
      <c r="K95" s="56" t="str">
        <f t="shared" si="31"/>
        <v/>
      </c>
      <c r="L95" s="56" t="str">
        <f t="shared" si="32"/>
        <v/>
      </c>
      <c r="M95" s="56" t="str">
        <f t="shared" si="36"/>
        <v/>
      </c>
      <c r="N95" s="56" t="str">
        <f t="shared" si="33"/>
        <v/>
      </c>
      <c r="O95" s="57" t="str">
        <f t="shared" si="37"/>
        <v/>
      </c>
      <c r="P95" s="57" t="str">
        <f t="shared" si="34"/>
        <v/>
      </c>
      <c r="Q95" s="57" t="str">
        <f t="shared" si="35"/>
        <v/>
      </c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</row>
    <row r="96" spans="1:32" x14ac:dyDescent="0.45">
      <c r="A96" s="7"/>
      <c r="B96" s="47"/>
      <c r="C96" s="47"/>
      <c r="D96" s="48"/>
      <c r="E96" s="48"/>
      <c r="F96" s="58"/>
      <c r="G96" s="7"/>
      <c r="H96" s="7"/>
      <c r="I96" s="55" t="str">
        <f t="shared" si="29"/>
        <v/>
      </c>
      <c r="J96" s="55" t="str">
        <f t="shared" si="30"/>
        <v/>
      </c>
      <c r="K96" s="56" t="str">
        <f t="shared" si="31"/>
        <v/>
      </c>
      <c r="L96" s="56" t="str">
        <f t="shared" si="32"/>
        <v/>
      </c>
      <c r="M96" s="56" t="str">
        <f t="shared" si="36"/>
        <v/>
      </c>
      <c r="N96" s="56" t="str">
        <f t="shared" si="33"/>
        <v/>
      </c>
      <c r="O96" s="57" t="str">
        <f t="shared" si="37"/>
        <v/>
      </c>
      <c r="P96" s="57" t="str">
        <f t="shared" si="34"/>
        <v/>
      </c>
      <c r="Q96" s="57" t="str">
        <f t="shared" si="35"/>
        <v/>
      </c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</row>
    <row r="97" spans="1:32" x14ac:dyDescent="0.45">
      <c r="A97" s="7"/>
      <c r="B97" s="47"/>
      <c r="C97" s="47"/>
      <c r="D97" s="48"/>
      <c r="E97" s="48"/>
      <c r="F97" s="58"/>
      <c r="G97" s="7"/>
      <c r="H97" s="7"/>
      <c r="I97" s="55" t="str">
        <f t="shared" si="29"/>
        <v/>
      </c>
      <c r="J97" s="55" t="str">
        <f t="shared" si="30"/>
        <v/>
      </c>
      <c r="K97" s="56" t="str">
        <f t="shared" si="31"/>
        <v/>
      </c>
      <c r="L97" s="56" t="str">
        <f t="shared" si="32"/>
        <v/>
      </c>
      <c r="M97" s="56" t="str">
        <f t="shared" si="36"/>
        <v/>
      </c>
      <c r="N97" s="56" t="str">
        <f t="shared" si="33"/>
        <v/>
      </c>
      <c r="O97" s="57" t="str">
        <f t="shared" si="37"/>
        <v/>
      </c>
      <c r="P97" s="57" t="str">
        <f t="shared" si="34"/>
        <v/>
      </c>
      <c r="Q97" s="57" t="str">
        <f t="shared" si="35"/>
        <v/>
      </c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</row>
    <row r="98" spans="1:32" x14ac:dyDescent="0.45">
      <c r="A98" s="7"/>
      <c r="B98" s="47"/>
      <c r="C98" s="47"/>
      <c r="D98" s="48"/>
      <c r="E98" s="48"/>
      <c r="F98" s="58"/>
      <c r="G98" s="7"/>
      <c r="H98" s="7"/>
      <c r="I98" s="55" t="str">
        <f t="shared" si="29"/>
        <v/>
      </c>
      <c r="J98" s="55" t="str">
        <f t="shared" si="30"/>
        <v/>
      </c>
      <c r="K98" s="56" t="str">
        <f t="shared" si="31"/>
        <v/>
      </c>
      <c r="L98" s="56" t="str">
        <f t="shared" si="32"/>
        <v/>
      </c>
      <c r="M98" s="56" t="str">
        <f t="shared" si="36"/>
        <v/>
      </c>
      <c r="N98" s="56" t="str">
        <f t="shared" si="33"/>
        <v/>
      </c>
      <c r="O98" s="57" t="str">
        <f t="shared" si="37"/>
        <v/>
      </c>
      <c r="P98" s="57" t="str">
        <f t="shared" si="34"/>
        <v/>
      </c>
      <c r="Q98" s="57" t="str">
        <f t="shared" si="35"/>
        <v/>
      </c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</row>
    <row r="99" spans="1:32" x14ac:dyDescent="0.45">
      <c r="A99" s="7"/>
      <c r="B99" s="47"/>
      <c r="C99" s="47"/>
      <c r="D99" s="48"/>
      <c r="E99" s="48"/>
      <c r="F99" s="58"/>
      <c r="G99" s="7"/>
      <c r="H99" s="7"/>
      <c r="I99" s="55" t="str">
        <f t="shared" si="29"/>
        <v/>
      </c>
      <c r="J99" s="55" t="str">
        <f t="shared" si="30"/>
        <v/>
      </c>
      <c r="K99" s="56" t="str">
        <f t="shared" si="31"/>
        <v/>
      </c>
      <c r="L99" s="56" t="str">
        <f t="shared" si="32"/>
        <v/>
      </c>
      <c r="M99" s="56" t="str">
        <f t="shared" si="36"/>
        <v/>
      </c>
      <c r="N99" s="56" t="str">
        <f t="shared" si="33"/>
        <v/>
      </c>
      <c r="O99" s="57" t="str">
        <f t="shared" si="37"/>
        <v/>
      </c>
      <c r="P99" s="57" t="str">
        <f t="shared" si="34"/>
        <v/>
      </c>
      <c r="Q99" s="57" t="str">
        <f t="shared" si="35"/>
        <v/>
      </c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</row>
    <row r="100" spans="1:32" x14ac:dyDescent="0.45">
      <c r="A100" s="7"/>
      <c r="B100" s="47"/>
      <c r="C100" s="47"/>
      <c r="D100" s="48"/>
      <c r="E100" s="48"/>
      <c r="F100" s="58"/>
      <c r="G100" s="7"/>
      <c r="H100" s="7"/>
      <c r="I100" s="55" t="str">
        <f t="shared" si="29"/>
        <v/>
      </c>
      <c r="J100" s="55" t="str">
        <f t="shared" si="30"/>
        <v/>
      </c>
      <c r="K100" s="56" t="str">
        <f t="shared" si="31"/>
        <v/>
      </c>
      <c r="L100" s="56" t="str">
        <f t="shared" si="32"/>
        <v/>
      </c>
      <c r="M100" s="56" t="str">
        <f t="shared" si="36"/>
        <v/>
      </c>
      <c r="N100" s="56" t="str">
        <f t="shared" si="33"/>
        <v/>
      </c>
      <c r="O100" s="57" t="str">
        <f t="shared" si="37"/>
        <v/>
      </c>
      <c r="P100" s="57" t="str">
        <f t="shared" si="34"/>
        <v/>
      </c>
      <c r="Q100" s="57" t="str">
        <f t="shared" si="35"/>
        <v/>
      </c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</row>
    <row r="101" spans="1:32" x14ac:dyDescent="0.45">
      <c r="A101" s="7"/>
      <c r="B101" s="47"/>
      <c r="C101" s="47"/>
      <c r="D101" s="48"/>
      <c r="E101" s="48"/>
      <c r="F101" s="58"/>
      <c r="G101" s="7"/>
      <c r="H101" s="7"/>
      <c r="I101" s="55" t="str">
        <f t="shared" si="29"/>
        <v/>
      </c>
      <c r="J101" s="55" t="str">
        <f t="shared" si="30"/>
        <v/>
      </c>
      <c r="K101" s="56" t="str">
        <f t="shared" si="31"/>
        <v/>
      </c>
      <c r="L101" s="56" t="str">
        <f t="shared" si="32"/>
        <v/>
      </c>
      <c r="M101" s="56" t="str">
        <f t="shared" si="36"/>
        <v/>
      </c>
      <c r="N101" s="56" t="str">
        <f t="shared" si="33"/>
        <v/>
      </c>
      <c r="O101" s="57" t="str">
        <f t="shared" si="37"/>
        <v/>
      </c>
      <c r="P101" s="57" t="str">
        <f t="shared" si="34"/>
        <v/>
      </c>
      <c r="Q101" s="57" t="str">
        <f t="shared" si="35"/>
        <v/>
      </c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</row>
    <row r="102" spans="1:32" x14ac:dyDescent="0.45">
      <c r="A102" s="7"/>
      <c r="B102" s="47"/>
      <c r="C102" s="47"/>
      <c r="D102" s="48"/>
      <c r="E102" s="48"/>
      <c r="F102" s="58"/>
      <c r="G102" s="7"/>
      <c r="H102" s="7"/>
      <c r="I102" s="55" t="str">
        <f t="shared" si="29"/>
        <v/>
      </c>
      <c r="J102" s="55" t="str">
        <f t="shared" si="30"/>
        <v/>
      </c>
      <c r="K102" s="56" t="str">
        <f t="shared" si="31"/>
        <v/>
      </c>
      <c r="L102" s="56" t="str">
        <f t="shared" si="32"/>
        <v/>
      </c>
      <c r="M102" s="56" t="str">
        <f t="shared" si="36"/>
        <v/>
      </c>
      <c r="N102" s="56" t="str">
        <f t="shared" si="33"/>
        <v/>
      </c>
      <c r="O102" s="57" t="str">
        <f t="shared" si="37"/>
        <v/>
      </c>
      <c r="P102" s="57" t="str">
        <f t="shared" si="34"/>
        <v/>
      </c>
      <c r="Q102" s="57" t="str">
        <f t="shared" si="35"/>
        <v/>
      </c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</row>
    <row r="103" spans="1:32" x14ac:dyDescent="0.45">
      <c r="A103" s="7"/>
      <c r="B103" s="47"/>
      <c r="C103" s="47"/>
      <c r="D103" s="48"/>
      <c r="E103" s="48"/>
      <c r="F103" s="58"/>
      <c r="G103" s="7"/>
      <c r="H103" s="7"/>
      <c r="I103" s="55" t="str">
        <f t="shared" si="29"/>
        <v/>
      </c>
      <c r="J103" s="55" t="str">
        <f t="shared" si="30"/>
        <v/>
      </c>
      <c r="K103" s="56" t="str">
        <f t="shared" si="31"/>
        <v/>
      </c>
      <c r="L103" s="56" t="str">
        <f t="shared" si="32"/>
        <v/>
      </c>
      <c r="M103" s="56" t="str">
        <f t="shared" si="36"/>
        <v/>
      </c>
      <c r="N103" s="56" t="str">
        <f t="shared" si="33"/>
        <v/>
      </c>
      <c r="O103" s="57" t="str">
        <f t="shared" si="37"/>
        <v/>
      </c>
      <c r="P103" s="57" t="str">
        <f t="shared" si="34"/>
        <v/>
      </c>
      <c r="Q103" s="57" t="str">
        <f t="shared" si="35"/>
        <v/>
      </c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</row>
    <row r="104" spans="1:32" x14ac:dyDescent="0.45">
      <c r="A104" s="7"/>
      <c r="B104" s="47"/>
      <c r="C104" s="47"/>
      <c r="D104" s="48"/>
      <c r="E104" s="48"/>
      <c r="F104" s="58"/>
      <c r="G104" s="7"/>
      <c r="H104" s="7"/>
      <c r="I104" s="55" t="str">
        <f t="shared" si="29"/>
        <v/>
      </c>
      <c r="J104" s="55" t="str">
        <f t="shared" si="30"/>
        <v/>
      </c>
      <c r="K104" s="56" t="str">
        <f t="shared" si="31"/>
        <v/>
      </c>
      <c r="L104" s="56" t="str">
        <f t="shared" si="32"/>
        <v/>
      </c>
      <c r="M104" s="56" t="str">
        <f t="shared" si="36"/>
        <v/>
      </c>
      <c r="N104" s="56" t="str">
        <f t="shared" si="33"/>
        <v/>
      </c>
      <c r="O104" s="57" t="str">
        <f t="shared" si="37"/>
        <v/>
      </c>
      <c r="P104" s="57" t="str">
        <f t="shared" si="34"/>
        <v/>
      </c>
      <c r="Q104" s="57" t="str">
        <f t="shared" si="35"/>
        <v/>
      </c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</row>
    <row r="105" spans="1:32" x14ac:dyDescent="0.45">
      <c r="A105" s="7"/>
      <c r="B105" s="47"/>
      <c r="C105" s="47"/>
      <c r="D105" s="48"/>
      <c r="E105" s="48"/>
      <c r="F105" s="58"/>
      <c r="G105" s="7"/>
      <c r="H105" s="7"/>
      <c r="I105" s="55" t="str">
        <f t="shared" si="29"/>
        <v/>
      </c>
      <c r="J105" s="55" t="str">
        <f t="shared" si="30"/>
        <v/>
      </c>
      <c r="K105" s="56" t="str">
        <f t="shared" si="31"/>
        <v/>
      </c>
      <c r="L105" s="56" t="str">
        <f t="shared" si="32"/>
        <v/>
      </c>
      <c r="M105" s="56" t="str">
        <f t="shared" si="36"/>
        <v/>
      </c>
      <c r="N105" s="56" t="str">
        <f t="shared" si="33"/>
        <v/>
      </c>
      <c r="O105" s="57" t="str">
        <f t="shared" si="37"/>
        <v/>
      </c>
      <c r="P105" s="57" t="str">
        <f t="shared" si="34"/>
        <v/>
      </c>
      <c r="Q105" s="57" t="str">
        <f t="shared" si="35"/>
        <v/>
      </c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</row>
    <row r="106" spans="1:32" x14ac:dyDescent="0.45">
      <c r="A106" s="7"/>
      <c r="B106" s="47"/>
      <c r="C106" s="47"/>
      <c r="D106" s="48"/>
      <c r="E106" s="48"/>
      <c r="F106" s="58"/>
      <c r="G106" s="7"/>
      <c r="H106" s="7"/>
      <c r="I106" s="55" t="str">
        <f t="shared" si="29"/>
        <v/>
      </c>
      <c r="J106" s="55" t="str">
        <f t="shared" si="30"/>
        <v/>
      </c>
      <c r="K106" s="56" t="str">
        <f t="shared" si="31"/>
        <v/>
      </c>
      <c r="L106" s="56" t="str">
        <f t="shared" si="32"/>
        <v/>
      </c>
      <c r="M106" s="56" t="str">
        <f t="shared" si="36"/>
        <v/>
      </c>
      <c r="N106" s="56" t="str">
        <f t="shared" si="33"/>
        <v/>
      </c>
      <c r="O106" s="57" t="str">
        <f t="shared" si="37"/>
        <v/>
      </c>
      <c r="P106" s="57" t="str">
        <f t="shared" si="34"/>
        <v/>
      </c>
      <c r="Q106" s="57" t="str">
        <f t="shared" si="35"/>
        <v/>
      </c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</row>
    <row r="107" spans="1:32" x14ac:dyDescent="0.45">
      <c r="A107" s="7"/>
      <c r="B107" s="47"/>
      <c r="C107" s="47"/>
      <c r="D107" s="48"/>
      <c r="E107" s="48"/>
      <c r="F107" s="58"/>
      <c r="G107" s="7"/>
      <c r="H107" s="7"/>
      <c r="I107" s="55" t="str">
        <f t="shared" si="29"/>
        <v/>
      </c>
      <c r="J107" s="55" t="str">
        <f t="shared" si="30"/>
        <v/>
      </c>
      <c r="K107" s="56" t="str">
        <f t="shared" si="31"/>
        <v/>
      </c>
      <c r="L107" s="56" t="str">
        <f t="shared" si="32"/>
        <v/>
      </c>
      <c r="M107" s="56" t="str">
        <f t="shared" si="36"/>
        <v/>
      </c>
      <c r="N107" s="56" t="str">
        <f t="shared" si="33"/>
        <v/>
      </c>
      <c r="O107" s="57" t="str">
        <f t="shared" si="37"/>
        <v/>
      </c>
      <c r="P107" s="57" t="str">
        <f t="shared" si="34"/>
        <v/>
      </c>
      <c r="Q107" s="57" t="str">
        <f t="shared" si="35"/>
        <v/>
      </c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</row>
    <row r="108" spans="1:32" x14ac:dyDescent="0.45">
      <c r="A108" s="7"/>
      <c r="B108" s="47"/>
      <c r="C108" s="47"/>
      <c r="D108" s="48"/>
      <c r="E108" s="48"/>
      <c r="F108" s="58"/>
      <c r="G108" s="7"/>
      <c r="H108" s="7"/>
      <c r="I108" s="55" t="str">
        <f t="shared" si="29"/>
        <v/>
      </c>
      <c r="J108" s="55" t="str">
        <f t="shared" si="30"/>
        <v/>
      </c>
      <c r="K108" s="56" t="str">
        <f t="shared" si="31"/>
        <v/>
      </c>
      <c r="L108" s="56" t="str">
        <f t="shared" si="32"/>
        <v/>
      </c>
      <c r="M108" s="56" t="str">
        <f t="shared" si="36"/>
        <v/>
      </c>
      <c r="N108" s="56" t="str">
        <f t="shared" si="33"/>
        <v/>
      </c>
      <c r="O108" s="57" t="str">
        <f t="shared" si="37"/>
        <v/>
      </c>
      <c r="P108" s="57" t="str">
        <f t="shared" si="34"/>
        <v/>
      </c>
      <c r="Q108" s="57" t="str">
        <f t="shared" si="35"/>
        <v/>
      </c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</row>
    <row r="109" spans="1:32" x14ac:dyDescent="0.45">
      <c r="A109" s="7"/>
      <c r="B109" s="47"/>
      <c r="C109" s="47"/>
      <c r="D109" s="48"/>
      <c r="E109" s="48"/>
      <c r="F109" s="58"/>
      <c r="G109" s="7"/>
      <c r="H109" s="7"/>
      <c r="I109" s="55" t="str">
        <f t="shared" si="29"/>
        <v/>
      </c>
      <c r="J109" s="55" t="str">
        <f t="shared" si="30"/>
        <v/>
      </c>
      <c r="K109" s="56" t="str">
        <f t="shared" si="31"/>
        <v/>
      </c>
      <c r="L109" s="56" t="str">
        <f t="shared" si="32"/>
        <v/>
      </c>
      <c r="M109" s="56" t="str">
        <f t="shared" si="36"/>
        <v/>
      </c>
      <c r="N109" s="56" t="str">
        <f t="shared" si="33"/>
        <v/>
      </c>
      <c r="O109" s="57" t="str">
        <f t="shared" si="37"/>
        <v/>
      </c>
      <c r="P109" s="57" t="str">
        <f t="shared" si="34"/>
        <v/>
      </c>
      <c r="Q109" s="57" t="str">
        <f t="shared" si="35"/>
        <v/>
      </c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</row>
    <row r="110" spans="1:32" x14ac:dyDescent="0.45">
      <c r="A110" s="7"/>
      <c r="B110" s="47"/>
      <c r="C110" s="47"/>
      <c r="D110" s="48"/>
      <c r="E110" s="48"/>
      <c r="F110" s="58"/>
      <c r="G110" s="7"/>
      <c r="H110" s="7"/>
      <c r="I110" s="55" t="str">
        <f t="shared" si="29"/>
        <v/>
      </c>
      <c r="J110" s="55" t="str">
        <f t="shared" si="30"/>
        <v/>
      </c>
      <c r="K110" s="56" t="str">
        <f t="shared" si="31"/>
        <v/>
      </c>
      <c r="L110" s="56" t="str">
        <f t="shared" si="32"/>
        <v/>
      </c>
      <c r="M110" s="56" t="str">
        <f t="shared" si="36"/>
        <v/>
      </c>
      <c r="N110" s="56" t="str">
        <f t="shared" si="33"/>
        <v/>
      </c>
      <c r="O110" s="57" t="str">
        <f t="shared" si="37"/>
        <v/>
      </c>
      <c r="P110" s="57" t="str">
        <f t="shared" si="34"/>
        <v/>
      </c>
      <c r="Q110" s="57" t="str">
        <f t="shared" si="35"/>
        <v/>
      </c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</row>
    <row r="111" spans="1:32" x14ac:dyDescent="0.45">
      <c r="A111" s="7"/>
      <c r="B111" s="47"/>
      <c r="C111" s="47"/>
      <c r="D111" s="48"/>
      <c r="E111" s="48"/>
      <c r="F111" s="58"/>
      <c r="G111" s="7"/>
      <c r="H111" s="7"/>
      <c r="I111" s="55" t="str">
        <f t="shared" si="29"/>
        <v/>
      </c>
      <c r="J111" s="55" t="str">
        <f t="shared" si="30"/>
        <v/>
      </c>
      <c r="K111" s="56" t="str">
        <f t="shared" si="31"/>
        <v/>
      </c>
      <c r="L111" s="56" t="str">
        <f t="shared" si="32"/>
        <v/>
      </c>
      <c r="M111" s="56" t="str">
        <f t="shared" si="36"/>
        <v/>
      </c>
      <c r="N111" s="56" t="str">
        <f t="shared" si="33"/>
        <v/>
      </c>
      <c r="O111" s="57" t="str">
        <f t="shared" si="37"/>
        <v/>
      </c>
      <c r="P111" s="57" t="str">
        <f t="shared" si="34"/>
        <v/>
      </c>
      <c r="Q111" s="57" t="str">
        <f t="shared" si="35"/>
        <v/>
      </c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</row>
    <row r="112" spans="1:32" x14ac:dyDescent="0.45">
      <c r="A112" s="7"/>
      <c r="B112" s="47"/>
      <c r="C112" s="47"/>
      <c r="D112" s="48"/>
      <c r="E112" s="48"/>
      <c r="F112" s="58"/>
      <c r="G112" s="7"/>
      <c r="H112" s="7"/>
      <c r="I112" s="55" t="str">
        <f t="shared" si="29"/>
        <v/>
      </c>
      <c r="J112" s="55" t="str">
        <f t="shared" si="30"/>
        <v/>
      </c>
      <c r="K112" s="56" t="str">
        <f t="shared" si="31"/>
        <v/>
      </c>
      <c r="L112" s="56" t="str">
        <f t="shared" si="32"/>
        <v/>
      </c>
      <c r="M112" s="56" t="str">
        <f t="shared" si="36"/>
        <v/>
      </c>
      <c r="N112" s="56" t="str">
        <f t="shared" si="33"/>
        <v/>
      </c>
      <c r="O112" s="57" t="str">
        <f t="shared" si="37"/>
        <v/>
      </c>
      <c r="P112" s="57" t="str">
        <f t="shared" si="34"/>
        <v/>
      </c>
      <c r="Q112" s="57" t="str">
        <f t="shared" si="35"/>
        <v/>
      </c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</row>
    <row r="113" spans="1:32" x14ac:dyDescent="0.45">
      <c r="A113" s="7"/>
      <c r="B113" s="47"/>
      <c r="C113" s="47"/>
      <c r="D113" s="48"/>
      <c r="E113" s="48"/>
      <c r="F113" s="58"/>
      <c r="G113" s="7"/>
      <c r="H113" s="7"/>
      <c r="I113" s="55" t="str">
        <f t="shared" si="29"/>
        <v/>
      </c>
      <c r="J113" s="55" t="str">
        <f t="shared" si="30"/>
        <v/>
      </c>
      <c r="K113" s="56" t="str">
        <f t="shared" si="31"/>
        <v/>
      </c>
      <c r="L113" s="56" t="str">
        <f t="shared" si="32"/>
        <v/>
      </c>
      <c r="M113" s="56" t="str">
        <f t="shared" si="36"/>
        <v/>
      </c>
      <c r="N113" s="56" t="str">
        <f t="shared" si="33"/>
        <v/>
      </c>
      <c r="O113" s="57" t="str">
        <f t="shared" si="37"/>
        <v/>
      </c>
      <c r="P113" s="57" t="str">
        <f t="shared" si="34"/>
        <v/>
      </c>
      <c r="Q113" s="57" t="str">
        <f t="shared" si="35"/>
        <v/>
      </c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</row>
    <row r="114" spans="1:32" x14ac:dyDescent="0.45">
      <c r="A114" s="7"/>
      <c r="B114" s="47"/>
      <c r="C114" s="47"/>
      <c r="D114" s="48"/>
      <c r="E114" s="48"/>
      <c r="F114" s="58"/>
      <c r="G114" s="7"/>
      <c r="H114" s="7"/>
      <c r="I114" s="55" t="str">
        <f t="shared" si="29"/>
        <v/>
      </c>
      <c r="J114" s="55" t="str">
        <f t="shared" si="30"/>
        <v/>
      </c>
      <c r="K114" s="56" t="str">
        <f t="shared" si="31"/>
        <v/>
      </c>
      <c r="L114" s="56" t="str">
        <f t="shared" si="32"/>
        <v/>
      </c>
      <c r="M114" s="56" t="str">
        <f t="shared" si="36"/>
        <v/>
      </c>
      <c r="N114" s="56" t="str">
        <f t="shared" si="33"/>
        <v/>
      </c>
      <c r="O114" s="57" t="str">
        <f t="shared" si="37"/>
        <v/>
      </c>
      <c r="P114" s="57" t="str">
        <f t="shared" si="34"/>
        <v/>
      </c>
      <c r="Q114" s="57" t="str">
        <f t="shared" si="35"/>
        <v/>
      </c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</row>
    <row r="115" spans="1:32" x14ac:dyDescent="0.45">
      <c r="A115" s="7"/>
      <c r="B115" s="47"/>
      <c r="C115" s="47"/>
      <c r="D115" s="48"/>
      <c r="E115" s="48"/>
      <c r="F115" s="58"/>
      <c r="G115" s="7"/>
      <c r="H115" s="7"/>
      <c r="I115" s="55" t="str">
        <f t="shared" si="29"/>
        <v/>
      </c>
      <c r="J115" s="55" t="str">
        <f t="shared" si="30"/>
        <v/>
      </c>
      <c r="K115" s="56" t="str">
        <f t="shared" si="31"/>
        <v/>
      </c>
      <c r="L115" s="56" t="str">
        <f t="shared" si="32"/>
        <v/>
      </c>
      <c r="M115" s="56" t="str">
        <f t="shared" si="36"/>
        <v/>
      </c>
      <c r="N115" s="56" t="str">
        <f t="shared" si="33"/>
        <v/>
      </c>
      <c r="O115" s="57" t="str">
        <f t="shared" si="37"/>
        <v/>
      </c>
      <c r="P115" s="57" t="str">
        <f t="shared" si="34"/>
        <v/>
      </c>
      <c r="Q115" s="57" t="str">
        <f t="shared" si="35"/>
        <v/>
      </c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</row>
    <row r="116" spans="1:32" x14ac:dyDescent="0.45">
      <c r="A116" s="7"/>
      <c r="B116" s="47"/>
      <c r="C116" s="47"/>
      <c r="D116" s="48"/>
      <c r="E116" s="48"/>
      <c r="F116" s="58"/>
      <c r="G116" s="7"/>
      <c r="H116" s="7"/>
      <c r="I116" s="55" t="str">
        <f t="shared" si="29"/>
        <v/>
      </c>
      <c r="J116" s="55" t="str">
        <f t="shared" si="30"/>
        <v/>
      </c>
      <c r="K116" s="56" t="str">
        <f t="shared" si="31"/>
        <v/>
      </c>
      <c r="L116" s="56" t="str">
        <f t="shared" si="32"/>
        <v/>
      </c>
      <c r="M116" s="56" t="str">
        <f t="shared" si="36"/>
        <v/>
      </c>
      <c r="N116" s="56" t="str">
        <f t="shared" si="33"/>
        <v/>
      </c>
      <c r="O116" s="57" t="str">
        <f t="shared" si="37"/>
        <v/>
      </c>
      <c r="P116" s="57" t="str">
        <f t="shared" si="34"/>
        <v/>
      </c>
      <c r="Q116" s="57" t="str">
        <f t="shared" si="35"/>
        <v/>
      </c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</row>
    <row r="117" spans="1:32" x14ac:dyDescent="0.45">
      <c r="A117" s="7"/>
      <c r="B117" s="47"/>
      <c r="C117" s="47"/>
      <c r="D117" s="48"/>
      <c r="E117" s="48"/>
      <c r="F117" s="58"/>
      <c r="G117" s="7"/>
      <c r="H117" s="7"/>
      <c r="I117" s="55" t="str">
        <f t="shared" si="29"/>
        <v/>
      </c>
      <c r="J117" s="55" t="str">
        <f t="shared" si="30"/>
        <v/>
      </c>
      <c r="K117" s="56" t="str">
        <f t="shared" si="31"/>
        <v/>
      </c>
      <c r="L117" s="56" t="str">
        <f t="shared" si="32"/>
        <v/>
      </c>
      <c r="M117" s="56" t="str">
        <f t="shared" si="36"/>
        <v/>
      </c>
      <c r="N117" s="56" t="str">
        <f t="shared" si="33"/>
        <v/>
      </c>
      <c r="O117" s="57" t="str">
        <f t="shared" si="37"/>
        <v/>
      </c>
      <c r="P117" s="57" t="str">
        <f t="shared" si="34"/>
        <v/>
      </c>
      <c r="Q117" s="57" t="str">
        <f t="shared" si="35"/>
        <v/>
      </c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</row>
    <row r="118" spans="1:32" x14ac:dyDescent="0.45">
      <c r="A118" s="7"/>
      <c r="B118" s="47"/>
      <c r="C118" s="47"/>
      <c r="D118" s="48"/>
      <c r="E118" s="48"/>
      <c r="F118" s="58"/>
      <c r="G118" s="7"/>
      <c r="H118" s="7"/>
      <c r="I118" s="55" t="str">
        <f t="shared" si="29"/>
        <v/>
      </c>
      <c r="J118" s="55" t="str">
        <f t="shared" si="30"/>
        <v/>
      </c>
      <c r="K118" s="56" t="str">
        <f t="shared" si="31"/>
        <v/>
      </c>
      <c r="L118" s="56" t="str">
        <f t="shared" si="32"/>
        <v/>
      </c>
      <c r="M118" s="56" t="str">
        <f t="shared" si="36"/>
        <v/>
      </c>
      <c r="N118" s="56" t="str">
        <f t="shared" si="33"/>
        <v/>
      </c>
      <c r="O118" s="57" t="str">
        <f t="shared" si="37"/>
        <v/>
      </c>
      <c r="P118" s="57" t="str">
        <f t="shared" si="34"/>
        <v/>
      </c>
      <c r="Q118" s="57" t="str">
        <f t="shared" si="35"/>
        <v/>
      </c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</row>
    <row r="119" spans="1:32" x14ac:dyDescent="0.45">
      <c r="A119" s="7"/>
      <c r="B119" s="47"/>
      <c r="C119" s="47"/>
      <c r="D119" s="48"/>
      <c r="E119" s="48"/>
      <c r="F119" s="58"/>
      <c r="G119" s="7"/>
      <c r="H119" s="7"/>
      <c r="I119" s="55" t="str">
        <f t="shared" si="29"/>
        <v/>
      </c>
      <c r="J119" s="55" t="str">
        <f t="shared" si="30"/>
        <v/>
      </c>
      <c r="K119" s="56" t="str">
        <f t="shared" si="31"/>
        <v/>
      </c>
      <c r="L119" s="56" t="str">
        <f t="shared" si="32"/>
        <v/>
      </c>
      <c r="M119" s="56" t="str">
        <f t="shared" si="36"/>
        <v/>
      </c>
      <c r="N119" s="56" t="str">
        <f t="shared" si="33"/>
        <v/>
      </c>
      <c r="O119" s="57" t="str">
        <f t="shared" si="37"/>
        <v/>
      </c>
      <c r="P119" s="57" t="str">
        <f t="shared" si="34"/>
        <v/>
      </c>
      <c r="Q119" s="57" t="str">
        <f t="shared" si="35"/>
        <v/>
      </c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</row>
    <row r="120" spans="1:32" x14ac:dyDescent="0.45">
      <c r="A120" s="7"/>
      <c r="B120" s="47"/>
      <c r="C120" s="47"/>
      <c r="D120" s="48"/>
      <c r="E120" s="48"/>
      <c r="F120" s="58"/>
      <c r="G120" s="7"/>
      <c r="H120" s="7"/>
      <c r="I120" s="55" t="str">
        <f t="shared" si="29"/>
        <v/>
      </c>
      <c r="J120" s="55" t="str">
        <f t="shared" si="30"/>
        <v/>
      </c>
      <c r="K120" s="56" t="str">
        <f t="shared" si="31"/>
        <v/>
      </c>
      <c r="L120" s="56" t="str">
        <f t="shared" si="32"/>
        <v/>
      </c>
      <c r="M120" s="56" t="str">
        <f t="shared" si="36"/>
        <v/>
      </c>
      <c r="N120" s="56" t="str">
        <f t="shared" si="33"/>
        <v/>
      </c>
      <c r="O120" s="57" t="str">
        <f t="shared" si="37"/>
        <v/>
      </c>
      <c r="P120" s="57" t="str">
        <f t="shared" si="34"/>
        <v/>
      </c>
      <c r="Q120" s="57" t="str">
        <f t="shared" si="35"/>
        <v/>
      </c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</row>
    <row r="121" spans="1:32" x14ac:dyDescent="0.45">
      <c r="A121" s="7"/>
      <c r="B121" s="47"/>
      <c r="C121" s="47"/>
      <c r="D121" s="48"/>
      <c r="E121" s="48"/>
      <c r="F121" s="58"/>
      <c r="G121" s="7"/>
      <c r="H121" s="7"/>
      <c r="I121" s="55" t="str">
        <f t="shared" si="29"/>
        <v/>
      </c>
      <c r="J121" s="55" t="str">
        <f t="shared" si="30"/>
        <v/>
      </c>
      <c r="K121" s="56" t="str">
        <f t="shared" si="31"/>
        <v/>
      </c>
      <c r="L121" s="56" t="str">
        <f t="shared" si="32"/>
        <v/>
      </c>
      <c r="M121" s="56" t="str">
        <f t="shared" si="36"/>
        <v/>
      </c>
      <c r="N121" s="56" t="str">
        <f t="shared" si="33"/>
        <v/>
      </c>
      <c r="O121" s="57" t="str">
        <f t="shared" si="37"/>
        <v/>
      </c>
      <c r="P121" s="57" t="str">
        <f t="shared" si="34"/>
        <v/>
      </c>
      <c r="Q121" s="57" t="str">
        <f t="shared" si="35"/>
        <v/>
      </c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</row>
    <row r="122" spans="1:32" x14ac:dyDescent="0.45">
      <c r="A122" s="7"/>
      <c r="B122" s="47"/>
      <c r="C122" s="47"/>
      <c r="D122" s="48"/>
      <c r="E122" s="48"/>
      <c r="F122" s="58"/>
      <c r="G122" s="7"/>
      <c r="H122" s="7"/>
      <c r="I122" s="55" t="str">
        <f t="shared" si="29"/>
        <v/>
      </c>
      <c r="J122" s="55" t="str">
        <f t="shared" si="30"/>
        <v/>
      </c>
      <c r="K122" s="56" t="str">
        <f t="shared" si="31"/>
        <v/>
      </c>
      <c r="L122" s="56" t="str">
        <f t="shared" si="32"/>
        <v/>
      </c>
      <c r="M122" s="56" t="str">
        <f t="shared" si="36"/>
        <v/>
      </c>
      <c r="N122" s="56" t="str">
        <f t="shared" si="33"/>
        <v/>
      </c>
      <c r="O122" s="57" t="str">
        <f t="shared" si="37"/>
        <v/>
      </c>
      <c r="P122" s="57" t="str">
        <f t="shared" si="34"/>
        <v/>
      </c>
      <c r="Q122" s="57" t="str">
        <f t="shared" si="35"/>
        <v/>
      </c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</row>
    <row r="123" spans="1:32" x14ac:dyDescent="0.45">
      <c r="A123" s="7"/>
      <c r="B123" s="47"/>
      <c r="C123" s="47"/>
      <c r="D123" s="48"/>
      <c r="E123" s="48"/>
      <c r="F123" s="58"/>
      <c r="G123" s="7"/>
      <c r="H123" s="7"/>
      <c r="I123" s="55" t="str">
        <f t="shared" ref="I123:I127" si="38">IF(D123=0,"",LOG($K$15*10^D123+$K$16*10^E123+$K$14))</f>
        <v/>
      </c>
      <c r="J123" s="55" t="str">
        <f t="shared" ref="J123:J127" si="39">IF(D123=0,"",LOG($K$21*10^D123+$K$22*10^E123+$K$20))</f>
        <v/>
      </c>
      <c r="K123" s="56" t="str">
        <f t="shared" ref="K123:K127" si="40">IF(D123=0,"",1/(1+10^D123*$J$15/$J$14+10^E123*$J$16/$J$14+10^J123*$J$19/$J$14))</f>
        <v/>
      </c>
      <c r="L123" s="56" t="str">
        <f t="shared" ref="L123:L127" si="41">IF(D123=0,"",1/(1+10^I123/10^J123*$J$13/$J$19))</f>
        <v/>
      </c>
      <c r="M123" s="56" t="str">
        <f t="shared" si="36"/>
        <v/>
      </c>
      <c r="N123" s="56" t="str">
        <f t="shared" ref="N123:N127" si="42">IF(D123=0,"",1/(1/10^E123*$J$20/$J$22+10^D123/10^E123*$J$21/$J$22+10^I123/10^E123*$J$13/$J$22+1))</f>
        <v/>
      </c>
      <c r="O123" s="57" t="str">
        <f t="shared" si="37"/>
        <v/>
      </c>
      <c r="P123" s="57" t="str">
        <f t="shared" ref="P123:P127" si="43">IF(D123=0,"",O123*10^J123)</f>
        <v/>
      </c>
      <c r="Q123" s="57" t="str">
        <f t="shared" ref="Q123:Q127" si="44">IF(D123=0,"",F123*N123*$J$7/$J$22)</f>
        <v/>
      </c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</row>
    <row r="124" spans="1:32" x14ac:dyDescent="0.45">
      <c r="A124" s="7"/>
      <c r="B124" s="47"/>
      <c r="C124" s="47"/>
      <c r="D124" s="48"/>
      <c r="E124" s="48"/>
      <c r="F124" s="58"/>
      <c r="G124" s="7"/>
      <c r="H124" s="7"/>
      <c r="I124" s="55" t="str">
        <f t="shared" si="38"/>
        <v/>
      </c>
      <c r="J124" s="55" t="str">
        <f t="shared" si="39"/>
        <v/>
      </c>
      <c r="K124" s="56" t="str">
        <f t="shared" si="40"/>
        <v/>
      </c>
      <c r="L124" s="56" t="str">
        <f t="shared" si="41"/>
        <v/>
      </c>
      <c r="M124" s="56" t="str">
        <f t="shared" si="36"/>
        <v/>
      </c>
      <c r="N124" s="56" t="str">
        <f t="shared" si="42"/>
        <v/>
      </c>
      <c r="O124" s="57" t="str">
        <f t="shared" si="37"/>
        <v/>
      </c>
      <c r="P124" s="57" t="str">
        <f t="shared" si="43"/>
        <v/>
      </c>
      <c r="Q124" s="57" t="str">
        <f t="shared" si="44"/>
        <v/>
      </c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</row>
    <row r="125" spans="1:32" x14ac:dyDescent="0.45">
      <c r="A125" s="7"/>
      <c r="B125" s="47"/>
      <c r="C125" s="47"/>
      <c r="D125" s="48"/>
      <c r="E125" s="48"/>
      <c r="F125" s="58"/>
      <c r="G125" s="7"/>
      <c r="H125" s="7"/>
      <c r="I125" s="55" t="str">
        <f t="shared" si="38"/>
        <v/>
      </c>
      <c r="J125" s="55" t="str">
        <f t="shared" si="39"/>
        <v/>
      </c>
      <c r="K125" s="56" t="str">
        <f t="shared" si="40"/>
        <v/>
      </c>
      <c r="L125" s="56" t="str">
        <f t="shared" si="41"/>
        <v/>
      </c>
      <c r="M125" s="56" t="str">
        <f t="shared" si="36"/>
        <v/>
      </c>
      <c r="N125" s="56" t="str">
        <f t="shared" si="42"/>
        <v/>
      </c>
      <c r="O125" s="57" t="str">
        <f t="shared" si="37"/>
        <v/>
      </c>
      <c r="P125" s="57" t="str">
        <f t="shared" si="43"/>
        <v/>
      </c>
      <c r="Q125" s="57" t="str">
        <f t="shared" si="44"/>
        <v/>
      </c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</row>
    <row r="126" spans="1:32" x14ac:dyDescent="0.45">
      <c r="A126" s="7"/>
      <c r="B126" s="47"/>
      <c r="C126" s="47"/>
      <c r="D126" s="48"/>
      <c r="E126" s="48"/>
      <c r="F126" s="58"/>
      <c r="G126" s="7"/>
      <c r="H126" s="7"/>
      <c r="I126" s="55" t="str">
        <f t="shared" si="38"/>
        <v/>
      </c>
      <c r="J126" s="55" t="str">
        <f t="shared" si="39"/>
        <v/>
      </c>
      <c r="K126" s="56" t="str">
        <f t="shared" si="40"/>
        <v/>
      </c>
      <c r="L126" s="56" t="str">
        <f t="shared" si="41"/>
        <v/>
      </c>
      <c r="M126" s="56" t="str">
        <f t="shared" si="36"/>
        <v/>
      </c>
      <c r="N126" s="56" t="str">
        <f t="shared" si="42"/>
        <v/>
      </c>
      <c r="O126" s="57" t="str">
        <f t="shared" si="37"/>
        <v/>
      </c>
      <c r="P126" s="57" t="str">
        <f t="shared" si="43"/>
        <v/>
      </c>
      <c r="Q126" s="57" t="str">
        <f t="shared" si="44"/>
        <v/>
      </c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</row>
    <row r="127" spans="1:32" x14ac:dyDescent="0.45">
      <c r="A127" s="7"/>
      <c r="B127" s="47"/>
      <c r="C127" s="47"/>
      <c r="D127" s="48"/>
      <c r="E127" s="48"/>
      <c r="F127" s="58"/>
      <c r="G127" s="7"/>
      <c r="H127" s="7"/>
      <c r="I127" s="55" t="str">
        <f t="shared" si="38"/>
        <v/>
      </c>
      <c r="J127" s="55" t="str">
        <f t="shared" si="39"/>
        <v/>
      </c>
      <c r="K127" s="56" t="str">
        <f t="shared" si="40"/>
        <v/>
      </c>
      <c r="L127" s="56" t="str">
        <f t="shared" si="41"/>
        <v/>
      </c>
      <c r="M127" s="56" t="str">
        <f t="shared" si="36"/>
        <v/>
      </c>
      <c r="N127" s="56" t="str">
        <f t="shared" si="42"/>
        <v/>
      </c>
      <c r="O127" s="57" t="str">
        <f t="shared" si="37"/>
        <v/>
      </c>
      <c r="P127" s="57" t="str">
        <f t="shared" si="43"/>
        <v/>
      </c>
      <c r="Q127" s="57" t="str">
        <f t="shared" si="44"/>
        <v/>
      </c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</row>
    <row r="128" spans="1:32" x14ac:dyDescent="0.45">
      <c r="A128" s="7"/>
      <c r="B128" s="82" t="s">
        <v>74</v>
      </c>
      <c r="C128" s="49"/>
      <c r="D128" s="49"/>
      <c r="E128" s="49"/>
      <c r="F128" s="49"/>
      <c r="G128" s="7"/>
      <c r="H128" s="7"/>
      <c r="I128" s="82" t="s">
        <v>74</v>
      </c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</row>
    <row r="129" spans="1:32" x14ac:dyDescent="0.45">
      <c r="A129" s="7"/>
      <c r="B129" s="49"/>
      <c r="C129" s="49"/>
      <c r="D129" s="49"/>
      <c r="E129" s="49"/>
      <c r="F129" s="49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</row>
    <row r="130" spans="1:32" x14ac:dyDescent="0.45">
      <c r="A130" s="7"/>
      <c r="B130" s="49"/>
      <c r="C130" s="49"/>
      <c r="D130" s="49"/>
      <c r="E130" s="49"/>
      <c r="F130" s="49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</row>
    <row r="131" spans="1:32" x14ac:dyDescent="0.45">
      <c r="A131" s="7"/>
      <c r="B131" s="49"/>
      <c r="C131" s="49"/>
      <c r="D131" s="49"/>
      <c r="E131" s="49"/>
      <c r="F131" s="49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</row>
    <row r="132" spans="1:32" x14ac:dyDescent="0.45">
      <c r="A132" s="7"/>
      <c r="B132" s="49"/>
      <c r="C132" s="49"/>
      <c r="D132" s="49"/>
      <c r="E132" s="49"/>
      <c r="F132" s="49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</row>
    <row r="133" spans="1:32" x14ac:dyDescent="0.45">
      <c r="A133" s="7"/>
      <c r="B133" s="49"/>
      <c r="C133" s="49"/>
      <c r="D133" s="49"/>
      <c r="E133" s="49"/>
      <c r="F133" s="49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</row>
    <row r="134" spans="1:32" x14ac:dyDescent="0.45">
      <c r="A134" s="7"/>
      <c r="B134" s="49"/>
      <c r="C134" s="49"/>
      <c r="D134" s="49"/>
      <c r="E134" s="49"/>
      <c r="F134" s="49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</row>
    <row r="135" spans="1:32" x14ac:dyDescent="0.45">
      <c r="A135" s="7"/>
      <c r="B135" s="49"/>
      <c r="C135" s="49"/>
      <c r="D135" s="49"/>
      <c r="E135" s="49"/>
      <c r="F135" s="49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</row>
    <row r="136" spans="1:32" x14ac:dyDescent="0.45">
      <c r="A136" s="7"/>
      <c r="B136" s="49"/>
      <c r="C136" s="49"/>
      <c r="D136" s="49"/>
      <c r="E136" s="49"/>
      <c r="F136" s="49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</row>
    <row r="137" spans="1:32" x14ac:dyDescent="0.45">
      <c r="A137" s="7"/>
      <c r="B137" s="49"/>
      <c r="C137" s="49"/>
      <c r="D137" s="49"/>
      <c r="E137" s="49"/>
      <c r="F137" s="49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</row>
    <row r="138" spans="1:32" x14ac:dyDescent="0.45">
      <c r="A138" s="7"/>
      <c r="B138" s="49"/>
      <c r="C138" s="49"/>
      <c r="D138" s="49"/>
      <c r="E138" s="49"/>
      <c r="F138" s="49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</row>
    <row r="139" spans="1:32" x14ac:dyDescent="0.45">
      <c r="A139" s="7"/>
      <c r="B139" s="49"/>
      <c r="C139" s="49"/>
      <c r="D139" s="49"/>
      <c r="E139" s="49"/>
      <c r="F139" s="49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</row>
    <row r="140" spans="1:32" x14ac:dyDescent="0.45">
      <c r="A140" s="7"/>
      <c r="B140" s="49"/>
      <c r="C140" s="49"/>
      <c r="D140" s="49"/>
      <c r="E140" s="49"/>
      <c r="F140" s="49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</row>
    <row r="141" spans="1:32" x14ac:dyDescent="0.45">
      <c r="A141" s="7"/>
      <c r="B141" s="49"/>
      <c r="C141" s="49"/>
      <c r="D141" s="49"/>
      <c r="E141" s="49"/>
      <c r="F141" s="49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</row>
    <row r="142" spans="1:32" x14ac:dyDescent="0.45">
      <c r="A142" s="7"/>
      <c r="B142" s="49"/>
      <c r="C142" s="49"/>
      <c r="D142" s="49"/>
      <c r="E142" s="49"/>
      <c r="F142" s="49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</row>
    <row r="143" spans="1:32" x14ac:dyDescent="0.45">
      <c r="A143" s="7"/>
      <c r="B143" s="49"/>
      <c r="C143" s="49"/>
      <c r="D143" s="49"/>
      <c r="E143" s="49"/>
      <c r="F143" s="49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</row>
    <row r="144" spans="1:32" x14ac:dyDescent="0.45">
      <c r="A144" s="7"/>
      <c r="B144" s="49"/>
      <c r="C144" s="49"/>
      <c r="D144" s="49"/>
      <c r="E144" s="49"/>
      <c r="F144" s="49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</row>
    <row r="145" spans="1:32" x14ac:dyDescent="0.45">
      <c r="A145" s="7"/>
      <c r="B145" s="49"/>
      <c r="C145" s="49"/>
      <c r="D145" s="49"/>
      <c r="E145" s="49"/>
      <c r="F145" s="49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</row>
    <row r="146" spans="1:32" x14ac:dyDescent="0.45">
      <c r="A146" s="7"/>
      <c r="B146" s="49"/>
      <c r="C146" s="49"/>
      <c r="D146" s="49"/>
      <c r="E146" s="49"/>
      <c r="F146" s="49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</row>
    <row r="147" spans="1:32" x14ac:dyDescent="0.45">
      <c r="A147" s="7"/>
      <c r="B147" s="49"/>
      <c r="C147" s="49"/>
      <c r="D147" s="49"/>
      <c r="E147" s="49"/>
      <c r="F147" s="49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</row>
    <row r="148" spans="1:32" x14ac:dyDescent="0.45">
      <c r="A148" s="7"/>
      <c r="B148" s="49"/>
      <c r="C148" s="49"/>
      <c r="D148" s="49"/>
      <c r="E148" s="49"/>
      <c r="F148" s="49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</row>
    <row r="149" spans="1:32" x14ac:dyDescent="0.45">
      <c r="A149" s="7"/>
      <c r="B149" s="49"/>
      <c r="C149" s="49"/>
      <c r="D149" s="49"/>
      <c r="E149" s="49"/>
      <c r="F149" s="49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</row>
    <row r="150" spans="1:32" x14ac:dyDescent="0.45">
      <c r="A150" s="7"/>
      <c r="B150" s="49"/>
      <c r="C150" s="49"/>
      <c r="D150" s="49"/>
      <c r="E150" s="49"/>
      <c r="F150" s="49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</row>
    <row r="151" spans="1:32" x14ac:dyDescent="0.45">
      <c r="A151" s="7"/>
      <c r="B151" s="49"/>
      <c r="C151" s="49"/>
      <c r="D151" s="49"/>
      <c r="E151" s="49"/>
      <c r="F151" s="49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</row>
    <row r="152" spans="1:32" x14ac:dyDescent="0.45">
      <c r="A152" s="7"/>
      <c r="B152" s="49"/>
      <c r="C152" s="49"/>
      <c r="D152" s="49"/>
      <c r="E152" s="49"/>
      <c r="F152" s="49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</row>
    <row r="153" spans="1:32" x14ac:dyDescent="0.45">
      <c r="A153" s="7"/>
      <c r="B153" s="49"/>
      <c r="C153" s="49"/>
      <c r="D153" s="49"/>
      <c r="E153" s="49"/>
      <c r="F153" s="49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</row>
    <row r="154" spans="1:32" x14ac:dyDescent="0.45">
      <c r="A154" s="7"/>
      <c r="B154" s="49"/>
      <c r="C154" s="49"/>
      <c r="D154" s="49"/>
      <c r="E154" s="49"/>
      <c r="F154" s="49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</row>
    <row r="155" spans="1:32" x14ac:dyDescent="0.45">
      <c r="A155" s="7"/>
      <c r="B155" s="49"/>
      <c r="C155" s="49"/>
      <c r="D155" s="49"/>
      <c r="E155" s="49"/>
      <c r="F155" s="49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</row>
    <row r="156" spans="1:32" x14ac:dyDescent="0.45">
      <c r="A156" s="7"/>
      <c r="B156" s="49"/>
      <c r="C156" s="49"/>
      <c r="D156" s="49"/>
      <c r="E156" s="49"/>
      <c r="F156" s="49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</row>
    <row r="157" spans="1:32" x14ac:dyDescent="0.45">
      <c r="A157" s="7"/>
      <c r="B157" s="49"/>
      <c r="C157" s="49"/>
      <c r="D157" s="49"/>
      <c r="E157" s="49"/>
      <c r="F157" s="49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</row>
    <row r="158" spans="1:32" x14ac:dyDescent="0.45">
      <c r="A158" s="7"/>
      <c r="B158" s="49"/>
      <c r="C158" s="49"/>
      <c r="D158" s="49"/>
      <c r="E158" s="49"/>
      <c r="F158" s="49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</row>
    <row r="159" spans="1:32" x14ac:dyDescent="0.45">
      <c r="A159" s="7"/>
      <c r="B159" s="49"/>
      <c r="C159" s="49"/>
      <c r="D159" s="49"/>
      <c r="E159" s="49"/>
      <c r="F159" s="49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</row>
    <row r="160" spans="1:32" x14ac:dyDescent="0.45">
      <c r="A160" s="7"/>
      <c r="B160" s="49"/>
      <c r="C160" s="49"/>
      <c r="D160" s="49"/>
      <c r="E160" s="49"/>
      <c r="F160" s="49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</row>
    <row r="161" spans="1:32" x14ac:dyDescent="0.45">
      <c r="A161" s="7"/>
      <c r="B161" s="49"/>
      <c r="C161" s="49"/>
      <c r="D161" s="49"/>
      <c r="E161" s="49"/>
      <c r="F161" s="49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</row>
    <row r="162" spans="1:32" x14ac:dyDescent="0.45">
      <c r="A162" s="7"/>
      <c r="B162" s="49"/>
      <c r="C162" s="49"/>
      <c r="D162" s="49"/>
      <c r="E162" s="49"/>
      <c r="F162" s="49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</row>
    <row r="163" spans="1:32" x14ac:dyDescent="0.45">
      <c r="A163" s="7"/>
      <c r="B163" s="49"/>
      <c r="C163" s="49"/>
      <c r="D163" s="49"/>
      <c r="E163" s="49"/>
      <c r="F163" s="49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</row>
    <row r="164" spans="1:32" x14ac:dyDescent="0.45">
      <c r="A164" s="7"/>
      <c r="B164" s="49"/>
      <c r="C164" s="49"/>
      <c r="D164" s="49"/>
      <c r="E164" s="49"/>
      <c r="F164" s="49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</row>
    <row r="165" spans="1:32" x14ac:dyDescent="0.45">
      <c r="A165" s="7"/>
      <c r="B165" s="49"/>
      <c r="C165" s="49"/>
      <c r="D165" s="49"/>
      <c r="E165" s="49"/>
      <c r="F165" s="49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</row>
    <row r="166" spans="1:32" x14ac:dyDescent="0.45">
      <c r="A166" s="7"/>
      <c r="B166" s="49"/>
      <c r="C166" s="49"/>
      <c r="D166" s="49"/>
      <c r="E166" s="49"/>
      <c r="F166" s="49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</row>
    <row r="167" spans="1:32" x14ac:dyDescent="0.45">
      <c r="A167" s="7"/>
      <c r="B167" s="49"/>
      <c r="C167" s="49"/>
      <c r="D167" s="49"/>
      <c r="E167" s="49"/>
      <c r="F167" s="49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</row>
    <row r="168" spans="1:32" x14ac:dyDescent="0.45">
      <c r="A168" s="7"/>
      <c r="B168" s="49"/>
      <c r="C168" s="49"/>
      <c r="D168" s="49"/>
      <c r="E168" s="49"/>
      <c r="F168" s="49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</row>
    <row r="169" spans="1:32" x14ac:dyDescent="0.45">
      <c r="A169" s="7"/>
      <c r="B169" s="49"/>
      <c r="C169" s="49"/>
      <c r="D169" s="49"/>
      <c r="E169" s="49"/>
      <c r="F169" s="49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</row>
    <row r="170" spans="1:32" x14ac:dyDescent="0.45">
      <c r="A170" s="7"/>
      <c r="B170" s="49"/>
      <c r="C170" s="49"/>
      <c r="D170" s="49"/>
      <c r="E170" s="49"/>
      <c r="F170" s="49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</row>
    <row r="171" spans="1:32" x14ac:dyDescent="0.45">
      <c r="A171" s="7"/>
      <c r="B171" s="49"/>
      <c r="C171" s="49"/>
      <c r="D171" s="49"/>
      <c r="E171" s="49"/>
      <c r="F171" s="49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</row>
    <row r="172" spans="1:32" x14ac:dyDescent="0.45">
      <c r="A172" s="7"/>
      <c r="B172" s="49"/>
      <c r="C172" s="49"/>
      <c r="D172" s="49"/>
      <c r="E172" s="49"/>
      <c r="F172" s="49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</row>
    <row r="173" spans="1:32" x14ac:dyDescent="0.45">
      <c r="A173" s="7"/>
      <c r="B173" s="49"/>
      <c r="C173" s="49"/>
      <c r="D173" s="49"/>
      <c r="E173" s="49"/>
      <c r="F173" s="49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</row>
    <row r="174" spans="1:32" x14ac:dyDescent="0.45">
      <c r="A174" s="7"/>
      <c r="B174" s="49"/>
      <c r="C174" s="49"/>
      <c r="D174" s="49"/>
      <c r="E174" s="49"/>
      <c r="F174" s="49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</row>
    <row r="175" spans="1:32" x14ac:dyDescent="0.45">
      <c r="A175" s="7"/>
      <c r="B175" s="49"/>
      <c r="C175" s="49"/>
      <c r="D175" s="49"/>
      <c r="E175" s="49"/>
      <c r="F175" s="49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</row>
    <row r="176" spans="1:32" x14ac:dyDescent="0.45">
      <c r="A176" s="7"/>
      <c r="B176" s="49"/>
      <c r="C176" s="49"/>
      <c r="D176" s="49"/>
      <c r="E176" s="49"/>
      <c r="F176" s="49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</row>
    <row r="177" spans="1:32" x14ac:dyDescent="0.45">
      <c r="A177" s="7"/>
      <c r="B177" s="49"/>
      <c r="C177" s="49"/>
      <c r="D177" s="49"/>
      <c r="E177" s="49"/>
      <c r="F177" s="49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</row>
    <row r="178" spans="1:32" x14ac:dyDescent="0.45">
      <c r="A178" s="7"/>
      <c r="B178" s="49"/>
      <c r="C178" s="49"/>
      <c r="D178" s="49"/>
      <c r="E178" s="49"/>
      <c r="F178" s="49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</row>
    <row r="179" spans="1:32" x14ac:dyDescent="0.45">
      <c r="A179" s="7"/>
      <c r="B179" s="49"/>
      <c r="C179" s="49"/>
      <c r="D179" s="49"/>
      <c r="E179" s="49"/>
      <c r="F179" s="49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</row>
    <row r="180" spans="1:32" x14ac:dyDescent="0.45">
      <c r="A180" s="7"/>
      <c r="B180" s="49"/>
      <c r="C180" s="49"/>
      <c r="D180" s="49"/>
      <c r="E180" s="49"/>
      <c r="F180" s="49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</row>
    <row r="181" spans="1:32" x14ac:dyDescent="0.45">
      <c r="A181" s="7"/>
      <c r="B181" s="49"/>
      <c r="C181" s="49"/>
      <c r="D181" s="49"/>
      <c r="E181" s="49"/>
      <c r="F181" s="49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</row>
    <row r="182" spans="1:32" x14ac:dyDescent="0.45">
      <c r="A182" s="7"/>
      <c r="B182" s="49"/>
      <c r="C182" s="49"/>
      <c r="D182" s="49"/>
      <c r="E182" s="49"/>
      <c r="F182" s="49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</row>
    <row r="183" spans="1:32" x14ac:dyDescent="0.45">
      <c r="A183" s="7"/>
      <c r="B183" s="49"/>
      <c r="C183" s="49"/>
      <c r="D183" s="49"/>
      <c r="E183" s="49"/>
      <c r="F183" s="49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</row>
    <row r="184" spans="1:32" x14ac:dyDescent="0.45">
      <c r="A184" s="7"/>
      <c r="B184" s="49"/>
      <c r="C184" s="49"/>
      <c r="D184" s="49"/>
      <c r="E184" s="49"/>
      <c r="F184" s="49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</row>
    <row r="185" spans="1:32" x14ac:dyDescent="0.45">
      <c r="A185" s="7"/>
      <c r="B185" s="49"/>
      <c r="C185" s="49"/>
      <c r="D185" s="49"/>
      <c r="E185" s="49"/>
      <c r="F185" s="49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</row>
    <row r="186" spans="1:32" x14ac:dyDescent="0.45">
      <c r="A186" s="7"/>
      <c r="B186" s="49"/>
      <c r="C186" s="49"/>
      <c r="D186" s="49"/>
      <c r="E186" s="49"/>
      <c r="F186" s="49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</row>
    <row r="187" spans="1:32" x14ac:dyDescent="0.45">
      <c r="A187" s="7"/>
      <c r="B187" s="49"/>
      <c r="C187" s="49"/>
      <c r="D187" s="49"/>
      <c r="E187" s="49"/>
      <c r="F187" s="49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</row>
    <row r="188" spans="1:32" x14ac:dyDescent="0.45">
      <c r="A188" s="7"/>
      <c r="B188" s="49"/>
      <c r="C188" s="49"/>
      <c r="D188" s="49"/>
      <c r="E188" s="49"/>
      <c r="F188" s="49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</row>
    <row r="189" spans="1:32" x14ac:dyDescent="0.45">
      <c r="A189" s="7"/>
      <c r="B189" s="49"/>
      <c r="C189" s="49"/>
      <c r="D189" s="49"/>
      <c r="E189" s="49"/>
      <c r="F189" s="49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</row>
    <row r="190" spans="1:32" x14ac:dyDescent="0.45">
      <c r="A190" s="7"/>
      <c r="B190" s="49"/>
      <c r="C190" s="49"/>
      <c r="D190" s="49"/>
      <c r="E190" s="49"/>
      <c r="F190" s="49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</row>
    <row r="191" spans="1:32" x14ac:dyDescent="0.45">
      <c r="A191" s="7"/>
      <c r="B191" s="49"/>
      <c r="C191" s="49"/>
      <c r="D191" s="49"/>
      <c r="E191" s="49"/>
      <c r="F191" s="49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</row>
    <row r="192" spans="1:32" x14ac:dyDescent="0.45">
      <c r="A192" s="7"/>
      <c r="B192" s="49"/>
      <c r="C192" s="49"/>
      <c r="D192" s="49"/>
      <c r="E192" s="49"/>
      <c r="F192" s="49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</row>
    <row r="193" spans="1:32" x14ac:dyDescent="0.45">
      <c r="A193" s="7"/>
      <c r="B193" s="49"/>
      <c r="C193" s="49"/>
      <c r="D193" s="49"/>
      <c r="E193" s="49"/>
      <c r="F193" s="49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</row>
    <row r="194" spans="1:32" x14ac:dyDescent="0.45">
      <c r="A194" s="7"/>
      <c r="B194" s="49"/>
      <c r="C194" s="49"/>
      <c r="D194" s="49"/>
      <c r="E194" s="49"/>
      <c r="F194" s="49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</row>
    <row r="195" spans="1:32" x14ac:dyDescent="0.45">
      <c r="A195" s="7"/>
      <c r="B195" s="49"/>
      <c r="C195" s="49"/>
      <c r="D195" s="49"/>
      <c r="E195" s="49"/>
      <c r="F195" s="49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</row>
    <row r="196" spans="1:32" x14ac:dyDescent="0.45">
      <c r="A196" s="7"/>
      <c r="B196" s="49"/>
      <c r="C196" s="49"/>
      <c r="D196" s="49"/>
      <c r="E196" s="49"/>
      <c r="F196" s="49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</row>
    <row r="197" spans="1:32" x14ac:dyDescent="0.45">
      <c r="A197" s="7"/>
      <c r="B197" s="49"/>
      <c r="C197" s="49"/>
      <c r="D197" s="49"/>
      <c r="E197" s="49"/>
      <c r="F197" s="49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</row>
    <row r="198" spans="1:32" x14ac:dyDescent="0.45">
      <c r="A198" s="7"/>
      <c r="B198" s="49"/>
      <c r="C198" s="49"/>
      <c r="D198" s="49"/>
      <c r="E198" s="49"/>
      <c r="F198" s="49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</row>
    <row r="199" spans="1:32" x14ac:dyDescent="0.45">
      <c r="A199" s="7"/>
      <c r="B199" s="49"/>
      <c r="C199" s="49"/>
      <c r="D199" s="49"/>
      <c r="E199" s="49"/>
      <c r="F199" s="49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</row>
    <row r="200" spans="1:32" x14ac:dyDescent="0.45">
      <c r="A200" s="7"/>
      <c r="B200" s="49"/>
      <c r="C200" s="49"/>
      <c r="D200" s="49"/>
      <c r="E200" s="49"/>
      <c r="F200" s="49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</row>
    <row r="201" spans="1:32" x14ac:dyDescent="0.45">
      <c r="A201" s="7"/>
      <c r="B201" s="49"/>
      <c r="C201" s="49"/>
      <c r="D201" s="49"/>
      <c r="E201" s="49"/>
      <c r="F201" s="49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</row>
    <row r="202" spans="1:32" x14ac:dyDescent="0.45">
      <c r="A202" s="7"/>
      <c r="B202" s="49"/>
      <c r="C202" s="49"/>
      <c r="D202" s="49"/>
      <c r="E202" s="49"/>
      <c r="F202" s="49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</row>
    <row r="203" spans="1:32" x14ac:dyDescent="0.45">
      <c r="A203" s="7"/>
      <c r="B203" s="49"/>
      <c r="C203" s="49"/>
      <c r="D203" s="49"/>
      <c r="E203" s="49"/>
      <c r="F203" s="49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</row>
    <row r="204" spans="1:32" x14ac:dyDescent="0.45">
      <c r="A204" s="7"/>
      <c r="B204" s="49"/>
      <c r="C204" s="49"/>
      <c r="D204" s="49"/>
      <c r="E204" s="49"/>
      <c r="F204" s="49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</row>
    <row r="205" spans="1:32" x14ac:dyDescent="0.45">
      <c r="A205" s="7"/>
      <c r="B205" s="49"/>
      <c r="C205" s="49"/>
      <c r="D205" s="49"/>
      <c r="E205" s="49"/>
      <c r="F205" s="49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</row>
    <row r="206" spans="1:32" x14ac:dyDescent="0.45">
      <c r="A206" s="7"/>
      <c r="B206" s="49"/>
      <c r="C206" s="49"/>
      <c r="D206" s="49"/>
      <c r="E206" s="49"/>
      <c r="F206" s="49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</row>
    <row r="207" spans="1:32" x14ac:dyDescent="0.45">
      <c r="A207" s="7"/>
      <c r="B207" s="49"/>
      <c r="C207" s="49"/>
      <c r="D207" s="49"/>
      <c r="E207" s="49"/>
      <c r="F207" s="49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</row>
    <row r="208" spans="1:32" x14ac:dyDescent="0.45">
      <c r="A208" s="7"/>
      <c r="B208" s="49"/>
      <c r="C208" s="49"/>
      <c r="D208" s="49"/>
      <c r="E208" s="49"/>
      <c r="F208" s="49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</row>
    <row r="209" spans="1:32" x14ac:dyDescent="0.45">
      <c r="A209" s="7"/>
      <c r="B209" s="49"/>
      <c r="C209" s="49"/>
      <c r="D209" s="49"/>
      <c r="E209" s="49"/>
      <c r="F209" s="49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</row>
    <row r="210" spans="1:32" x14ac:dyDescent="0.45">
      <c r="A210" s="7"/>
      <c r="B210" s="49"/>
      <c r="C210" s="49"/>
      <c r="D210" s="49"/>
      <c r="E210" s="49"/>
      <c r="F210" s="49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</row>
    <row r="211" spans="1:32" x14ac:dyDescent="0.45">
      <c r="A211" s="7"/>
      <c r="B211" s="49"/>
      <c r="C211" s="49"/>
      <c r="D211" s="49"/>
      <c r="E211" s="49"/>
      <c r="F211" s="49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</row>
    <row r="212" spans="1:32" x14ac:dyDescent="0.45">
      <c r="A212" s="7"/>
      <c r="B212" s="49"/>
      <c r="C212" s="49"/>
      <c r="D212" s="49"/>
      <c r="E212" s="49"/>
      <c r="F212" s="49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</row>
    <row r="213" spans="1:32" x14ac:dyDescent="0.45">
      <c r="A213" s="7"/>
      <c r="B213" s="49"/>
      <c r="C213" s="49"/>
      <c r="D213" s="49"/>
      <c r="E213" s="49"/>
      <c r="F213" s="49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</row>
    <row r="214" spans="1:32" x14ac:dyDescent="0.45">
      <c r="A214" s="7"/>
      <c r="B214" s="49"/>
      <c r="C214" s="49"/>
      <c r="D214" s="49"/>
      <c r="E214" s="49"/>
      <c r="F214" s="49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</row>
    <row r="215" spans="1:32" x14ac:dyDescent="0.45">
      <c r="A215" s="7"/>
      <c r="B215" s="49"/>
      <c r="C215" s="49"/>
      <c r="D215" s="49"/>
      <c r="E215" s="49"/>
      <c r="F215" s="49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</row>
    <row r="216" spans="1:32" x14ac:dyDescent="0.45">
      <c r="A216" s="7"/>
      <c r="B216" s="49"/>
      <c r="C216" s="49"/>
      <c r="D216" s="49"/>
      <c r="E216" s="49"/>
      <c r="F216" s="49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</row>
    <row r="217" spans="1:32" x14ac:dyDescent="0.45">
      <c r="A217" s="7"/>
      <c r="B217" s="49"/>
      <c r="C217" s="49"/>
      <c r="D217" s="49"/>
      <c r="E217" s="49"/>
      <c r="F217" s="49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</row>
    <row r="218" spans="1:32" x14ac:dyDescent="0.45">
      <c r="A218" s="7"/>
      <c r="B218" s="49"/>
      <c r="C218" s="49"/>
      <c r="D218" s="49"/>
      <c r="E218" s="49"/>
      <c r="F218" s="49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</row>
    <row r="219" spans="1:32" x14ac:dyDescent="0.45">
      <c r="A219" s="7"/>
      <c r="B219" s="49"/>
      <c r="C219" s="49"/>
      <c r="D219" s="49"/>
      <c r="E219" s="49"/>
      <c r="F219" s="49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</row>
    <row r="220" spans="1:32" x14ac:dyDescent="0.45">
      <c r="A220" s="7"/>
      <c r="B220" s="49"/>
      <c r="C220" s="49"/>
      <c r="D220" s="49"/>
      <c r="E220" s="49"/>
      <c r="F220" s="49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</row>
    <row r="221" spans="1:32" x14ac:dyDescent="0.45">
      <c r="A221" s="7"/>
      <c r="B221" s="49"/>
      <c r="C221" s="49"/>
      <c r="D221" s="49"/>
      <c r="E221" s="49"/>
      <c r="F221" s="49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</row>
    <row r="222" spans="1:32" x14ac:dyDescent="0.45">
      <c r="A222" s="7"/>
      <c r="B222" s="49"/>
      <c r="C222" s="49"/>
      <c r="D222" s="49"/>
      <c r="E222" s="49"/>
      <c r="F222" s="49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</row>
    <row r="223" spans="1:32" x14ac:dyDescent="0.45">
      <c r="A223" s="7"/>
      <c r="B223" s="49"/>
      <c r="C223" s="49"/>
      <c r="D223" s="49"/>
      <c r="E223" s="49"/>
      <c r="F223" s="49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</row>
    <row r="224" spans="1:32" x14ac:dyDescent="0.45">
      <c r="A224" s="7"/>
      <c r="B224" s="49"/>
      <c r="C224" s="49"/>
      <c r="D224" s="49"/>
      <c r="E224" s="49"/>
      <c r="F224" s="49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</row>
    <row r="225" spans="1:32" x14ac:dyDescent="0.45">
      <c r="A225" s="7"/>
      <c r="B225" s="49"/>
      <c r="C225" s="49"/>
      <c r="D225" s="49"/>
      <c r="E225" s="49"/>
      <c r="F225" s="49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</row>
    <row r="226" spans="1:32" x14ac:dyDescent="0.45">
      <c r="A226" s="7"/>
      <c r="B226" s="49"/>
      <c r="C226" s="49"/>
      <c r="D226" s="49"/>
      <c r="E226" s="49"/>
      <c r="F226" s="49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</row>
    <row r="227" spans="1:32" x14ac:dyDescent="0.45">
      <c r="A227" s="7"/>
      <c r="B227" s="49"/>
      <c r="C227" s="49"/>
      <c r="D227" s="49"/>
      <c r="E227" s="49"/>
      <c r="F227" s="49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</row>
    <row r="228" spans="1:32" x14ac:dyDescent="0.45">
      <c r="A228" s="7"/>
      <c r="B228" s="49"/>
      <c r="C228" s="49"/>
      <c r="D228" s="49"/>
      <c r="E228" s="49"/>
      <c r="F228" s="49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</row>
    <row r="229" spans="1:32" x14ac:dyDescent="0.45">
      <c r="A229" s="7"/>
      <c r="B229" s="49"/>
      <c r="C229" s="49"/>
      <c r="D229" s="49"/>
      <c r="E229" s="49"/>
      <c r="F229" s="49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</row>
    <row r="230" spans="1:32" x14ac:dyDescent="0.45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</row>
    <row r="231" spans="1:32" x14ac:dyDescent="0.45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</row>
    <row r="232" spans="1:32" x14ac:dyDescent="0.45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</row>
    <row r="233" spans="1:32" x14ac:dyDescent="0.45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</row>
  </sheetData>
  <mergeCells count="52">
    <mergeCell ref="L8:Q8"/>
    <mergeCell ref="L9:Q9"/>
    <mergeCell ref="P26:P27"/>
    <mergeCell ref="I24:Q25"/>
    <mergeCell ref="I23:Q23"/>
    <mergeCell ref="Q26:Q27"/>
    <mergeCell ref="I26:I27"/>
    <mergeCell ref="J26:J27"/>
    <mergeCell ref="O26:O27"/>
    <mergeCell ref="K26:K27"/>
    <mergeCell ref="L10:Q10"/>
    <mergeCell ref="I11:Q11"/>
    <mergeCell ref="L12:Q12"/>
    <mergeCell ref="L13:Q13"/>
    <mergeCell ref="M26:M27"/>
    <mergeCell ref="B20:C20"/>
    <mergeCell ref="L14:Q14"/>
    <mergeCell ref="L15:Q15"/>
    <mergeCell ref="L16:Q16"/>
    <mergeCell ref="L18:Q18"/>
    <mergeCell ref="G1:H77"/>
    <mergeCell ref="L22:Q22"/>
    <mergeCell ref="L26:L27"/>
    <mergeCell ref="N26:N27"/>
    <mergeCell ref="C26:C27"/>
    <mergeCell ref="L6:Q6"/>
    <mergeCell ref="L7:Q7"/>
    <mergeCell ref="B24:F25"/>
    <mergeCell ref="I17:Q17"/>
    <mergeCell ref="B26:B27"/>
    <mergeCell ref="D26:D27"/>
    <mergeCell ref="E26:E27"/>
    <mergeCell ref="F26:F27"/>
    <mergeCell ref="L19:Q19"/>
    <mergeCell ref="L20:Q20"/>
    <mergeCell ref="L21:Q21"/>
    <mergeCell ref="I2:Q4"/>
    <mergeCell ref="I5:Q5"/>
    <mergeCell ref="B23:F23"/>
    <mergeCell ref="D13:F13"/>
    <mergeCell ref="D14:F14"/>
    <mergeCell ref="D15:F15"/>
    <mergeCell ref="D16:F16"/>
    <mergeCell ref="D17:F17"/>
    <mergeCell ref="D18:F18"/>
    <mergeCell ref="B19:F19"/>
    <mergeCell ref="D20:F20"/>
    <mergeCell ref="D21:F21"/>
    <mergeCell ref="D22:F22"/>
    <mergeCell ref="B13:C13"/>
    <mergeCell ref="B8:F10"/>
    <mergeCell ref="B11:F12"/>
  </mergeCells>
  <phoneticPr fontId="18" type="noConversion"/>
  <pageMargins left="0.7" right="0.7" top="0.78740157499999996" bottom="0.78740157499999996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Model structure</vt:lpstr>
      <vt:lpstr>User input and model output</vt:lpstr>
    </vt:vector>
  </TitlesOfParts>
  <Company>UFZ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Fabian Fischer</dc:creator>
  <cp:lastModifiedBy>Hsing-Chieh Lin</cp:lastModifiedBy>
  <dcterms:created xsi:type="dcterms:W3CDTF">2016-11-02T11:21:18Z</dcterms:created>
  <dcterms:modified xsi:type="dcterms:W3CDTF">2025-02-03T14:22:40Z</dcterms:modified>
</cp:coreProperties>
</file>