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Armitage\Validation_Tann\"/>
    </mc:Choice>
  </mc:AlternateContent>
  <xr:revisionPtr revIDLastSave="0" documentId="13_ncr:1_{890A8FCC-1A7D-4668-BEE6-3FF3589FB936}" xr6:coauthVersionLast="47" xr6:coauthVersionMax="47" xr10:uidLastSave="{00000000-0000-0000-0000-000000000000}"/>
  <bookViews>
    <workbookView xWindow="-98" yWindow="-98" windowWidth="21795" windowHeight="13875" tabRatio="841" firstSheet="2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2" l="1"/>
  <c r="B10" i="2"/>
  <c r="B9" i="2"/>
  <c r="B8" i="2"/>
  <c r="I16" i="18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J23" i="2"/>
  <c r="O1" i="15"/>
</calcChain>
</file>

<file path=xl/sharedStrings.xml><?xml version="1.0" encoding="utf-8"?>
<sst xmlns="http://schemas.openxmlformats.org/spreadsheetml/2006/main" count="986" uniqueCount="355">
  <si>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</si>
  <si>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</si>
  <si>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</si>
  <si>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</si>
  <si>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</si>
  <si>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</si>
  <si>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</si>
  <si>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</si>
  <si>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</si>
  <si>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</si>
  <si>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</si>
  <si>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</si>
  <si>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</si>
  <si>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</si>
  <si>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</si>
  <si>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</si>
  <si>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</si>
  <si>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</si>
  <si>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</si>
  <si>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</si>
  <si>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</si>
  <si>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</si>
  <si>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</si>
  <si>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</si>
  <si>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</si>
  <si>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</si>
  <si>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</si>
  <si>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</si>
  <si>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</si>
  <si>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</si>
  <si>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</si>
  <si>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</si>
  <si>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</si>
  <si>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</si>
  <si>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</si>
  <si>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</si>
  <si>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</si>
  <si>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</si>
  <si>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</si>
  <si>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</si>
  <si>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</si>
  <si>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</si>
  <si>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</si>
  <si>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</si>
  <si>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</si>
  <si>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</si>
  <si>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</si>
  <si>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</si>
  <si>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</si>
  <si>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</si>
  <si>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</si>
  <si>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</si>
  <si>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</si>
  <si>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</si>
  <si>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</si>
  <si>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</si>
  <si>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</si>
  <si>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</si>
  <si>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</si>
  <si>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</si>
  <si>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</si>
  <si>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</si>
  <si>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</si>
  <si>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</si>
  <si>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</si>
  <si>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</si>
  <si>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</si>
  <si>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</si>
  <si>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</si>
  <si>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</si>
  <si>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</si>
  <si>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</si>
  <si>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</si>
  <si>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</si>
  <si>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</si>
  <si>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</si>
  <si>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</si>
  <si>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</si>
  <si>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</si>
  <si>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</si>
  <si>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</si>
  <si>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</si>
  <si>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</si>
  <si>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</si>
  <si>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</si>
  <si>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</si>
  <si>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</si>
  <si>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</si>
  <si>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</si>
  <si>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</si>
  <si>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</si>
  <si>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</si>
  <si>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</si>
  <si>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</si>
  <si>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</si>
  <si>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</si>
  <si>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</si>
  <si>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</si>
  <si>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</si>
  <si>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</si>
  <si>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</si>
  <si>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</si>
  <si>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</si>
  <si>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</si>
  <si>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</si>
  <si>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</si>
  <si>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</si>
  <si>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</si>
  <si>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</si>
  <si>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</si>
  <si>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</si>
  <si>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</si>
  <si>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</si>
  <si>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</si>
  <si>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</si>
  <si>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</si>
  <si>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</si>
  <si>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</si>
  <si>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</si>
  <si>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</si>
  <si>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</si>
  <si>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</si>
  <si>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</si>
  <si>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</si>
  <si>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</si>
  <si>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</si>
  <si>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</si>
  <si>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</si>
  <si>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</si>
  <si>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</si>
  <si>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</si>
  <si>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</si>
  <si>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</si>
  <si>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</si>
  <si>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</si>
  <si>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</si>
  <si>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</si>
  <si>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</si>
  <si>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</si>
  <si>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</si>
  <si>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</si>
  <si>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</si>
  <si>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</si>
  <si>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</si>
  <si>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</si>
  <si>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</si>
  <si>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</si>
  <si>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</si>
  <si>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</si>
  <si>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</si>
  <si>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</si>
  <si>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</si>
  <si>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</si>
  <si>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</si>
  <si>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</si>
  <si>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</si>
  <si>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</si>
  <si>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</si>
  <si>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</si>
  <si>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</si>
  <si>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</si>
  <si>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</si>
  <si>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</si>
  <si>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</si>
  <si>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</si>
  <si>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</si>
  <si>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</si>
  <si>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</si>
  <si>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</si>
  <si>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</si>
  <si>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</si>
  <si>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</si>
  <si>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</si>
  <si>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</si>
  <si>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</si>
  <si>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</si>
  <si>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</si>
  <si>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</si>
  <si>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</si>
  <si>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</si>
  <si>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</si>
  <si>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</si>
  <si>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</si>
  <si>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</si>
  <si>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</si>
  <si>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</si>
  <si>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</si>
  <si>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</si>
  <si>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</si>
  <si>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</si>
  <si>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</si>
  <si>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</si>
  <si>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</si>
  <si>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</si>
  <si>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</si>
  <si>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</si>
  <si>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</si>
  <si>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</si>
  <si>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</si>
  <si>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</si>
  <si>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</si>
  <si>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</si>
  <si>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</si>
  <si>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</si>
  <si>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</si>
  <si>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</si>
  <si>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</si>
  <si>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</si>
  <si>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</si>
  <si>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</si>
  <si>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</si>
  <si>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</si>
  <si>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</si>
  <si>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</si>
  <si>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</si>
  <si>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</si>
  <si>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</si>
  <si>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</si>
  <si>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</si>
  <si>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</si>
  <si>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</si>
  <si>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</si>
  <si>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</si>
  <si>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</si>
  <si>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</si>
  <si>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</si>
  <si>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</si>
  <si>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</si>
  <si>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</si>
  <si>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</si>
  <si>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</si>
  <si>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</si>
  <si>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</si>
  <si>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</si>
  <si>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</si>
  <si>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</si>
  <si>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</si>
  <si>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</si>
  <si>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</si>
  <si>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</si>
  <si>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</si>
  <si>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</si>
  <si>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</si>
  <si>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</si>
  <si>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</si>
  <si>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</si>
  <si>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</si>
  <si>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</si>
  <si>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</si>
  <si>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</si>
  <si>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</si>
  <si>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</si>
  <si>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</si>
  <si>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</si>
  <si>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</si>
  <si>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</si>
  <si>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</si>
  <si>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</si>
  <si>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</si>
  <si>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</si>
  <si>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</si>
  <si>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</si>
  <si>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</si>
  <si>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</si>
  <si>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</si>
  <si>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</si>
  <si>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</si>
  <si>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</si>
  <si>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</si>
  <si>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di-n-butylphthalate</t>
  </si>
  <si>
    <t>84-74-2</t>
    <phoneticPr fontId="34" type="noConversion"/>
  </si>
  <si>
    <t>hexachlorophene</t>
  </si>
  <si>
    <t>70-30-4</t>
    <phoneticPr fontId="34" type="noConversion"/>
  </si>
  <si>
    <t>Caffeine</t>
  </si>
  <si>
    <t>58-08-2</t>
    <phoneticPr fontId="34" type="noConversion"/>
  </si>
  <si>
    <t>hexamethylenetetramine</t>
  </si>
  <si>
    <t>100-97-0</t>
    <phoneticPr fontId="34" type="noConversion"/>
  </si>
  <si>
    <t>Malathion</t>
  </si>
  <si>
    <t>121-75-5</t>
    <phoneticPr fontId="34" type="noConversion"/>
  </si>
  <si>
    <t>pentachlorophenol</t>
  </si>
  <si>
    <t>87-86-5</t>
    <phoneticPr fontId="34" type="noConversion"/>
  </si>
  <si>
    <t>2,4-dinitrophenol</t>
  </si>
  <si>
    <t>51-28-5</t>
    <phoneticPr fontId="34" type="noConversion"/>
  </si>
  <si>
    <t>2,2,2-trichloroethanol</t>
  </si>
  <si>
    <t>115-20-8</t>
    <phoneticPr fontId="34" type="noConversion"/>
  </si>
  <si>
    <t>parathion ethyl</t>
  </si>
  <si>
    <t>56-38-2</t>
    <phoneticPr fontId="34" type="noConversion"/>
  </si>
  <si>
    <t>diethylphthalate</t>
  </si>
  <si>
    <t>84-66-2</t>
    <phoneticPr fontId="34" type="noConversion"/>
  </si>
  <si>
    <t>4-chlorophenol</t>
  </si>
  <si>
    <t>106-48-9</t>
    <phoneticPr fontId="34" type="noConversion"/>
  </si>
  <si>
    <t>permethrin</t>
  </si>
  <si>
    <t>52645-53-1</t>
    <phoneticPr fontId="34" type="noConversion"/>
  </si>
  <si>
    <t>Aniline</t>
  </si>
  <si>
    <t>62-53-3</t>
    <phoneticPr fontId="34" type="noConversion"/>
  </si>
  <si>
    <t>disulfoton</t>
  </si>
  <si>
    <t>298-04-4</t>
    <phoneticPr fontId="34" type="noConversion"/>
  </si>
  <si>
    <t>4-fluoroaniline</t>
  </si>
  <si>
    <t>371-40-4</t>
    <phoneticPr fontId="34" type="noConversion"/>
  </si>
  <si>
    <t>246-trichlorophenol</t>
  </si>
  <si>
    <t>88-06-2</t>
    <phoneticPr fontId="34" type="noConversion"/>
  </si>
  <si>
    <t>Allyl alcohol</t>
  </si>
  <si>
    <t>107-18-6</t>
    <phoneticPr fontId="34" type="noConversion"/>
  </si>
  <si>
    <t>lindane</t>
  </si>
  <si>
    <t>58-89-9</t>
    <phoneticPr fontId="34" type="noConversion"/>
  </si>
  <si>
    <t>N-methylaniline</t>
  </si>
  <si>
    <t>100-61-8</t>
    <phoneticPr fontId="34" type="noConversion"/>
  </si>
  <si>
    <t>3,4-dichloroaniline</t>
  </si>
  <si>
    <t>95-76-1</t>
    <phoneticPr fontId="34" type="noConversion"/>
  </si>
  <si>
    <t>4-decylaniline</t>
  </si>
  <si>
    <t>37529-30-9</t>
    <phoneticPr fontId="34" type="noConversion"/>
  </si>
  <si>
    <t>naphthalene</t>
  </si>
  <si>
    <t>91-20-3</t>
    <phoneticPr fontId="34" type="noConversion"/>
  </si>
  <si>
    <t>124-trichlorobenzene</t>
  </si>
  <si>
    <t>120-82-1</t>
    <phoneticPr fontId="34" type="noConversion"/>
  </si>
  <si>
    <t>1,2-dichlorobenzene</t>
  </si>
  <si>
    <t>95-50-1</t>
    <phoneticPr fontId="34" type="noConversion"/>
  </si>
  <si>
    <t>dichloromethane</t>
  </si>
  <si>
    <t>75-09-2</t>
    <phoneticPr fontId="34" type="noConversion"/>
  </si>
  <si>
    <t>tetrachloroethylene</t>
  </si>
  <si>
    <t>127-18-4</t>
    <phoneticPr fontId="34" type="noConversion"/>
  </si>
  <si>
    <t>2,3-dimethyl-1,3-butadiene</t>
  </si>
  <si>
    <t>513-81-5</t>
    <phoneticPr fontId="34" type="noConversion"/>
  </si>
  <si>
    <t>A</t>
  </si>
  <si>
    <t>84-74-2</t>
  </si>
  <si>
    <t>70-30-4</t>
  </si>
  <si>
    <t>58-08-2</t>
  </si>
  <si>
    <t>100-97-0</t>
  </si>
  <si>
    <t>121-75-5</t>
  </si>
  <si>
    <t>87-86-5</t>
  </si>
  <si>
    <t>51-28-5</t>
  </si>
  <si>
    <t>115-20-8</t>
  </si>
  <si>
    <t>56-38-2</t>
  </si>
  <si>
    <t>84-66-2</t>
  </si>
  <si>
    <t>106-48-9</t>
  </si>
  <si>
    <t>52645-53-1</t>
  </si>
  <si>
    <t>62-53-3</t>
  </si>
  <si>
    <t>298-04-4</t>
  </si>
  <si>
    <t>371-40-4</t>
  </si>
  <si>
    <t>88-06-2</t>
  </si>
  <si>
    <t>107-18-6</t>
  </si>
  <si>
    <t>58-89-9</t>
  </si>
  <si>
    <t>100-61-8</t>
  </si>
  <si>
    <t>95-76-1</t>
  </si>
  <si>
    <t>37529-30-9</t>
  </si>
  <si>
    <t>91-20-3</t>
  </si>
  <si>
    <t>120-82-1</t>
  </si>
  <si>
    <t>95-50-1</t>
  </si>
  <si>
    <t>75-09-2</t>
  </si>
  <si>
    <t>127-18-4</t>
  </si>
  <si>
    <t>513-81-5</t>
  </si>
  <si>
    <t>--&gt;</t>
  </si>
  <si>
    <t>A</t>
    <phoneticPr fontId="23" type="noConversion"/>
  </si>
  <si>
    <t>B</t>
  </si>
  <si>
    <t>B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</si>
</sst>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  <numFmt numFmtId="183" formatCode="0.00_);[Red]\(0.00\)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6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176" fontId="21" fillId="3" borderId="2" xfId="0" applyNumberFormat="1" applyFont="1" applyFill="1" applyBorder="1" applyAlignment="1">
      <alignment horizontal="center"/>
    </xf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180" fontId="21" fillId="3" borderId="2" xfId="0" applyNumberFormat="1" applyFont="1" applyFill="1" applyBorder="1" applyAlignment="1">
      <alignment horizontal="center"/>
    </xf>
    <xf numFmtId="0" fontId="29" fillId="6" borderId="1" xfId="0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49" fontId="33" fillId="0" borderId="0" xfId="0" applyNumberFormat="1" applyFont="1" applyAlignment="1">
      <alignment vertical="center"/>
    </xf>
    <xf numFmtId="183" fontId="1" fillId="0" borderId="0" xfId="0" applyNumberFormat="1" applyFont="1" applyAlignment="1">
      <alignment horizontal="center"/>
    </xf>
    <xf numFmtId="11" fontId="1" fillId="4" borderId="9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28" sqref="Z2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8" width="7.42578125" style="3" customWidth="1"/>
    <col min="19" max="19" width="10.140625" style="3" bestFit="1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18" t="s">
        <v>7</v>
      </c>
      <c r="E1" s="118" t="s">
        <v>18</v>
      </c>
      <c r="F1" s="29" t="s">
        <v>149</v>
      </c>
      <c r="G1" s="123" t="s">
        <v>167</v>
      </c>
      <c r="H1" s="123" t="s">
        <v>168</v>
      </c>
      <c r="I1" s="119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9" t="s">
        <v>165</v>
      </c>
      <c r="U1" s="31" t="s">
        <v>77</v>
      </c>
      <c r="V1" s="120" t="s">
        <v>166</v>
      </c>
      <c r="W1" s="122" t="s">
        <v>175</v>
      </c>
      <c r="X1" s="122" t="s">
        <v>177</v>
      </c>
      <c r="Y1" s="121" t="s">
        <v>51</v>
      </c>
      <c r="Z1" s="120" t="s">
        <v>134</v>
      </c>
      <c r="AA1" s="6"/>
    </row>
    <row r="2" spans="1:27" s="99" customFormat="1" ht="16.149999999999999">
      <c r="A2" s="99" t="s">
        <v>269</v>
      </c>
      <c r="B2" s="157" t="s">
        <v>270</v>
      </c>
      <c r="C2" s="124"/>
      <c r="D2" s="101">
        <v>278.33999999999997</v>
      </c>
      <c r="E2" s="101">
        <v>-35</v>
      </c>
      <c r="F2" s="100"/>
      <c r="G2" s="101" t="s">
        <v>176</v>
      </c>
      <c r="H2" s="104"/>
      <c r="I2" s="104">
        <v>4.6100000000000003</v>
      </c>
      <c r="J2" s="104"/>
      <c r="K2" s="100"/>
      <c r="L2" s="100"/>
      <c r="M2" s="100"/>
      <c r="N2" s="100"/>
      <c r="O2" s="104"/>
      <c r="P2" s="104"/>
      <c r="R2" s="100"/>
      <c r="T2" s="104">
        <v>-5.26</v>
      </c>
      <c r="U2" s="100"/>
      <c r="V2" s="112">
        <v>11.189268</v>
      </c>
      <c r="W2" s="112"/>
      <c r="X2" s="104"/>
      <c r="Y2" s="100"/>
      <c r="Z2" s="158">
        <v>0.83558613910051627</v>
      </c>
    </row>
    <row r="3" spans="1:27" s="99" customFormat="1" ht="16.149999999999999">
      <c r="A3" s="99" t="s">
        <v>271</v>
      </c>
      <c r="B3" s="157" t="s">
        <v>272</v>
      </c>
      <c r="C3" s="124"/>
      <c r="D3" s="101">
        <v>406.9</v>
      </c>
      <c r="E3" s="101">
        <v>166</v>
      </c>
      <c r="F3" s="100"/>
      <c r="G3" s="101" t="s">
        <v>352</v>
      </c>
      <c r="H3" s="104">
        <v>6.2</v>
      </c>
      <c r="I3" s="104">
        <v>7.54</v>
      </c>
      <c r="J3" s="104"/>
      <c r="K3" s="100"/>
      <c r="L3" s="100"/>
      <c r="M3" s="100"/>
      <c r="N3" s="100"/>
      <c r="O3" s="104"/>
      <c r="P3" s="104"/>
      <c r="R3" s="100"/>
      <c r="T3" s="104">
        <v>-9.2100000000000009</v>
      </c>
      <c r="U3" s="100"/>
      <c r="V3" s="112">
        <v>140.78739999999999</v>
      </c>
      <c r="W3" s="112"/>
      <c r="X3" s="104"/>
      <c r="Y3" s="100"/>
      <c r="Z3" s="158">
        <v>4.9152125829442131E-2</v>
      </c>
      <c r="AA3" s="18"/>
    </row>
    <row r="4" spans="1:27" s="99" customFormat="1" ht="16.149999999999999">
      <c r="A4" s="99" t="s">
        <v>273</v>
      </c>
      <c r="B4" s="157" t="s">
        <v>274</v>
      </c>
      <c r="C4" s="124"/>
      <c r="D4" s="101">
        <v>194.19</v>
      </c>
      <c r="E4" s="101">
        <v>238</v>
      </c>
      <c r="F4" s="100"/>
      <c r="G4" s="101" t="s">
        <v>354</v>
      </c>
      <c r="H4" s="104">
        <v>6.4</v>
      </c>
      <c r="I4" s="104">
        <v>-7.0000000000000007E-2</v>
      </c>
      <c r="J4" s="104"/>
      <c r="K4" s="100"/>
      <c r="L4" s="100"/>
      <c r="M4" s="100"/>
      <c r="N4" s="100"/>
      <c r="O4" s="104"/>
      <c r="P4" s="104"/>
      <c r="R4" s="100"/>
      <c r="T4" s="104">
        <v>-9.9499999999999993</v>
      </c>
      <c r="U4" s="100"/>
      <c r="V4" s="112">
        <v>21749.279999999999</v>
      </c>
      <c r="W4" s="112"/>
      <c r="X4" s="100"/>
      <c r="Y4" s="100"/>
      <c r="Z4" s="158">
        <v>14037.075180226571</v>
      </c>
    </row>
    <row r="5" spans="1:27" s="99" customFormat="1" ht="16.149999999999999">
      <c r="A5" s="99" t="s">
        <v>275</v>
      </c>
      <c r="B5" s="157" t="s">
        <v>276</v>
      </c>
      <c r="C5" s="124"/>
      <c r="D5" s="101">
        <v>140.19</v>
      </c>
      <c r="E5" s="101">
        <v>96.3</v>
      </c>
      <c r="F5" s="100"/>
      <c r="G5" s="101" t="s">
        <v>176</v>
      </c>
      <c r="H5" s="104"/>
      <c r="I5" s="104">
        <v>-1.27</v>
      </c>
      <c r="J5" s="104"/>
      <c r="K5" s="100"/>
      <c r="L5" s="100"/>
      <c r="M5" s="100"/>
      <c r="N5" s="100"/>
      <c r="O5" s="104"/>
      <c r="P5" s="104"/>
      <c r="R5" s="100"/>
      <c r="T5" s="104">
        <v>-3.42</v>
      </c>
      <c r="U5" s="100"/>
      <c r="V5" s="112">
        <v>999554.7</v>
      </c>
      <c r="W5" s="112"/>
      <c r="X5" s="104"/>
      <c r="Y5" s="100"/>
      <c r="Z5" s="158">
        <v>98787.446504992869</v>
      </c>
      <c r="AA5" s="109"/>
    </row>
    <row r="6" spans="1:27" s="99" customFormat="1" ht="16.149999999999999">
      <c r="A6" s="99" t="s">
        <v>277</v>
      </c>
      <c r="B6" s="157" t="s">
        <v>278</v>
      </c>
      <c r="C6" s="124"/>
      <c r="D6" s="101">
        <v>330.36</v>
      </c>
      <c r="E6" s="101">
        <v>2.8</v>
      </c>
      <c r="F6" s="100"/>
      <c r="G6" s="101" t="s">
        <v>176</v>
      </c>
      <c r="H6" s="104"/>
      <c r="I6" s="104">
        <v>2.36</v>
      </c>
      <c r="J6" s="104"/>
      <c r="K6" s="100"/>
      <c r="L6" s="100"/>
      <c r="M6" s="100"/>
      <c r="N6" s="100"/>
      <c r="O6" s="104"/>
      <c r="P6" s="104"/>
      <c r="R6" s="100"/>
      <c r="T6" s="104">
        <v>-9.8699999999999992</v>
      </c>
      <c r="U6" s="100"/>
      <c r="V6" s="112">
        <v>144.69767999999999</v>
      </c>
      <c r="W6" s="112"/>
      <c r="X6" s="104"/>
      <c r="Y6" s="100"/>
      <c r="Z6" s="158">
        <v>39.346246973365616</v>
      </c>
    </row>
    <row r="7" spans="1:27" s="99" customFormat="1" ht="16.149999999999999">
      <c r="A7" s="99" t="s">
        <v>279</v>
      </c>
      <c r="B7" s="157" t="s">
        <v>280</v>
      </c>
      <c r="C7" s="124"/>
      <c r="D7" s="101">
        <v>266.33999999999997</v>
      </c>
      <c r="E7" s="101">
        <v>174</v>
      </c>
      <c r="F7" s="100"/>
      <c r="G7" s="101" t="s">
        <v>352</v>
      </c>
      <c r="H7" s="104">
        <v>5</v>
      </c>
      <c r="I7" s="104">
        <v>5.12</v>
      </c>
      <c r="J7" s="104"/>
      <c r="K7" s="100"/>
      <c r="L7" s="100"/>
      <c r="M7" s="100"/>
      <c r="N7" s="100"/>
      <c r="O7" s="104"/>
      <c r="P7" s="104"/>
      <c r="R7" s="100"/>
      <c r="T7" s="104">
        <v>-5.0199999999999996</v>
      </c>
      <c r="U7" s="100"/>
      <c r="V7" s="112">
        <v>40.48368</v>
      </c>
      <c r="W7" s="112"/>
      <c r="X7" s="104"/>
      <c r="Y7" s="100"/>
      <c r="Z7" s="158">
        <v>7.5103266992114157E-2</v>
      </c>
      <c r="AA7" s="24"/>
    </row>
    <row r="8" spans="1:27" s="99" customFormat="1" ht="16.149999999999999">
      <c r="A8" s="99" t="s">
        <v>281</v>
      </c>
      <c r="B8" s="157" t="s">
        <v>282</v>
      </c>
      <c r="C8" s="124"/>
      <c r="D8" s="101">
        <v>184.11</v>
      </c>
      <c r="E8" s="101">
        <v>116</v>
      </c>
      <c r="F8" s="100"/>
      <c r="G8" s="101" t="s">
        <v>352</v>
      </c>
      <c r="H8" s="104">
        <v>4.0999999999999996</v>
      </c>
      <c r="I8" s="104">
        <v>1.67</v>
      </c>
      <c r="J8" s="104"/>
      <c r="K8" s="100"/>
      <c r="L8" s="100"/>
      <c r="M8" s="100"/>
      <c r="N8" s="100"/>
      <c r="O8" s="104"/>
      <c r="P8" s="104"/>
      <c r="R8" s="100"/>
      <c r="T8" s="104">
        <v>-6.32</v>
      </c>
      <c r="U8" s="100"/>
      <c r="V8" s="112">
        <v>1340.3208</v>
      </c>
      <c r="W8" s="112"/>
      <c r="X8" s="104"/>
      <c r="Y8" s="100"/>
      <c r="Z8" s="158">
        <v>4.1281912004345465</v>
      </c>
      <c r="AA8" s="109"/>
    </row>
    <row r="9" spans="1:27" s="99" customFormat="1" ht="16.149999999999999">
      <c r="A9" s="99" t="s">
        <v>283</v>
      </c>
      <c r="B9" s="157" t="s">
        <v>284</v>
      </c>
      <c r="C9" s="124"/>
      <c r="D9" s="101">
        <v>149.4</v>
      </c>
      <c r="E9" s="101">
        <v>19</v>
      </c>
      <c r="F9" s="101"/>
      <c r="G9" s="101" t="s">
        <v>176</v>
      </c>
      <c r="H9" s="104"/>
      <c r="I9" s="104">
        <v>1.42</v>
      </c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>
        <v>-3.34</v>
      </c>
      <c r="U9" s="100"/>
      <c r="V9" s="112">
        <v>83215.8</v>
      </c>
      <c r="W9" s="112"/>
      <c r="X9" s="104"/>
      <c r="Y9" s="100"/>
      <c r="Z9" s="158">
        <v>712.85140562248989</v>
      </c>
    </row>
    <row r="10" spans="1:27" s="99" customFormat="1" ht="16.149999999999999">
      <c r="A10" s="99" t="s">
        <v>285</v>
      </c>
      <c r="B10" s="157" t="s">
        <v>286</v>
      </c>
      <c r="C10" s="124"/>
      <c r="D10" s="101">
        <v>291.26</v>
      </c>
      <c r="E10" s="101">
        <v>6.1</v>
      </c>
      <c r="F10" s="100"/>
      <c r="G10" s="101" t="s">
        <v>176</v>
      </c>
      <c r="H10" s="104"/>
      <c r="I10" s="104">
        <v>3.83</v>
      </c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>
        <v>-5.78</v>
      </c>
      <c r="U10" s="100"/>
      <c r="V10" s="112">
        <v>12.728062</v>
      </c>
      <c r="W10" s="112"/>
      <c r="X10" s="104"/>
      <c r="Y10" s="100"/>
      <c r="Z10" s="158">
        <v>2.8836251287332644</v>
      </c>
    </row>
    <row r="11" spans="1:27" s="99" customFormat="1" ht="16.149999999999999">
      <c r="A11" s="99" t="s">
        <v>287</v>
      </c>
      <c r="B11" s="157" t="s">
        <v>288</v>
      </c>
      <c r="C11" s="124"/>
      <c r="D11" s="101">
        <v>222.24</v>
      </c>
      <c r="E11" s="101">
        <v>-40.5</v>
      </c>
      <c r="F11" s="100"/>
      <c r="G11" s="101" t="s">
        <v>176</v>
      </c>
      <c r="H11" s="104"/>
      <c r="I11" s="104">
        <v>2.44</v>
      </c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>
        <v>-5.26</v>
      </c>
      <c r="U11" s="100"/>
      <c r="V11" s="112">
        <v>1037.8607999999999</v>
      </c>
      <c r="W11" s="112"/>
      <c r="X11" s="104"/>
      <c r="Y11" s="100"/>
      <c r="Z11" s="158">
        <v>310.5310531053106</v>
      </c>
    </row>
    <row r="12" spans="1:27" s="99" customFormat="1" ht="16.149999999999999">
      <c r="A12" s="99" t="s">
        <v>289</v>
      </c>
      <c r="B12" s="157" t="s">
        <v>290</v>
      </c>
      <c r="C12" s="124"/>
      <c r="D12" s="101">
        <v>128.56</v>
      </c>
      <c r="E12" s="101">
        <v>42.7</v>
      </c>
      <c r="F12" s="101"/>
      <c r="G12" s="101" t="s">
        <v>176</v>
      </c>
      <c r="H12" s="104"/>
      <c r="I12" s="104">
        <v>2.39</v>
      </c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>
        <v>-4.8</v>
      </c>
      <c r="U12" s="100"/>
      <c r="V12" s="112">
        <v>24554.959999999999</v>
      </c>
      <c r="W12" s="112"/>
      <c r="X12" s="104"/>
      <c r="Y12" s="100"/>
      <c r="Z12" s="158">
        <v>93.312597200622093</v>
      </c>
      <c r="AA12" s="15"/>
    </row>
    <row r="13" spans="1:27" s="99" customFormat="1" ht="16.149999999999999">
      <c r="A13" s="99" t="s">
        <v>291</v>
      </c>
      <c r="B13" s="157" t="s">
        <v>292</v>
      </c>
      <c r="C13" s="124"/>
      <c r="D13" s="101">
        <v>391.29</v>
      </c>
      <c r="E13" s="101">
        <v>34</v>
      </c>
      <c r="F13" s="100"/>
      <c r="G13" s="101" t="s">
        <v>176</v>
      </c>
      <c r="H13" s="104"/>
      <c r="I13" s="104">
        <v>6.5</v>
      </c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>
        <v>-6.61</v>
      </c>
      <c r="U13" s="100"/>
      <c r="V13" s="112">
        <v>8.3736060000000001E-2</v>
      </c>
      <c r="W13" s="112"/>
      <c r="X13" s="104"/>
      <c r="Y13" s="100"/>
      <c r="Z13" s="158">
        <v>23.000255558395089</v>
      </c>
      <c r="AA13" s="18"/>
    </row>
    <row r="14" spans="1:27" s="99" customFormat="1" ht="16.149999999999999">
      <c r="A14" s="99" t="s">
        <v>293</v>
      </c>
      <c r="B14" s="157" t="s">
        <v>294</v>
      </c>
      <c r="C14" s="124"/>
      <c r="D14" s="101">
        <v>93.13</v>
      </c>
      <c r="E14" s="101">
        <v>-6</v>
      </c>
      <c r="F14" s="101"/>
      <c r="G14" s="101" t="s">
        <v>176</v>
      </c>
      <c r="H14" s="104"/>
      <c r="I14" s="104">
        <v>0.9</v>
      </c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>
        <v>-4.2699999999999996</v>
      </c>
      <c r="U14" s="100"/>
      <c r="V14" s="112">
        <v>36041.31</v>
      </c>
      <c r="W14" s="112"/>
      <c r="X14" s="100"/>
      <c r="Y14" s="100"/>
      <c r="Z14" s="158">
        <v>4749.7314715359835</v>
      </c>
      <c r="AA14" s="98"/>
    </row>
    <row r="15" spans="1:27" s="99" customFormat="1" ht="16.149999999999999">
      <c r="A15" s="99" t="s">
        <v>295</v>
      </c>
      <c r="B15" s="157" t="s">
        <v>296</v>
      </c>
      <c r="C15" s="124"/>
      <c r="D15" s="101">
        <v>274.39999999999998</v>
      </c>
      <c r="E15" s="101">
        <v>-25</v>
      </c>
      <c r="F15" s="100"/>
      <c r="G15" s="101" t="s">
        <v>176</v>
      </c>
      <c r="H15" s="104"/>
      <c r="I15" s="104">
        <v>4.0199999999999996</v>
      </c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>
        <v>-5.26</v>
      </c>
      <c r="U15" s="100"/>
      <c r="V15" s="112">
        <v>18.055520000000001</v>
      </c>
      <c r="W15" s="112"/>
      <c r="X15" s="104"/>
      <c r="Y15" s="100"/>
      <c r="Z15" s="158">
        <v>9.1107871720116638</v>
      </c>
      <c r="AA15" s="18"/>
    </row>
    <row r="16" spans="1:27" s="99" customFormat="1" ht="16.149999999999999">
      <c r="A16" s="99" t="s">
        <v>297</v>
      </c>
      <c r="B16" s="157" t="s">
        <v>298</v>
      </c>
      <c r="C16" s="124"/>
      <c r="D16" s="101">
        <v>111.12</v>
      </c>
      <c r="E16" s="101">
        <v>-0.8</v>
      </c>
      <c r="F16" s="101"/>
      <c r="G16" s="101" t="s">
        <v>176</v>
      </c>
      <c r="H16" s="104"/>
      <c r="I16" s="104">
        <v>1.1499999999999999</v>
      </c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>
        <v>-3.98</v>
      </c>
      <c r="U16" s="100"/>
      <c r="V16" s="112">
        <v>14778.96</v>
      </c>
      <c r="W16" s="112"/>
      <c r="X16" s="100"/>
      <c r="Y16" s="100"/>
      <c r="Z16" s="158">
        <v>1913.5913591359135</v>
      </c>
      <c r="AA16" s="98"/>
    </row>
    <row r="17" spans="1:30" s="99" customFormat="1" ht="16.149999999999999">
      <c r="A17" s="99" t="s">
        <v>299</v>
      </c>
      <c r="B17" s="157" t="s">
        <v>300</v>
      </c>
      <c r="C17" s="124"/>
      <c r="D17" s="101">
        <v>197.45</v>
      </c>
      <c r="E17" s="101">
        <v>69</v>
      </c>
      <c r="F17" s="100"/>
      <c r="G17" s="101" t="s">
        <v>352</v>
      </c>
      <c r="H17" s="104">
        <v>6.8</v>
      </c>
      <c r="I17" s="104">
        <v>3.69</v>
      </c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>
        <v>-3.46</v>
      </c>
      <c r="U17" s="100"/>
      <c r="V17" s="112">
        <v>833.23900000000003</v>
      </c>
      <c r="W17" s="112"/>
      <c r="X17" s="104"/>
      <c r="Y17" s="100"/>
      <c r="Z17" s="158">
        <v>10.126582278481012</v>
      </c>
    </row>
    <row r="18" spans="1:30" s="99" customFormat="1" ht="16.149999999999999">
      <c r="A18" s="99" t="s">
        <v>301</v>
      </c>
      <c r="B18" s="157" t="s">
        <v>302</v>
      </c>
      <c r="C18" s="124"/>
      <c r="D18" s="101">
        <v>58.08</v>
      </c>
      <c r="E18" s="101">
        <v>-129</v>
      </c>
      <c r="F18" s="101"/>
      <c r="G18" s="101" t="s">
        <v>176</v>
      </c>
      <c r="H18" s="104"/>
      <c r="I18" s="104">
        <v>0.17</v>
      </c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>
        <v>-3.52</v>
      </c>
      <c r="U18" s="100"/>
      <c r="V18" s="112">
        <v>998976</v>
      </c>
      <c r="W18" s="112"/>
      <c r="X18" s="100"/>
      <c r="Y18" s="100"/>
      <c r="Z18" s="158">
        <v>14359.72461273666</v>
      </c>
      <c r="AA18" s="98"/>
    </row>
    <row r="19" spans="1:30" s="99" customFormat="1" ht="16.149999999999999">
      <c r="A19" s="99" t="s">
        <v>303</v>
      </c>
      <c r="B19" s="157" t="s">
        <v>304</v>
      </c>
      <c r="C19" s="124"/>
      <c r="D19" s="101">
        <v>290.83</v>
      </c>
      <c r="E19" s="101">
        <v>75.2</v>
      </c>
      <c r="F19" s="100"/>
      <c r="G19" s="101" t="s">
        <v>176</v>
      </c>
      <c r="H19" s="104"/>
      <c r="I19" s="104">
        <v>3.72</v>
      </c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>
        <v>-3.77</v>
      </c>
      <c r="U19" s="100"/>
      <c r="V19" s="112">
        <v>4.4496989999999998</v>
      </c>
      <c r="W19" s="112"/>
      <c r="X19" s="104"/>
      <c r="Y19" s="100"/>
      <c r="Z19" s="158">
        <v>33.356258596973859</v>
      </c>
      <c r="AA19" s="109"/>
    </row>
    <row r="20" spans="1:30" s="99" customFormat="1" ht="16.149999999999999">
      <c r="A20" s="99" t="s">
        <v>305</v>
      </c>
      <c r="B20" s="157" t="s">
        <v>306</v>
      </c>
      <c r="C20" s="125"/>
      <c r="D20" s="101">
        <v>107.15</v>
      </c>
      <c r="E20" s="101">
        <v>-57</v>
      </c>
      <c r="F20" s="101"/>
      <c r="G20" s="101" t="s">
        <v>176</v>
      </c>
      <c r="H20" s="104"/>
      <c r="I20" s="104">
        <v>1.66</v>
      </c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>
        <v>-3.41</v>
      </c>
      <c r="U20" s="100"/>
      <c r="V20" s="112">
        <v>5625.375</v>
      </c>
      <c r="W20" s="112"/>
      <c r="X20" s="104"/>
      <c r="Y20" s="100"/>
      <c r="Z20" s="158">
        <v>1509.3283582089553</v>
      </c>
      <c r="AD20" s="109"/>
    </row>
    <row r="21" spans="1:30" s="99" customFormat="1" ht="16.149999999999999">
      <c r="A21" s="99" t="s">
        <v>307</v>
      </c>
      <c r="B21" s="157" t="s">
        <v>308</v>
      </c>
      <c r="C21" s="100"/>
      <c r="D21" s="101">
        <v>162.02000000000001</v>
      </c>
      <c r="E21" s="101">
        <v>72</v>
      </c>
      <c r="F21" s="100"/>
      <c r="G21" s="101" t="s">
        <v>176</v>
      </c>
      <c r="H21" s="104"/>
      <c r="I21" s="104">
        <v>2.69</v>
      </c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>
        <v>-4.68</v>
      </c>
      <c r="U21" s="100"/>
      <c r="V21" s="112">
        <v>145.65598</v>
      </c>
      <c r="W21" s="112"/>
      <c r="X21" s="104"/>
      <c r="Y21" s="100"/>
      <c r="Z21" s="158">
        <v>47.839506172839506</v>
      </c>
      <c r="AA21" s="109"/>
    </row>
    <row r="22" spans="1:30" s="99" customFormat="1" ht="16.149999999999999">
      <c r="A22" s="99" t="s">
        <v>309</v>
      </c>
      <c r="B22" s="157" t="s">
        <v>310</v>
      </c>
      <c r="C22" s="100"/>
      <c r="D22" s="101">
        <v>233.39</v>
      </c>
      <c r="E22" s="101">
        <v>25</v>
      </c>
      <c r="F22" s="100"/>
      <c r="G22" s="101" t="s">
        <v>176</v>
      </c>
      <c r="H22" s="104"/>
      <c r="I22" s="104">
        <v>6.32</v>
      </c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>
        <v>-3.09</v>
      </c>
      <c r="U22" s="100"/>
      <c r="V22" s="112">
        <v>0.20374946999999999</v>
      </c>
      <c r="W22" s="112"/>
      <c r="X22" s="104"/>
      <c r="Y22" s="100"/>
      <c r="Z22" s="158">
        <v>2.3993144815766927</v>
      </c>
    </row>
    <row r="23" spans="1:30" s="99" customFormat="1" ht="16.149999999999999">
      <c r="A23" s="99" t="s">
        <v>311</v>
      </c>
      <c r="B23" s="157" t="s">
        <v>312</v>
      </c>
      <c r="C23" s="100"/>
      <c r="D23" s="101">
        <v>128.16999999999999</v>
      </c>
      <c r="E23" s="101">
        <v>80.2</v>
      </c>
      <c r="F23" s="100"/>
      <c r="G23" s="101" t="s">
        <v>176</v>
      </c>
      <c r="H23" s="104"/>
      <c r="I23" s="104">
        <v>3.3</v>
      </c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>
        <v>-2.41</v>
      </c>
      <c r="U23" s="100"/>
      <c r="V23" s="112">
        <v>31.657990000000002</v>
      </c>
      <c r="W23" s="112"/>
      <c r="X23" s="104"/>
      <c r="Y23" s="100"/>
      <c r="Z23" s="158">
        <v>219.18876755070204</v>
      </c>
      <c r="AA23" s="127"/>
    </row>
    <row r="24" spans="1:30" s="99" customFormat="1" ht="16.149999999999999">
      <c r="A24" s="99" t="s">
        <v>313</v>
      </c>
      <c r="B24" s="157" t="s">
        <v>314</v>
      </c>
      <c r="C24" s="100"/>
      <c r="D24" s="101">
        <v>181.45</v>
      </c>
      <c r="E24" s="101">
        <v>17</v>
      </c>
      <c r="F24" s="100"/>
      <c r="G24" s="101" t="s">
        <v>176</v>
      </c>
      <c r="H24" s="104"/>
      <c r="I24" s="104">
        <v>3.99</v>
      </c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>
        <v>-0.83</v>
      </c>
      <c r="U24" s="100"/>
      <c r="V24" s="112">
        <v>46.4512</v>
      </c>
      <c r="W24" s="112"/>
      <c r="X24" s="104"/>
      <c r="Y24" s="100"/>
      <c r="Z24" s="158">
        <v>78.236914600550961</v>
      </c>
    </row>
    <row r="25" spans="1:30" s="99" customFormat="1" ht="16.149999999999999">
      <c r="A25" s="99" t="s">
        <v>315</v>
      </c>
      <c r="B25" s="157" t="s">
        <v>316</v>
      </c>
      <c r="C25" s="100"/>
      <c r="D25" s="101">
        <v>147</v>
      </c>
      <c r="E25" s="101">
        <v>-16.7</v>
      </c>
      <c r="F25" s="100"/>
      <c r="G25" s="101" t="s">
        <v>176</v>
      </c>
      <c r="H25" s="104"/>
      <c r="I25" s="104">
        <v>3.43</v>
      </c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>
        <v>-0.98</v>
      </c>
      <c r="U25" s="100"/>
      <c r="V25" s="112">
        <v>143.32499999999999</v>
      </c>
      <c r="W25" s="112"/>
      <c r="X25" s="104"/>
      <c r="Y25" s="100"/>
      <c r="Z25" s="158">
        <v>182.99319727891157</v>
      </c>
      <c r="AA25" s="18"/>
    </row>
    <row r="26" spans="1:30" s="99" customFormat="1" ht="16.149999999999999">
      <c r="A26" s="99" t="s">
        <v>317</v>
      </c>
      <c r="B26" s="157" t="s">
        <v>318</v>
      </c>
      <c r="C26" s="100"/>
      <c r="D26" s="101">
        <v>84.93</v>
      </c>
      <c r="E26" s="101">
        <v>-95.1</v>
      </c>
      <c r="F26" s="101"/>
      <c r="G26" s="101" t="s">
        <v>176</v>
      </c>
      <c r="H26" s="104"/>
      <c r="I26" s="104">
        <v>1.25</v>
      </c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>
        <v>-1.19</v>
      </c>
      <c r="U26" s="100"/>
      <c r="V26" s="112">
        <v>15117.54</v>
      </c>
      <c r="W26" s="112"/>
      <c r="X26" s="104"/>
      <c r="Y26" s="100"/>
      <c r="Z26" s="158">
        <v>17656.065959952888</v>
      </c>
      <c r="AA26" s="109"/>
      <c r="AD26" s="109"/>
    </row>
    <row r="27" spans="1:30" s="99" customFormat="1" ht="16.149999999999999">
      <c r="A27" s="99" t="s">
        <v>319</v>
      </c>
      <c r="B27" s="157" t="s">
        <v>320</v>
      </c>
      <c r="C27" s="100"/>
      <c r="D27" s="101">
        <v>165.83</v>
      </c>
      <c r="E27" s="101">
        <v>-22.3</v>
      </c>
      <c r="F27" s="100"/>
      <c r="G27" s="101" t="s">
        <v>176</v>
      </c>
      <c r="H27" s="104"/>
      <c r="I27" s="104">
        <v>3.4</v>
      </c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>
        <v>-0.52</v>
      </c>
      <c r="U27" s="100"/>
      <c r="V27" s="112">
        <v>276.93610000000001</v>
      </c>
      <c r="W27" s="112"/>
      <c r="X27" s="104"/>
      <c r="Y27" s="100"/>
      <c r="Z27" s="158">
        <v>195.41616405307596</v>
      </c>
      <c r="AA27" s="109"/>
    </row>
    <row r="28" spans="1:30" s="99" customFormat="1" ht="16.149999999999999">
      <c r="A28" s="99" t="s">
        <v>321</v>
      </c>
      <c r="B28" s="157" t="s">
        <v>322</v>
      </c>
      <c r="C28" s="100"/>
      <c r="D28" s="101">
        <v>82.14</v>
      </c>
      <c r="E28" s="101">
        <v>-76</v>
      </c>
      <c r="F28" s="100"/>
      <c r="G28" s="101" t="s">
        <v>176</v>
      </c>
      <c r="H28" s="104"/>
      <c r="I28" s="104">
        <v>3.07</v>
      </c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>
        <v>0.95</v>
      </c>
      <c r="U28" s="100"/>
      <c r="V28" s="112">
        <v>326.91719999999998</v>
      </c>
      <c r="W28" s="112"/>
      <c r="X28" s="104"/>
      <c r="Y28" s="100"/>
      <c r="Z28" s="158">
        <v>1000</v>
      </c>
      <c r="AA28" s="24"/>
    </row>
    <row r="29" spans="1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1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1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1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98" t="s">
        <v>160</v>
      </c>
    </row>
    <row r="5" spans="1:10" ht="15">
      <c r="A5" s="98" t="s">
        <v>183</v>
      </c>
    </row>
    <row r="6" spans="1:10">
      <c r="A6" s="58"/>
    </row>
    <row r="7" spans="1:10" ht="15.4">
      <c r="A7" s="114" t="s">
        <v>215</v>
      </c>
      <c r="H7" s="115" t="s">
        <v>178</v>
      </c>
    </row>
    <row r="8" spans="1:10">
      <c r="A8" s="11" t="b">
        <v>1</v>
      </c>
    </row>
    <row r="9" spans="1:10" ht="13.15">
      <c r="A9" s="11"/>
      <c r="H9" s="102" t="s">
        <v>179</v>
      </c>
      <c r="I9" s="103" t="s">
        <v>180</v>
      </c>
      <c r="J9" s="103" t="s">
        <v>181</v>
      </c>
    </row>
    <row r="10" spans="1:10" ht="15">
      <c r="A10" s="18" t="s">
        <v>43</v>
      </c>
      <c r="D10" s="17" t="s">
        <v>44</v>
      </c>
      <c r="H10" s="99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238</v>
      </c>
      <c r="I11" s="3">
        <v>3.5</v>
      </c>
      <c r="J11" s="3">
        <v>3.5</v>
      </c>
    </row>
    <row r="12" spans="1:10" ht="15">
      <c r="D12" s="11" t="s">
        <v>53</v>
      </c>
      <c r="H12" s="99" t="s">
        <v>185</v>
      </c>
      <c r="I12" s="3">
        <v>1</v>
      </c>
      <c r="J12" s="3">
        <v>1</v>
      </c>
    </row>
    <row r="13" spans="1:10" ht="15">
      <c r="D13" s="2" t="s">
        <v>42</v>
      </c>
      <c r="H13" s="99" t="s">
        <v>186</v>
      </c>
      <c r="I13" s="3">
        <v>0</v>
      </c>
      <c r="J13" s="3">
        <v>1</v>
      </c>
    </row>
    <row r="14" spans="1:10" ht="15">
      <c r="D14" s="11" t="s">
        <v>54</v>
      </c>
      <c r="H14" s="99" t="s">
        <v>182</v>
      </c>
      <c r="I14" s="3">
        <v>3.5</v>
      </c>
      <c r="J14" s="3">
        <v>3.5</v>
      </c>
    </row>
    <row r="16" spans="1:10" ht="13.9">
      <c r="A16" s="116" t="s">
        <v>49</v>
      </c>
      <c r="H16" s="115" t="s">
        <v>200</v>
      </c>
    </row>
    <row r="17" spans="1:11">
      <c r="A17" s="2" t="s">
        <v>50</v>
      </c>
    </row>
    <row r="18" spans="1:11" ht="13.15">
      <c r="A18" s="11" t="s">
        <v>48</v>
      </c>
      <c r="H18" s="102" t="s">
        <v>179</v>
      </c>
      <c r="I18" s="103" t="s">
        <v>180</v>
      </c>
      <c r="J18" s="103" t="s">
        <v>181</v>
      </c>
    </row>
    <row r="19" spans="1:11">
      <c r="H19" s="99" t="s">
        <v>201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207</v>
      </c>
      <c r="I26" s="111"/>
    </row>
    <row r="27" spans="1:11">
      <c r="A27" s="11"/>
      <c r="H27" s="99" t="s">
        <v>164</v>
      </c>
      <c r="I27" s="100">
        <v>5.0999999999999996</v>
      </c>
    </row>
    <row r="28" spans="1:11" ht="13.9">
      <c r="A28" s="117" t="s">
        <v>163</v>
      </c>
      <c r="H28" s="99" t="s">
        <v>204</v>
      </c>
      <c r="I28" s="3">
        <v>6.7999999999999996E-3</v>
      </c>
      <c r="K28" s="3"/>
    </row>
    <row r="29" spans="1:11">
      <c r="A29" s="11" t="b">
        <v>1</v>
      </c>
      <c r="H29" s="99" t="s">
        <v>205</v>
      </c>
      <c r="I29" s="3">
        <v>500</v>
      </c>
      <c r="J29" s="99" t="s">
        <v>206</v>
      </c>
    </row>
    <row r="31" spans="1:11">
      <c r="A31" s="18" t="s">
        <v>43</v>
      </c>
      <c r="B31" s="99" t="s">
        <v>161</v>
      </c>
    </row>
    <row r="33" spans="1:2">
      <c r="A33" s="18" t="s">
        <v>44</v>
      </c>
      <c r="B33" s="99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2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99" t="s">
        <v>228</v>
      </c>
      <c r="B16" s="100">
        <v>12</v>
      </c>
      <c r="C16" s="149">
        <v>15.6</v>
      </c>
      <c r="D16" s="150">
        <v>190</v>
      </c>
      <c r="E16" s="150">
        <v>3400</v>
      </c>
      <c r="F16" s="148" t="s">
        <v>103</v>
      </c>
      <c r="G16" s="150">
        <v>2000</v>
      </c>
      <c r="H16" s="150">
        <v>300000</v>
      </c>
      <c r="I16" s="151">
        <f t="shared" si="0"/>
        <v>0.1575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3400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2000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143">
        <f>(B5-B6)*100</f>
        <v>140000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59">
        <f>K9*B6*K16/(1/0.733)/1000</f>
        <v>0</v>
      </c>
      <c r="C9" s="75" t="s">
        <v>99</v>
      </c>
      <c r="F9" s="76" t="s">
        <v>68</v>
      </c>
      <c r="G9" s="160">
        <v>0.04</v>
      </c>
      <c r="H9" s="75" t="s">
        <v>55</v>
      </c>
      <c r="I9" s="76"/>
      <c r="J9" s="76" t="s">
        <v>157</v>
      </c>
      <c r="K9" s="131">
        <v>0</v>
      </c>
      <c r="L9" s="76" t="s">
        <v>26</v>
      </c>
      <c r="M9" s="78" t="s">
        <v>147</v>
      </c>
    </row>
    <row r="10" spans="1:13" ht="17.25">
      <c r="A10" s="76" t="s">
        <v>115</v>
      </c>
      <c r="B10" s="159">
        <f>K9*B6*K17/1000</f>
        <v>0</v>
      </c>
      <c r="C10" s="75" t="s">
        <v>99</v>
      </c>
      <c r="F10" s="76" t="s">
        <v>69</v>
      </c>
      <c r="G10" s="161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59">
        <f>K10*B6/1000/1000/K11</f>
        <v>0</v>
      </c>
      <c r="C11" s="75" t="s">
        <v>99</v>
      </c>
      <c r="F11" s="76" t="s">
        <v>145</v>
      </c>
      <c r="G11" s="162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0.1575</v>
      </c>
      <c r="C12" s="75" t="s">
        <v>99</v>
      </c>
      <c r="F12" s="76" t="s">
        <v>45</v>
      </c>
      <c r="G12" s="161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89">
        <f>VLOOKUP($B$3,'Well Plate Characteristics'!A5:I16,9,)</f>
        <v>0.1575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19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7.8750000000000003E-5</v>
      </c>
      <c r="K21" s="76" t="s">
        <v>125</v>
      </c>
      <c r="M21" s="75"/>
    </row>
    <row r="22" spans="1:13" ht="13.15" thickBot="1">
      <c r="A22" s="75"/>
      <c r="C22" s="76"/>
      <c r="F22" s="99" t="s">
        <v>164</v>
      </c>
      <c r="G22" s="88">
        <v>7.4</v>
      </c>
      <c r="J22" s="92">
        <f>B12*(G9+G10)/B6</f>
        <v>3.9375E-6</v>
      </c>
      <c r="K22" s="78" t="s">
        <v>126</v>
      </c>
      <c r="L22" s="93"/>
    </row>
    <row r="23" spans="1:13" ht="13.15">
      <c r="A23" s="74" t="s">
        <v>142</v>
      </c>
      <c r="B23" s="75"/>
      <c r="C23" s="93"/>
      <c r="D23" s="76"/>
      <c r="E23" s="76"/>
      <c r="F23" s="74" t="s">
        <v>136</v>
      </c>
      <c r="J23" s="92">
        <f>B10/B6</f>
        <v>0</v>
      </c>
      <c r="K23" s="76" t="s">
        <v>127</v>
      </c>
    </row>
    <row r="24" spans="1:13" ht="13.15" thickBot="1">
      <c r="A24" s="76" t="s">
        <v>143</v>
      </c>
      <c r="B24" s="93"/>
      <c r="C24" s="93"/>
      <c r="D24" s="76"/>
      <c r="E24" s="76"/>
      <c r="F24" s="76" t="s">
        <v>138</v>
      </c>
      <c r="G24" s="75" t="b">
        <v>0</v>
      </c>
      <c r="I24" s="76"/>
      <c r="J24" s="94">
        <f>B9/B6</f>
        <v>0</v>
      </c>
      <c r="K24" s="76" t="s">
        <v>128</v>
      </c>
    </row>
    <row r="25" spans="1:13">
      <c r="C25" s="93"/>
      <c r="F25" s="76" t="s">
        <v>137</v>
      </c>
    </row>
    <row r="26" spans="1:13">
      <c r="B26" s="75"/>
      <c r="F26" s="95" t="s">
        <v>152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G28" s="75"/>
      <c r="H28" s="75"/>
      <c r="J28" s="96"/>
    </row>
    <row r="29" spans="1:13">
      <c r="B29" s="99"/>
      <c r="C29" s="152"/>
      <c r="J29" s="96"/>
    </row>
    <row r="30" spans="1:13">
      <c r="B30" s="99"/>
      <c r="E30" s="100"/>
    </row>
    <row r="31" spans="1:13">
      <c r="D31" s="100"/>
      <c r="E31" s="100"/>
    </row>
    <row r="32" spans="1:13">
      <c r="B32" s="99"/>
      <c r="D32" s="100"/>
      <c r="E32" s="100"/>
    </row>
    <row r="33" spans="2:5">
      <c r="B33" s="153"/>
      <c r="D33" s="100"/>
      <c r="E33" s="100"/>
    </row>
    <row r="34" spans="2:5">
      <c r="C34" s="100"/>
      <c r="D34" s="100"/>
    </row>
    <row r="35" spans="2:5">
      <c r="C35" s="100"/>
      <c r="D35" s="100"/>
    </row>
    <row r="36" spans="2:5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28" sqref="N2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5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324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1.1325617190597452E-2</v>
      </c>
      <c r="J2" s="67" t="s">
        <v>232</v>
      </c>
      <c r="K2" s="68">
        <v>1.1475941925950746</v>
      </c>
      <c r="L2" s="67" t="s">
        <v>232</v>
      </c>
      <c r="M2" s="68">
        <v>37.147600006996136</v>
      </c>
      <c r="N2" s="67" t="s">
        <v>232</v>
      </c>
      <c r="P2" s="106" t="s">
        <v>188</v>
      </c>
    </row>
    <row r="3" spans="1:17">
      <c r="A3" s="65" t="s">
        <v>271</v>
      </c>
      <c r="B3" s="66" t="s">
        <v>325</v>
      </c>
      <c r="D3" s="66" t="s">
        <v>323</v>
      </c>
      <c r="E3" s="128">
        <v>6.2</v>
      </c>
      <c r="F3" s="67" t="s">
        <v>231</v>
      </c>
      <c r="G3" s="67" t="s">
        <v>231</v>
      </c>
      <c r="H3" s="67" t="s">
        <v>231</v>
      </c>
      <c r="I3" s="68">
        <v>5.3264981454932603E-9</v>
      </c>
      <c r="J3" s="67" t="s">
        <v>231</v>
      </c>
      <c r="K3" s="68">
        <v>0.17968305912443092</v>
      </c>
      <c r="L3" s="67" t="s">
        <v>231</v>
      </c>
      <c r="M3" s="68">
        <v>9.7085743864536038</v>
      </c>
      <c r="N3" s="67" t="s">
        <v>231</v>
      </c>
      <c r="P3" s="106" t="s">
        <v>189</v>
      </c>
    </row>
    <row r="4" spans="1:17">
      <c r="A4" s="65" t="s">
        <v>273</v>
      </c>
      <c r="B4" s="66" t="s">
        <v>326</v>
      </c>
      <c r="D4" s="66" t="s">
        <v>353</v>
      </c>
      <c r="E4" s="128">
        <v>6.4</v>
      </c>
      <c r="F4" s="67" t="s">
        <v>231</v>
      </c>
      <c r="G4" s="67" t="s">
        <v>231</v>
      </c>
      <c r="H4" s="67" t="s">
        <v>231</v>
      </c>
      <c r="I4" s="68">
        <v>8.5700782436068878E-4</v>
      </c>
      <c r="J4" s="67" t="s">
        <v>231</v>
      </c>
      <c r="K4" s="68">
        <v>13.356293294929285</v>
      </c>
      <c r="L4" s="67" t="s">
        <v>351</v>
      </c>
      <c r="M4" s="68">
        <v>24.986037426267249</v>
      </c>
      <c r="N4" s="67" t="s">
        <v>232</v>
      </c>
    </row>
    <row r="5" spans="1:17">
      <c r="A5" s="65" t="s">
        <v>275</v>
      </c>
      <c r="B5" s="66" t="s">
        <v>327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2.7228408572013657E-3</v>
      </c>
      <c r="J5" s="67" t="s">
        <v>231</v>
      </c>
      <c r="K5" s="68">
        <v>86.75118510057024</v>
      </c>
      <c r="L5" s="67" t="s">
        <v>351</v>
      </c>
      <c r="M5" s="68">
        <v>11.010647777921656</v>
      </c>
      <c r="N5" s="67" t="s">
        <v>231</v>
      </c>
      <c r="P5" s="106" t="s">
        <v>190</v>
      </c>
    </row>
    <row r="6" spans="1:17">
      <c r="A6" s="65" t="s">
        <v>277</v>
      </c>
      <c r="B6" s="66" t="s">
        <v>328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0.11294363961924886</v>
      </c>
      <c r="J6" s="67" t="s">
        <v>232</v>
      </c>
      <c r="K6" s="68">
        <v>0.72410735144107163</v>
      </c>
      <c r="L6" s="67" t="s">
        <v>231</v>
      </c>
      <c r="M6" s="68">
        <v>21.55156033215863</v>
      </c>
      <c r="N6" s="67" t="s">
        <v>232</v>
      </c>
      <c r="P6" s="106" t="s">
        <v>191</v>
      </c>
    </row>
    <row r="7" spans="1:17">
      <c r="A7" s="65" t="s">
        <v>279</v>
      </c>
      <c r="B7" s="66" t="s">
        <v>329</v>
      </c>
      <c r="D7" s="66" t="s">
        <v>323</v>
      </c>
      <c r="E7" s="128">
        <v>5</v>
      </c>
      <c r="F7" s="67" t="s">
        <v>231</v>
      </c>
      <c r="G7" s="67" t="s">
        <v>231</v>
      </c>
      <c r="H7" s="67" t="s">
        <v>231</v>
      </c>
      <c r="I7" s="68">
        <v>6.7319397427765462E-8</v>
      </c>
      <c r="J7" s="67" t="s">
        <v>231</v>
      </c>
      <c r="K7" s="68">
        <v>2.4570710830674067E-2</v>
      </c>
      <c r="L7" s="67" t="s">
        <v>231</v>
      </c>
      <c r="M7" s="68">
        <v>2.2068707652496591</v>
      </c>
      <c r="N7" s="67" t="s">
        <v>231</v>
      </c>
      <c r="P7" s="106" t="s">
        <v>192</v>
      </c>
    </row>
    <row r="8" spans="1:17" ht="17.25">
      <c r="A8" s="65" t="s">
        <v>281</v>
      </c>
      <c r="B8" s="66" t="s">
        <v>330</v>
      </c>
      <c r="D8" s="66" t="s">
        <v>323</v>
      </c>
      <c r="E8" s="128">
        <v>4.0999999999999996</v>
      </c>
      <c r="F8" s="67" t="s">
        <v>231</v>
      </c>
      <c r="G8" s="67" t="s">
        <v>231</v>
      </c>
      <c r="H8" s="67" t="s">
        <v>231</v>
      </c>
      <c r="I8" s="68">
        <v>3.7375123391415584E-8</v>
      </c>
      <c r="J8" s="67" t="s">
        <v>231</v>
      </c>
      <c r="K8" s="68">
        <v>4.0617322104277015E-3</v>
      </c>
      <c r="L8" s="67" t="s">
        <v>231</v>
      </c>
      <c r="M8" s="68">
        <v>3.8058920139761129E-2</v>
      </c>
      <c r="N8" s="67" t="s">
        <v>231</v>
      </c>
      <c r="P8" s="106" t="s">
        <v>193</v>
      </c>
    </row>
    <row r="9" spans="1:17" ht="17.25">
      <c r="A9" s="65" t="s">
        <v>283</v>
      </c>
      <c r="B9" s="66" t="s">
        <v>331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1.5680671325747624E-3</v>
      </c>
      <c r="J9" s="67" t="s">
        <v>231</v>
      </c>
      <c r="K9" s="68">
        <v>2.0083115607035271</v>
      </c>
      <c r="L9" s="67" t="s">
        <v>351</v>
      </c>
      <c r="M9" s="68">
        <v>42.752614254917034</v>
      </c>
      <c r="N9" s="67" t="s">
        <v>232</v>
      </c>
      <c r="P9" s="106" t="s">
        <v>194</v>
      </c>
    </row>
    <row r="10" spans="1:17">
      <c r="A10" s="65" t="s">
        <v>285</v>
      </c>
      <c r="B10" s="66" t="s">
        <v>332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6.8861304953425864E-2</v>
      </c>
      <c r="J10" s="67" t="s">
        <v>232</v>
      </c>
      <c r="K10" s="68">
        <v>1.2532074159495394</v>
      </c>
      <c r="L10" s="67" t="s">
        <v>232</v>
      </c>
      <c r="M10" s="68">
        <v>40.022067004923308</v>
      </c>
      <c r="N10" s="67" t="s">
        <v>232</v>
      </c>
    </row>
    <row r="11" spans="1:17" ht="13.15">
      <c r="A11" s="65" t="s">
        <v>287</v>
      </c>
      <c r="B11" s="66" t="s">
        <v>333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8.3532315675016816E-2</v>
      </c>
      <c r="J11" s="67" t="s">
        <v>232</v>
      </c>
      <c r="K11" s="68">
        <v>6.813165432097068</v>
      </c>
      <c r="L11" s="67" t="s">
        <v>232</v>
      </c>
      <c r="M11" s="68">
        <v>204.69829761298922</v>
      </c>
      <c r="N11" s="67" t="s">
        <v>232</v>
      </c>
      <c r="P11" s="15" t="s">
        <v>195</v>
      </c>
    </row>
    <row r="12" spans="1:17">
      <c r="A12" s="65" t="s">
        <v>289</v>
      </c>
      <c r="B12" s="66" t="s">
        <v>334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3.5361988548372525E-4</v>
      </c>
      <c r="J12" s="67" t="s">
        <v>231</v>
      </c>
      <c r="K12" s="68">
        <v>1.8328991602834208</v>
      </c>
      <c r="L12" s="67" t="s">
        <v>232</v>
      </c>
      <c r="M12" s="68">
        <v>54.754800067110374</v>
      </c>
      <c r="N12" s="67" t="s">
        <v>232</v>
      </c>
      <c r="P12" s="106" t="s">
        <v>196</v>
      </c>
      <c r="Q12" s="100">
        <f>COUNTIF(F2:F50000,"Yes")</f>
        <v>2</v>
      </c>
    </row>
    <row r="13" spans="1:17">
      <c r="A13" s="65" t="s">
        <v>291</v>
      </c>
      <c r="B13" s="66" t="s">
        <v>335</v>
      </c>
      <c r="D13" s="66" t="s">
        <v>176</v>
      </c>
      <c r="F13" s="67" t="s">
        <v>232</v>
      </c>
      <c r="G13" s="67" t="s">
        <v>231</v>
      </c>
      <c r="H13" s="67" t="s">
        <v>231</v>
      </c>
      <c r="I13" s="68">
        <v>0.70546441624154377</v>
      </c>
      <c r="J13" s="67" t="s">
        <v>232</v>
      </c>
      <c r="K13" s="68">
        <v>42.468460360149862</v>
      </c>
      <c r="L13" s="67" t="s">
        <v>232</v>
      </c>
      <c r="M13" s="68">
        <v>1415.6523120524218</v>
      </c>
      <c r="N13" s="67" t="s">
        <v>232</v>
      </c>
      <c r="P13" s="106" t="s">
        <v>192</v>
      </c>
      <c r="Q13" s="100">
        <f>COUNTIF(J2:J50000,"Yes")</f>
        <v>16</v>
      </c>
    </row>
    <row r="14" spans="1:17" ht="15">
      <c r="A14" s="65" t="s">
        <v>293</v>
      </c>
      <c r="B14" s="66" t="s">
        <v>336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1.5212177151576368E-2</v>
      </c>
      <c r="J14" s="67" t="s">
        <v>232</v>
      </c>
      <c r="K14" s="68">
        <v>7.0254959210373524</v>
      </c>
      <c r="L14" s="67" t="s">
        <v>351</v>
      </c>
      <c r="M14" s="68">
        <v>85.989449482916356</v>
      </c>
      <c r="N14" s="67" t="s">
        <v>232</v>
      </c>
      <c r="P14" s="106" t="s">
        <v>229</v>
      </c>
      <c r="Q14" s="100">
        <f>COUNTIF(N2:N50000,"Yes")</f>
        <v>22</v>
      </c>
    </row>
    <row r="15" spans="1:17" ht="15">
      <c r="A15" s="65" t="s">
        <v>295</v>
      </c>
      <c r="B15" s="66" t="s">
        <v>337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0.13122252423840913</v>
      </c>
      <c r="J15" s="67" t="s">
        <v>232</v>
      </c>
      <c r="K15" s="68">
        <v>5.5739005692929933</v>
      </c>
      <c r="L15" s="67" t="s">
        <v>232</v>
      </c>
      <c r="M15" s="68">
        <v>178.63934207628813</v>
      </c>
      <c r="N15" s="67" t="s">
        <v>232</v>
      </c>
      <c r="P15" s="106" t="s">
        <v>230</v>
      </c>
      <c r="Q15" s="100">
        <f>COUNTIF(M2:M50000,"&gt;=60")</f>
        <v>13</v>
      </c>
    </row>
    <row r="16" spans="1:17">
      <c r="A16" s="65" t="s">
        <v>297</v>
      </c>
      <c r="B16" s="66" t="s">
        <v>338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1.784963227263103E-2</v>
      </c>
      <c r="J16" s="67" t="s">
        <v>232</v>
      </c>
      <c r="K16" s="68">
        <v>3.7143244993399347</v>
      </c>
      <c r="L16" s="67" t="s">
        <v>351</v>
      </c>
      <c r="M16" s="68">
        <v>62.018854955414319</v>
      </c>
      <c r="N16" s="67" t="s">
        <v>232</v>
      </c>
      <c r="P16" s="106" t="s">
        <v>197</v>
      </c>
      <c r="Q16" s="100">
        <f>COUNTIF(G2:G50000,"Yes")</f>
        <v>5</v>
      </c>
    </row>
    <row r="17" spans="1:18">
      <c r="A17" s="65" t="s">
        <v>299</v>
      </c>
      <c r="B17" s="66" t="s">
        <v>339</v>
      </c>
      <c r="D17" s="66" t="s">
        <v>323</v>
      </c>
      <c r="E17" s="128">
        <v>6.8</v>
      </c>
      <c r="F17" s="67" t="s">
        <v>231</v>
      </c>
      <c r="G17" s="67" t="s">
        <v>231</v>
      </c>
      <c r="H17" s="67" t="s">
        <v>231</v>
      </c>
      <c r="I17" s="68">
        <v>1.871794705268744E-4</v>
      </c>
      <c r="J17" s="67" t="s">
        <v>231</v>
      </c>
      <c r="K17" s="68">
        <v>0.85104683054886388</v>
      </c>
      <c r="L17" s="67" t="s">
        <v>231</v>
      </c>
      <c r="M17" s="68">
        <v>32.327728999848475</v>
      </c>
      <c r="N17" s="67" t="s">
        <v>232</v>
      </c>
      <c r="Q17" s="100">
        <f>COUNT(I2:I50000)</f>
        <v>27</v>
      </c>
      <c r="R17" s="108"/>
    </row>
    <row r="18" spans="1:18">
      <c r="A18" s="65" t="s">
        <v>301</v>
      </c>
      <c r="B18" s="66" t="s">
        <v>340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1.0135466760103848E-3</v>
      </c>
      <c r="J18" s="67" t="s">
        <v>231</v>
      </c>
      <c r="K18" s="68">
        <v>14.138359103069304</v>
      </c>
      <c r="L18" s="67" t="s">
        <v>351</v>
      </c>
      <c r="M18" s="68">
        <v>46.62459043164128</v>
      </c>
      <c r="N18" s="67" t="s">
        <v>232</v>
      </c>
      <c r="R18" s="108"/>
    </row>
    <row r="19" spans="1:18">
      <c r="A19" s="65" t="s">
        <v>303</v>
      </c>
      <c r="B19" s="66" t="s">
        <v>341</v>
      </c>
      <c r="D19" s="66" t="s">
        <v>176</v>
      </c>
      <c r="F19" s="67" t="s">
        <v>232</v>
      </c>
      <c r="G19" s="67" t="s">
        <v>231</v>
      </c>
      <c r="H19" s="67" t="s">
        <v>231</v>
      </c>
      <c r="I19" s="68">
        <v>0.27057443220342686</v>
      </c>
      <c r="J19" s="67" t="s">
        <v>232</v>
      </c>
      <c r="K19" s="68">
        <v>4.9443748608208029</v>
      </c>
      <c r="L19" s="67" t="s">
        <v>232</v>
      </c>
      <c r="M19" s="68">
        <v>157.5557509657649</v>
      </c>
      <c r="N19" s="67" t="s">
        <v>232</v>
      </c>
      <c r="P19" s="106" t="s">
        <v>198</v>
      </c>
      <c r="Q19" s="108"/>
      <c r="R19" s="108"/>
    </row>
    <row r="20" spans="1:18">
      <c r="A20" s="65" t="s">
        <v>305</v>
      </c>
      <c r="B20" s="66" t="s">
        <v>342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3.5420217971699842E-2</v>
      </c>
      <c r="J20" s="67" t="s">
        <v>232</v>
      </c>
      <c r="K20" s="68">
        <v>6.4608537079567006</v>
      </c>
      <c r="L20" s="67" t="s">
        <v>351</v>
      </c>
      <c r="M20" s="68">
        <v>159.05721066172865</v>
      </c>
      <c r="N20" s="67" t="s">
        <v>232</v>
      </c>
      <c r="Q20" s="108"/>
      <c r="R20" s="108"/>
    </row>
    <row r="21" spans="1:18">
      <c r="A21" s="65" t="s">
        <v>307</v>
      </c>
      <c r="B21" s="66" t="s">
        <v>343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1.9387929949947664E-2</v>
      </c>
      <c r="J21" s="67" t="s">
        <v>232</v>
      </c>
      <c r="K21" s="68">
        <v>1.8277155851626894</v>
      </c>
      <c r="L21" s="67" t="s">
        <v>232</v>
      </c>
      <c r="M21" s="68">
        <v>56.120547316065625</v>
      </c>
      <c r="N21" s="67" t="s">
        <v>232</v>
      </c>
      <c r="Q21" s="108"/>
      <c r="R21" s="108"/>
    </row>
    <row r="22" spans="1:18">
      <c r="A22" s="65" t="s">
        <v>309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4.7020380930546078E-2</v>
      </c>
      <c r="J22" s="67" t="s">
        <v>232</v>
      </c>
      <c r="K22" s="68">
        <v>6.179580842069945</v>
      </c>
      <c r="L22" s="67" t="s">
        <v>232</v>
      </c>
      <c r="M22" s="68">
        <v>205.42494105510693</v>
      </c>
      <c r="N22" s="67" t="s">
        <v>232</v>
      </c>
      <c r="Q22" s="108"/>
      <c r="R22" s="108"/>
    </row>
    <row r="23" spans="1:18">
      <c r="A23" s="65" t="s">
        <v>311</v>
      </c>
      <c r="B23" s="66" t="s">
        <v>345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0.21919648475477785</v>
      </c>
      <c r="J23" s="67" t="s">
        <v>232</v>
      </c>
      <c r="K23" s="68">
        <v>27.627955468819298</v>
      </c>
      <c r="L23" s="67" t="s">
        <v>232</v>
      </c>
      <c r="M23" s="68">
        <v>871.55521846621264</v>
      </c>
      <c r="N23" s="67" t="s">
        <v>232</v>
      </c>
      <c r="Q23" s="108"/>
      <c r="R23" s="108"/>
    </row>
    <row r="24" spans="1:18">
      <c r="A24" s="65" t="s">
        <v>313</v>
      </c>
      <c r="B24" s="66" t="s">
        <v>346</v>
      </c>
      <c r="D24" s="66" t="s">
        <v>176</v>
      </c>
      <c r="F24" s="67" t="s">
        <v>231</v>
      </c>
      <c r="G24" s="67" t="s">
        <v>232</v>
      </c>
      <c r="H24" s="67" t="s">
        <v>231</v>
      </c>
      <c r="I24" s="68">
        <v>4.7947453278659069E-2</v>
      </c>
      <c r="J24" s="67" t="s">
        <v>232</v>
      </c>
      <c r="K24" s="68">
        <v>7.3937810861257445</v>
      </c>
      <c r="L24" s="67" t="s">
        <v>232</v>
      </c>
      <c r="M24" s="68">
        <v>236.83633900569342</v>
      </c>
      <c r="N24" s="67" t="s">
        <v>232</v>
      </c>
      <c r="Q24" s="108"/>
      <c r="R24" s="108"/>
    </row>
    <row r="25" spans="1:18">
      <c r="A25" s="65" t="s">
        <v>315</v>
      </c>
      <c r="B25" s="66" t="s">
        <v>347</v>
      </c>
      <c r="D25" s="66" t="s">
        <v>176</v>
      </c>
      <c r="F25" s="67" t="s">
        <v>231</v>
      </c>
      <c r="G25" s="67" t="s">
        <v>232</v>
      </c>
      <c r="H25" s="67" t="s">
        <v>231</v>
      </c>
      <c r="I25" s="68">
        <v>4.052885126983969E-2</v>
      </c>
      <c r="J25" s="67" t="s">
        <v>232</v>
      </c>
      <c r="K25" s="68">
        <v>6.5485396216217806</v>
      </c>
      <c r="L25" s="67" t="s">
        <v>232</v>
      </c>
      <c r="M25" s="68">
        <v>207.30593673835915</v>
      </c>
      <c r="N25" s="67" t="s">
        <v>232</v>
      </c>
      <c r="Q25" s="108"/>
      <c r="R25" s="108"/>
    </row>
    <row r="26" spans="1:18">
      <c r="A26" s="65" t="s">
        <v>317</v>
      </c>
      <c r="B26" s="66" t="s">
        <v>348</v>
      </c>
      <c r="D26" s="66" t="s">
        <v>176</v>
      </c>
      <c r="F26" s="67" t="s">
        <v>231</v>
      </c>
      <c r="G26" s="67" t="s">
        <v>232</v>
      </c>
      <c r="H26" s="67" t="s">
        <v>231</v>
      </c>
      <c r="I26" s="68">
        <v>3.1679964965069245E-2</v>
      </c>
      <c r="J26" s="67" t="s">
        <v>232</v>
      </c>
      <c r="K26" s="68">
        <v>10.065322053327975</v>
      </c>
      <c r="L26" s="67" t="s">
        <v>351</v>
      </c>
      <c r="M26" s="68">
        <v>185.88636041069648</v>
      </c>
      <c r="N26" s="67" t="s">
        <v>232</v>
      </c>
      <c r="Q26" s="108"/>
      <c r="R26" s="108"/>
    </row>
    <row r="27" spans="1:18">
      <c r="A27" s="65" t="s">
        <v>319</v>
      </c>
      <c r="B27" s="66" t="s">
        <v>349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9.9630464956782863E-3</v>
      </c>
      <c r="J27" s="67" t="s">
        <v>231</v>
      </c>
      <c r="K27" s="68">
        <v>2.5734669192451505</v>
      </c>
      <c r="L27" s="67" t="s">
        <v>232</v>
      </c>
      <c r="M27" s="68">
        <v>81.405070634775711</v>
      </c>
      <c r="N27" s="67" t="s">
        <v>232</v>
      </c>
      <c r="Q27" s="108"/>
      <c r="R27" s="108"/>
    </row>
    <row r="28" spans="1:18">
      <c r="A28" s="65" t="s">
        <v>321</v>
      </c>
      <c r="B28" s="66" t="s">
        <v>350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7.7930634782716085E-4</v>
      </c>
      <c r="J28" s="67" t="s">
        <v>231</v>
      </c>
      <c r="K28" s="68">
        <v>0.22499688255010916</v>
      </c>
      <c r="L28" s="67" t="s">
        <v>231</v>
      </c>
      <c r="M28" s="68">
        <v>7.0442395290586042</v>
      </c>
      <c r="N28" s="67" t="s">
        <v>231</v>
      </c>
      <c r="Q28" s="108"/>
      <c r="R28" s="108"/>
    </row>
    <row r="29" spans="1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8"/>
  <sheetViews>
    <sheetView tabSelected="1" topLeftCell="B1" workbookViewId="0">
      <pane ySplit="1" topLeftCell="A2" activePane="bottomLeft" state="frozen"/>
      <selection pane="bottomLeft" activeCell="L2" sqref="L2:L2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56" t="s">
        <v>262</v>
      </c>
      <c r="L1" s="156" t="s">
        <v>263</v>
      </c>
      <c r="M1" s="155" t="s">
        <v>233</v>
      </c>
      <c r="N1" s="43" t="s">
        <v>266</v>
      </c>
      <c r="O1" s="43" t="str">
        <f>"---&gt;ng/g"</f>
        <v>---&gt;ng/g</v>
      </c>
      <c r="P1" s="110" t="s">
        <v>32</v>
      </c>
      <c r="Q1" s="56" t="s">
        <v>141</v>
      </c>
      <c r="R1" s="37"/>
      <c r="S1" s="6" t="s">
        <v>17</v>
      </c>
      <c r="T1" s="99" t="s">
        <v>256</v>
      </c>
    </row>
    <row r="2" spans="1:20">
      <c r="A2" s="2" t="s">
        <v>269</v>
      </c>
      <c r="B2" s="16" t="s">
        <v>324</v>
      </c>
      <c r="D2" s="14">
        <v>0.83558613910051627</v>
      </c>
      <c r="E2" s="14">
        <v>0.34800138449023404</v>
      </c>
      <c r="F2" s="14">
        <v>0.34800138449023399</v>
      </c>
      <c r="G2" s="14">
        <v>1.2897338340681888E-12</v>
      </c>
      <c r="H2" s="14">
        <v>0</v>
      </c>
      <c r="I2" s="14">
        <v>0</v>
      </c>
      <c r="J2" s="14">
        <v>0</v>
      </c>
      <c r="K2" s="14">
        <v>2.4011000425314841</v>
      </c>
      <c r="L2" s="14">
        <v>0.41647577455610646</v>
      </c>
      <c r="M2" s="14">
        <v>0.34171837302328534</v>
      </c>
      <c r="N2" s="14">
        <v>1147.5941925950744</v>
      </c>
      <c r="O2" s="14">
        <v>319421.36756691302</v>
      </c>
      <c r="P2" s="8">
        <v>1373.4002263733403</v>
      </c>
      <c r="Q2" s="54">
        <v>1.5487735792426383</v>
      </c>
      <c r="S2" s="99"/>
    </row>
    <row r="3" spans="1:20">
      <c r="A3" s="2" t="s">
        <v>271</v>
      </c>
      <c r="B3" s="16" t="s">
        <v>325</v>
      </c>
      <c r="D3" s="14">
        <v>4.9152125829442131E-2</v>
      </c>
      <c r="E3" s="14">
        <v>6.9622111435649803E-4</v>
      </c>
      <c r="F3" s="14">
        <v>6.9622111435649792E-4</v>
      </c>
      <c r="G3" s="14">
        <v>1.7892619881151061E-20</v>
      </c>
      <c r="H3" s="14">
        <v>0</v>
      </c>
      <c r="I3" s="14">
        <v>0</v>
      </c>
      <c r="J3" s="14">
        <v>0</v>
      </c>
      <c r="K3" s="14">
        <v>70.598441810935853</v>
      </c>
      <c r="L3" s="14">
        <v>1.4164618571582948E-2</v>
      </c>
      <c r="M3" s="14">
        <v>1.1622069537983809E-2</v>
      </c>
      <c r="N3" s="14">
        <v>179.68305912443091</v>
      </c>
      <c r="O3" s="14">
        <v>73113.036757730937</v>
      </c>
      <c r="P3" s="8">
        <v>3655.6518378865467</v>
      </c>
      <c r="Q3" s="54">
        <v>0.1337928688503584</v>
      </c>
      <c r="S3" s="106"/>
      <c r="T3" s="22"/>
    </row>
    <row r="4" spans="1:20">
      <c r="A4" s="2" t="s">
        <v>273</v>
      </c>
      <c r="B4" s="16" t="s">
        <v>326</v>
      </c>
      <c r="D4" s="14">
        <v>14037.075180226571</v>
      </c>
      <c r="E4" s="14">
        <v>14035.629291475962</v>
      </c>
      <c r="F4" s="14">
        <v>14035.62929147596</v>
      </c>
      <c r="G4" s="14">
        <v>9.0506198802856177E-13</v>
      </c>
      <c r="H4" s="14">
        <v>0</v>
      </c>
      <c r="I4" s="14">
        <v>0</v>
      </c>
      <c r="J4" s="14">
        <v>0</v>
      </c>
      <c r="K4" s="14">
        <v>1.0001030155984163</v>
      </c>
      <c r="L4" s="14">
        <v>0.99989699501270413</v>
      </c>
      <c r="M4" s="14">
        <v>0.82041548440792378</v>
      </c>
      <c r="N4" s="14">
        <v>13356.293294929286</v>
      </c>
      <c r="O4" s="14">
        <v>2593658.5949423178</v>
      </c>
      <c r="P4" s="8">
        <v>0.95150115842819782</v>
      </c>
      <c r="Q4" s="54">
        <v>1.5366674672498961</v>
      </c>
      <c r="S4" s="99"/>
    </row>
    <row r="5" spans="1:20">
      <c r="A5" s="2" t="s">
        <v>275</v>
      </c>
      <c r="B5" s="16" t="s">
        <v>327</v>
      </c>
      <c r="D5" s="14">
        <v>98787.446504992869</v>
      </c>
      <c r="E5" s="14">
        <v>97172.434026250936</v>
      </c>
      <c r="F5" s="14">
        <v>97172.434026250936</v>
      </c>
      <c r="G5" s="14">
        <v>2.2971121692374155E-5</v>
      </c>
      <c r="H5" s="14">
        <v>0</v>
      </c>
      <c r="I5" s="14">
        <v>0</v>
      </c>
      <c r="J5" s="14">
        <v>0</v>
      </c>
      <c r="K5" s="14">
        <v>1.0166200681800934</v>
      </c>
      <c r="L5" s="14">
        <v>0.98365164263396254</v>
      </c>
      <c r="M5" s="14">
        <v>0.80708617278116623</v>
      </c>
      <c r="N5" s="14">
        <v>86751.185100570248</v>
      </c>
      <c r="O5" s="14">
        <v>12161648.639248941</v>
      </c>
      <c r="P5" s="8">
        <v>0.87816001090974349</v>
      </c>
      <c r="Q5" s="54">
        <v>0.78898735137505283</v>
      </c>
      <c r="S5" s="99"/>
    </row>
    <row r="6" spans="1:20">
      <c r="A6" s="2" t="s">
        <v>277</v>
      </c>
      <c r="B6" s="16" t="s">
        <v>328</v>
      </c>
      <c r="D6" s="14">
        <v>39.346246973365616</v>
      </c>
      <c r="E6" s="14">
        <v>39.005776658819642</v>
      </c>
      <c r="F6" s="14">
        <v>39.005776658819634</v>
      </c>
      <c r="G6" s="14">
        <v>3.4399176902370457E-15</v>
      </c>
      <c r="H6" s="14">
        <v>0</v>
      </c>
      <c r="I6" s="14">
        <v>0</v>
      </c>
      <c r="J6" s="14">
        <v>0</v>
      </c>
      <c r="K6" s="14">
        <v>1.0087287151727307</v>
      </c>
      <c r="L6" s="14">
        <v>0.99134681600569285</v>
      </c>
      <c r="M6" s="14">
        <v>0.81340006253267105</v>
      </c>
      <c r="N6" s="14">
        <v>724.10735144107161</v>
      </c>
      <c r="O6" s="14">
        <v>239216.10462207245</v>
      </c>
      <c r="P6" s="8">
        <v>18.403466839702311</v>
      </c>
      <c r="Q6" s="54">
        <v>1.1054418173204812</v>
      </c>
      <c r="S6" s="99"/>
    </row>
    <row r="7" spans="1:20">
      <c r="A7" s="2" t="s">
        <v>279</v>
      </c>
      <c r="B7" s="16" t="s">
        <v>329</v>
      </c>
      <c r="D7" s="14">
        <v>7.5103266992114157E-2</v>
      </c>
      <c r="E7" s="14">
        <v>7.2060876725599021E-2</v>
      </c>
      <c r="F7" s="14">
        <v>7.2060876725599021E-2</v>
      </c>
      <c r="G7" s="14">
        <v>1.8533316306136361E-15</v>
      </c>
      <c r="H7" s="14">
        <v>0</v>
      </c>
      <c r="I7" s="14">
        <v>0</v>
      </c>
      <c r="J7" s="14">
        <v>0</v>
      </c>
      <c r="K7" s="14">
        <v>1.0422197231668477</v>
      </c>
      <c r="L7" s="14">
        <v>0.95949057360135093</v>
      </c>
      <c r="M7" s="14">
        <v>0.7872620156399085</v>
      </c>
      <c r="N7" s="14">
        <v>24.570710830674066</v>
      </c>
      <c r="O7" s="14">
        <v>6544.1631226417303</v>
      </c>
      <c r="P7" s="8">
        <v>327.1590147104252</v>
      </c>
      <c r="Q7" s="54">
        <v>4.3185365160031061E-3</v>
      </c>
    </row>
    <row r="8" spans="1:20">
      <c r="A8" s="2" t="s">
        <v>281</v>
      </c>
      <c r="B8" s="16" t="s">
        <v>330</v>
      </c>
      <c r="D8" s="14">
        <v>4.1281912004345465</v>
      </c>
      <c r="E8" s="14">
        <v>4.1278660959607452</v>
      </c>
      <c r="F8" s="14">
        <v>4.1278660959607452</v>
      </c>
      <c r="G8" s="14">
        <v>6.4089533980088399E-16</v>
      </c>
      <c r="H8" s="14">
        <v>0</v>
      </c>
      <c r="I8" s="14">
        <v>0</v>
      </c>
      <c r="J8" s="14">
        <v>0</v>
      </c>
      <c r="K8" s="14">
        <v>1.0000787584834983</v>
      </c>
      <c r="L8" s="14">
        <v>0.999921247718912</v>
      </c>
      <c r="M8" s="14">
        <v>0.82043538375336733</v>
      </c>
      <c r="N8" s="14">
        <v>4.0617322104277021</v>
      </c>
      <c r="O8" s="14">
        <v>747.80551726184422</v>
      </c>
      <c r="P8" s="8">
        <v>0.98390118413123673</v>
      </c>
      <c r="Q8" s="54">
        <v>2.0272978266935546E-5</v>
      </c>
    </row>
    <row r="9" spans="1:20">
      <c r="A9" s="2" t="s">
        <v>283</v>
      </c>
      <c r="B9" s="16" t="s">
        <v>331</v>
      </c>
      <c r="D9" s="14">
        <v>712.85140562248989</v>
      </c>
      <c r="E9" s="14">
        <v>697.67456052692921</v>
      </c>
      <c r="F9" s="14">
        <v>697.6745605269291</v>
      </c>
      <c r="G9" s="14">
        <v>2.0579366836393902E-7</v>
      </c>
      <c r="H9" s="14">
        <v>0</v>
      </c>
      <c r="I9" s="14">
        <v>0</v>
      </c>
      <c r="J9" s="14">
        <v>0</v>
      </c>
      <c r="K9" s="14">
        <v>1.0217534735451703</v>
      </c>
      <c r="L9" s="14">
        <v>0.97870966518988933</v>
      </c>
      <c r="M9" s="14">
        <v>0.80303128028830417</v>
      </c>
      <c r="N9" s="14">
        <v>2008.311560703527</v>
      </c>
      <c r="O9" s="14">
        <v>300041.74716910697</v>
      </c>
      <c r="P9" s="8">
        <v>2.8172934006488917</v>
      </c>
      <c r="Q9" s="54">
        <v>2.3912217212499747</v>
      </c>
    </row>
    <row r="10" spans="1:20">
      <c r="A10" s="2" t="s">
        <v>285</v>
      </c>
      <c r="B10" s="16" t="s">
        <v>332</v>
      </c>
      <c r="D10" s="14">
        <v>2.8836251287332644</v>
      </c>
      <c r="E10" s="14">
        <v>2.3250362365168895</v>
      </c>
      <c r="F10" s="14">
        <v>2.3250362365168895</v>
      </c>
      <c r="G10" s="14">
        <v>2.5743574413200999E-12</v>
      </c>
      <c r="H10" s="14">
        <v>0</v>
      </c>
      <c r="I10" s="14">
        <v>0</v>
      </c>
      <c r="J10" s="14">
        <v>0</v>
      </c>
      <c r="K10" s="14">
        <v>1.2402495425418361</v>
      </c>
      <c r="L10" s="14">
        <v>0.80628935202067853</v>
      </c>
      <c r="M10" s="14">
        <v>0.66156041333296678</v>
      </c>
      <c r="N10" s="14">
        <v>1253.2074159495394</v>
      </c>
      <c r="O10" s="14">
        <v>365009.19196946285</v>
      </c>
      <c r="P10" s="8">
        <v>434.5944288882153</v>
      </c>
      <c r="Q10" s="54">
        <v>1.7929025524388793</v>
      </c>
    </row>
    <row r="11" spans="1:20">
      <c r="A11" s="2" t="s">
        <v>287</v>
      </c>
      <c r="B11" s="16" t="s">
        <v>333</v>
      </c>
      <c r="D11" s="14">
        <v>310.5310531053106</v>
      </c>
      <c r="E11" s="14">
        <v>307.24472972921694</v>
      </c>
      <c r="F11" s="14">
        <v>307.24472972921694</v>
      </c>
      <c r="G11" s="14">
        <v>1.1050541585916844E-9</v>
      </c>
      <c r="H11" s="14">
        <v>0</v>
      </c>
      <c r="I11" s="14">
        <v>0</v>
      </c>
      <c r="J11" s="14">
        <v>0</v>
      </c>
      <c r="K11" s="14">
        <v>1.0106961098372296</v>
      </c>
      <c r="L11" s="14">
        <v>0.98941708617147828</v>
      </c>
      <c r="M11" s="14">
        <v>0.81181671920369791</v>
      </c>
      <c r="N11" s="14">
        <v>6813.1654320970674</v>
      </c>
      <c r="O11" s="14">
        <v>1514157.8856292523</v>
      </c>
      <c r="P11" s="8">
        <v>21.940367521912581</v>
      </c>
      <c r="Q11" s="54">
        <v>10.422487948136645</v>
      </c>
    </row>
    <row r="12" spans="1:20">
      <c r="A12" s="2" t="s">
        <v>289</v>
      </c>
      <c r="B12" s="16" t="s">
        <v>334</v>
      </c>
      <c r="D12" s="14">
        <v>93.312597200622093</v>
      </c>
      <c r="E12" s="14">
        <v>92.383073918048666</v>
      </c>
      <c r="F12" s="14">
        <v>92.383073918048666</v>
      </c>
      <c r="G12" s="14">
        <v>9.5761630036532877E-10</v>
      </c>
      <c r="H12" s="14">
        <v>0</v>
      </c>
      <c r="I12" s="14">
        <v>0</v>
      </c>
      <c r="J12" s="14">
        <v>0</v>
      </c>
      <c r="K12" s="14">
        <v>1.0100616188999945</v>
      </c>
      <c r="L12" s="14">
        <v>0.99003860882175487</v>
      </c>
      <c r="M12" s="14">
        <v>0.81232667853824991</v>
      </c>
      <c r="N12" s="14">
        <v>1832.899160283421</v>
      </c>
      <c r="O12" s="14">
        <v>235637.51604603659</v>
      </c>
      <c r="P12" s="8">
        <v>19.642569334370659</v>
      </c>
      <c r="Q12" s="54">
        <v>2.8007823974346238</v>
      </c>
    </row>
    <row r="13" spans="1:20">
      <c r="A13" s="2" t="s">
        <v>291</v>
      </c>
      <c r="B13" s="16" t="s">
        <v>335</v>
      </c>
      <c r="D13" s="14">
        <v>23.000255558395089</v>
      </c>
      <c r="E13" s="14">
        <v>0.15935541063237432</v>
      </c>
      <c r="F13" s="14">
        <v>0.15935541063237432</v>
      </c>
      <c r="G13" s="14">
        <v>2.7078583042160809E-14</v>
      </c>
      <c r="H13" s="14">
        <v>0</v>
      </c>
      <c r="I13" s="14">
        <v>0</v>
      </c>
      <c r="J13" s="14">
        <v>0</v>
      </c>
      <c r="K13" s="14">
        <v>144.33306950245719</v>
      </c>
      <c r="L13" s="14">
        <v>6.928419131160898E-3</v>
      </c>
      <c r="M13" s="14">
        <v>5.6847678971175169E-3</v>
      </c>
      <c r="N13" s="14">
        <v>42468.46036014986</v>
      </c>
      <c r="O13" s="14">
        <v>16617483.854323041</v>
      </c>
      <c r="P13" s="8">
        <v>1846.4342821029602</v>
      </c>
      <c r="Q13" s="54">
        <v>49.59224550932538</v>
      </c>
    </row>
    <row r="14" spans="1:20">
      <c r="A14" s="2" t="s">
        <v>293</v>
      </c>
      <c r="B14" s="16" t="s">
        <v>336</v>
      </c>
      <c r="D14" s="14">
        <v>4749.7314715359835</v>
      </c>
      <c r="E14" s="14">
        <v>4736.4764218055216</v>
      </c>
      <c r="F14" s="14">
        <v>4736.4764218055216</v>
      </c>
      <c r="G14" s="14">
        <v>1.6297256502931673E-7</v>
      </c>
      <c r="H14" s="14">
        <v>0</v>
      </c>
      <c r="I14" s="14">
        <v>0</v>
      </c>
      <c r="J14" s="14">
        <v>0</v>
      </c>
      <c r="K14" s="14">
        <v>1.0027985043205194</v>
      </c>
      <c r="L14" s="14">
        <v>0.99720930545023534</v>
      </c>
      <c r="M14" s="14">
        <v>0.81821023512191804</v>
      </c>
      <c r="N14" s="14">
        <v>7025.4959210373527</v>
      </c>
      <c r="O14" s="14">
        <v>654284.43512620858</v>
      </c>
      <c r="P14" s="8">
        <v>1.4791353917878278</v>
      </c>
      <c r="Q14" s="54">
        <v>5.0454782610456217</v>
      </c>
    </row>
    <row r="15" spans="1:20">
      <c r="A15" s="2" t="s">
        <v>295</v>
      </c>
      <c r="B15" s="16" t="s">
        <v>337</v>
      </c>
      <c r="D15" s="14">
        <v>9.1107871720116638</v>
      </c>
      <c r="E15" s="14">
        <v>6.6537629089960015</v>
      </c>
      <c r="F15" s="14">
        <v>6.6537629089960015</v>
      </c>
      <c r="G15" s="14">
        <v>2.4459436248095382E-11</v>
      </c>
      <c r="H15" s="14">
        <v>0</v>
      </c>
      <c r="I15" s="14">
        <v>0</v>
      </c>
      <c r="J15" s="14">
        <v>0</v>
      </c>
      <c r="K15" s="14">
        <v>1.3692683819096894</v>
      </c>
      <c r="L15" s="14">
        <v>0.73031701689140105</v>
      </c>
      <c r="M15" s="14">
        <v>0.59922511235939457</v>
      </c>
      <c r="N15" s="14">
        <v>5573.9005692929932</v>
      </c>
      <c r="O15" s="14">
        <v>1529478.3162139973</v>
      </c>
      <c r="P15" s="8">
        <v>611.79132648559892</v>
      </c>
      <c r="Q15" s="54">
        <v>7.8638329873212411</v>
      </c>
    </row>
    <row r="16" spans="1:20">
      <c r="A16" s="2" t="s">
        <v>297</v>
      </c>
      <c r="B16" s="16" t="s">
        <v>338</v>
      </c>
      <c r="D16" s="14">
        <v>1913.5913591359135</v>
      </c>
      <c r="E16" s="14">
        <v>1903.417048384995</v>
      </c>
      <c r="F16" s="14">
        <v>1903.4170483849948</v>
      </c>
      <c r="G16" s="14">
        <v>1.2814246561843731E-7</v>
      </c>
      <c r="H16" s="14">
        <v>0</v>
      </c>
      <c r="I16" s="14">
        <v>0</v>
      </c>
      <c r="J16" s="14">
        <v>0</v>
      </c>
      <c r="K16" s="14">
        <v>1.0053452871820978</v>
      </c>
      <c r="L16" s="14">
        <v>0.99468313299893196</v>
      </c>
      <c r="M16" s="14">
        <v>0.81613751062562367</v>
      </c>
      <c r="N16" s="14">
        <v>3714.3244993399344</v>
      </c>
      <c r="O16" s="14">
        <v>412735.73836665356</v>
      </c>
      <c r="P16" s="8">
        <v>1.9410228216211982</v>
      </c>
      <c r="Q16" s="54">
        <v>3.5561569028893993</v>
      </c>
    </row>
    <row r="17" spans="1:21">
      <c r="A17" s="2" t="s">
        <v>299</v>
      </c>
      <c r="B17" s="16" t="s">
        <v>339</v>
      </c>
      <c r="D17" s="14">
        <v>10.126582278481012</v>
      </c>
      <c r="E17" s="14">
        <v>9.7451708406820039</v>
      </c>
      <c r="F17" s="14">
        <v>9.7451708406820039</v>
      </c>
      <c r="G17" s="14">
        <v>4.5171632330305054E-10</v>
      </c>
      <c r="H17" s="14">
        <v>0</v>
      </c>
      <c r="I17" s="14">
        <v>0</v>
      </c>
      <c r="J17" s="14">
        <v>0</v>
      </c>
      <c r="K17" s="14">
        <v>1.039138507065138</v>
      </c>
      <c r="L17" s="14">
        <v>0.96233562051734789</v>
      </c>
      <c r="M17" s="14">
        <v>0.7895963766344839</v>
      </c>
      <c r="N17" s="14">
        <v>851.04683054886391</v>
      </c>
      <c r="O17" s="14">
        <v>168039.19669187316</v>
      </c>
      <c r="P17" s="8">
        <v>84.040874516700313</v>
      </c>
      <c r="Q17" s="54">
        <v>1.1028082933220829</v>
      </c>
    </row>
    <row r="18" spans="1:21">
      <c r="A18" s="2" t="s">
        <v>301</v>
      </c>
      <c r="B18" s="16" t="s">
        <v>340</v>
      </c>
      <c r="D18" s="14">
        <v>14359.72461273666</v>
      </c>
      <c r="E18" s="14">
        <v>14167.892110453104</v>
      </c>
      <c r="F18" s="14">
        <v>14167.892110453104</v>
      </c>
      <c r="G18" s="14">
        <v>2.7138407679764582E-6</v>
      </c>
      <c r="H18" s="14">
        <v>0</v>
      </c>
      <c r="I18" s="14">
        <v>0</v>
      </c>
      <c r="J18" s="14">
        <v>0</v>
      </c>
      <c r="K18" s="14">
        <v>1.0135399465769521</v>
      </c>
      <c r="L18" s="14">
        <v>0.98664093445682055</v>
      </c>
      <c r="M18" s="14">
        <v>0.80953888672182128</v>
      </c>
      <c r="N18" s="14">
        <v>14138.359103069304</v>
      </c>
      <c r="O18" s="14">
        <v>821155.89670626516</v>
      </c>
      <c r="P18" s="8">
        <v>0.98458427890246514</v>
      </c>
      <c r="Q18" s="54">
        <v>2.9259857087746388</v>
      </c>
    </row>
    <row r="19" spans="1:21">
      <c r="A19" s="2" t="s">
        <v>303</v>
      </c>
      <c r="B19" s="16" t="s">
        <v>341</v>
      </c>
      <c r="D19" s="14">
        <v>33.356258596973859</v>
      </c>
      <c r="E19" s="14">
        <v>11.839257631011572</v>
      </c>
      <c r="F19" s="14">
        <v>11.839257631011572</v>
      </c>
      <c r="G19" s="14">
        <v>1.3393793302647585E-9</v>
      </c>
      <c r="H19" s="14">
        <v>0</v>
      </c>
      <c r="I19" s="14">
        <v>0</v>
      </c>
      <c r="J19" s="14">
        <v>0</v>
      </c>
      <c r="K19" s="14">
        <v>2.8174282236751891</v>
      </c>
      <c r="L19" s="14">
        <v>0.35493362052558408</v>
      </c>
      <c r="M19" s="14">
        <v>0.29122303564124175</v>
      </c>
      <c r="N19" s="14">
        <v>4944.3748608208034</v>
      </c>
      <c r="O19" s="14">
        <v>1437972.5407725142</v>
      </c>
      <c r="P19" s="8">
        <v>148.22929995120512</v>
      </c>
      <c r="Q19" s="54">
        <v>7.1300312090434197</v>
      </c>
    </row>
    <row r="20" spans="1:21">
      <c r="A20" s="2" t="s">
        <v>305</v>
      </c>
      <c r="B20" s="16" t="s">
        <v>342</v>
      </c>
      <c r="D20" s="14">
        <v>1509.3283582089553</v>
      </c>
      <c r="E20" s="14">
        <v>1480.4835059379202</v>
      </c>
      <c r="F20" s="14">
        <v>1480.4835059379202</v>
      </c>
      <c r="G20" s="14">
        <v>3.7292602710322974E-7</v>
      </c>
      <c r="H20" s="14">
        <v>0</v>
      </c>
      <c r="I20" s="14">
        <v>0</v>
      </c>
      <c r="J20" s="14">
        <v>0</v>
      </c>
      <c r="K20" s="14">
        <v>1.0194833999536936</v>
      </c>
      <c r="L20" s="14">
        <v>0.98088894830991991</v>
      </c>
      <c r="M20" s="14">
        <v>0.80481938208828929</v>
      </c>
      <c r="N20" s="14">
        <v>6460.8537079567004</v>
      </c>
      <c r="O20" s="14">
        <v>692280.47480756044</v>
      </c>
      <c r="P20" s="8">
        <v>4.2806150648514105</v>
      </c>
      <c r="Q20" s="54">
        <v>8.7018287627992361</v>
      </c>
    </row>
    <row r="21" spans="1:21">
      <c r="A21" s="2" t="s">
        <v>307</v>
      </c>
      <c r="B21" s="16" t="s">
        <v>343</v>
      </c>
      <c r="D21" s="14">
        <v>47.839506172839506</v>
      </c>
      <c r="E21" s="14">
        <v>46.934490640967212</v>
      </c>
      <c r="F21" s="14">
        <v>46.934490640967212</v>
      </c>
      <c r="G21" s="14">
        <v>6.4400795251935733E-10</v>
      </c>
      <c r="H21" s="14">
        <v>0</v>
      </c>
      <c r="I21" s="14">
        <v>0</v>
      </c>
      <c r="J21" s="14">
        <v>0</v>
      </c>
      <c r="K21" s="14">
        <v>1.0192825259103235</v>
      </c>
      <c r="L21" s="14">
        <v>0.98108225597892762</v>
      </c>
      <c r="M21" s="14">
        <v>0.8049779910307101</v>
      </c>
      <c r="N21" s="14">
        <v>1827.7155851626892</v>
      </c>
      <c r="O21" s="14">
        <v>296126.47910805896</v>
      </c>
      <c r="P21" s="8">
        <v>38.205151586626542</v>
      </c>
      <c r="Q21" s="54">
        <v>2.7924092541710879</v>
      </c>
      <c r="T21" s="22"/>
    </row>
    <row r="22" spans="1:21">
      <c r="A22" s="2" t="s">
        <v>309</v>
      </c>
      <c r="B22" s="16" t="s">
        <v>344</v>
      </c>
      <c r="D22" s="14">
        <v>2.3993144815766927</v>
      </c>
      <c r="E22" s="14">
        <v>3.5232493640917031E-2</v>
      </c>
      <c r="F22" s="14">
        <v>3.5232493640917031E-2</v>
      </c>
      <c r="G22" s="14">
        <v>1.9775273717754217E-11</v>
      </c>
      <c r="H22" s="14">
        <v>0</v>
      </c>
      <c r="I22" s="14">
        <v>0</v>
      </c>
      <c r="J22" s="14">
        <v>0</v>
      </c>
      <c r="K22" s="14">
        <v>68.099479589212606</v>
      </c>
      <c r="L22" s="14">
        <v>1.4684400028196491E-2</v>
      </c>
      <c r="M22" s="14">
        <v>1.204855022313522E-2</v>
      </c>
      <c r="N22" s="14">
        <v>6179.580842069945</v>
      </c>
      <c r="O22" s="14">
        <v>1442252.3727307043</v>
      </c>
      <c r="P22" s="8">
        <v>2575.5610152484373</v>
      </c>
      <c r="Q22" s="54">
        <v>7.3166173371038461</v>
      </c>
      <c r="T22" s="22"/>
      <c r="U22" s="22"/>
    </row>
    <row r="23" spans="1:21">
      <c r="A23" s="2" t="s">
        <v>311</v>
      </c>
      <c r="B23" s="16" t="s">
        <v>345</v>
      </c>
      <c r="D23" s="14">
        <v>219.18876755070204</v>
      </c>
      <c r="E23" s="14">
        <v>174.94644376984655</v>
      </c>
      <c r="F23" s="14">
        <v>174.94644376984655</v>
      </c>
      <c r="G23" s="14">
        <v>4.5077958564108149E-7</v>
      </c>
      <c r="H23" s="14">
        <v>0</v>
      </c>
      <c r="I23" s="14">
        <v>0</v>
      </c>
      <c r="J23" s="14">
        <v>0</v>
      </c>
      <c r="K23" s="14">
        <v>1.2528906722965982</v>
      </c>
      <c r="L23" s="14">
        <v>0.79815423812435315</v>
      </c>
      <c r="M23" s="14">
        <v>0.65488555238103174</v>
      </c>
      <c r="N23" s="14">
        <v>27627.955468819298</v>
      </c>
      <c r="O23" s="14">
        <v>3541075.0524385693</v>
      </c>
      <c r="P23" s="8">
        <v>126.04640181859907</v>
      </c>
      <c r="Q23" s="54">
        <v>40.997000041960163</v>
      </c>
      <c r="T23" s="22"/>
      <c r="U23" s="22"/>
    </row>
    <row r="24" spans="1:21">
      <c r="A24" s="2" t="s">
        <v>313</v>
      </c>
      <c r="B24" s="16" t="s">
        <v>346</v>
      </c>
      <c r="D24" s="14">
        <v>78.236914600550961</v>
      </c>
      <c r="E24" s="14">
        <v>9.4627757960645056</v>
      </c>
      <c r="F24" s="14">
        <v>9.4627757960645056</v>
      </c>
      <c r="G24" s="14">
        <v>9.3587462390869733E-7</v>
      </c>
      <c r="H24" s="14">
        <v>0</v>
      </c>
      <c r="I24" s="14">
        <v>0</v>
      </c>
      <c r="J24" s="14">
        <v>0</v>
      </c>
      <c r="K24" s="14">
        <v>8.2678609624344137</v>
      </c>
      <c r="L24" s="14">
        <v>0.12095026809758505</v>
      </c>
      <c r="M24" s="14">
        <v>9.9239694974068537E-2</v>
      </c>
      <c r="N24" s="14">
        <v>7393.7810861257449</v>
      </c>
      <c r="O24" s="14">
        <v>1341601.5780775163</v>
      </c>
      <c r="P24" s="8">
        <v>94.50501881210019</v>
      </c>
      <c r="Q24" s="54">
        <v>10.4545539943464</v>
      </c>
      <c r="T24" s="22"/>
      <c r="U24" s="22"/>
    </row>
    <row r="25" spans="1:21">
      <c r="A25" s="2" t="s">
        <v>315</v>
      </c>
      <c r="B25" s="16" t="s">
        <v>347</v>
      </c>
      <c r="D25" s="14">
        <v>182.99319727891157</v>
      </c>
      <c r="E25" s="14">
        <v>30.700252723996439</v>
      </c>
      <c r="F25" s="14">
        <v>30.700252723996442</v>
      </c>
      <c r="G25" s="14">
        <v>2.1329519492006107E-6</v>
      </c>
      <c r="H25" s="14">
        <v>0</v>
      </c>
      <c r="I25" s="14">
        <v>0</v>
      </c>
      <c r="J25" s="14">
        <v>0</v>
      </c>
      <c r="K25" s="14">
        <v>5.9606413968011855</v>
      </c>
      <c r="L25" s="14">
        <v>0.1677671803132891</v>
      </c>
      <c r="M25" s="14">
        <v>0.13765297144705371</v>
      </c>
      <c r="N25" s="14">
        <v>6548.5396216217805</v>
      </c>
      <c r="O25" s="14">
        <v>962635.32437840174</v>
      </c>
      <c r="P25" s="8">
        <v>35.785699791018651</v>
      </c>
      <c r="Q25" s="54">
        <v>9.6353814011116548</v>
      </c>
      <c r="T25" s="22"/>
      <c r="U25" s="22"/>
    </row>
    <row r="26" spans="1:21">
      <c r="A26" s="2" t="s">
        <v>317</v>
      </c>
      <c r="B26" s="16" t="s">
        <v>348</v>
      </c>
      <c r="D26" s="14">
        <v>17656.065959952888</v>
      </c>
      <c r="E26" s="14">
        <v>4514.9997994096047</v>
      </c>
      <c r="F26" s="14">
        <v>4514.9997994096038</v>
      </c>
      <c r="G26" s="14">
        <v>1.8767950814116473E-4</v>
      </c>
      <c r="H26" s="14">
        <v>0</v>
      </c>
      <c r="I26" s="14">
        <v>0</v>
      </c>
      <c r="J26" s="14">
        <v>0</v>
      </c>
      <c r="K26" s="14">
        <v>3.9105352700705875</v>
      </c>
      <c r="L26" s="14">
        <v>0.25571946829211167</v>
      </c>
      <c r="M26" s="14">
        <v>0.20981782373367761</v>
      </c>
      <c r="N26" s="14">
        <v>10065.322053327976</v>
      </c>
      <c r="O26" s="14">
        <v>854847.80198914499</v>
      </c>
      <c r="P26" s="8">
        <v>0.57007727973818889</v>
      </c>
      <c r="Q26" s="54">
        <v>10.560991545199563</v>
      </c>
    </row>
    <row r="27" spans="1:21">
      <c r="A27" s="2" t="s">
        <v>319</v>
      </c>
      <c r="B27" s="16" t="s">
        <v>349</v>
      </c>
      <c r="D27" s="14">
        <v>195.41616405307596</v>
      </c>
      <c r="E27" s="14">
        <v>12.93188008004093</v>
      </c>
      <c r="F27" s="14">
        <v>12.93188008004093</v>
      </c>
      <c r="G27" s="14">
        <v>2.590125394631264E-6</v>
      </c>
      <c r="H27" s="14">
        <v>0</v>
      </c>
      <c r="I27" s="14">
        <v>0</v>
      </c>
      <c r="J27" s="14">
        <v>0</v>
      </c>
      <c r="K27" s="14">
        <v>15.111195189219343</v>
      </c>
      <c r="L27" s="14">
        <v>6.617610238490082E-2</v>
      </c>
      <c r="M27" s="14">
        <v>5.4297492006811124E-2</v>
      </c>
      <c r="N27" s="14">
        <v>2573.4669192451506</v>
      </c>
      <c r="O27" s="14">
        <v>426758.01921842335</v>
      </c>
      <c r="P27" s="8">
        <v>13.169160963297717</v>
      </c>
      <c r="Q27" s="54">
        <v>3.794098732928386</v>
      </c>
    </row>
    <row r="28" spans="1:21">
      <c r="A28" s="2" t="s">
        <v>321</v>
      </c>
      <c r="B28" s="16" t="s">
        <v>350</v>
      </c>
      <c r="D28" s="14">
        <v>1000</v>
      </c>
      <c r="E28" s="14">
        <v>2.4217222183935316</v>
      </c>
      <c r="F28" s="14">
        <v>2.4217222183935321</v>
      </c>
      <c r="G28" s="14">
        <v>1.4249625398168039E-5</v>
      </c>
      <c r="H28" s="14">
        <v>0</v>
      </c>
      <c r="I28" s="14">
        <v>0</v>
      </c>
      <c r="J28" s="14">
        <v>0</v>
      </c>
      <c r="K28" s="14">
        <v>412.9292750443351</v>
      </c>
      <c r="L28" s="14">
        <v>2.4217222183935318E-3</v>
      </c>
      <c r="M28" s="14">
        <v>1.9870230801918927E-3</v>
      </c>
      <c r="N28" s="14">
        <v>224.99688255010915</v>
      </c>
      <c r="O28" s="14">
        <v>18481.243932665966</v>
      </c>
      <c r="P28" s="8">
        <v>0.22499688255010913</v>
      </c>
      <c r="Q28" s="54">
        <v>0.33844748083753967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28"/>
  <sheetViews>
    <sheetView topLeftCell="B1" workbookViewId="0">
      <pane ySplit="1" topLeftCell="A2" activePane="bottomLeft" state="frozen"/>
      <selection pane="bottomLeft" activeCell="L28" sqref="L2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269</v>
      </c>
      <c r="B2" s="3" t="s">
        <v>324</v>
      </c>
      <c r="D2" s="20">
        <v>1.0804555528165947E-4</v>
      </c>
      <c r="E2" s="20">
        <v>0.41647577455610646</v>
      </c>
      <c r="F2" s="20">
        <v>0</v>
      </c>
      <c r="G2" s="20">
        <v>0</v>
      </c>
      <c r="H2" s="20">
        <v>0</v>
      </c>
      <c r="I2" s="20">
        <v>0.41647577455610646</v>
      </c>
      <c r="J2" s="20">
        <v>0.10815526782690056</v>
      </c>
      <c r="K2" s="20">
        <v>0.47526091206171145</v>
      </c>
      <c r="L2" s="20">
        <v>0</v>
      </c>
      <c r="N2" s="99"/>
    </row>
    <row r="3" spans="1:14">
      <c r="A3" s="2" t="s">
        <v>271</v>
      </c>
      <c r="B3" s="3" t="s">
        <v>325</v>
      </c>
      <c r="D3" s="20">
        <v>2.5481774603741285E-11</v>
      </c>
      <c r="E3" s="20">
        <v>1.416461857158295E-2</v>
      </c>
      <c r="F3" s="20">
        <v>0</v>
      </c>
      <c r="G3" s="20">
        <v>0</v>
      </c>
      <c r="H3" s="20">
        <v>0</v>
      </c>
      <c r="I3" s="20">
        <v>1.416461857158295E-2</v>
      </c>
      <c r="J3" s="20">
        <v>0.28788258223356555</v>
      </c>
      <c r="K3" s="20">
        <v>0.69795279916936959</v>
      </c>
      <c r="L3" s="20">
        <v>0</v>
      </c>
      <c r="N3" s="99"/>
    </row>
    <row r="4" spans="1:14">
      <c r="A4" s="2" t="s">
        <v>273</v>
      </c>
      <c r="B4" s="3" t="s">
        <v>326</v>
      </c>
      <c r="D4" s="20">
        <v>4.5133575441160189E-9</v>
      </c>
      <c r="E4" s="20">
        <v>0.99989699501270413</v>
      </c>
      <c r="F4" s="20">
        <v>0</v>
      </c>
      <c r="G4" s="20">
        <v>0</v>
      </c>
      <c r="H4" s="20">
        <v>0</v>
      </c>
      <c r="I4" s="20">
        <v>0.99989699501270413</v>
      </c>
      <c r="J4" s="20">
        <v>7.4930716226220573E-5</v>
      </c>
      <c r="K4" s="20">
        <v>2.8069757712053899E-5</v>
      </c>
      <c r="L4" s="20">
        <v>0</v>
      </c>
      <c r="N4" s="99"/>
    </row>
    <row r="5" spans="1:14">
      <c r="A5" s="2" t="s">
        <v>275</v>
      </c>
      <c r="B5" s="3" t="s">
        <v>327</v>
      </c>
      <c r="D5" s="20">
        <v>1.6277154389094581E-2</v>
      </c>
      <c r="E5" s="20">
        <v>0.98365164263396254</v>
      </c>
      <c r="F5" s="20">
        <v>0</v>
      </c>
      <c r="G5" s="20">
        <v>0</v>
      </c>
      <c r="H5" s="20">
        <v>0</v>
      </c>
      <c r="I5" s="20">
        <v>0.98365164263396254</v>
      </c>
      <c r="J5" s="20">
        <v>6.9155100859142311E-5</v>
      </c>
      <c r="K5" s="20">
        <v>2.0478760837319708E-6</v>
      </c>
      <c r="L5" s="20">
        <v>0</v>
      </c>
      <c r="N5" s="99"/>
    </row>
    <row r="6" spans="1:14">
      <c r="A6" s="2" t="s">
        <v>277</v>
      </c>
      <c r="B6" s="3" t="s">
        <v>328</v>
      </c>
      <c r="D6" s="20">
        <v>6.1198781799847988E-9</v>
      </c>
      <c r="E6" s="20">
        <v>0.99134681600569285</v>
      </c>
      <c r="F6" s="20">
        <v>0</v>
      </c>
      <c r="G6" s="20">
        <v>0</v>
      </c>
      <c r="H6" s="20">
        <v>0</v>
      </c>
      <c r="I6" s="20">
        <v>0.99134681600569285</v>
      </c>
      <c r="J6" s="20">
        <v>1.449273013626557E-3</v>
      </c>
      <c r="K6" s="20">
        <v>7.2039048608025036E-3</v>
      </c>
      <c r="L6" s="20">
        <v>0</v>
      </c>
    </row>
    <row r="7" spans="1:14">
      <c r="A7" s="2" t="s">
        <v>279</v>
      </c>
      <c r="B7" s="3" t="s">
        <v>329</v>
      </c>
      <c r="D7" s="20">
        <v>1.7273977463134397E-6</v>
      </c>
      <c r="E7" s="20">
        <v>0.95949057360135082</v>
      </c>
      <c r="F7" s="20">
        <v>0</v>
      </c>
      <c r="G7" s="20">
        <v>0</v>
      </c>
      <c r="H7" s="20">
        <v>0</v>
      </c>
      <c r="I7" s="20">
        <v>0.95949057360135082</v>
      </c>
      <c r="J7" s="20">
        <v>2.5763772408445986E-2</v>
      </c>
      <c r="K7" s="20">
        <v>1.4743926592456756E-2</v>
      </c>
      <c r="L7" s="20">
        <v>0</v>
      </c>
    </row>
    <row r="8" spans="1:14">
      <c r="A8" s="2" t="s">
        <v>281</v>
      </c>
      <c r="B8" s="3" t="s">
        <v>330</v>
      </c>
      <c r="D8" s="20">
        <v>1.0867392426334201E-8</v>
      </c>
      <c r="E8" s="20">
        <v>0.999921247718912</v>
      </c>
      <c r="F8" s="20">
        <v>0</v>
      </c>
      <c r="G8" s="20">
        <v>0</v>
      </c>
      <c r="H8" s="20">
        <v>0</v>
      </c>
      <c r="I8" s="20">
        <v>0.999921247718912</v>
      </c>
      <c r="J8" s="20">
        <v>7.7482218250334893E-5</v>
      </c>
      <c r="K8" s="20">
        <v>1.2591954449874608E-6</v>
      </c>
      <c r="L8" s="20">
        <v>0</v>
      </c>
    </row>
    <row r="9" spans="1:14">
      <c r="A9" s="2" t="s">
        <v>283</v>
      </c>
      <c r="B9" s="3" t="s">
        <v>331</v>
      </c>
      <c r="D9" s="20">
        <v>2.020835853286455E-2</v>
      </c>
      <c r="E9" s="20">
        <v>0.97870966518988944</v>
      </c>
      <c r="F9" s="20">
        <v>0</v>
      </c>
      <c r="G9" s="20">
        <v>0</v>
      </c>
      <c r="H9" s="20">
        <v>0</v>
      </c>
      <c r="I9" s="20">
        <v>0.97870966518988944</v>
      </c>
      <c r="J9" s="20">
        <v>2.2186185530110022E-4</v>
      </c>
      <c r="K9" s="20">
        <v>8.6011442194473624E-4</v>
      </c>
      <c r="L9" s="20">
        <v>0</v>
      </c>
    </row>
    <row r="10" spans="1:14">
      <c r="A10" s="2" t="s">
        <v>285</v>
      </c>
      <c r="B10" s="3" t="s">
        <v>332</v>
      </c>
      <c r="D10" s="20">
        <v>6.2492526888045425E-5</v>
      </c>
      <c r="E10" s="20">
        <v>0.80628935202067853</v>
      </c>
      <c r="F10" s="20">
        <v>0</v>
      </c>
      <c r="G10" s="20">
        <v>0</v>
      </c>
      <c r="H10" s="20">
        <v>0</v>
      </c>
      <c r="I10" s="20">
        <v>0.80628935202067853</v>
      </c>
      <c r="J10" s="20">
        <v>3.4224311274946954E-2</v>
      </c>
      <c r="K10" s="20">
        <v>0.15942384417748645</v>
      </c>
      <c r="L10" s="20">
        <v>0</v>
      </c>
    </row>
    <row r="11" spans="1:14">
      <c r="A11" s="2" t="s">
        <v>287</v>
      </c>
      <c r="B11" s="3" t="s">
        <v>333</v>
      </c>
      <c r="D11" s="20">
        <v>2.4910162873529072E-4</v>
      </c>
      <c r="E11" s="20">
        <v>0.98941708617147828</v>
      </c>
      <c r="F11" s="20">
        <v>0</v>
      </c>
      <c r="G11" s="20">
        <v>0</v>
      </c>
      <c r="H11" s="20">
        <v>0</v>
      </c>
      <c r="I11" s="20">
        <v>0.98941708617147828</v>
      </c>
      <c r="J11" s="20">
        <v>1.7278039423506159E-3</v>
      </c>
      <c r="K11" s="20">
        <v>8.6060082574357568E-3</v>
      </c>
      <c r="L11" s="20">
        <v>0</v>
      </c>
    </row>
    <row r="12" spans="1:14">
      <c r="A12" s="2" t="s">
        <v>289</v>
      </c>
      <c r="B12" s="3" t="s">
        <v>334</v>
      </c>
      <c r="D12" s="20">
        <v>7.1837182799072425E-4</v>
      </c>
      <c r="E12" s="20">
        <v>0.99003860882175487</v>
      </c>
      <c r="F12" s="20">
        <v>0</v>
      </c>
      <c r="G12" s="20">
        <v>0</v>
      </c>
      <c r="H12" s="20">
        <v>0</v>
      </c>
      <c r="I12" s="20">
        <v>0.99003860882175487</v>
      </c>
      <c r="J12" s="20">
        <v>1.5468523350816894E-3</v>
      </c>
      <c r="K12" s="20">
        <v>7.6961670151729179E-3</v>
      </c>
      <c r="L12" s="20">
        <v>0</v>
      </c>
    </row>
    <row r="13" spans="1:14">
      <c r="A13" s="2" t="s">
        <v>291</v>
      </c>
      <c r="B13" s="3" t="s">
        <v>335</v>
      </c>
      <c r="D13" s="20">
        <v>8.2412163123091879E-8</v>
      </c>
      <c r="E13" s="20">
        <v>6.928419131160898E-3</v>
      </c>
      <c r="F13" s="20">
        <v>0</v>
      </c>
      <c r="G13" s="20">
        <v>0</v>
      </c>
      <c r="H13" s="20">
        <v>0</v>
      </c>
      <c r="I13" s="20">
        <v>6.928419131160898E-3</v>
      </c>
      <c r="J13" s="20">
        <v>0.14540669971560813</v>
      </c>
      <c r="K13" s="20">
        <v>0.55286169993729417</v>
      </c>
      <c r="L13" s="20">
        <v>0.29480309880377376</v>
      </c>
    </row>
    <row r="14" spans="1:14">
      <c r="A14" s="2" t="s">
        <v>293</v>
      </c>
      <c r="B14" s="3" t="s">
        <v>336</v>
      </c>
      <c r="D14" s="20">
        <v>2.4018367397016221E-3</v>
      </c>
      <c r="E14" s="20">
        <v>0.99720930545023534</v>
      </c>
      <c r="F14" s="20">
        <v>0</v>
      </c>
      <c r="G14" s="20">
        <v>0</v>
      </c>
      <c r="H14" s="20">
        <v>0</v>
      </c>
      <c r="I14" s="20">
        <v>0.99720930545023534</v>
      </c>
      <c r="J14" s="20">
        <v>1.1648191210329145E-4</v>
      </c>
      <c r="K14" s="20">
        <v>2.7237589795970463E-4</v>
      </c>
      <c r="L14" s="20">
        <v>0</v>
      </c>
    </row>
    <row r="15" spans="1:14">
      <c r="A15" s="2" t="s">
        <v>295</v>
      </c>
      <c r="B15" s="3" t="s">
        <v>337</v>
      </c>
      <c r="D15" s="20">
        <v>1.879267405813664E-4</v>
      </c>
      <c r="E15" s="20">
        <v>0.73031701689140105</v>
      </c>
      <c r="F15" s="20">
        <v>0</v>
      </c>
      <c r="G15" s="20">
        <v>0</v>
      </c>
      <c r="H15" s="20">
        <v>0</v>
      </c>
      <c r="I15" s="20">
        <v>0.73031701689140105</v>
      </c>
      <c r="J15" s="20">
        <v>4.8178566960740909E-2</v>
      </c>
      <c r="K15" s="20">
        <v>0.22131648940727675</v>
      </c>
      <c r="L15" s="20">
        <v>0</v>
      </c>
    </row>
    <row r="16" spans="1:14">
      <c r="A16" s="2" t="s">
        <v>297</v>
      </c>
      <c r="B16" s="3" t="s">
        <v>338</v>
      </c>
      <c r="D16" s="20">
        <v>4.6875068443771734E-3</v>
      </c>
      <c r="E16" s="20">
        <v>0.99468313299893207</v>
      </c>
      <c r="F16" s="20">
        <v>0</v>
      </c>
      <c r="G16" s="20">
        <v>0</v>
      </c>
      <c r="H16" s="20">
        <v>0</v>
      </c>
      <c r="I16" s="20">
        <v>0.99468313299893207</v>
      </c>
      <c r="J16" s="20">
        <v>1.5285554720266938E-4</v>
      </c>
      <c r="K16" s="20">
        <v>4.7650460948815915E-4</v>
      </c>
      <c r="L16" s="20">
        <v>0</v>
      </c>
    </row>
    <row r="17" spans="1:12">
      <c r="A17" s="2" t="s">
        <v>299</v>
      </c>
      <c r="B17" s="3" t="s">
        <v>339</v>
      </c>
      <c r="D17" s="20">
        <v>3.1224890848323373E-3</v>
      </c>
      <c r="E17" s="20">
        <v>0.962335620517348</v>
      </c>
      <c r="F17" s="20">
        <v>0</v>
      </c>
      <c r="G17" s="20">
        <v>0</v>
      </c>
      <c r="H17" s="20">
        <v>0</v>
      </c>
      <c r="I17" s="20">
        <v>0.962335620517348</v>
      </c>
      <c r="J17" s="20">
        <v>6.6182188681901495E-3</v>
      </c>
      <c r="K17" s="20">
        <v>2.7923671529629664E-2</v>
      </c>
      <c r="L17" s="20">
        <v>0</v>
      </c>
    </row>
    <row r="18" spans="1:12">
      <c r="A18" s="2" t="s">
        <v>301</v>
      </c>
      <c r="B18" s="3" t="s">
        <v>340</v>
      </c>
      <c r="D18" s="20">
        <v>1.3229282516313385E-2</v>
      </c>
      <c r="E18" s="20">
        <v>0.98664093445682055</v>
      </c>
      <c r="F18" s="20">
        <v>0</v>
      </c>
      <c r="G18" s="20">
        <v>0</v>
      </c>
      <c r="H18" s="20">
        <v>0</v>
      </c>
      <c r="I18" s="20">
        <v>0.98664093445682055</v>
      </c>
      <c r="J18" s="20">
        <v>7.753601196356913E-5</v>
      </c>
      <c r="K18" s="20">
        <v>5.2247014902653394E-5</v>
      </c>
      <c r="L18" s="20">
        <v>0</v>
      </c>
    </row>
    <row r="19" spans="1:12">
      <c r="A19" s="2" t="s">
        <v>303</v>
      </c>
      <c r="B19" s="3" t="s">
        <v>341</v>
      </c>
      <c r="D19" s="20">
        <v>2.8107634687494255E-3</v>
      </c>
      <c r="E19" s="20">
        <v>0.35493362052558408</v>
      </c>
      <c r="F19" s="20">
        <v>0</v>
      </c>
      <c r="G19" s="20">
        <v>0</v>
      </c>
      <c r="H19" s="20">
        <v>0</v>
      </c>
      <c r="I19" s="20">
        <v>0.35493362052558408</v>
      </c>
      <c r="J19" s="20">
        <v>1.1673057371157406E-2</v>
      </c>
      <c r="K19" s="20">
        <v>5.4808698799625341E-2</v>
      </c>
      <c r="L19" s="20">
        <v>0.57577385983488372</v>
      </c>
    </row>
    <row r="20" spans="1:12">
      <c r="A20" s="2" t="s">
        <v>305</v>
      </c>
      <c r="B20" s="3" t="s">
        <v>342</v>
      </c>
      <c r="D20" s="20">
        <v>1.7295654557371053E-2</v>
      </c>
      <c r="E20" s="20">
        <v>0.98088894830991991</v>
      </c>
      <c r="F20" s="20">
        <v>0</v>
      </c>
      <c r="G20" s="20">
        <v>0</v>
      </c>
      <c r="H20" s="20">
        <v>0</v>
      </c>
      <c r="I20" s="20">
        <v>0.98088894830991991</v>
      </c>
      <c r="J20" s="20">
        <v>3.3709843635704862E-4</v>
      </c>
      <c r="K20" s="20">
        <v>1.478298696352062E-3</v>
      </c>
      <c r="L20" s="20">
        <v>0</v>
      </c>
    </row>
    <row r="21" spans="1:12">
      <c r="A21" s="2" t="s">
        <v>307</v>
      </c>
      <c r="B21" s="3" t="s">
        <v>343</v>
      </c>
      <c r="D21" s="20">
        <v>9.4232905568638876E-4</v>
      </c>
      <c r="E21" s="20">
        <v>0.98108225597892762</v>
      </c>
      <c r="F21" s="20">
        <v>0</v>
      </c>
      <c r="G21" s="20">
        <v>0</v>
      </c>
      <c r="H21" s="20">
        <v>0</v>
      </c>
      <c r="I21" s="20">
        <v>0.98108225597892762</v>
      </c>
      <c r="J21" s="20">
        <v>3.0086556874468397E-3</v>
      </c>
      <c r="K21" s="20">
        <v>1.4966759277939329E-2</v>
      </c>
      <c r="L21" s="20">
        <v>0</v>
      </c>
    </row>
    <row r="22" spans="1:12">
      <c r="A22" s="2" t="s">
        <v>309</v>
      </c>
      <c r="B22" s="3" t="s">
        <v>344</v>
      </c>
      <c r="D22" s="20">
        <v>5.7694361071547928E-4</v>
      </c>
      <c r="E22" s="20">
        <v>1.4684400028196489E-2</v>
      </c>
      <c r="F22" s="20">
        <v>0</v>
      </c>
      <c r="G22" s="20">
        <v>0</v>
      </c>
      <c r="H22" s="20">
        <v>0</v>
      </c>
      <c r="I22" s="20">
        <v>1.4684400028196489E-2</v>
      </c>
      <c r="J22" s="20">
        <v>0.20282542995081443</v>
      </c>
      <c r="K22" s="20">
        <v>0.7819132264102735</v>
      </c>
      <c r="L22" s="20">
        <v>0</v>
      </c>
    </row>
    <row r="23" spans="1:12">
      <c r="A23" s="2" t="s">
        <v>311</v>
      </c>
      <c r="B23" s="3" t="s">
        <v>345</v>
      </c>
      <c r="D23" s="20">
        <v>0.14396071179868558</v>
      </c>
      <c r="E23" s="20">
        <v>0.79815423812435315</v>
      </c>
      <c r="F23" s="20">
        <v>0</v>
      </c>
      <c r="G23" s="20">
        <v>0</v>
      </c>
      <c r="H23" s="20">
        <v>0</v>
      </c>
      <c r="I23" s="20">
        <v>0.79815423812435315</v>
      </c>
      <c r="J23" s="20">
        <v>9.9261541432146758E-3</v>
      </c>
      <c r="K23" s="20">
        <v>4.7958895933746623E-2</v>
      </c>
      <c r="L23" s="20">
        <v>0</v>
      </c>
    </row>
    <row r="24" spans="1:12">
      <c r="A24" s="2" t="s">
        <v>313</v>
      </c>
      <c r="B24" s="3" t="s">
        <v>346</v>
      </c>
      <c r="D24" s="20">
        <v>0.83734416174366222</v>
      </c>
      <c r="E24" s="20">
        <v>0.12095026809758506</v>
      </c>
      <c r="F24" s="20">
        <v>0</v>
      </c>
      <c r="G24" s="20">
        <v>0</v>
      </c>
      <c r="H24" s="20">
        <v>0</v>
      </c>
      <c r="I24" s="20">
        <v>0.12095026809758506</v>
      </c>
      <c r="J24" s="20">
        <v>7.4422702314528907E-3</v>
      </c>
      <c r="K24" s="20">
        <v>3.4263299927299956E-2</v>
      </c>
      <c r="L24" s="20">
        <v>0</v>
      </c>
    </row>
    <row r="25" spans="1:12">
      <c r="A25" s="2" t="s">
        <v>315</v>
      </c>
      <c r="B25" s="3" t="s">
        <v>347</v>
      </c>
      <c r="D25" s="20">
        <v>0.81591358948975024</v>
      </c>
      <c r="E25" s="20">
        <v>0.16776718031328908</v>
      </c>
      <c r="F25" s="20">
        <v>0</v>
      </c>
      <c r="G25" s="20">
        <v>0</v>
      </c>
      <c r="H25" s="20">
        <v>0</v>
      </c>
      <c r="I25" s="20">
        <v>0.16776718031328908</v>
      </c>
      <c r="J25" s="20">
        <v>2.8181238585427188E-3</v>
      </c>
      <c r="K25" s="20">
        <v>1.3501106338417817E-2</v>
      </c>
      <c r="L25" s="20">
        <v>0</v>
      </c>
    </row>
    <row r="26" spans="1:12">
      <c r="A26" s="2" t="s">
        <v>317</v>
      </c>
      <c r="B26" s="3" t="s">
        <v>348</v>
      </c>
      <c r="D26" s="20">
        <v>0.7440822660993609</v>
      </c>
      <c r="E26" s="20">
        <v>0.25571946829211167</v>
      </c>
      <c r="F26" s="20">
        <v>0</v>
      </c>
      <c r="G26" s="20">
        <v>0</v>
      </c>
      <c r="H26" s="20">
        <v>0</v>
      </c>
      <c r="I26" s="20">
        <v>0.25571946829211167</v>
      </c>
      <c r="J26" s="20">
        <v>4.4893585779382369E-5</v>
      </c>
      <c r="K26" s="20">
        <v>1.5337202274806158E-4</v>
      </c>
      <c r="L26" s="20">
        <v>0</v>
      </c>
    </row>
    <row r="27" spans="1:12">
      <c r="A27" s="2" t="s">
        <v>319</v>
      </c>
      <c r="B27" s="3" t="s">
        <v>349</v>
      </c>
      <c r="D27" s="20">
        <v>0.92780849784229802</v>
      </c>
      <c r="E27" s="20">
        <v>6.617610238490082E-2</v>
      </c>
      <c r="F27" s="20">
        <v>0</v>
      </c>
      <c r="G27" s="20">
        <v>0</v>
      </c>
      <c r="H27" s="20">
        <v>0</v>
      </c>
      <c r="I27" s="20">
        <v>6.617610238490082E-2</v>
      </c>
      <c r="J27" s="20">
        <v>1.037071425859695E-3</v>
      </c>
      <c r="K27" s="20">
        <v>4.9783283469414883E-3</v>
      </c>
      <c r="L27" s="20">
        <v>0</v>
      </c>
    </row>
    <row r="28" spans="1:12">
      <c r="A28" s="2" t="s">
        <v>321</v>
      </c>
      <c r="B28" s="3" t="s">
        <v>350</v>
      </c>
      <c r="D28" s="20">
        <v>0.99747377787176283</v>
      </c>
      <c r="E28" s="20">
        <v>2.4217222183935318E-3</v>
      </c>
      <c r="F28" s="20">
        <v>0</v>
      </c>
      <c r="G28" s="20">
        <v>0</v>
      </c>
      <c r="H28" s="20">
        <v>0</v>
      </c>
      <c r="I28" s="20">
        <v>2.4217222183935318E-3</v>
      </c>
      <c r="J28" s="20">
        <v>1.7718504500821099E-5</v>
      </c>
      <c r="K28" s="20">
        <v>8.6781405342958886E-5</v>
      </c>
      <c r="L28" s="20">
        <v>0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8"/>
  <sheetViews>
    <sheetView workbookViewId="0">
      <pane ySplit="1" topLeftCell="A2" activePane="bottomLeft" state="frozen"/>
      <selection pane="bottomLeft" activeCell="K28" sqref="K2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216</v>
      </c>
    </row>
    <row r="2" spans="1:23">
      <c r="A2" s="2" t="s">
        <v>269</v>
      </c>
      <c r="B2" s="3" t="s">
        <v>324</v>
      </c>
      <c r="D2" s="14">
        <v>1.8056273676954645E-7</v>
      </c>
      <c r="E2" s="14">
        <v>6.960027689804681E-4</v>
      </c>
      <c r="F2" s="14">
        <v>0</v>
      </c>
      <c r="G2" s="14">
        <v>0</v>
      </c>
      <c r="H2" s="14">
        <v>0</v>
      </c>
      <c r="I2" s="14">
        <v>1.8074608533372424E-4</v>
      </c>
      <c r="J2" s="14">
        <v>7.9424286115007087E-4</v>
      </c>
      <c r="K2" s="14">
        <v>0</v>
      </c>
      <c r="L2" s="21"/>
      <c r="M2" s="99"/>
    </row>
    <row r="3" spans="1:23">
      <c r="A3" s="2" t="s">
        <v>271</v>
      </c>
      <c r="B3" s="3" t="s">
        <v>325</v>
      </c>
      <c r="D3" s="14">
        <v>2.5049667833611489E-15</v>
      </c>
      <c r="E3" s="14">
        <v>1.392442228712996E-6</v>
      </c>
      <c r="F3" s="14">
        <v>0</v>
      </c>
      <c r="G3" s="14">
        <v>0</v>
      </c>
      <c r="H3" s="14">
        <v>0</v>
      </c>
      <c r="I3" s="14">
        <v>2.8300081812097868E-5</v>
      </c>
      <c r="J3" s="14">
        <v>6.8611727615568421E-5</v>
      </c>
      <c r="K3" s="14">
        <v>0</v>
      </c>
      <c r="L3" s="21"/>
      <c r="M3" s="99"/>
    </row>
    <row r="4" spans="1:23">
      <c r="A4" s="2" t="s">
        <v>273</v>
      </c>
      <c r="B4" s="3" t="s">
        <v>326</v>
      </c>
      <c r="D4" s="14">
        <v>1.2670867832399865E-7</v>
      </c>
      <c r="E4" s="14">
        <v>28.071258582951923</v>
      </c>
      <c r="F4" s="14">
        <v>0</v>
      </c>
      <c r="G4" s="14">
        <v>0</v>
      </c>
      <c r="H4" s="14">
        <v>0</v>
      </c>
      <c r="I4" s="14">
        <v>2.1036161939513623E-3</v>
      </c>
      <c r="J4" s="14">
        <v>7.8803459858969036E-4</v>
      </c>
      <c r="K4" s="14">
        <v>0</v>
      </c>
      <c r="L4" s="21"/>
    </row>
    <row r="5" spans="1:23">
      <c r="A5" s="2" t="s">
        <v>275</v>
      </c>
      <c r="B5" s="3" t="s">
        <v>327</v>
      </c>
      <c r="D5" s="14">
        <v>3.215957036932382</v>
      </c>
      <c r="E5" s="14">
        <v>194.34486805250185</v>
      </c>
      <c r="F5" s="14">
        <v>0</v>
      </c>
      <c r="G5" s="14">
        <v>0</v>
      </c>
      <c r="H5" s="14">
        <v>0</v>
      </c>
      <c r="I5" s="14">
        <v>1.3663311653339814E-2</v>
      </c>
      <c r="J5" s="14">
        <v>4.0460889814105273E-4</v>
      </c>
      <c r="K5" s="14">
        <v>0</v>
      </c>
      <c r="L5" s="21"/>
    </row>
    <row r="6" spans="1:23">
      <c r="A6" s="2" t="s">
        <v>277</v>
      </c>
      <c r="B6" s="3" t="s">
        <v>328</v>
      </c>
      <c r="D6" s="14">
        <v>4.8158847663318645E-10</v>
      </c>
      <c r="E6" s="14">
        <v>7.8011553317639273E-2</v>
      </c>
      <c r="F6" s="14">
        <v>0</v>
      </c>
      <c r="G6" s="14">
        <v>0</v>
      </c>
      <c r="H6" s="14">
        <v>0</v>
      </c>
      <c r="I6" s="14">
        <v>1.1404690785196878E-4</v>
      </c>
      <c r="J6" s="14">
        <v>5.6689323965152883E-4</v>
      </c>
      <c r="K6" s="14">
        <v>0</v>
      </c>
      <c r="L6" s="21"/>
      <c r="M6" s="12"/>
    </row>
    <row r="7" spans="1:23">
      <c r="A7" s="2" t="s">
        <v>279</v>
      </c>
      <c r="B7" s="3" t="s">
        <v>329</v>
      </c>
      <c r="D7" s="14">
        <v>2.594664282859091E-10</v>
      </c>
      <c r="E7" s="14">
        <v>1.4412175345119804E-4</v>
      </c>
      <c r="F7" s="14">
        <v>0</v>
      </c>
      <c r="G7" s="14">
        <v>0</v>
      </c>
      <c r="H7" s="14">
        <v>0</v>
      </c>
      <c r="I7" s="14">
        <v>3.8698869558311657E-6</v>
      </c>
      <c r="J7" s="14">
        <v>2.2146341107708235E-6</v>
      </c>
      <c r="K7" s="14">
        <v>0</v>
      </c>
      <c r="L7" s="21"/>
      <c r="M7" s="12"/>
    </row>
    <row r="8" spans="1:23">
      <c r="A8" s="2" t="s">
        <v>281</v>
      </c>
      <c r="B8" s="3" t="s">
        <v>330</v>
      </c>
      <c r="D8" s="14">
        <v>8.9725347572123767E-11</v>
      </c>
      <c r="E8" s="14">
        <v>8.2557321919214891E-3</v>
      </c>
      <c r="F8" s="14">
        <v>0</v>
      </c>
      <c r="G8" s="14">
        <v>0</v>
      </c>
      <c r="H8" s="14">
        <v>0</v>
      </c>
      <c r="I8" s="14">
        <v>6.3972282314236303E-7</v>
      </c>
      <c r="J8" s="14">
        <v>1.0396399111248997E-8</v>
      </c>
      <c r="K8" s="14">
        <v>0</v>
      </c>
      <c r="L8" s="21"/>
      <c r="M8" s="12"/>
    </row>
    <row r="9" spans="1:23">
      <c r="A9" s="2" t="s">
        <v>283</v>
      </c>
      <c r="B9" s="3" t="s">
        <v>331</v>
      </c>
      <c r="D9" s="14">
        <v>2.8811113570951462E-2</v>
      </c>
      <c r="E9" s="14">
        <v>1.3953491210538584</v>
      </c>
      <c r="F9" s="14">
        <v>0</v>
      </c>
      <c r="G9" s="14">
        <v>0</v>
      </c>
      <c r="H9" s="14">
        <v>0</v>
      </c>
      <c r="I9" s="14">
        <v>3.1630907081080549E-4</v>
      </c>
      <c r="J9" s="14">
        <v>1.2262675493589614E-3</v>
      </c>
      <c r="K9" s="14">
        <v>0</v>
      </c>
      <c r="L9" s="21"/>
      <c r="M9" s="12"/>
    </row>
    <row r="10" spans="1:23">
      <c r="A10" s="2" t="s">
        <v>285</v>
      </c>
      <c r="B10" s="3" t="s">
        <v>332</v>
      </c>
      <c r="D10" s="14">
        <v>3.6041004178481401E-7</v>
      </c>
      <c r="E10" s="14">
        <v>4.6500724730337787E-3</v>
      </c>
      <c r="F10" s="14">
        <v>0</v>
      </c>
      <c r="G10" s="14">
        <v>0</v>
      </c>
      <c r="H10" s="14">
        <v>0</v>
      </c>
      <c r="I10" s="14">
        <v>1.9738016801205247E-4</v>
      </c>
      <c r="J10" s="14">
        <v>9.1943720637891249E-4</v>
      </c>
      <c r="K10" s="14">
        <v>0</v>
      </c>
      <c r="L10" s="21"/>
      <c r="M10" s="12"/>
    </row>
    <row r="11" spans="1:23">
      <c r="A11" s="2" t="s">
        <v>287</v>
      </c>
      <c r="B11" s="3" t="s">
        <v>333</v>
      </c>
      <c r="D11" s="14">
        <v>1.5470758220283585E-4</v>
      </c>
      <c r="E11" s="14">
        <v>0.61448945945843392</v>
      </c>
      <c r="F11" s="14">
        <v>0</v>
      </c>
      <c r="G11" s="14">
        <v>0</v>
      </c>
      <c r="H11" s="14">
        <v>0</v>
      </c>
      <c r="I11" s="14">
        <v>1.0730735555552881E-3</v>
      </c>
      <c r="J11" s="14">
        <v>5.3448656144290483E-3</v>
      </c>
      <c r="K11" s="14">
        <v>0</v>
      </c>
      <c r="L11" s="21"/>
      <c r="M11" s="12"/>
    </row>
    <row r="12" spans="1:23">
      <c r="A12" s="2" t="s">
        <v>289</v>
      </c>
      <c r="B12" s="3" t="s">
        <v>334</v>
      </c>
      <c r="D12" s="14">
        <v>1.3406628205114604E-4</v>
      </c>
      <c r="E12" s="14">
        <v>0.18476614783609732</v>
      </c>
      <c r="F12" s="14">
        <v>0</v>
      </c>
      <c r="G12" s="14">
        <v>0</v>
      </c>
      <c r="H12" s="14">
        <v>0</v>
      </c>
      <c r="I12" s="14">
        <v>2.8868161774463875E-4</v>
      </c>
      <c r="J12" s="14">
        <v>1.436298665351089E-3</v>
      </c>
      <c r="K12" s="14">
        <v>0</v>
      </c>
      <c r="L12" s="21"/>
      <c r="M12" s="12"/>
    </row>
    <row r="13" spans="1:23">
      <c r="A13" s="2" t="s">
        <v>291</v>
      </c>
      <c r="B13" s="3" t="s">
        <v>335</v>
      </c>
      <c r="D13" s="14">
        <v>3.7910016259025135E-9</v>
      </c>
      <c r="E13" s="14">
        <v>3.1871082126474869E-4</v>
      </c>
      <c r="F13" s="14">
        <v>0</v>
      </c>
      <c r="G13" s="14">
        <v>0</v>
      </c>
      <c r="H13" s="14">
        <v>0</v>
      </c>
      <c r="I13" s="14">
        <v>6.6887825067236031E-3</v>
      </c>
      <c r="J13" s="14">
        <v>2.5431920774013017E-2</v>
      </c>
      <c r="K13" s="14">
        <v>1.3561093223787188E-2</v>
      </c>
      <c r="L13" s="21"/>
      <c r="M13" s="12"/>
    </row>
    <row r="14" spans="1:23">
      <c r="A14" s="2" t="s">
        <v>293</v>
      </c>
      <c r="B14" s="3" t="s">
        <v>336</v>
      </c>
      <c r="D14" s="14">
        <v>2.2816159104104346E-2</v>
      </c>
      <c r="E14" s="14">
        <v>9.4729528436110435</v>
      </c>
      <c r="F14" s="14">
        <v>0</v>
      </c>
      <c r="G14" s="14">
        <v>0</v>
      </c>
      <c r="H14" s="14">
        <v>0</v>
      </c>
      <c r="I14" s="14">
        <v>1.106515607563383E-3</v>
      </c>
      <c r="J14" s="14">
        <v>2.5874247492541653E-3</v>
      </c>
      <c r="K14" s="14">
        <v>0</v>
      </c>
      <c r="L14" s="21"/>
      <c r="M14" s="12"/>
    </row>
    <row r="15" spans="1:23">
      <c r="A15" s="2" t="s">
        <v>295</v>
      </c>
      <c r="B15" s="3" t="s">
        <v>337</v>
      </c>
      <c r="D15" s="14">
        <v>3.4243210747333539E-6</v>
      </c>
      <c r="E15" s="14">
        <v>1.3307525817992005E-2</v>
      </c>
      <c r="F15" s="14">
        <v>0</v>
      </c>
      <c r="G15" s="14">
        <v>0</v>
      </c>
      <c r="H15" s="14">
        <v>0</v>
      </c>
      <c r="I15" s="14">
        <v>8.7788933966364646E-4</v>
      </c>
      <c r="J15" s="14">
        <v>4.0327348652929446E-3</v>
      </c>
      <c r="K15" s="14">
        <v>0</v>
      </c>
      <c r="L15" s="21"/>
      <c r="M15" s="12"/>
    </row>
    <row r="16" spans="1:23">
      <c r="A16" s="2" t="s">
        <v>297</v>
      </c>
      <c r="B16" s="3" t="s">
        <v>338</v>
      </c>
      <c r="D16" s="14">
        <v>1.7939945186581225E-2</v>
      </c>
      <c r="E16" s="14">
        <v>3.8068340967699901</v>
      </c>
      <c r="F16" s="14">
        <v>0</v>
      </c>
      <c r="G16" s="14">
        <v>0</v>
      </c>
      <c r="H16" s="14">
        <v>0</v>
      </c>
      <c r="I16" s="14">
        <v>5.8500610864603976E-4</v>
      </c>
      <c r="J16" s="14">
        <v>1.8236702066099484E-3</v>
      </c>
      <c r="K16" s="14">
        <v>0</v>
      </c>
      <c r="L16" s="21"/>
      <c r="M16" s="12"/>
      <c r="U16" s="22"/>
      <c r="W16" s="22"/>
    </row>
    <row r="17" spans="1:13">
      <c r="A17" s="2" t="s">
        <v>299</v>
      </c>
      <c r="B17" s="3" t="s">
        <v>339</v>
      </c>
      <c r="D17" s="14">
        <v>6.3240285262427081E-5</v>
      </c>
      <c r="E17" s="14">
        <v>1.9490341681364008E-2</v>
      </c>
      <c r="F17" s="14">
        <v>0</v>
      </c>
      <c r="G17" s="14">
        <v>0</v>
      </c>
      <c r="H17" s="14">
        <v>0</v>
      </c>
      <c r="I17" s="14">
        <v>1.3403987581144607E-4</v>
      </c>
      <c r="J17" s="14">
        <v>5.6554271452414497E-4</v>
      </c>
      <c r="K17" s="14">
        <v>0</v>
      </c>
      <c r="L17" s="21"/>
      <c r="M17" s="12"/>
    </row>
    <row r="18" spans="1:13">
      <c r="A18" s="2" t="s">
        <v>301</v>
      </c>
      <c r="B18" s="3" t="s">
        <v>340</v>
      </c>
      <c r="D18" s="14">
        <v>0.37993770751670419</v>
      </c>
      <c r="E18" s="14">
        <v>28.335784220906206</v>
      </c>
      <c r="F18" s="14">
        <v>0</v>
      </c>
      <c r="G18" s="14">
        <v>0</v>
      </c>
      <c r="H18" s="14">
        <v>0</v>
      </c>
      <c r="I18" s="14">
        <v>2.2267915587334155E-3</v>
      </c>
      <c r="J18" s="14">
        <v>1.5005054916793019E-3</v>
      </c>
      <c r="K18" s="14">
        <v>0</v>
      </c>
      <c r="L18" s="21"/>
      <c r="M18" s="12"/>
    </row>
    <row r="19" spans="1:13">
      <c r="A19" s="2" t="s">
        <v>303</v>
      </c>
      <c r="B19" s="3" t="s">
        <v>341</v>
      </c>
      <c r="D19" s="14">
        <v>1.875131062370662E-4</v>
      </c>
      <c r="E19" s="14">
        <v>2.3678515262023143E-2</v>
      </c>
      <c r="F19" s="14">
        <v>0</v>
      </c>
      <c r="G19" s="14">
        <v>0</v>
      </c>
      <c r="H19" s="14">
        <v>0</v>
      </c>
      <c r="I19" s="14">
        <v>7.7873904057927656E-4</v>
      </c>
      <c r="J19" s="14">
        <v>3.6564262610479072E-3</v>
      </c>
      <c r="K19" s="14">
        <v>3.841132352406032E-2</v>
      </c>
      <c r="L19" s="21"/>
      <c r="M19" s="12"/>
    </row>
    <row r="20" spans="1:13">
      <c r="A20" s="2" t="s">
        <v>305</v>
      </c>
      <c r="B20" s="3" t="s">
        <v>342</v>
      </c>
      <c r="D20" s="14">
        <v>5.2209643794452171E-2</v>
      </c>
      <c r="E20" s="14">
        <v>2.9609670118758404</v>
      </c>
      <c r="F20" s="14">
        <v>0</v>
      </c>
      <c r="G20" s="14">
        <v>0</v>
      </c>
      <c r="H20" s="14">
        <v>0</v>
      </c>
      <c r="I20" s="14">
        <v>1.0175844590031803E-3</v>
      </c>
      <c r="J20" s="14">
        <v>4.462476288614993E-3</v>
      </c>
      <c r="K20" s="14">
        <v>0</v>
      </c>
      <c r="L20" s="21"/>
      <c r="M20" s="12"/>
    </row>
    <row r="21" spans="1:13">
      <c r="A21" s="2" t="s">
        <v>307</v>
      </c>
      <c r="B21" s="3" t="s">
        <v>343</v>
      </c>
      <c r="D21" s="14">
        <v>9.0161113352710037E-5</v>
      </c>
      <c r="E21" s="14">
        <v>9.3868981281934424E-2</v>
      </c>
      <c r="F21" s="14">
        <v>0</v>
      </c>
      <c r="G21" s="14">
        <v>0</v>
      </c>
      <c r="H21" s="14">
        <v>0</v>
      </c>
      <c r="I21" s="14">
        <v>2.8786520466312358E-4</v>
      </c>
      <c r="J21" s="14">
        <v>1.432004745728763E-3</v>
      </c>
      <c r="K21" s="14">
        <v>0</v>
      </c>
      <c r="L21" s="21"/>
      <c r="M21" s="12"/>
    </row>
    <row r="22" spans="1:13">
      <c r="A22" s="2" t="s">
        <v>309</v>
      </c>
      <c r="B22" s="3" t="s">
        <v>344</v>
      </c>
      <c r="D22" s="14">
        <v>2.7685383204855908E-6</v>
      </c>
      <c r="E22" s="14">
        <v>7.0464987281834067E-5</v>
      </c>
      <c r="F22" s="14">
        <v>0</v>
      </c>
      <c r="G22" s="14">
        <v>0</v>
      </c>
      <c r="H22" s="14">
        <v>0</v>
      </c>
      <c r="I22" s="14">
        <v>9.7328398262601628E-4</v>
      </c>
      <c r="J22" s="14">
        <v>3.7521114549250493E-3</v>
      </c>
      <c r="K22" s="14">
        <v>0</v>
      </c>
      <c r="L22" s="21"/>
      <c r="M22" s="12"/>
    </row>
    <row r="23" spans="1:13">
      <c r="A23" s="2" t="s">
        <v>311</v>
      </c>
      <c r="B23" s="3" t="s">
        <v>345</v>
      </c>
      <c r="D23" s="14">
        <v>6.3109141989751413E-2</v>
      </c>
      <c r="E23" s="14">
        <v>0.34989288753969311</v>
      </c>
      <c r="F23" s="14">
        <v>0</v>
      </c>
      <c r="G23" s="14">
        <v>0</v>
      </c>
      <c r="H23" s="14">
        <v>0</v>
      </c>
      <c r="I23" s="14">
        <v>4.351402986339039E-3</v>
      </c>
      <c r="J23" s="14">
        <v>2.1024102585620597E-2</v>
      </c>
      <c r="K23" s="14">
        <v>0</v>
      </c>
      <c r="L23" s="21"/>
    </row>
    <row r="24" spans="1:13">
      <c r="A24" s="2" t="s">
        <v>313</v>
      </c>
      <c r="B24" s="3" t="s">
        <v>346</v>
      </c>
      <c r="D24" s="14">
        <v>0.13102244734721766</v>
      </c>
      <c r="E24" s="14">
        <v>1.8925551592129011E-2</v>
      </c>
      <c r="F24" s="14">
        <v>0</v>
      </c>
      <c r="G24" s="14">
        <v>0</v>
      </c>
      <c r="H24" s="14">
        <v>0</v>
      </c>
      <c r="I24" s="14">
        <v>1.1645205210648049E-3</v>
      </c>
      <c r="J24" s="14">
        <v>5.3613097406904611E-3</v>
      </c>
      <c r="K24" s="14">
        <v>0</v>
      </c>
      <c r="L24" s="21"/>
    </row>
    <row r="25" spans="1:13">
      <c r="A25" s="2" t="s">
        <v>315</v>
      </c>
      <c r="B25" s="3" t="s">
        <v>347</v>
      </c>
      <c r="D25" s="14">
        <v>0.29861327288808553</v>
      </c>
      <c r="E25" s="14">
        <v>6.140050544799288E-2</v>
      </c>
      <c r="F25" s="14">
        <v>0</v>
      </c>
      <c r="G25" s="14">
        <v>0</v>
      </c>
      <c r="H25" s="14">
        <v>0</v>
      </c>
      <c r="I25" s="14">
        <v>1.0313949904054306E-3</v>
      </c>
      <c r="J25" s="14">
        <v>4.9412212313393105E-3</v>
      </c>
      <c r="K25" s="14">
        <v>0</v>
      </c>
      <c r="L25" s="21"/>
    </row>
    <row r="26" spans="1:13">
      <c r="A26" s="2" t="s">
        <v>317</v>
      </c>
      <c r="B26" s="3" t="s">
        <v>348</v>
      </c>
      <c r="D26" s="14">
        <v>26.275131139763065</v>
      </c>
      <c r="E26" s="14">
        <v>9.0299995988192094</v>
      </c>
      <c r="F26" s="14">
        <v>0</v>
      </c>
      <c r="G26" s="14">
        <v>0</v>
      </c>
      <c r="H26" s="14">
        <v>0</v>
      </c>
      <c r="I26" s="14">
        <v>1.5852882233991562E-3</v>
      </c>
      <c r="J26" s="14">
        <v>5.4158931001023394E-3</v>
      </c>
      <c r="K26" s="14">
        <v>0</v>
      </c>
    </row>
    <row r="27" spans="1:13">
      <c r="A27" s="2" t="s">
        <v>319</v>
      </c>
      <c r="B27" s="3" t="s">
        <v>349</v>
      </c>
      <c r="D27" s="14">
        <v>0.36261755524837697</v>
      </c>
      <c r="E27" s="14">
        <v>2.586376016008186E-2</v>
      </c>
      <c r="F27" s="14">
        <v>0</v>
      </c>
      <c r="G27" s="14">
        <v>0</v>
      </c>
      <c r="H27" s="14">
        <v>0</v>
      </c>
      <c r="I27" s="14">
        <v>4.0532103978111118E-4</v>
      </c>
      <c r="J27" s="14">
        <v>1.9456916579119927E-3</v>
      </c>
      <c r="K27" s="14">
        <v>0</v>
      </c>
    </row>
    <row r="28" spans="1:13">
      <c r="A28" s="2" t="s">
        <v>321</v>
      </c>
      <c r="B28" s="3" t="s">
        <v>350</v>
      </c>
      <c r="D28" s="14">
        <v>1.9949475557435254</v>
      </c>
      <c r="E28" s="14">
        <v>4.8434444367870637E-3</v>
      </c>
      <c r="F28" s="14">
        <v>0</v>
      </c>
      <c r="G28" s="14">
        <v>0</v>
      </c>
      <c r="H28" s="14">
        <v>0</v>
      </c>
      <c r="I28" s="14">
        <v>3.5437009001642191E-5</v>
      </c>
      <c r="J28" s="14">
        <v>1.7356281068591775E-4</v>
      </c>
      <c r="K28" s="14">
        <v>0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8" sqref="R28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3" t="s">
        <v>168</v>
      </c>
      <c r="F1" s="140" t="s">
        <v>218</v>
      </c>
      <c r="G1" s="140" t="s">
        <v>211</v>
      </c>
      <c r="H1" s="140" t="s">
        <v>219</v>
      </c>
      <c r="I1" s="140" t="s">
        <v>220</v>
      </c>
      <c r="J1" s="140" t="s">
        <v>221</v>
      </c>
      <c r="K1" s="141" t="s">
        <v>224</v>
      </c>
      <c r="L1" s="141" t="s">
        <v>227</v>
      </c>
      <c r="M1" s="141" t="s">
        <v>225</v>
      </c>
      <c r="N1" s="141" t="s">
        <v>226</v>
      </c>
      <c r="O1" s="141" t="s">
        <v>267</v>
      </c>
      <c r="P1" s="141" t="s">
        <v>268</v>
      </c>
      <c r="Q1" s="37" t="s">
        <v>222</v>
      </c>
      <c r="R1" s="37" t="s">
        <v>223</v>
      </c>
      <c r="S1" s="145"/>
      <c r="T1" s="37"/>
      <c r="U1" s="146"/>
      <c r="V1" s="147"/>
    </row>
    <row r="2" spans="1:22">
      <c r="A2" s="99" t="s">
        <v>269</v>
      </c>
      <c r="B2" s="99" t="s">
        <v>324</v>
      </c>
      <c r="D2" s="100" t="s">
        <v>176</v>
      </c>
      <c r="F2" s="104">
        <v>4.7267069595846758</v>
      </c>
      <c r="G2" s="104">
        <v>-5.4310808787540283</v>
      </c>
      <c r="H2" s="104">
        <v>5.0283497888135207</v>
      </c>
      <c r="I2" s="104">
        <v>2.8556970420401164</v>
      </c>
      <c r="J2" s="104">
        <v>2.8643564720039665</v>
      </c>
      <c r="K2" s="112">
        <v>0.83558613910051627</v>
      </c>
      <c r="L2" s="112">
        <v>0.34745586305685372</v>
      </c>
      <c r="M2" s="112">
        <v>1147.5941925950744</v>
      </c>
      <c r="N2" s="112">
        <v>37147.600006996137</v>
      </c>
      <c r="O2" s="112">
        <v>249.61921540141327</v>
      </c>
      <c r="P2" s="112">
        <v>254.64634308199226</v>
      </c>
      <c r="Q2" s="108">
        <v>298.73546690245604</v>
      </c>
      <c r="R2" s="68">
        <v>304.75175588253717</v>
      </c>
    </row>
    <row r="3" spans="1:22">
      <c r="A3" s="99" t="s">
        <v>271</v>
      </c>
      <c r="B3" s="99" t="s">
        <v>325</v>
      </c>
      <c r="D3" s="100" t="s">
        <v>323</v>
      </c>
      <c r="E3" s="104">
        <v>6.2</v>
      </c>
      <c r="F3" s="104">
        <v>6.4498857761527182</v>
      </c>
      <c r="G3" s="104">
        <v>-10.590073254350131</v>
      </c>
      <c r="H3" s="104">
        <v>7.1911000160117577</v>
      </c>
      <c r="I3" s="104">
        <v>4.5453749878012708</v>
      </c>
      <c r="J3" s="104">
        <v>4.207207643636159</v>
      </c>
      <c r="K3" s="112">
        <v>4.9152125829442131E-2</v>
      </c>
      <c r="L3" s="112">
        <v>6.9758904889011676E-4</v>
      </c>
      <c r="M3" s="112">
        <v>179.68305912443091</v>
      </c>
      <c r="N3" s="112">
        <v>9708.5743864536053</v>
      </c>
      <c r="O3" s="112">
        <v>24.441180471542069</v>
      </c>
      <c r="P3" s="112">
        <v>11.219017712141955</v>
      </c>
      <c r="Q3" s="108">
        <v>497.25581669352329</v>
      </c>
      <c r="R3" s="68">
        <v>228.25091535352806</v>
      </c>
    </row>
    <row r="4" spans="1:22">
      <c r="A4" s="99" t="s">
        <v>273</v>
      </c>
      <c r="B4" s="99" t="s">
        <v>326</v>
      </c>
      <c r="D4" s="100" t="s">
        <v>353</v>
      </c>
      <c r="E4" s="104">
        <v>6.4</v>
      </c>
      <c r="F4" s="104">
        <v>-2.2751992193311064E-2</v>
      </c>
      <c r="G4" s="104">
        <v>-10.190553563912252</v>
      </c>
      <c r="H4" s="104">
        <v>0.23639847743793888</v>
      </c>
      <c r="I4" s="104">
        <v>-8.1534747780288783E-2</v>
      </c>
      <c r="J4" s="104">
        <v>-1.7889426686264986E-2</v>
      </c>
      <c r="K4" s="112">
        <v>14037.075180226571</v>
      </c>
      <c r="L4" s="112">
        <v>14021.074176264554</v>
      </c>
      <c r="M4" s="112">
        <v>13356.293294929286</v>
      </c>
      <c r="N4" s="112">
        <v>24986.037426267249</v>
      </c>
      <c r="O4" s="112">
        <v>11633.145000106773</v>
      </c>
      <c r="P4" s="112">
        <v>13469.220493104709</v>
      </c>
      <c r="Q4" s="108">
        <v>0.82874422561288896</v>
      </c>
      <c r="R4" s="68">
        <v>0.95954608208398184</v>
      </c>
      <c r="T4" s="142"/>
    </row>
    <row r="5" spans="1:22">
      <c r="A5" s="99" t="s">
        <v>275</v>
      </c>
      <c r="B5" s="99" t="s">
        <v>327</v>
      </c>
      <c r="D5" s="100" t="s">
        <v>176</v>
      </c>
      <c r="F5" s="104">
        <v>-1.1885730404153239</v>
      </c>
      <c r="G5" s="104">
        <v>-3.6263608787540282</v>
      </c>
      <c r="H5" s="104">
        <v>-0.9457302111864786</v>
      </c>
      <c r="I5" s="104">
        <v>-8.5609449558202086E-2</v>
      </c>
      <c r="J5" s="104">
        <v>-2.0401101557984025E-2</v>
      </c>
      <c r="K5" s="112">
        <v>98787.446504992869</v>
      </c>
      <c r="L5" s="112">
        <v>96513.644678628261</v>
      </c>
      <c r="M5" s="112">
        <v>86751.185100570248</v>
      </c>
      <c r="N5" s="112">
        <v>11010.647777921657</v>
      </c>
      <c r="O5" s="112">
        <v>79787.274818997495</v>
      </c>
      <c r="P5" s="112">
        <v>92713.287253033486</v>
      </c>
      <c r="Q5" s="108">
        <v>0.80766613210277605</v>
      </c>
      <c r="R5" s="68">
        <v>0.93851284280688041</v>
      </c>
    </row>
    <row r="6" spans="1:22">
      <c r="A6" s="99" t="s">
        <v>277</v>
      </c>
      <c r="B6" s="99" t="s">
        <v>328</v>
      </c>
      <c r="D6" s="100" t="s">
        <v>176</v>
      </c>
      <c r="F6" s="104">
        <v>2.4632069595846757</v>
      </c>
      <c r="G6" s="104">
        <v>-10.054580878754027</v>
      </c>
      <c r="H6" s="104">
        <v>2.7423497888135215</v>
      </c>
      <c r="I6" s="104">
        <v>0.61461354848187277</v>
      </c>
      <c r="J6" s="104">
        <v>0.59015918612786689</v>
      </c>
      <c r="K6" s="112">
        <v>39.346246973365616</v>
      </c>
      <c r="L6" s="112">
        <v>38.928114685654435</v>
      </c>
      <c r="M6" s="112">
        <v>724.10735144107161</v>
      </c>
      <c r="N6" s="112">
        <v>21551.560332158628</v>
      </c>
      <c r="O6" s="112">
        <v>160.59886741936128</v>
      </c>
      <c r="P6" s="112">
        <v>151.80571296812369</v>
      </c>
      <c r="Q6" s="108">
        <v>4.0816819842582284</v>
      </c>
      <c r="R6" s="68">
        <v>3.8582005818975436</v>
      </c>
    </row>
    <row r="7" spans="1:22">
      <c r="A7" s="99" t="s">
        <v>279</v>
      </c>
      <c r="B7" s="99" t="s">
        <v>329</v>
      </c>
      <c r="D7" s="100" t="s">
        <v>323</v>
      </c>
      <c r="E7" s="104">
        <v>5</v>
      </c>
      <c r="F7" s="104">
        <v>2.8712370545443107</v>
      </c>
      <c r="G7" s="104">
        <v>-7.5897464037828204</v>
      </c>
      <c r="H7" s="104">
        <v>4.5617385530642611</v>
      </c>
      <c r="I7" s="104">
        <v>2.7495025171632892</v>
      </c>
      <c r="J7" s="104">
        <v>2.9736098541357028</v>
      </c>
      <c r="K7" s="112">
        <v>7.5103266992114157E-2</v>
      </c>
      <c r="L7" s="112">
        <v>7.262694595131515E-2</v>
      </c>
      <c r="M7" s="112">
        <v>24.570710830674066</v>
      </c>
      <c r="N7" s="112">
        <v>2206.8707652496587</v>
      </c>
      <c r="O7" s="112">
        <v>40.476416749990101</v>
      </c>
      <c r="P7" s="112">
        <v>67.812443827381571</v>
      </c>
      <c r="Q7" s="108">
        <v>538.94348902611819</v>
      </c>
      <c r="R7" s="68">
        <v>902.92268956158557</v>
      </c>
    </row>
    <row r="8" spans="1:22">
      <c r="A8" s="99" t="s">
        <v>281</v>
      </c>
      <c r="B8" s="99" t="s">
        <v>330</v>
      </c>
      <c r="D8" s="100" t="s">
        <v>323</v>
      </c>
      <c r="E8" s="104">
        <v>4.0999999999999996</v>
      </c>
      <c r="F8" s="104">
        <v>-1.3187080459442464</v>
      </c>
      <c r="G8" s="104">
        <v>-9.80893848707729</v>
      </c>
      <c r="H8" s="104">
        <v>1.0432633726544043</v>
      </c>
      <c r="I8" s="104">
        <v>2.2558214472071507E-2</v>
      </c>
      <c r="J8" s="104">
        <v>0.13118250651374297</v>
      </c>
      <c r="K8" s="112">
        <v>4.1281912004345465</v>
      </c>
      <c r="L8" s="112">
        <v>4.1060254580290261</v>
      </c>
      <c r="M8" s="112">
        <v>4.0617322104277021</v>
      </c>
      <c r="N8" s="112">
        <v>38.058920139761128</v>
      </c>
      <c r="O8" s="112">
        <v>4.3479427318609511</v>
      </c>
      <c r="P8" s="112">
        <v>5.5835204005581094</v>
      </c>
      <c r="Q8" s="108">
        <v>1.0532319170205278</v>
      </c>
      <c r="R8" s="68">
        <v>1.3525343496615103</v>
      </c>
    </row>
    <row r="9" spans="1:22">
      <c r="A9" s="99" t="s">
        <v>283</v>
      </c>
      <c r="B9" s="99" t="s">
        <v>331</v>
      </c>
      <c r="D9" s="100" t="s">
        <v>176</v>
      </c>
      <c r="F9" s="104">
        <v>1.5175669595846757</v>
      </c>
      <c r="G9" s="104">
        <v>-3.5302208787540272</v>
      </c>
      <c r="H9" s="104">
        <v>1.7873097888135212</v>
      </c>
      <c r="I9" s="104">
        <v>6.834831513376248E-2</v>
      </c>
      <c r="J9" s="104">
        <v>9.5652056219914725E-2</v>
      </c>
      <c r="K9" s="112">
        <v>712.85140562248989</v>
      </c>
      <c r="L9" s="112">
        <v>695.32678677901504</v>
      </c>
      <c r="M9" s="112">
        <v>2008.311560703527</v>
      </c>
      <c r="N9" s="112">
        <v>42752.614254917033</v>
      </c>
      <c r="O9" s="112">
        <v>816.58463258629513</v>
      </c>
      <c r="P9" s="112">
        <v>869.57079178470815</v>
      </c>
      <c r="Q9" s="108">
        <v>1.1455187240224647</v>
      </c>
      <c r="R9" s="68">
        <v>1.2198486036867173</v>
      </c>
    </row>
    <row r="10" spans="1:22">
      <c r="A10" s="99" t="s">
        <v>285</v>
      </c>
      <c r="B10" s="99" t="s">
        <v>332</v>
      </c>
      <c r="D10" s="100" t="s">
        <v>176</v>
      </c>
      <c r="F10" s="104">
        <v>3.9420269595846755</v>
      </c>
      <c r="G10" s="104">
        <v>-5.9557608787540284</v>
      </c>
      <c r="H10" s="104">
        <v>4.2358697888135213</v>
      </c>
      <c r="I10" s="104">
        <v>2.0502395717813422</v>
      </c>
      <c r="J10" s="104">
        <v>2.0427184253129749</v>
      </c>
      <c r="K10" s="112">
        <v>2.8836251287332644</v>
      </c>
      <c r="L10" s="112">
        <v>2.3212274873432217</v>
      </c>
      <c r="M10" s="112">
        <v>1253.2074159495394</v>
      </c>
      <c r="N10" s="112">
        <v>40022.067004923309</v>
      </c>
      <c r="O10" s="112">
        <v>261.01730284921274</v>
      </c>
      <c r="P10" s="112">
        <v>256.53590102501835</v>
      </c>
      <c r="Q10" s="108">
        <v>90.517071809494865</v>
      </c>
      <c r="R10" s="68">
        <v>88.962985676890298</v>
      </c>
    </row>
    <row r="11" spans="1:22">
      <c r="A11" s="99" t="s">
        <v>287</v>
      </c>
      <c r="B11" s="99" t="s">
        <v>333</v>
      </c>
      <c r="D11" s="100" t="s">
        <v>176</v>
      </c>
      <c r="F11" s="104">
        <v>2.5436869595846758</v>
      </c>
      <c r="G11" s="104">
        <v>-5.4441008787540284</v>
      </c>
      <c r="H11" s="104">
        <v>2.8236297888135211</v>
      </c>
      <c r="I11" s="104">
        <v>0.68231508513120154</v>
      </c>
      <c r="J11" s="104">
        <v>0.6560976658281501</v>
      </c>
      <c r="K11" s="112">
        <v>310.5310531053106</v>
      </c>
      <c r="L11" s="112">
        <v>306.64704106669529</v>
      </c>
      <c r="M11" s="112">
        <v>6813.1654320970674</v>
      </c>
      <c r="N11" s="112">
        <v>204698.2976129892</v>
      </c>
      <c r="O11" s="112">
        <v>1478.4257807445567</v>
      </c>
      <c r="P11" s="112">
        <v>1391.8169073200297</v>
      </c>
      <c r="Q11" s="108">
        <v>4.7609595432092817</v>
      </c>
      <c r="R11" s="68">
        <v>4.4820538667610226</v>
      </c>
    </row>
    <row r="12" spans="1:22">
      <c r="A12" s="99" t="s">
        <v>289</v>
      </c>
      <c r="B12" s="99" t="s">
        <v>334</v>
      </c>
      <c r="D12" s="100" t="s">
        <v>176</v>
      </c>
      <c r="F12" s="104">
        <v>2.4933869595846763</v>
      </c>
      <c r="G12" s="104">
        <v>-4.9844008787540277</v>
      </c>
      <c r="H12" s="104">
        <v>2.7728297888135214</v>
      </c>
      <c r="I12" s="104">
        <v>0.63971842481140939</v>
      </c>
      <c r="J12" s="104">
        <v>0.61453782937195078</v>
      </c>
      <c r="K12" s="112">
        <v>93.312597200622093</v>
      </c>
      <c r="L12" s="112">
        <v>92.200791571701529</v>
      </c>
      <c r="M12" s="112">
        <v>1832.899160283421</v>
      </c>
      <c r="N12" s="112">
        <v>54754.80006711038</v>
      </c>
      <c r="O12" s="112">
        <v>403.00537037357805</v>
      </c>
      <c r="P12" s="112">
        <v>380.3034262222161</v>
      </c>
      <c r="Q12" s="108">
        <v>4.3188742191701781</v>
      </c>
      <c r="R12" s="68">
        <v>4.0755850510147491</v>
      </c>
    </row>
    <row r="13" spans="1:22">
      <c r="A13" s="99" t="s">
        <v>291</v>
      </c>
      <c r="B13" s="99" t="s">
        <v>335</v>
      </c>
      <c r="D13" s="100" t="s">
        <v>176</v>
      </c>
      <c r="F13" s="104">
        <v>6.6280469595846752</v>
      </c>
      <c r="G13" s="104">
        <v>-6.7697408787540283</v>
      </c>
      <c r="H13" s="104">
        <v>6.9485897888135204</v>
      </c>
      <c r="I13" s="104">
        <v>4.5214945708792449</v>
      </c>
      <c r="J13" s="104">
        <v>4.1532949265106955</v>
      </c>
      <c r="K13" s="112">
        <v>23.000255558395089</v>
      </c>
      <c r="L13" s="112">
        <v>0.15913057972392244</v>
      </c>
      <c r="M13" s="112">
        <v>42468.46036014986</v>
      </c>
      <c r="N13" s="112">
        <v>1415652.3120524217</v>
      </c>
      <c r="O13" s="112">
        <v>5294.9441625146237</v>
      </c>
      <c r="P13" s="112">
        <v>2268.0976064793431</v>
      </c>
      <c r="Q13" s="108">
        <v>230.21240564355253</v>
      </c>
      <c r="R13" s="68">
        <v>98.611843712818555</v>
      </c>
    </row>
    <row r="14" spans="1:22">
      <c r="A14" s="99" t="s">
        <v>293</v>
      </c>
      <c r="B14" s="99" t="s">
        <v>336</v>
      </c>
      <c r="D14" s="100" t="s">
        <v>176</v>
      </c>
      <c r="F14" s="104">
        <v>0.9944469595846761</v>
      </c>
      <c r="G14" s="104">
        <v>-4.4633408787540274</v>
      </c>
      <c r="H14" s="104">
        <v>1.2589897888135213</v>
      </c>
      <c r="I14" s="104">
        <v>-3.5289873430982874E-2</v>
      </c>
      <c r="J14" s="104">
        <v>1.519399315984879E-2</v>
      </c>
      <c r="K14" s="112">
        <v>4749.7314715359835</v>
      </c>
      <c r="L14" s="112">
        <v>4713.6087262774117</v>
      </c>
      <c r="M14" s="112">
        <v>7025.4959210373527</v>
      </c>
      <c r="N14" s="112">
        <v>85989.44948291636</v>
      </c>
      <c r="O14" s="112">
        <v>4366.8221677797937</v>
      </c>
      <c r="P14" s="112">
        <v>4905.1170223269946</v>
      </c>
      <c r="Q14" s="108">
        <v>0.91938295753120491</v>
      </c>
      <c r="R14" s="68">
        <v>1.0327145969666285</v>
      </c>
    </row>
    <row r="15" spans="1:22">
      <c r="A15" s="99" t="s">
        <v>295</v>
      </c>
      <c r="B15" s="99" t="s">
        <v>337</v>
      </c>
      <c r="D15" s="100" t="s">
        <v>176</v>
      </c>
      <c r="F15" s="104">
        <v>4.1331669595846749</v>
      </c>
      <c r="G15" s="104">
        <v>-5.4346208787540276</v>
      </c>
      <c r="H15" s="104">
        <v>4.4289097888135194</v>
      </c>
      <c r="I15" s="104">
        <v>2.2472127559545725</v>
      </c>
      <c r="J15" s="104">
        <v>2.2447119210037929</v>
      </c>
      <c r="K15" s="112">
        <v>9.1107871720116638</v>
      </c>
      <c r="L15" s="112">
        <v>6.6429858212761816</v>
      </c>
      <c r="M15" s="112">
        <v>5573.9005692929932</v>
      </c>
      <c r="N15" s="112">
        <v>178639.34207628813</v>
      </c>
      <c r="O15" s="112">
        <v>1175.6554939954726</v>
      </c>
      <c r="P15" s="112">
        <v>1168.9050711281227</v>
      </c>
      <c r="Q15" s="108">
        <v>129.03994702094303</v>
      </c>
      <c r="R15" s="68">
        <v>128.29902060702273</v>
      </c>
    </row>
    <row r="16" spans="1:22">
      <c r="A16" s="99" t="s">
        <v>297</v>
      </c>
      <c r="B16" s="99" t="s">
        <v>338</v>
      </c>
      <c r="D16" s="100" t="s">
        <v>176</v>
      </c>
      <c r="F16" s="104">
        <v>1.2459469595846759</v>
      </c>
      <c r="G16" s="104">
        <v>-4.1718408787540273</v>
      </c>
      <c r="H16" s="104">
        <v>1.5129897888135211</v>
      </c>
      <c r="I16" s="104">
        <v>1.9271157019646421E-3</v>
      </c>
      <c r="J16" s="104">
        <v>4.3264382431610314E-2</v>
      </c>
      <c r="K16" s="112">
        <v>1913.5913591359135</v>
      </c>
      <c r="L16" s="112">
        <v>1895.5980744436931</v>
      </c>
      <c r="M16" s="112">
        <v>3714.3244993399344</v>
      </c>
      <c r="N16" s="112">
        <v>62018.854955414317</v>
      </c>
      <c r="O16" s="112">
        <v>1911.881938946902</v>
      </c>
      <c r="P16" s="112">
        <v>2102.8017863371315</v>
      </c>
      <c r="Q16" s="108">
        <v>0.99910669528222396</v>
      </c>
      <c r="R16" s="68">
        <v>1.0988771329353495</v>
      </c>
    </row>
    <row r="17" spans="1:18">
      <c r="A17" s="99" t="s">
        <v>299</v>
      </c>
      <c r="B17" s="99" t="s">
        <v>339</v>
      </c>
      <c r="D17" s="100" t="s">
        <v>323</v>
      </c>
      <c r="E17" s="104">
        <v>6.8</v>
      </c>
      <c r="F17" s="104">
        <v>3.1044105663688377</v>
      </c>
      <c r="G17" s="104">
        <v>-4.3339236724627241</v>
      </c>
      <c r="H17" s="104">
        <v>3.5418474582141184</v>
      </c>
      <c r="I17" s="104">
        <v>1.6410980390545351</v>
      </c>
      <c r="J17" s="104">
        <v>1.8082745780411427</v>
      </c>
      <c r="K17" s="112">
        <v>10.126582278481012</v>
      </c>
      <c r="L17" s="112">
        <v>9.7387955877650523</v>
      </c>
      <c r="M17" s="112">
        <v>851.04683054886391</v>
      </c>
      <c r="N17" s="112">
        <v>32327.72899984847</v>
      </c>
      <c r="O17" s="112">
        <v>426.46902777954989</v>
      </c>
      <c r="P17" s="112">
        <v>626.7062633490624</v>
      </c>
      <c r="Q17" s="108">
        <v>42.113816493230551</v>
      </c>
      <c r="R17" s="68">
        <v>61.887243505719916</v>
      </c>
    </row>
    <row r="18" spans="1:18">
      <c r="A18" s="99" t="s">
        <v>301</v>
      </c>
      <c r="B18" s="99" t="s">
        <v>340</v>
      </c>
      <c r="D18" s="100" t="s">
        <v>176</v>
      </c>
      <c r="F18" s="104">
        <v>0.26006695958467607</v>
      </c>
      <c r="G18" s="104">
        <v>-3.7177208787540281</v>
      </c>
      <c r="H18" s="104">
        <v>0.5173097888135213</v>
      </c>
      <c r="I18" s="104">
        <v>-7.6551243029981467E-2</v>
      </c>
      <c r="J18" s="104">
        <v>-1.4373506469006214E-2</v>
      </c>
      <c r="K18" s="112">
        <v>14359.72461273666</v>
      </c>
      <c r="L18" s="112">
        <v>14079.067210781297</v>
      </c>
      <c r="M18" s="112">
        <v>14138.359103069304</v>
      </c>
      <c r="N18" s="112">
        <v>46624.590431641278</v>
      </c>
      <c r="O18" s="112">
        <v>11878.292021735409</v>
      </c>
      <c r="P18" s="112">
        <v>13706.662982687109</v>
      </c>
      <c r="Q18" s="108">
        <v>0.82719497358603311</v>
      </c>
      <c r="R18" s="68">
        <v>0.95452129844674705</v>
      </c>
    </row>
    <row r="19" spans="1:18">
      <c r="A19" s="99" t="s">
        <v>303</v>
      </c>
      <c r="B19" s="99" t="s">
        <v>341</v>
      </c>
      <c r="D19" s="100" t="s">
        <v>176</v>
      </c>
      <c r="F19" s="104">
        <v>3.8313669595846762</v>
      </c>
      <c r="G19" s="104">
        <v>-3.9464208787540276</v>
      </c>
      <c r="H19" s="104">
        <v>4.124109788813521</v>
      </c>
      <c r="I19" s="104">
        <v>1.9365410869067614</v>
      </c>
      <c r="J19" s="104">
        <v>1.9261641505122657</v>
      </c>
      <c r="K19" s="112">
        <v>33.356258596973859</v>
      </c>
      <c r="L19" s="112">
        <v>11.819728448796479</v>
      </c>
      <c r="M19" s="112">
        <v>4944.3748608208034</v>
      </c>
      <c r="N19" s="112">
        <v>157555.75096576489</v>
      </c>
      <c r="O19" s="112">
        <v>1022.9762668154698</v>
      </c>
      <c r="P19" s="112">
        <v>998.82320102521635</v>
      </c>
      <c r="Q19" s="108">
        <v>30.668195710302953</v>
      </c>
      <c r="R19" s="68">
        <v>29.944101737951851</v>
      </c>
    </row>
    <row r="20" spans="1:18">
      <c r="A20" s="99" t="s">
        <v>305</v>
      </c>
      <c r="B20" s="99" t="s">
        <v>342</v>
      </c>
      <c r="D20" s="100" t="s">
        <v>176</v>
      </c>
      <c r="F20" s="104">
        <v>1.7590069595846756</v>
      </c>
      <c r="G20" s="104">
        <v>-3.5987808787540283</v>
      </c>
      <c r="H20" s="104">
        <v>2.0311497888135208</v>
      </c>
      <c r="I20" s="104">
        <v>0.15853385227252828</v>
      </c>
      <c r="J20" s="104">
        <v>0.17050757529739025</v>
      </c>
      <c r="K20" s="112">
        <v>1509.3283582089553</v>
      </c>
      <c r="L20" s="112">
        <v>1476.3003084277618</v>
      </c>
      <c r="M20" s="112">
        <v>6460.8537079567004</v>
      </c>
      <c r="N20" s="112">
        <v>159057.21066172863</v>
      </c>
      <c r="O20" s="112">
        <v>2132.7375997918143</v>
      </c>
      <c r="P20" s="112">
        <v>2192.3563597415969</v>
      </c>
      <c r="Q20" s="108">
        <v>1.4130375197631799</v>
      </c>
      <c r="R20" s="68">
        <v>1.4525377117694633</v>
      </c>
    </row>
    <row r="21" spans="1:18">
      <c r="A21" s="99" t="s">
        <v>307</v>
      </c>
      <c r="B21" s="99" t="s">
        <v>343</v>
      </c>
      <c r="D21" s="100" t="s">
        <v>176</v>
      </c>
      <c r="F21" s="104">
        <v>2.7951869595846759</v>
      </c>
      <c r="G21" s="104">
        <v>-4.8626008787540282</v>
      </c>
      <c r="H21" s="104">
        <v>3.0776297888135211</v>
      </c>
      <c r="I21" s="104">
        <v>0.90724523010998759</v>
      </c>
      <c r="J21" s="104">
        <v>0.87879552029503416</v>
      </c>
      <c r="K21" s="112">
        <v>47.839506172839506</v>
      </c>
      <c r="L21" s="112">
        <v>46.848224357974487</v>
      </c>
      <c r="M21" s="112">
        <v>1827.7155851626892</v>
      </c>
      <c r="N21" s="112">
        <v>56120.547316065626</v>
      </c>
      <c r="O21" s="112">
        <v>379.08564501115433</v>
      </c>
      <c r="P21" s="112">
        <v>355.04845677438902</v>
      </c>
      <c r="Q21" s="108">
        <v>7.9241128376525172</v>
      </c>
      <c r="R21" s="68">
        <v>7.4216580641872296</v>
      </c>
    </row>
    <row r="22" spans="1:18">
      <c r="A22" s="99" t="s">
        <v>309</v>
      </c>
      <c r="B22" s="99" t="s">
        <v>344</v>
      </c>
      <c r="D22" s="100" t="s">
        <v>176</v>
      </c>
      <c r="F22" s="104">
        <v>6.4469669595846755</v>
      </c>
      <c r="G22" s="104">
        <v>-3.2508208787540278</v>
      </c>
      <c r="H22" s="104">
        <v>6.7657097888135214</v>
      </c>
      <c r="I22" s="104">
        <v>4.3462756065450696</v>
      </c>
      <c r="J22" s="104">
        <v>3.9985745383602556</v>
      </c>
      <c r="K22" s="112">
        <v>2.3993144815766927</v>
      </c>
      <c r="L22" s="112">
        <v>3.518225995608161E-2</v>
      </c>
      <c r="M22" s="112">
        <v>6179.580842069945</v>
      </c>
      <c r="N22" s="112">
        <v>205424.94105510693</v>
      </c>
      <c r="O22" s="112">
        <v>782.02203217604131</v>
      </c>
      <c r="P22" s="112">
        <v>351.17041479033804</v>
      </c>
      <c r="Q22" s="108">
        <v>325.93561126765718</v>
      </c>
      <c r="R22" s="68">
        <v>146.36281216440159</v>
      </c>
    </row>
    <row r="23" spans="1:18">
      <c r="A23" s="99" t="s">
        <v>311</v>
      </c>
      <c r="B23" s="99" t="s">
        <v>345</v>
      </c>
      <c r="D23" s="100" t="s">
        <v>176</v>
      </c>
      <c r="F23" s="104">
        <v>3.4088469595846758</v>
      </c>
      <c r="G23" s="104">
        <v>-2.5889408787540278</v>
      </c>
      <c r="H23" s="104">
        <v>3.697389788813521</v>
      </c>
      <c r="I23" s="104">
        <v>1.5062376575644019</v>
      </c>
      <c r="J23" s="104">
        <v>1.4857448042436765</v>
      </c>
      <c r="K23" s="112">
        <v>219.18876755070204</v>
      </c>
      <c r="L23" s="112">
        <v>174.6487833809864</v>
      </c>
      <c r="M23" s="112">
        <v>27627.955468819298</v>
      </c>
      <c r="N23" s="112">
        <v>871555.21846621262</v>
      </c>
      <c r="O23" s="112">
        <v>5612.3245349332947</v>
      </c>
      <c r="P23" s="112">
        <v>5353.6493547260943</v>
      </c>
      <c r="Q23" s="108">
        <v>25.60498239780955</v>
      </c>
      <c r="R23" s="68">
        <v>24.42483442262937</v>
      </c>
    </row>
    <row r="24" spans="1:18">
      <c r="A24" s="99" t="s">
        <v>313</v>
      </c>
      <c r="B24" s="99" t="s">
        <v>346</v>
      </c>
      <c r="D24" s="100" t="s">
        <v>176</v>
      </c>
      <c r="F24" s="104">
        <v>4.1029869595846762</v>
      </c>
      <c r="G24" s="104">
        <v>-1.0048008787540281</v>
      </c>
      <c r="H24" s="104">
        <v>4.3984297888135213</v>
      </c>
      <c r="I24" s="104">
        <v>2.2160705570821571</v>
      </c>
      <c r="J24" s="104">
        <v>2.2127719408485094</v>
      </c>
      <c r="K24" s="112">
        <v>78.236914600550961</v>
      </c>
      <c r="L24" s="112">
        <v>9.4474221695852876</v>
      </c>
      <c r="M24" s="112">
        <v>7393.7810861257449</v>
      </c>
      <c r="N24" s="112">
        <v>236836.33900569341</v>
      </c>
      <c r="O24" s="112">
        <v>1556.284913462438</v>
      </c>
      <c r="P24" s="112">
        <v>1544.5091703245412</v>
      </c>
      <c r="Q24" s="108">
        <v>19.891951534748767</v>
      </c>
      <c r="R24" s="68">
        <v>19.741437634781988</v>
      </c>
    </row>
    <row r="25" spans="1:18">
      <c r="A25" s="99" t="s">
        <v>315</v>
      </c>
      <c r="B25" s="99" t="s">
        <v>347</v>
      </c>
      <c r="D25" s="100" t="s">
        <v>176</v>
      </c>
      <c r="F25" s="104">
        <v>3.5396269595846759</v>
      </c>
      <c r="G25" s="104">
        <v>-1.1581608787540281</v>
      </c>
      <c r="H25" s="104">
        <v>3.8294697888135216</v>
      </c>
      <c r="I25" s="104">
        <v>1.6385810169496262</v>
      </c>
      <c r="J25" s="104">
        <v>1.6210268010427327</v>
      </c>
      <c r="K25" s="112">
        <v>182.99319727891157</v>
      </c>
      <c r="L25" s="112">
        <v>30.648570199728805</v>
      </c>
      <c r="M25" s="112">
        <v>6548.5396216217805</v>
      </c>
      <c r="N25" s="112">
        <v>207305.93673835913</v>
      </c>
      <c r="O25" s="112">
        <v>1335.743186442947</v>
      </c>
      <c r="P25" s="112">
        <v>1282.8289482699099</v>
      </c>
      <c r="Q25" s="108">
        <v>7.2994144389261422</v>
      </c>
      <c r="R25" s="68">
        <v>7.010254847422928</v>
      </c>
    </row>
    <row r="26" spans="1:18">
      <c r="A26" s="99" t="s">
        <v>317</v>
      </c>
      <c r="B26" s="99" t="s">
        <v>348</v>
      </c>
      <c r="D26" s="100" t="s">
        <v>176</v>
      </c>
      <c r="F26" s="104">
        <v>1.3465469595846757</v>
      </c>
      <c r="G26" s="104">
        <v>-1.381240878754028</v>
      </c>
      <c r="H26" s="104">
        <v>1.614589788813521</v>
      </c>
      <c r="I26" s="104">
        <v>2.2801731556519871E-2</v>
      </c>
      <c r="J26" s="104">
        <v>5.9439921442983983E-2</v>
      </c>
      <c r="K26" s="112">
        <v>17656.065959952888</v>
      </c>
      <c r="L26" s="112">
        <v>4497.7457455326748</v>
      </c>
      <c r="M26" s="112">
        <v>10065.322053327976</v>
      </c>
      <c r="N26" s="112">
        <v>185886.36041069651</v>
      </c>
      <c r="O26" s="112">
        <v>4758.3837849906458</v>
      </c>
      <c r="P26" s="112">
        <v>5177.2323570761573</v>
      </c>
      <c r="Q26" s="108">
        <v>0.26950419169159828</v>
      </c>
      <c r="R26" s="68">
        <v>0.29322683596782234</v>
      </c>
    </row>
    <row r="27" spans="1:18">
      <c r="A27" s="99" t="s">
        <v>319</v>
      </c>
      <c r="B27" s="99" t="s">
        <v>349</v>
      </c>
      <c r="D27" s="100" t="s">
        <v>176</v>
      </c>
      <c r="F27" s="104">
        <v>3.5094469595846762</v>
      </c>
      <c r="G27" s="104">
        <v>-0.69834087875402817</v>
      </c>
      <c r="H27" s="104">
        <v>3.7989897888135209</v>
      </c>
      <c r="I27" s="104">
        <v>1.6079569803974632</v>
      </c>
      <c r="J27" s="104">
        <v>1.5897045209690099</v>
      </c>
      <c r="K27" s="112">
        <v>195.41616405307596</v>
      </c>
      <c r="L27" s="112">
        <v>12.910058637450058</v>
      </c>
      <c r="M27" s="112">
        <v>2573.4669192451506</v>
      </c>
      <c r="N27" s="112">
        <v>81405.070634775708</v>
      </c>
      <c r="O27" s="112">
        <v>524.34683275776888</v>
      </c>
      <c r="P27" s="112">
        <v>502.7663347627477</v>
      </c>
      <c r="Q27" s="108">
        <v>2.683231631828336</v>
      </c>
      <c r="R27" s="68">
        <v>2.572798095792086</v>
      </c>
    </row>
    <row r="28" spans="1:18">
      <c r="A28" s="99" t="s">
        <v>321</v>
      </c>
      <c r="B28" s="99" t="s">
        <v>350</v>
      </c>
      <c r="D28" s="100" t="s">
        <v>176</v>
      </c>
      <c r="F28" s="104">
        <v>3.1774669595846756</v>
      </c>
      <c r="G28" s="104">
        <v>0.7696791212459716</v>
      </c>
      <c r="H28" s="104">
        <v>3.4637097888135209</v>
      </c>
      <c r="I28" s="104">
        <v>1.275035442871006</v>
      </c>
      <c r="J28" s="104">
        <v>1.2500928133449978</v>
      </c>
      <c r="K28" s="112">
        <v>1000</v>
      </c>
      <c r="L28" s="112">
        <v>2.4175081929607409</v>
      </c>
      <c r="M28" s="112">
        <v>224.99688255010915</v>
      </c>
      <c r="N28" s="112">
        <v>7044.2395290586037</v>
      </c>
      <c r="O28" s="112">
        <v>45.620471461830618</v>
      </c>
      <c r="P28" s="112">
        <v>43.074192006931789</v>
      </c>
      <c r="Q28" s="108">
        <v>4.5620471461830618E-2</v>
      </c>
      <c r="R28" s="68">
        <v>4.3074192006931786E-2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8"/>
  <sheetViews>
    <sheetView workbookViewId="0">
      <selection activeCell="W28" sqref="W28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5" t="s">
        <v>169</v>
      </c>
      <c r="G1" s="105" t="s">
        <v>170</v>
      </c>
      <c r="H1" s="113" t="s">
        <v>208</v>
      </c>
      <c r="I1" s="105" t="s">
        <v>237</v>
      </c>
      <c r="J1" s="105" t="s">
        <v>236</v>
      </c>
      <c r="K1" s="113" t="s">
        <v>239</v>
      </c>
      <c r="L1" s="105" t="s">
        <v>171</v>
      </c>
      <c r="M1" s="105" t="s">
        <v>172</v>
      </c>
      <c r="N1" s="113" t="s">
        <v>209</v>
      </c>
      <c r="O1" s="105" t="s">
        <v>173</v>
      </c>
      <c r="P1" s="105" t="s">
        <v>174</v>
      </c>
      <c r="Q1" s="113" t="s">
        <v>210</v>
      </c>
      <c r="R1" s="105" t="s">
        <v>165</v>
      </c>
      <c r="S1" s="105" t="s">
        <v>211</v>
      </c>
      <c r="T1" s="113" t="s">
        <v>212</v>
      </c>
      <c r="U1" s="113" t="s">
        <v>213</v>
      </c>
      <c r="V1" s="113" t="s">
        <v>214</v>
      </c>
      <c r="W1" s="38" t="s">
        <v>199</v>
      </c>
    </row>
    <row r="2" spans="1:23">
      <c r="A2" s="99" t="s">
        <v>269</v>
      </c>
      <c r="B2" s="99" t="s">
        <v>324</v>
      </c>
      <c r="D2" s="104" t="s">
        <v>176</v>
      </c>
      <c r="F2" s="104">
        <v>4.7267069595846758</v>
      </c>
      <c r="H2" s="104">
        <v>4.7267069595846758</v>
      </c>
      <c r="I2" s="104">
        <v>4.7267069595846758</v>
      </c>
      <c r="K2" s="104">
        <v>4.7267069595846758</v>
      </c>
      <c r="L2" s="104">
        <v>5.0283497888135207</v>
      </c>
      <c r="N2" s="104">
        <v>5.0283497888135207</v>
      </c>
      <c r="O2" s="104">
        <v>4.5179497888135209</v>
      </c>
      <c r="Q2" s="104">
        <v>4.5179497888135209</v>
      </c>
      <c r="R2" s="104">
        <v>-5.4310808787540283</v>
      </c>
      <c r="S2" s="104">
        <v>-5.4310808787540283</v>
      </c>
      <c r="T2" s="104">
        <v>-2.3515930404153238</v>
      </c>
      <c r="V2" s="104">
        <v>-2.3515930404153238</v>
      </c>
      <c r="W2" s="109">
        <v>8.5525321692337712</v>
      </c>
    </row>
    <row r="3" spans="1:23">
      <c r="A3" s="99" t="s">
        <v>271</v>
      </c>
      <c r="B3" s="99" t="s">
        <v>325</v>
      </c>
      <c r="D3" s="104" t="s">
        <v>323</v>
      </c>
      <c r="E3" s="104">
        <v>6.2</v>
      </c>
      <c r="F3" s="104">
        <v>7.6742869595846761</v>
      </c>
      <c r="G3" s="104">
        <v>4.1742869595846752</v>
      </c>
      <c r="H3" s="104">
        <v>6.4498857761527182</v>
      </c>
      <c r="I3" s="104">
        <v>7.6742869595846761</v>
      </c>
      <c r="J3" s="104">
        <v>4.1742869595846752</v>
      </c>
      <c r="K3" s="104">
        <v>6.4498857761527182</v>
      </c>
      <c r="L3" s="104">
        <v>8.0052297888135211</v>
      </c>
      <c r="M3" s="104">
        <v>7.0052297888135211</v>
      </c>
      <c r="N3" s="104">
        <v>7.1911000160117577</v>
      </c>
      <c r="O3" s="104">
        <v>5.61962978881352</v>
      </c>
      <c r="P3" s="104">
        <v>5.61962978881352</v>
      </c>
      <c r="Q3" s="104">
        <v>5.61962978881352</v>
      </c>
      <c r="R3" s="104">
        <v>-9.3635008787540279</v>
      </c>
      <c r="S3" s="104">
        <v>-10.590073254350131</v>
      </c>
      <c r="T3" s="104">
        <v>0.50808695958467553</v>
      </c>
      <c r="U3" s="104">
        <v>-2.9919130404153242</v>
      </c>
      <c r="V3" s="104">
        <v>-0.71631422384728194</v>
      </c>
      <c r="W3" s="109">
        <v>1741.2021897480774</v>
      </c>
    </row>
    <row r="4" spans="1:23">
      <c r="A4" s="99" t="s">
        <v>273</v>
      </c>
      <c r="B4" s="99" t="s">
        <v>326</v>
      </c>
      <c r="D4" s="104" t="s">
        <v>353</v>
      </c>
      <c r="E4" s="104">
        <v>6.4</v>
      </c>
      <c r="F4" s="104">
        <v>1.8626959584676032E-2</v>
      </c>
      <c r="G4" s="104">
        <v>-3.4813730404153231</v>
      </c>
      <c r="H4" s="104">
        <v>-2.2751992193311064E-2</v>
      </c>
      <c r="I4" s="104">
        <v>1.8626959584676032E-2</v>
      </c>
      <c r="J4" s="104">
        <v>-3.4813730404153231</v>
      </c>
      <c r="K4" s="104">
        <v>-2.2751992193311064E-2</v>
      </c>
      <c r="L4" s="104">
        <v>0.27346978881352135</v>
      </c>
      <c r="M4" s="104">
        <v>-0.72653021118647865</v>
      </c>
      <c r="N4" s="104">
        <v>0.23639847743793888</v>
      </c>
      <c r="O4" s="104">
        <v>-0.55143021118647861</v>
      </c>
      <c r="P4" s="104">
        <v>-1.5514302111864784</v>
      </c>
      <c r="Q4" s="104">
        <v>-0.58850152256206112</v>
      </c>
      <c r="R4" s="104">
        <v>-10.149160878754026</v>
      </c>
      <c r="S4" s="104">
        <v>-10.190553563912252</v>
      </c>
      <c r="T4" s="104">
        <v>-6.9192730404153231</v>
      </c>
      <c r="U4" s="104">
        <v>-10.419273040415323</v>
      </c>
      <c r="V4" s="104">
        <v>-6.960651992193311</v>
      </c>
      <c r="W4" s="109">
        <v>19507.904011472197</v>
      </c>
    </row>
    <row r="5" spans="1:23">
      <c r="A5" s="99" t="s">
        <v>275</v>
      </c>
      <c r="B5" s="99" t="s">
        <v>327</v>
      </c>
      <c r="D5" s="104" t="s">
        <v>176</v>
      </c>
      <c r="F5" s="104">
        <v>-1.1885730404153239</v>
      </c>
      <c r="H5" s="104">
        <v>-1.1885730404153239</v>
      </c>
      <c r="I5" s="104">
        <v>-1.1885730404153239</v>
      </c>
      <c r="K5" s="104">
        <v>-1.1885730404153239</v>
      </c>
      <c r="L5" s="104">
        <v>-0.9457302111864786</v>
      </c>
      <c r="N5" s="104">
        <v>-0.9457302111864786</v>
      </c>
      <c r="O5" s="104">
        <v>-1.8546302111864785</v>
      </c>
      <c r="Q5" s="104">
        <v>-1.8546302111864785</v>
      </c>
      <c r="R5" s="104">
        <v>-3.6263608787540282</v>
      </c>
      <c r="S5" s="104">
        <v>-3.6263608787540282</v>
      </c>
      <c r="T5" s="104">
        <v>-8.0904730404153256</v>
      </c>
      <c r="V5" s="104">
        <v>-8.0904730404153256</v>
      </c>
      <c r="W5" s="109">
        <v>828666.16374620039</v>
      </c>
    </row>
    <row r="6" spans="1:23">
      <c r="A6" s="99" t="s">
        <v>277</v>
      </c>
      <c r="B6" s="99" t="s">
        <v>328</v>
      </c>
      <c r="D6" s="104" t="s">
        <v>176</v>
      </c>
      <c r="F6" s="104">
        <v>2.4632069595846757</v>
      </c>
      <c r="H6" s="104">
        <v>2.4632069595846757</v>
      </c>
      <c r="I6" s="104">
        <v>2.4632069595846757</v>
      </c>
      <c r="K6" s="104">
        <v>2.4632069595846757</v>
      </c>
      <c r="L6" s="104">
        <v>2.7423497888135215</v>
      </c>
      <c r="N6" s="104">
        <v>2.7423497888135215</v>
      </c>
      <c r="O6" s="104">
        <v>2.0875497888135213</v>
      </c>
      <c r="Q6" s="104">
        <v>2.0875497888135213</v>
      </c>
      <c r="R6" s="104">
        <v>-10.054580878754027</v>
      </c>
      <c r="S6" s="104">
        <v>-10.054580878754027</v>
      </c>
      <c r="T6" s="104">
        <v>-4.5475930404153235</v>
      </c>
      <c r="V6" s="104">
        <v>-4.5475930404153235</v>
      </c>
      <c r="W6" s="109">
        <v>114.09184634432056</v>
      </c>
    </row>
    <row r="7" spans="1:23">
      <c r="A7" s="99" t="s">
        <v>279</v>
      </c>
      <c r="B7" s="99" t="s">
        <v>329</v>
      </c>
      <c r="D7" s="104" t="s">
        <v>323</v>
      </c>
      <c r="E7" s="104">
        <v>5</v>
      </c>
      <c r="F7" s="104">
        <v>5.2397669595846761</v>
      </c>
      <c r="G7" s="104">
        <v>1.7397669595846759</v>
      </c>
      <c r="H7" s="104">
        <v>2.8712370545443107</v>
      </c>
      <c r="I7" s="104">
        <v>5.2397669595846761</v>
      </c>
      <c r="J7" s="104">
        <v>1.7397669595846759</v>
      </c>
      <c r="K7" s="104">
        <v>2.8712370545443107</v>
      </c>
      <c r="L7" s="104">
        <v>5.5465097888135206</v>
      </c>
      <c r="M7" s="104">
        <v>4.5465097888135206</v>
      </c>
      <c r="N7" s="104">
        <v>4.5617385530642611</v>
      </c>
      <c r="O7" s="104">
        <v>4.7097097888135204</v>
      </c>
      <c r="P7" s="104">
        <v>4.7097097888135204</v>
      </c>
      <c r="Q7" s="104">
        <v>4.7097097888135204</v>
      </c>
      <c r="R7" s="104">
        <v>-5.1880208787540276</v>
      </c>
      <c r="S7" s="104">
        <v>-7.5897464037828204</v>
      </c>
      <c r="T7" s="104">
        <v>-1.8538330404153243</v>
      </c>
      <c r="U7" s="104">
        <v>-5.3538330404153234</v>
      </c>
      <c r="V7" s="104">
        <v>-4.2223629454556892</v>
      </c>
      <c r="W7" s="109">
        <v>7748.8731018334101</v>
      </c>
    </row>
    <row r="8" spans="1:23">
      <c r="A8" s="99" t="s">
        <v>281</v>
      </c>
      <c r="B8" s="99" t="s">
        <v>330</v>
      </c>
      <c r="D8" s="104" t="s">
        <v>323</v>
      </c>
      <c r="E8" s="104">
        <v>4.0999999999999996</v>
      </c>
      <c r="F8" s="104">
        <v>1.7690669595846755</v>
      </c>
      <c r="G8" s="104">
        <v>-1.7309330404153238</v>
      </c>
      <c r="H8" s="104">
        <v>-1.3187080459442464</v>
      </c>
      <c r="I8" s="104">
        <v>1.7690669595846755</v>
      </c>
      <c r="J8" s="104">
        <v>-1.7309330404153238</v>
      </c>
      <c r="K8" s="104">
        <v>-1.3187080459442464</v>
      </c>
      <c r="L8" s="104">
        <v>2.0413097888135208</v>
      </c>
      <c r="M8" s="104">
        <v>1.0413097888135212</v>
      </c>
      <c r="N8" s="104">
        <v>1.0432633726544043</v>
      </c>
      <c r="O8" s="104">
        <v>1.3382097888135214</v>
      </c>
      <c r="P8" s="104">
        <v>1.3382097888135214</v>
      </c>
      <c r="Q8" s="104">
        <v>1.3382097888135214</v>
      </c>
      <c r="R8" s="104">
        <v>-6.508720878754028</v>
      </c>
      <c r="S8" s="104">
        <v>-9.80893848707729</v>
      </c>
      <c r="T8" s="104">
        <v>-5.2210330404153238</v>
      </c>
      <c r="U8" s="104">
        <v>-8.7210330404153247</v>
      </c>
      <c r="V8" s="104">
        <v>-8.3088080459442466</v>
      </c>
      <c r="W8" s="109">
        <v>2129900.9441097062</v>
      </c>
    </row>
    <row r="9" spans="1:23">
      <c r="A9" s="99" t="s">
        <v>283</v>
      </c>
      <c r="B9" s="99" t="s">
        <v>331</v>
      </c>
      <c r="D9" s="104" t="s">
        <v>176</v>
      </c>
      <c r="F9" s="104">
        <v>1.5175669595846757</v>
      </c>
      <c r="H9" s="104">
        <v>1.5175669595846757</v>
      </c>
      <c r="I9" s="104">
        <v>1.5175669595846757</v>
      </c>
      <c r="K9" s="104">
        <v>1.5175669595846757</v>
      </c>
      <c r="L9" s="104">
        <v>1.7873097888135212</v>
      </c>
      <c r="N9" s="104">
        <v>1.7873097888135212</v>
      </c>
      <c r="O9" s="104">
        <v>1.0667097888135213</v>
      </c>
      <c r="Q9" s="104">
        <v>1.0667097888135213</v>
      </c>
      <c r="R9" s="104">
        <v>-3.5302208787540272</v>
      </c>
      <c r="S9" s="104">
        <v>-3.5302208787540272</v>
      </c>
      <c r="T9" s="104">
        <v>-5.4650330404153236</v>
      </c>
      <c r="V9" s="104">
        <v>-5.4650330404153236</v>
      </c>
      <c r="W9" s="109">
        <v>66472.01333247358</v>
      </c>
    </row>
    <row r="10" spans="1:23">
      <c r="A10" s="99" t="s">
        <v>285</v>
      </c>
      <c r="B10" s="99" t="s">
        <v>332</v>
      </c>
      <c r="D10" s="104" t="s">
        <v>176</v>
      </c>
      <c r="F10" s="104">
        <v>3.9420269595846755</v>
      </c>
      <c r="H10" s="104">
        <v>3.9420269595846755</v>
      </c>
      <c r="I10" s="104">
        <v>3.9420269595846755</v>
      </c>
      <c r="K10" s="104">
        <v>3.9420269595846755</v>
      </c>
      <c r="L10" s="104">
        <v>4.2358697888135213</v>
      </c>
      <c r="N10" s="104">
        <v>4.2358697888135213</v>
      </c>
      <c r="O10" s="104">
        <v>3.6839697888135214</v>
      </c>
      <c r="Q10" s="104">
        <v>3.6839697888135214</v>
      </c>
      <c r="R10" s="104">
        <v>-5.9557608787540284</v>
      </c>
      <c r="S10" s="104">
        <v>-5.9557608787540284</v>
      </c>
      <c r="T10" s="104">
        <v>-3.1128730404153235</v>
      </c>
      <c r="V10" s="104">
        <v>-3.1128730404153235</v>
      </c>
      <c r="W10" s="109">
        <v>9.8341159045116076</v>
      </c>
    </row>
    <row r="11" spans="1:23">
      <c r="A11" s="99" t="s">
        <v>287</v>
      </c>
      <c r="B11" s="99" t="s">
        <v>333</v>
      </c>
      <c r="D11" s="104" t="s">
        <v>176</v>
      </c>
      <c r="F11" s="104">
        <v>2.5436869595846758</v>
      </c>
      <c r="H11" s="104">
        <v>2.5436869595846758</v>
      </c>
      <c r="I11" s="104">
        <v>2.5436869595846758</v>
      </c>
      <c r="K11" s="104">
        <v>2.5436869595846758</v>
      </c>
      <c r="L11" s="104">
        <v>2.8236297888135211</v>
      </c>
      <c r="N11" s="104">
        <v>2.8236297888135211</v>
      </c>
      <c r="O11" s="104">
        <v>2.1744297888135211</v>
      </c>
      <c r="Q11" s="104">
        <v>2.1744297888135211</v>
      </c>
      <c r="R11" s="104">
        <v>-5.4441008787540284</v>
      </c>
      <c r="S11" s="104">
        <v>-5.4441008787540284</v>
      </c>
      <c r="T11" s="104">
        <v>-4.4695130404153245</v>
      </c>
      <c r="V11" s="104">
        <v>-4.4695130404153245</v>
      </c>
      <c r="W11" s="109">
        <v>817.43296810629727</v>
      </c>
    </row>
    <row r="12" spans="1:23">
      <c r="A12" s="99" t="s">
        <v>289</v>
      </c>
      <c r="B12" s="99" t="s">
        <v>334</v>
      </c>
      <c r="D12" s="104" t="s">
        <v>176</v>
      </c>
      <c r="F12" s="104">
        <v>2.4933869595846763</v>
      </c>
      <c r="H12" s="104">
        <v>2.4933869595846763</v>
      </c>
      <c r="I12" s="104">
        <v>2.4933869595846763</v>
      </c>
      <c r="K12" s="104">
        <v>2.4933869595846763</v>
      </c>
      <c r="L12" s="104">
        <v>2.7728297888135214</v>
      </c>
      <c r="N12" s="104">
        <v>2.7728297888135214</v>
      </c>
      <c r="O12" s="104">
        <v>2.1201297888135215</v>
      </c>
      <c r="Q12" s="104">
        <v>2.1201297888135215</v>
      </c>
      <c r="R12" s="104">
        <v>-4.9844008787540277</v>
      </c>
      <c r="S12" s="104">
        <v>-4.9844008787540277</v>
      </c>
      <c r="T12" s="104">
        <v>-4.5183130404153236</v>
      </c>
      <c r="V12" s="104">
        <v>-4.5183130404153236</v>
      </c>
      <c r="W12" s="109">
        <v>19353.177125773364</v>
      </c>
    </row>
    <row r="13" spans="1:23">
      <c r="A13" s="99" t="s">
        <v>291</v>
      </c>
      <c r="B13" s="99" t="s">
        <v>335</v>
      </c>
      <c r="D13" s="104" t="s">
        <v>176</v>
      </c>
      <c r="F13" s="104">
        <v>6.6280469595846752</v>
      </c>
      <c r="H13" s="104">
        <v>6.6280469595846752</v>
      </c>
      <c r="I13" s="104">
        <v>6.6280469595846752</v>
      </c>
      <c r="K13" s="104">
        <v>6.6280469595846752</v>
      </c>
      <c r="L13" s="104">
        <v>6.9485897888135204</v>
      </c>
      <c r="N13" s="104">
        <v>6.9485897888135204</v>
      </c>
      <c r="O13" s="104">
        <v>5.2285897888135198</v>
      </c>
      <c r="Q13" s="104">
        <v>5.2285897888135198</v>
      </c>
      <c r="R13" s="104">
        <v>-6.7697408787540283</v>
      </c>
      <c r="S13" s="104">
        <v>-6.7697408787540283</v>
      </c>
      <c r="T13" s="104">
        <v>-0.50695304041532441</v>
      </c>
      <c r="V13" s="104">
        <v>-0.50695304041532441</v>
      </c>
      <c r="W13" s="109">
        <v>6.2354178626341752E-2</v>
      </c>
    </row>
    <row r="14" spans="1:23">
      <c r="A14" s="99" t="s">
        <v>293</v>
      </c>
      <c r="B14" s="99" t="s">
        <v>336</v>
      </c>
      <c r="D14" s="104" t="s">
        <v>176</v>
      </c>
      <c r="F14" s="104">
        <v>0.9944469595846761</v>
      </c>
      <c r="H14" s="104">
        <v>0.9944469595846761</v>
      </c>
      <c r="I14" s="104">
        <v>0.9944469595846761</v>
      </c>
      <c r="K14" s="104">
        <v>0.9944469595846761</v>
      </c>
      <c r="L14" s="104">
        <v>1.2589897888135213</v>
      </c>
      <c r="N14" s="104">
        <v>1.2589897888135213</v>
      </c>
      <c r="O14" s="104">
        <v>0.50198978881352141</v>
      </c>
      <c r="Q14" s="104">
        <v>0.50198978881352141</v>
      </c>
      <c r="R14" s="104">
        <v>-4.4633408787540274</v>
      </c>
      <c r="S14" s="104">
        <v>-4.4633408787540274</v>
      </c>
      <c r="T14" s="104">
        <v>-5.972553040415324</v>
      </c>
      <c r="V14" s="104">
        <v>-5.972553040415324</v>
      </c>
      <c r="W14" s="109">
        <v>28997.036043393582</v>
      </c>
    </row>
    <row r="15" spans="1:23">
      <c r="A15" s="99" t="s">
        <v>295</v>
      </c>
      <c r="B15" s="99" t="s">
        <v>337</v>
      </c>
      <c r="D15" s="104" t="s">
        <v>176</v>
      </c>
      <c r="F15" s="104">
        <v>4.1331669595846749</v>
      </c>
      <c r="H15" s="104">
        <v>4.1331669595846749</v>
      </c>
      <c r="I15" s="104">
        <v>4.1331669595846749</v>
      </c>
      <c r="K15" s="104">
        <v>4.1331669595846749</v>
      </c>
      <c r="L15" s="104">
        <v>4.4289097888135194</v>
      </c>
      <c r="N15" s="104">
        <v>4.4289097888135194</v>
      </c>
      <c r="O15" s="104">
        <v>3.890309788813521</v>
      </c>
      <c r="Q15" s="104">
        <v>3.890309788813521</v>
      </c>
      <c r="R15" s="104">
        <v>-5.4346208787540276</v>
      </c>
      <c r="S15" s="104">
        <v>-5.4346208787540276</v>
      </c>
      <c r="T15" s="104">
        <v>-2.9274330404153242</v>
      </c>
      <c r="V15" s="104">
        <v>-2.9274330404153242</v>
      </c>
      <c r="W15" s="109">
        <v>13.913713006399314</v>
      </c>
    </row>
    <row r="16" spans="1:23">
      <c r="A16" s="99" t="s">
        <v>297</v>
      </c>
      <c r="B16" s="99" t="s">
        <v>338</v>
      </c>
      <c r="D16" s="104" t="s">
        <v>176</v>
      </c>
      <c r="F16" s="104">
        <v>1.2459469595846759</v>
      </c>
      <c r="H16" s="104">
        <v>1.2459469595846759</v>
      </c>
      <c r="I16" s="104">
        <v>1.2459469595846759</v>
      </c>
      <c r="K16" s="104">
        <v>1.2459469595846759</v>
      </c>
      <c r="L16" s="104">
        <v>1.5129897888135211</v>
      </c>
      <c r="N16" s="104">
        <v>1.5129897888135211</v>
      </c>
      <c r="O16" s="104">
        <v>0.77348978881352126</v>
      </c>
      <c r="Q16" s="104">
        <v>0.77348978881352126</v>
      </c>
      <c r="R16" s="104">
        <v>-4.1718408787540273</v>
      </c>
      <c r="S16" s="104">
        <v>-4.1718408787540273</v>
      </c>
      <c r="T16" s="104">
        <v>-5.7285530404153233</v>
      </c>
      <c r="V16" s="104">
        <v>-5.7285530404153233</v>
      </c>
      <c r="W16" s="109">
        <v>11849.415113209192</v>
      </c>
    </row>
    <row r="17" spans="1:23">
      <c r="A17" s="99" t="s">
        <v>299</v>
      </c>
      <c r="B17" s="99" t="s">
        <v>339</v>
      </c>
      <c r="D17" s="104" t="s">
        <v>323</v>
      </c>
      <c r="E17" s="104">
        <v>6.8</v>
      </c>
      <c r="F17" s="104">
        <v>3.8011869595846761</v>
      </c>
      <c r="G17" s="104">
        <v>0.30118695958467601</v>
      </c>
      <c r="H17" s="104">
        <v>3.1044105663688377</v>
      </c>
      <c r="I17" s="104">
        <v>3.8011869595846761</v>
      </c>
      <c r="J17" s="104">
        <v>0.30118695958467601</v>
      </c>
      <c r="K17" s="104">
        <v>3.1044105663688377</v>
      </c>
      <c r="L17" s="104">
        <v>4.0936297888135202</v>
      </c>
      <c r="M17" s="104">
        <v>3.0936297888135211</v>
      </c>
      <c r="N17" s="104">
        <v>3.5418474582141184</v>
      </c>
      <c r="O17" s="104">
        <v>3.5319297888135215</v>
      </c>
      <c r="P17" s="104">
        <v>3.5319297888135215</v>
      </c>
      <c r="Q17" s="104">
        <v>3.5319297888135215</v>
      </c>
      <c r="R17" s="104">
        <v>-3.6366008787540283</v>
      </c>
      <c r="S17" s="104">
        <v>-4.3339236724627241</v>
      </c>
      <c r="T17" s="104">
        <v>-3.2495130404153239</v>
      </c>
      <c r="U17" s="104">
        <v>-6.749513040415323</v>
      </c>
      <c r="V17" s="104">
        <v>-3.9462894336311627</v>
      </c>
      <c r="W17" s="109">
        <v>3212.9607720423433</v>
      </c>
    </row>
    <row r="18" spans="1:23">
      <c r="A18" s="99" t="s">
        <v>301</v>
      </c>
      <c r="B18" s="99" t="s">
        <v>340</v>
      </c>
      <c r="D18" s="104" t="s">
        <v>176</v>
      </c>
      <c r="F18" s="104">
        <v>0.26006695958467607</v>
      </c>
      <c r="H18" s="104">
        <v>0.26006695958467607</v>
      </c>
      <c r="I18" s="104">
        <v>0.26006695958467607</v>
      </c>
      <c r="K18" s="104">
        <v>0.26006695958467607</v>
      </c>
      <c r="L18" s="104">
        <v>0.5173097888135213</v>
      </c>
      <c r="N18" s="104">
        <v>0.5173097888135213</v>
      </c>
      <c r="O18" s="104">
        <v>-0.29079021118647858</v>
      </c>
      <c r="Q18" s="104">
        <v>-0.29079021118647858</v>
      </c>
      <c r="R18" s="104">
        <v>-3.7177208787540281</v>
      </c>
      <c r="S18" s="104">
        <v>-3.7177208787540281</v>
      </c>
      <c r="T18" s="104">
        <v>-6.6850330404153233</v>
      </c>
      <c r="V18" s="104">
        <v>-6.6850330404153233</v>
      </c>
      <c r="W18" s="109">
        <v>811872.9933723202</v>
      </c>
    </row>
    <row r="19" spans="1:23">
      <c r="A19" s="99" t="s">
        <v>303</v>
      </c>
      <c r="B19" s="99" t="s">
        <v>341</v>
      </c>
      <c r="D19" s="104" t="s">
        <v>176</v>
      </c>
      <c r="F19" s="104">
        <v>3.8313669595846762</v>
      </c>
      <c r="H19" s="104">
        <v>3.8313669595846762</v>
      </c>
      <c r="I19" s="104">
        <v>3.8313669595846762</v>
      </c>
      <c r="K19" s="104">
        <v>3.8313669595846762</v>
      </c>
      <c r="L19" s="104">
        <v>4.124109788813521</v>
      </c>
      <c r="N19" s="104">
        <v>4.124109788813521</v>
      </c>
      <c r="O19" s="104">
        <v>3.5645097888135213</v>
      </c>
      <c r="Q19" s="104">
        <v>3.5645097888135213</v>
      </c>
      <c r="R19" s="104">
        <v>-3.9464208787540276</v>
      </c>
      <c r="S19" s="104">
        <v>-3.9464208787540276</v>
      </c>
      <c r="T19" s="104">
        <v>-3.2202330404153239</v>
      </c>
      <c r="V19" s="104">
        <v>-3.2202330404153239</v>
      </c>
      <c r="W19" s="109">
        <v>3.4432112968270956</v>
      </c>
    </row>
    <row r="20" spans="1:23">
      <c r="A20" s="99" t="s">
        <v>305</v>
      </c>
      <c r="B20" s="99" t="s">
        <v>342</v>
      </c>
      <c r="D20" s="104" t="s">
        <v>176</v>
      </c>
      <c r="F20" s="104">
        <v>1.7590069595846756</v>
      </c>
      <c r="H20" s="104">
        <v>1.7590069595846756</v>
      </c>
      <c r="I20" s="104">
        <v>1.7590069595846756</v>
      </c>
      <c r="K20" s="104">
        <v>1.7590069595846756</v>
      </c>
      <c r="L20" s="104">
        <v>2.0311497888135208</v>
      </c>
      <c r="N20" s="104">
        <v>2.0311497888135208</v>
      </c>
      <c r="O20" s="104">
        <v>1.3273497888135213</v>
      </c>
      <c r="Q20" s="104">
        <v>1.3273497888135213</v>
      </c>
      <c r="R20" s="104">
        <v>-3.5987808787540283</v>
      </c>
      <c r="S20" s="104">
        <v>-3.5987808787540283</v>
      </c>
      <c r="T20" s="104">
        <v>-5.2307930404153238</v>
      </c>
      <c r="V20" s="104">
        <v>-5.2307930404153238</v>
      </c>
      <c r="W20" s="109">
        <v>4478.6231351821125</v>
      </c>
    </row>
    <row r="21" spans="1:23">
      <c r="A21" s="99" t="s">
        <v>307</v>
      </c>
      <c r="B21" s="99" t="s">
        <v>343</v>
      </c>
      <c r="D21" s="104" t="s">
        <v>176</v>
      </c>
      <c r="F21" s="104">
        <v>2.7951869595846759</v>
      </c>
      <c r="H21" s="104">
        <v>2.7951869595846759</v>
      </c>
      <c r="I21" s="104">
        <v>2.7951869595846759</v>
      </c>
      <c r="K21" s="104">
        <v>2.7951869595846759</v>
      </c>
      <c r="L21" s="104">
        <v>3.0776297888135211</v>
      </c>
      <c r="N21" s="104">
        <v>3.0776297888135211</v>
      </c>
      <c r="O21" s="104">
        <v>2.4459297888135212</v>
      </c>
      <c r="Q21" s="104">
        <v>2.4459297888135212</v>
      </c>
      <c r="R21" s="104">
        <v>-4.8626008787540282</v>
      </c>
      <c r="S21" s="104">
        <v>-4.8626008787540282</v>
      </c>
      <c r="T21" s="104">
        <v>-4.2255130404153238</v>
      </c>
      <c r="V21" s="104">
        <v>-4.2255130404153238</v>
      </c>
      <c r="W21" s="109">
        <v>114.32503946850292</v>
      </c>
    </row>
    <row r="22" spans="1:23">
      <c r="A22" s="99" t="s">
        <v>309</v>
      </c>
      <c r="B22" s="99" t="s">
        <v>344</v>
      </c>
      <c r="D22" s="104" t="s">
        <v>176</v>
      </c>
      <c r="F22" s="104">
        <v>6.4469669595846755</v>
      </c>
      <c r="H22" s="104">
        <v>6.4469669595846755</v>
      </c>
      <c r="I22" s="104">
        <v>6.4469669595846755</v>
      </c>
      <c r="K22" s="104">
        <v>6.4469669595846755</v>
      </c>
      <c r="L22" s="104">
        <v>6.7657097888135214</v>
      </c>
      <c r="N22" s="104">
        <v>6.7657097888135214</v>
      </c>
      <c r="O22" s="104">
        <v>5.1609097888135214</v>
      </c>
      <c r="Q22" s="104">
        <v>5.1609097888135214</v>
      </c>
      <c r="R22" s="104">
        <v>-3.2508208787540278</v>
      </c>
      <c r="S22" s="104">
        <v>-3.2508208787540278</v>
      </c>
      <c r="T22" s="104">
        <v>-0.68263304041532424</v>
      </c>
      <c r="V22" s="104">
        <v>-0.68263304041532424</v>
      </c>
      <c r="W22" s="99">
        <v>0.15210010999615833</v>
      </c>
    </row>
    <row r="23" spans="1:23">
      <c r="A23" s="99" t="s">
        <v>311</v>
      </c>
      <c r="B23" s="99" t="s">
        <v>345</v>
      </c>
      <c r="D23" s="104" t="s">
        <v>176</v>
      </c>
      <c r="F23" s="104">
        <v>3.4088469595846758</v>
      </c>
      <c r="H23" s="104">
        <v>3.4088469595846758</v>
      </c>
      <c r="I23" s="104">
        <v>3.4088469595846758</v>
      </c>
      <c r="K23" s="104">
        <v>3.4088469595846758</v>
      </c>
      <c r="L23" s="104">
        <v>3.697389788813521</v>
      </c>
      <c r="N23" s="104">
        <v>3.697389788813521</v>
      </c>
      <c r="O23" s="104">
        <v>3.108389788813521</v>
      </c>
      <c r="Q23" s="104">
        <v>3.108389788813521</v>
      </c>
      <c r="R23" s="104">
        <v>-2.5889408787540278</v>
      </c>
      <c r="S23" s="104">
        <v>-2.5889408787540278</v>
      </c>
      <c r="T23" s="104">
        <v>-3.6301530404153244</v>
      </c>
      <c r="V23" s="104">
        <v>-3.6301530404153244</v>
      </c>
      <c r="W23" s="99">
        <v>24.639754590884095</v>
      </c>
    </row>
    <row r="24" spans="1:23">
      <c r="A24" s="99" t="s">
        <v>313</v>
      </c>
      <c r="B24" s="99" t="s">
        <v>346</v>
      </c>
      <c r="D24" s="104" t="s">
        <v>176</v>
      </c>
      <c r="F24" s="104">
        <v>4.1029869595846762</v>
      </c>
      <c r="H24" s="104">
        <v>4.1029869595846762</v>
      </c>
      <c r="I24" s="104">
        <v>4.1029869595846762</v>
      </c>
      <c r="K24" s="104">
        <v>4.1029869595846762</v>
      </c>
      <c r="L24" s="104">
        <v>4.3984297888135213</v>
      </c>
      <c r="N24" s="104">
        <v>4.3984297888135213</v>
      </c>
      <c r="O24" s="104">
        <v>3.8577297888135216</v>
      </c>
      <c r="Q24" s="104">
        <v>3.8577297888135216</v>
      </c>
      <c r="R24" s="104">
        <v>-1.0048008787540281</v>
      </c>
      <c r="S24" s="104">
        <v>-1.0048008787540281</v>
      </c>
      <c r="T24" s="104">
        <v>-2.9567130404153237</v>
      </c>
      <c r="V24" s="104">
        <v>-2.9567130404153237</v>
      </c>
      <c r="W24" s="99">
        <v>35.810466474976117</v>
      </c>
    </row>
    <row r="25" spans="1:23">
      <c r="A25" s="99" t="s">
        <v>315</v>
      </c>
      <c r="B25" s="99" t="s">
        <v>347</v>
      </c>
      <c r="D25" s="104" t="s">
        <v>176</v>
      </c>
      <c r="F25" s="104">
        <v>3.5396269595846759</v>
      </c>
      <c r="H25" s="104">
        <v>3.5396269595846759</v>
      </c>
      <c r="I25" s="104">
        <v>3.5396269595846759</v>
      </c>
      <c r="K25" s="104">
        <v>3.5396269595846759</v>
      </c>
      <c r="L25" s="104">
        <v>3.8294697888135216</v>
      </c>
      <c r="N25" s="104">
        <v>3.8294697888135216</v>
      </c>
      <c r="O25" s="104">
        <v>3.2495697888135213</v>
      </c>
      <c r="Q25" s="104">
        <v>3.2495697888135213</v>
      </c>
      <c r="R25" s="104">
        <v>-1.1581608787540281</v>
      </c>
      <c r="S25" s="104">
        <v>-1.1581608787540281</v>
      </c>
      <c r="T25" s="104">
        <v>-3.5032730404153236</v>
      </c>
      <c r="V25" s="104">
        <v>-3.5032730404153236</v>
      </c>
      <c r="W25" s="99">
        <v>111.35122287035716</v>
      </c>
    </row>
    <row r="26" spans="1:23">
      <c r="A26" s="99" t="s">
        <v>317</v>
      </c>
      <c r="B26" s="99" t="s">
        <v>348</v>
      </c>
      <c r="D26" s="104" t="s">
        <v>176</v>
      </c>
      <c r="F26" s="104">
        <v>1.3465469595846757</v>
      </c>
      <c r="H26" s="104">
        <v>1.3465469595846757</v>
      </c>
      <c r="I26" s="104">
        <v>1.3465469595846757</v>
      </c>
      <c r="K26" s="104">
        <v>1.3465469595846757</v>
      </c>
      <c r="L26" s="104">
        <v>1.614589788813521</v>
      </c>
      <c r="N26" s="104">
        <v>1.614589788813521</v>
      </c>
      <c r="O26" s="104">
        <v>0.88208978881352129</v>
      </c>
      <c r="Q26" s="104">
        <v>0.88208978881352129</v>
      </c>
      <c r="R26" s="104">
        <v>-1.381240878754028</v>
      </c>
      <c r="S26" s="104">
        <v>-1.381240878754028</v>
      </c>
      <c r="T26" s="104">
        <v>-5.6309530404153234</v>
      </c>
      <c r="V26" s="104">
        <v>-5.6309530404153234</v>
      </c>
      <c r="W26" s="99">
        <v>12104.146370952893</v>
      </c>
    </row>
    <row r="27" spans="1:23">
      <c r="A27" s="99" t="s">
        <v>319</v>
      </c>
      <c r="B27" s="99" t="s">
        <v>349</v>
      </c>
      <c r="D27" s="104" t="s">
        <v>176</v>
      </c>
      <c r="F27" s="104">
        <v>3.5094469595846762</v>
      </c>
      <c r="H27" s="104">
        <v>3.5094469595846762</v>
      </c>
      <c r="I27" s="104">
        <v>3.5094469595846762</v>
      </c>
      <c r="K27" s="104">
        <v>3.5094469595846762</v>
      </c>
      <c r="L27" s="104">
        <v>3.7989897888135209</v>
      </c>
      <c r="N27" s="104">
        <v>3.7989897888135209</v>
      </c>
      <c r="O27" s="104">
        <v>3.216989788813521</v>
      </c>
      <c r="Q27" s="104">
        <v>3.216989788813521</v>
      </c>
      <c r="R27" s="104">
        <v>-0.69834087875402817</v>
      </c>
      <c r="S27" s="104">
        <v>-0.69834087875402817</v>
      </c>
      <c r="T27" s="104">
        <v>-3.532553040415324</v>
      </c>
      <c r="V27" s="104">
        <v>-3.532553040415324</v>
      </c>
      <c r="W27" s="99">
        <v>215.2447722293993</v>
      </c>
    </row>
    <row r="28" spans="1:23">
      <c r="A28" s="99" t="s">
        <v>321</v>
      </c>
      <c r="B28" s="99" t="s">
        <v>350</v>
      </c>
      <c r="D28" s="104" t="s">
        <v>176</v>
      </c>
      <c r="F28" s="104">
        <v>3.1774669595846756</v>
      </c>
      <c r="H28" s="104">
        <v>3.1774669595846756</v>
      </c>
      <c r="I28" s="104">
        <v>3.1774669595846756</v>
      </c>
      <c r="K28" s="104">
        <v>3.1774669595846756</v>
      </c>
      <c r="L28" s="104">
        <v>3.4637097888135209</v>
      </c>
      <c r="N28" s="104">
        <v>3.4637097888135209</v>
      </c>
      <c r="O28" s="104">
        <v>2.8586097888135211</v>
      </c>
      <c r="Q28" s="104">
        <v>2.8586097888135211</v>
      </c>
      <c r="R28" s="104">
        <v>0.7696791212459716</v>
      </c>
      <c r="S28" s="104">
        <v>0.7696791212459716</v>
      </c>
      <c r="T28" s="104">
        <v>-3.8546330404153242</v>
      </c>
      <c r="V28" s="104">
        <v>-3.8546330404153242</v>
      </c>
      <c r="W28" s="99">
        <v>255.25297410122269</v>
      </c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2025-01-17T12:11:42Z</dcterms:modified>
</cp:coreProperties>
</file>