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1D3E1237-5D2B-400C-B641-5D90E7E504A2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<sst xmlns="http://schemas.openxmlformats.org/spreadsheetml/2006/main" count="2915" uniqueCount="495">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</sst>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8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1.3440000000000001E-2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1.3440000000000001E-2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3.3600000000000004E-4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4.7712000000000007E-5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1.3648150476297054E-5</v>
      </c>
      <c r="J2" s="67" t="s">
        <v>231</v>
      </c>
      <c r="K2" s="68">
        <v>7.5903716492856021E-3</v>
      </c>
      <c r="L2" s="67" t="s">
        <v>231</v>
      </c>
      <c r="M2" s="68">
        <v>5.2819536829764022E-2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8.8064631200806859E-4</v>
      </c>
      <c r="J3" s="67" t="s">
        <v>231</v>
      </c>
      <c r="K3" s="68">
        <v>0.41904957177650909</v>
      </c>
      <c r="L3" s="67" t="s">
        <v>231</v>
      </c>
      <c r="M3" s="68">
        <v>3.1527965252171901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1.7277197313904735E-3</v>
      </c>
      <c r="J4" s="67" t="s">
        <v>231</v>
      </c>
      <c r="K4" s="68">
        <v>4.037856902782333E-2</v>
      </c>
      <c r="L4" s="67" t="s">
        <v>231</v>
      </c>
      <c r="M4" s="68">
        <v>0.29908722701435758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1.4837831204340679E-3</v>
      </c>
      <c r="J5" s="67" t="s">
        <v>231</v>
      </c>
      <c r="K5" s="68">
        <v>0.13345615460988799</v>
      </c>
      <c r="L5" s="67" t="s">
        <v>231</v>
      </c>
      <c r="M5" s="68">
        <v>0.9999172796998328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2.3564926164265955E-3</v>
      </c>
      <c r="J6" s="67" t="s">
        <v>231</v>
      </c>
      <c r="K6" s="68">
        <v>0.48091160674191996</v>
      </c>
      <c r="L6" s="67" t="s">
        <v>231</v>
      </c>
      <c r="M6" s="68">
        <v>3.62212766151023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3.490663711066944E-4</v>
      </c>
      <c r="J7" s="67" t="s">
        <v>231</v>
      </c>
      <c r="K7" s="68">
        <v>0.43025061968999123</v>
      </c>
      <c r="L7" s="67" t="s">
        <v>231</v>
      </c>
      <c r="M7" s="68">
        <v>3.2375820732513203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6.9069635098557283E-4</v>
      </c>
      <c r="J8" s="67" t="s">
        <v>231</v>
      </c>
      <c r="K8" s="68">
        <v>0.35067912360285641</v>
      </c>
      <c r="L8" s="67" t="s">
        <v>231</v>
      </c>
      <c r="M8" s="68">
        <v>2.6357421702523123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2.1250972714714281E-4</v>
      </c>
      <c r="J9" s="67" t="s">
        <v>231</v>
      </c>
      <c r="K9" s="68">
        <v>7.9344777806852979E-2</v>
      </c>
      <c r="L9" s="67" t="s">
        <v>231</v>
      </c>
      <c r="M9" s="68">
        <v>0.59236092322851008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8.9061123124309219E-4</v>
      </c>
      <c r="J10" s="67" t="s">
        <v>231</v>
      </c>
      <c r="K10" s="68">
        <v>0.1423843720577681</v>
      </c>
      <c r="L10" s="67" t="s">
        <v>231</v>
      </c>
      <c r="M10" s="68">
        <v>1.0669901502384325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2.1822881131140177E-4</v>
      </c>
      <c r="J11" s="67" t="s">
        <v>231</v>
      </c>
      <c r="K11" s="68">
        <v>0.15807528059749823</v>
      </c>
      <c r="L11" s="67" t="s">
        <v>231</v>
      </c>
      <c r="M11" s="68">
        <v>1.1849019034724328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4.5593905570129708E-4</v>
      </c>
      <c r="J12" s="67" t="s">
        <v>231</v>
      </c>
      <c r="K12" s="68">
        <v>8.3076493512306893E-2</v>
      </c>
      <c r="L12" s="67" t="s">
        <v>231</v>
      </c>
      <c r="M12" s="68">
        <v>0.62069110017564921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9.9029727661883813E-3</v>
      </c>
      <c r="J13" s="67" t="s">
        <v>231</v>
      </c>
      <c r="K13" s="68">
        <v>7.9756236550974663E-2</v>
      </c>
      <c r="L13" s="67" t="s">
        <v>231</v>
      </c>
      <c r="M13" s="68">
        <v>0.5954781338596532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2.0496544482506165E-3</v>
      </c>
      <c r="J14" s="67" t="s">
        <v>231</v>
      </c>
      <c r="K14" s="68">
        <v>0.2128248764341337</v>
      </c>
      <c r="L14" s="67" t="s">
        <v>231</v>
      </c>
      <c r="M14" s="68">
        <v>1.5966496816099032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1.048903485868631E-3</v>
      </c>
      <c r="J15" s="67" t="s">
        <v>231</v>
      </c>
      <c r="K15" s="68">
        <v>0.15010547691703402</v>
      </c>
      <c r="L15" s="67" t="s">
        <v>231</v>
      </c>
      <c r="M15" s="68">
        <v>1.125006158411757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7.273844706886072E-4</v>
      </c>
      <c r="J16" s="67" t="s">
        <v>231</v>
      </c>
      <c r="K16" s="68">
        <v>0.34666704142749727</v>
      </c>
      <c r="L16" s="67" t="s">
        <v>231</v>
      </c>
      <c r="M16" s="68">
        <v>2.6054481206726674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6.2453750167702716E-4</v>
      </c>
      <c r="J17" s="67" t="s">
        <v>231</v>
      </c>
      <c r="K17" s="68">
        <v>0.13639543417003949</v>
      </c>
      <c r="L17" s="67" t="s">
        <v>231</v>
      </c>
      <c r="M17" s="68">
        <v>1.0219968154708816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1.5810977275967852E-3</v>
      </c>
      <c r="J18" s="67" t="s">
        <v>231</v>
      </c>
      <c r="K18" s="68">
        <v>7.7084616557709734E-2</v>
      </c>
      <c r="L18" s="67" t="s">
        <v>231</v>
      </c>
      <c r="M18" s="68">
        <v>0.57528236188277626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6.3741654771459488E-3</v>
      </c>
      <c r="J19" s="67" t="s">
        <v>231</v>
      </c>
      <c r="K19" s="68">
        <v>0.15168114543847888</v>
      </c>
      <c r="L19" s="67" t="s">
        <v>231</v>
      </c>
      <c r="M19" s="68">
        <v>1.1368469244500841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1.0247036983882414E-3</v>
      </c>
      <c r="J20" s="67" t="s">
        <v>231</v>
      </c>
      <c r="K20" s="68">
        <v>7.9766659334094825E-2</v>
      </c>
      <c r="L20" s="67" t="s">
        <v>231</v>
      </c>
      <c r="M20" s="68">
        <v>0.59555595272010131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2.9701152635364788E-3</v>
      </c>
      <c r="J21" s="67" t="s">
        <v>231</v>
      </c>
      <c r="K21" s="68">
        <v>0.19600989700929339</v>
      </c>
      <c r="L21" s="67" t="s">
        <v>231</v>
      </c>
      <c r="M21" s="68">
        <v>1.4701401621884842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8.5971826001911882E-5</v>
      </c>
      <c r="J22" s="67" t="s">
        <v>231</v>
      </c>
      <c r="K22" s="68">
        <v>2.1260869220476354E-2</v>
      </c>
      <c r="L22" s="67" t="s">
        <v>231</v>
      </c>
      <c r="M22" s="68">
        <v>0.15554961526114605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2.9221333005720726E-5</v>
      </c>
      <c r="J23" s="67" t="s">
        <v>231</v>
      </c>
      <c r="K23" s="68">
        <v>1.1100011794432972E-2</v>
      </c>
      <c r="L23" s="67" t="s">
        <v>231</v>
      </c>
      <c r="M23" s="68">
        <v>7.9212998583433711E-2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8.0011929295339021E-5</v>
      </c>
      <c r="J24" s="67" t="s">
        <v>231</v>
      </c>
      <c r="K24" s="68">
        <v>6.1794594393821539E-2</v>
      </c>
      <c r="L24" s="67" t="s">
        <v>231</v>
      </c>
      <c r="M24" s="68">
        <v>0.46002408071725231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3.9462291558341E-4</v>
      </c>
      <c r="J25" s="67" t="s">
        <v>231</v>
      </c>
      <c r="K25" s="68">
        <v>8.4897615402631701E-2</v>
      </c>
      <c r="L25" s="67" t="s">
        <v>231</v>
      </c>
      <c r="M25" s="68">
        <v>0.63485307410347391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7.8832682858586539E-4</v>
      </c>
      <c r="J26" s="67" t="s">
        <v>231</v>
      </c>
      <c r="K26" s="68">
        <v>0.18522705930814545</v>
      </c>
      <c r="L26" s="67" t="s">
        <v>231</v>
      </c>
      <c r="M26" s="68">
        <v>1.3890373689826012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4.849952119860722E-4</v>
      </c>
      <c r="J27" s="67" t="s">
        <v>231</v>
      </c>
      <c r="K27" s="68">
        <v>0.41096782066856657</v>
      </c>
      <c r="L27" s="67" t="s">
        <v>231</v>
      </c>
      <c r="M27" s="68">
        <v>3.0915836816341855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2.7313237778462415E-4</v>
      </c>
      <c r="J28" s="67" t="s">
        <v>231</v>
      </c>
      <c r="K28" s="68">
        <v>0.2659354360048275</v>
      </c>
      <c r="L28" s="67" t="s">
        <v>231</v>
      </c>
      <c r="M28" s="68">
        <v>1.9965527396661626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1.7075983435906403E-4</v>
      </c>
      <c r="J29" s="67" t="s">
        <v>231</v>
      </c>
      <c r="K29" s="68">
        <v>0.20189652570822131</v>
      </c>
      <c r="L29" s="67" t="s">
        <v>231</v>
      </c>
      <c r="M29" s="68">
        <v>1.5145396147275105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2.7313237778462415E-4</v>
      </c>
      <c r="J30" s="67" t="s">
        <v>231</v>
      </c>
      <c r="K30" s="68">
        <v>0.2659354360048275</v>
      </c>
      <c r="L30" s="67" t="s">
        <v>231</v>
      </c>
      <c r="M30" s="68">
        <v>1.9965527396661626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8.1332846929929866E-8</v>
      </c>
      <c r="J31" s="67" t="s">
        <v>231</v>
      </c>
      <c r="K31" s="68">
        <v>7.5548933609334741E-4</v>
      </c>
      <c r="L31" s="67" t="s">
        <v>231</v>
      </c>
      <c r="M31" s="68">
        <v>1.1400429054821844E-3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8.3381386663662826E-6</v>
      </c>
      <c r="J32" s="67" t="s">
        <v>231</v>
      </c>
      <c r="K32" s="68">
        <v>3.2621356792653863E-2</v>
      </c>
      <c r="L32" s="67" t="s">
        <v>231</v>
      </c>
      <c r="M32" s="68">
        <v>0.24044279463633622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8.1321325400188927E-8</v>
      </c>
      <c r="J33" s="67" t="s">
        <v>231</v>
      </c>
      <c r="K33" s="68">
        <v>6.8312093762911091E-4</v>
      </c>
      <c r="L33" s="67" t="s">
        <v>231</v>
      </c>
      <c r="M33" s="68">
        <v>5.9122578539058657E-4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1.9324060088313629E-10</v>
      </c>
      <c r="J34" s="67" t="s">
        <v>231</v>
      </c>
      <c r="K34" s="68">
        <v>5.6283785543704444E-3</v>
      </c>
      <c r="L34" s="67" t="s">
        <v>231</v>
      </c>
      <c r="M34" s="68">
        <v>4.4936614803887269E-2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1.9704386712755035E-7</v>
      </c>
      <c r="J35" s="67" t="s">
        <v>231</v>
      </c>
      <c r="K35" s="68">
        <v>7.6885090388962704E-3</v>
      </c>
      <c r="L35" s="67" t="s">
        <v>231</v>
      </c>
      <c r="M35" s="68">
        <v>6.3544030744449712E-2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1.7947399291682085E-7</v>
      </c>
      <c r="J36" s="67" t="s">
        <v>231</v>
      </c>
      <c r="K36" s="68">
        <v>9.1704166971206813E-3</v>
      </c>
      <c r="L36" s="67" t="s">
        <v>231</v>
      </c>
      <c r="M36" s="68">
        <v>7.717629316144585E-2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1.9215139255643371E-6</v>
      </c>
      <c r="J37" s="67" t="s">
        <v>231</v>
      </c>
      <c r="K37" s="68">
        <v>2.2546335898474566E-2</v>
      </c>
      <c r="L37" s="67" t="s">
        <v>231</v>
      </c>
      <c r="M37" s="68">
        <v>0.17367053088872267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1.0505627544843539E-6</v>
      </c>
      <c r="J38" s="67" t="s">
        <v>231</v>
      </c>
      <c r="K38" s="68">
        <v>5.1403345073814588E-3</v>
      </c>
      <c r="L38" s="67" t="s">
        <v>231</v>
      </c>
      <c r="M38" s="68">
        <v>4.0244201005090997E-2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2.0372372022974214E-4</v>
      </c>
      <c r="J39" s="67" t="s">
        <v>231</v>
      </c>
      <c r="K39" s="68">
        <v>8.9272364455398115E-2</v>
      </c>
      <c r="L39" s="67" t="s">
        <v>231</v>
      </c>
      <c r="M39" s="68">
        <v>0.6682061686946742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6.7396030602809196E-10</v>
      </c>
      <c r="J40" s="67" t="s">
        <v>231</v>
      </c>
      <c r="K40" s="68">
        <v>0.54941075313005117</v>
      </c>
      <c r="L40" s="67" t="s">
        <v>231</v>
      </c>
      <c r="M40" s="68">
        <v>4.6293652734397641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2.6238561687719622E-8</v>
      </c>
      <c r="J41" s="67" t="s">
        <v>231</v>
      </c>
      <c r="K41" s="68">
        <v>5.7159097388269483E-4</v>
      </c>
      <c r="L41" s="67" t="s">
        <v>231</v>
      </c>
      <c r="M41" s="68">
        <v>6.4436998106926716E-5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9.3848318847520413E-4</v>
      </c>
      <c r="J42" s="67" t="s">
        <v>231</v>
      </c>
      <c r="K42" s="68">
        <v>2.4395450415315812E-2</v>
      </c>
      <c r="L42" s="67" t="s">
        <v>231</v>
      </c>
      <c r="M42" s="68">
        <v>0.17907849548079297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4.6791488105698639E-9</v>
      </c>
      <c r="J43" s="67" t="s">
        <v>231</v>
      </c>
      <c r="K43" s="68">
        <v>1.9323571730112225E-2</v>
      </c>
      <c r="L43" s="67" t="s">
        <v>231</v>
      </c>
      <c r="M43" s="68">
        <v>0.16355694435410692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1.0649473376441599E-6</v>
      </c>
      <c r="J44" s="67" t="s">
        <v>231</v>
      </c>
      <c r="K44" s="68">
        <v>4.3829958534554172E-3</v>
      </c>
      <c r="L44" s="67" t="s">
        <v>231</v>
      </c>
      <c r="M44" s="68">
        <v>2.9035289231107538E-2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8.2117297849905737E-5</v>
      </c>
      <c r="J45" s="67" t="s">
        <v>231</v>
      </c>
      <c r="K45" s="68">
        <v>2.7345473832240681E-2</v>
      </c>
      <c r="L45" s="67" t="s">
        <v>231</v>
      </c>
      <c r="M45" s="68">
        <v>0.20123075648771777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1.8487133378385738E-6</v>
      </c>
      <c r="J46" s="67" t="s">
        <v>231</v>
      </c>
      <c r="K46" s="68">
        <v>2.5434593400398435E-2</v>
      </c>
      <c r="L46" s="67" t="s">
        <v>231</v>
      </c>
      <c r="M46" s="68">
        <v>0.18688890600115252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2.2340749182019875E-3</v>
      </c>
      <c r="J47" s="142" t="s">
        <v>231</v>
      </c>
      <c r="K47" s="143">
        <v>0.42036233267099643</v>
      </c>
      <c r="L47" s="142" t="s">
        <v>231</v>
      </c>
      <c r="M47" s="143">
        <v>3.1626733232509752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1.8049527630549482E-6</v>
      </c>
      <c r="J48" s="142" t="s">
        <v>231</v>
      </c>
      <c r="K48" s="143">
        <v>1.9336888516538926E-3</v>
      </c>
      <c r="L48" s="142" t="s">
        <v>231</v>
      </c>
      <c r="M48" s="143">
        <v>1.0202806139532793E-2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5.0277859976499211E-6</v>
      </c>
      <c r="J49" s="142" t="s">
        <v>231</v>
      </c>
      <c r="K49" s="143">
        <v>2.8873892550248196E-3</v>
      </c>
      <c r="L49" s="142" t="s">
        <v>231</v>
      </c>
      <c r="M49" s="143">
        <v>1.7469129098711216E-2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6.948499825624144E-6</v>
      </c>
      <c r="J50" s="142" t="s">
        <v>231</v>
      </c>
      <c r="K50" s="143">
        <v>7.6081576438936899E-2</v>
      </c>
      <c r="L50" s="142" t="s">
        <v>231</v>
      </c>
      <c r="M50" s="143">
        <v>0.56772623950764045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4.0228674648102347E-8</v>
      </c>
      <c r="J51" s="142" t="s">
        <v>231</v>
      </c>
      <c r="K51" s="143">
        <v>8.0694816427792659E-4</v>
      </c>
      <c r="L51" s="142" t="s">
        <v>231</v>
      </c>
      <c r="M51" s="143">
        <v>1.8505763212194721E-3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1.0738685734394211E-5</v>
      </c>
      <c r="J52" s="142" t="s">
        <v>231</v>
      </c>
      <c r="K52" s="143">
        <v>6.9402772750426422E-3</v>
      </c>
      <c r="L52" s="142" t="s">
        <v>231</v>
      </c>
      <c r="M52" s="143">
        <v>4.8222893502528875E-2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1.5336450438956824E-4</v>
      </c>
      <c r="J53" s="142" t="s">
        <v>231</v>
      </c>
      <c r="K53" s="143">
        <v>3.7647970857111995E-2</v>
      </c>
      <c r="L53" s="142" t="s">
        <v>231</v>
      </c>
      <c r="M53" s="143">
        <v>0.27859043220354979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7.6922843518379791E-4</v>
      </c>
      <c r="J54" s="67" t="s">
        <v>231</v>
      </c>
      <c r="K54" s="68">
        <v>0.38867681349076594</v>
      </c>
      <c r="L54" s="67" t="s">
        <v>231</v>
      </c>
      <c r="M54" s="68">
        <v>2.9228895385101499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1.6827156325212336E-4</v>
      </c>
      <c r="J55" s="67" t="s">
        <v>231</v>
      </c>
      <c r="K55" s="68">
        <v>5.5759054954428282E-2</v>
      </c>
      <c r="L55" s="67" t="s">
        <v>231</v>
      </c>
      <c r="M55" s="68">
        <v>0.41525566939409442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5.0308750693632975E-5</v>
      </c>
      <c r="J56" s="67" t="s">
        <v>231</v>
      </c>
      <c r="K56" s="68">
        <v>3.3263949058543719E-2</v>
      </c>
      <c r="L56" s="67" t="s">
        <v>231</v>
      </c>
      <c r="M56" s="68">
        <v>0.24849996234384797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2.3816155852870191E-5</v>
      </c>
      <c r="J57" s="67" t="s">
        <v>231</v>
      </c>
      <c r="K57" s="68">
        <v>1.6345261515227642E-2</v>
      </c>
      <c r="L57" s="67" t="s">
        <v>231</v>
      </c>
      <c r="M57" s="68">
        <v>0.12182014401824763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2.5844574607559988E-7</v>
      </c>
      <c r="J58" s="67" t="s">
        <v>231</v>
      </c>
      <c r="K58" s="68">
        <v>2.4098059533953365E-4</v>
      </c>
      <c r="L58" s="67" t="s">
        <v>231</v>
      </c>
      <c r="M58" s="68">
        <v>1.5164644012261874E-3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5.735834376942167E-6</v>
      </c>
      <c r="J59" s="67" t="s">
        <v>231</v>
      </c>
      <c r="K59" s="68">
        <v>6.2892622468532612E-3</v>
      </c>
      <c r="L59" s="67" t="s">
        <v>231</v>
      </c>
      <c r="M59" s="68">
        <v>4.6865785762105226E-2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8.9709029847342695E-8</v>
      </c>
      <c r="J60" s="67" t="s">
        <v>231</v>
      </c>
      <c r="K60" s="68">
        <v>1.0906884318339349E-4</v>
      </c>
      <c r="L60" s="67" t="s">
        <v>231</v>
      </c>
      <c r="M60" s="68">
        <v>8.1089021785345867E-4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3.3240046673118813E-2</v>
      </c>
      <c r="J61" s="67" t="s">
        <v>232</v>
      </c>
      <c r="K61" s="68">
        <v>4.8032648724425517E-2</v>
      </c>
      <c r="L61" s="67" t="s">
        <v>231</v>
      </c>
      <c r="M61" s="68">
        <v>0.35657629649856931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3.5455459233445391E-5</v>
      </c>
      <c r="J62" s="67" t="s">
        <v>231</v>
      </c>
      <c r="K62" s="68">
        <v>0.20906282506894749</v>
      </c>
      <c r="L62" s="67" t="s">
        <v>231</v>
      </c>
      <c r="M62" s="68">
        <v>1.5683407630262556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2.2897193563274835E-4</v>
      </c>
      <c r="J63" s="67" t="s">
        <v>231</v>
      </c>
      <c r="K63" s="68">
        <v>0.46768360956922733</v>
      </c>
      <c r="L63" s="67" t="s">
        <v>231</v>
      </c>
      <c r="M63" s="68">
        <v>3.5215745592359751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1.6289664260857781E-4</v>
      </c>
      <c r="J64" s="67" t="s">
        <v>231</v>
      </c>
      <c r="K64" s="68">
        <v>0.52514780147661133</v>
      </c>
      <c r="L64" s="67" t="s">
        <v>231</v>
      </c>
      <c r="M64" s="68">
        <v>3.9595329539015598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2.4656031062703895E-4</v>
      </c>
      <c r="J65" s="67" t="s">
        <v>231</v>
      </c>
      <c r="K65" s="68">
        <v>0.56540521314516312</v>
      </c>
      <c r="L65" s="67" t="s">
        <v>231</v>
      </c>
      <c r="M65" s="68">
        <v>4.2694487664783729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9.7769111349019345E-7</v>
      </c>
      <c r="J66" s="67" t="s">
        <v>231</v>
      </c>
      <c r="K66" s="68">
        <v>0.54519871795051122</v>
      </c>
      <c r="L66" s="67" t="s">
        <v>231</v>
      </c>
      <c r="M66" s="68">
        <v>4.1133738440248466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3.7197401228159513E-4</v>
      </c>
      <c r="J67" s="67" t="s">
        <v>231</v>
      </c>
      <c r="K67" s="68">
        <v>5.5239844023240786E-3</v>
      </c>
      <c r="L67" s="67" t="s">
        <v>231</v>
      </c>
      <c r="M67" s="68">
        <v>3.7282441909803898E-2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1.478617471035995E-4</v>
      </c>
      <c r="J68" s="67" t="s">
        <v>231</v>
      </c>
      <c r="K68" s="68">
        <v>8.8581196291822213E-3</v>
      </c>
      <c r="L68" s="67" t="s">
        <v>231</v>
      </c>
      <c r="M68" s="68">
        <v>6.2398682509061131E-2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1.8790704783794561E-7</v>
      </c>
      <c r="J69" s="67" t="s">
        <v>231</v>
      </c>
      <c r="K69" s="68">
        <v>0.3404828634431753</v>
      </c>
      <c r="L69" s="67" t="s">
        <v>231</v>
      </c>
      <c r="M69" s="68">
        <v>2.5587650386158658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2.1630439550825699E-4</v>
      </c>
      <c r="J70" s="67" t="s">
        <v>231</v>
      </c>
      <c r="K70" s="68">
        <v>8.497675673335757E-2</v>
      </c>
      <c r="L70" s="67" t="s">
        <v>231</v>
      </c>
      <c r="M70" s="68">
        <v>0.63526517811972183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2.7670207876488273E-4</v>
      </c>
      <c r="J71" s="67" t="s">
        <v>231</v>
      </c>
      <c r="K71" s="68">
        <v>8.1151717248164317E-3</v>
      </c>
      <c r="L71" s="67" t="s">
        <v>231</v>
      </c>
      <c r="M71" s="68">
        <v>5.6872397570112879E-2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1.3089860773712614E-6</v>
      </c>
      <c r="J72" s="67" t="s">
        <v>231</v>
      </c>
      <c r="K72" s="68">
        <v>8.340597557269519E-2</v>
      </c>
      <c r="L72" s="67" t="s">
        <v>231</v>
      </c>
      <c r="M72" s="68">
        <v>0.62338165638693677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4.808003299623765E-3</v>
      </c>
      <c r="J73" s="67" t="s">
        <v>231</v>
      </c>
      <c r="K73" s="68">
        <v>4.9632694069178335E-2</v>
      </c>
      <c r="L73" s="67" t="s">
        <v>231</v>
      </c>
      <c r="M73" s="68">
        <v>0.36865250167701885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4.5330461881983773E-2</v>
      </c>
      <c r="J74" s="67" t="s">
        <v>232</v>
      </c>
      <c r="K74" s="68">
        <v>8.4636714980912769E-2</v>
      </c>
      <c r="L74" s="67" t="s">
        <v>231</v>
      </c>
      <c r="M74" s="68">
        <v>0.63268265191993811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2.2273512246193562E-13</v>
      </c>
      <c r="J75" s="67" t="s">
        <v>231</v>
      </c>
      <c r="K75" s="68">
        <v>6.3418367099065162E-2</v>
      </c>
      <c r="L75" s="67" t="s">
        <v>231</v>
      </c>
      <c r="M75" s="68">
        <v>0.53858217752861803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1.2253728206386444E-13</v>
      </c>
      <c r="J76" s="67" t="s">
        <v>231</v>
      </c>
      <c r="K76" s="68">
        <v>6.3418367132388881E-2</v>
      </c>
      <c r="L76" s="67" t="s">
        <v>231</v>
      </c>
      <c r="M76" s="68">
        <v>0.53858217781162065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2.448286434942E-7</v>
      </c>
      <c r="J77" s="67" t="s">
        <v>231</v>
      </c>
      <c r="K77" s="68">
        <v>7.0420995983240156E-2</v>
      </c>
      <c r="L77" s="67" t="s">
        <v>231</v>
      </c>
      <c r="M77" s="68">
        <v>0.52510973017782692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9.0407723362739183E-4</v>
      </c>
      <c r="J78" s="67" t="s">
        <v>231</v>
      </c>
      <c r="K78" s="68">
        <v>2.2226883848363996E-2</v>
      </c>
      <c r="L78" s="67" t="s">
        <v>231</v>
      </c>
      <c r="M78" s="68">
        <v>0.16293118460984946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1.6604491581852406E-5</v>
      </c>
      <c r="J79" s="67" t="s">
        <v>231</v>
      </c>
      <c r="K79" s="68">
        <v>3.8305097265830472E-2</v>
      </c>
      <c r="L79" s="67" t="s">
        <v>231</v>
      </c>
      <c r="M79" s="68">
        <v>0.283548534388541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1.3001109825312665E-14</v>
      </c>
      <c r="J80" s="67" t="s">
        <v>231</v>
      </c>
      <c r="K80" s="68">
        <v>0.12078332843443683</v>
      </c>
      <c r="L80" s="67" t="s">
        <v>231</v>
      </c>
      <c r="M80" s="68">
        <v>1.0257883372107823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2.2039238018957561E-5</v>
      </c>
      <c r="J81" s="67" t="s">
        <v>231</v>
      </c>
      <c r="K81" s="68">
        <v>8.2559882206089882E-4</v>
      </c>
      <c r="L81" s="67" t="s">
        <v>231</v>
      </c>
      <c r="M81" s="68">
        <v>1.6862941975759886E-3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3.3244194016706965E-5</v>
      </c>
      <c r="J82" s="67" t="s">
        <v>231</v>
      </c>
      <c r="K82" s="68">
        <v>1.0711850320411814E-2</v>
      </c>
      <c r="L82" s="67" t="s">
        <v>231</v>
      </c>
      <c r="M82" s="68">
        <v>7.6295115312576461E-2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2.7147718721967083E-5</v>
      </c>
      <c r="J83" s="67" t="s">
        <v>231</v>
      </c>
      <c r="K83" s="68">
        <v>6.8470726784918945E-2</v>
      </c>
      <c r="L83" s="67" t="s">
        <v>231</v>
      </c>
      <c r="M83" s="68">
        <v>0.5102802545296331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6.0638369936166697E-6</v>
      </c>
      <c r="J84" s="67" t="s">
        <v>231</v>
      </c>
      <c r="K84" s="68">
        <v>1.4972576173263095E-3</v>
      </c>
      <c r="L84" s="67" t="s">
        <v>231</v>
      </c>
      <c r="M84" s="68">
        <v>6.8329605357618228E-3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3.3094913295894769E-8</v>
      </c>
      <c r="J85" s="67" t="s">
        <v>231</v>
      </c>
      <c r="K85" s="68">
        <v>6.5537472637310242E-4</v>
      </c>
      <c r="L85" s="67" t="s">
        <v>231</v>
      </c>
      <c r="M85" s="68">
        <v>3.4590077906811E-4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2.3796369288962E-6</v>
      </c>
      <c r="J86" s="67" t="s">
        <v>231</v>
      </c>
      <c r="K86" s="68">
        <v>1.4578514560782418E-3</v>
      </c>
      <c r="L86" s="67" t="s">
        <v>231</v>
      </c>
      <c r="M86" s="68">
        <v>6.5328693073565119E-3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2.5666000036937611E-3</v>
      </c>
      <c r="J87" s="67" t="s">
        <v>231</v>
      </c>
      <c r="K87" s="68">
        <v>0.43980696998514435</v>
      </c>
      <c r="L87" s="67" t="s">
        <v>231</v>
      </c>
      <c r="M87" s="68">
        <v>3.3100155936683242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9.809864754878885E-5</v>
      </c>
      <c r="J88" s="67" t="s">
        <v>231</v>
      </c>
      <c r="K88" s="68">
        <v>1.848446915202244E-2</v>
      </c>
      <c r="L88" s="67" t="s">
        <v>231</v>
      </c>
      <c r="M88" s="68">
        <v>0.13469186382747708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2.6766561015170694E-5</v>
      </c>
      <c r="J89" s="67" t="s">
        <v>231</v>
      </c>
      <c r="K89" s="68">
        <v>1.1914205645504763E-2</v>
      </c>
      <c r="L89" s="67" t="s">
        <v>231</v>
      </c>
      <c r="M89" s="68">
        <v>8.5332352756218685E-2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1.7595631388581811E-6</v>
      </c>
      <c r="J90" s="67" t="s">
        <v>231</v>
      </c>
      <c r="K90" s="68">
        <v>3.5836261182444042E-3</v>
      </c>
      <c r="L90" s="67" t="s">
        <v>231</v>
      </c>
      <c r="M90" s="68">
        <v>2.2631091310779727E-2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2.13613984621227E-3</v>
      </c>
      <c r="J91" s="67" t="s">
        <v>231</v>
      </c>
      <c r="K91" s="68">
        <v>0.22819158569064774</v>
      </c>
      <c r="L91" s="67" t="s">
        <v>231</v>
      </c>
      <c r="M91" s="68">
        <v>1.71230537412725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1.8173692418405021E-2</v>
      </c>
      <c r="J92" s="67" t="s">
        <v>232</v>
      </c>
      <c r="K92" s="68">
        <v>6.1399292084328469E-2</v>
      </c>
      <c r="L92" s="67" t="s">
        <v>231</v>
      </c>
      <c r="M92" s="68">
        <v>0.45705001825575514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5.5211593597822416E-3</v>
      </c>
      <c r="J93" s="67" t="s">
        <v>231</v>
      </c>
      <c r="K93" s="68">
        <v>8.2918213728705503E-2</v>
      </c>
      <c r="L93" s="67" t="s">
        <v>231</v>
      </c>
      <c r="M93" s="68">
        <v>0.6194873199911457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6.4786909059605017E-9</v>
      </c>
      <c r="J94" s="67" t="s">
        <v>231</v>
      </c>
      <c r="K94" s="68">
        <v>1.9493527765815039E-3</v>
      </c>
      <c r="L94" s="67" t="s">
        <v>231</v>
      </c>
      <c r="M94" s="68">
        <v>1.187215717836914E-2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4.2443918010416328E-5</v>
      </c>
      <c r="J95" s="67" t="s">
        <v>231</v>
      </c>
      <c r="K95" s="68">
        <v>0.11814623221696868</v>
      </c>
      <c r="L95" s="67" t="s">
        <v>231</v>
      </c>
      <c r="M95" s="68">
        <v>0.88493479987070522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9.7182009915103846E-8</v>
      </c>
      <c r="J96" s="67" t="s">
        <v>231</v>
      </c>
      <c r="K96" s="68">
        <v>8.4111063229018858E-4</v>
      </c>
      <c r="L96" s="67" t="s">
        <v>231</v>
      </c>
      <c r="M96" s="68">
        <v>1.8066228047527555E-3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3.4438668783706046E-8</v>
      </c>
      <c r="J97" s="67" t="s">
        <v>231</v>
      </c>
      <c r="K97" s="68">
        <v>1.5176229247955777E-3</v>
      </c>
      <c r="L97" s="67" t="s">
        <v>231</v>
      </c>
      <c r="M97" s="68">
        <v>6.9879995825999561E-3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8.4248021887635808E-6</v>
      </c>
      <c r="J98" s="67" t="s">
        <v>231</v>
      </c>
      <c r="K98" s="68">
        <v>8.641313450264379E-2</v>
      </c>
      <c r="L98" s="67" t="s">
        <v>231</v>
      </c>
      <c r="M98" s="68">
        <v>0.64630522988258887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4.2008548349159174E-8</v>
      </c>
      <c r="J99" s="67" t="s">
        <v>231</v>
      </c>
      <c r="K99" s="68">
        <v>6.3503261820219462E-4</v>
      </c>
      <c r="L99" s="67" t="s">
        <v>231</v>
      </c>
      <c r="M99" s="68">
        <v>1.7827049268266196E-4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4.9512986406122008E-5</v>
      </c>
      <c r="J100" s="67" t="s">
        <v>231</v>
      </c>
      <c r="K100" s="68">
        <v>3.4686337194837623E-2</v>
      </c>
      <c r="L100" s="67" t="s">
        <v>231</v>
      </c>
      <c r="M100" s="68">
        <v>0.25634446359013352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1.3097970887170993E-5</v>
      </c>
      <c r="J101" s="67" t="s">
        <v>231</v>
      </c>
      <c r="K101" s="68">
        <v>6.6847162293974559E-4</v>
      </c>
      <c r="L101" s="67" t="s">
        <v>231</v>
      </c>
      <c r="M101" s="68">
        <v>4.5175966955460564E-4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6.4563247548869054E-11</v>
      </c>
      <c r="J102" s="67" t="s">
        <v>231</v>
      </c>
      <c r="K102" s="68">
        <v>6.1906629137891767E-4</v>
      </c>
      <c r="L102" s="67" t="s">
        <v>231</v>
      </c>
      <c r="M102" s="68">
        <v>3.8253108036536485E-5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9.1901136147261555E-9</v>
      </c>
      <c r="J103" s="67" t="s">
        <v>231</v>
      </c>
      <c r="K103" s="68">
        <v>6.3383480958136571E-4</v>
      </c>
      <c r="L103" s="67" t="s">
        <v>231</v>
      </c>
      <c r="M103" s="68">
        <v>1.6818969978996243E-4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4.2182738689350785E-7</v>
      </c>
      <c r="J104" s="67" t="s">
        <v>231</v>
      </c>
      <c r="K104" s="68">
        <v>1.1053229781747397E-3</v>
      </c>
      <c r="L104" s="67" t="s">
        <v>231</v>
      </c>
      <c r="M104" s="68">
        <v>3.8407385434390561E-3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5.8076429906655442E-8</v>
      </c>
      <c r="J105" s="67" t="s">
        <v>231</v>
      </c>
      <c r="K105" s="68">
        <v>6.2063064028536916E-4</v>
      </c>
      <c r="L105" s="67" t="s">
        <v>231</v>
      </c>
      <c r="M105" s="68">
        <v>5.3038701336909828E-5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5.0614058493441599E-7</v>
      </c>
      <c r="J106" s="67" t="s">
        <v>231</v>
      </c>
      <c r="K106" s="68">
        <v>5.1556137432283225E-3</v>
      </c>
      <c r="L106" s="67" t="s">
        <v>231</v>
      </c>
      <c r="M106" s="68">
        <v>3.448674483539256E-2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6.0125820757211203E-5</v>
      </c>
      <c r="J107" s="67" t="s">
        <v>231</v>
      </c>
      <c r="K107" s="68">
        <v>8.7031568336648352E-2</v>
      </c>
      <c r="L107" s="67" t="s">
        <v>231</v>
      </c>
      <c r="M107" s="68">
        <v>0.65118530269783725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6.6872528879387719E-5</v>
      </c>
      <c r="J108" s="67" t="s">
        <v>231</v>
      </c>
      <c r="K108" s="68">
        <v>2.8919107013787606E-2</v>
      </c>
      <c r="L108" s="67" t="s">
        <v>231</v>
      </c>
      <c r="M108" s="68">
        <v>0.21304303924392895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0.81893724023533576</v>
      </c>
      <c r="F2" s="14">
        <v>0.77441648387877404</v>
      </c>
      <c r="G2" s="14">
        <v>1.0062898131706505E-6</v>
      </c>
      <c r="H2" s="14">
        <v>10.463924286846211</v>
      </c>
      <c r="I2" s="14">
        <v>28.219658859144943</v>
      </c>
      <c r="J2" s="14">
        <v>0</v>
      </c>
      <c r="K2" s="14">
        <v>1.291294827547264</v>
      </c>
      <c r="L2" s="14">
        <v>0.77441648387877404</v>
      </c>
      <c r="M2" s="14">
        <v>0.63540872502253409</v>
      </c>
      <c r="N2" s="14">
        <v>7.5903716492856015</v>
      </c>
      <c r="O2" s="14">
        <v>1397.4633243499723</v>
      </c>
      <c r="P2" s="8">
        <v>7.5903716492856024</v>
      </c>
      <c r="Q2" s="54">
        <v>0.12043473444494024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0.78465152946916938</v>
      </c>
      <c r="F3" s="14">
        <v>5.722633636262419E-4</v>
      </c>
      <c r="G3" s="14">
        <v>3.469959699668592E-5</v>
      </c>
      <c r="H3" s="14">
        <v>60.075299305323682</v>
      </c>
      <c r="I3" s="14">
        <v>1507.1383261610238</v>
      </c>
      <c r="J3" s="14">
        <v>0</v>
      </c>
      <c r="K3" s="14">
        <v>1747.4471782770324</v>
      </c>
      <c r="L3" s="14">
        <v>5.7226336362624201E-4</v>
      </c>
      <c r="M3" s="14">
        <v>4.6954208985533155E-4</v>
      </c>
      <c r="N3" s="14">
        <v>419.04957177650908</v>
      </c>
      <c r="O3" s="14">
        <v>152915.37923696593</v>
      </c>
      <c r="P3" s="8">
        <v>419.04957177650908</v>
      </c>
      <c r="Q3" s="54">
        <v>4.8211774211849856E-2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0.65648042171429277</v>
      </c>
      <c r="F4" s="14">
        <v>0.35050794467153368</v>
      </c>
      <c r="G4" s="14">
        <v>4.8409027032329335E-14</v>
      </c>
      <c r="H4" s="14">
        <v>70.517655714933468</v>
      </c>
      <c r="I4" s="14">
        <v>155.86730880748593</v>
      </c>
      <c r="J4" s="14">
        <v>0</v>
      </c>
      <c r="K4" s="14">
        <v>2.8530023789820662</v>
      </c>
      <c r="L4" s="14">
        <v>0.35050794467153368</v>
      </c>
      <c r="M4" s="14">
        <v>0.2875917686029934</v>
      </c>
      <c r="N4" s="14">
        <v>40.378569027823332</v>
      </c>
      <c r="O4" s="14">
        <v>12812.9275239089</v>
      </c>
      <c r="P4" s="8">
        <v>40.378569027823332</v>
      </c>
      <c r="Q4" s="54">
        <v>0.22271785588440118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0.84332705102129413</v>
      </c>
      <c r="F5" s="14">
        <v>6.6604576856665754E-3</v>
      </c>
      <c r="G5" s="14">
        <v>1.2793593905913271E-6</v>
      </c>
      <c r="H5" s="14">
        <v>184.31643997801788</v>
      </c>
      <c r="I5" s="14">
        <v>495.24630538213501</v>
      </c>
      <c r="J5" s="14">
        <v>0</v>
      </c>
      <c r="K5" s="14">
        <v>150.13983230492073</v>
      </c>
      <c r="L5" s="14">
        <v>6.6604576856665754E-3</v>
      </c>
      <c r="M5" s="14">
        <v>5.4649055310894258E-3</v>
      </c>
      <c r="N5" s="14">
        <v>133.45615460988799</v>
      </c>
      <c r="O5" s="14">
        <v>46788.393244680628</v>
      </c>
      <c r="P5" s="8">
        <v>133.45615460988799</v>
      </c>
      <c r="Q5" s="54">
        <v>7.5408663612125462E-2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0.78474782435265922</v>
      </c>
      <c r="F6" s="14">
        <v>2.5194384495625814E-4</v>
      </c>
      <c r="G6" s="14">
        <v>1.1129925071390924E-7</v>
      </c>
      <c r="H6" s="14">
        <v>37.719311157732811</v>
      </c>
      <c r="I6" s="14">
        <v>1715.2243113374236</v>
      </c>
      <c r="J6" s="14">
        <v>0</v>
      </c>
      <c r="K6" s="14">
        <v>3969.1384410427549</v>
      </c>
      <c r="L6" s="14">
        <v>2.5194384495625814E-4</v>
      </c>
      <c r="M6" s="14">
        <v>2.0671992478660982E-4</v>
      </c>
      <c r="N6" s="14">
        <v>480.91160674191991</v>
      </c>
      <c r="O6" s="14">
        <v>170478.3554739432</v>
      </c>
      <c r="P6" s="8">
        <v>480.91160674191997</v>
      </c>
      <c r="Q6" s="54">
        <v>3.6217704723406942E-2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0.78649622354855964</v>
      </c>
      <c r="F7" s="14">
        <v>5.1069403667124136E-4</v>
      </c>
      <c r="G7" s="14">
        <v>1.6643676823859515E-7</v>
      </c>
      <c r="H7" s="14">
        <v>56.470389943197446</v>
      </c>
      <c r="I7" s="14">
        <v>1545.5318432246713</v>
      </c>
      <c r="J7" s="14">
        <v>0</v>
      </c>
      <c r="K7" s="14">
        <v>1958.119594499492</v>
      </c>
      <c r="L7" s="14">
        <v>5.1069403667124147E-4</v>
      </c>
      <c r="M7" s="14">
        <v>4.1902445708875361E-4</v>
      </c>
      <c r="N7" s="14">
        <v>430.25061968999125</v>
      </c>
      <c r="O7" s="14">
        <v>152519.54217390501</v>
      </c>
      <c r="P7" s="8">
        <v>430.25061968999125</v>
      </c>
      <c r="Q7" s="54">
        <v>4.6524097525361782E-2</v>
      </c>
    </row>
    <row r="8" spans="1:20">
      <c r="A8" s="2" t="s">
        <v>323</v>
      </c>
      <c r="B8" s="16" t="s">
        <v>324</v>
      </c>
      <c r="D8" s="14">
        <v>1</v>
      </c>
      <c r="E8" s="14">
        <v>0.79350403868845909</v>
      </c>
      <c r="F8" s="14">
        <v>1.1638122524573302E-3</v>
      </c>
      <c r="G8" s="14">
        <v>1.6081679876642292E-6</v>
      </c>
      <c r="H8" s="14">
        <v>87.923086435478439</v>
      </c>
      <c r="I8" s="14">
        <v>1271.0425687555248</v>
      </c>
      <c r="J8" s="14">
        <v>0</v>
      </c>
      <c r="K8" s="14">
        <v>859.24512127153764</v>
      </c>
      <c r="L8" s="14">
        <v>1.1638122524573302E-3</v>
      </c>
      <c r="M8" s="14">
        <v>9.5490795314123939E-4</v>
      </c>
      <c r="N8" s="14">
        <v>350.67912360285641</v>
      </c>
      <c r="O8" s="14">
        <v>112231.34671785818</v>
      </c>
      <c r="P8" s="8">
        <v>350.67912360285641</v>
      </c>
      <c r="Q8" s="54">
        <v>5.9753052446911821E-2</v>
      </c>
    </row>
    <row r="9" spans="1:20">
      <c r="A9" s="2" t="s">
        <v>325</v>
      </c>
      <c r="B9" s="16" t="s">
        <v>326</v>
      </c>
      <c r="D9" s="14">
        <v>1</v>
      </c>
      <c r="E9" s="14">
        <v>0.75534996349017891</v>
      </c>
      <c r="F9" s="14">
        <v>5.8146877947493451E-2</v>
      </c>
      <c r="G9" s="14">
        <v>1.0992966107911756E-6</v>
      </c>
      <c r="H9" s="14">
        <v>165.68622433129835</v>
      </c>
      <c r="I9" s="14">
        <v>301.26145695904177</v>
      </c>
      <c r="J9" s="14">
        <v>0</v>
      </c>
      <c r="K9" s="14">
        <v>17.197827902350983</v>
      </c>
      <c r="L9" s="14">
        <v>5.8146877947493451E-2</v>
      </c>
      <c r="M9" s="14">
        <v>4.770951335591838E-2</v>
      </c>
      <c r="N9" s="14">
        <v>79.344777806852974</v>
      </c>
      <c r="O9" s="14">
        <v>24148.583125515703</v>
      </c>
      <c r="P9" s="8">
        <v>79.344777806852974</v>
      </c>
      <c r="Q9" s="54">
        <v>0.14707659676842949</v>
      </c>
    </row>
    <row r="10" spans="1:20">
      <c r="A10" s="2" t="s">
        <v>275</v>
      </c>
      <c r="B10" s="16" t="s">
        <v>276</v>
      </c>
      <c r="D10" s="14">
        <v>1</v>
      </c>
      <c r="E10" s="14">
        <v>0.84013267103029421</v>
      </c>
      <c r="F10" s="14">
        <v>6.1764710522389677E-3</v>
      </c>
      <c r="G10" s="14">
        <v>1.6390375300960686E-8</v>
      </c>
      <c r="H10" s="14">
        <v>180.03643735006236</v>
      </c>
      <c r="I10" s="14">
        <v>527.73704515880536</v>
      </c>
      <c r="J10" s="14">
        <v>0</v>
      </c>
      <c r="K10" s="14">
        <v>161.90474974176402</v>
      </c>
      <c r="L10" s="14">
        <v>6.1764710522389677E-3</v>
      </c>
      <c r="M10" s="14">
        <v>5.0677944983620734E-3</v>
      </c>
      <c r="N10" s="14">
        <v>142.3843720577681</v>
      </c>
      <c r="O10" s="14">
        <v>52751.986003682505</v>
      </c>
      <c r="P10" s="8">
        <v>142.3843720577681</v>
      </c>
      <c r="Q10" s="54">
        <v>7.5616675756550095E-2</v>
      </c>
    </row>
    <row r="11" spans="1:20">
      <c r="A11" s="2" t="s">
        <v>327</v>
      </c>
      <c r="B11" s="16" t="s">
        <v>328</v>
      </c>
      <c r="D11" s="14">
        <v>1</v>
      </c>
      <c r="E11" s="14">
        <v>0.83465082955699921</v>
      </c>
      <c r="F11" s="14">
        <v>5.4282819489069756E-3</v>
      </c>
      <c r="G11" s="14">
        <v>8.4939731696968467E-7</v>
      </c>
      <c r="H11" s="14">
        <v>172.53706146125245</v>
      </c>
      <c r="I11" s="14">
        <v>584.70871625571351</v>
      </c>
      <c r="J11" s="14">
        <v>0</v>
      </c>
      <c r="K11" s="14">
        <v>184.22034990304019</v>
      </c>
      <c r="L11" s="14">
        <v>5.4282819489069756E-3</v>
      </c>
      <c r="M11" s="14">
        <v>4.4539053390781737E-3</v>
      </c>
      <c r="N11" s="14">
        <v>158.07528059749822</v>
      </c>
      <c r="O11" s="14">
        <v>60212.455132393057</v>
      </c>
      <c r="P11" s="8">
        <v>158.07528059749825</v>
      </c>
      <c r="Q11" s="54">
        <v>7.5707615522507168E-2</v>
      </c>
    </row>
    <row r="12" spans="1:20">
      <c r="A12" s="2" t="s">
        <v>329</v>
      </c>
      <c r="B12" s="16" t="s">
        <v>330</v>
      </c>
      <c r="D12" s="14">
        <v>1</v>
      </c>
      <c r="E12" s="14">
        <v>0.7883685287296659</v>
      </c>
      <c r="F12" s="14">
        <v>3.7278250149471198E-2</v>
      </c>
      <c r="G12" s="14">
        <v>5.7451848417924963E-7</v>
      </c>
      <c r="H12" s="14">
        <v>179.58725747199637</v>
      </c>
      <c r="I12" s="14">
        <v>314.14683531869838</v>
      </c>
      <c r="J12" s="14">
        <v>0</v>
      </c>
      <c r="K12" s="14">
        <v>26.825293461747567</v>
      </c>
      <c r="L12" s="14">
        <v>3.7278250149471198E-2</v>
      </c>
      <c r="M12" s="14">
        <v>3.0586804247641118E-2</v>
      </c>
      <c r="N12" s="14">
        <v>83.076493512306897</v>
      </c>
      <c r="O12" s="14">
        <v>22796.18981977701</v>
      </c>
      <c r="P12" s="8">
        <v>83.076493512306897</v>
      </c>
      <c r="Q12" s="54">
        <v>0.1239745923809706</v>
      </c>
    </row>
    <row r="13" spans="1:20">
      <c r="A13" s="2" t="s">
        <v>277</v>
      </c>
      <c r="B13" s="16" t="s">
        <v>278</v>
      </c>
      <c r="D13" s="14">
        <v>1</v>
      </c>
      <c r="E13" s="14">
        <v>0.7585025297105078</v>
      </c>
      <c r="F13" s="14">
        <v>5.5780938731147554E-2</v>
      </c>
      <c r="G13" s="14">
        <v>1.7107805590078614E-6</v>
      </c>
      <c r="H13" s="14">
        <v>167.09590956521754</v>
      </c>
      <c r="I13" s="14">
        <v>302.70736625433807</v>
      </c>
      <c r="J13" s="14">
        <v>0</v>
      </c>
      <c r="K13" s="14">
        <v>17.927270905564903</v>
      </c>
      <c r="L13" s="14">
        <v>5.5780938731147554E-2</v>
      </c>
      <c r="M13" s="14">
        <v>4.5768260228906572E-2</v>
      </c>
      <c r="N13" s="14">
        <v>79.756236550974663</v>
      </c>
      <c r="O13" s="14">
        <v>32455.20533968812</v>
      </c>
      <c r="P13" s="8">
        <v>79.756236550974663</v>
      </c>
      <c r="Q13" s="54">
        <v>0.14481814807668647</v>
      </c>
    </row>
    <row r="14" spans="1:20">
      <c r="A14" s="2" t="s">
        <v>331</v>
      </c>
      <c r="B14" s="16" t="s">
        <v>332</v>
      </c>
      <c r="D14" s="14">
        <v>1</v>
      </c>
      <c r="E14" s="14">
        <v>0.81882750264135062</v>
      </c>
      <c r="F14" s="14">
        <v>3.5418457116893568E-3</v>
      </c>
      <c r="G14" s="14">
        <v>5.56593495067643E-7</v>
      </c>
      <c r="H14" s="14">
        <v>147.23451792682914</v>
      </c>
      <c r="I14" s="14">
        <v>782.28825417691633</v>
      </c>
      <c r="J14" s="14">
        <v>0</v>
      </c>
      <c r="K14" s="14">
        <v>282.33866785886312</v>
      </c>
      <c r="L14" s="14">
        <v>3.5418457116893572E-3</v>
      </c>
      <c r="M14" s="14">
        <v>2.9060844064411175E-3</v>
      </c>
      <c r="N14" s="14">
        <v>212.8248764341337</v>
      </c>
      <c r="O14" s="14">
        <v>81067.123682525867</v>
      </c>
      <c r="P14" s="8">
        <v>212.8248764341337</v>
      </c>
      <c r="Q14" s="54">
        <v>7.3988940687001431E-2</v>
      </c>
    </row>
    <row r="15" spans="1:20">
      <c r="A15" s="2" t="s">
        <v>333</v>
      </c>
      <c r="B15" s="16" t="s">
        <v>334</v>
      </c>
      <c r="D15" s="14">
        <v>1</v>
      </c>
      <c r="E15" s="14">
        <v>0.83741214706012557</v>
      </c>
      <c r="F15" s="14">
        <v>5.7934184734075213E-3</v>
      </c>
      <c r="G15" s="14">
        <v>9.2700779814499734E-10</v>
      </c>
      <c r="H15" s="14">
        <v>176.34164989181153</v>
      </c>
      <c r="I15" s="14">
        <v>555.79171755248706</v>
      </c>
      <c r="J15" s="14">
        <v>0</v>
      </c>
      <c r="K15" s="14">
        <v>172.60966121990302</v>
      </c>
      <c r="L15" s="14">
        <v>5.7934184734075213E-3</v>
      </c>
      <c r="M15" s="14">
        <v>4.7534998574308715E-3</v>
      </c>
      <c r="N15" s="14">
        <v>150.105476917034</v>
      </c>
      <c r="O15" s="14">
        <v>57712.553765061239</v>
      </c>
      <c r="P15" s="8">
        <v>150.10547691703403</v>
      </c>
      <c r="Q15" s="54">
        <v>7.5702822253908203E-2</v>
      </c>
    </row>
    <row r="16" spans="1:20">
      <c r="A16" s="2" t="s">
        <v>335</v>
      </c>
      <c r="B16" s="16" t="s">
        <v>336</v>
      </c>
      <c r="D16" s="14">
        <v>1</v>
      </c>
      <c r="E16" s="14">
        <v>0.79380546593209333</v>
      </c>
      <c r="F16" s="14">
        <v>1.2055422347544505E-3</v>
      </c>
      <c r="G16" s="14">
        <v>4.1832220465763311E-6</v>
      </c>
      <c r="H16" s="14">
        <v>89.512240969788763</v>
      </c>
      <c r="I16" s="14">
        <v>1257.0125125133738</v>
      </c>
      <c r="J16" s="14">
        <v>0</v>
      </c>
      <c r="K16" s="14">
        <v>829.50225315306682</v>
      </c>
      <c r="L16" s="14">
        <v>1.2055422347544505E-3</v>
      </c>
      <c r="M16" s="14">
        <v>9.8914740361602678E-4</v>
      </c>
      <c r="N16" s="14">
        <v>346.66704142749728</v>
      </c>
      <c r="O16" s="14">
        <v>129417.73990571329</v>
      </c>
      <c r="P16" s="8">
        <v>346.66704142749728</v>
      </c>
      <c r="Q16" s="54">
        <v>6.0303094760751144E-2</v>
      </c>
    </row>
    <row r="17" spans="1:21">
      <c r="A17" s="2" t="s">
        <v>337</v>
      </c>
      <c r="B17" s="16" t="s">
        <v>338</v>
      </c>
      <c r="D17" s="14">
        <v>1</v>
      </c>
      <c r="E17" s="14">
        <v>0.84230009761414404</v>
      </c>
      <c r="F17" s="14">
        <v>6.4963519065194463E-3</v>
      </c>
      <c r="G17" s="14">
        <v>3.28305403117655E-7</v>
      </c>
      <c r="H17" s="14">
        <v>182.91509314648476</v>
      </c>
      <c r="I17" s="14">
        <v>505.94896673501313</v>
      </c>
      <c r="J17" s="14">
        <v>0</v>
      </c>
      <c r="K17" s="14">
        <v>153.93254774213275</v>
      </c>
      <c r="L17" s="14">
        <v>6.4963519065194472E-3</v>
      </c>
      <c r="M17" s="14">
        <v>5.3302567392992063E-3</v>
      </c>
      <c r="N17" s="14">
        <v>136.39543417003949</v>
      </c>
      <c r="O17" s="14">
        <v>53101.470431079782</v>
      </c>
      <c r="P17" s="8">
        <v>136.39543417003952</v>
      </c>
      <c r="Q17" s="54">
        <v>7.5493005087448523E-2</v>
      </c>
    </row>
    <row r="18" spans="1:21">
      <c r="A18" s="2" t="s">
        <v>279</v>
      </c>
      <c r="B18" s="16" t="s">
        <v>280</v>
      </c>
      <c r="D18" s="14">
        <v>1</v>
      </c>
      <c r="E18" s="14">
        <v>0.73883201409543453</v>
      </c>
      <c r="F18" s="14">
        <v>6.9704538921318365E-2</v>
      </c>
      <c r="G18" s="14">
        <v>3.3060509821193547E-5</v>
      </c>
      <c r="H18" s="14">
        <v>158.59192067272656</v>
      </c>
      <c r="I18" s="14">
        <v>293.18262540454197</v>
      </c>
      <c r="J18" s="14">
        <v>0</v>
      </c>
      <c r="K18" s="14">
        <v>14.34626805477887</v>
      </c>
      <c r="L18" s="14">
        <v>6.9704538921318365E-2</v>
      </c>
      <c r="M18" s="14">
        <v>5.7192574184941725E-2</v>
      </c>
      <c r="N18" s="14">
        <v>77.084616557709737</v>
      </c>
      <c r="O18" s="14">
        <v>22418.519033478722</v>
      </c>
      <c r="P18" s="8">
        <v>77.084616557709737</v>
      </c>
      <c r="Q18" s="54">
        <v>0.15679717347865568</v>
      </c>
    </row>
    <row r="19" spans="1:21">
      <c r="A19" s="2" t="s">
        <v>339</v>
      </c>
      <c r="B19" s="16" t="s">
        <v>340</v>
      </c>
      <c r="D19" s="14">
        <v>1</v>
      </c>
      <c r="E19" s="14">
        <v>0.83687035205450966</v>
      </c>
      <c r="F19" s="14">
        <v>5.7190249499217147E-3</v>
      </c>
      <c r="G19" s="14">
        <v>3.2473603142622133E-9</v>
      </c>
      <c r="H19" s="14">
        <v>175.59089449082549</v>
      </c>
      <c r="I19" s="14">
        <v>561.51215519719017</v>
      </c>
      <c r="J19" s="14">
        <v>0</v>
      </c>
      <c r="K19" s="14">
        <v>174.85498118235844</v>
      </c>
      <c r="L19" s="14">
        <v>5.7190249499217156E-3</v>
      </c>
      <c r="M19" s="14">
        <v>4.6924599714107673E-3</v>
      </c>
      <c r="N19" s="14">
        <v>151.68114543847889</v>
      </c>
      <c r="O19" s="14">
        <v>52428.587920810227</v>
      </c>
      <c r="P19" s="8">
        <v>151.68114543847889</v>
      </c>
      <c r="Q19" s="54">
        <v>7.5711031300619902E-2</v>
      </c>
    </row>
    <row r="20" spans="1:21">
      <c r="A20" s="2" t="s">
        <v>281</v>
      </c>
      <c r="B20" s="16" t="s">
        <v>282</v>
      </c>
      <c r="D20" s="14">
        <v>1</v>
      </c>
      <c r="E20" s="14">
        <v>0.75860165308574656</v>
      </c>
      <c r="F20" s="14">
        <v>5.5788228350765731E-2</v>
      </c>
      <c r="G20" s="14">
        <v>2.5897095454464183E-7</v>
      </c>
      <c r="H20" s="14">
        <v>167.1177461575767</v>
      </c>
      <c r="I20" s="14">
        <v>302.74692495675163</v>
      </c>
      <c r="J20" s="14">
        <v>0</v>
      </c>
      <c r="K20" s="14">
        <v>17.92492842240032</v>
      </c>
      <c r="L20" s="14">
        <v>5.5788228350765731E-2</v>
      </c>
      <c r="M20" s="14">
        <v>4.5774241361803282E-2</v>
      </c>
      <c r="N20" s="14">
        <v>79.766659334094825</v>
      </c>
      <c r="O20" s="14">
        <v>23232.83719764846</v>
      </c>
      <c r="P20" s="8">
        <v>79.76665933409484</v>
      </c>
      <c r="Q20" s="54">
        <v>0.14483707334465973</v>
      </c>
    </row>
    <row r="21" spans="1:21">
      <c r="A21" s="2" t="s">
        <v>341</v>
      </c>
      <c r="B21" s="16" t="s">
        <v>342</v>
      </c>
      <c r="D21" s="14">
        <v>1</v>
      </c>
      <c r="E21" s="14">
        <v>0.82292618985632338</v>
      </c>
      <c r="F21" s="14">
        <v>4.0254899068607637E-3</v>
      </c>
      <c r="G21" s="14">
        <v>4.6836801548670775E-6</v>
      </c>
      <c r="H21" s="14">
        <v>154.79564640229722</v>
      </c>
      <c r="I21" s="14">
        <v>721.7983963617711</v>
      </c>
      <c r="J21" s="14">
        <v>0</v>
      </c>
      <c r="K21" s="14">
        <v>248.4169686516093</v>
      </c>
      <c r="L21" s="14">
        <v>4.0254899068607637E-3</v>
      </c>
      <c r="M21" s="14">
        <v>3.3029144685792567E-3</v>
      </c>
      <c r="N21" s="14">
        <v>196.00989700929338</v>
      </c>
      <c r="O21" s="14">
        <v>65718.19826927589</v>
      </c>
      <c r="P21" s="8">
        <v>196.00989700929341</v>
      </c>
      <c r="Q21" s="54">
        <v>7.4785243635865764E-2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0.7087288514713086</v>
      </c>
      <c r="F22" s="14">
        <v>0.56033653634743785</v>
      </c>
      <c r="G22" s="14">
        <v>2.1666932429759417E-5</v>
      </c>
      <c r="H22" s="14">
        <v>33.944462899271784</v>
      </c>
      <c r="I22" s="14">
        <v>81.964560032552143</v>
      </c>
      <c r="J22" s="14">
        <v>0</v>
      </c>
      <c r="K22" s="14">
        <v>1.7846417913750816</v>
      </c>
      <c r="L22" s="14">
        <v>0.56033653634743785</v>
      </c>
      <c r="M22" s="14">
        <v>0.45975612807307276</v>
      </c>
      <c r="N22" s="14">
        <v>21.260869220476355</v>
      </c>
      <c r="O22" s="14">
        <v>3491.0347260022172</v>
      </c>
      <c r="P22" s="8">
        <v>21.260869220476355</v>
      </c>
      <c r="Q22" s="54">
        <v>0.19046979397255467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0.78093373681679723</v>
      </c>
      <c r="F23" s="14">
        <v>0.71058568411339862</v>
      </c>
      <c r="G23" s="14">
        <v>9.2602975457761903E-7</v>
      </c>
      <c r="H23" s="14">
        <v>16.232912724094223</v>
      </c>
      <c r="I23" s="14">
        <v>42.116631068139789</v>
      </c>
      <c r="J23" s="14">
        <v>0</v>
      </c>
      <c r="K23" s="14">
        <v>1.4072898207169837</v>
      </c>
      <c r="L23" s="14">
        <v>0.71058568411339862</v>
      </c>
      <c r="M23" s="14">
        <v>0.58303555381504357</v>
      </c>
      <c r="N23" s="14">
        <v>11.100011794432973</v>
      </c>
      <c r="O23" s="14">
        <v>1677.8777828464881</v>
      </c>
      <c r="P23" s="8">
        <v>11.100011794432973</v>
      </c>
      <c r="Q23" s="54">
        <v>0.145295988666094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0.67372035363430827</v>
      </c>
      <c r="F24" s="14">
        <v>0.17133282120546456</v>
      </c>
      <c r="G24" s="14">
        <v>7.8887656331154177E-7</v>
      </c>
      <c r="H24" s="14">
        <v>117.37634075948789</v>
      </c>
      <c r="I24" s="14">
        <v>237.04878676539207</v>
      </c>
      <c r="J24" s="14">
        <v>0</v>
      </c>
      <c r="K24" s="14">
        <v>5.8365933214908479</v>
      </c>
      <c r="L24" s="14">
        <v>0.17133282120546456</v>
      </c>
      <c r="M24" s="14">
        <v>0.14057857979908367</v>
      </c>
      <c r="N24" s="14">
        <v>61.794594393821541</v>
      </c>
      <c r="O24" s="14">
        <v>10891.297261911046</v>
      </c>
      <c r="P24" s="8">
        <v>61.794594393821541</v>
      </c>
      <c r="Q24" s="54">
        <v>0.20617582303710211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0.81656026488771727</v>
      </c>
      <c r="F25" s="14">
        <v>2.0273709856820078E-2</v>
      </c>
      <c r="G25" s="14">
        <v>1.4335132601465812E-4</v>
      </c>
      <c r="H25" s="14">
        <v>191.85504634176854</v>
      </c>
      <c r="I25" s="14">
        <v>319.32314476980162</v>
      </c>
      <c r="J25" s="14">
        <v>0</v>
      </c>
      <c r="K25" s="14">
        <v>49.324963564258553</v>
      </c>
      <c r="L25" s="14">
        <v>2.0273709856820081E-2</v>
      </c>
      <c r="M25" s="14">
        <v>1.6634578937520874E-2</v>
      </c>
      <c r="N25" s="14">
        <v>84.8976154026317</v>
      </c>
      <c r="O25" s="14">
        <v>16325.811441926076</v>
      </c>
      <c r="P25" s="8">
        <v>84.8976154026317</v>
      </c>
      <c r="Q25" s="54">
        <v>9.5858448972083454E-2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0.82602883292576013</v>
      </c>
      <c r="F26" s="14">
        <v>4.3765705094195905E-3</v>
      </c>
      <c r="G26" s="14">
        <v>3.771745816568174E-6</v>
      </c>
      <c r="H26" s="14">
        <v>159.77687753205581</v>
      </c>
      <c r="I26" s="14">
        <v>682.92199507902467</v>
      </c>
      <c r="J26" s="14">
        <v>0</v>
      </c>
      <c r="K26" s="14">
        <v>228.48940691066741</v>
      </c>
      <c r="L26" s="14">
        <v>4.3765705094195913E-3</v>
      </c>
      <c r="M26" s="14">
        <v>3.5909761029787744E-3</v>
      </c>
      <c r="N26" s="14">
        <v>185.22705930814547</v>
      </c>
      <c r="O26" s="14">
        <v>41188.94117835231</v>
      </c>
      <c r="P26" s="8">
        <v>185.22705930814547</v>
      </c>
      <c r="Q26" s="54">
        <v>7.5191907165668204E-2</v>
      </c>
    </row>
    <row r="27" spans="1:21">
      <c r="A27" s="2" t="s">
        <v>353</v>
      </c>
      <c r="B27" s="16" t="s">
        <v>354</v>
      </c>
      <c r="D27" s="14">
        <v>1</v>
      </c>
      <c r="E27" s="14">
        <v>0.78598205896216211</v>
      </c>
      <c r="F27" s="14">
        <v>6.3078449017153716E-4</v>
      </c>
      <c r="G27" s="14">
        <v>2.4116234266382847E-5</v>
      </c>
      <c r="H27" s="14">
        <v>63.413395204423438</v>
      </c>
      <c r="I27" s="14">
        <v>1479.5790627236938</v>
      </c>
      <c r="J27" s="14">
        <v>0</v>
      </c>
      <c r="K27" s="14">
        <v>1585.3275018351469</v>
      </c>
      <c r="L27" s="14">
        <v>6.3078449017153727E-4</v>
      </c>
      <c r="M27" s="14">
        <v>5.1755867418574629E-4</v>
      </c>
      <c r="N27" s="14">
        <v>410.96782066856656</v>
      </c>
      <c r="O27" s="14">
        <v>97148.683127842451</v>
      </c>
      <c r="P27" s="8">
        <v>410.96782066856656</v>
      </c>
      <c r="Q27" s="54">
        <v>4.9789547241226903E-2</v>
      </c>
    </row>
    <row r="28" spans="1:21">
      <c r="A28" s="2" t="s">
        <v>355</v>
      </c>
      <c r="B28" s="16" t="s">
        <v>356</v>
      </c>
      <c r="D28" s="14">
        <v>1</v>
      </c>
      <c r="E28" s="14">
        <v>0.80690372841013425</v>
      </c>
      <c r="F28" s="14">
        <v>2.3549450983665204E-3</v>
      </c>
      <c r="G28" s="14">
        <v>1.3800959277831352E-6</v>
      </c>
      <c r="H28" s="14">
        <v>123.67467755063005</v>
      </c>
      <c r="I28" s="14">
        <v>972.16046930421714</v>
      </c>
      <c r="J28" s="14">
        <v>0</v>
      </c>
      <c r="K28" s="14">
        <v>424.63834961317701</v>
      </c>
      <c r="L28" s="14">
        <v>2.3549450983665204E-3</v>
      </c>
      <c r="M28" s="14">
        <v>1.93223245320973E-3</v>
      </c>
      <c r="N28" s="14">
        <v>265.93543600482747</v>
      </c>
      <c r="O28" s="14">
        <v>68717.716663647414</v>
      </c>
      <c r="P28" s="8">
        <v>265.93543600482747</v>
      </c>
      <c r="Q28" s="54">
        <v>6.9941985609651688E-2</v>
      </c>
    </row>
    <row r="29" spans="1:21">
      <c r="A29" s="2" t="s">
        <v>357</v>
      </c>
      <c r="B29" s="16" t="s">
        <v>358</v>
      </c>
      <c r="D29" s="14">
        <v>1</v>
      </c>
      <c r="E29" s="14">
        <v>0.79936776795614395</v>
      </c>
      <c r="F29" s="14">
        <v>3.6039656031444391E-3</v>
      </c>
      <c r="G29" s="14">
        <v>2.8373252635490777E-4</v>
      </c>
      <c r="H29" s="14">
        <v>145.97572381026376</v>
      </c>
      <c r="I29" s="14">
        <v>742.5706984170389</v>
      </c>
      <c r="J29" s="14">
        <v>0</v>
      </c>
      <c r="K29" s="14">
        <v>277.47212657288009</v>
      </c>
      <c r="L29" s="14">
        <v>3.6039656031444395E-3</v>
      </c>
      <c r="M29" s="14">
        <v>2.9570537773800126E-3</v>
      </c>
      <c r="N29" s="14">
        <v>201.8965257082213</v>
      </c>
      <c r="O29" s="14">
        <v>47726.319712166434</v>
      </c>
      <c r="P29" s="8">
        <v>201.8965257082213</v>
      </c>
      <c r="Q29" s="54">
        <v>7.2399873622917707E-2</v>
      </c>
    </row>
    <row r="30" spans="1:21">
      <c r="A30" s="2" t="s">
        <v>359</v>
      </c>
      <c r="B30" s="16" t="s">
        <v>360</v>
      </c>
      <c r="D30" s="14">
        <v>1</v>
      </c>
      <c r="E30" s="14">
        <v>0.80690372841013425</v>
      </c>
      <c r="F30" s="14">
        <v>2.3549450983665204E-3</v>
      </c>
      <c r="G30" s="14">
        <v>1.3800959277831352E-6</v>
      </c>
      <c r="H30" s="14">
        <v>123.67467755063005</v>
      </c>
      <c r="I30" s="14">
        <v>972.16046930421714</v>
      </c>
      <c r="J30" s="14">
        <v>0</v>
      </c>
      <c r="K30" s="14">
        <v>424.63834961317701</v>
      </c>
      <c r="L30" s="14">
        <v>2.3549450983665204E-3</v>
      </c>
      <c r="M30" s="14">
        <v>1.93223245320973E-3</v>
      </c>
      <c r="N30" s="14">
        <v>265.93543600482747</v>
      </c>
      <c r="O30" s="14">
        <v>68717.716663647414</v>
      </c>
      <c r="P30" s="8">
        <v>265.93543600482747</v>
      </c>
      <c r="Q30" s="54">
        <v>6.9941985609651688E-2</v>
      </c>
    </row>
    <row r="31" spans="1:21">
      <c r="A31" s="2" t="s">
        <v>283</v>
      </c>
      <c r="B31" s="16" t="s">
        <v>284</v>
      </c>
      <c r="D31" s="14">
        <v>1</v>
      </c>
      <c r="E31" s="14">
        <v>0.97638065544964836</v>
      </c>
      <c r="F31" s="14">
        <v>0.97935737094068032</v>
      </c>
      <c r="G31" s="14">
        <v>2.912391024714829E-10</v>
      </c>
      <c r="H31" s="14">
        <v>0.1706165658594995</v>
      </c>
      <c r="I31" s="14">
        <v>0.63398410137639971</v>
      </c>
      <c r="J31" s="14">
        <v>0</v>
      </c>
      <c r="K31" s="14">
        <v>1.021077728796274</v>
      </c>
      <c r="L31" s="14">
        <v>0.97935737094068032</v>
      </c>
      <c r="M31" s="14">
        <v>0.80356272285682828</v>
      </c>
      <c r="N31" s="14">
        <v>0.75548933609334745</v>
      </c>
      <c r="O31" s="14">
        <v>146.70847417596713</v>
      </c>
      <c r="P31" s="8">
        <v>0.75548933609334745</v>
      </c>
      <c r="Q31" s="54">
        <v>1.5771694897285884E-2</v>
      </c>
    </row>
    <row r="32" spans="1:21">
      <c r="A32" s="2" t="s">
        <v>361</v>
      </c>
      <c r="B32" s="16" t="s">
        <v>362</v>
      </c>
      <c r="D32" s="14">
        <v>1</v>
      </c>
      <c r="E32" s="14">
        <v>0.67059490038866421</v>
      </c>
      <c r="F32" s="14">
        <v>0.43144462081676221</v>
      </c>
      <c r="G32" s="14">
        <v>2.3458885568782387E-10</v>
      </c>
      <c r="H32" s="14">
        <v>54.910699879521246</v>
      </c>
      <c r="I32" s="14">
        <v>125.3537284883855</v>
      </c>
      <c r="J32" s="14">
        <v>0</v>
      </c>
      <c r="K32" s="14">
        <v>2.3177945714259063</v>
      </c>
      <c r="L32" s="14">
        <v>0.43144462081676221</v>
      </c>
      <c r="M32" s="14">
        <v>0.35400031138015342</v>
      </c>
      <c r="N32" s="14">
        <v>32.621356792653863</v>
      </c>
      <c r="O32" s="14">
        <v>8354.003261030728</v>
      </c>
      <c r="P32" s="8">
        <v>32.621356792653863</v>
      </c>
      <c r="Q32" s="54">
        <v>0.21494990426580482</v>
      </c>
    </row>
    <row r="33" spans="1:17">
      <c r="A33" s="2" t="s">
        <v>364</v>
      </c>
      <c r="B33" s="16" t="s">
        <v>365</v>
      </c>
      <c r="D33" s="14">
        <v>1</v>
      </c>
      <c r="E33" s="14">
        <v>0.99971335923017024</v>
      </c>
      <c r="F33" s="14">
        <v>0.9994068250178334</v>
      </c>
      <c r="G33" s="14">
        <v>1.3409934159289582E-12</v>
      </c>
      <c r="H33" s="14">
        <v>1.1941044338820674</v>
      </c>
      <c r="I33" s="14">
        <v>3.3808916200652717E-3</v>
      </c>
      <c r="J33" s="14">
        <v>0</v>
      </c>
      <c r="K33" s="14">
        <v>1.0005935270475623</v>
      </c>
      <c r="L33" s="14">
        <v>0.99940682501783351</v>
      </c>
      <c r="M33" s="14">
        <v>0.82001329992713234</v>
      </c>
      <c r="N33" s="14">
        <v>0.68312093762911097</v>
      </c>
      <c r="O33" s="14">
        <v>202.30626567886119</v>
      </c>
      <c r="P33" s="8">
        <v>0.68312093762911097</v>
      </c>
      <c r="Q33" s="54">
        <v>3.8550609515467627E-5</v>
      </c>
    </row>
    <row r="34" spans="1:17">
      <c r="A34" s="2" t="s">
        <v>285</v>
      </c>
      <c r="B34" s="16" t="s">
        <v>286</v>
      </c>
      <c r="D34" s="14">
        <v>1</v>
      </c>
      <c r="E34" s="14">
        <v>0.9979145764825379</v>
      </c>
      <c r="F34" s="14">
        <v>0.54872348691071082</v>
      </c>
      <c r="G34" s="14">
        <v>3.9804145393497384E-12</v>
      </c>
      <c r="H34" s="14">
        <v>128.26659016491942</v>
      </c>
      <c r="I34" s="14">
        <v>9.7532570913846747E-2</v>
      </c>
      <c r="J34" s="14">
        <v>0</v>
      </c>
      <c r="K34" s="14">
        <v>1.8224115130007574</v>
      </c>
      <c r="L34" s="14">
        <v>0.54872348691071093</v>
      </c>
      <c r="M34" s="14">
        <v>0.45022762101023828</v>
      </c>
      <c r="N34" s="14">
        <v>5.6283785543704443</v>
      </c>
      <c r="O34" s="14">
        <v>1244.096795658043</v>
      </c>
      <c r="P34" s="8">
        <v>5.6283785543704443</v>
      </c>
      <c r="Q34" s="54">
        <v>1.3114437634548443E-4</v>
      </c>
    </row>
    <row r="35" spans="1:17">
      <c r="A35" s="2" t="s">
        <v>287</v>
      </c>
      <c r="B35" s="16" t="s">
        <v>288</v>
      </c>
      <c r="D35" s="14">
        <v>1</v>
      </c>
      <c r="E35" s="14">
        <v>0.99694671396614187</v>
      </c>
      <c r="F35" s="14">
        <v>0.32462630143090782</v>
      </c>
      <c r="G35" s="14">
        <v>1.1586387211725591E-13</v>
      </c>
      <c r="H35" s="14">
        <v>191.40959473009571</v>
      </c>
      <c r="I35" s="14">
        <v>0.34320423779900822</v>
      </c>
      <c r="J35" s="14">
        <v>0</v>
      </c>
      <c r="K35" s="14">
        <v>3.0804651243356997</v>
      </c>
      <c r="L35" s="14">
        <v>0.32462630143090787</v>
      </c>
      <c r="M35" s="14">
        <v>0.26635588032405988</v>
      </c>
      <c r="N35" s="14">
        <v>7.68850903889627</v>
      </c>
      <c r="O35" s="14">
        <v>1770.356091296255</v>
      </c>
      <c r="P35" s="8">
        <v>7.6885090388962709</v>
      </c>
      <c r="Q35" s="54">
        <v>3.1721421579377485E-4</v>
      </c>
    </row>
    <row r="36" spans="1:17">
      <c r="A36" s="2" t="s">
        <v>366</v>
      </c>
      <c r="B36" s="16" t="s">
        <v>305</v>
      </c>
      <c r="D36" s="14">
        <v>1</v>
      </c>
      <c r="E36" s="14">
        <v>0.99639375804135932</v>
      </c>
      <c r="F36" s="14">
        <v>0.10823046982160252</v>
      </c>
      <c r="G36" s="14">
        <v>2.0416016974496355E-10</v>
      </c>
      <c r="H36" s="14">
        <v>252.48148953695957</v>
      </c>
      <c r="I36" s="14">
        <v>0.6693186749234602</v>
      </c>
      <c r="J36" s="14">
        <v>0</v>
      </c>
      <c r="K36" s="14">
        <v>9.2395422624359931</v>
      </c>
      <c r="L36" s="14">
        <v>0.10823046982160253</v>
      </c>
      <c r="M36" s="14">
        <v>8.8803100488624873E-2</v>
      </c>
      <c r="N36" s="14">
        <v>9.1704166971206824</v>
      </c>
      <c r="O36" s="14">
        <v>1891.6735562820543</v>
      </c>
      <c r="P36" s="8">
        <v>9.1704166971206824</v>
      </c>
      <c r="Q36" s="54">
        <v>3.5435041244511839E-4</v>
      </c>
    </row>
    <row r="37" spans="1:17">
      <c r="A37" s="2" t="s">
        <v>289</v>
      </c>
      <c r="B37" s="16" t="s">
        <v>290</v>
      </c>
      <c r="D37" s="14">
        <v>1</v>
      </c>
      <c r="E37" s="14">
        <v>0.92220226216322243</v>
      </c>
      <c r="F37" s="14">
        <v>0.20740866492347829</v>
      </c>
      <c r="G37" s="14">
        <v>4.6241208663724728E-17</v>
      </c>
      <c r="H37" s="14">
        <v>196.67397523994066</v>
      </c>
      <c r="I37" s="14">
        <v>62.169591302301605</v>
      </c>
      <c r="J37" s="14">
        <v>0</v>
      </c>
      <c r="K37" s="14">
        <v>4.8213993391690835</v>
      </c>
      <c r="L37" s="14">
        <v>0.20740866492347829</v>
      </c>
      <c r="M37" s="14">
        <v>0.17017880956971393</v>
      </c>
      <c r="N37" s="14">
        <v>22.546335898474567</v>
      </c>
      <c r="O37" s="14">
        <v>7855.5943537465091</v>
      </c>
      <c r="P37" s="8">
        <v>22.546335898474567</v>
      </c>
      <c r="Q37" s="54">
        <v>4.7399964058048104E-2</v>
      </c>
    </row>
    <row r="38" spans="1:17">
      <c r="A38" s="2" t="s">
        <v>291</v>
      </c>
      <c r="B38" s="16" t="s">
        <v>292</v>
      </c>
      <c r="D38" s="14">
        <v>1</v>
      </c>
      <c r="E38" s="14">
        <v>0.99639333101295569</v>
      </c>
      <c r="F38" s="14">
        <v>0.61456988254672029</v>
      </c>
      <c r="G38" s="14">
        <v>1.3400733435098913E-14</v>
      </c>
      <c r="H38" s="14">
        <v>109.11168774586811</v>
      </c>
      <c r="I38" s="14">
        <v>0.84401455603478015</v>
      </c>
      <c r="J38" s="14">
        <v>0</v>
      </c>
      <c r="K38" s="14">
        <v>1.6271542560076215</v>
      </c>
      <c r="L38" s="14">
        <v>0.61456988254672029</v>
      </c>
      <c r="M38" s="14">
        <v>0.50425458862958406</v>
      </c>
      <c r="N38" s="14">
        <v>5.1403345073814588</v>
      </c>
      <c r="O38" s="14">
        <v>1584.919338660925</v>
      </c>
      <c r="P38" s="8">
        <v>5.1403345073814588</v>
      </c>
      <c r="Q38" s="54">
        <v>1.2686736991667183E-3</v>
      </c>
    </row>
    <row r="39" spans="1:17">
      <c r="A39" s="2" t="s">
        <v>367</v>
      </c>
      <c r="B39" s="16" t="s">
        <v>368</v>
      </c>
      <c r="D39" s="14">
        <v>1</v>
      </c>
      <c r="E39" s="14">
        <v>0.86269922589774128</v>
      </c>
      <c r="F39" s="14">
        <v>1.0093702043060629E-2</v>
      </c>
      <c r="G39" s="14">
        <v>1.5683354829146948E-7</v>
      </c>
      <c r="H39" s="14">
        <v>206.30534533268343</v>
      </c>
      <c r="I39" s="14">
        <v>333.63196348476851</v>
      </c>
      <c r="J39" s="14">
        <v>0</v>
      </c>
      <c r="K39" s="14">
        <v>99.07167813493119</v>
      </c>
      <c r="L39" s="14">
        <v>1.0093702043060629E-2</v>
      </c>
      <c r="M39" s="14">
        <v>8.2818825263312468E-3</v>
      </c>
      <c r="N39" s="14">
        <v>89.272364455398119</v>
      </c>
      <c r="O39" s="14">
        <v>24848.069922515511</v>
      </c>
      <c r="P39" s="8">
        <v>89.272364455398119</v>
      </c>
      <c r="Q39" s="54">
        <v>7.242152262248179E-2</v>
      </c>
    </row>
    <row r="40" spans="1:17">
      <c r="A40" s="2" t="s">
        <v>369</v>
      </c>
      <c r="B40" s="16" t="s">
        <v>370</v>
      </c>
      <c r="D40" s="14">
        <v>1</v>
      </c>
      <c r="E40" s="14">
        <v>0.81301537792806045</v>
      </c>
      <c r="F40" s="14">
        <v>8.3336366669822782E-4</v>
      </c>
      <c r="G40" s="14">
        <v>8.4599476084006549E-15</v>
      </c>
      <c r="H40" s="14">
        <v>215.26556431903634</v>
      </c>
      <c r="I40" s="14">
        <v>144.19710933206068</v>
      </c>
      <c r="J40" s="14">
        <v>0</v>
      </c>
      <c r="K40" s="14">
        <v>1199.9563215444491</v>
      </c>
      <c r="L40" s="14">
        <v>8.3336366669822793E-4</v>
      </c>
      <c r="M40" s="14">
        <v>6.8377488852589604E-4</v>
      </c>
      <c r="N40" s="14">
        <v>549.41075313005115</v>
      </c>
      <c r="O40" s="14">
        <v>223555.23544861778</v>
      </c>
      <c r="P40" s="8">
        <v>549.41075313005115</v>
      </c>
      <c r="Q40" s="54">
        <v>1.6082610881497971E-3</v>
      </c>
    </row>
    <row r="41" spans="1:17">
      <c r="A41" s="2" t="s">
        <v>371</v>
      </c>
      <c r="B41" s="16" t="s">
        <v>372</v>
      </c>
      <c r="D41" s="14">
        <v>1</v>
      </c>
      <c r="E41" s="14">
        <v>0.91343760835052867</v>
      </c>
      <c r="F41" s="14">
        <v>0.91697036450397496</v>
      </c>
      <c r="G41" s="14">
        <v>9.0879051912531037E-4</v>
      </c>
      <c r="H41" s="14">
        <v>7.9475871693451619E-3</v>
      </c>
      <c r="I41" s="14">
        <v>3.6837696945770548E-2</v>
      </c>
      <c r="J41" s="14">
        <v>0</v>
      </c>
      <c r="K41" s="14">
        <v>1.0905477850867502</v>
      </c>
      <c r="L41" s="14">
        <v>0.91697036450397507</v>
      </c>
      <c r="M41" s="14">
        <v>0.75237418407551149</v>
      </c>
      <c r="N41" s="14">
        <v>0.57159097388269486</v>
      </c>
      <c r="O41" s="14">
        <v>80.131338628614998</v>
      </c>
      <c r="P41" s="8">
        <v>0.57159097388269486</v>
      </c>
      <c r="Q41" s="54">
        <v>3.0909534936539662E-3</v>
      </c>
    </row>
    <row r="42" spans="1:17">
      <c r="A42" s="2" t="s">
        <v>293</v>
      </c>
      <c r="B42" s="16" t="s">
        <v>294</v>
      </c>
      <c r="D42" s="14">
        <v>1</v>
      </c>
      <c r="E42" s="14">
        <v>0.69586776845117471</v>
      </c>
      <c r="F42" s="14">
        <v>0.52261688496964132</v>
      </c>
      <c r="G42" s="14">
        <v>1.932288302125583E-10</v>
      </c>
      <c r="H42" s="14">
        <v>39.650022401609505</v>
      </c>
      <c r="I42" s="14">
        <v>94.167406126516269</v>
      </c>
      <c r="J42" s="14">
        <v>0</v>
      </c>
      <c r="K42" s="14">
        <v>1.913447553570891</v>
      </c>
      <c r="L42" s="14">
        <v>0.52261688496964132</v>
      </c>
      <c r="M42" s="14">
        <v>0.42880715411759074</v>
      </c>
      <c r="N42" s="14">
        <v>24.395450415315814</v>
      </c>
      <c r="O42" s="14">
        <v>8059.2809992037319</v>
      </c>
      <c r="P42" s="8">
        <v>24.395450415315814</v>
      </c>
      <c r="Q42" s="54">
        <v>0.19975635640261202</v>
      </c>
    </row>
    <row r="43" spans="1:17">
      <c r="A43" s="2" t="s">
        <v>373</v>
      </c>
      <c r="B43" s="16" t="s">
        <v>374</v>
      </c>
      <c r="D43" s="14">
        <v>1</v>
      </c>
      <c r="E43" s="14">
        <v>0.99308805004167755</v>
      </c>
      <c r="F43" s="14">
        <v>8.794436966624939E-3</v>
      </c>
      <c r="G43" s="14">
        <v>4.7620161076771357E-10</v>
      </c>
      <c r="H43" s="14">
        <v>279.52975282229227</v>
      </c>
      <c r="I43" s="14">
        <v>2.1853025741319407</v>
      </c>
      <c r="J43" s="14">
        <v>0</v>
      </c>
      <c r="K43" s="14">
        <v>113.70824576889</v>
      </c>
      <c r="L43" s="14">
        <v>8.794436966624939E-3</v>
      </c>
      <c r="M43" s="14">
        <v>7.2158355311157628E-3</v>
      </c>
      <c r="N43" s="14">
        <v>19.323571730112224</v>
      </c>
      <c r="O43" s="14">
        <v>5146.6400945980895</v>
      </c>
      <c r="P43" s="8">
        <v>19.323571730112228</v>
      </c>
      <c r="Q43" s="54">
        <v>2.8295122423037682E-4</v>
      </c>
    </row>
    <row r="44" spans="1:17">
      <c r="A44" s="2" t="s">
        <v>375</v>
      </c>
      <c r="B44" s="16" t="s">
        <v>376</v>
      </c>
      <c r="D44" s="14">
        <v>1</v>
      </c>
      <c r="E44" s="14">
        <v>0.78641173634823303</v>
      </c>
      <c r="F44" s="14">
        <v>0.76402251422001899</v>
      </c>
      <c r="G44" s="14">
        <v>9.448321098776681E-4</v>
      </c>
      <c r="H44" s="14">
        <v>5.5249220694471459</v>
      </c>
      <c r="I44" s="14">
        <v>15.602109706596181</v>
      </c>
      <c r="J44" s="14">
        <v>0</v>
      </c>
      <c r="K44" s="14">
        <v>1.308861952871752</v>
      </c>
      <c r="L44" s="14">
        <v>0.76402251422001899</v>
      </c>
      <c r="M44" s="14">
        <v>0.62688047291752558</v>
      </c>
      <c r="N44" s="14">
        <v>4.3829958534554168</v>
      </c>
      <c r="O44" s="14">
        <v>654.81958050623928</v>
      </c>
      <c r="P44" s="8">
        <v>4.3829958534554168</v>
      </c>
      <c r="Q44" s="54">
        <v>8.5779463830310668E-2</v>
      </c>
    </row>
    <row r="45" spans="1:17">
      <c r="A45" s="2" t="s">
        <v>377</v>
      </c>
      <c r="B45" s="16" t="s">
        <v>378</v>
      </c>
      <c r="D45" s="14">
        <v>1</v>
      </c>
      <c r="E45" s="14">
        <v>0.68406195088763488</v>
      </c>
      <c r="F45" s="14">
        <v>0.48702848181232933</v>
      </c>
      <c r="G45" s="14">
        <v>7.3438339326468678E-6</v>
      </c>
      <c r="H45" s="14">
        <v>45.133016390495833</v>
      </c>
      <c r="I45" s="14">
        <v>105.62130536969019</v>
      </c>
      <c r="J45" s="14">
        <v>0</v>
      </c>
      <c r="K45" s="14">
        <v>2.0532680065831102</v>
      </c>
      <c r="L45" s="14">
        <v>0.48702848181232933</v>
      </c>
      <c r="M45" s="14">
        <v>0.39960686932701622</v>
      </c>
      <c r="N45" s="14">
        <v>27.345473832240682</v>
      </c>
      <c r="O45" s="14">
        <v>6077.2581044771696</v>
      </c>
      <c r="P45" s="8">
        <v>27.345473832240685</v>
      </c>
      <c r="Q45" s="54">
        <v>0.20661009177428596</v>
      </c>
    </row>
    <row r="46" spans="1:17">
      <c r="A46" s="2" t="s">
        <v>379</v>
      </c>
      <c r="B46" s="16" t="s">
        <v>380</v>
      </c>
      <c r="D46" s="14">
        <v>1</v>
      </c>
      <c r="E46" s="14">
        <v>0.69007559962214704</v>
      </c>
      <c r="F46" s="14">
        <v>0.50844446252365316</v>
      </c>
      <c r="G46" s="14">
        <v>2.2095915962057291E-5</v>
      </c>
      <c r="H46" s="14">
        <v>41.579907781210146</v>
      </c>
      <c r="I46" s="14">
        <v>98.206603825753561</v>
      </c>
      <c r="J46" s="14">
        <v>0</v>
      </c>
      <c r="K46" s="14">
        <v>1.9667831468485693</v>
      </c>
      <c r="L46" s="14">
        <v>0.50844446252365316</v>
      </c>
      <c r="M46" s="14">
        <v>0.4171786815006574</v>
      </c>
      <c r="N46" s="14">
        <v>25.434593400398434</v>
      </c>
      <c r="O46" s="14">
        <v>3269.8713275552227</v>
      </c>
      <c r="P46" s="8">
        <v>25.434593400398434</v>
      </c>
      <c r="Q46" s="54">
        <v>0.20208807757714542</v>
      </c>
    </row>
    <row r="47" spans="1:17">
      <c r="A47" s="2" t="s">
        <v>381</v>
      </c>
      <c r="B47" s="16" t="s">
        <v>382</v>
      </c>
      <c r="D47" s="14">
        <v>1</v>
      </c>
      <c r="E47" s="14">
        <v>0.78710961536893542</v>
      </c>
      <c r="F47" s="14">
        <v>5.7405609893899153E-4</v>
      </c>
      <c r="G47" s="14">
        <v>4.0896187478423933E-10</v>
      </c>
      <c r="H47" s="14">
        <v>60.263497812050026</v>
      </c>
      <c r="I47" s="14">
        <v>1511.8597538641466</v>
      </c>
      <c r="J47" s="14">
        <v>0</v>
      </c>
      <c r="K47" s="14">
        <v>1741.9900282363799</v>
      </c>
      <c r="L47" s="14">
        <v>5.7405609893899153E-4</v>
      </c>
      <c r="M47" s="14">
        <v>4.7101302917944261E-4</v>
      </c>
      <c r="N47" s="14">
        <v>420.36233267099641</v>
      </c>
      <c r="O47" s="14">
        <v>164483.5771508342</v>
      </c>
      <c r="P47" s="8">
        <v>420.36233267099641</v>
      </c>
      <c r="Q47" s="54">
        <v>4.8362807731752673E-2</v>
      </c>
    </row>
    <row r="48" spans="1:17">
      <c r="A48" s="2" t="s">
        <v>383</v>
      </c>
      <c r="B48" s="16" t="s">
        <v>384</v>
      </c>
      <c r="D48" s="14">
        <v>1</v>
      </c>
      <c r="E48" s="14">
        <v>0.91104803422286984</v>
      </c>
      <c r="F48" s="14">
        <v>0.9061907709787832</v>
      </c>
      <c r="G48" s="14">
        <v>1.3072183105802162E-4</v>
      </c>
      <c r="H48" s="14">
        <v>1.785334653794078</v>
      </c>
      <c r="I48" s="14">
        <v>5.5485155256876464</v>
      </c>
      <c r="J48" s="14">
        <v>0</v>
      </c>
      <c r="K48" s="14">
        <v>1.1035203977192272</v>
      </c>
      <c r="L48" s="14">
        <v>0.9061907709787832</v>
      </c>
      <c r="M48" s="14">
        <v>0.74352952758809165</v>
      </c>
      <c r="N48" s="14">
        <v>1.9336888516538926</v>
      </c>
      <c r="O48" s="14">
        <v>180.084442754527</v>
      </c>
      <c r="P48" s="8">
        <v>1.9336888516538926</v>
      </c>
      <c r="Q48" s="54">
        <v>5.1662665031232999E-2</v>
      </c>
    </row>
    <row r="49" spans="1:17">
      <c r="A49" s="2" t="s">
        <v>385</v>
      </c>
      <c r="B49" s="16" t="s">
        <v>386</v>
      </c>
      <c r="D49" s="14">
        <v>1</v>
      </c>
      <c r="E49" s="14">
        <v>0.87592893922783255</v>
      </c>
      <c r="F49" s="14">
        <v>0.86451245460510051</v>
      </c>
      <c r="G49" s="14">
        <v>2.4400557099175344E-4</v>
      </c>
      <c r="H49" s="14">
        <v>3.1825208261496121</v>
      </c>
      <c r="I49" s="14">
        <v>9.445575529052082</v>
      </c>
      <c r="J49" s="14">
        <v>0</v>
      </c>
      <c r="K49" s="14">
        <v>1.1567213342886871</v>
      </c>
      <c r="L49" s="14">
        <v>0.86451245460510062</v>
      </c>
      <c r="M49" s="14">
        <v>0.70933246900348501</v>
      </c>
      <c r="N49" s="14">
        <v>2.8873892550248197</v>
      </c>
      <c r="O49" s="14">
        <v>320.84669401835794</v>
      </c>
      <c r="P49" s="8">
        <v>2.8873892550248197</v>
      </c>
      <c r="Q49" s="54">
        <v>6.826976770042438E-2</v>
      </c>
    </row>
    <row r="50" spans="1:17">
      <c r="A50" s="2" t="s">
        <v>387</v>
      </c>
      <c r="B50" s="16" t="s">
        <v>388</v>
      </c>
      <c r="D50" s="14">
        <v>1</v>
      </c>
      <c r="E50" s="14">
        <v>0.73152920276631372</v>
      </c>
      <c r="F50" s="14">
        <v>7.3790247526102845E-2</v>
      </c>
      <c r="G50" s="14">
        <v>7.142782975885736E-5</v>
      </c>
      <c r="H50" s="14">
        <v>155.75391333563883</v>
      </c>
      <c r="I50" s="14">
        <v>289.53171173961874</v>
      </c>
      <c r="J50" s="14">
        <v>0</v>
      </c>
      <c r="K50" s="14">
        <v>13.551926352412034</v>
      </c>
      <c r="L50" s="14">
        <v>7.3790247526102845E-2</v>
      </c>
      <c r="M50" s="14">
        <v>6.0544898095167388E-2</v>
      </c>
      <c r="N50" s="14">
        <v>76.081576438936892</v>
      </c>
      <c r="O50" s="14">
        <v>15022.307267868089</v>
      </c>
      <c r="P50" s="8">
        <v>76.081576438936906</v>
      </c>
      <c r="Q50" s="54">
        <v>0.15962324593853663</v>
      </c>
    </row>
    <row r="51" spans="1:17">
      <c r="A51" s="2" t="s">
        <v>295</v>
      </c>
      <c r="B51" s="16" t="s">
        <v>296</v>
      </c>
      <c r="D51" s="14">
        <v>1</v>
      </c>
      <c r="E51" s="14">
        <v>0.90461572952253466</v>
      </c>
      <c r="F51" s="14">
        <v>0.90674882382596778</v>
      </c>
      <c r="G51" s="14">
        <v>7.2817453744021803E-4</v>
      </c>
      <c r="H51" s="14">
        <v>0.28787702168203211</v>
      </c>
      <c r="I51" s="14">
        <v>1.0234442060106428</v>
      </c>
      <c r="J51" s="14">
        <v>0</v>
      </c>
      <c r="K51" s="14">
        <v>1.1028412430474019</v>
      </c>
      <c r="L51" s="14">
        <v>0.90674882382596778</v>
      </c>
      <c r="M51" s="14">
        <v>0.74398740994920665</v>
      </c>
      <c r="N51" s="14">
        <v>0.80694816427792659</v>
      </c>
      <c r="O51" s="14">
        <v>46.867549381261973</v>
      </c>
      <c r="P51" s="8">
        <v>0.8069481642779267</v>
      </c>
      <c r="Q51" s="54">
        <v>1.9964763579137717E-2</v>
      </c>
    </row>
    <row r="52" spans="1:17">
      <c r="A52" s="2" t="s">
        <v>389</v>
      </c>
      <c r="B52" s="16" t="s">
        <v>390</v>
      </c>
      <c r="D52" s="14">
        <v>1</v>
      </c>
      <c r="E52" s="14">
        <v>0.76428701291617629</v>
      </c>
      <c r="F52" s="14">
        <v>0.7237578141046368</v>
      </c>
      <c r="G52" s="14">
        <v>7.6433149125557857E-4</v>
      </c>
      <c r="H52" s="14">
        <v>9.5379110003968606</v>
      </c>
      <c r="I52" s="14">
        <v>25.769763711181003</v>
      </c>
      <c r="J52" s="14">
        <v>0</v>
      </c>
      <c r="K52" s="14">
        <v>1.3816776558566117</v>
      </c>
      <c r="L52" s="14">
        <v>0.7237578141046368</v>
      </c>
      <c r="M52" s="14">
        <v>0.59384328647285445</v>
      </c>
      <c r="N52" s="14">
        <v>6.940277275042642</v>
      </c>
      <c r="O52" s="14">
        <v>743.65071002081913</v>
      </c>
      <c r="P52" s="8">
        <v>6.9402772750426429</v>
      </c>
      <c r="Q52" s="54">
        <v>0.11109907330182486</v>
      </c>
    </row>
    <row r="53" spans="1:17">
      <c r="A53" s="2" t="s">
        <v>391</v>
      </c>
      <c r="B53" s="16" t="s">
        <v>392</v>
      </c>
      <c r="D53" s="14">
        <v>1</v>
      </c>
      <c r="E53" s="14">
        <v>0.65835110515267758</v>
      </c>
      <c r="F53" s="14">
        <v>0.37568702577715901</v>
      </c>
      <c r="G53" s="14">
        <v>2.1611986361353157E-5</v>
      </c>
      <c r="H53" s="14">
        <v>65.052830396147016</v>
      </c>
      <c r="I53" s="14">
        <v>145.3862610815911</v>
      </c>
      <c r="J53" s="14">
        <v>0</v>
      </c>
      <c r="K53" s="14">
        <v>2.661790084263266</v>
      </c>
      <c r="L53" s="14">
        <v>0.37568702577715907</v>
      </c>
      <c r="M53" s="14">
        <v>0.30825120465015898</v>
      </c>
      <c r="N53" s="14">
        <v>37.647970857111993</v>
      </c>
      <c r="O53" s="14">
        <v>6099.7242382692857</v>
      </c>
      <c r="P53" s="8">
        <v>37.647970857112</v>
      </c>
      <c r="Q53" s="54">
        <v>0.22076151606009742</v>
      </c>
    </row>
    <row r="54" spans="1:17">
      <c r="A54" s="2" t="s">
        <v>393</v>
      </c>
      <c r="B54" s="16" t="s">
        <v>394</v>
      </c>
      <c r="D54" s="14">
        <v>1</v>
      </c>
      <c r="E54" s="14">
        <v>0.78944021365257877</v>
      </c>
      <c r="F54" s="14">
        <v>8.0833689698459488E-4</v>
      </c>
      <c r="G54" s="14">
        <v>1.9021330453875979E-6</v>
      </c>
      <c r="H54" s="14">
        <v>72.612669433488776</v>
      </c>
      <c r="I54" s="14">
        <v>1403.0384522141223</v>
      </c>
      <c r="J54" s="14">
        <v>0</v>
      </c>
      <c r="K54" s="14">
        <v>1237.1079480973608</v>
      </c>
      <c r="L54" s="14">
        <v>8.0833689698459499E-4</v>
      </c>
      <c r="M54" s="14">
        <v>6.6324042397586022E-4</v>
      </c>
      <c r="N54" s="14">
        <v>388.67681349076594</v>
      </c>
      <c r="O54" s="14">
        <v>90713.281500609854</v>
      </c>
      <c r="P54" s="8">
        <v>388.67681349076594</v>
      </c>
      <c r="Q54" s="54">
        <v>5.3860399902296331E-2</v>
      </c>
    </row>
    <row r="55" spans="1:17">
      <c r="A55" s="2" t="s">
        <v>395</v>
      </c>
      <c r="B55" s="16" t="s">
        <v>396</v>
      </c>
      <c r="D55" s="14">
        <v>1</v>
      </c>
      <c r="E55" s="14">
        <v>0.59149081717865537</v>
      </c>
      <c r="F55" s="14">
        <v>0.13440504496255534</v>
      </c>
      <c r="G55" s="14">
        <v>1.4519245819645816E-3</v>
      </c>
      <c r="H55" s="14">
        <v>106.98319666252723</v>
      </c>
      <c r="I55" s="14">
        <v>213.68436238406915</v>
      </c>
      <c r="J55" s="14">
        <v>0</v>
      </c>
      <c r="K55" s="14">
        <v>7.4401969083719708</v>
      </c>
      <c r="L55" s="14">
        <v>0.13440504496255534</v>
      </c>
      <c r="M55" s="14">
        <v>0.11027933939177667</v>
      </c>
      <c r="N55" s="14">
        <v>55.759054954428279</v>
      </c>
      <c r="O55" s="14">
        <v>7146.6380735090725</v>
      </c>
      <c r="P55" s="8">
        <v>55.759054954428287</v>
      </c>
      <c r="Q55" s="54">
        <v>0.17489312638639493</v>
      </c>
    </row>
    <row r="56" spans="1:17">
      <c r="A56" s="2" t="s">
        <v>397</v>
      </c>
      <c r="B56" s="16" t="s">
        <v>398</v>
      </c>
      <c r="D56" s="14">
        <v>1</v>
      </c>
      <c r="E56" s="14">
        <v>0.31552493124706138</v>
      </c>
      <c r="F56" s="14">
        <v>1.6009815507328978E-2</v>
      </c>
      <c r="G56" s="14">
        <v>6.6382685073520919E-3</v>
      </c>
      <c r="H56" s="14">
        <v>71.552749591865734</v>
      </c>
      <c r="I56" s="14">
        <v>125.85877431706786</v>
      </c>
      <c r="J56" s="14">
        <v>0</v>
      </c>
      <c r="K56" s="14">
        <v>62.461681681604624</v>
      </c>
      <c r="L56" s="14">
        <v>1.6009815507328978E-2</v>
      </c>
      <c r="M56" s="14">
        <v>1.3136053623763426E-2</v>
      </c>
      <c r="N56" s="14">
        <v>33.263949058543716</v>
      </c>
      <c r="O56" s="14">
        <v>6035.7435566727572</v>
      </c>
      <c r="P56" s="8">
        <v>33.263949058543723</v>
      </c>
      <c r="Q56" s="54">
        <v>5.1201595940116307E-2</v>
      </c>
    </row>
    <row r="57" spans="1:17">
      <c r="A57" s="2" t="s">
        <v>399</v>
      </c>
      <c r="B57" s="16" t="s">
        <v>400</v>
      </c>
      <c r="D57" s="14">
        <v>1</v>
      </c>
      <c r="E57" s="14">
        <v>0.16548848594665194</v>
      </c>
      <c r="F57" s="14">
        <v>2.9089691036221128E-2</v>
      </c>
      <c r="G57" s="14">
        <v>8.4732027068855163E-3</v>
      </c>
      <c r="H57" s="14">
        <v>32.049341341943169</v>
      </c>
      <c r="I57" s="14">
        <v>62.499462064404192</v>
      </c>
      <c r="J57" s="14">
        <v>0</v>
      </c>
      <c r="K57" s="14">
        <v>34.376439363169808</v>
      </c>
      <c r="L57" s="14">
        <v>2.9089691036221131E-2</v>
      </c>
      <c r="M57" s="14">
        <v>2.3868091495219439E-2</v>
      </c>
      <c r="N57" s="14">
        <v>16.345261515227641</v>
      </c>
      <c r="O57" s="14">
        <v>2402.7534427384635</v>
      </c>
      <c r="P57" s="8">
        <v>16.345261515227644</v>
      </c>
      <c r="Q57" s="54">
        <v>4.4841102231061185E-2</v>
      </c>
    </row>
    <row r="58" spans="1:17">
      <c r="A58" s="2" t="s">
        <v>297</v>
      </c>
      <c r="B58" s="16" t="s">
        <v>298</v>
      </c>
      <c r="D58" s="14">
        <v>1</v>
      </c>
      <c r="E58" s="14">
        <v>6.045973279721404E-2</v>
      </c>
      <c r="F58" s="14">
        <v>5.9392583887930214E-2</v>
      </c>
      <c r="G58" s="14">
        <v>1.0350485170205434E-2</v>
      </c>
      <c r="H58" s="14">
        <v>0.28075805155318234</v>
      </c>
      <c r="I58" s="14">
        <v>0.8180679729679291</v>
      </c>
      <c r="J58" s="14">
        <v>0</v>
      </c>
      <c r="K58" s="14">
        <v>16.837118955574187</v>
      </c>
      <c r="L58" s="14">
        <v>5.9392583887930221E-2</v>
      </c>
      <c r="M58" s="14">
        <v>4.8731615080046746E-2</v>
      </c>
      <c r="N58" s="14">
        <v>0.24098059533953364</v>
      </c>
      <c r="O58" s="14">
        <v>20.466481962186595</v>
      </c>
      <c r="P58" s="8">
        <v>0.24098059533953367</v>
      </c>
      <c r="Q58" s="54">
        <v>5.3430518728774089E-3</v>
      </c>
    </row>
    <row r="59" spans="1:17">
      <c r="A59" s="2" t="s">
        <v>401</v>
      </c>
      <c r="B59" s="16" t="s">
        <v>402</v>
      </c>
      <c r="D59" s="14">
        <v>1</v>
      </c>
      <c r="E59" s="14">
        <v>6.4273089958094304E-2</v>
      </c>
      <c r="F59" s="14">
        <v>1.2004826917725191E-2</v>
      </c>
      <c r="G59" s="14">
        <v>1.0080553771850492E-2</v>
      </c>
      <c r="H59" s="14">
        <v>12.270320394917519</v>
      </c>
      <c r="I59" s="14">
        <v>24.060966789861506</v>
      </c>
      <c r="J59" s="14">
        <v>0</v>
      </c>
      <c r="K59" s="14">
        <v>83.299826549227021</v>
      </c>
      <c r="L59" s="14">
        <v>1.2004826917725191E-2</v>
      </c>
      <c r="M59" s="14">
        <v>9.8499604859935194E-3</v>
      </c>
      <c r="N59" s="14">
        <v>6.2892622468532613</v>
      </c>
      <c r="O59" s="14">
        <v>1042.9483583956762</v>
      </c>
      <c r="P59" s="8">
        <v>6.2892622468532613</v>
      </c>
      <c r="Q59" s="54">
        <v>1.7795617960782651E-2</v>
      </c>
    </row>
    <row r="60" spans="1:17">
      <c r="A60" s="2" t="s">
        <v>299</v>
      </c>
      <c r="B60" s="16" t="s">
        <v>300</v>
      </c>
      <c r="D60" s="14">
        <v>1</v>
      </c>
      <c r="E60" s="14">
        <v>1.3154494865147263E-3</v>
      </c>
      <c r="F60" s="14">
        <v>4.4951279839955551E-4</v>
      </c>
      <c r="G60" s="14">
        <v>1.1088953160810365E-2</v>
      </c>
      <c r="H60" s="14">
        <v>0.20130847614460498</v>
      </c>
      <c r="I60" s="14">
        <v>0.41948770089808812</v>
      </c>
      <c r="J60" s="14">
        <v>0</v>
      </c>
      <c r="K60" s="14">
        <v>2224.6307637077252</v>
      </c>
      <c r="L60" s="14">
        <v>4.4951279839955551E-4</v>
      </c>
      <c r="M60" s="14">
        <v>3.6882525108683528E-4</v>
      </c>
      <c r="N60" s="14">
        <v>0.10906884318339349</v>
      </c>
      <c r="O60" s="14">
        <v>8.9589147790839423</v>
      </c>
      <c r="P60" s="8">
        <v>0.10906884318339349</v>
      </c>
      <c r="Q60" s="54">
        <v>4.334302637389467E-4</v>
      </c>
    </row>
    <row r="61" spans="1:17">
      <c r="A61" s="2" t="s">
        <v>403</v>
      </c>
      <c r="B61" s="16" t="s">
        <v>404</v>
      </c>
      <c r="D61" s="14">
        <v>1</v>
      </c>
      <c r="E61" s="14">
        <v>0.65401909629308763</v>
      </c>
      <c r="F61" s="14">
        <v>0.28075821329486839</v>
      </c>
      <c r="G61" s="14">
        <v>4.8930646916844605E-46</v>
      </c>
      <c r="H61" s="14">
        <v>86.407704918632632</v>
      </c>
      <c r="I61" s="14">
        <v>185.10137324002883</v>
      </c>
      <c r="J61" s="14">
        <v>0</v>
      </c>
      <c r="K61" s="14">
        <v>3.56178360114346</v>
      </c>
      <c r="L61" s="14">
        <v>0.28075821329486839</v>
      </c>
      <c r="M61" s="14">
        <v>0.23036211400843951</v>
      </c>
      <c r="N61" s="14">
        <v>48.032648724425513</v>
      </c>
      <c r="O61" s="14">
        <v>57764.543682481359</v>
      </c>
      <c r="P61" s="8">
        <v>48.032648724425513</v>
      </c>
      <c r="Q61" s="54">
        <v>0.22264330527146611</v>
      </c>
    </row>
    <row r="62" spans="1:17">
      <c r="A62" s="2" t="s">
        <v>405</v>
      </c>
      <c r="B62" s="16" t="s">
        <v>406</v>
      </c>
      <c r="D62" s="14">
        <v>1</v>
      </c>
      <c r="E62" s="14">
        <v>0.81983045997802928</v>
      </c>
      <c r="F62" s="14">
        <v>3.6456958210262947E-3</v>
      </c>
      <c r="G62" s="14">
        <v>1.1167833182096601E-9</v>
      </c>
      <c r="H62" s="14">
        <v>148.94997354964454</v>
      </c>
      <c r="I62" s="14">
        <v>768.77207789611145</v>
      </c>
      <c r="J62" s="14">
        <v>0</v>
      </c>
      <c r="K62" s="14">
        <v>274.29606009162097</v>
      </c>
      <c r="L62" s="14">
        <v>3.6456958210262947E-3</v>
      </c>
      <c r="M62" s="14">
        <v>2.9912934211520749E-3</v>
      </c>
      <c r="N62" s="14">
        <v>209.06282506894749</v>
      </c>
      <c r="O62" s="14">
        <v>66661.772401484603</v>
      </c>
      <c r="P62" s="8">
        <v>209.06282506894752</v>
      </c>
      <c r="Q62" s="54">
        <v>7.4198922944606421E-2</v>
      </c>
    </row>
    <row r="63" spans="1:17">
      <c r="A63" s="2" t="s">
        <v>407</v>
      </c>
      <c r="B63" s="16" t="s">
        <v>408</v>
      </c>
      <c r="D63" s="14">
        <v>1</v>
      </c>
      <c r="E63" s="14">
        <v>0.78497436570669321</v>
      </c>
      <c r="F63" s="14">
        <v>3.0951156966920233E-4</v>
      </c>
      <c r="G63" s="14">
        <v>2.4846508863570508E-7</v>
      </c>
      <c r="H63" s="14">
        <v>42.494907454051472</v>
      </c>
      <c r="I63" s="14">
        <v>1671.4525746068223</v>
      </c>
      <c r="J63" s="14">
        <v>0</v>
      </c>
      <c r="K63" s="14">
        <v>3230.8969938305481</v>
      </c>
      <c r="L63" s="14">
        <v>3.0951156966920233E-4</v>
      </c>
      <c r="M63" s="14">
        <v>2.539542429135805E-4</v>
      </c>
      <c r="N63" s="14">
        <v>467.68360956922731</v>
      </c>
      <c r="O63" s="14">
        <v>227196.02069263495</v>
      </c>
      <c r="P63" s="8">
        <v>467.68360956922737</v>
      </c>
      <c r="Q63" s="54">
        <v>3.9056566243546746E-2</v>
      </c>
    </row>
    <row r="64" spans="1:17">
      <c r="A64" s="2" t="s">
        <v>409</v>
      </c>
      <c r="B64" s="16" t="s">
        <v>410</v>
      </c>
      <c r="D64" s="14">
        <v>1</v>
      </c>
      <c r="E64" s="14">
        <v>0.78519478894464712</v>
      </c>
      <c r="F64" s="14">
        <v>1.0554167000306899E-4</v>
      </c>
      <c r="G64" s="14">
        <v>3.0274184233283623E-8</v>
      </c>
      <c r="H64" s="14">
        <v>22.534294292896828</v>
      </c>
      <c r="I64" s="14">
        <v>1857.381572837269</v>
      </c>
      <c r="J64" s="14">
        <v>0</v>
      </c>
      <c r="K64" s="14">
        <v>9474.930612438875</v>
      </c>
      <c r="L64" s="14">
        <v>1.0554167000306899E-4</v>
      </c>
      <c r="M64" s="14">
        <v>8.6596940237518102E-5</v>
      </c>
      <c r="N64" s="14">
        <v>525.14780147661133</v>
      </c>
      <c r="O64" s="14">
        <v>296545.71201582765</v>
      </c>
      <c r="P64" s="8">
        <v>525.14780147661133</v>
      </c>
      <c r="Q64" s="54">
        <v>2.5888156930775643E-2</v>
      </c>
    </row>
    <row r="65" spans="1:17">
      <c r="A65" s="2" t="s">
        <v>301</v>
      </c>
      <c r="B65" s="16" t="s">
        <v>302</v>
      </c>
      <c r="D65" s="14">
        <v>1</v>
      </c>
      <c r="E65" s="14">
        <v>0.7873496689257975</v>
      </c>
      <c r="F65" s="14">
        <v>2.9300282414452576E-5</v>
      </c>
      <c r="G65" s="14">
        <v>3.6982843019266595E-9</v>
      </c>
      <c r="H65" s="14">
        <v>10.336459477196094</v>
      </c>
      <c r="I65" s="14">
        <v>1976.191273271151</v>
      </c>
      <c r="J65" s="14">
        <v>0</v>
      </c>
      <c r="K65" s="14">
        <v>34129.363869432964</v>
      </c>
      <c r="L65" s="14">
        <v>2.9300282414452579E-5</v>
      </c>
      <c r="M65" s="14">
        <v>2.4040881721058342E-5</v>
      </c>
      <c r="N65" s="14">
        <v>565.40521314516309</v>
      </c>
      <c r="O65" s="14">
        <v>363883.48707596411</v>
      </c>
      <c r="P65" s="8">
        <v>565.4052131451632</v>
      </c>
      <c r="Q65" s="54">
        <v>1.5304846462992266E-2</v>
      </c>
    </row>
    <row r="66" spans="1:17">
      <c r="A66" s="2" t="s">
        <v>303</v>
      </c>
      <c r="B66" s="16" t="s">
        <v>304</v>
      </c>
      <c r="D66" s="14">
        <v>1</v>
      </c>
      <c r="E66" s="14">
        <v>0.78606277336858388</v>
      </c>
      <c r="F66" s="14">
        <v>6.1091133351944113E-5</v>
      </c>
      <c r="G66" s="14">
        <v>3.590266359933569E-15</v>
      </c>
      <c r="H66" s="14">
        <v>16.195642518855706</v>
      </c>
      <c r="I66" s="14">
        <v>1918.4715046172746</v>
      </c>
      <c r="J66" s="14">
        <v>0</v>
      </c>
      <c r="K66" s="14">
        <v>16368.987529483717</v>
      </c>
      <c r="L66" s="14">
        <v>6.1091133351944113E-5</v>
      </c>
      <c r="M66" s="14">
        <v>5.0125274915270147E-5</v>
      </c>
      <c r="N66" s="14">
        <v>545.1987179505112</v>
      </c>
      <c r="O66" s="14">
        <v>351822.18468064436</v>
      </c>
      <c r="P66" s="8">
        <v>545.1987179505112</v>
      </c>
      <c r="Q66" s="54">
        <v>2.07565587448118E-2</v>
      </c>
    </row>
    <row r="67" spans="1:17">
      <c r="A67" s="2" t="s">
        <v>411</v>
      </c>
      <c r="B67" s="16" t="s">
        <v>412</v>
      </c>
      <c r="D67" s="14">
        <v>1</v>
      </c>
      <c r="E67" s="14">
        <v>0.84329898615397481</v>
      </c>
      <c r="F67" s="14">
        <v>0.8135876543808489</v>
      </c>
      <c r="G67" s="14">
        <v>5.1657434957015694E-5</v>
      </c>
      <c r="H67" s="14">
        <v>7.186283560574088</v>
      </c>
      <c r="I67" s="14">
        <v>19.996846856421886</v>
      </c>
      <c r="J67" s="14">
        <v>0</v>
      </c>
      <c r="K67" s="14">
        <v>1.2291238622112739</v>
      </c>
      <c r="L67" s="14">
        <v>0.8135876543808489</v>
      </c>
      <c r="M67" s="14">
        <v>0.66754867041948662</v>
      </c>
      <c r="N67" s="14">
        <v>5.5239844023240794</v>
      </c>
      <c r="O67" s="14">
        <v>1657.7477191374562</v>
      </c>
      <c r="P67" s="8">
        <v>5.5239844023240794</v>
      </c>
      <c r="Q67" s="54">
        <v>0.10138215550998129</v>
      </c>
    </row>
    <row r="68" spans="1:17">
      <c r="A68" s="2" t="s">
        <v>413</v>
      </c>
      <c r="B68" s="16" t="s">
        <v>414</v>
      </c>
      <c r="D68" s="14">
        <v>1</v>
      </c>
      <c r="E68" s="14">
        <v>0.79504718295368493</v>
      </c>
      <c r="F68" s="14">
        <v>0.7411658833112984</v>
      </c>
      <c r="G68" s="14">
        <v>1.107143482341602E-4</v>
      </c>
      <c r="H68" s="14">
        <v>12.542249043906697</v>
      </c>
      <c r="I68" s="14">
        <v>33.268451804752424</v>
      </c>
      <c r="J68" s="14">
        <v>0</v>
      </c>
      <c r="K68" s="14">
        <v>1.3492256221135157</v>
      </c>
      <c r="L68" s="14">
        <v>0.7411658833112984</v>
      </c>
      <c r="M68" s="14">
        <v>0.60812660725692036</v>
      </c>
      <c r="N68" s="14">
        <v>8.8581196291822213</v>
      </c>
      <c r="O68" s="14">
        <v>2906.7919563161458</v>
      </c>
      <c r="P68" s="8">
        <v>8.8581196291822231</v>
      </c>
      <c r="Q68" s="54">
        <v>0.12960823331913901</v>
      </c>
    </row>
    <row r="69" spans="1:17">
      <c r="A69" s="2" t="s">
        <v>415</v>
      </c>
      <c r="B69" s="16" t="s">
        <v>416</v>
      </c>
      <c r="D69" s="14">
        <v>1</v>
      </c>
      <c r="E69" s="14">
        <v>0.79397303555058674</v>
      </c>
      <c r="F69" s="14">
        <v>1.270019555412504E-3</v>
      </c>
      <c r="G69" s="14">
        <v>1.2415347959485675E-5</v>
      </c>
      <c r="H69" s="14">
        <v>91.881993276323456</v>
      </c>
      <c r="I69" s="14">
        <v>1235.3430576210333</v>
      </c>
      <c r="J69" s="14">
        <v>0</v>
      </c>
      <c r="K69" s="14">
        <v>787.38945060983622</v>
      </c>
      <c r="L69" s="14">
        <v>1.270019555412504E-3</v>
      </c>
      <c r="M69" s="14">
        <v>1.0420510452159595E-3</v>
      </c>
      <c r="N69" s="14">
        <v>340.48286344317529</v>
      </c>
      <c r="O69" s="14">
        <v>158011.28726670876</v>
      </c>
      <c r="P69" s="8">
        <v>340.48286344317529</v>
      </c>
      <c r="Q69" s="54">
        <v>6.1092455185903151E-2</v>
      </c>
    </row>
    <row r="70" spans="1:17">
      <c r="A70" s="2" t="s">
        <v>417</v>
      </c>
      <c r="B70" s="16" t="s">
        <v>418</v>
      </c>
      <c r="D70" s="14">
        <v>1</v>
      </c>
      <c r="E70" s="14">
        <v>0.81235029448372864</v>
      </c>
      <c r="F70" s="14">
        <v>2.5041195005808512E-2</v>
      </c>
      <c r="G70" s="14">
        <v>3.4481292607400533E-5</v>
      </c>
      <c r="H70" s="14">
        <v>189.21477700738552</v>
      </c>
      <c r="I70" s="14">
        <v>320.19328592038318</v>
      </c>
      <c r="J70" s="14">
        <v>0</v>
      </c>
      <c r="K70" s="14">
        <v>39.934196421857727</v>
      </c>
      <c r="L70" s="14">
        <v>2.5041195005808516E-2</v>
      </c>
      <c r="M70" s="14">
        <v>2.0546300502265885E-2</v>
      </c>
      <c r="N70" s="14">
        <v>84.976756733357576</v>
      </c>
      <c r="O70" s="14">
        <v>26686.950452110945</v>
      </c>
      <c r="P70" s="8">
        <v>84.976756733357576</v>
      </c>
      <c r="Q70" s="54">
        <v>0.10529608427045813</v>
      </c>
    </row>
    <row r="71" spans="1:17">
      <c r="A71" s="2" t="s">
        <v>419</v>
      </c>
      <c r="B71" s="16" t="s">
        <v>420</v>
      </c>
      <c r="D71" s="14">
        <v>1</v>
      </c>
      <c r="E71" s="14">
        <v>0.79039412090445793</v>
      </c>
      <c r="F71" s="14">
        <v>0.74179096135813904</v>
      </c>
      <c r="G71" s="14">
        <v>2.7185043037309021E-4</v>
      </c>
      <c r="H71" s="14">
        <v>11.357991444037173</v>
      </c>
      <c r="I71" s="14">
        <v>30.350000877308005</v>
      </c>
      <c r="J71" s="14">
        <v>0</v>
      </c>
      <c r="K71" s="14">
        <v>1.3480886827861964</v>
      </c>
      <c r="L71" s="14">
        <v>0.74179096135813904</v>
      </c>
      <c r="M71" s="14">
        <v>0.60863948379435318</v>
      </c>
      <c r="N71" s="14">
        <v>8.1151717248164328</v>
      </c>
      <c r="O71" s="14">
        <v>1736.9713559797092</v>
      </c>
      <c r="P71" s="8">
        <v>8.1151717248164328</v>
      </c>
      <c r="Q71" s="54">
        <v>0.12312853379713735</v>
      </c>
    </row>
    <row r="72" spans="1:17">
      <c r="A72" s="2" t="s">
        <v>421</v>
      </c>
      <c r="B72" s="16" t="s">
        <v>422</v>
      </c>
      <c r="D72" s="14">
        <v>1</v>
      </c>
      <c r="E72" s="14">
        <v>0.79437265756516673</v>
      </c>
      <c r="F72" s="14">
        <v>2.8945030970655979E-2</v>
      </c>
      <c r="G72" s="14">
        <v>1.4457143981880615E-4</v>
      </c>
      <c r="H72" s="14">
        <v>183.59211229743732</v>
      </c>
      <c r="I72" s="14">
        <v>314.71046841037713</v>
      </c>
      <c r="J72" s="14">
        <v>0</v>
      </c>
      <c r="K72" s="14">
        <v>34.548244256977455</v>
      </c>
      <c r="L72" s="14">
        <v>2.8945030970655979E-2</v>
      </c>
      <c r="M72" s="14">
        <v>2.3749397911423231E-2</v>
      </c>
      <c r="N72" s="14">
        <v>83.405975572695198</v>
      </c>
      <c r="O72" s="14">
        <v>34535.9123053859</v>
      </c>
      <c r="P72" s="8">
        <v>83.405975572695198</v>
      </c>
      <c r="Q72" s="54">
        <v>0.11109926591463275</v>
      </c>
    </row>
    <row r="73" spans="1:17">
      <c r="A73" s="2" t="s">
        <v>423</v>
      </c>
      <c r="B73" s="16" t="s">
        <v>424</v>
      </c>
      <c r="D73" s="14">
        <v>1</v>
      </c>
      <c r="E73" s="14">
        <v>0.64671102982638273</v>
      </c>
      <c r="F73" s="14">
        <v>0.25822434552707407</v>
      </c>
      <c r="G73" s="14">
        <v>1.424117007610849E-4</v>
      </c>
      <c r="H73" s="14">
        <v>90.056939828205628</v>
      </c>
      <c r="I73" s="14">
        <v>191.15002367461258</v>
      </c>
      <c r="J73" s="14">
        <v>0</v>
      </c>
      <c r="K73" s="14">
        <v>3.8726015471502198</v>
      </c>
      <c r="L73" s="14">
        <v>0.25822434552707407</v>
      </c>
      <c r="M73" s="14">
        <v>0.21187307550496429</v>
      </c>
      <c r="N73" s="14">
        <v>49.632694069178335</v>
      </c>
      <c r="O73" s="14">
        <v>21251.230619600086</v>
      </c>
      <c r="P73" s="8">
        <v>49.632694069178335</v>
      </c>
      <c r="Q73" s="54">
        <v>0.21856184903106615</v>
      </c>
    </row>
    <row r="74" spans="1:17">
      <c r="A74" s="2" t="s">
        <v>425</v>
      </c>
      <c r="B74" s="16" t="s">
        <v>426</v>
      </c>
      <c r="D74" s="14">
        <v>1</v>
      </c>
      <c r="E74" s="14">
        <v>0.80815973150373532</v>
      </c>
      <c r="F74" s="14">
        <v>2.6134002380378604E-2</v>
      </c>
      <c r="G74" s="14">
        <v>5.3212591995622823E-5</v>
      </c>
      <c r="H74" s="14">
        <v>187.83906868551222</v>
      </c>
      <c r="I74" s="14">
        <v>319.03850172402684</v>
      </c>
      <c r="J74" s="14">
        <v>0</v>
      </c>
      <c r="K74" s="14">
        <v>38.264326506329532</v>
      </c>
      <c r="L74" s="14">
        <v>2.6134002380378604E-2</v>
      </c>
      <c r="M74" s="14">
        <v>2.1442948953100643E-2</v>
      </c>
      <c r="N74" s="14">
        <v>84.636714980912771</v>
      </c>
      <c r="O74" s="14">
        <v>44703.420118618502</v>
      </c>
      <c r="P74" s="8">
        <v>84.636714980912771</v>
      </c>
      <c r="Q74" s="54">
        <v>0.10706390931357353</v>
      </c>
    </row>
    <row r="75" spans="1:17">
      <c r="A75" s="2" t="s">
        <v>427</v>
      </c>
      <c r="B75" s="16" t="s">
        <v>428</v>
      </c>
      <c r="D75" s="14">
        <v>1</v>
      </c>
      <c r="E75" s="14">
        <v>0.97860959595990515</v>
      </c>
      <c r="F75" s="14">
        <v>4.2453738537983621E-3</v>
      </c>
      <c r="G75" s="14">
        <v>5.9888634536653116E-12</v>
      </c>
      <c r="H75" s="14">
        <v>276.83177723809331</v>
      </c>
      <c r="I75" s="14">
        <v>0.98907167639717686</v>
      </c>
      <c r="J75" s="14">
        <v>0</v>
      </c>
      <c r="K75" s="14">
        <v>235.55051555831622</v>
      </c>
      <c r="L75" s="14">
        <v>4.2453738537983621E-3</v>
      </c>
      <c r="M75" s="14">
        <v>3.4833292470415563E-3</v>
      </c>
      <c r="N75" s="14">
        <v>63.418367099065158</v>
      </c>
      <c r="O75" s="14">
        <v>35773.666696911663</v>
      </c>
      <c r="P75" s="8">
        <v>63.418367099065158</v>
      </c>
      <c r="Q75" s="54">
        <v>5.5236705172621553E-5</v>
      </c>
    </row>
    <row r="76" spans="1:17">
      <c r="A76" s="2" t="s">
        <v>429</v>
      </c>
      <c r="B76" s="16" t="s">
        <v>430</v>
      </c>
      <c r="D76" s="14">
        <v>1</v>
      </c>
      <c r="E76" s="14">
        <v>0.97860959647412404</v>
      </c>
      <c r="F76" s="14">
        <v>4.2453738560291315E-3</v>
      </c>
      <c r="G76" s="14">
        <v>1.5043344857330155E-13</v>
      </c>
      <c r="H76" s="14">
        <v>276.83177738355698</v>
      </c>
      <c r="I76" s="14">
        <v>0.98907167691689324</v>
      </c>
      <c r="J76" s="14">
        <v>0</v>
      </c>
      <c r="K76" s="14">
        <v>235.55051543454411</v>
      </c>
      <c r="L76" s="14">
        <v>4.2453738560291315E-3</v>
      </c>
      <c r="M76" s="14">
        <v>3.4833292488719021E-3</v>
      </c>
      <c r="N76" s="14">
        <v>63.41836713238888</v>
      </c>
      <c r="O76" s="14">
        <v>31717.427953921651</v>
      </c>
      <c r="P76" s="8">
        <v>63.418367132388887</v>
      </c>
      <c r="Q76" s="54">
        <v>5.5236705201646167E-5</v>
      </c>
    </row>
    <row r="77" spans="1:17">
      <c r="A77" s="2" t="s">
        <v>431</v>
      </c>
      <c r="B77" s="16" t="s">
        <v>432</v>
      </c>
      <c r="D77" s="14">
        <v>1</v>
      </c>
      <c r="E77" s="14">
        <v>0.69495211933604584</v>
      </c>
      <c r="F77" s="14">
        <v>9.9236186300166673E-2</v>
      </c>
      <c r="G77" s="14">
        <v>2.5797555380273622E-4</v>
      </c>
      <c r="H77" s="14">
        <v>140.39449070632253</v>
      </c>
      <c r="I77" s="14">
        <v>268.78636653533306</v>
      </c>
      <c r="J77" s="14">
        <v>0</v>
      </c>
      <c r="K77" s="14">
        <v>10.076969271826203</v>
      </c>
      <c r="L77" s="14">
        <v>9.9236186300166673E-2</v>
      </c>
      <c r="M77" s="14">
        <v>8.1423290859286762E-2</v>
      </c>
      <c r="N77" s="14">
        <v>70.420995983240161</v>
      </c>
      <c r="O77" s="14">
        <v>25637.46779765841</v>
      </c>
      <c r="P77" s="8">
        <v>70.420995983240161</v>
      </c>
      <c r="Q77" s="54">
        <v>0.17426382266565388</v>
      </c>
    </row>
    <row r="78" spans="1:17">
      <c r="A78" s="2" t="s">
        <v>433</v>
      </c>
      <c r="B78" s="16" t="s">
        <v>434</v>
      </c>
      <c r="D78" s="14">
        <v>1</v>
      </c>
      <c r="E78" s="14">
        <v>0.6787982129521023</v>
      </c>
      <c r="F78" s="14">
        <v>0.52213669409831331</v>
      </c>
      <c r="G78" s="14">
        <v>3.6764841907167449E-4</v>
      </c>
      <c r="H78" s="14">
        <v>35.842988682296195</v>
      </c>
      <c r="I78" s="14">
        <v>85.755382005976401</v>
      </c>
      <c r="J78" s="14">
        <v>0</v>
      </c>
      <c r="K78" s="14">
        <v>1.915207284419872</v>
      </c>
      <c r="L78" s="14">
        <v>0.52213669409831331</v>
      </c>
      <c r="M78" s="14">
        <v>0.42841315750766606</v>
      </c>
      <c r="N78" s="14">
        <v>22.226883848363997</v>
      </c>
      <c r="O78" s="14">
        <v>5869.0086801605139</v>
      </c>
      <c r="P78" s="8">
        <v>22.226883848364</v>
      </c>
      <c r="Q78" s="54">
        <v>0.18943550754191776</v>
      </c>
    </row>
    <row r="79" spans="1:17">
      <c r="A79" s="2" t="s">
        <v>435</v>
      </c>
      <c r="B79" s="16" t="s">
        <v>436</v>
      </c>
      <c r="D79" s="14">
        <v>1</v>
      </c>
      <c r="E79" s="14">
        <v>0.65338367638188011</v>
      </c>
      <c r="F79" s="14">
        <v>0.36489457518044588</v>
      </c>
      <c r="G79" s="14">
        <v>8.5537370307567221E-5</v>
      </c>
      <c r="H79" s="14">
        <v>66.424364308680126</v>
      </c>
      <c r="I79" s="14">
        <v>147.90558639383551</v>
      </c>
      <c r="J79" s="14">
        <v>0</v>
      </c>
      <c r="K79" s="14">
        <v>2.7405175851284853</v>
      </c>
      <c r="L79" s="14">
        <v>0.36489457518044588</v>
      </c>
      <c r="M79" s="14">
        <v>0.29939599893555585</v>
      </c>
      <c r="N79" s="14">
        <v>38.305097265830476</v>
      </c>
      <c r="O79" s="14">
        <v>15326.252467031432</v>
      </c>
      <c r="P79" s="8">
        <v>38.305097265830476</v>
      </c>
      <c r="Q79" s="54">
        <v>0.22008202713615591</v>
      </c>
    </row>
    <row r="80" spans="1:17">
      <c r="A80" s="2" t="s">
        <v>437</v>
      </c>
      <c r="B80" s="16" t="s">
        <v>438</v>
      </c>
      <c r="D80" s="14">
        <v>1</v>
      </c>
      <c r="E80" s="14">
        <v>0.95931902601849683</v>
      </c>
      <c r="F80" s="14">
        <v>2.8217707023956368E-3</v>
      </c>
      <c r="G80" s="14">
        <v>2.1020845992394657E-12</v>
      </c>
      <c r="H80" s="14">
        <v>271.65751272180609</v>
      </c>
      <c r="I80" s="14">
        <v>1.8643761752758561</v>
      </c>
      <c r="J80" s="14">
        <v>0</v>
      </c>
      <c r="K80" s="14">
        <v>354.38740615990395</v>
      </c>
      <c r="L80" s="14">
        <v>2.8217707023956368E-3</v>
      </c>
      <c r="M80" s="14">
        <v>2.3152628613156202E-3</v>
      </c>
      <c r="N80" s="14">
        <v>120.78332843443683</v>
      </c>
      <c r="O80" s="14">
        <v>62092.293481575289</v>
      </c>
      <c r="P80" s="8">
        <v>120.78332843443684</v>
      </c>
      <c r="Q80" s="54">
        <v>6.5998420882695666E-5</v>
      </c>
    </row>
    <row r="81" spans="1:17">
      <c r="A81" s="2" t="s">
        <v>440</v>
      </c>
      <c r="B81" s="16" t="s">
        <v>441</v>
      </c>
      <c r="D81" s="14">
        <v>1</v>
      </c>
      <c r="E81" s="14">
        <v>0.97074337534680999</v>
      </c>
      <c r="F81" s="14">
        <v>0.97327001953173298</v>
      </c>
      <c r="G81" s="14">
        <v>2.0538174209565238E-15</v>
      </c>
      <c r="H81" s="14">
        <v>0.25937812449175895</v>
      </c>
      <c r="I81" s="14">
        <v>0.93409385791494881</v>
      </c>
      <c r="J81" s="14">
        <v>0</v>
      </c>
      <c r="K81" s="14">
        <v>1.0274640951964467</v>
      </c>
      <c r="L81" s="14">
        <v>0.97327001953173309</v>
      </c>
      <c r="M81" s="14">
        <v>0.79856805102578698</v>
      </c>
      <c r="N81" s="14">
        <v>0.82559882206089885</v>
      </c>
      <c r="O81" s="14">
        <v>228.90552940460481</v>
      </c>
      <c r="P81" s="8">
        <v>0.82559882206089885</v>
      </c>
      <c r="Q81" s="54">
        <v>1.9560975827935079E-2</v>
      </c>
    </row>
    <row r="82" spans="1:17">
      <c r="A82" s="2" t="s">
        <v>442</v>
      </c>
      <c r="B82" s="16" t="s">
        <v>443</v>
      </c>
      <c r="D82" s="14">
        <v>1</v>
      </c>
      <c r="E82" s="14">
        <v>0.78465311124574877</v>
      </c>
      <c r="F82" s="14">
        <v>0.71719414222974576</v>
      </c>
      <c r="G82" s="14">
        <v>9.1311446242630082E-7</v>
      </c>
      <c r="H82" s="14">
        <v>15.584638531625322</v>
      </c>
      <c r="I82" s="14">
        <v>40.583911711581464</v>
      </c>
      <c r="J82" s="14">
        <v>0</v>
      </c>
      <c r="K82" s="14">
        <v>1.3943225984682683</v>
      </c>
      <c r="L82" s="14">
        <v>0.71719414222974576</v>
      </c>
      <c r="M82" s="14">
        <v>0.58845779369950646</v>
      </c>
      <c r="N82" s="14">
        <v>10.711850320411813</v>
      </c>
      <c r="O82" s="14">
        <v>1769.4905544288274</v>
      </c>
      <c r="P82" s="8">
        <v>10.711850320411813</v>
      </c>
      <c r="Q82" s="54">
        <v>0.14287423055285786</v>
      </c>
    </row>
    <row r="83" spans="1:17">
      <c r="A83" s="2" t="s">
        <v>444</v>
      </c>
      <c r="B83" s="16" t="s">
        <v>445</v>
      </c>
      <c r="D83" s="14">
        <v>1</v>
      </c>
      <c r="E83" s="14">
        <v>0.69533339376463321</v>
      </c>
      <c r="F83" s="14">
        <v>0.12473512410602403</v>
      </c>
      <c r="G83" s="14">
        <v>5.4984116510990365E-6</v>
      </c>
      <c r="H83" s="14">
        <v>134.03208190296306</v>
      </c>
      <c r="I83" s="14">
        <v>261.85805289220758</v>
      </c>
      <c r="J83" s="14">
        <v>0</v>
      </c>
      <c r="K83" s="14">
        <v>8.0169880550245551</v>
      </c>
      <c r="L83" s="14">
        <v>0.12473512410602403</v>
      </c>
      <c r="M83" s="14">
        <v>0.10234516932899272</v>
      </c>
      <c r="N83" s="14">
        <v>68.470726784918952</v>
      </c>
      <c r="O83" s="14">
        <v>12341.163795713792</v>
      </c>
      <c r="P83" s="8">
        <v>68.470726784918952</v>
      </c>
      <c r="Q83" s="54">
        <v>0.18978676986624887</v>
      </c>
    </row>
    <row r="84" spans="1:17">
      <c r="A84" s="2" t="s">
        <v>446</v>
      </c>
      <c r="B84" s="16" t="s">
        <v>447</v>
      </c>
      <c r="D84" s="14">
        <v>1</v>
      </c>
      <c r="E84" s="14">
        <v>0.93740825809716877</v>
      </c>
      <c r="F84" s="14">
        <v>0.93555411304579261</v>
      </c>
      <c r="G84" s="14">
        <v>6.2963288133905479E-17</v>
      </c>
      <c r="H84" s="14">
        <v>1.1605367897824985</v>
      </c>
      <c r="I84" s="14">
        <v>3.7317804329031423</v>
      </c>
      <c r="J84" s="14">
        <v>0</v>
      </c>
      <c r="K84" s="14">
        <v>1.0688852585388109</v>
      </c>
      <c r="L84" s="14">
        <v>0.93555411304579261</v>
      </c>
      <c r="M84" s="14">
        <v>0.76762214975407284</v>
      </c>
      <c r="N84" s="14">
        <v>1.4972576173263095</v>
      </c>
      <c r="O84" s="14">
        <v>582.26851480202845</v>
      </c>
      <c r="P84" s="8">
        <v>1.4972576173263095</v>
      </c>
      <c r="Q84" s="54">
        <v>4.1909847756797562E-2</v>
      </c>
    </row>
    <row r="85" spans="1:17">
      <c r="A85" s="2" t="s">
        <v>448</v>
      </c>
      <c r="B85" s="16" t="s">
        <v>449</v>
      </c>
      <c r="D85" s="14">
        <v>1</v>
      </c>
      <c r="E85" s="14">
        <v>0.9876917406706307</v>
      </c>
      <c r="F85" s="14">
        <v>0.99131468603695694</v>
      </c>
      <c r="G85" s="14">
        <v>4.4302682966895334E-10</v>
      </c>
      <c r="H85" s="14">
        <v>4.7643267641194462E-2</v>
      </c>
      <c r="I85" s="14">
        <v>0.1946519285564321</v>
      </c>
      <c r="J85" s="14">
        <v>0</v>
      </c>
      <c r="K85" s="14">
        <v>1.0087614095557937</v>
      </c>
      <c r="L85" s="14">
        <v>0.99131468603695705</v>
      </c>
      <c r="M85" s="14">
        <v>0.8133736998933232</v>
      </c>
      <c r="N85" s="14">
        <v>0.65537472637310246</v>
      </c>
      <c r="O85" s="14">
        <v>117.4693659551149</v>
      </c>
      <c r="P85" s="8">
        <v>0.65537472637310246</v>
      </c>
      <c r="Q85" s="54">
        <v>8.1594091455028696E-3</v>
      </c>
    </row>
    <row r="86" spans="1:17">
      <c r="A86" s="2" t="s">
        <v>450</v>
      </c>
      <c r="B86" s="16" t="s">
        <v>451</v>
      </c>
      <c r="D86" s="14">
        <v>1</v>
      </c>
      <c r="E86" s="14">
        <v>0.93890529942386114</v>
      </c>
      <c r="F86" s="14">
        <v>0.93731155302203939</v>
      </c>
      <c r="G86" s="14">
        <v>1.584099503064111E-10</v>
      </c>
      <c r="H86" s="14">
        <v>1.1059970537091823</v>
      </c>
      <c r="I86" s="14">
        <v>3.5695308588223162</v>
      </c>
      <c r="J86" s="14">
        <v>0</v>
      </c>
      <c r="K86" s="14">
        <v>1.0668811205578799</v>
      </c>
      <c r="L86" s="14">
        <v>0.93731155302203939</v>
      </c>
      <c r="M86" s="14">
        <v>0.76906412925458334</v>
      </c>
      <c r="N86" s="14">
        <v>1.4578514560782418</v>
      </c>
      <c r="O86" s="14">
        <v>380.63043666746813</v>
      </c>
      <c r="P86" s="8">
        <v>1.4578514560782418</v>
      </c>
      <c r="Q86" s="54">
        <v>4.0908272555250688E-2</v>
      </c>
    </row>
    <row r="87" spans="1:17">
      <c r="A87" s="2" t="s">
        <v>452</v>
      </c>
      <c r="B87" s="16" t="s">
        <v>453</v>
      </c>
      <c r="D87" s="14">
        <v>1</v>
      </c>
      <c r="E87" s="14">
        <v>0.78600569098029938</v>
      </c>
      <c r="F87" s="14">
        <v>4.5374310618472914E-4</v>
      </c>
      <c r="G87" s="14">
        <v>4.6801365823408705E-10</v>
      </c>
      <c r="H87" s="14">
        <v>52.848180513111942</v>
      </c>
      <c r="I87" s="14">
        <v>1577.9281011287019</v>
      </c>
      <c r="J87" s="14">
        <v>0</v>
      </c>
      <c r="K87" s="14">
        <v>2203.8902329744205</v>
      </c>
      <c r="L87" s="14">
        <v>4.5374310618472914E-4</v>
      </c>
      <c r="M87" s="14">
        <v>3.7229621862457026E-4</v>
      </c>
      <c r="N87" s="14">
        <v>439.80696998514435</v>
      </c>
      <c r="O87" s="14">
        <v>183091.64160481558</v>
      </c>
      <c r="P87" s="8">
        <v>439.80696998514435</v>
      </c>
      <c r="Q87" s="54">
        <v>4.4697909363837378E-2</v>
      </c>
    </row>
    <row r="88" spans="1:17">
      <c r="A88" s="2" t="s">
        <v>454</v>
      </c>
      <c r="B88" s="16" t="s">
        <v>455</v>
      </c>
      <c r="D88" s="14">
        <v>1</v>
      </c>
      <c r="E88" s="14">
        <v>0.72552732808940346</v>
      </c>
      <c r="F88" s="14">
        <v>0.59890972149075039</v>
      </c>
      <c r="G88" s="14">
        <v>4.4072719589321249E-7</v>
      </c>
      <c r="H88" s="14">
        <v>28.969524217281471</v>
      </c>
      <c r="I88" s="14">
        <v>71.121111186393492</v>
      </c>
      <c r="J88" s="14">
        <v>0</v>
      </c>
      <c r="K88" s="14">
        <v>1.6697007313738255</v>
      </c>
      <c r="L88" s="14">
        <v>0.59890972149075039</v>
      </c>
      <c r="M88" s="14">
        <v>0.49140542648316071</v>
      </c>
      <c r="N88" s="14">
        <v>18.484469152022438</v>
      </c>
      <c r="O88" s="14">
        <v>3535.5244147073322</v>
      </c>
      <c r="P88" s="8">
        <v>18.484469152022438</v>
      </c>
      <c r="Q88" s="54">
        <v>0.18105000175882349</v>
      </c>
    </row>
    <row r="89" spans="1:17">
      <c r="A89" s="2" t="s">
        <v>456</v>
      </c>
      <c r="B89" s="16" t="s">
        <v>457</v>
      </c>
      <c r="D89" s="14">
        <v>1</v>
      </c>
      <c r="E89" s="14">
        <v>0.77352904846674031</v>
      </c>
      <c r="F89" s="14">
        <v>0.69709781267255444</v>
      </c>
      <c r="G89" s="14">
        <v>3.0098316707151466E-19</v>
      </c>
      <c r="H89" s="14">
        <v>17.600042641446816</v>
      </c>
      <c r="I89" s="14">
        <v>45.328452309058086</v>
      </c>
      <c r="J89" s="14">
        <v>0</v>
      </c>
      <c r="K89" s="14">
        <v>1.4345189180355769</v>
      </c>
      <c r="L89" s="14">
        <v>0.69709781267255444</v>
      </c>
      <c r="M89" s="14">
        <v>0.57196875529783087</v>
      </c>
      <c r="N89" s="14">
        <v>11.914205645504763</v>
      </c>
      <c r="O89" s="14">
        <v>4675.849147634799</v>
      </c>
      <c r="P89" s="8">
        <v>11.914205645504763</v>
      </c>
      <c r="Q89" s="54">
        <v>0.15016575044454988</v>
      </c>
    </row>
    <row r="90" spans="1:17">
      <c r="A90" s="2" t="s">
        <v>458</v>
      </c>
      <c r="B90" s="16" t="s">
        <v>459</v>
      </c>
      <c r="D90" s="14">
        <v>1</v>
      </c>
      <c r="E90" s="14">
        <v>0.88188395416191812</v>
      </c>
      <c r="F90" s="14">
        <v>0.86585565336375059</v>
      </c>
      <c r="G90" s="14">
        <v>4.6637362817453022E-31</v>
      </c>
      <c r="H90" s="14">
        <v>4.1966765377202888</v>
      </c>
      <c r="I90" s="14">
        <v>12.205699334014984</v>
      </c>
      <c r="J90" s="14">
        <v>0</v>
      </c>
      <c r="K90" s="14">
        <v>1.1549269166461107</v>
      </c>
      <c r="L90" s="14">
        <v>0.86585565336375059</v>
      </c>
      <c r="M90" s="14">
        <v>0.71043456358495738</v>
      </c>
      <c r="N90" s="14">
        <v>3.5836261182444042</v>
      </c>
      <c r="O90" s="14">
        <v>2798.5969807817851</v>
      </c>
      <c r="P90" s="8">
        <v>3.5836261182444042</v>
      </c>
      <c r="Q90" s="54">
        <v>7.891556453708741E-2</v>
      </c>
    </row>
    <row r="91" spans="1:17">
      <c r="A91" s="2" t="s">
        <v>460</v>
      </c>
      <c r="B91" s="16" t="s">
        <v>461</v>
      </c>
      <c r="D91" s="14">
        <v>1</v>
      </c>
      <c r="E91" s="14">
        <v>0.81512574759311063</v>
      </c>
      <c r="F91" s="14">
        <v>3.1500773625326873E-3</v>
      </c>
      <c r="G91" s="14">
        <v>5.1893110990302545E-10</v>
      </c>
      <c r="H91" s="14">
        <v>140.3399184175984</v>
      </c>
      <c r="I91" s="14">
        <v>837.41047771497347</v>
      </c>
      <c r="J91" s="14">
        <v>0</v>
      </c>
      <c r="K91" s="14">
        <v>317.45252097427596</v>
      </c>
      <c r="L91" s="14">
        <v>3.1500773625326877E-3</v>
      </c>
      <c r="M91" s="14">
        <v>2.58463847595807E-3</v>
      </c>
      <c r="N91" s="14">
        <v>228.19158569064774</v>
      </c>
      <c r="O91" s="14">
        <v>69917.901855614458</v>
      </c>
      <c r="P91" s="8">
        <v>228.19158569064774</v>
      </c>
      <c r="Q91" s="54">
        <v>7.3036237214946592E-2</v>
      </c>
    </row>
    <row r="92" spans="1:17">
      <c r="A92" s="2" t="s">
        <v>462</v>
      </c>
      <c r="B92" s="16" t="s">
        <v>463</v>
      </c>
      <c r="D92" s="14">
        <v>1</v>
      </c>
      <c r="E92" s="14">
        <v>0.67273807859658707</v>
      </c>
      <c r="F92" s="14">
        <v>0.17425439100855825</v>
      </c>
      <c r="G92" s="14">
        <v>4.8338394116531746E-11</v>
      </c>
      <c r="H92" s="14">
        <v>116.42968718378467</v>
      </c>
      <c r="I92" s="14">
        <v>235.57049873291743</v>
      </c>
      <c r="J92" s="14">
        <v>0</v>
      </c>
      <c r="K92" s="14">
        <v>5.7387363050775946</v>
      </c>
      <c r="L92" s="14">
        <v>0.17425439100855825</v>
      </c>
      <c r="M92" s="14">
        <v>0.14297572782252205</v>
      </c>
      <c r="N92" s="14">
        <v>61.399292084328472</v>
      </c>
      <c r="O92" s="14">
        <v>20680.509559843515</v>
      </c>
      <c r="P92" s="8">
        <v>61.399292084328472</v>
      </c>
      <c r="Q92" s="54">
        <v>0.20697643456602061</v>
      </c>
    </row>
    <row r="93" spans="1:17">
      <c r="A93" s="2" t="s">
        <v>464</v>
      </c>
      <c r="B93" s="16" t="s">
        <v>465</v>
      </c>
      <c r="D93" s="14">
        <v>1</v>
      </c>
      <c r="E93" s="14">
        <v>0.7867285789118541</v>
      </c>
      <c r="F93" s="14">
        <v>3.808661899581741E-2</v>
      </c>
      <c r="G93" s="14">
        <v>2.1308894004348861E-6</v>
      </c>
      <c r="H93" s="14">
        <v>178.9502961378457</v>
      </c>
      <c r="I93" s="14">
        <v>313.60977594772032</v>
      </c>
      <c r="J93" s="14">
        <v>0</v>
      </c>
      <c r="K93" s="14">
        <v>26.255940442227697</v>
      </c>
      <c r="L93" s="14">
        <v>3.808661899581741E-2</v>
      </c>
      <c r="M93" s="14">
        <v>3.1250070886068182E-2</v>
      </c>
      <c r="N93" s="14">
        <v>82.91821372870551</v>
      </c>
      <c r="O93" s="14">
        <v>38564.432023083638</v>
      </c>
      <c r="P93" s="8">
        <v>82.91821372870551</v>
      </c>
      <c r="Q93" s="54">
        <v>0.12502290682975167</v>
      </c>
    </row>
    <row r="94" spans="1:17">
      <c r="A94" s="2" t="s">
        <v>466</v>
      </c>
      <c r="B94" s="16" t="s">
        <v>467</v>
      </c>
      <c r="D94" s="14">
        <v>1</v>
      </c>
      <c r="E94" s="14">
        <v>0.99918561369690184</v>
      </c>
      <c r="F94" s="14">
        <v>0.89768145209207928</v>
      </c>
      <c r="G94" s="14">
        <v>2.0368482329189348E-20</v>
      </c>
      <c r="H94" s="14">
        <v>29.840235884647957</v>
      </c>
      <c r="I94" s="14">
        <v>3.6308002928852466E-2</v>
      </c>
      <c r="J94" s="14">
        <v>0</v>
      </c>
      <c r="K94" s="14">
        <v>1.1139809090067123</v>
      </c>
      <c r="L94" s="14">
        <v>0.89768145209207939</v>
      </c>
      <c r="M94" s="14">
        <v>0.73654763144155111</v>
      </c>
      <c r="N94" s="14">
        <v>1.949352776581504</v>
      </c>
      <c r="O94" s="14">
        <v>644.72893732656667</v>
      </c>
      <c r="P94" s="8">
        <v>1.949352776581504</v>
      </c>
      <c r="Q94" s="54">
        <v>1.0759754486265886E-4</v>
      </c>
    </row>
    <row r="95" spans="1:17">
      <c r="A95" s="2" t="s">
        <v>468</v>
      </c>
      <c r="B95" s="16" t="s">
        <v>469</v>
      </c>
      <c r="D95" s="14">
        <v>1</v>
      </c>
      <c r="E95" s="14">
        <v>0.84949651020493544</v>
      </c>
      <c r="F95" s="14">
        <v>7.6244983359817671E-3</v>
      </c>
      <c r="G95" s="14">
        <v>2.1629165396418477E-20</v>
      </c>
      <c r="H95" s="14">
        <v>191.8276798177524</v>
      </c>
      <c r="I95" s="14">
        <v>439.40849090128052</v>
      </c>
      <c r="J95" s="14">
        <v>0</v>
      </c>
      <c r="K95" s="14">
        <v>131.15617001065752</v>
      </c>
      <c r="L95" s="14">
        <v>7.6244983359817671E-3</v>
      </c>
      <c r="M95" s="14">
        <v>6.2559008846730406E-3</v>
      </c>
      <c r="N95" s="14">
        <v>118.14623221696868</v>
      </c>
      <c r="O95" s="14">
        <v>58364.238715182531</v>
      </c>
      <c r="P95" s="8">
        <v>118.14623221696868</v>
      </c>
      <c r="Q95" s="54">
        <v>7.4794290144860109E-2</v>
      </c>
    </row>
    <row r="96" spans="1:17">
      <c r="A96" s="2" t="s">
        <v>470</v>
      </c>
      <c r="B96" s="166">
        <v>354656</v>
      </c>
      <c r="D96" s="14">
        <v>1</v>
      </c>
      <c r="E96" s="14">
        <v>0.96962054740035586</v>
      </c>
      <c r="F96" s="14">
        <v>0.97204750072653434</v>
      </c>
      <c r="G96" s="14">
        <v>4.0944538053403277E-12</v>
      </c>
      <c r="H96" s="14">
        <v>0.27923347944450788</v>
      </c>
      <c r="I96" s="14">
        <v>1.0000567804638012</v>
      </c>
      <c r="J96" s="14">
        <v>0</v>
      </c>
      <c r="K96" s="14">
        <v>1.0287563100080739</v>
      </c>
      <c r="L96" s="14">
        <v>0.97204750072653445</v>
      </c>
      <c r="M96" s="14">
        <v>0.7975649743461215</v>
      </c>
      <c r="N96" s="14">
        <v>0.84111063229018868</v>
      </c>
      <c r="O96" s="14">
        <v>165.8586055813023</v>
      </c>
      <c r="P96" s="8">
        <v>0.84111063229018868</v>
      </c>
      <c r="Q96" s="54">
        <v>2.0315366364618365E-2</v>
      </c>
    </row>
    <row r="97" spans="1:17">
      <c r="A97" s="2" t="s">
        <v>472</v>
      </c>
      <c r="B97" s="16" t="s">
        <v>473</v>
      </c>
      <c r="D97" s="14">
        <v>1</v>
      </c>
      <c r="E97" s="14">
        <v>0.93664717087133575</v>
      </c>
      <c r="F97" s="14">
        <v>0.93465830731428834</v>
      </c>
      <c r="G97" s="14">
        <v>6.2911690903870898E-12</v>
      </c>
      <c r="H97" s="14">
        <v>1.1887837786657744</v>
      </c>
      <c r="I97" s="14">
        <v>3.8155754090098042</v>
      </c>
      <c r="J97" s="14">
        <v>0</v>
      </c>
      <c r="K97" s="14">
        <v>1.0699097115752054</v>
      </c>
      <c r="L97" s="14">
        <v>0.93465830731428845</v>
      </c>
      <c r="M97" s="14">
        <v>0.76688714115137369</v>
      </c>
      <c r="N97" s="14">
        <v>1.5176229247955777</v>
      </c>
      <c r="O97" s="14">
        <v>243.09284009375563</v>
      </c>
      <c r="P97" s="8">
        <v>1.5176229247955777</v>
      </c>
      <c r="Q97" s="54">
        <v>4.2418962400316292E-2</v>
      </c>
    </row>
    <row r="98" spans="1:17">
      <c r="A98" s="2" t="s">
        <v>474</v>
      </c>
      <c r="B98" s="16" t="s">
        <v>475</v>
      </c>
      <c r="D98" s="14">
        <v>1</v>
      </c>
      <c r="E98" s="14">
        <v>0.83510535638537942</v>
      </c>
      <c r="F98" s="14">
        <v>1.7936498693702146E-2</v>
      </c>
      <c r="G98" s="14">
        <v>5.0531961655884821E-22</v>
      </c>
      <c r="H98" s="14">
        <v>197.21396751291192</v>
      </c>
      <c r="I98" s="14">
        <v>324.63462642304108</v>
      </c>
      <c r="J98" s="14">
        <v>0</v>
      </c>
      <c r="K98" s="14">
        <v>55.75224111889348</v>
      </c>
      <c r="L98" s="14">
        <v>1.7936498693702146E-2</v>
      </c>
      <c r="M98" s="14">
        <v>1.4716897178182611E-2</v>
      </c>
      <c r="N98" s="14">
        <v>86.413134502643786</v>
      </c>
      <c r="O98" s="14">
        <v>45922.532068739987</v>
      </c>
      <c r="P98" s="8">
        <v>86.4131345026438</v>
      </c>
      <c r="Q98" s="54">
        <v>9.1705385534669226E-2</v>
      </c>
    </row>
    <row r="99" spans="1:17">
      <c r="A99" s="2" t="s">
        <v>476</v>
      </c>
      <c r="B99" s="16" t="s">
        <v>477</v>
      </c>
      <c r="D99" s="14">
        <v>1</v>
      </c>
      <c r="E99" s="14">
        <v>0.99141631229072968</v>
      </c>
      <c r="F99" s="14">
        <v>0.99517501662655494</v>
      </c>
      <c r="G99" s="14">
        <v>1.9337839547431888E-9</v>
      </c>
      <c r="H99" s="14">
        <v>2.3451977278014083E-2</v>
      </c>
      <c r="I99" s="14">
        <v>0.10098029509654509</v>
      </c>
      <c r="J99" s="14">
        <v>0</v>
      </c>
      <c r="K99" s="14">
        <v>1.0048483767104612</v>
      </c>
      <c r="L99" s="14">
        <v>0.99517501662655494</v>
      </c>
      <c r="M99" s="14">
        <v>0.81654110114208833</v>
      </c>
      <c r="N99" s="14">
        <v>0.63503261820219459</v>
      </c>
      <c r="O99" s="14">
        <v>82.02081296699545</v>
      </c>
      <c r="P99" s="8">
        <v>0.63503261820219459</v>
      </c>
      <c r="Q99" s="54">
        <v>5.6498463285741115E-3</v>
      </c>
    </row>
    <row r="100" spans="1:17">
      <c r="A100" s="2" t="s">
        <v>478</v>
      </c>
      <c r="B100" s="16" t="s">
        <v>479</v>
      </c>
      <c r="D100" s="14">
        <v>1</v>
      </c>
      <c r="E100" s="14">
        <v>0.66476861719831515</v>
      </c>
      <c r="F100" s="14">
        <v>0.40719641163761172</v>
      </c>
      <c r="G100" s="14">
        <v>5.6137417505573164E-13</v>
      </c>
      <c r="H100" s="14">
        <v>59.18667491876613</v>
      </c>
      <c r="I100" s="14">
        <v>133.99269215169673</v>
      </c>
      <c r="J100" s="14">
        <v>0</v>
      </c>
      <c r="K100" s="14">
        <v>2.4558173191613473</v>
      </c>
      <c r="L100" s="14">
        <v>0.40719641163761172</v>
      </c>
      <c r="M100" s="14">
        <v>0.33410465574866044</v>
      </c>
      <c r="N100" s="14">
        <v>34.686337194837627</v>
      </c>
      <c r="O100" s="14">
        <v>10398.963891012319</v>
      </c>
      <c r="P100" s="8">
        <v>34.686337194837627</v>
      </c>
      <c r="Q100" s="54">
        <v>0.21841432208124453</v>
      </c>
    </row>
    <row r="101" spans="1:17">
      <c r="A101" s="2" t="s">
        <v>480</v>
      </c>
      <c r="B101" s="16" t="s">
        <v>481</v>
      </c>
      <c r="D101" s="14">
        <v>1</v>
      </c>
      <c r="E101" s="14">
        <v>0.98576143408661288</v>
      </c>
      <c r="F101" s="14">
        <v>0.98929874253115069</v>
      </c>
      <c r="G101" s="14">
        <v>5.2027857819605177E-13</v>
      </c>
      <c r="H101" s="14">
        <v>6.3388059521794909E-2</v>
      </c>
      <c r="I101" s="14">
        <v>0.25355059137924596</v>
      </c>
      <c r="J101" s="14">
        <v>0</v>
      </c>
      <c r="K101" s="14">
        <v>1.010817013111196</v>
      </c>
      <c r="L101" s="14">
        <v>0.9892987425311508</v>
      </c>
      <c r="M101" s="14">
        <v>0.81171961824680927</v>
      </c>
      <c r="N101" s="14">
        <v>0.6684716229397456</v>
      </c>
      <c r="O101" s="14">
        <v>159.2032017193298</v>
      </c>
      <c r="P101" s="8">
        <v>0.6684716229397456</v>
      </c>
      <c r="Q101" s="54">
        <v>9.4594225958467767E-3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0.99623305816232066</v>
      </c>
      <c r="F102" s="14">
        <v>1.0001075987427226</v>
      </c>
      <c r="G102" s="14">
        <v>3.2703573828346754E-29</v>
      </c>
      <c r="H102" s="14">
        <v>4.5244597289837802E-3</v>
      </c>
      <c r="I102" s="14">
        <v>2.2000061648250094E-2</v>
      </c>
      <c r="J102" s="14">
        <v>0</v>
      </c>
      <c r="K102" s="14">
        <v>0.99989241283352126</v>
      </c>
      <c r="L102" s="14">
        <v>1.0001075987427226</v>
      </c>
      <c r="M102" s="14">
        <v>0.82058828476840384</v>
      </c>
      <c r="N102" s="14">
        <v>0.61906629137891767</v>
      </c>
      <c r="O102" s="14">
        <v>285.03669253959509</v>
      </c>
      <c r="P102" s="8">
        <v>0.61906629137891767</v>
      </c>
      <c r="Q102" s="54">
        <v>2.4022815055487817E-3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0.99168296878738171</v>
      </c>
      <c r="F103" s="14">
        <v>0.99544987266003759</v>
      </c>
      <c r="G103" s="14">
        <v>2.6084221716488912E-15</v>
      </c>
      <c r="H103" s="14">
        <v>2.2036843903515298E-2</v>
      </c>
      <c r="I103" s="14">
        <v>9.5324945610119019E-2</v>
      </c>
      <c r="J103" s="14">
        <v>0</v>
      </c>
      <c r="K103" s="14">
        <v>1.004570925633657</v>
      </c>
      <c r="L103" s="14">
        <v>0.9954498726600377</v>
      </c>
      <c r="M103" s="14">
        <v>0.81676662051756088</v>
      </c>
      <c r="N103" s="14">
        <v>0.63383480958136573</v>
      </c>
      <c r="O103" s="14">
        <v>130.09459466657532</v>
      </c>
      <c r="P103" s="8">
        <v>0.63383480958136573</v>
      </c>
      <c r="Q103" s="54">
        <v>5.4702423335458864E-3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0.9541750236671227</v>
      </c>
      <c r="F104" s="14">
        <v>0.95489307493959652</v>
      </c>
      <c r="G104" s="14">
        <v>3.2095432432536294E-11</v>
      </c>
      <c r="H104" s="14">
        <v>0.62605825122674452</v>
      </c>
      <c r="I104" s="14">
        <v>2.1099487888278445</v>
      </c>
      <c r="J104" s="14">
        <v>0</v>
      </c>
      <c r="K104" s="14">
        <v>1.0472376711531359</v>
      </c>
      <c r="L104" s="14">
        <v>0.95489307493959652</v>
      </c>
      <c r="M104" s="14">
        <v>0.78348976798793901</v>
      </c>
      <c r="N104" s="14">
        <v>1.1053229781747396</v>
      </c>
      <c r="O104" s="14">
        <v>167.08062138089363</v>
      </c>
      <c r="P104" s="8">
        <v>1.1053229781747398</v>
      </c>
      <c r="Q104" s="54">
        <v>3.0681169823444536E-2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0.99552325318402113</v>
      </c>
      <c r="F105" s="14">
        <v>0.99938512659009249</v>
      </c>
      <c r="G105" s="14">
        <v>2.6008863142305178E-18</v>
      </c>
      <c r="H105" s="14">
        <v>6.4164214463115253E-3</v>
      </c>
      <c r="I105" s="14">
        <v>3.0405353186418953E-2</v>
      </c>
      <c r="J105" s="14">
        <v>0</v>
      </c>
      <c r="K105" s="14">
        <v>1.0006152517118254</v>
      </c>
      <c r="L105" s="14">
        <v>0.99938512659009249</v>
      </c>
      <c r="M105" s="14">
        <v>0.81999549636717084</v>
      </c>
      <c r="N105" s="14">
        <v>0.62063064028536907</v>
      </c>
      <c r="O105" s="14">
        <v>210.61721408724287</v>
      </c>
      <c r="P105" s="8">
        <v>0.62063064028536918</v>
      </c>
      <c r="Q105" s="54">
        <v>2.8810450715689826E-3</v>
      </c>
    </row>
    <row r="106" spans="1:17">
      <c r="A106" s="2" t="s">
        <v>490</v>
      </c>
      <c r="B106" s="16" t="s">
        <v>491</v>
      </c>
      <c r="D106" s="14">
        <v>1</v>
      </c>
      <c r="E106" s="14">
        <v>0.85345535094605873</v>
      </c>
      <c r="F106" s="14">
        <v>0.82640360635502019</v>
      </c>
      <c r="G106" s="14">
        <v>1.4114993790475049E-10</v>
      </c>
      <c r="H106" s="14">
        <v>6.6046864338493556</v>
      </c>
      <c r="I106" s="14">
        <v>18.514388582098341</v>
      </c>
      <c r="J106" s="14">
        <v>0</v>
      </c>
      <c r="K106" s="14">
        <v>1.2100624831620148</v>
      </c>
      <c r="L106" s="14">
        <v>0.82640360635502019</v>
      </c>
      <c r="M106" s="14">
        <v>0.67806415901429407</v>
      </c>
      <c r="N106" s="14">
        <v>5.1556137432283222</v>
      </c>
      <c r="O106" s="14">
        <v>990.54806848645762</v>
      </c>
      <c r="P106" s="8">
        <v>5.1556137432283231</v>
      </c>
      <c r="Q106" s="54">
        <v>9.7748336339587474E-2</v>
      </c>
    </row>
    <row r="107" spans="1:17">
      <c r="A107" s="2" t="s">
        <v>492</v>
      </c>
      <c r="B107" s="16" t="s">
        <v>493</v>
      </c>
      <c r="D107" s="14">
        <v>1</v>
      </c>
      <c r="E107" s="14">
        <v>0.85112246632877042</v>
      </c>
      <c r="F107" s="14">
        <v>1.3332899021395258E-2</v>
      </c>
      <c r="G107" s="14">
        <v>2.3742862510612339E-18</v>
      </c>
      <c r="H107" s="14">
        <v>202.91053219197354</v>
      </c>
      <c r="I107" s="14">
        <v>326.10823109652779</v>
      </c>
      <c r="J107" s="14">
        <v>0</v>
      </c>
      <c r="K107" s="14">
        <v>75.002443084231217</v>
      </c>
      <c r="L107" s="14">
        <v>1.3332899021395259E-2</v>
      </c>
      <c r="M107" s="14">
        <v>1.093964364705481E-2</v>
      </c>
      <c r="N107" s="14">
        <v>87.031568336648348</v>
      </c>
      <c r="O107" s="14">
        <v>39564.550965840339</v>
      </c>
      <c r="P107" s="8">
        <v>87.031568336648348</v>
      </c>
      <c r="Q107" s="54">
        <v>8.0753575529328048E-2</v>
      </c>
    </row>
    <row r="108" spans="1:17">
      <c r="A108" s="2" t="s">
        <v>291</v>
      </c>
      <c r="B108" s="16" t="s">
        <v>494</v>
      </c>
      <c r="D108" s="14">
        <v>1</v>
      </c>
      <c r="E108" s="14">
        <v>0.67938316188381531</v>
      </c>
      <c r="F108" s="14">
        <v>0.46955595104044612</v>
      </c>
      <c r="G108" s="14">
        <v>3.2381416055664157E-12</v>
      </c>
      <c r="H108" s="14">
        <v>48.091392133064936</v>
      </c>
      <c r="I108" s="14">
        <v>111.71835179455167</v>
      </c>
      <c r="J108" s="14">
        <v>0</v>
      </c>
      <c r="K108" s="14">
        <v>2.129671656347218</v>
      </c>
      <c r="L108" s="14">
        <v>0.46955595104044612</v>
      </c>
      <c r="M108" s="14">
        <v>0.38527065782868603</v>
      </c>
      <c r="N108" s="14">
        <v>28.919107013787606</v>
      </c>
      <c r="O108" s="14">
        <v>8916.6282655611321</v>
      </c>
      <c r="P108" s="8">
        <v>28.91910701378761</v>
      </c>
      <c r="Q108" s="54">
        <v>0.20985751206098063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9.0566083185358531E-5</v>
      </c>
      <c r="E2" s="20">
        <v>0.81893724023533565</v>
      </c>
      <c r="F2" s="20">
        <v>3.6816271210839698E-2</v>
      </c>
      <c r="G2" s="20">
        <v>1.0723470366475078E-2</v>
      </c>
      <c r="H2" s="20">
        <v>0</v>
      </c>
      <c r="I2" s="20">
        <v>0.77139749865802087</v>
      </c>
      <c r="J2" s="20">
        <v>2.5503648741599617E-3</v>
      </c>
      <c r="K2" s="20">
        <v>0.17842182880731886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3.1229637297017321E-3</v>
      </c>
      <c r="E3" s="20">
        <v>0.78465152946916938</v>
      </c>
      <c r="F3" s="20">
        <v>0.21136893307585081</v>
      </c>
      <c r="G3" s="20">
        <v>0.57271256394118908</v>
      </c>
      <c r="H3" s="20">
        <v>0</v>
      </c>
      <c r="I3" s="20">
        <v>5.7003245212948136E-4</v>
      </c>
      <c r="J3" s="20">
        <v>0.14080065611690704</v>
      </c>
      <c r="K3" s="20">
        <v>7.142485068422201E-2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4.35681243290964E-12</v>
      </c>
      <c r="E4" s="20">
        <v>0.65648042171429266</v>
      </c>
      <c r="F4" s="20">
        <v>0.24810931986742188</v>
      </c>
      <c r="G4" s="20">
        <v>5.9229577346844649E-2</v>
      </c>
      <c r="H4" s="20">
        <v>0</v>
      </c>
      <c r="I4" s="20">
        <v>0.34914152450002617</v>
      </c>
      <c r="J4" s="20">
        <v>1.3567199193348638E-2</v>
      </c>
      <c r="K4" s="20">
        <v>0.32995237908800173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1.1514234515321944E-4</v>
      </c>
      <c r="E5" s="20">
        <v>0.84332705102129413</v>
      </c>
      <c r="F5" s="20">
        <v>0.64849896241865801</v>
      </c>
      <c r="G5" s="20">
        <v>0.1881935960452113</v>
      </c>
      <c r="H5" s="20">
        <v>0</v>
      </c>
      <c r="I5" s="20">
        <v>6.6344925574247735E-3</v>
      </c>
      <c r="J5" s="20">
        <v>4.4841267948922361E-2</v>
      </c>
      <c r="K5" s="20">
        <v>0.11171653868463031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1.0016932564251831E-5</v>
      </c>
      <c r="E6" s="20">
        <v>0.78474782435265922</v>
      </c>
      <c r="F6" s="20">
        <v>0.13271162437736711</v>
      </c>
      <c r="G6" s="20">
        <v>0.65178523830822099</v>
      </c>
      <c r="H6" s="20">
        <v>0</v>
      </c>
      <c r="I6" s="20">
        <v>2.5096166707108068E-4</v>
      </c>
      <c r="J6" s="20">
        <v>0.16158629986528508</v>
      </c>
      <c r="K6" s="20">
        <v>5.3655858849491769E-2</v>
      </c>
      <c r="L6" s="20">
        <v>0</v>
      </c>
    </row>
    <row r="7" spans="1:14">
      <c r="A7" s="2" t="s">
        <v>321</v>
      </c>
      <c r="B7" s="3" t="s">
        <v>322</v>
      </c>
      <c r="D7" s="20">
        <v>1.4979309141473561E-5</v>
      </c>
      <c r="E7" s="20">
        <v>0.78649622354855953</v>
      </c>
      <c r="F7" s="20">
        <v>0.19868541997614589</v>
      </c>
      <c r="G7" s="20">
        <v>0.58730210042537501</v>
      </c>
      <c r="H7" s="20">
        <v>0</v>
      </c>
      <c r="I7" s="20">
        <v>5.0870314703868223E-4</v>
      </c>
      <c r="J7" s="20">
        <v>0.14456420821583704</v>
      </c>
      <c r="K7" s="20">
        <v>6.8924588926461902E-2</v>
      </c>
      <c r="L7" s="20">
        <v>0</v>
      </c>
    </row>
    <row r="8" spans="1:14">
      <c r="A8" s="2" t="s">
        <v>323</v>
      </c>
      <c r="B8" s="3" t="s">
        <v>324</v>
      </c>
      <c r="D8" s="20">
        <v>1.4473511888978062E-4</v>
      </c>
      <c r="E8" s="20">
        <v>0.79350403868845909</v>
      </c>
      <c r="F8" s="20">
        <v>0.30934858731458725</v>
      </c>
      <c r="G8" s="20">
        <v>0.48299617612709944</v>
      </c>
      <c r="H8" s="20">
        <v>0</v>
      </c>
      <c r="I8" s="20">
        <v>1.1592752467723504E-3</v>
      </c>
      <c r="J8" s="20">
        <v>0.11782818553055975</v>
      </c>
      <c r="K8" s="20">
        <v>8.8523040662091587E-2</v>
      </c>
      <c r="L8" s="20">
        <v>0</v>
      </c>
    </row>
    <row r="9" spans="1:14">
      <c r="A9" s="2" t="s">
        <v>325</v>
      </c>
      <c r="B9" s="3" t="s">
        <v>326</v>
      </c>
      <c r="D9" s="20">
        <v>9.893669497120579E-5</v>
      </c>
      <c r="E9" s="20">
        <v>0.7553499634901788</v>
      </c>
      <c r="F9" s="20">
        <v>0.58295041168724004</v>
      </c>
      <c r="G9" s="20">
        <v>0.11447935364443587</v>
      </c>
      <c r="H9" s="20">
        <v>0</v>
      </c>
      <c r="I9" s="20">
        <v>5.7920198158502939E-2</v>
      </c>
      <c r="J9" s="20">
        <v>2.6659845343102596E-2</v>
      </c>
      <c r="K9" s="20">
        <v>0.2178912544717474</v>
      </c>
      <c r="L9" s="20">
        <v>0</v>
      </c>
    </row>
    <row r="10" spans="1:14">
      <c r="A10" s="2" t="s">
        <v>275</v>
      </c>
      <c r="B10" s="3" t="s">
        <v>276</v>
      </c>
      <c r="D10" s="20">
        <v>1.4751337770864616E-6</v>
      </c>
      <c r="E10" s="20">
        <v>0.84013267103029421</v>
      </c>
      <c r="F10" s="20">
        <v>0.63344020117245925</v>
      </c>
      <c r="G10" s="20">
        <v>0.200540077160346</v>
      </c>
      <c r="H10" s="20">
        <v>0</v>
      </c>
      <c r="I10" s="20">
        <v>6.1523926974889195E-3</v>
      </c>
      <c r="J10" s="20">
        <v>4.7841149011410074E-2</v>
      </c>
      <c r="K10" s="20">
        <v>0.11202470482451866</v>
      </c>
      <c r="L10" s="20">
        <v>0</v>
      </c>
    </row>
    <row r="11" spans="1:14">
      <c r="A11" s="2" t="s">
        <v>327</v>
      </c>
      <c r="B11" s="3" t="s">
        <v>328</v>
      </c>
      <c r="D11" s="20">
        <v>7.644575852727161E-5</v>
      </c>
      <c r="E11" s="20">
        <v>0.8346508295569991</v>
      </c>
      <c r="F11" s="20">
        <v>0.60705439704527064</v>
      </c>
      <c r="G11" s="20">
        <v>0.22218931217717114</v>
      </c>
      <c r="H11" s="20">
        <v>0</v>
      </c>
      <c r="I11" s="20">
        <v>5.4071203345573563E-3</v>
      </c>
      <c r="J11" s="20">
        <v>5.31132942807594E-2</v>
      </c>
      <c r="K11" s="20">
        <v>0.11215943040371434</v>
      </c>
      <c r="L11" s="20">
        <v>0</v>
      </c>
    </row>
    <row r="12" spans="1:14">
      <c r="A12" s="2" t="s">
        <v>329</v>
      </c>
      <c r="B12" s="3" t="s">
        <v>330</v>
      </c>
      <c r="D12" s="20">
        <v>5.1706663576132454E-5</v>
      </c>
      <c r="E12" s="20">
        <v>0.78836852872966579</v>
      </c>
      <c r="F12" s="20">
        <v>0.63185980668947195</v>
      </c>
      <c r="G12" s="20">
        <v>0.11937579742110538</v>
      </c>
      <c r="H12" s="20">
        <v>0</v>
      </c>
      <c r="I12" s="20">
        <v>3.7132924619088493E-2</v>
      </c>
      <c r="J12" s="20">
        <v>2.7913701820135112E-2</v>
      </c>
      <c r="K12" s="20">
        <v>0.18366606278662312</v>
      </c>
      <c r="L12" s="20">
        <v>0</v>
      </c>
    </row>
    <row r="13" spans="1:14">
      <c r="A13" s="2" t="s">
        <v>277</v>
      </c>
      <c r="B13" s="3" t="s">
        <v>278</v>
      </c>
      <c r="D13" s="20">
        <v>1.5397025031070751E-4</v>
      </c>
      <c r="E13" s="20">
        <v>0.7585025297105078</v>
      </c>
      <c r="F13" s="20">
        <v>0.5879102482142613</v>
      </c>
      <c r="G13" s="20">
        <v>0.11502879917664843</v>
      </c>
      <c r="H13" s="20">
        <v>0</v>
      </c>
      <c r="I13" s="20">
        <v>5.556348231959804E-2</v>
      </c>
      <c r="J13" s="20">
        <v>2.6798095481127483E-2</v>
      </c>
      <c r="K13" s="20">
        <v>0.21454540455805404</v>
      </c>
      <c r="L13" s="20">
        <v>0</v>
      </c>
    </row>
    <row r="14" spans="1:14">
      <c r="A14" s="2" t="s">
        <v>331</v>
      </c>
      <c r="B14" s="3" t="s">
        <v>332</v>
      </c>
      <c r="D14" s="20">
        <v>5.0093414556087866E-5</v>
      </c>
      <c r="E14" s="20">
        <v>0.81882750264135062</v>
      </c>
      <c r="F14" s="20">
        <v>0.51802992787375557</v>
      </c>
      <c r="G14" s="20">
        <v>0.29726953658722816</v>
      </c>
      <c r="H14" s="20">
        <v>0</v>
      </c>
      <c r="I14" s="20">
        <v>3.5280381803669066E-3</v>
      </c>
      <c r="J14" s="20">
        <v>7.1509158481868923E-2</v>
      </c>
      <c r="K14" s="20">
        <v>0.10961324546222434</v>
      </c>
      <c r="L14" s="20">
        <v>0</v>
      </c>
    </row>
    <row r="15" spans="1:14">
      <c r="A15" s="2" t="s">
        <v>333</v>
      </c>
      <c r="B15" s="3" t="s">
        <v>334</v>
      </c>
      <c r="D15" s="20">
        <v>8.3430701833049745E-8</v>
      </c>
      <c r="E15" s="20">
        <v>0.83741214706012546</v>
      </c>
      <c r="F15" s="20">
        <v>0.62044046097934957</v>
      </c>
      <c r="G15" s="20">
        <v>0.21120085266994507</v>
      </c>
      <c r="H15" s="20">
        <v>0</v>
      </c>
      <c r="I15" s="20">
        <v>5.770833410830789E-3</v>
      </c>
      <c r="J15" s="20">
        <v>5.0435440244123421E-2</v>
      </c>
      <c r="K15" s="20">
        <v>0.11215232926504919</v>
      </c>
      <c r="L15" s="20">
        <v>0</v>
      </c>
    </row>
    <row r="16" spans="1:14">
      <c r="A16" s="2" t="s">
        <v>335</v>
      </c>
      <c r="B16" s="3" t="s">
        <v>336</v>
      </c>
      <c r="D16" s="20">
        <v>3.7648998419186975E-4</v>
      </c>
      <c r="E16" s="20">
        <v>0.79380546593209322</v>
      </c>
      <c r="F16" s="20">
        <v>0.31493986862810475</v>
      </c>
      <c r="G16" s="20">
        <v>0.47766475475508202</v>
      </c>
      <c r="H16" s="20">
        <v>0</v>
      </c>
      <c r="I16" s="20">
        <v>1.2008425489064838E-3</v>
      </c>
      <c r="J16" s="20">
        <v>0.11648012591963908</v>
      </c>
      <c r="K16" s="20">
        <v>8.9337918164075769E-2</v>
      </c>
      <c r="L16" s="20">
        <v>0</v>
      </c>
    </row>
    <row r="17" spans="1:12">
      <c r="A17" s="2" t="s">
        <v>337</v>
      </c>
      <c r="B17" s="3" t="s">
        <v>338</v>
      </c>
      <c r="D17" s="20">
        <v>2.9547486280588947E-5</v>
      </c>
      <c r="E17" s="20">
        <v>0.84230009761414393</v>
      </c>
      <c r="F17" s="20">
        <v>0.64356846372659193</v>
      </c>
      <c r="G17" s="20">
        <v>0.19226060735930497</v>
      </c>
      <c r="H17" s="20">
        <v>0</v>
      </c>
      <c r="I17" s="20">
        <v>6.4710265282470706E-3</v>
      </c>
      <c r="J17" s="20">
        <v>4.5828865881133267E-2</v>
      </c>
      <c r="K17" s="20">
        <v>0.11184148901844226</v>
      </c>
      <c r="L17" s="20">
        <v>0</v>
      </c>
    </row>
    <row r="18" spans="1:12">
      <c r="A18" s="2" t="s">
        <v>279</v>
      </c>
      <c r="B18" s="3" t="s">
        <v>280</v>
      </c>
      <c r="D18" s="20">
        <v>2.9754458839074188E-3</v>
      </c>
      <c r="E18" s="20">
        <v>0.73883201409543453</v>
      </c>
      <c r="F18" s="20">
        <v>0.55798981369492107</v>
      </c>
      <c r="G18" s="20">
        <v>0.11140939765372593</v>
      </c>
      <c r="H18" s="20">
        <v>0</v>
      </c>
      <c r="I18" s="20">
        <v>6.9432802746787495E-2</v>
      </c>
      <c r="J18" s="20">
        <v>2.5900431163390469E-2</v>
      </c>
      <c r="K18" s="20">
        <v>0.2322921088572677</v>
      </c>
      <c r="L18" s="20">
        <v>0</v>
      </c>
    </row>
    <row r="19" spans="1:12">
      <c r="A19" s="2" t="s">
        <v>339</v>
      </c>
      <c r="B19" s="3" t="s">
        <v>340</v>
      </c>
      <c r="D19" s="20">
        <v>2.9226242828359914E-7</v>
      </c>
      <c r="E19" s="20">
        <v>0.83687035205450955</v>
      </c>
      <c r="F19" s="20">
        <v>0.61779900317652037</v>
      </c>
      <c r="G19" s="20">
        <v>0.21337461897493223</v>
      </c>
      <c r="H19" s="20">
        <v>0</v>
      </c>
      <c r="I19" s="20">
        <v>5.6967299030569402E-3</v>
      </c>
      <c r="J19" s="20">
        <v>5.0964864867328895E-2</v>
      </c>
      <c r="K19" s="20">
        <v>0.11216449081573318</v>
      </c>
      <c r="L19" s="20">
        <v>0</v>
      </c>
    </row>
    <row r="20" spans="1:12">
      <c r="A20" s="2" t="s">
        <v>281</v>
      </c>
      <c r="B20" s="3" t="s">
        <v>282</v>
      </c>
      <c r="D20" s="20">
        <v>2.330738590901776E-5</v>
      </c>
      <c r="E20" s="20">
        <v>0.75860165308574656</v>
      </c>
      <c r="F20" s="20">
        <v>0.58798707808081785</v>
      </c>
      <c r="G20" s="20">
        <v>0.11504383148356559</v>
      </c>
      <c r="H20" s="20">
        <v>0</v>
      </c>
      <c r="I20" s="20">
        <v>5.5570743521363104E-2</v>
      </c>
      <c r="J20" s="20">
        <v>2.6801597536255859E-2</v>
      </c>
      <c r="K20" s="20">
        <v>0.21457344199208853</v>
      </c>
      <c r="L20" s="20">
        <v>0</v>
      </c>
    </row>
    <row r="21" spans="1:12">
      <c r="A21" s="2" t="s">
        <v>341</v>
      </c>
      <c r="B21" s="3" t="s">
        <v>342</v>
      </c>
      <c r="D21" s="20">
        <v>4.2153121393803688E-4</v>
      </c>
      <c r="E21" s="20">
        <v>0.82292618985632326</v>
      </c>
      <c r="F21" s="20">
        <v>0.54463300230184242</v>
      </c>
      <c r="G21" s="20">
        <v>0.27428339061747298</v>
      </c>
      <c r="H21" s="20">
        <v>0</v>
      </c>
      <c r="I21" s="20">
        <v>4.0097969370078571E-3</v>
      </c>
      <c r="J21" s="20">
        <v>6.585932539512257E-2</v>
      </c>
      <c r="K21" s="20">
        <v>0.11079295353461595</v>
      </c>
      <c r="L21" s="20">
        <v>0</v>
      </c>
    </row>
    <row r="22" spans="1:12">
      <c r="A22" s="2" t="s">
        <v>343</v>
      </c>
      <c r="B22" s="3" t="s">
        <v>344</v>
      </c>
      <c r="D22" s="20">
        <v>1.9500239186783473E-3</v>
      </c>
      <c r="E22" s="20">
        <v>0.7087288514713086</v>
      </c>
      <c r="F22" s="20">
        <v>0.11943019826479784</v>
      </c>
      <c r="G22" s="20">
        <v>3.1146532812369811E-2</v>
      </c>
      <c r="H22" s="20">
        <v>0</v>
      </c>
      <c r="I22" s="20">
        <v>0.55815212039414097</v>
      </c>
      <c r="J22" s="20">
        <v>7.1436520580800541E-3</v>
      </c>
      <c r="K22" s="20">
        <v>0.28217747255193287</v>
      </c>
      <c r="L22" s="20">
        <v>0</v>
      </c>
    </row>
    <row r="23" spans="1:12">
      <c r="A23" s="2" t="s">
        <v>345</v>
      </c>
      <c r="B23" s="3" t="s">
        <v>346</v>
      </c>
      <c r="D23" s="20">
        <v>8.3342677911985705E-5</v>
      </c>
      <c r="E23" s="20">
        <v>0.78093373681679712</v>
      </c>
      <c r="F23" s="20">
        <v>5.7113880128453108E-2</v>
      </c>
      <c r="G23" s="20">
        <v>1.6004319805893119E-2</v>
      </c>
      <c r="H23" s="20">
        <v>0</v>
      </c>
      <c r="I23" s="20">
        <v>0.70781553688245091</v>
      </c>
      <c r="J23" s="20">
        <v>3.7296039629294785E-3</v>
      </c>
      <c r="K23" s="20">
        <v>0.21525331654236149</v>
      </c>
      <c r="L23" s="20">
        <v>0</v>
      </c>
    </row>
    <row r="24" spans="1:12">
      <c r="A24" s="2" t="s">
        <v>347</v>
      </c>
      <c r="B24" s="3" t="s">
        <v>348</v>
      </c>
      <c r="D24" s="20">
        <v>7.0998890698038749E-5</v>
      </c>
      <c r="E24" s="20">
        <v>0.67372035363430827</v>
      </c>
      <c r="F24" s="20">
        <v>0.41297691732818215</v>
      </c>
      <c r="G24" s="20">
        <v>9.0078538970848984E-2</v>
      </c>
      <c r="H24" s="20">
        <v>0</v>
      </c>
      <c r="I24" s="20">
        <v>0.17066489733527715</v>
      </c>
      <c r="J24" s="20">
        <v>2.0762983716324037E-2</v>
      </c>
      <c r="K24" s="20">
        <v>0.30544566375866983</v>
      </c>
      <c r="L24" s="20">
        <v>0</v>
      </c>
    </row>
    <row r="25" spans="1:12">
      <c r="A25" s="2" t="s">
        <v>349</v>
      </c>
      <c r="B25" s="3" t="s">
        <v>350</v>
      </c>
      <c r="D25" s="20">
        <v>1.2901619341319229E-2</v>
      </c>
      <c r="E25" s="20">
        <v>0.81656026488771727</v>
      </c>
      <c r="F25" s="20">
        <v>0.67502279504887841</v>
      </c>
      <c r="G25" s="20">
        <v>0.12134279501252461</v>
      </c>
      <c r="H25" s="20">
        <v>0</v>
      </c>
      <c r="I25" s="20">
        <v>2.0194674826314252E-2</v>
      </c>
      <c r="J25" s="20">
        <v>2.8525598775284249E-2</v>
      </c>
      <c r="K25" s="20">
        <v>0.14201251699567921</v>
      </c>
      <c r="L25" s="20">
        <v>0</v>
      </c>
    </row>
    <row r="26" spans="1:12">
      <c r="A26" s="2" t="s">
        <v>351</v>
      </c>
      <c r="B26" s="3" t="s">
        <v>352</v>
      </c>
      <c r="D26" s="20">
        <v>3.394571234911356E-4</v>
      </c>
      <c r="E26" s="20">
        <v>0.82602883292576013</v>
      </c>
      <c r="F26" s="20">
        <v>0.56215896590878511</v>
      </c>
      <c r="G26" s="20">
        <v>0.25951035813002937</v>
      </c>
      <c r="H26" s="20">
        <v>0</v>
      </c>
      <c r="I26" s="20">
        <v>4.3595088869456695E-3</v>
      </c>
      <c r="J26" s="20">
        <v>6.2236291927536873E-2</v>
      </c>
      <c r="K26" s="20">
        <v>0.11139541802321215</v>
      </c>
      <c r="L26" s="20">
        <v>0</v>
      </c>
    </row>
    <row r="27" spans="1:12">
      <c r="A27" s="2" t="s">
        <v>353</v>
      </c>
      <c r="B27" s="3" t="s">
        <v>354</v>
      </c>
      <c r="D27" s="20">
        <v>2.1704610839744561E-3</v>
      </c>
      <c r="E27" s="20">
        <v>0.785982058962162</v>
      </c>
      <c r="F27" s="20">
        <v>0.22311368968724338</v>
      </c>
      <c r="G27" s="20">
        <v>0.56224004383500359</v>
      </c>
      <c r="H27" s="20">
        <v>0</v>
      </c>
      <c r="I27" s="20">
        <v>6.2832543991505241E-4</v>
      </c>
      <c r="J27" s="20">
        <v>0.13808518774463835</v>
      </c>
      <c r="K27" s="20">
        <v>7.3762292209225047E-2</v>
      </c>
      <c r="L27" s="20">
        <v>0</v>
      </c>
    </row>
    <row r="28" spans="1:12">
      <c r="A28" s="2" t="s">
        <v>355</v>
      </c>
      <c r="B28" s="3" t="s">
        <v>356</v>
      </c>
      <c r="D28" s="20">
        <v>1.2420863350048216E-4</v>
      </c>
      <c r="E28" s="20">
        <v>0.80690372841013425</v>
      </c>
      <c r="F28" s="20">
        <v>0.43513698549413671</v>
      </c>
      <c r="G28" s="20">
        <v>0.3694209783356025</v>
      </c>
      <c r="H28" s="20">
        <v>0</v>
      </c>
      <c r="I28" s="20">
        <v>2.3457645803950482E-3</v>
      </c>
      <c r="J28" s="20">
        <v>8.9354306497622021E-2</v>
      </c>
      <c r="K28" s="20">
        <v>0.10361775645874326</v>
      </c>
      <c r="L28" s="20">
        <v>0</v>
      </c>
    </row>
    <row r="29" spans="1:12">
      <c r="A29" s="2" t="s">
        <v>357</v>
      </c>
      <c r="B29" s="3" t="s">
        <v>358</v>
      </c>
      <c r="D29" s="20">
        <v>2.5535927371941696E-2</v>
      </c>
      <c r="E29" s="20">
        <v>0.79936776795614384</v>
      </c>
      <c r="F29" s="20">
        <v>0.51360098665403198</v>
      </c>
      <c r="G29" s="20">
        <v>0.28217686539847475</v>
      </c>
      <c r="H29" s="20">
        <v>0</v>
      </c>
      <c r="I29" s="20">
        <v>3.5899159036371403E-3</v>
      </c>
      <c r="J29" s="20">
        <v>6.7837232637962347E-2</v>
      </c>
      <c r="K29" s="20">
        <v>0.10725907203395216</v>
      </c>
      <c r="L29" s="20">
        <v>0</v>
      </c>
    </row>
    <row r="30" spans="1:12">
      <c r="A30" s="2" t="s">
        <v>359</v>
      </c>
      <c r="B30" s="3" t="s">
        <v>360</v>
      </c>
      <c r="D30" s="20">
        <v>1.2420863350048216E-4</v>
      </c>
      <c r="E30" s="20">
        <v>0.80690372841013425</v>
      </c>
      <c r="F30" s="20">
        <v>0.43513698549413671</v>
      </c>
      <c r="G30" s="20">
        <v>0.3694209783356025</v>
      </c>
      <c r="H30" s="20">
        <v>0</v>
      </c>
      <c r="I30" s="20">
        <v>2.3457645803950482E-3</v>
      </c>
      <c r="J30" s="20">
        <v>8.9354306497622021E-2</v>
      </c>
      <c r="K30" s="20">
        <v>0.10361775645874326</v>
      </c>
      <c r="L30" s="20">
        <v>0</v>
      </c>
    </row>
    <row r="31" spans="1:12">
      <c r="A31" s="2" t="s">
        <v>283</v>
      </c>
      <c r="B31" s="3" t="s">
        <v>284</v>
      </c>
      <c r="D31" s="20">
        <v>2.6211519222433458E-8</v>
      </c>
      <c r="E31" s="20">
        <v>0.97638065544964825</v>
      </c>
      <c r="F31" s="20">
        <v>6.0029732532006295E-4</v>
      </c>
      <c r="G31" s="20">
        <v>2.4091395852303188E-4</v>
      </c>
      <c r="H31" s="20">
        <v>0</v>
      </c>
      <c r="I31" s="20">
        <v>0.97553944416580518</v>
      </c>
      <c r="J31" s="20">
        <v>2.5384441692736473E-4</v>
      </c>
      <c r="K31" s="20">
        <v>2.3365473921905008E-2</v>
      </c>
      <c r="L31" s="20">
        <v>0</v>
      </c>
    </row>
    <row r="32" spans="1:12">
      <c r="A32" s="2" t="s">
        <v>361</v>
      </c>
      <c r="B32" s="3" t="s">
        <v>362</v>
      </c>
      <c r="D32" s="20">
        <v>2.1112997011904146E-8</v>
      </c>
      <c r="E32" s="20">
        <v>0.67059490038866409</v>
      </c>
      <c r="F32" s="20">
        <v>0.19319780645610754</v>
      </c>
      <c r="G32" s="20">
        <v>4.7634416825586487E-2</v>
      </c>
      <c r="H32" s="20">
        <v>0</v>
      </c>
      <c r="I32" s="20">
        <v>0.42976267710697008</v>
      </c>
      <c r="J32" s="20">
        <v>1.0960775882331698E-2</v>
      </c>
      <c r="K32" s="20">
        <v>0.31844430261600715</v>
      </c>
      <c r="L32" s="20">
        <v>0</v>
      </c>
    </row>
    <row r="33" spans="1:12">
      <c r="A33" s="2" t="s">
        <v>364</v>
      </c>
      <c r="B33" s="3" t="s">
        <v>365</v>
      </c>
      <c r="D33" s="20">
        <v>1.2068940743360624E-10</v>
      </c>
      <c r="E33" s="20">
        <v>0.99971335923017024</v>
      </c>
      <c r="F33" s="20">
        <v>4.2013370401706657E-3</v>
      </c>
      <c r="G33" s="20">
        <v>1.2847388156248031E-6</v>
      </c>
      <c r="H33" s="20">
        <v>0</v>
      </c>
      <c r="I33" s="20">
        <v>0.9955107374511839</v>
      </c>
      <c r="J33" s="20">
        <v>2.2952863504338127E-4</v>
      </c>
      <c r="K33" s="20">
        <v>5.7112014096989077E-5</v>
      </c>
      <c r="L33" s="20">
        <v>0</v>
      </c>
    </row>
    <row r="34" spans="1:12">
      <c r="A34" s="2" t="s">
        <v>285</v>
      </c>
      <c r="B34" s="3" t="s">
        <v>286</v>
      </c>
      <c r="D34" s="20">
        <v>3.5823730854147643E-10</v>
      </c>
      <c r="E34" s="20">
        <v>0.99791457648253779</v>
      </c>
      <c r="F34" s="20">
        <v>0.45129317083625242</v>
      </c>
      <c r="G34" s="20">
        <v>3.706237694726176E-5</v>
      </c>
      <c r="H34" s="20">
        <v>0</v>
      </c>
      <c r="I34" s="20">
        <v>0.54658434326933814</v>
      </c>
      <c r="J34" s="20">
        <v>1.8911351942684689E-3</v>
      </c>
      <c r="K34" s="20">
        <v>1.9428796495627324E-4</v>
      </c>
      <c r="L34" s="20">
        <v>0</v>
      </c>
    </row>
    <row r="35" spans="1:12">
      <c r="A35" s="2" t="s">
        <v>287</v>
      </c>
      <c r="B35" s="3" t="s">
        <v>288</v>
      </c>
      <c r="D35" s="20">
        <v>1.0427748490553031E-11</v>
      </c>
      <c r="E35" s="20">
        <v>0.99694671396614187</v>
      </c>
      <c r="F35" s="20">
        <v>0.67345551809836868</v>
      </c>
      <c r="G35" s="20">
        <v>1.3041761036362311E-4</v>
      </c>
      <c r="H35" s="20">
        <v>0</v>
      </c>
      <c r="I35" s="20">
        <v>0.32336077825740961</v>
      </c>
      <c r="J35" s="20">
        <v>2.5833390370691464E-3</v>
      </c>
      <c r="K35" s="20">
        <v>4.6994698636114793E-4</v>
      </c>
      <c r="L35" s="20">
        <v>0</v>
      </c>
    </row>
    <row r="36" spans="1:12">
      <c r="A36" s="2" t="s">
        <v>366</v>
      </c>
      <c r="B36" s="3" t="s">
        <v>305</v>
      </c>
      <c r="D36" s="20">
        <v>1.8374415277046719E-8</v>
      </c>
      <c r="E36" s="20">
        <v>0.99639375804135932</v>
      </c>
      <c r="F36" s="20">
        <v>0.88833087278683842</v>
      </c>
      <c r="G36" s="20">
        <v>2.5434109647091486E-4</v>
      </c>
      <c r="H36" s="20">
        <v>0</v>
      </c>
      <c r="I36" s="20">
        <v>0.10780854415804997</v>
      </c>
      <c r="J36" s="20">
        <v>3.0812600102325489E-3</v>
      </c>
      <c r="K36" s="20">
        <v>5.2496357399276796E-4</v>
      </c>
      <c r="L36" s="20">
        <v>0</v>
      </c>
    </row>
    <row r="37" spans="1:12">
      <c r="A37" s="2" t="s">
        <v>289</v>
      </c>
      <c r="B37" s="3" t="s">
        <v>290</v>
      </c>
      <c r="D37" s="20">
        <v>4.1617087797352249E-15</v>
      </c>
      <c r="E37" s="20">
        <v>0.92220226216322232</v>
      </c>
      <c r="F37" s="20">
        <v>0.69197771448420708</v>
      </c>
      <c r="G37" s="20">
        <v>2.3624444694874607E-2</v>
      </c>
      <c r="H37" s="20">
        <v>0</v>
      </c>
      <c r="I37" s="20">
        <v>0.20660010298414061</v>
      </c>
      <c r="J37" s="20">
        <v>7.5755688618874542E-3</v>
      </c>
      <c r="K37" s="20">
        <v>7.022216897488609E-2</v>
      </c>
      <c r="L37" s="20">
        <v>0</v>
      </c>
    </row>
    <row r="38" spans="1:12">
      <c r="A38" s="2" t="s">
        <v>291</v>
      </c>
      <c r="B38" s="3" t="s">
        <v>292</v>
      </c>
      <c r="D38" s="20">
        <v>1.206066009158902E-12</v>
      </c>
      <c r="E38" s="20">
        <v>0.99639333101295557</v>
      </c>
      <c r="F38" s="20">
        <v>0.3838985621650623</v>
      </c>
      <c r="G38" s="20">
        <v>3.2072553129321646E-4</v>
      </c>
      <c r="H38" s="20">
        <v>0</v>
      </c>
      <c r="I38" s="20">
        <v>0.61217404331660008</v>
      </c>
      <c r="J38" s="20">
        <v>1.7271523944801699E-3</v>
      </c>
      <c r="K38" s="20">
        <v>1.8795165913581013E-3</v>
      </c>
      <c r="L38" s="20">
        <v>0</v>
      </c>
    </row>
    <row r="39" spans="1:12">
      <c r="A39" s="2" t="s">
        <v>367</v>
      </c>
      <c r="B39" s="3" t="s">
        <v>368</v>
      </c>
      <c r="D39" s="20">
        <v>1.4115019346232251E-5</v>
      </c>
      <c r="E39" s="20">
        <v>0.86269922589774117</v>
      </c>
      <c r="F39" s="20">
        <v>0.72586472701851323</v>
      </c>
      <c r="G39" s="20">
        <v>0.12678014612421201</v>
      </c>
      <c r="H39" s="20">
        <v>0</v>
      </c>
      <c r="I39" s="20">
        <v>1.005435275501596E-2</v>
      </c>
      <c r="J39" s="20">
        <v>2.9995514457013768E-2</v>
      </c>
      <c r="K39" s="20">
        <v>0.10729114462589895</v>
      </c>
      <c r="L39" s="20">
        <v>0</v>
      </c>
    </row>
    <row r="40" spans="1:12">
      <c r="A40" s="2" t="s">
        <v>369</v>
      </c>
      <c r="B40" s="3" t="s">
        <v>370</v>
      </c>
      <c r="D40" s="20">
        <v>7.6139528475605881E-13</v>
      </c>
      <c r="E40" s="20">
        <v>0.81301537792806045</v>
      </c>
      <c r="F40" s="20">
        <v>0.75739036150009742</v>
      </c>
      <c r="G40" s="20">
        <v>5.479490154618305E-2</v>
      </c>
      <c r="H40" s="20">
        <v>0</v>
      </c>
      <c r="I40" s="20">
        <v>8.3011488177997148E-4</v>
      </c>
      <c r="J40" s="20">
        <v>0.18460201305169718</v>
      </c>
      <c r="K40" s="20">
        <v>2.3826090194811809E-3</v>
      </c>
      <c r="L40" s="20">
        <v>0</v>
      </c>
    </row>
    <row r="41" spans="1:12">
      <c r="A41" s="2" t="s">
        <v>371</v>
      </c>
      <c r="B41" s="3" t="s">
        <v>372</v>
      </c>
      <c r="D41" s="20">
        <v>8.1791146721277921E-2</v>
      </c>
      <c r="E41" s="20">
        <v>0.91343760835052856</v>
      </c>
      <c r="F41" s="20">
        <v>2.7962790696624011E-5</v>
      </c>
      <c r="G41" s="20">
        <v>1.3998324839392808E-5</v>
      </c>
      <c r="H41" s="20">
        <v>0</v>
      </c>
      <c r="I41" s="20">
        <v>0.91339564723499256</v>
      </c>
      <c r="J41" s="20">
        <v>1.9205456722458546E-4</v>
      </c>
      <c r="K41" s="20">
        <v>4.5791903609688385E-3</v>
      </c>
      <c r="L41" s="20">
        <v>0</v>
      </c>
    </row>
    <row r="42" spans="1:12">
      <c r="A42" s="2" t="s">
        <v>293</v>
      </c>
      <c r="B42" s="3" t="s">
        <v>294</v>
      </c>
      <c r="D42" s="20">
        <v>1.7390594719130244E-8</v>
      </c>
      <c r="E42" s="20">
        <v>0.6958677684511746</v>
      </c>
      <c r="F42" s="20">
        <v>0.13950463881782288</v>
      </c>
      <c r="G42" s="20">
        <v>3.5783614328076176E-2</v>
      </c>
      <c r="H42" s="20">
        <v>0</v>
      </c>
      <c r="I42" s="20">
        <v>0.52057951530527558</v>
      </c>
      <c r="J42" s="20">
        <v>8.1968713395461131E-3</v>
      </c>
      <c r="K42" s="20">
        <v>0.2959353428186845</v>
      </c>
      <c r="L42" s="20">
        <v>0</v>
      </c>
    </row>
    <row r="43" spans="1:12">
      <c r="A43" s="2" t="s">
        <v>373</v>
      </c>
      <c r="B43" s="3" t="s">
        <v>374</v>
      </c>
      <c r="D43" s="20">
        <v>4.2858144969094212E-8</v>
      </c>
      <c r="E43" s="20">
        <v>0.99308805004167744</v>
      </c>
      <c r="F43" s="20">
        <v>0.98349748232995304</v>
      </c>
      <c r="G43" s="20">
        <v>8.3041497817013758E-4</v>
      </c>
      <c r="H43" s="20">
        <v>0</v>
      </c>
      <c r="I43" s="20">
        <v>8.7601527335542471E-3</v>
      </c>
      <c r="J43" s="20">
        <v>6.4927201013177073E-3</v>
      </c>
      <c r="K43" s="20">
        <v>4.191869988598175E-4</v>
      </c>
      <c r="L43" s="20">
        <v>0</v>
      </c>
    </row>
    <row r="44" spans="1:12">
      <c r="A44" s="2" t="s">
        <v>375</v>
      </c>
      <c r="B44" s="3" t="s">
        <v>376</v>
      </c>
      <c r="D44" s="20">
        <v>8.503488988899012E-2</v>
      </c>
      <c r="E44" s="20">
        <v>0.78641173634823303</v>
      </c>
      <c r="F44" s="20">
        <v>1.9438885809142836E-2</v>
      </c>
      <c r="G44" s="20">
        <v>5.9288016885065487E-3</v>
      </c>
      <c r="H44" s="20">
        <v>0</v>
      </c>
      <c r="I44" s="20">
        <v>0.76104404885058363</v>
      </c>
      <c r="J44" s="20">
        <v>1.4726866067610201E-3</v>
      </c>
      <c r="K44" s="20">
        <v>0.12708068715601581</v>
      </c>
      <c r="L44" s="20">
        <v>0</v>
      </c>
    </row>
    <row r="45" spans="1:12">
      <c r="A45" s="2" t="s">
        <v>377</v>
      </c>
      <c r="B45" s="3" t="s">
        <v>378</v>
      </c>
      <c r="D45" s="20">
        <v>6.6094505393821795E-4</v>
      </c>
      <c r="E45" s="20">
        <v>0.68406195088763488</v>
      </c>
      <c r="F45" s="20">
        <v>0.15879600486832052</v>
      </c>
      <c r="G45" s="20">
        <v>4.0136096040482273E-2</v>
      </c>
      <c r="H45" s="20">
        <v>0</v>
      </c>
      <c r="I45" s="20">
        <v>0.48512984997883207</v>
      </c>
      <c r="J45" s="20">
        <v>9.1880792076328693E-3</v>
      </c>
      <c r="K45" s="20">
        <v>0.30608902485079398</v>
      </c>
      <c r="L45" s="20">
        <v>0</v>
      </c>
    </row>
    <row r="46" spans="1:12">
      <c r="A46" s="2" t="s">
        <v>379</v>
      </c>
      <c r="B46" s="3" t="s">
        <v>380</v>
      </c>
      <c r="D46" s="20">
        <v>1.9886324365851562E-3</v>
      </c>
      <c r="E46" s="20">
        <v>0.69007559962214704</v>
      </c>
      <c r="F46" s="20">
        <v>0.14629474753740973</v>
      </c>
      <c r="G46" s="20">
        <v>3.7318509453786348E-2</v>
      </c>
      <c r="H46" s="20">
        <v>0</v>
      </c>
      <c r="I46" s="20">
        <v>0.50646234263095091</v>
      </c>
      <c r="J46" s="20">
        <v>8.5460233825338724E-3</v>
      </c>
      <c r="K46" s="20">
        <v>0.29938974455873396</v>
      </c>
      <c r="L46" s="20">
        <v>0</v>
      </c>
    </row>
    <row r="47" spans="1:12">
      <c r="A47" s="2" t="s">
        <v>381</v>
      </c>
      <c r="B47" s="3" t="s">
        <v>382</v>
      </c>
      <c r="D47" s="20">
        <v>3.6806568730581535E-8</v>
      </c>
      <c r="E47" s="20">
        <v>0.78710961536893531</v>
      </c>
      <c r="F47" s="20">
        <v>0.21203109070191681</v>
      </c>
      <c r="G47" s="20">
        <v>0.57450670646837565</v>
      </c>
      <c r="H47" s="20">
        <v>0</v>
      </c>
      <c r="I47" s="20">
        <v>5.7181819864288771E-4</v>
      </c>
      <c r="J47" s="20">
        <v>0.14124174377745477</v>
      </c>
      <c r="K47" s="20">
        <v>7.1648604047041001E-2</v>
      </c>
      <c r="L47" s="20">
        <v>0</v>
      </c>
    </row>
    <row r="48" spans="1:12">
      <c r="A48" s="2" t="s">
        <v>383</v>
      </c>
      <c r="B48" s="3" t="s">
        <v>384</v>
      </c>
      <c r="D48" s="20">
        <v>1.1764964795221945E-2</v>
      </c>
      <c r="E48" s="20">
        <v>0.91104803422286984</v>
      </c>
      <c r="F48" s="20">
        <v>6.2815214459090831E-3</v>
      </c>
      <c r="G48" s="20">
        <v>2.1084358997613055E-3</v>
      </c>
      <c r="H48" s="20">
        <v>0</v>
      </c>
      <c r="I48" s="20">
        <v>0.90265807687719946</v>
      </c>
      <c r="J48" s="20">
        <v>6.4971945415570782E-4</v>
      </c>
      <c r="K48" s="20">
        <v>7.653728152775259E-2</v>
      </c>
      <c r="L48" s="20">
        <v>0</v>
      </c>
    </row>
    <row r="49" spans="1:12">
      <c r="A49" s="2" t="s">
        <v>385</v>
      </c>
      <c r="B49" s="3" t="s">
        <v>386</v>
      </c>
      <c r="D49" s="20">
        <v>2.196050138925781E-2</v>
      </c>
      <c r="E49" s="20">
        <v>0.87592893922783244</v>
      </c>
      <c r="F49" s="20">
        <v>1.1197381274724794E-2</v>
      </c>
      <c r="G49" s="20">
        <v>3.5893187010397915E-3</v>
      </c>
      <c r="H49" s="20">
        <v>0</v>
      </c>
      <c r="I49" s="20">
        <v>0.8611422392520679</v>
      </c>
      <c r="J49" s="20">
        <v>9.7016278968833924E-4</v>
      </c>
      <c r="K49" s="20">
        <v>0.10114039659322131</v>
      </c>
      <c r="L49" s="20">
        <v>0</v>
      </c>
    </row>
    <row r="50" spans="1:12">
      <c r="A50" s="2" t="s">
        <v>387</v>
      </c>
      <c r="B50" s="3" t="s">
        <v>388</v>
      </c>
      <c r="D50" s="20">
        <v>6.4285046782971613E-3</v>
      </c>
      <c r="E50" s="20">
        <v>0.73152920276631372</v>
      </c>
      <c r="F50" s="20">
        <v>0.54800456868011149</v>
      </c>
      <c r="G50" s="20">
        <v>0.11002205046105512</v>
      </c>
      <c r="H50" s="20">
        <v>0</v>
      </c>
      <c r="I50" s="20">
        <v>7.3502583625147083E-2</v>
      </c>
      <c r="J50" s="20">
        <v>2.5563409683482793E-2</v>
      </c>
      <c r="K50" s="20">
        <v>0.23647888287190613</v>
      </c>
      <c r="L50" s="20">
        <v>0</v>
      </c>
    </row>
    <row r="51" spans="1:12">
      <c r="A51" s="2" t="s">
        <v>295</v>
      </c>
      <c r="B51" s="3" t="s">
        <v>296</v>
      </c>
      <c r="D51" s="20">
        <v>6.5535708369619611E-2</v>
      </c>
      <c r="E51" s="20">
        <v>0.90461572952253466</v>
      </c>
      <c r="F51" s="20">
        <v>1.0128665130860616E-3</v>
      </c>
      <c r="G51" s="20">
        <v>3.8890879828404421E-4</v>
      </c>
      <c r="H51" s="20">
        <v>0</v>
      </c>
      <c r="I51" s="20">
        <v>0.90321395421116457</v>
      </c>
      <c r="J51" s="20">
        <v>2.7113458319738331E-4</v>
      </c>
      <c r="K51" s="20">
        <v>2.957742752464847E-2</v>
      </c>
      <c r="L51" s="20">
        <v>0</v>
      </c>
    </row>
    <row r="52" spans="1:12">
      <c r="A52" s="2" t="s">
        <v>389</v>
      </c>
      <c r="B52" s="3" t="s">
        <v>390</v>
      </c>
      <c r="D52" s="20">
        <v>6.8789834213002055E-2</v>
      </c>
      <c r="E52" s="20">
        <v>0.76428701291617629</v>
      </c>
      <c r="F52" s="20">
        <v>3.3558186063796312E-2</v>
      </c>
      <c r="G52" s="20">
        <v>9.792510210248781E-3</v>
      </c>
      <c r="H52" s="20">
        <v>0</v>
      </c>
      <c r="I52" s="20">
        <v>0.7209363166421312</v>
      </c>
      <c r="J52" s="20">
        <v>2.3319331644143272E-3</v>
      </c>
      <c r="K52" s="20">
        <v>0.16459121970640719</v>
      </c>
      <c r="L52" s="20">
        <v>0</v>
      </c>
    </row>
    <row r="53" spans="1:12">
      <c r="A53" s="2" t="s">
        <v>391</v>
      </c>
      <c r="B53" s="3" t="s">
        <v>392</v>
      </c>
      <c r="D53" s="20">
        <v>1.9450787725217838E-3</v>
      </c>
      <c r="E53" s="20">
        <v>0.65835110515267758</v>
      </c>
      <c r="F53" s="20">
        <v>0.22888187846580363</v>
      </c>
      <c r="G53" s="20">
        <v>5.5246779211004626E-2</v>
      </c>
      <c r="H53" s="20">
        <v>0</v>
      </c>
      <c r="I53" s="20">
        <v>0.37422244747586936</v>
      </c>
      <c r="J53" s="20">
        <v>1.264971820798963E-2</v>
      </c>
      <c r="K53" s="20">
        <v>0.32705409786681106</v>
      </c>
      <c r="L53" s="20">
        <v>0</v>
      </c>
    </row>
    <row r="54" spans="1:12">
      <c r="A54" s="2" t="s">
        <v>393</v>
      </c>
      <c r="B54" s="3" t="s">
        <v>394</v>
      </c>
      <c r="D54" s="20">
        <v>1.7119197408488378E-4</v>
      </c>
      <c r="E54" s="20">
        <v>0.78944021365257877</v>
      </c>
      <c r="F54" s="20">
        <v>0.25548041613478689</v>
      </c>
      <c r="G54" s="20">
        <v>0.53315461184136648</v>
      </c>
      <c r="H54" s="20">
        <v>0</v>
      </c>
      <c r="I54" s="20">
        <v>8.0518567642539013E-4</v>
      </c>
      <c r="J54" s="20">
        <v>0.13059540933289734</v>
      </c>
      <c r="K54" s="20">
        <v>7.9793185040439016E-2</v>
      </c>
      <c r="L54" s="20">
        <v>0</v>
      </c>
    </row>
    <row r="55" spans="1:12">
      <c r="A55" s="2" t="s">
        <v>395</v>
      </c>
      <c r="B55" s="3" t="s">
        <v>396</v>
      </c>
      <c r="D55" s="20">
        <v>0.13067321237681234</v>
      </c>
      <c r="E55" s="20">
        <v>0.59149081717865537</v>
      </c>
      <c r="F55" s="20">
        <v>0.37640967913743578</v>
      </c>
      <c r="G55" s="20">
        <v>8.120005770594628E-2</v>
      </c>
      <c r="H55" s="20">
        <v>0</v>
      </c>
      <c r="I55" s="20">
        <v>0.13388108033527329</v>
      </c>
      <c r="J55" s="20">
        <v>1.87350424646879E-2</v>
      </c>
      <c r="K55" s="20">
        <v>0.2591009279798443</v>
      </c>
      <c r="L55" s="20">
        <v>0</v>
      </c>
    </row>
    <row r="56" spans="1:12">
      <c r="A56" s="2" t="s">
        <v>397</v>
      </c>
      <c r="B56" s="3" t="s">
        <v>398</v>
      </c>
      <c r="D56" s="20">
        <v>0.59744416566168823</v>
      </c>
      <c r="E56" s="20">
        <v>0.31552493124706138</v>
      </c>
      <c r="F56" s="20">
        <v>0.25175119416402036</v>
      </c>
      <c r="G56" s="20">
        <v>4.7826334240485782E-2</v>
      </c>
      <c r="H56" s="20">
        <v>0</v>
      </c>
      <c r="I56" s="20">
        <v>1.5947402842555206E-2</v>
      </c>
      <c r="J56" s="20">
        <v>1.1176686883670689E-2</v>
      </c>
      <c r="K56" s="20">
        <v>7.5854216207579719E-2</v>
      </c>
      <c r="L56" s="20">
        <v>0</v>
      </c>
    </row>
    <row r="57" spans="1:12">
      <c r="A57" s="2" t="s">
        <v>399</v>
      </c>
      <c r="B57" s="3" t="s">
        <v>400</v>
      </c>
      <c r="D57" s="20">
        <v>0.76258824361969635</v>
      </c>
      <c r="E57" s="20">
        <v>0.16548848594665194</v>
      </c>
      <c r="F57" s="20">
        <v>0.11276240257749283</v>
      </c>
      <c r="G57" s="20">
        <v>2.3749795584473592E-2</v>
      </c>
      <c r="H57" s="20">
        <v>0</v>
      </c>
      <c r="I57" s="20">
        <v>2.8976287784685525E-2</v>
      </c>
      <c r="J57" s="20">
        <v>5.4920078691164873E-3</v>
      </c>
      <c r="K57" s="20">
        <v>6.643126256453509E-2</v>
      </c>
      <c r="L57" s="20">
        <v>0</v>
      </c>
    </row>
    <row r="58" spans="1:12">
      <c r="A58" s="2" t="s">
        <v>297</v>
      </c>
      <c r="B58" s="3" t="s">
        <v>298</v>
      </c>
      <c r="D58" s="20">
        <v>0.93154366531848909</v>
      </c>
      <c r="E58" s="20">
        <v>6.0459732797214033E-2</v>
      </c>
      <c r="F58" s="20">
        <v>9.8781912858471668E-4</v>
      </c>
      <c r="G58" s="20">
        <v>3.1086582972781305E-4</v>
      </c>
      <c r="H58" s="20">
        <v>0</v>
      </c>
      <c r="I58" s="20">
        <v>5.9161047838901505E-2</v>
      </c>
      <c r="J58" s="20">
        <v>8.0969480034083301E-5</v>
      </c>
      <c r="K58" s="20">
        <v>7.9156324042628286E-3</v>
      </c>
      <c r="L58" s="20">
        <v>0</v>
      </c>
    </row>
    <row r="59" spans="1:12">
      <c r="A59" s="2" t="s">
        <v>401</v>
      </c>
      <c r="B59" s="3" t="s">
        <v>402</v>
      </c>
      <c r="D59" s="20">
        <v>0.90724983946654425</v>
      </c>
      <c r="E59" s="20">
        <v>6.427308995809429E-2</v>
      </c>
      <c r="F59" s="20">
        <v>4.3171895277477793E-2</v>
      </c>
      <c r="G59" s="20">
        <v>9.1431673801473708E-3</v>
      </c>
      <c r="H59" s="20">
        <v>0</v>
      </c>
      <c r="I59" s="20">
        <v>1.195802730046913E-2</v>
      </c>
      <c r="J59" s="20">
        <v>2.1131921149426954E-3</v>
      </c>
      <c r="K59" s="20">
        <v>2.6363878460418745E-2</v>
      </c>
      <c r="L59" s="20">
        <v>0</v>
      </c>
    </row>
    <row r="60" spans="1:12">
      <c r="A60" s="2" t="s">
        <v>299</v>
      </c>
      <c r="B60" s="3" t="s">
        <v>300</v>
      </c>
      <c r="D60" s="20">
        <v>0.99800578447293276</v>
      </c>
      <c r="E60" s="20">
        <v>1.3154494865147263E-3</v>
      </c>
      <c r="F60" s="20">
        <v>7.0828374246717811E-4</v>
      </c>
      <c r="G60" s="20">
        <v>1.5940532634127347E-4</v>
      </c>
      <c r="H60" s="20">
        <v>0</v>
      </c>
      <c r="I60" s="20">
        <v>4.4776041770627463E-4</v>
      </c>
      <c r="J60" s="20">
        <v>3.664713130962021E-5</v>
      </c>
      <c r="K60" s="20">
        <v>6.4211890924288401E-4</v>
      </c>
      <c r="L60" s="20">
        <v>0</v>
      </c>
    </row>
    <row r="61" spans="1:12">
      <c r="A61" s="2" t="s">
        <v>403</v>
      </c>
      <c r="B61" s="3" t="s">
        <v>404</v>
      </c>
      <c r="D61" s="20">
        <v>4.4037582225160142E-44</v>
      </c>
      <c r="E61" s="20">
        <v>0.65401909629308763</v>
      </c>
      <c r="F61" s="20">
        <v>0.30401686898571706</v>
      </c>
      <c r="G61" s="20">
        <v>7.0338521831210948E-2</v>
      </c>
      <c r="H61" s="20">
        <v>0</v>
      </c>
      <c r="I61" s="20">
        <v>0.27966370547615965</v>
      </c>
      <c r="J61" s="20">
        <v>1.6138969971406968E-2</v>
      </c>
      <c r="K61" s="20">
        <v>0.32984193373550535</v>
      </c>
      <c r="L61" s="20">
        <v>0</v>
      </c>
    </row>
    <row r="62" spans="1:12">
      <c r="A62" s="2" t="s">
        <v>405</v>
      </c>
      <c r="B62" s="3" t="s">
        <v>406</v>
      </c>
      <c r="D62" s="20">
        <v>1.005104986388694E-7</v>
      </c>
      <c r="E62" s="20">
        <v>0.81983045997802917</v>
      </c>
      <c r="F62" s="20">
        <v>0.52406558693706928</v>
      </c>
      <c r="G62" s="20">
        <v>0.29213338960052232</v>
      </c>
      <c r="H62" s="20">
        <v>0</v>
      </c>
      <c r="I62" s="20">
        <v>3.6314834404376052E-3</v>
      </c>
      <c r="J62" s="20">
        <v>7.0245109223166347E-2</v>
      </c>
      <c r="K62" s="20">
        <v>0.10992433028830581</v>
      </c>
      <c r="L62" s="20">
        <v>0</v>
      </c>
    </row>
    <row r="63" spans="1:12">
      <c r="A63" s="2" t="s">
        <v>407</v>
      </c>
      <c r="B63" s="3" t="s">
        <v>408</v>
      </c>
      <c r="D63" s="20">
        <v>2.2361857977213454E-5</v>
      </c>
      <c r="E63" s="20">
        <v>0.78497436570669321</v>
      </c>
      <c r="F63" s="20">
        <v>0.14951408238633471</v>
      </c>
      <c r="G63" s="20">
        <v>0.63515197835059245</v>
      </c>
      <c r="H63" s="20">
        <v>0</v>
      </c>
      <c r="I63" s="20">
        <v>3.083049697660039E-4</v>
      </c>
      <c r="J63" s="20">
        <v>0.15714169281526036</v>
      </c>
      <c r="K63" s="20">
        <v>5.7861579620069256E-2</v>
      </c>
      <c r="L63" s="20">
        <v>0</v>
      </c>
    </row>
    <row r="64" spans="1:12">
      <c r="A64" s="2" t="s">
        <v>409</v>
      </c>
      <c r="B64" s="3" t="s">
        <v>410</v>
      </c>
      <c r="D64" s="20">
        <v>2.724676580995526E-6</v>
      </c>
      <c r="E64" s="20">
        <v>0.78519478894464712</v>
      </c>
      <c r="F64" s="20">
        <v>7.9284661040128185E-2</v>
      </c>
      <c r="G64" s="20">
        <v>0.70580499767816218</v>
      </c>
      <c r="H64" s="20">
        <v>0</v>
      </c>
      <c r="I64" s="20">
        <v>1.0513022635672902E-4</v>
      </c>
      <c r="J64" s="20">
        <v>0.17644966129614137</v>
      </c>
      <c r="K64" s="20">
        <v>3.835282508263059E-2</v>
      </c>
      <c r="L64" s="20">
        <v>0</v>
      </c>
    </row>
    <row r="65" spans="1:12">
      <c r="A65" s="2" t="s">
        <v>301</v>
      </c>
      <c r="B65" s="3" t="s">
        <v>302</v>
      </c>
      <c r="D65" s="20">
        <v>3.3284558717339929E-7</v>
      </c>
      <c r="E65" s="20">
        <v>0.7873496689257975</v>
      </c>
      <c r="F65" s="20">
        <v>3.636779902456673E-2</v>
      </c>
      <c r="G65" s="20">
        <v>0.75095268384303726</v>
      </c>
      <c r="H65" s="20">
        <v>0</v>
      </c>
      <c r="I65" s="20">
        <v>2.9186058193488075E-5</v>
      </c>
      <c r="J65" s="20">
        <v>0.18997615161677478</v>
      </c>
      <c r="K65" s="20">
        <v>2.2673846611840395E-2</v>
      </c>
      <c r="L65" s="20">
        <v>0</v>
      </c>
    </row>
    <row r="66" spans="1:12">
      <c r="A66" s="2" t="s">
        <v>303</v>
      </c>
      <c r="B66" s="3" t="s">
        <v>304</v>
      </c>
      <c r="D66" s="20">
        <v>3.2312397239402111E-13</v>
      </c>
      <c r="E66" s="20">
        <v>0.78606277336858388</v>
      </c>
      <c r="F66" s="20">
        <v>5.6982748638341907E-2</v>
      </c>
      <c r="G66" s="20">
        <v>0.72901917175456432</v>
      </c>
      <c r="H66" s="20">
        <v>0</v>
      </c>
      <c r="I66" s="20">
        <v>6.0852975677684884E-5</v>
      </c>
      <c r="J66" s="20">
        <v>0.18318676923137175</v>
      </c>
      <c r="K66" s="20">
        <v>3.0750457399721189E-2</v>
      </c>
      <c r="L66" s="20">
        <v>0</v>
      </c>
    </row>
    <row r="67" spans="1:12">
      <c r="A67" s="2" t="s">
        <v>411</v>
      </c>
      <c r="B67" s="3" t="s">
        <v>412</v>
      </c>
      <c r="D67" s="20">
        <v>4.6491691461314115E-3</v>
      </c>
      <c r="E67" s="20">
        <v>0.84329898615397481</v>
      </c>
      <c r="F67" s="20">
        <v>2.528422007952387E-2</v>
      </c>
      <c r="G67" s="20">
        <v>7.5988018054403148E-3</v>
      </c>
      <c r="H67" s="20">
        <v>0</v>
      </c>
      <c r="I67" s="20">
        <v>0.81041596426901064</v>
      </c>
      <c r="J67" s="20">
        <v>1.8560587591808903E-3</v>
      </c>
      <c r="K67" s="20">
        <v>0.15019578594071303</v>
      </c>
      <c r="L67" s="20">
        <v>0</v>
      </c>
    </row>
    <row r="68" spans="1:12">
      <c r="A68" s="2" t="s">
        <v>413</v>
      </c>
      <c r="B68" s="3" t="s">
        <v>414</v>
      </c>
      <c r="D68" s="20">
        <v>9.9642913410744171E-3</v>
      </c>
      <c r="E68" s="20">
        <v>0.79504718295368482</v>
      </c>
      <c r="F68" s="20">
        <v>4.4128649036081317E-2</v>
      </c>
      <c r="G68" s="20">
        <v>1.2642011685805921E-2</v>
      </c>
      <c r="H68" s="20">
        <v>0</v>
      </c>
      <c r="I68" s="20">
        <v>0.73827652223179763</v>
      </c>
      <c r="J68" s="20">
        <v>2.9763281954052262E-3</v>
      </c>
      <c r="K68" s="20">
        <v>0.19201219750983559</v>
      </c>
      <c r="L68" s="20">
        <v>0</v>
      </c>
    </row>
    <row r="69" spans="1:12">
      <c r="A69" s="2" t="s">
        <v>415</v>
      </c>
      <c r="B69" s="3" t="s">
        <v>416</v>
      </c>
      <c r="D69" s="20">
        <v>1.1173813163537106E-3</v>
      </c>
      <c r="E69" s="20">
        <v>0.79397303555058663</v>
      </c>
      <c r="F69" s="20">
        <v>0.32327760514341641</v>
      </c>
      <c r="G69" s="20">
        <v>0.46943036189599258</v>
      </c>
      <c r="H69" s="20">
        <v>0</v>
      </c>
      <c r="I69" s="20">
        <v>1.2650685111776836E-3</v>
      </c>
      <c r="J69" s="20">
        <v>0.11440224211690687</v>
      </c>
      <c r="K69" s="20">
        <v>9.050734101615282E-2</v>
      </c>
      <c r="L69" s="20">
        <v>0</v>
      </c>
    </row>
    <row r="70" spans="1:12">
      <c r="A70" s="2" t="s">
        <v>417</v>
      </c>
      <c r="B70" s="3" t="s">
        <v>418</v>
      </c>
      <c r="D70" s="20">
        <v>3.103316334666048E-3</v>
      </c>
      <c r="E70" s="20">
        <v>0.81235029448372864</v>
      </c>
      <c r="F70" s="20">
        <v>0.66573327142278516</v>
      </c>
      <c r="G70" s="20">
        <v>0.12167344864974559</v>
      </c>
      <c r="H70" s="20">
        <v>0</v>
      </c>
      <c r="I70" s="20">
        <v>2.494357441119787E-2</v>
      </c>
      <c r="J70" s="20">
        <v>2.8552190262408138E-2</v>
      </c>
      <c r="K70" s="20">
        <v>0.15599419891919725</v>
      </c>
      <c r="L70" s="20">
        <v>0</v>
      </c>
    </row>
    <row r="71" spans="1:12">
      <c r="A71" s="2" t="s">
        <v>419</v>
      </c>
      <c r="B71" s="3" t="s">
        <v>420</v>
      </c>
      <c r="D71" s="20">
        <v>2.4466538733578118E-2</v>
      </c>
      <c r="E71" s="20">
        <v>0.79039412090445782</v>
      </c>
      <c r="F71" s="20">
        <v>3.9961957096700383E-2</v>
      </c>
      <c r="G71" s="20">
        <v>1.1533000333377039E-2</v>
      </c>
      <c r="H71" s="20">
        <v>0</v>
      </c>
      <c r="I71" s="20">
        <v>0.73889916347438045</v>
      </c>
      <c r="J71" s="20">
        <v>2.7266976995383211E-3</v>
      </c>
      <c r="K71" s="20">
        <v>0.18241264266242571</v>
      </c>
      <c r="L71" s="20">
        <v>0</v>
      </c>
    </row>
    <row r="72" spans="1:12">
      <c r="A72" s="2" t="s">
        <v>421</v>
      </c>
      <c r="B72" s="3" t="s">
        <v>422</v>
      </c>
      <c r="D72" s="20">
        <v>1.3011429583692552E-2</v>
      </c>
      <c r="E72" s="20">
        <v>0.79437265756516662</v>
      </c>
      <c r="F72" s="20">
        <v>0.64595048790730336</v>
      </c>
      <c r="G72" s="20">
        <v>0.1195899779959433</v>
      </c>
      <c r="H72" s="20">
        <v>0</v>
      </c>
      <c r="I72" s="20">
        <v>2.883219166191997E-2</v>
      </c>
      <c r="J72" s="20">
        <v>2.8024407792425585E-2</v>
      </c>
      <c r="K72" s="20">
        <v>0.16459150505871517</v>
      </c>
      <c r="L72" s="20">
        <v>0</v>
      </c>
    </row>
    <row r="73" spans="1:12">
      <c r="A73" s="2" t="s">
        <v>423</v>
      </c>
      <c r="B73" s="3" t="s">
        <v>424</v>
      </c>
      <c r="D73" s="20">
        <v>1.2817053068497638E-2</v>
      </c>
      <c r="E73" s="20">
        <v>0.64671102982638273</v>
      </c>
      <c r="F73" s="20">
        <v>0.31685633709155858</v>
      </c>
      <c r="G73" s="20">
        <v>7.2637008996352781E-2</v>
      </c>
      <c r="H73" s="20">
        <v>0</v>
      </c>
      <c r="I73" s="20">
        <v>0.25721768373847131</v>
      </c>
      <c r="J73" s="20">
        <v>1.6676585207243917E-2</v>
      </c>
      <c r="K73" s="20">
        <v>0.32379533189787579</v>
      </c>
      <c r="L73" s="20">
        <v>0</v>
      </c>
    </row>
    <row r="74" spans="1:12">
      <c r="A74" s="2" t="s">
        <v>425</v>
      </c>
      <c r="B74" s="3" t="s">
        <v>426</v>
      </c>
      <c r="D74" s="20">
        <v>4.7891332796060537E-3</v>
      </c>
      <c r="E74" s="20">
        <v>0.80815973150373521</v>
      </c>
      <c r="F74" s="20">
        <v>0.66089297926310608</v>
      </c>
      <c r="G74" s="20">
        <v>0.1212346306551302</v>
      </c>
      <c r="H74" s="20">
        <v>0</v>
      </c>
      <c r="I74" s="20">
        <v>2.6032121585498936E-2</v>
      </c>
      <c r="J74" s="20">
        <v>2.8437936233586685E-2</v>
      </c>
      <c r="K74" s="20">
        <v>0.15861319898307188</v>
      </c>
      <c r="L74" s="20">
        <v>0</v>
      </c>
    </row>
    <row r="75" spans="1:12">
      <c r="A75" s="2" t="s">
        <v>427</v>
      </c>
      <c r="B75" s="3" t="s">
        <v>428</v>
      </c>
      <c r="D75" s="20">
        <v>5.3899771082987798E-10</v>
      </c>
      <c r="E75" s="20">
        <v>0.97860959595990515</v>
      </c>
      <c r="F75" s="20">
        <v>0.97400492503450753</v>
      </c>
      <c r="G75" s="20">
        <v>3.7584723703092718E-4</v>
      </c>
      <c r="H75" s="20">
        <v>0</v>
      </c>
      <c r="I75" s="20">
        <v>4.2288236883667139E-3</v>
      </c>
      <c r="J75" s="20">
        <v>2.1308571345285892E-2</v>
      </c>
      <c r="K75" s="20">
        <v>8.1832155811291195E-5</v>
      </c>
      <c r="L75" s="20">
        <v>0</v>
      </c>
    </row>
    <row r="76" spans="1:12">
      <c r="A76" s="2" t="s">
        <v>429</v>
      </c>
      <c r="B76" s="3" t="s">
        <v>430</v>
      </c>
      <c r="D76" s="20">
        <v>1.353901037159714E-11</v>
      </c>
      <c r="E76" s="20">
        <v>0.97860959647412404</v>
      </c>
      <c r="F76" s="20">
        <v>0.9740049255463068</v>
      </c>
      <c r="G76" s="20">
        <v>3.7584723722841937E-4</v>
      </c>
      <c r="H76" s="20">
        <v>0</v>
      </c>
      <c r="I76" s="20">
        <v>4.2288236905887872E-3</v>
      </c>
      <c r="J76" s="20">
        <v>2.1308571356482661E-2</v>
      </c>
      <c r="K76" s="20">
        <v>8.1832155854290613E-5</v>
      </c>
      <c r="L76" s="20">
        <v>0</v>
      </c>
    </row>
    <row r="77" spans="1:12">
      <c r="A77" s="2" t="s">
        <v>431</v>
      </c>
      <c r="B77" s="3" t="s">
        <v>432</v>
      </c>
      <c r="D77" s="20">
        <v>2.3217799842246256E-2</v>
      </c>
      <c r="E77" s="20">
        <v>0.69495211933604584</v>
      </c>
      <c r="F77" s="20">
        <v>0.49396397610112519</v>
      </c>
      <c r="G77" s="20">
        <v>0.10213881928342654</v>
      </c>
      <c r="H77" s="20">
        <v>0</v>
      </c>
      <c r="I77" s="20">
        <v>9.8849323951494095E-2</v>
      </c>
      <c r="J77" s="20">
        <v>2.3661454650368691E-2</v>
      </c>
      <c r="K77" s="20">
        <v>0.25816862617133907</v>
      </c>
      <c r="L77" s="20">
        <v>0</v>
      </c>
    </row>
    <row r="78" spans="1:12">
      <c r="A78" s="2" t="s">
        <v>433</v>
      </c>
      <c r="B78" s="3" t="s">
        <v>434</v>
      </c>
      <c r="D78" s="20">
        <v>3.3088357716450703E-2</v>
      </c>
      <c r="E78" s="20">
        <v>0.6787982129521023</v>
      </c>
      <c r="F78" s="20">
        <v>0.12610997137979094</v>
      </c>
      <c r="G78" s="20">
        <v>3.2587045162271032E-2</v>
      </c>
      <c r="H78" s="20">
        <v>0</v>
      </c>
      <c r="I78" s="20">
        <v>0.52010119641004038</v>
      </c>
      <c r="J78" s="20">
        <v>7.4682329730503018E-3</v>
      </c>
      <c r="K78" s="20">
        <v>0.28064519635839669</v>
      </c>
      <c r="L78" s="20">
        <v>0</v>
      </c>
    </row>
    <row r="79" spans="1:12">
      <c r="A79" s="2" t="s">
        <v>435</v>
      </c>
      <c r="B79" s="3" t="s">
        <v>436</v>
      </c>
      <c r="D79" s="20">
        <v>7.6983633276810487E-3</v>
      </c>
      <c r="E79" s="20">
        <v>0.65338367638188</v>
      </c>
      <c r="F79" s="20">
        <v>0.23370748338366013</v>
      </c>
      <c r="G79" s="20">
        <v>5.6204122829657477E-2</v>
      </c>
      <c r="H79" s="20">
        <v>0</v>
      </c>
      <c r="I79" s="20">
        <v>0.36347207016856242</v>
      </c>
      <c r="J79" s="20">
        <v>1.2870512681319037E-2</v>
      </c>
      <c r="K79" s="20">
        <v>0.32604744760911986</v>
      </c>
      <c r="L79" s="20">
        <v>0</v>
      </c>
    </row>
    <row r="80" spans="1:12">
      <c r="A80" s="2" t="s">
        <v>437</v>
      </c>
      <c r="B80" s="3" t="s">
        <v>438</v>
      </c>
      <c r="D80" s="20">
        <v>1.8918761393155186E-10</v>
      </c>
      <c r="E80" s="20">
        <v>0.95931902601849683</v>
      </c>
      <c r="F80" s="20">
        <v>0.95579979276040261</v>
      </c>
      <c r="G80" s="20">
        <v>7.0846294660482532E-4</v>
      </c>
      <c r="H80" s="20">
        <v>0</v>
      </c>
      <c r="I80" s="20">
        <v>2.8107703114894174E-3</v>
      </c>
      <c r="J80" s="20">
        <v>4.058319835397077E-2</v>
      </c>
      <c r="K80" s="20">
        <v>9.7775438344734308E-5</v>
      </c>
      <c r="L80" s="20">
        <v>0</v>
      </c>
    </row>
    <row r="81" spans="1:12">
      <c r="A81" s="2" t="s">
        <v>440</v>
      </c>
      <c r="B81" s="3" t="s">
        <v>441</v>
      </c>
      <c r="D81" s="20">
        <v>1.8484356788608711E-13</v>
      </c>
      <c r="E81" s="20">
        <v>0.97074337534680988</v>
      </c>
      <c r="F81" s="20">
        <v>9.1259599321180456E-4</v>
      </c>
      <c r="G81" s="20">
        <v>3.5495566600768054E-4</v>
      </c>
      <c r="H81" s="20">
        <v>0</v>
      </c>
      <c r="I81" s="20">
        <v>0.96947582368759044</v>
      </c>
      <c r="J81" s="20">
        <v>2.7740120421246197E-4</v>
      </c>
      <c r="K81" s="20">
        <v>2.897922344879271E-2</v>
      </c>
      <c r="L81" s="20">
        <v>0</v>
      </c>
    </row>
    <row r="82" spans="1:12">
      <c r="A82" s="2" t="s">
        <v>442</v>
      </c>
      <c r="B82" s="3" t="s">
        <v>443</v>
      </c>
      <c r="D82" s="20">
        <v>8.2180301618367058E-5</v>
      </c>
      <c r="E82" s="20">
        <v>0.78465311124574877</v>
      </c>
      <c r="F82" s="20">
        <v>5.4832992209670528E-2</v>
      </c>
      <c r="G82" s="20">
        <v>1.5421886450400955E-2</v>
      </c>
      <c r="H82" s="20">
        <v>0</v>
      </c>
      <c r="I82" s="20">
        <v>0.71439823258567725</v>
      </c>
      <c r="J82" s="20">
        <v>3.5991817076583689E-3</v>
      </c>
      <c r="K82" s="20">
        <v>0.2116655267449746</v>
      </c>
      <c r="L82" s="20">
        <v>0</v>
      </c>
    </row>
    <row r="83" spans="1:12">
      <c r="A83" s="2" t="s">
        <v>444</v>
      </c>
      <c r="B83" s="3" t="s">
        <v>445</v>
      </c>
      <c r="D83" s="20">
        <v>4.9485704859891322E-4</v>
      </c>
      <c r="E83" s="20">
        <v>0.6953333937646331</v>
      </c>
      <c r="F83" s="20">
        <v>0.47157847696738514</v>
      </c>
      <c r="G83" s="20">
        <v>9.9506060099038895E-2</v>
      </c>
      <c r="H83" s="20">
        <v>0</v>
      </c>
      <c r="I83" s="20">
        <v>0.12424885669820911</v>
      </c>
      <c r="J83" s="20">
        <v>2.3006164199732768E-2</v>
      </c>
      <c r="K83" s="20">
        <v>0.28116558498703537</v>
      </c>
      <c r="L83" s="20">
        <v>0</v>
      </c>
    </row>
    <row r="84" spans="1:12">
      <c r="A84" s="2" t="s">
        <v>446</v>
      </c>
      <c r="B84" s="3" t="s">
        <v>447</v>
      </c>
      <c r="D84" s="20">
        <v>5.6666959320514922E-15</v>
      </c>
      <c r="E84" s="20">
        <v>0.93740825809716866</v>
      </c>
      <c r="F84" s="20">
        <v>4.0832326411707424E-3</v>
      </c>
      <c r="G84" s="20">
        <v>1.4180765645031939E-3</v>
      </c>
      <c r="H84" s="20">
        <v>0</v>
      </c>
      <c r="I84" s="20">
        <v>0.93190694889149472</v>
      </c>
      <c r="J84" s="20">
        <v>5.0307855942163988E-4</v>
      </c>
      <c r="K84" s="20">
        <v>6.2088663343403801E-2</v>
      </c>
      <c r="L84" s="20">
        <v>0</v>
      </c>
    </row>
    <row r="85" spans="1:12">
      <c r="A85" s="2" t="s">
        <v>448</v>
      </c>
      <c r="B85" s="3" t="s">
        <v>449</v>
      </c>
      <c r="D85" s="20">
        <v>3.9872414670205794E-8</v>
      </c>
      <c r="E85" s="20">
        <v>0.9876917406706307</v>
      </c>
      <c r="F85" s="20">
        <v>1.6762807286877857E-4</v>
      </c>
      <c r="G85" s="20">
        <v>7.3967732851444194E-5</v>
      </c>
      <c r="H85" s="20">
        <v>0</v>
      </c>
      <c r="I85" s="20">
        <v>0.98745014486491045</v>
      </c>
      <c r="J85" s="20">
        <v>2.2020590806136241E-4</v>
      </c>
      <c r="K85" s="20">
        <v>1.2088013548893141E-2</v>
      </c>
      <c r="L85" s="20">
        <v>0</v>
      </c>
    </row>
    <row r="86" spans="1:12">
      <c r="A86" s="2" t="s">
        <v>450</v>
      </c>
      <c r="B86" s="3" t="s">
        <v>451</v>
      </c>
      <c r="D86" s="20">
        <v>1.4256895527576999E-8</v>
      </c>
      <c r="E86" s="20">
        <v>0.93890529942386103</v>
      </c>
      <c r="F86" s="20">
        <v>3.8913400337703859E-3</v>
      </c>
      <c r="G86" s="20">
        <v>1.3564217263524801E-3</v>
      </c>
      <c r="H86" s="20">
        <v>0</v>
      </c>
      <c r="I86" s="20">
        <v>0.93365753766373816</v>
      </c>
      <c r="J86" s="20">
        <v>4.8983808924228927E-4</v>
      </c>
      <c r="K86" s="20">
        <v>6.0604848230001028E-2</v>
      </c>
      <c r="L86" s="20">
        <v>0</v>
      </c>
    </row>
    <row r="87" spans="1:12">
      <c r="A87" s="2" t="s">
        <v>452</v>
      </c>
      <c r="B87" s="3" t="s">
        <v>453</v>
      </c>
      <c r="D87" s="20">
        <v>4.2121229241067827E-8</v>
      </c>
      <c r="E87" s="20">
        <v>0.78600569098029927</v>
      </c>
      <c r="F87" s="20">
        <v>0.18594103831733305</v>
      </c>
      <c r="G87" s="20">
        <v>0.59961267842890664</v>
      </c>
      <c r="H87" s="20">
        <v>0</v>
      </c>
      <c r="I87" s="20">
        <v>4.5197423405957858E-4</v>
      </c>
      <c r="J87" s="20">
        <v>0.14777514191500848</v>
      </c>
      <c r="K87" s="20">
        <v>6.6219124983462788E-2</v>
      </c>
      <c r="L87" s="20">
        <v>0</v>
      </c>
    </row>
    <row r="88" spans="1:12">
      <c r="A88" s="2" t="s">
        <v>454</v>
      </c>
      <c r="B88" s="3" t="s">
        <v>455</v>
      </c>
      <c r="D88" s="20">
        <v>3.9665447630389116E-5</v>
      </c>
      <c r="E88" s="20">
        <v>0.72552732808940346</v>
      </c>
      <c r="F88" s="20">
        <v>0.10192637400608311</v>
      </c>
      <c r="G88" s="20">
        <v>2.7026022250829528E-2</v>
      </c>
      <c r="H88" s="20">
        <v>0</v>
      </c>
      <c r="I88" s="20">
        <v>0.59657493183249077</v>
      </c>
      <c r="J88" s="20">
        <v>6.2107816350795387E-3</v>
      </c>
      <c r="K88" s="20">
        <v>0.26822222482788666</v>
      </c>
      <c r="L88" s="20">
        <v>0</v>
      </c>
    </row>
    <row r="89" spans="1:12">
      <c r="A89" s="2" t="s">
        <v>456</v>
      </c>
      <c r="B89" s="3" t="s">
        <v>457</v>
      </c>
      <c r="D89" s="20">
        <v>2.7088485036436319E-17</v>
      </c>
      <c r="E89" s="20">
        <v>0.7735290484667402</v>
      </c>
      <c r="F89" s="20">
        <v>6.1923990029666469E-2</v>
      </c>
      <c r="G89" s="20">
        <v>1.722481187744207E-2</v>
      </c>
      <c r="H89" s="20">
        <v>0</v>
      </c>
      <c r="I89" s="20">
        <v>0.69438024655963171</v>
      </c>
      <c r="J89" s="20">
        <v>4.0031730968896001E-3</v>
      </c>
      <c r="K89" s="20">
        <v>0.22246777843637017</v>
      </c>
      <c r="L89" s="20">
        <v>0</v>
      </c>
    </row>
    <row r="90" spans="1:12">
      <c r="A90" s="2" t="s">
        <v>458</v>
      </c>
      <c r="B90" s="3" t="s">
        <v>459</v>
      </c>
      <c r="D90" s="20">
        <v>4.1973626535707715E-29</v>
      </c>
      <c r="E90" s="20">
        <v>0.88188395416191812</v>
      </c>
      <c r="F90" s="20">
        <v>1.4765586730315061E-2</v>
      </c>
      <c r="G90" s="20">
        <v>4.6381657469256937E-3</v>
      </c>
      <c r="H90" s="20">
        <v>0</v>
      </c>
      <c r="I90" s="20">
        <v>0.86248020168467732</v>
      </c>
      <c r="J90" s="20">
        <v>1.2040983757301196E-3</v>
      </c>
      <c r="K90" s="20">
        <v>0.11691194746235173</v>
      </c>
      <c r="L90" s="20">
        <v>0</v>
      </c>
    </row>
    <row r="91" spans="1:12">
      <c r="A91" s="2" t="s">
        <v>460</v>
      </c>
      <c r="B91" s="3" t="s">
        <v>461</v>
      </c>
      <c r="D91" s="20">
        <v>4.6703799891272285E-8</v>
      </c>
      <c r="E91" s="20">
        <v>0.81512574759311063</v>
      </c>
      <c r="F91" s="20">
        <v>0.49377196896047809</v>
      </c>
      <c r="G91" s="20">
        <v>0.3182159815316899</v>
      </c>
      <c r="H91" s="20">
        <v>0</v>
      </c>
      <c r="I91" s="20">
        <v>3.1377971009425901E-3</v>
      </c>
      <c r="J91" s="20">
        <v>7.667237279205763E-2</v>
      </c>
      <c r="K91" s="20">
        <v>0.10820183291103198</v>
      </c>
      <c r="L91" s="20">
        <v>0</v>
      </c>
    </row>
    <row r="92" spans="1:12">
      <c r="A92" s="2" t="s">
        <v>462</v>
      </c>
      <c r="B92" s="3" t="s">
        <v>463</v>
      </c>
      <c r="D92" s="20">
        <v>4.3504554704878564E-9</v>
      </c>
      <c r="E92" s="20">
        <v>0.67273807859658707</v>
      </c>
      <c r="F92" s="20">
        <v>0.40964621138742796</v>
      </c>
      <c r="G92" s="20">
        <v>8.9516789518508624E-2</v>
      </c>
      <c r="H92" s="20">
        <v>0</v>
      </c>
      <c r="I92" s="20">
        <v>0.17357507769065048</v>
      </c>
      <c r="J92" s="20">
        <v>2.0630162140334366E-2</v>
      </c>
      <c r="K92" s="20">
        <v>0.30663175491262312</v>
      </c>
      <c r="L92" s="20">
        <v>0</v>
      </c>
    </row>
    <row r="93" spans="1:12">
      <c r="A93" s="2" t="s">
        <v>464</v>
      </c>
      <c r="B93" s="3" t="s">
        <v>465</v>
      </c>
      <c r="D93" s="20">
        <v>1.9178004603913974E-4</v>
      </c>
      <c r="E93" s="20">
        <v>0.7867285789118541</v>
      </c>
      <c r="F93" s="20">
        <v>0.62961872193139623</v>
      </c>
      <c r="G93" s="20">
        <v>0.11917171486013371</v>
      </c>
      <c r="H93" s="20">
        <v>0</v>
      </c>
      <c r="I93" s="20">
        <v>3.7938142120324113E-2</v>
      </c>
      <c r="J93" s="20">
        <v>2.7860519812845048E-2</v>
      </c>
      <c r="K93" s="20">
        <v>0.18521912122926174</v>
      </c>
      <c r="L93" s="20">
        <v>0</v>
      </c>
    </row>
    <row r="94" spans="1:12">
      <c r="A94" s="2" t="s">
        <v>466</v>
      </c>
      <c r="B94" s="3" t="s">
        <v>467</v>
      </c>
      <c r="D94" s="20">
        <v>1.8331634096270413E-18</v>
      </c>
      <c r="E94" s="20">
        <v>0.99918561369690173</v>
      </c>
      <c r="F94" s="20">
        <v>0.10498988593654536</v>
      </c>
      <c r="G94" s="20">
        <v>1.3797041112963936E-5</v>
      </c>
      <c r="H94" s="20">
        <v>0</v>
      </c>
      <c r="I94" s="20">
        <v>0.89418193071924346</v>
      </c>
      <c r="J94" s="20">
        <v>6.5498253293138525E-4</v>
      </c>
      <c r="K94" s="20">
        <v>1.5940377016690203E-4</v>
      </c>
      <c r="L94" s="20">
        <v>0</v>
      </c>
    </row>
    <row r="95" spans="1:12">
      <c r="A95" s="2" t="s">
        <v>468</v>
      </c>
      <c r="B95" s="3" t="s">
        <v>469</v>
      </c>
      <c r="D95" s="20">
        <v>1.9466248856776627E-18</v>
      </c>
      <c r="E95" s="20">
        <v>0.84949651020493533</v>
      </c>
      <c r="F95" s="20">
        <v>0.67492650867077997</v>
      </c>
      <c r="G95" s="20">
        <v>0.16697522654248659</v>
      </c>
      <c r="H95" s="20">
        <v>0</v>
      </c>
      <c r="I95" s="20">
        <v>7.5947749916687761E-3</v>
      </c>
      <c r="J95" s="20">
        <v>3.9697134024901472E-2</v>
      </c>
      <c r="K95" s="20">
        <v>0.11080635577016312</v>
      </c>
      <c r="L95" s="20">
        <v>0</v>
      </c>
    </row>
    <row r="96" spans="1:12">
      <c r="A96" s="2" t="s">
        <v>470</v>
      </c>
      <c r="B96" s="165">
        <v>354656</v>
      </c>
      <c r="D96" s="20">
        <v>3.685008424806295E-10</v>
      </c>
      <c r="E96" s="20">
        <v>0.96962054740035586</v>
      </c>
      <c r="F96" s="20">
        <v>9.8245507407755629E-4</v>
      </c>
      <c r="G96" s="20">
        <v>3.8002157657624446E-4</v>
      </c>
      <c r="H96" s="20">
        <v>0</v>
      </c>
      <c r="I96" s="20">
        <v>0.96825807074970205</v>
      </c>
      <c r="J96" s="20">
        <v>2.8261317244950333E-4</v>
      </c>
      <c r="K96" s="20">
        <v>3.0096839058693876E-2</v>
      </c>
      <c r="L96" s="20">
        <v>0</v>
      </c>
    </row>
    <row r="97" spans="1:12">
      <c r="A97" s="2" t="s">
        <v>472</v>
      </c>
      <c r="B97" s="3" t="s">
        <v>473</v>
      </c>
      <c r="D97" s="20">
        <v>5.6620521813483796E-10</v>
      </c>
      <c r="E97" s="20">
        <v>0.93664717087133564</v>
      </c>
      <c r="F97" s="20">
        <v>4.1826168468576605E-3</v>
      </c>
      <c r="G97" s="20">
        <v>1.4499186554237256E-3</v>
      </c>
      <c r="H97" s="20">
        <v>0</v>
      </c>
      <c r="I97" s="20">
        <v>0.93101463536905427</v>
      </c>
      <c r="J97" s="20">
        <v>5.0992130273131407E-4</v>
      </c>
      <c r="K97" s="20">
        <v>6.284290725972784E-2</v>
      </c>
      <c r="L97" s="20">
        <v>0</v>
      </c>
    </row>
    <row r="98" spans="1:12">
      <c r="A98" s="2" t="s">
        <v>474</v>
      </c>
      <c r="B98" s="3" t="s">
        <v>475</v>
      </c>
      <c r="D98" s="20">
        <v>4.5478765490296339E-20</v>
      </c>
      <c r="E98" s="20">
        <v>0.83510535638537942</v>
      </c>
      <c r="F98" s="20">
        <v>0.69387762329742919</v>
      </c>
      <c r="G98" s="20">
        <v>0.12336115804075559</v>
      </c>
      <c r="H98" s="20">
        <v>0</v>
      </c>
      <c r="I98" s="20">
        <v>1.7866575047194615E-2</v>
      </c>
      <c r="J98" s="20">
        <v>2.9034813192888313E-2</v>
      </c>
      <c r="K98" s="20">
        <v>0.13585983042173219</v>
      </c>
      <c r="L98" s="20">
        <v>0</v>
      </c>
    </row>
    <row r="99" spans="1:12">
      <c r="A99" s="2" t="s">
        <v>476</v>
      </c>
      <c r="B99" s="3" t="s">
        <v>477</v>
      </c>
      <c r="D99" s="20">
        <v>1.7404055592688694E-7</v>
      </c>
      <c r="E99" s="20">
        <v>0.99141631229072957</v>
      </c>
      <c r="F99" s="20">
        <v>8.2513436854964747E-5</v>
      </c>
      <c r="G99" s="20">
        <v>3.8372512136687128E-5</v>
      </c>
      <c r="H99" s="20">
        <v>0</v>
      </c>
      <c r="I99" s="20">
        <v>0.99129542634173795</v>
      </c>
      <c r="J99" s="20">
        <v>2.1337095971593739E-4</v>
      </c>
      <c r="K99" s="20">
        <v>8.3701427089986832E-3</v>
      </c>
      <c r="L99" s="20">
        <v>0</v>
      </c>
    </row>
    <row r="100" spans="1:12">
      <c r="A100" s="2" t="s">
        <v>478</v>
      </c>
      <c r="B100" s="3" t="s">
        <v>479</v>
      </c>
      <c r="D100" s="20">
        <v>5.0523675755015843E-11</v>
      </c>
      <c r="E100" s="20">
        <v>0.66476861719831515</v>
      </c>
      <c r="F100" s="20">
        <v>0.20824239703418673</v>
      </c>
      <c r="G100" s="20">
        <v>5.0917223017644758E-2</v>
      </c>
      <c r="H100" s="20">
        <v>0</v>
      </c>
      <c r="I100" s="20">
        <v>0.40560899714648363</v>
      </c>
      <c r="J100" s="20">
        <v>1.1654609297465441E-2</v>
      </c>
      <c r="K100" s="20">
        <v>0.32357677345369562</v>
      </c>
      <c r="L100" s="20">
        <v>0</v>
      </c>
    </row>
    <row r="101" spans="1:12">
      <c r="A101" s="2" t="s">
        <v>480</v>
      </c>
      <c r="B101" s="3" t="s">
        <v>481</v>
      </c>
      <c r="D101" s="20">
        <v>4.682507203764466E-11</v>
      </c>
      <c r="E101" s="20">
        <v>0.98576143408661276</v>
      </c>
      <c r="F101" s="20">
        <v>2.230245486214832E-4</v>
      </c>
      <c r="G101" s="20">
        <v>9.6349224724113459E-5</v>
      </c>
      <c r="H101" s="20">
        <v>0</v>
      </c>
      <c r="I101" s="20">
        <v>0.9854420603132672</v>
      </c>
      <c r="J101" s="20">
        <v>2.2460646530775451E-4</v>
      </c>
      <c r="K101" s="20">
        <v>1.4013959401254486E-2</v>
      </c>
      <c r="L101" s="20">
        <v>0</v>
      </c>
    </row>
    <row r="102" spans="1:12">
      <c r="A102" s="2" t="s">
        <v>482</v>
      </c>
      <c r="B102" s="3" t="s">
        <v>483</v>
      </c>
      <c r="D102" s="20">
        <v>2.9433216445512076E-27</v>
      </c>
      <c r="E102" s="20">
        <v>0.99623305816232055</v>
      </c>
      <c r="F102" s="20">
        <v>1.5918859110456534E-5</v>
      </c>
      <c r="G102" s="20">
        <v>8.3600234263350342E-6</v>
      </c>
      <c r="H102" s="20">
        <v>0</v>
      </c>
      <c r="I102" s="20">
        <v>0.9962087792797838</v>
      </c>
      <c r="J102" s="20">
        <v>2.0800627390331632E-4</v>
      </c>
      <c r="K102" s="20">
        <v>3.5589355637759726E-3</v>
      </c>
      <c r="L102" s="20">
        <v>0</v>
      </c>
    </row>
    <row r="103" spans="1:12">
      <c r="A103" s="2" t="s">
        <v>484</v>
      </c>
      <c r="B103" s="3" t="s">
        <v>485</v>
      </c>
      <c r="D103" s="20">
        <v>2.3475799544840022E-13</v>
      </c>
      <c r="E103" s="20">
        <v>0.99168296878738171</v>
      </c>
      <c r="F103" s="20">
        <v>7.7534431590128212E-5</v>
      </c>
      <c r="G103" s="20">
        <v>3.6223479331845227E-5</v>
      </c>
      <c r="H103" s="20">
        <v>0</v>
      </c>
      <c r="I103" s="20">
        <v>0.99156921087645977</v>
      </c>
      <c r="J103" s="20">
        <v>2.129684960193389E-4</v>
      </c>
      <c r="K103" s="20">
        <v>8.1040627163642756E-3</v>
      </c>
      <c r="L103" s="20">
        <v>0</v>
      </c>
    </row>
    <row r="104" spans="1:12">
      <c r="A104" s="2" t="s">
        <v>486</v>
      </c>
      <c r="B104" s="3" t="s">
        <v>487</v>
      </c>
      <c r="D104" s="20">
        <v>2.8885889189282659E-9</v>
      </c>
      <c r="E104" s="20">
        <v>0.9541750236671227</v>
      </c>
      <c r="F104" s="20">
        <v>2.202723351116178E-3</v>
      </c>
      <c r="G104" s="20">
        <v>8.0178053975458075E-4</v>
      </c>
      <c r="H104" s="20">
        <v>0</v>
      </c>
      <c r="I104" s="20">
        <v>0.95117051977625189</v>
      </c>
      <c r="J104" s="20">
        <v>3.7138852066671249E-4</v>
      </c>
      <c r="K104" s="20">
        <v>4.5453584923621539E-2</v>
      </c>
      <c r="L104" s="20">
        <v>0</v>
      </c>
    </row>
    <row r="105" spans="1:12">
      <c r="A105" s="2" t="s">
        <v>488</v>
      </c>
      <c r="B105" s="3" t="s">
        <v>489</v>
      </c>
      <c r="D105" s="20">
        <v>2.3407976828074653E-16</v>
      </c>
      <c r="E105" s="20">
        <v>0.99552325318402113</v>
      </c>
      <c r="F105" s="20">
        <v>2.2575537216702469E-5</v>
      </c>
      <c r="G105" s="20">
        <v>1.1554034210839202E-5</v>
      </c>
      <c r="H105" s="20">
        <v>0</v>
      </c>
      <c r="I105" s="20">
        <v>0.99548912361259356</v>
      </c>
      <c r="J105" s="20">
        <v>2.0853189513588398E-4</v>
      </c>
      <c r="K105" s="20">
        <v>4.2682149208429368E-3</v>
      </c>
      <c r="L105" s="20">
        <v>0</v>
      </c>
    </row>
    <row r="106" spans="1:12">
      <c r="A106" s="2" t="s">
        <v>490</v>
      </c>
      <c r="B106" s="3" t="s">
        <v>491</v>
      </c>
      <c r="D106" s="20">
        <v>1.2703494411427543E-8</v>
      </c>
      <c r="E106" s="20">
        <v>0.85345535094605862</v>
      </c>
      <c r="F106" s="20">
        <v>2.3237928748855566E-2</v>
      </c>
      <c r="G106" s="20">
        <v>7.0354676611973695E-3</v>
      </c>
      <c r="H106" s="20">
        <v>0</v>
      </c>
      <c r="I106" s="20">
        <v>0.82318195453600573</v>
      </c>
      <c r="J106" s="20">
        <v>1.7322862177247163E-3</v>
      </c>
      <c r="K106" s="20">
        <v>0.14481235013272217</v>
      </c>
      <c r="L106" s="20">
        <v>0</v>
      </c>
    </row>
    <row r="107" spans="1:12">
      <c r="A107" s="2" t="s">
        <v>492</v>
      </c>
      <c r="B107" s="3" t="s">
        <v>493</v>
      </c>
      <c r="D107" s="20">
        <v>2.1368576259551101E-16</v>
      </c>
      <c r="E107" s="20">
        <v>0.85112246632877042</v>
      </c>
      <c r="F107" s="20">
        <v>0.71392041646423965</v>
      </c>
      <c r="G107" s="20">
        <v>0.12392112781668056</v>
      </c>
      <c r="H107" s="20">
        <v>0</v>
      </c>
      <c r="I107" s="20">
        <v>1.3280922047850249E-2</v>
      </c>
      <c r="J107" s="20">
        <v>2.9242606961113842E-2</v>
      </c>
      <c r="K107" s="20">
        <v>0.11963492671011564</v>
      </c>
      <c r="L107" s="20">
        <v>0</v>
      </c>
    </row>
    <row r="108" spans="1:12">
      <c r="A108" s="2" t="s">
        <v>291</v>
      </c>
      <c r="B108" s="3" t="s">
        <v>494</v>
      </c>
      <c r="D108" s="20">
        <v>2.9143274450097742E-10</v>
      </c>
      <c r="E108" s="20">
        <v>0.67938316188381531</v>
      </c>
      <c r="F108" s="20">
        <v>0.16920475408097566</v>
      </c>
      <c r="G108" s="20">
        <v>4.2452973681929629E-2</v>
      </c>
      <c r="H108" s="20">
        <v>0</v>
      </c>
      <c r="I108" s="20">
        <v>0.46772543412091</v>
      </c>
      <c r="J108" s="20">
        <v>9.716819956632634E-3</v>
      </c>
      <c r="K108" s="20">
        <v>0.31090001786811944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3.6226433274143413E-9</v>
      </c>
      <c r="E2" s="14">
        <v>3.0855899946320843E-5</v>
      </c>
      <c r="F2" s="14">
        <v>1.4726508484335882E-6</v>
      </c>
      <c r="G2" s="14">
        <v>4.2893881465900313E-7</v>
      </c>
      <c r="H2" s="14">
        <v>0</v>
      </c>
      <c r="I2" s="14">
        <v>1.0201459496639848E-7</v>
      </c>
      <c r="J2" s="14">
        <v>7.1368731522927552E-6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1.2491854918806931E-7</v>
      </c>
      <c r="E3" s="14">
        <v>2.2801298085179257E-8</v>
      </c>
      <c r="F3" s="14">
        <v>8.454757323034034E-6</v>
      </c>
      <c r="G3" s="14">
        <v>2.2908502557647564E-5</v>
      </c>
      <c r="H3" s="14">
        <v>0</v>
      </c>
      <c r="I3" s="14">
        <v>5.6320262446762816E-6</v>
      </c>
      <c r="J3" s="14">
        <v>2.8569940273688807E-6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1.7427249731638561E-16</v>
      </c>
      <c r="E4" s="14">
        <v>1.3965660980001048E-5</v>
      </c>
      <c r="F4" s="14">
        <v>9.9243727946968765E-6</v>
      </c>
      <c r="G4" s="14">
        <v>2.3691830938737862E-6</v>
      </c>
      <c r="H4" s="14">
        <v>0</v>
      </c>
      <c r="I4" s="14">
        <v>5.4268796773394556E-7</v>
      </c>
      <c r="J4" s="14">
        <v>1.3198095163520071E-5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4.605693806128778E-9</v>
      </c>
      <c r="E5" s="14">
        <v>2.6537970229699097E-7</v>
      </c>
      <c r="F5" s="14">
        <v>2.5939958496746322E-5</v>
      </c>
      <c r="G5" s="14">
        <v>7.5277438418084532E-6</v>
      </c>
      <c r="H5" s="14">
        <v>0</v>
      </c>
      <c r="I5" s="14">
        <v>1.7936507179568947E-6</v>
      </c>
      <c r="J5" s="14">
        <v>4.4686615473852133E-6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4.0067730257007325E-10</v>
      </c>
      <c r="E6" s="14">
        <v>1.0038466682843227E-8</v>
      </c>
      <c r="F6" s="14">
        <v>5.3084649750946845E-6</v>
      </c>
      <c r="G6" s="14">
        <v>2.607140953232884E-5</v>
      </c>
      <c r="H6" s="14">
        <v>0</v>
      </c>
      <c r="I6" s="14">
        <v>6.4634519946114038E-6</v>
      </c>
      <c r="J6" s="14">
        <v>2.146234353979671E-6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5.9917236565894252E-10</v>
      </c>
      <c r="E7" s="14">
        <v>2.0348125881547291E-8</v>
      </c>
      <c r="F7" s="14">
        <v>7.9474167990458372E-6</v>
      </c>
      <c r="G7" s="14">
        <v>2.3492084017015003E-5</v>
      </c>
      <c r="H7" s="14">
        <v>0</v>
      </c>
      <c r="I7" s="14">
        <v>5.7825683286334822E-6</v>
      </c>
      <c r="J7" s="14">
        <v>2.7569835570584766E-6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5.7894047555912245E-9</v>
      </c>
      <c r="E8" s="14">
        <v>4.6371009870894016E-8</v>
      </c>
      <c r="F8" s="14">
        <v>1.2373943492583492E-5</v>
      </c>
      <c r="G8" s="14">
        <v>1.9319847045083979E-5</v>
      </c>
      <c r="H8" s="14">
        <v>0</v>
      </c>
      <c r="I8" s="14">
        <v>4.7131274212223903E-6</v>
      </c>
      <c r="J8" s="14">
        <v>3.540921626483664E-6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3.9574677988482318E-9</v>
      </c>
      <c r="E9" s="14">
        <v>2.3168079263401178E-6</v>
      </c>
      <c r="F9" s="14">
        <v>2.3318016467489603E-5</v>
      </c>
      <c r="G9" s="14">
        <v>4.5791741457774355E-6</v>
      </c>
      <c r="H9" s="14">
        <v>0</v>
      </c>
      <c r="I9" s="14">
        <v>1.0663938137241039E-6</v>
      </c>
      <c r="J9" s="14">
        <v>8.7156501788698975E-6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5.9005351083458462E-11</v>
      </c>
      <c r="E10" s="14">
        <v>2.4609570789955678E-7</v>
      </c>
      <c r="F10" s="14">
        <v>2.5337608046898373E-5</v>
      </c>
      <c r="G10" s="14">
        <v>8.0216030864138416E-6</v>
      </c>
      <c r="H10" s="14">
        <v>0</v>
      </c>
      <c r="I10" s="14">
        <v>1.913645960456403E-6</v>
      </c>
      <c r="J10" s="14">
        <v>4.4809881929807467E-6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3.0578303410908645E-9</v>
      </c>
      <c r="E11" s="14">
        <v>2.1628481338229426E-7</v>
      </c>
      <c r="F11" s="14">
        <v>2.4282175881810827E-5</v>
      </c>
      <c r="G11" s="14">
        <v>8.8875724870868464E-6</v>
      </c>
      <c r="H11" s="14">
        <v>0</v>
      </c>
      <c r="I11" s="14">
        <v>2.1245317712303763E-6</v>
      </c>
      <c r="J11" s="14">
        <v>4.4863772161485741E-6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2.0682665430452983E-9</v>
      </c>
      <c r="E12" s="14">
        <v>1.48531698476354E-6</v>
      </c>
      <c r="F12" s="14">
        <v>2.5274392267578882E-5</v>
      </c>
      <c r="G12" s="14">
        <v>4.7750318968442154E-6</v>
      </c>
      <c r="H12" s="14">
        <v>0</v>
      </c>
      <c r="I12" s="14">
        <v>1.1165480728054046E-6</v>
      </c>
      <c r="J12" s="14">
        <v>7.3466425114649252E-6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6.1588100124283016E-9</v>
      </c>
      <c r="E13" s="14">
        <v>2.2225392927839219E-6</v>
      </c>
      <c r="F13" s="14">
        <v>2.3516409928570455E-5</v>
      </c>
      <c r="G13" s="14">
        <v>4.6011519670659382E-6</v>
      </c>
      <c r="H13" s="14">
        <v>0</v>
      </c>
      <c r="I13" s="14">
        <v>1.0719238192450993E-6</v>
      </c>
      <c r="J13" s="14">
        <v>8.5818161823221632E-6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2.0037365822435148E-9</v>
      </c>
      <c r="E14" s="14">
        <v>1.4112152721467628E-7</v>
      </c>
      <c r="F14" s="14">
        <v>2.0721197114950224E-5</v>
      </c>
      <c r="G14" s="14">
        <v>1.1890781463489127E-5</v>
      </c>
      <c r="H14" s="14">
        <v>0</v>
      </c>
      <c r="I14" s="14">
        <v>2.8603663392747569E-6</v>
      </c>
      <c r="J14" s="14">
        <v>4.384529818488974E-6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3.3372280733219902E-12</v>
      </c>
      <c r="E15" s="14">
        <v>2.3083333643323159E-7</v>
      </c>
      <c r="F15" s="14">
        <v>2.4817618439173986E-5</v>
      </c>
      <c r="G15" s="14">
        <v>8.4480341067978043E-6</v>
      </c>
      <c r="H15" s="14">
        <v>0</v>
      </c>
      <c r="I15" s="14">
        <v>2.017417609764937E-6</v>
      </c>
      <c r="J15" s="14">
        <v>4.4860931706019674E-6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1.5059599367674789E-8</v>
      </c>
      <c r="E16" s="14">
        <v>4.8033701956259354E-8</v>
      </c>
      <c r="F16" s="14">
        <v>1.2597594745124192E-5</v>
      </c>
      <c r="G16" s="14">
        <v>1.9106590190203281E-5</v>
      </c>
      <c r="H16" s="14">
        <v>0</v>
      </c>
      <c r="I16" s="14">
        <v>4.6592050367855632E-6</v>
      </c>
      <c r="J16" s="14">
        <v>3.5735167265630313E-6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1.181899451223558E-9</v>
      </c>
      <c r="E17" s="14">
        <v>2.5884106112988286E-7</v>
      </c>
      <c r="F17" s="14">
        <v>2.5742738549063677E-5</v>
      </c>
      <c r="G17" s="14">
        <v>7.6904242943722002E-6</v>
      </c>
      <c r="H17" s="14">
        <v>0</v>
      </c>
      <c r="I17" s="14">
        <v>1.833154635245331E-6</v>
      </c>
      <c r="J17" s="14">
        <v>4.473659560737691E-6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1.1901783535629677E-7</v>
      </c>
      <c r="E18" s="14">
        <v>2.7773121098714998E-6</v>
      </c>
      <c r="F18" s="14">
        <v>2.2319592547796844E-5</v>
      </c>
      <c r="G18" s="14">
        <v>4.4563759061490378E-6</v>
      </c>
      <c r="H18" s="14">
        <v>0</v>
      </c>
      <c r="I18" s="14">
        <v>1.036017246535619E-6</v>
      </c>
      <c r="J18" s="14">
        <v>9.2916843542907094E-6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1.1690497131343967E-11</v>
      </c>
      <c r="E19" s="14">
        <v>2.2786919612227761E-7</v>
      </c>
      <c r="F19" s="14">
        <v>2.4711960127060818E-5</v>
      </c>
      <c r="G19" s="14">
        <v>8.5349847589972911E-6</v>
      </c>
      <c r="H19" s="14">
        <v>0</v>
      </c>
      <c r="I19" s="14">
        <v>2.0385945946931562E-6</v>
      </c>
      <c r="J19" s="14">
        <v>4.4865796326293279E-6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9.3229543636071046E-10</v>
      </c>
      <c r="E20" s="14">
        <v>2.2228297408545241E-6</v>
      </c>
      <c r="F20" s="14">
        <v>2.3519483123232717E-5</v>
      </c>
      <c r="G20" s="14">
        <v>4.6017532593426245E-6</v>
      </c>
      <c r="H20" s="14">
        <v>0</v>
      </c>
      <c r="I20" s="14">
        <v>1.0720639014502343E-6</v>
      </c>
      <c r="J20" s="14">
        <v>8.5829376796835416E-6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1.6861248557521477E-8</v>
      </c>
      <c r="E21" s="14">
        <v>1.603918774803143E-7</v>
      </c>
      <c r="F21" s="14">
        <v>2.1785320092073699E-5</v>
      </c>
      <c r="G21" s="14">
        <v>1.097133562469892E-5</v>
      </c>
      <c r="H21" s="14">
        <v>0</v>
      </c>
      <c r="I21" s="14">
        <v>2.634373015804903E-6</v>
      </c>
      <c r="J21" s="14">
        <v>4.4317181413846384E-6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7.8000956747133905E-8</v>
      </c>
      <c r="E22" s="14">
        <v>2.232608481576564E-5</v>
      </c>
      <c r="F22" s="14">
        <v>4.7772079305919138E-6</v>
      </c>
      <c r="G22" s="14">
        <v>1.2458613124947927E-6</v>
      </c>
      <c r="H22" s="14">
        <v>0</v>
      </c>
      <c r="I22" s="14">
        <v>2.8574608232320221E-7</v>
      </c>
      <c r="J22" s="14">
        <v>1.1287098902077316E-5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3.3337071164794284E-9</v>
      </c>
      <c r="E23" s="14">
        <v>2.8312621475298039E-5</v>
      </c>
      <c r="F23" s="14">
        <v>2.2845552051381245E-6</v>
      </c>
      <c r="G23" s="14">
        <v>6.4017279223572483E-7</v>
      </c>
      <c r="H23" s="14">
        <v>0</v>
      </c>
      <c r="I23" s="14">
        <v>1.4918415851717914E-7</v>
      </c>
      <c r="J23" s="14">
        <v>8.6101326616944609E-6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2.8399556279215498E-9</v>
      </c>
      <c r="E24" s="14">
        <v>6.8265958934110865E-6</v>
      </c>
      <c r="F24" s="14">
        <v>1.6519076693127288E-5</v>
      </c>
      <c r="G24" s="14">
        <v>3.6031415588339599E-6</v>
      </c>
      <c r="H24" s="14">
        <v>0</v>
      </c>
      <c r="I24" s="14">
        <v>8.3051934865296152E-7</v>
      </c>
      <c r="J24" s="14">
        <v>1.2217826550346794E-5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5.1606477365276926E-7</v>
      </c>
      <c r="E25" s="14">
        <v>8.077869930525701E-7</v>
      </c>
      <c r="F25" s="14">
        <v>2.7000911801955139E-5</v>
      </c>
      <c r="G25" s="14">
        <v>4.8537118005009847E-6</v>
      </c>
      <c r="H25" s="14">
        <v>0</v>
      </c>
      <c r="I25" s="14">
        <v>1.1410239510113701E-6</v>
      </c>
      <c r="J25" s="14">
        <v>5.6805006798271689E-6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1.3578284939645426E-8</v>
      </c>
      <c r="E26" s="14">
        <v>1.7438035547782679E-7</v>
      </c>
      <c r="F26" s="14">
        <v>2.2486358636351405E-5</v>
      </c>
      <c r="G26" s="14">
        <v>1.0380414325201176E-5</v>
      </c>
      <c r="H26" s="14">
        <v>0</v>
      </c>
      <c r="I26" s="14">
        <v>2.4894516771014754E-6</v>
      </c>
      <c r="J26" s="14">
        <v>4.4558167209284864E-6</v>
      </c>
      <c r="K26" s="14">
        <v>0</v>
      </c>
    </row>
    <row r="27" spans="1:13">
      <c r="A27" s="2" t="s">
        <v>353</v>
      </c>
      <c r="B27" s="3" t="s">
        <v>354</v>
      </c>
      <c r="D27" s="14">
        <v>8.681844335897825E-8</v>
      </c>
      <c r="E27" s="14">
        <v>2.5133017596602101E-8</v>
      </c>
      <c r="F27" s="14">
        <v>8.9245475874897356E-6</v>
      </c>
      <c r="G27" s="14">
        <v>2.2489601753400148E-5</v>
      </c>
      <c r="H27" s="14">
        <v>0</v>
      </c>
      <c r="I27" s="14">
        <v>5.5234075097855345E-6</v>
      </c>
      <c r="J27" s="14">
        <v>2.9504916883690022E-6</v>
      </c>
      <c r="K27" s="14">
        <v>0</v>
      </c>
    </row>
    <row r="28" spans="1:13">
      <c r="A28" s="2" t="s">
        <v>355</v>
      </c>
      <c r="B28" s="3" t="s">
        <v>356</v>
      </c>
      <c r="D28" s="14">
        <v>4.9683453400192862E-9</v>
      </c>
      <c r="E28" s="14">
        <v>9.383058321580193E-8</v>
      </c>
      <c r="F28" s="14">
        <v>1.740547941976547E-5</v>
      </c>
      <c r="G28" s="14">
        <v>1.47768391334241E-5</v>
      </c>
      <c r="H28" s="14">
        <v>0</v>
      </c>
      <c r="I28" s="14">
        <v>3.5741722599048814E-6</v>
      </c>
      <c r="J28" s="14">
        <v>4.1447102583497306E-6</v>
      </c>
      <c r="K28" s="14">
        <v>0</v>
      </c>
    </row>
    <row r="29" spans="1:13">
      <c r="A29" s="2" t="s">
        <v>357</v>
      </c>
      <c r="B29" s="3" t="s">
        <v>358</v>
      </c>
      <c r="D29" s="14">
        <v>1.021437094877668E-6</v>
      </c>
      <c r="E29" s="14">
        <v>1.4359663614548563E-7</v>
      </c>
      <c r="F29" s="14">
        <v>2.0544039466161281E-5</v>
      </c>
      <c r="G29" s="14">
        <v>1.1287074615938993E-5</v>
      </c>
      <c r="H29" s="14">
        <v>0</v>
      </c>
      <c r="I29" s="14">
        <v>2.7134893055184943E-6</v>
      </c>
      <c r="J29" s="14">
        <v>4.2903628813580865E-6</v>
      </c>
      <c r="K29" s="14">
        <v>0</v>
      </c>
    </row>
    <row r="30" spans="1:13">
      <c r="A30" s="2" t="s">
        <v>359</v>
      </c>
      <c r="B30" s="3" t="s">
        <v>360</v>
      </c>
      <c r="D30" s="14">
        <v>4.9683453400192862E-9</v>
      </c>
      <c r="E30" s="14">
        <v>9.383058321580193E-8</v>
      </c>
      <c r="F30" s="14">
        <v>1.740547941976547E-5</v>
      </c>
      <c r="G30" s="14">
        <v>1.47768391334241E-5</v>
      </c>
      <c r="H30" s="14">
        <v>0</v>
      </c>
      <c r="I30" s="14">
        <v>3.5741722599048814E-6</v>
      </c>
      <c r="J30" s="14">
        <v>4.1447102583497306E-6</v>
      </c>
      <c r="K30" s="14">
        <v>0</v>
      </c>
    </row>
    <row r="31" spans="1:13">
      <c r="A31" s="2" t="s">
        <v>283</v>
      </c>
      <c r="B31" s="3" t="s">
        <v>284</v>
      </c>
      <c r="D31" s="14">
        <v>1.0484607688973383E-12</v>
      </c>
      <c r="E31" s="14">
        <v>3.902157776663221E-5</v>
      </c>
      <c r="F31" s="14">
        <v>2.4011893012802522E-8</v>
      </c>
      <c r="G31" s="14">
        <v>9.6365583409212754E-9</v>
      </c>
      <c r="H31" s="14">
        <v>0</v>
      </c>
      <c r="I31" s="14">
        <v>1.0153776677094591E-8</v>
      </c>
      <c r="J31" s="14">
        <v>9.3461895687620049E-7</v>
      </c>
      <c r="K31" s="14">
        <v>0</v>
      </c>
    </row>
    <row r="32" spans="1:13">
      <c r="A32" s="2" t="s">
        <v>361</v>
      </c>
      <c r="B32" s="3" t="s">
        <v>362</v>
      </c>
      <c r="D32" s="14">
        <v>8.4451988047616593E-13</v>
      </c>
      <c r="E32" s="14">
        <v>1.7190507084278806E-5</v>
      </c>
      <c r="F32" s="14">
        <v>7.7279122582443033E-6</v>
      </c>
      <c r="G32" s="14">
        <v>1.9053766730234598E-6</v>
      </c>
      <c r="H32" s="14">
        <v>0</v>
      </c>
      <c r="I32" s="14">
        <v>4.3843103529326794E-7</v>
      </c>
      <c r="J32" s="14">
        <v>1.2737772104640287E-5</v>
      </c>
      <c r="K32" s="14">
        <v>0</v>
      </c>
    </row>
    <row r="33" spans="1:11">
      <c r="A33" s="2" t="s">
        <v>364</v>
      </c>
      <c r="B33" s="3" t="s">
        <v>365</v>
      </c>
      <c r="D33" s="14">
        <v>4.8275762973442494E-15</v>
      </c>
      <c r="E33" s="14">
        <v>3.9820429498047358E-5</v>
      </c>
      <c r="F33" s="14">
        <v>1.6805348160682663E-7</v>
      </c>
      <c r="G33" s="14">
        <v>5.1389552624992128E-11</v>
      </c>
      <c r="H33" s="14">
        <v>0</v>
      </c>
      <c r="I33" s="14">
        <v>9.1811454017352509E-9</v>
      </c>
      <c r="J33" s="14">
        <v>2.2844805638795635E-9</v>
      </c>
      <c r="K33" s="14">
        <v>0</v>
      </c>
    </row>
    <row r="34" spans="1:11">
      <c r="A34" s="2" t="s">
        <v>285</v>
      </c>
      <c r="B34" s="3" t="s">
        <v>286</v>
      </c>
      <c r="D34" s="14">
        <v>1.432949234165906E-14</v>
      </c>
      <c r="E34" s="14">
        <v>2.1863373730773529E-5</v>
      </c>
      <c r="F34" s="14">
        <v>1.8051726833450099E-5</v>
      </c>
      <c r="G34" s="14">
        <v>1.4824950778904707E-9</v>
      </c>
      <c r="H34" s="14">
        <v>0</v>
      </c>
      <c r="I34" s="14">
        <v>7.5645407770738765E-8</v>
      </c>
      <c r="J34" s="14">
        <v>7.7715185982509303E-9</v>
      </c>
      <c r="K34" s="14">
        <v>0</v>
      </c>
    </row>
    <row r="35" spans="1:11">
      <c r="A35" s="2" t="s">
        <v>287</v>
      </c>
      <c r="B35" s="3" t="s">
        <v>288</v>
      </c>
      <c r="D35" s="14">
        <v>4.1710993962212123E-16</v>
      </c>
      <c r="E35" s="14">
        <v>1.2934431130296384E-5</v>
      </c>
      <c r="F35" s="14">
        <v>2.6938220723934747E-5</v>
      </c>
      <c r="G35" s="14">
        <v>5.2167044145449244E-9</v>
      </c>
      <c r="H35" s="14">
        <v>0</v>
      </c>
      <c r="I35" s="14">
        <v>1.0333356148276587E-7</v>
      </c>
      <c r="J35" s="14">
        <v>1.879787945444592E-8</v>
      </c>
      <c r="K35" s="14">
        <v>0</v>
      </c>
    </row>
    <row r="36" spans="1:11">
      <c r="A36" s="2" t="s">
        <v>366</v>
      </c>
      <c r="B36" s="3" t="s">
        <v>305</v>
      </c>
      <c r="D36" s="14">
        <v>7.3497661108186874E-13</v>
      </c>
      <c r="E36" s="14">
        <v>4.312341766321999E-6</v>
      </c>
      <c r="F36" s="14">
        <v>3.553323491147354E-5</v>
      </c>
      <c r="G36" s="14">
        <v>1.0173643858836596E-8</v>
      </c>
      <c r="H36" s="14">
        <v>0</v>
      </c>
      <c r="I36" s="14">
        <v>1.2325040040930195E-7</v>
      </c>
      <c r="J36" s="14">
        <v>2.0998542959710721E-8</v>
      </c>
      <c r="K36" s="14">
        <v>0</v>
      </c>
    </row>
    <row r="37" spans="1:11">
      <c r="A37" s="2" t="s">
        <v>289</v>
      </c>
      <c r="B37" s="3" t="s">
        <v>290</v>
      </c>
      <c r="D37" s="14">
        <v>1.6646835118940899E-19</v>
      </c>
      <c r="E37" s="14">
        <v>8.2640041193656245E-6</v>
      </c>
      <c r="F37" s="14">
        <v>2.7679108579368289E-5</v>
      </c>
      <c r="G37" s="14">
        <v>9.4497778779498442E-7</v>
      </c>
      <c r="H37" s="14">
        <v>0</v>
      </c>
      <c r="I37" s="14">
        <v>3.030227544754982E-7</v>
      </c>
      <c r="J37" s="14">
        <v>2.8088867589954436E-6</v>
      </c>
      <c r="K37" s="14">
        <v>0</v>
      </c>
    </row>
    <row r="38" spans="1:11">
      <c r="A38" s="2" t="s">
        <v>291</v>
      </c>
      <c r="B38" s="3" t="s">
        <v>292</v>
      </c>
      <c r="D38" s="14">
        <v>4.824264036635609E-17</v>
      </c>
      <c r="E38" s="14">
        <v>2.4486961732664005E-5</v>
      </c>
      <c r="F38" s="14">
        <v>1.5355942486602493E-5</v>
      </c>
      <c r="G38" s="14">
        <v>1.282902125172866E-8</v>
      </c>
      <c r="H38" s="14">
        <v>0</v>
      </c>
      <c r="I38" s="14">
        <v>6.9086095779206798E-8</v>
      </c>
      <c r="J38" s="14">
        <v>7.5180663654324056E-8</v>
      </c>
      <c r="K38" s="14">
        <v>0</v>
      </c>
    </row>
    <row r="39" spans="1:11">
      <c r="A39" s="2" t="s">
        <v>367</v>
      </c>
      <c r="B39" s="3" t="s">
        <v>368</v>
      </c>
      <c r="D39" s="14">
        <v>5.6460077384929006E-10</v>
      </c>
      <c r="E39" s="14">
        <v>4.0217411020063848E-7</v>
      </c>
      <c r="F39" s="14">
        <v>2.9034589080740534E-5</v>
      </c>
      <c r="G39" s="14">
        <v>5.0712058449684817E-6</v>
      </c>
      <c r="H39" s="14">
        <v>0</v>
      </c>
      <c r="I39" s="14">
        <v>1.1998205782805509E-6</v>
      </c>
      <c r="J39" s="14">
        <v>4.2916457850359583E-6</v>
      </c>
      <c r="K39" s="14">
        <v>0</v>
      </c>
    </row>
    <row r="40" spans="1:11">
      <c r="A40" s="2" t="s">
        <v>369</v>
      </c>
      <c r="B40" s="3" t="s">
        <v>370</v>
      </c>
      <c r="D40" s="14">
        <v>3.0455811390242356E-17</v>
      </c>
      <c r="E40" s="14">
        <v>3.3204595271198858E-8</v>
      </c>
      <c r="F40" s="14">
        <v>3.0295614460003899E-5</v>
      </c>
      <c r="G40" s="14">
        <v>2.1917960618473226E-6</v>
      </c>
      <c r="H40" s="14">
        <v>0</v>
      </c>
      <c r="I40" s="14">
        <v>7.3840805220678876E-6</v>
      </c>
      <c r="J40" s="14">
        <v>9.5304360779247243E-8</v>
      </c>
      <c r="K40" s="14">
        <v>0</v>
      </c>
    </row>
    <row r="41" spans="1:11">
      <c r="A41" s="2" t="s">
        <v>371</v>
      </c>
      <c r="B41" s="3" t="s">
        <v>372</v>
      </c>
      <c r="D41" s="14">
        <v>3.271645868851117E-6</v>
      </c>
      <c r="E41" s="14">
        <v>3.6535825889399711E-5</v>
      </c>
      <c r="F41" s="14">
        <v>1.1185116278649605E-9</v>
      </c>
      <c r="G41" s="14">
        <v>5.599329935757124E-10</v>
      </c>
      <c r="H41" s="14">
        <v>0</v>
      </c>
      <c r="I41" s="14">
        <v>7.6821826889834192E-9</v>
      </c>
      <c r="J41" s="14">
        <v>1.8316761443875356E-7</v>
      </c>
      <c r="K41" s="14">
        <v>0</v>
      </c>
    </row>
    <row r="42" spans="1:11">
      <c r="A42" s="2" t="s">
        <v>293</v>
      </c>
      <c r="B42" s="3" t="s">
        <v>294</v>
      </c>
      <c r="D42" s="14">
        <v>6.9562378876520979E-13</v>
      </c>
      <c r="E42" s="14">
        <v>2.0823180612211026E-5</v>
      </c>
      <c r="F42" s="14">
        <v>5.5801855527129151E-6</v>
      </c>
      <c r="G42" s="14">
        <v>1.4313445731230472E-6</v>
      </c>
      <c r="H42" s="14">
        <v>0</v>
      </c>
      <c r="I42" s="14">
        <v>3.2787485358184452E-7</v>
      </c>
      <c r="J42" s="14">
        <v>1.1837413712747381E-5</v>
      </c>
      <c r="K42" s="14">
        <v>0</v>
      </c>
    </row>
    <row r="43" spans="1:11">
      <c r="A43" s="2" t="s">
        <v>373</v>
      </c>
      <c r="B43" s="3" t="s">
        <v>374</v>
      </c>
      <c r="D43" s="14">
        <v>1.7143257987637687E-12</v>
      </c>
      <c r="E43" s="14">
        <v>3.5040610934216996E-7</v>
      </c>
      <c r="F43" s="14">
        <v>3.9339899293198127E-5</v>
      </c>
      <c r="G43" s="14">
        <v>3.3216599126805504E-8</v>
      </c>
      <c r="H43" s="14">
        <v>0</v>
      </c>
      <c r="I43" s="14">
        <v>2.5970880405270831E-7</v>
      </c>
      <c r="J43" s="14">
        <v>1.67674799543927E-8</v>
      </c>
      <c r="K43" s="14">
        <v>0</v>
      </c>
    </row>
    <row r="44" spans="1:11">
      <c r="A44" s="2" t="s">
        <v>375</v>
      </c>
      <c r="B44" s="3" t="s">
        <v>376</v>
      </c>
      <c r="D44" s="14">
        <v>3.401395595559605E-6</v>
      </c>
      <c r="E44" s="14">
        <v>3.0441761954023346E-5</v>
      </c>
      <c r="F44" s="14">
        <v>7.7755543236571355E-7</v>
      </c>
      <c r="G44" s="14">
        <v>2.3715206754026198E-7</v>
      </c>
      <c r="H44" s="14">
        <v>0</v>
      </c>
      <c r="I44" s="14">
        <v>5.8907464270440807E-8</v>
      </c>
      <c r="J44" s="14">
        <v>5.0832274862406326E-6</v>
      </c>
      <c r="K44" s="14">
        <v>0</v>
      </c>
    </row>
    <row r="45" spans="1:11">
      <c r="A45" s="2" t="s">
        <v>377</v>
      </c>
      <c r="B45" s="3" t="s">
        <v>378</v>
      </c>
      <c r="D45" s="14">
        <v>2.6437802157528724E-8</v>
      </c>
      <c r="E45" s="14">
        <v>1.9405193999153284E-5</v>
      </c>
      <c r="F45" s="14">
        <v>6.3518401947328214E-6</v>
      </c>
      <c r="G45" s="14">
        <v>1.605443841619291E-6</v>
      </c>
      <c r="H45" s="14">
        <v>0</v>
      </c>
      <c r="I45" s="14">
        <v>3.6752316830531477E-7</v>
      </c>
      <c r="J45" s="14">
        <v>1.2243560994031761E-5</v>
      </c>
      <c r="K45" s="14">
        <v>0</v>
      </c>
    </row>
    <row r="46" spans="1:11">
      <c r="A46" s="2" t="s">
        <v>379</v>
      </c>
      <c r="B46" s="3" t="s">
        <v>380</v>
      </c>
      <c r="D46" s="14">
        <v>7.9545297463406253E-8</v>
      </c>
      <c r="E46" s="14">
        <v>2.0258493705238036E-5</v>
      </c>
      <c r="F46" s="14">
        <v>5.8517899014963902E-6</v>
      </c>
      <c r="G46" s="14">
        <v>1.4927403781514542E-6</v>
      </c>
      <c r="H46" s="14">
        <v>0</v>
      </c>
      <c r="I46" s="14">
        <v>3.4184093530135495E-7</v>
      </c>
      <c r="J46" s="14">
        <v>1.197558978234936E-5</v>
      </c>
      <c r="K46" s="14">
        <v>0</v>
      </c>
    </row>
    <row r="47" spans="1:11">
      <c r="A47" s="2" t="s">
        <v>381</v>
      </c>
      <c r="B47" s="3" t="s">
        <v>382</v>
      </c>
      <c r="D47" s="14">
        <v>1.4722627492232617E-12</v>
      </c>
      <c r="E47" s="14">
        <v>2.287272794571551E-8</v>
      </c>
      <c r="F47" s="14">
        <v>8.4812436280766739E-6</v>
      </c>
      <c r="G47" s="14">
        <v>2.298026825873503E-5</v>
      </c>
      <c r="H47" s="14">
        <v>0</v>
      </c>
      <c r="I47" s="14">
        <v>5.6496697510981918E-6</v>
      </c>
      <c r="J47" s="14">
        <v>2.8659441618816401E-6</v>
      </c>
      <c r="K47" s="14">
        <v>0</v>
      </c>
    </row>
    <row r="48" spans="1:11">
      <c r="A48" s="2" t="s">
        <v>383</v>
      </c>
      <c r="B48" s="3" t="s">
        <v>384</v>
      </c>
      <c r="D48" s="14">
        <v>4.7059859180887783E-7</v>
      </c>
      <c r="E48" s="14">
        <v>3.610632307508798E-5</v>
      </c>
      <c r="F48" s="14">
        <v>2.5126085783636338E-7</v>
      </c>
      <c r="G48" s="14">
        <v>8.4337435990452221E-8</v>
      </c>
      <c r="H48" s="14">
        <v>0</v>
      </c>
      <c r="I48" s="14">
        <v>2.5988778166228317E-8</v>
      </c>
      <c r="J48" s="14">
        <v>3.0614912611101039E-6</v>
      </c>
      <c r="K48" s="14">
        <v>0</v>
      </c>
    </row>
    <row r="49" spans="1:11">
      <c r="A49" s="2" t="s">
        <v>385</v>
      </c>
      <c r="B49" s="3" t="s">
        <v>386</v>
      </c>
      <c r="D49" s="14">
        <v>8.7842005557031241E-7</v>
      </c>
      <c r="E49" s="14">
        <v>3.4445689570082723E-5</v>
      </c>
      <c r="F49" s="14">
        <v>4.4789525098899181E-7</v>
      </c>
      <c r="G49" s="14">
        <v>1.4357274804159167E-7</v>
      </c>
      <c r="H49" s="14">
        <v>0</v>
      </c>
      <c r="I49" s="14">
        <v>3.8806511587533569E-8</v>
      </c>
      <c r="J49" s="14">
        <v>4.0456158637288527E-6</v>
      </c>
      <c r="K49" s="14">
        <v>0</v>
      </c>
    </row>
    <row r="50" spans="1:11">
      <c r="A50" s="2" t="s">
        <v>387</v>
      </c>
      <c r="B50" s="3" t="s">
        <v>388</v>
      </c>
      <c r="D50" s="14">
        <v>2.5714018713188645E-7</v>
      </c>
      <c r="E50" s="14">
        <v>2.9401033450058837E-6</v>
      </c>
      <c r="F50" s="14">
        <v>2.1920182747204464E-5</v>
      </c>
      <c r="G50" s="14">
        <v>4.4008820184422048E-6</v>
      </c>
      <c r="H50" s="14">
        <v>0</v>
      </c>
      <c r="I50" s="14">
        <v>1.0225363873393118E-6</v>
      </c>
      <c r="J50" s="14">
        <v>9.4591553148762457E-6</v>
      </c>
      <c r="K50" s="14">
        <v>0</v>
      </c>
    </row>
    <row r="51" spans="1:11">
      <c r="A51" s="2" t="s">
        <v>295</v>
      </c>
      <c r="B51" s="3" t="s">
        <v>296</v>
      </c>
      <c r="D51" s="14">
        <v>2.621428334784785E-6</v>
      </c>
      <c r="E51" s="14">
        <v>3.6128558168446586E-5</v>
      </c>
      <c r="F51" s="14">
        <v>4.0514660523442466E-8</v>
      </c>
      <c r="G51" s="14">
        <v>1.5556351931361771E-8</v>
      </c>
      <c r="H51" s="14">
        <v>0</v>
      </c>
      <c r="I51" s="14">
        <v>1.0845383327895333E-8</v>
      </c>
      <c r="J51" s="14">
        <v>1.183097100985939E-6</v>
      </c>
      <c r="K51" s="14">
        <v>0</v>
      </c>
    </row>
    <row r="52" spans="1:11">
      <c r="A52" s="2" t="s">
        <v>389</v>
      </c>
      <c r="B52" s="3" t="s">
        <v>390</v>
      </c>
      <c r="D52" s="14">
        <v>2.7515933685200826E-6</v>
      </c>
      <c r="E52" s="14">
        <v>2.8837452665685248E-5</v>
      </c>
      <c r="F52" s="14">
        <v>1.3423274425518526E-6</v>
      </c>
      <c r="G52" s="14">
        <v>3.9170040840995129E-7</v>
      </c>
      <c r="H52" s="14">
        <v>0</v>
      </c>
      <c r="I52" s="14">
        <v>9.3277326576573104E-8</v>
      </c>
      <c r="J52" s="14">
        <v>6.5836487882562888E-6</v>
      </c>
      <c r="K52" s="14">
        <v>0</v>
      </c>
    </row>
    <row r="53" spans="1:11">
      <c r="A53" s="2" t="s">
        <v>391</v>
      </c>
      <c r="B53" s="3" t="s">
        <v>392</v>
      </c>
      <c r="D53" s="14">
        <v>7.7803150900871367E-8</v>
      </c>
      <c r="E53" s="14">
        <v>1.4968897899034775E-5</v>
      </c>
      <c r="F53" s="14">
        <v>9.1552751386321463E-6</v>
      </c>
      <c r="G53" s="14">
        <v>2.2098711684401851E-6</v>
      </c>
      <c r="H53" s="14">
        <v>0</v>
      </c>
      <c r="I53" s="14">
        <v>5.059887283195853E-7</v>
      </c>
      <c r="J53" s="14">
        <v>1.3082163914672443E-5</v>
      </c>
      <c r="K53" s="14">
        <v>0</v>
      </c>
    </row>
    <row r="54" spans="1:11">
      <c r="A54" s="2" t="s">
        <v>393</v>
      </c>
      <c r="B54" s="3" t="s">
        <v>394</v>
      </c>
      <c r="D54" s="14">
        <v>6.8476789633953527E-9</v>
      </c>
      <c r="E54" s="14">
        <v>3.2207427057015606E-8</v>
      </c>
      <c r="F54" s="14">
        <v>1.0219216645391476E-5</v>
      </c>
      <c r="G54" s="14">
        <v>2.132618447365466E-5</v>
      </c>
      <c r="H54" s="14">
        <v>0</v>
      </c>
      <c r="I54" s="14">
        <v>5.223816373315894E-6</v>
      </c>
      <c r="J54" s="14">
        <v>3.1917274016175608E-6</v>
      </c>
      <c r="K54" s="14">
        <v>0</v>
      </c>
    </row>
    <row r="55" spans="1:11">
      <c r="A55" s="2" t="s">
        <v>395</v>
      </c>
      <c r="B55" s="3" t="s">
        <v>396</v>
      </c>
      <c r="D55" s="14">
        <v>5.2269284950724938E-6</v>
      </c>
      <c r="E55" s="14">
        <v>5.3552432134109329E-6</v>
      </c>
      <c r="F55" s="14">
        <v>1.5056387165497434E-5</v>
      </c>
      <c r="G55" s="14">
        <v>3.2480023082378515E-6</v>
      </c>
      <c r="H55" s="14">
        <v>0</v>
      </c>
      <c r="I55" s="14">
        <v>7.4940169858751613E-7</v>
      </c>
      <c r="J55" s="14">
        <v>1.0364037119193774E-5</v>
      </c>
      <c r="K55" s="14">
        <v>0</v>
      </c>
    </row>
    <row r="56" spans="1:11">
      <c r="A56" s="2" t="s">
        <v>397</v>
      </c>
      <c r="B56" s="3" t="s">
        <v>398</v>
      </c>
      <c r="D56" s="14">
        <v>2.389776662646753E-5</v>
      </c>
      <c r="E56" s="14">
        <v>6.3789611370220826E-7</v>
      </c>
      <c r="F56" s="14">
        <v>1.0070047766560816E-5</v>
      </c>
      <c r="G56" s="14">
        <v>1.9130533696194315E-6</v>
      </c>
      <c r="H56" s="14">
        <v>0</v>
      </c>
      <c r="I56" s="14">
        <v>4.4706747534682758E-7</v>
      </c>
      <c r="J56" s="14">
        <v>3.034168648303189E-6</v>
      </c>
      <c r="K56" s="14">
        <v>0</v>
      </c>
    </row>
    <row r="57" spans="1:11">
      <c r="A57" s="2" t="s">
        <v>399</v>
      </c>
      <c r="B57" s="3" t="s">
        <v>400</v>
      </c>
      <c r="D57" s="14">
        <v>3.0503529744787861E-5</v>
      </c>
      <c r="E57" s="14">
        <v>1.159051511387421E-6</v>
      </c>
      <c r="F57" s="14">
        <v>4.5104961030997138E-6</v>
      </c>
      <c r="G57" s="14">
        <v>9.4999182337894379E-7</v>
      </c>
      <c r="H57" s="14">
        <v>0</v>
      </c>
      <c r="I57" s="14">
        <v>2.1968031476465949E-7</v>
      </c>
      <c r="J57" s="14">
        <v>2.6572505025814036E-6</v>
      </c>
      <c r="K57" s="14">
        <v>0</v>
      </c>
    </row>
    <row r="58" spans="1:11">
      <c r="A58" s="2" t="s">
        <v>297</v>
      </c>
      <c r="B58" s="3" t="s">
        <v>298</v>
      </c>
      <c r="D58" s="14">
        <v>3.7261746612739563E-5</v>
      </c>
      <c r="E58" s="14">
        <v>2.3664419135560604E-6</v>
      </c>
      <c r="F58" s="14">
        <v>3.9512765143388675E-8</v>
      </c>
      <c r="G58" s="14">
        <v>1.2434633189112522E-8</v>
      </c>
      <c r="H58" s="14">
        <v>0</v>
      </c>
      <c r="I58" s="14">
        <v>3.2387792013633322E-9</v>
      </c>
      <c r="J58" s="14">
        <v>3.1662529617051316E-7</v>
      </c>
      <c r="K58" s="14">
        <v>0</v>
      </c>
    </row>
    <row r="59" spans="1:11">
      <c r="A59" s="2" t="s">
        <v>401</v>
      </c>
      <c r="B59" s="3" t="s">
        <v>402</v>
      </c>
      <c r="D59" s="14">
        <v>3.6289993578661773E-5</v>
      </c>
      <c r="E59" s="14">
        <v>4.7832109201876528E-7</v>
      </c>
      <c r="F59" s="14">
        <v>1.7268758110991119E-6</v>
      </c>
      <c r="G59" s="14">
        <v>3.6572669520589487E-7</v>
      </c>
      <c r="H59" s="14">
        <v>0</v>
      </c>
      <c r="I59" s="14">
        <v>8.4527684597707826E-8</v>
      </c>
      <c r="J59" s="14">
        <v>1.0545551384167499E-6</v>
      </c>
      <c r="K59" s="14">
        <v>0</v>
      </c>
    </row>
    <row r="60" spans="1:11">
      <c r="A60" s="2" t="s">
        <v>299</v>
      </c>
      <c r="B60" s="3" t="s">
        <v>300</v>
      </c>
      <c r="D60" s="14">
        <v>3.9920231378917312E-5</v>
      </c>
      <c r="E60" s="14">
        <v>1.7910416708250986E-8</v>
      </c>
      <c r="F60" s="14">
        <v>2.8331349698687127E-8</v>
      </c>
      <c r="G60" s="14">
        <v>6.3762130536509399E-9</v>
      </c>
      <c r="H60" s="14">
        <v>0</v>
      </c>
      <c r="I60" s="14">
        <v>1.4658852523848084E-9</v>
      </c>
      <c r="J60" s="14">
        <v>2.5684756369715362E-8</v>
      </c>
      <c r="K60" s="14">
        <v>0</v>
      </c>
    </row>
    <row r="61" spans="1:11">
      <c r="A61" s="2" t="s">
        <v>403</v>
      </c>
      <c r="B61" s="3" t="s">
        <v>404</v>
      </c>
      <c r="D61" s="14">
        <v>1.761503289006406E-48</v>
      </c>
      <c r="E61" s="14">
        <v>1.1186548219046388E-5</v>
      </c>
      <c r="F61" s="14">
        <v>1.2160674759428682E-5</v>
      </c>
      <c r="G61" s="14">
        <v>2.8135408732484379E-6</v>
      </c>
      <c r="H61" s="14">
        <v>0</v>
      </c>
      <c r="I61" s="14">
        <v>6.4555879885627889E-7</v>
      </c>
      <c r="J61" s="14">
        <v>1.3193677349420216E-5</v>
      </c>
      <c r="K61" s="14">
        <v>0</v>
      </c>
    </row>
    <row r="62" spans="1:11">
      <c r="A62" s="2" t="s">
        <v>405</v>
      </c>
      <c r="B62" s="3" t="s">
        <v>406</v>
      </c>
      <c r="D62" s="14">
        <v>4.0204199455547761E-12</v>
      </c>
      <c r="E62" s="14">
        <v>1.4525933761750422E-7</v>
      </c>
      <c r="F62" s="14">
        <v>2.0962623477482773E-5</v>
      </c>
      <c r="G62" s="14">
        <v>1.1685335584020895E-5</v>
      </c>
      <c r="H62" s="14">
        <v>0</v>
      </c>
      <c r="I62" s="14">
        <v>2.8098043689266544E-6</v>
      </c>
      <c r="J62" s="14">
        <v>4.3969732115322331E-6</v>
      </c>
      <c r="K62" s="14">
        <v>0</v>
      </c>
    </row>
    <row r="63" spans="1:11">
      <c r="A63" s="2" t="s">
        <v>407</v>
      </c>
      <c r="B63" s="3" t="s">
        <v>408</v>
      </c>
      <c r="D63" s="14">
        <v>8.9447431908853819E-10</v>
      </c>
      <c r="E63" s="14">
        <v>1.2332198790640157E-8</v>
      </c>
      <c r="F63" s="14">
        <v>5.9805632954533883E-6</v>
      </c>
      <c r="G63" s="14">
        <v>2.5406079134023702E-5</v>
      </c>
      <c r="H63" s="14">
        <v>0</v>
      </c>
      <c r="I63" s="14">
        <v>6.2856677126104156E-6</v>
      </c>
      <c r="J63" s="14">
        <v>2.3144631848027703E-6</v>
      </c>
      <c r="K63" s="14">
        <v>0</v>
      </c>
    </row>
    <row r="64" spans="1:11">
      <c r="A64" s="2" t="s">
        <v>409</v>
      </c>
      <c r="B64" s="3" t="s">
        <v>410</v>
      </c>
      <c r="D64" s="14">
        <v>1.0898706323982104E-10</v>
      </c>
      <c r="E64" s="14">
        <v>4.2052090542691609E-9</v>
      </c>
      <c r="F64" s="14">
        <v>3.1713864416051276E-6</v>
      </c>
      <c r="G64" s="14">
        <v>2.823219990712649E-5</v>
      </c>
      <c r="H64" s="14">
        <v>0</v>
      </c>
      <c r="I64" s="14">
        <v>7.0579864518456558E-6</v>
      </c>
      <c r="J64" s="14">
        <v>1.5341130033052236E-6</v>
      </c>
      <c r="K64" s="14">
        <v>0</v>
      </c>
    </row>
    <row r="65" spans="1:11">
      <c r="A65" s="2" t="s">
        <v>301</v>
      </c>
      <c r="B65" s="3" t="s">
        <v>302</v>
      </c>
      <c r="D65" s="14">
        <v>1.3313823486935972E-11</v>
      </c>
      <c r="E65" s="14">
        <v>1.1674423277395231E-9</v>
      </c>
      <c r="F65" s="14">
        <v>1.4547119609826694E-6</v>
      </c>
      <c r="G65" s="14">
        <v>3.0038107353721493E-5</v>
      </c>
      <c r="H65" s="14">
        <v>0</v>
      </c>
      <c r="I65" s="14">
        <v>7.5990460646709922E-6</v>
      </c>
      <c r="J65" s="14">
        <v>9.0695386447361592E-7</v>
      </c>
      <c r="K65" s="14">
        <v>0</v>
      </c>
    </row>
    <row r="66" spans="1:11">
      <c r="A66" s="2" t="s">
        <v>303</v>
      </c>
      <c r="B66" s="3" t="s">
        <v>304</v>
      </c>
      <c r="D66" s="14">
        <v>1.2924958895760846E-17</v>
      </c>
      <c r="E66" s="14">
        <v>2.4341190271073956E-9</v>
      </c>
      <c r="F66" s="14">
        <v>2.2793099455336764E-6</v>
      </c>
      <c r="G66" s="14">
        <v>2.9160766870182575E-5</v>
      </c>
      <c r="H66" s="14">
        <v>0</v>
      </c>
      <c r="I66" s="14">
        <v>7.3274707692548704E-6</v>
      </c>
      <c r="J66" s="14">
        <v>1.2300182959888475E-6</v>
      </c>
      <c r="K66" s="14">
        <v>0</v>
      </c>
    </row>
    <row r="67" spans="1:11">
      <c r="A67" s="2" t="s">
        <v>411</v>
      </c>
      <c r="B67" s="3" t="s">
        <v>412</v>
      </c>
      <c r="D67" s="14">
        <v>1.8596676584525649E-7</v>
      </c>
      <c r="E67" s="14">
        <v>3.2416638570760427E-5</v>
      </c>
      <c r="F67" s="14">
        <v>1.0113688031809548E-6</v>
      </c>
      <c r="G67" s="14">
        <v>3.0395207221761263E-7</v>
      </c>
      <c r="H67" s="14">
        <v>0</v>
      </c>
      <c r="I67" s="14">
        <v>7.4242350367235617E-8</v>
      </c>
      <c r="J67" s="14">
        <v>6.0078314376285221E-6</v>
      </c>
      <c r="K67" s="14">
        <v>0</v>
      </c>
    </row>
    <row r="68" spans="1:11">
      <c r="A68" s="2" t="s">
        <v>413</v>
      </c>
      <c r="B68" s="3" t="s">
        <v>414</v>
      </c>
      <c r="D68" s="14">
        <v>3.9857165364297669E-7</v>
      </c>
      <c r="E68" s="14">
        <v>2.9531060889271909E-5</v>
      </c>
      <c r="F68" s="14">
        <v>1.7651459614432528E-6</v>
      </c>
      <c r="G68" s="14">
        <v>5.0568046743223685E-7</v>
      </c>
      <c r="H68" s="14">
        <v>0</v>
      </c>
      <c r="I68" s="14">
        <v>1.1905312781620906E-7</v>
      </c>
      <c r="J68" s="14">
        <v>7.6804879003934241E-6</v>
      </c>
      <c r="K68" s="14">
        <v>0</v>
      </c>
    </row>
    <row r="69" spans="1:11">
      <c r="A69" s="2" t="s">
        <v>415</v>
      </c>
      <c r="B69" s="3" t="s">
        <v>416</v>
      </c>
      <c r="D69" s="14">
        <v>4.4695252654148429E-8</v>
      </c>
      <c r="E69" s="14">
        <v>5.060274044710735E-8</v>
      </c>
      <c r="F69" s="14">
        <v>1.2931104205736657E-5</v>
      </c>
      <c r="G69" s="14">
        <v>1.8777214475839707E-5</v>
      </c>
      <c r="H69" s="14">
        <v>0</v>
      </c>
      <c r="I69" s="14">
        <v>4.5760896846762757E-6</v>
      </c>
      <c r="J69" s="14">
        <v>3.620293640646113E-6</v>
      </c>
      <c r="K69" s="14">
        <v>0</v>
      </c>
    </row>
    <row r="70" spans="1:11">
      <c r="A70" s="2" t="s">
        <v>417</v>
      </c>
      <c r="B70" s="3" t="s">
        <v>418</v>
      </c>
      <c r="D70" s="14">
        <v>1.2413265338664193E-7</v>
      </c>
      <c r="E70" s="14">
        <v>9.9774297644791487E-7</v>
      </c>
      <c r="F70" s="14">
        <v>2.6629330856911406E-5</v>
      </c>
      <c r="G70" s="14">
        <v>4.8669379459898239E-6</v>
      </c>
      <c r="H70" s="14">
        <v>0</v>
      </c>
      <c r="I70" s="14">
        <v>1.1420876104963257E-6</v>
      </c>
      <c r="J70" s="14">
        <v>6.2397679567678906E-6</v>
      </c>
      <c r="K70" s="14">
        <v>0</v>
      </c>
    </row>
    <row r="71" spans="1:11">
      <c r="A71" s="2" t="s">
        <v>419</v>
      </c>
      <c r="B71" s="3" t="s">
        <v>420</v>
      </c>
      <c r="D71" s="14">
        <v>9.786615493431248E-7</v>
      </c>
      <c r="E71" s="14">
        <v>2.9555966538975219E-5</v>
      </c>
      <c r="F71" s="14">
        <v>1.5984782838680156E-6</v>
      </c>
      <c r="G71" s="14">
        <v>4.6132001333508163E-7</v>
      </c>
      <c r="H71" s="14">
        <v>0</v>
      </c>
      <c r="I71" s="14">
        <v>1.0906790798153285E-7</v>
      </c>
      <c r="J71" s="14">
        <v>7.2965057064970293E-6</v>
      </c>
      <c r="K71" s="14">
        <v>0</v>
      </c>
    </row>
    <row r="72" spans="1:11">
      <c r="A72" s="2" t="s">
        <v>421</v>
      </c>
      <c r="B72" s="3" t="s">
        <v>422</v>
      </c>
      <c r="D72" s="14">
        <v>5.2045718334770209E-7</v>
      </c>
      <c r="E72" s="14">
        <v>1.1532876664767988E-6</v>
      </c>
      <c r="F72" s="14">
        <v>2.5838019516292139E-5</v>
      </c>
      <c r="G72" s="14">
        <v>4.7835991198377326E-6</v>
      </c>
      <c r="H72" s="14">
        <v>0</v>
      </c>
      <c r="I72" s="14">
        <v>1.1209763116970235E-6</v>
      </c>
      <c r="J72" s="14">
        <v>6.5836602023486079E-6</v>
      </c>
      <c r="K72" s="14">
        <v>0</v>
      </c>
    </row>
    <row r="73" spans="1:11">
      <c r="A73" s="2" t="s">
        <v>423</v>
      </c>
      <c r="B73" s="3" t="s">
        <v>424</v>
      </c>
      <c r="D73" s="14">
        <v>5.1268212273990554E-7</v>
      </c>
      <c r="E73" s="14">
        <v>1.0288707349538853E-5</v>
      </c>
      <c r="F73" s="14">
        <v>1.2674253483662345E-5</v>
      </c>
      <c r="G73" s="14">
        <v>2.9054803598541116E-6</v>
      </c>
      <c r="H73" s="14">
        <v>0</v>
      </c>
      <c r="I73" s="14">
        <v>6.670634082897567E-7</v>
      </c>
      <c r="J73" s="14">
        <v>1.2951813275915034E-5</v>
      </c>
      <c r="K73" s="14">
        <v>0</v>
      </c>
    </row>
    <row r="74" spans="1:11">
      <c r="A74" s="2" t="s">
        <v>425</v>
      </c>
      <c r="B74" s="3" t="s">
        <v>426</v>
      </c>
      <c r="D74" s="14">
        <v>1.9156533118424215E-7</v>
      </c>
      <c r="E74" s="14">
        <v>1.0412848634199576E-6</v>
      </c>
      <c r="F74" s="14">
        <v>2.6435719170524246E-5</v>
      </c>
      <c r="G74" s="14">
        <v>4.8493852262052082E-6</v>
      </c>
      <c r="H74" s="14">
        <v>0</v>
      </c>
      <c r="I74" s="14">
        <v>1.1375174493434676E-6</v>
      </c>
      <c r="J74" s="14">
        <v>6.3445279593228765E-6</v>
      </c>
      <c r="K74" s="14">
        <v>0</v>
      </c>
    </row>
    <row r="75" spans="1:11">
      <c r="A75" s="2" t="s">
        <v>427</v>
      </c>
      <c r="B75" s="3" t="s">
        <v>428</v>
      </c>
      <c r="D75" s="14">
        <v>2.1559908433195121E-14</v>
      </c>
      <c r="E75" s="14">
        <v>1.6915294753466858E-7</v>
      </c>
      <c r="F75" s="14">
        <v>3.8960197001380303E-5</v>
      </c>
      <c r="G75" s="14">
        <v>1.5033889481237089E-8</v>
      </c>
      <c r="H75" s="14">
        <v>0</v>
      </c>
      <c r="I75" s="14">
        <v>8.5234285381143575E-7</v>
      </c>
      <c r="J75" s="14">
        <v>3.2732862324516483E-9</v>
      </c>
      <c r="K75" s="14">
        <v>0</v>
      </c>
    </row>
    <row r="76" spans="1:11">
      <c r="A76" s="2" t="s">
        <v>429</v>
      </c>
      <c r="B76" s="3" t="s">
        <v>430</v>
      </c>
      <c r="D76" s="14">
        <v>5.4156041486388559E-16</v>
      </c>
      <c r="E76" s="14">
        <v>1.6915294762355151E-7</v>
      </c>
      <c r="F76" s="14">
        <v>3.8960197021852276E-5</v>
      </c>
      <c r="G76" s="14">
        <v>1.5033889489136776E-8</v>
      </c>
      <c r="H76" s="14">
        <v>0</v>
      </c>
      <c r="I76" s="14">
        <v>8.5234285425930653E-7</v>
      </c>
      <c r="J76" s="14">
        <v>3.2732862341716248E-9</v>
      </c>
      <c r="K76" s="14">
        <v>0</v>
      </c>
    </row>
    <row r="77" spans="1:11">
      <c r="A77" s="2" t="s">
        <v>431</v>
      </c>
      <c r="B77" s="3" t="s">
        <v>432</v>
      </c>
      <c r="D77" s="14">
        <v>9.2871199368985041E-7</v>
      </c>
      <c r="E77" s="14">
        <v>3.9539729580597642E-6</v>
      </c>
      <c r="F77" s="14">
        <v>1.9758559044045007E-5</v>
      </c>
      <c r="G77" s="14">
        <v>4.0855527713370626E-6</v>
      </c>
      <c r="H77" s="14">
        <v>0</v>
      </c>
      <c r="I77" s="14">
        <v>9.4645818601474769E-7</v>
      </c>
      <c r="J77" s="14">
        <v>1.0326745046853565E-5</v>
      </c>
      <c r="K77" s="14">
        <v>0</v>
      </c>
    </row>
    <row r="78" spans="1:11">
      <c r="A78" s="2" t="s">
        <v>433</v>
      </c>
      <c r="B78" s="3" t="s">
        <v>434</v>
      </c>
      <c r="D78" s="14">
        <v>1.3235343086580282E-6</v>
      </c>
      <c r="E78" s="14">
        <v>2.0804047856401617E-5</v>
      </c>
      <c r="F78" s="14">
        <v>5.0443988551916371E-6</v>
      </c>
      <c r="G78" s="14">
        <v>1.3034818064908416E-6</v>
      </c>
      <c r="H78" s="14">
        <v>0</v>
      </c>
      <c r="I78" s="14">
        <v>2.9872931892201208E-7</v>
      </c>
      <c r="J78" s="14">
        <v>1.1225807854335868E-5</v>
      </c>
      <c r="K78" s="14">
        <v>0</v>
      </c>
    </row>
    <row r="79" spans="1:11">
      <c r="A79" s="2" t="s">
        <v>435</v>
      </c>
      <c r="B79" s="3" t="s">
        <v>436</v>
      </c>
      <c r="D79" s="14">
        <v>3.0793453310724201E-7</v>
      </c>
      <c r="E79" s="14">
        <v>1.4538882806742498E-5</v>
      </c>
      <c r="F79" s="14">
        <v>9.3482993353464057E-6</v>
      </c>
      <c r="G79" s="14">
        <v>2.2481649131862994E-6</v>
      </c>
      <c r="H79" s="14">
        <v>0</v>
      </c>
      <c r="I79" s="14">
        <v>5.148205072527615E-7</v>
      </c>
      <c r="J79" s="14">
        <v>1.3041897904364796E-5</v>
      </c>
      <c r="K79" s="14">
        <v>0</v>
      </c>
    </row>
    <row r="80" spans="1:11">
      <c r="A80" s="2" t="s">
        <v>437</v>
      </c>
      <c r="B80" s="3" t="s">
        <v>438</v>
      </c>
      <c r="D80" s="14">
        <v>7.567504557262076E-15</v>
      </c>
      <c r="E80" s="14">
        <v>1.1243081245957671E-7</v>
      </c>
      <c r="F80" s="14">
        <v>3.8231991710416106E-5</v>
      </c>
      <c r="G80" s="14">
        <v>2.8338517864193016E-8</v>
      </c>
      <c r="H80" s="14">
        <v>0</v>
      </c>
      <c r="I80" s="14">
        <v>1.6233279341588311E-6</v>
      </c>
      <c r="J80" s="14">
        <v>3.9110175337893727E-9</v>
      </c>
      <c r="K80" s="14">
        <v>0</v>
      </c>
    </row>
    <row r="81" spans="1:11">
      <c r="A81" s="2" t="s">
        <v>440</v>
      </c>
      <c r="B81" s="3" t="s">
        <v>441</v>
      </c>
      <c r="D81" s="14">
        <v>7.3937427154434856E-18</v>
      </c>
      <c r="E81" s="14">
        <v>3.8779032947503621E-5</v>
      </c>
      <c r="F81" s="14">
        <v>3.6503839728472189E-8</v>
      </c>
      <c r="G81" s="14">
        <v>1.4198226640307223E-8</v>
      </c>
      <c r="H81" s="14">
        <v>0</v>
      </c>
      <c r="I81" s="14">
        <v>1.109604816849848E-8</v>
      </c>
      <c r="J81" s="14">
        <v>1.1591689379517084E-6</v>
      </c>
      <c r="K81" s="14">
        <v>0</v>
      </c>
    </row>
    <row r="82" spans="1:11">
      <c r="A82" s="2" t="s">
        <v>442</v>
      </c>
      <c r="B82" s="3" t="s">
        <v>443</v>
      </c>
      <c r="D82" s="14">
        <v>3.2872120647346829E-9</v>
      </c>
      <c r="E82" s="14">
        <v>2.8575929303427091E-5</v>
      </c>
      <c r="F82" s="14">
        <v>2.1933196883868214E-6</v>
      </c>
      <c r="G82" s="14">
        <v>6.1687545801603824E-7</v>
      </c>
      <c r="H82" s="14">
        <v>0</v>
      </c>
      <c r="I82" s="14">
        <v>1.4396726830633476E-7</v>
      </c>
      <c r="J82" s="14">
        <v>8.4666210697989846E-6</v>
      </c>
      <c r="K82" s="14">
        <v>0</v>
      </c>
    </row>
    <row r="83" spans="1:11">
      <c r="A83" s="2" t="s">
        <v>444</v>
      </c>
      <c r="B83" s="3" t="s">
        <v>445</v>
      </c>
      <c r="D83" s="14">
        <v>1.9794281943956531E-8</v>
      </c>
      <c r="E83" s="14">
        <v>4.9699542679283643E-6</v>
      </c>
      <c r="F83" s="14">
        <v>1.8863139078695408E-5</v>
      </c>
      <c r="G83" s="14">
        <v>3.9802424039615562E-6</v>
      </c>
      <c r="H83" s="14">
        <v>0</v>
      </c>
      <c r="I83" s="14">
        <v>9.202465679893108E-7</v>
      </c>
      <c r="J83" s="14">
        <v>1.1246623399481417E-5</v>
      </c>
      <c r="K83" s="14">
        <v>0</v>
      </c>
    </row>
    <row r="84" spans="1:11">
      <c r="A84" s="2" t="s">
        <v>446</v>
      </c>
      <c r="B84" s="3" t="s">
        <v>447</v>
      </c>
      <c r="D84" s="14">
        <v>2.2666783728205974E-19</v>
      </c>
      <c r="E84" s="14">
        <v>3.7276277955659791E-5</v>
      </c>
      <c r="F84" s="14">
        <v>1.6332930564682971E-7</v>
      </c>
      <c r="G84" s="14">
        <v>5.6723062580127761E-8</v>
      </c>
      <c r="H84" s="14">
        <v>0</v>
      </c>
      <c r="I84" s="14">
        <v>2.0123142376865598E-8</v>
      </c>
      <c r="J84" s="14">
        <v>2.4835465337361523E-6</v>
      </c>
      <c r="K84" s="14">
        <v>0</v>
      </c>
    </row>
    <row r="85" spans="1:11">
      <c r="A85" s="2" t="s">
        <v>448</v>
      </c>
      <c r="B85" s="3" t="s">
        <v>449</v>
      </c>
      <c r="D85" s="14">
        <v>1.5948965868082321E-12</v>
      </c>
      <c r="E85" s="14">
        <v>3.9498005794596425E-5</v>
      </c>
      <c r="F85" s="14">
        <v>6.7051229147511431E-9</v>
      </c>
      <c r="G85" s="14">
        <v>2.958709314057768E-9</v>
      </c>
      <c r="H85" s="14">
        <v>0</v>
      </c>
      <c r="I85" s="14">
        <v>8.8082363224544971E-9</v>
      </c>
      <c r="J85" s="14">
        <v>4.8352054195572568E-7</v>
      </c>
      <c r="K85" s="14">
        <v>0</v>
      </c>
    </row>
    <row r="86" spans="1:11">
      <c r="A86" s="2" t="s">
        <v>450</v>
      </c>
      <c r="B86" s="3" t="s">
        <v>451</v>
      </c>
      <c r="D86" s="14">
        <v>5.7027582110308002E-13</v>
      </c>
      <c r="E86" s="14">
        <v>3.7346301506549529E-5</v>
      </c>
      <c r="F86" s="14">
        <v>1.5565360135081546E-7</v>
      </c>
      <c r="G86" s="14">
        <v>5.4256869054099215E-8</v>
      </c>
      <c r="H86" s="14">
        <v>0</v>
      </c>
      <c r="I86" s="14">
        <v>1.959352356969157E-8</v>
      </c>
      <c r="J86" s="14">
        <v>2.4241939292000411E-6</v>
      </c>
      <c r="K86" s="14">
        <v>0</v>
      </c>
    </row>
    <row r="87" spans="1:11">
      <c r="A87" s="2" t="s">
        <v>452</v>
      </c>
      <c r="B87" s="3" t="s">
        <v>453</v>
      </c>
      <c r="D87" s="14">
        <v>1.6848491696427132E-12</v>
      </c>
      <c r="E87" s="14">
        <v>1.8078969362383144E-8</v>
      </c>
      <c r="F87" s="14">
        <v>7.4376415326933228E-6</v>
      </c>
      <c r="G87" s="14">
        <v>2.398450713715627E-5</v>
      </c>
      <c r="H87" s="14">
        <v>0</v>
      </c>
      <c r="I87" s="14">
        <v>5.9110056766003402E-6</v>
      </c>
      <c r="J87" s="14">
        <v>2.6487649993385118E-6</v>
      </c>
      <c r="K87" s="14">
        <v>0</v>
      </c>
    </row>
    <row r="88" spans="1:11">
      <c r="A88" s="2" t="s">
        <v>454</v>
      </c>
      <c r="B88" s="3" t="s">
        <v>455</v>
      </c>
      <c r="D88" s="14">
        <v>1.5866179052155648E-9</v>
      </c>
      <c r="E88" s="14">
        <v>2.3862997273299636E-5</v>
      </c>
      <c r="F88" s="14">
        <v>4.077054960243325E-6</v>
      </c>
      <c r="G88" s="14">
        <v>1.0810408900331812E-6</v>
      </c>
      <c r="H88" s="14">
        <v>0</v>
      </c>
      <c r="I88" s="14">
        <v>2.4843126540318153E-7</v>
      </c>
      <c r="J88" s="14">
        <v>1.0728888993115467E-5</v>
      </c>
      <c r="K88" s="14">
        <v>0</v>
      </c>
    </row>
    <row r="89" spans="1:11">
      <c r="A89" s="2" t="s">
        <v>456</v>
      </c>
      <c r="B89" s="3" t="s">
        <v>457</v>
      </c>
      <c r="D89" s="14">
        <v>1.0835394014574527E-21</v>
      </c>
      <c r="E89" s="14">
        <v>2.777520986238527E-5</v>
      </c>
      <c r="F89" s="14">
        <v>2.476959601186659E-6</v>
      </c>
      <c r="G89" s="14">
        <v>6.8899247509768292E-7</v>
      </c>
      <c r="H89" s="14">
        <v>0</v>
      </c>
      <c r="I89" s="14">
        <v>1.6012692387558402E-7</v>
      </c>
      <c r="J89" s="14">
        <v>8.8987111374548077E-6</v>
      </c>
      <c r="K89" s="14">
        <v>0</v>
      </c>
    </row>
    <row r="90" spans="1:11">
      <c r="A90" s="2" t="s">
        <v>458</v>
      </c>
      <c r="B90" s="3" t="s">
        <v>459</v>
      </c>
      <c r="D90" s="14">
        <v>1.6789450614283087E-33</v>
      </c>
      <c r="E90" s="14">
        <v>3.4499208067387094E-5</v>
      </c>
      <c r="F90" s="14">
        <v>5.9062346921260253E-7</v>
      </c>
      <c r="G90" s="14">
        <v>1.8552662987702778E-7</v>
      </c>
      <c r="H90" s="14">
        <v>0</v>
      </c>
      <c r="I90" s="14">
        <v>4.8163935029204792E-8</v>
      </c>
      <c r="J90" s="14">
        <v>4.6764778984940694E-6</v>
      </c>
      <c r="K90" s="14">
        <v>0</v>
      </c>
    </row>
    <row r="91" spans="1:11">
      <c r="A91" s="2" t="s">
        <v>460</v>
      </c>
      <c r="B91" s="3" t="s">
        <v>461</v>
      </c>
      <c r="D91" s="14">
        <v>1.8681519956508918E-12</v>
      </c>
      <c r="E91" s="14">
        <v>1.255118840377036E-7</v>
      </c>
      <c r="F91" s="14">
        <v>1.9750878758419126E-5</v>
      </c>
      <c r="G91" s="14">
        <v>1.2728639261267598E-5</v>
      </c>
      <c r="H91" s="14">
        <v>0</v>
      </c>
      <c r="I91" s="14">
        <v>3.0668949116823059E-6</v>
      </c>
      <c r="J91" s="14">
        <v>4.3280733164412799E-6</v>
      </c>
      <c r="K91" s="14">
        <v>0</v>
      </c>
    </row>
    <row r="92" spans="1:11">
      <c r="A92" s="2" t="s">
        <v>462</v>
      </c>
      <c r="B92" s="3" t="s">
        <v>463</v>
      </c>
      <c r="D92" s="14">
        <v>1.7401821881951428E-13</v>
      </c>
      <c r="E92" s="14">
        <v>6.9430031076260198E-6</v>
      </c>
      <c r="F92" s="14">
        <v>1.638584845549712E-5</v>
      </c>
      <c r="G92" s="14">
        <v>3.580671580740345E-6</v>
      </c>
      <c r="H92" s="14">
        <v>0</v>
      </c>
      <c r="I92" s="14">
        <v>8.2520648561337464E-7</v>
      </c>
      <c r="J92" s="14">
        <v>1.2265270196504926E-5</v>
      </c>
      <c r="K92" s="14">
        <v>0</v>
      </c>
    </row>
    <row r="93" spans="1:11">
      <c r="A93" s="2" t="s">
        <v>464</v>
      </c>
      <c r="B93" s="3" t="s">
        <v>465</v>
      </c>
      <c r="D93" s="14">
        <v>7.6712018415655903E-9</v>
      </c>
      <c r="E93" s="14">
        <v>1.5175256848129645E-6</v>
      </c>
      <c r="F93" s="14">
        <v>2.5184748877255853E-5</v>
      </c>
      <c r="G93" s="14">
        <v>4.7668685944053487E-6</v>
      </c>
      <c r="H93" s="14">
        <v>0</v>
      </c>
      <c r="I93" s="14">
        <v>1.114420792513802E-6</v>
      </c>
      <c r="J93" s="14">
        <v>7.4087648491704696E-6</v>
      </c>
      <c r="K93" s="14">
        <v>0</v>
      </c>
    </row>
    <row r="94" spans="1:11">
      <c r="A94" s="2" t="s">
        <v>466</v>
      </c>
      <c r="B94" s="3" t="s">
        <v>467</v>
      </c>
      <c r="D94" s="14">
        <v>7.3326536385081654E-23</v>
      </c>
      <c r="E94" s="14">
        <v>3.5767277228769744E-5</v>
      </c>
      <c r="F94" s="14">
        <v>4.1995954374618149E-6</v>
      </c>
      <c r="G94" s="14">
        <v>5.5188164451855746E-10</v>
      </c>
      <c r="H94" s="14">
        <v>0</v>
      </c>
      <c r="I94" s="14">
        <v>2.6199301317255411E-8</v>
      </c>
      <c r="J94" s="14">
        <v>6.3761508066760817E-9</v>
      </c>
      <c r="K94" s="14">
        <v>0</v>
      </c>
    </row>
    <row r="95" spans="1:11">
      <c r="A95" s="2" t="s">
        <v>468</v>
      </c>
      <c r="B95" s="3" t="s">
        <v>469</v>
      </c>
      <c r="D95" s="14">
        <v>7.7864995427106519E-23</v>
      </c>
      <c r="E95" s="14">
        <v>3.0379099966675106E-7</v>
      </c>
      <c r="F95" s="14">
        <v>2.6997060346831203E-5</v>
      </c>
      <c r="G95" s="14">
        <v>6.6790090616994642E-6</v>
      </c>
      <c r="H95" s="14">
        <v>0</v>
      </c>
      <c r="I95" s="14">
        <v>1.587885360996059E-6</v>
      </c>
      <c r="J95" s="14">
        <v>4.4322542308065254E-6</v>
      </c>
      <c r="K95" s="14">
        <v>0</v>
      </c>
    </row>
    <row r="96" spans="1:11">
      <c r="A96" s="2" t="s">
        <v>470</v>
      </c>
      <c r="B96" s="165">
        <v>354656</v>
      </c>
      <c r="D96" s="14">
        <v>1.4740033699225183E-14</v>
      </c>
      <c r="E96" s="14">
        <v>3.8730322829988087E-5</v>
      </c>
      <c r="F96" s="14">
        <v>3.929820296310226E-8</v>
      </c>
      <c r="G96" s="14">
        <v>1.5200863063049782E-8</v>
      </c>
      <c r="H96" s="14">
        <v>0</v>
      </c>
      <c r="I96" s="14">
        <v>1.1304526897980135E-8</v>
      </c>
      <c r="J96" s="14">
        <v>1.2038735623477551E-6</v>
      </c>
      <c r="K96" s="14">
        <v>0</v>
      </c>
    </row>
    <row r="97" spans="1:11">
      <c r="A97" s="2" t="s">
        <v>472</v>
      </c>
      <c r="B97" s="3" t="s">
        <v>473</v>
      </c>
      <c r="D97" s="14">
        <v>2.2648208725393522E-14</v>
      </c>
      <c r="E97" s="14">
        <v>3.7240585414762174E-5</v>
      </c>
      <c r="F97" s="14">
        <v>1.6730467387430641E-7</v>
      </c>
      <c r="G97" s="14">
        <v>5.7996746216949025E-8</v>
      </c>
      <c r="H97" s="14">
        <v>0</v>
      </c>
      <c r="I97" s="14">
        <v>2.0396852109252566E-8</v>
      </c>
      <c r="J97" s="14">
        <v>2.513716290389114E-6</v>
      </c>
      <c r="K97" s="14">
        <v>0</v>
      </c>
    </row>
    <row r="98" spans="1:11">
      <c r="A98" s="2" t="s">
        <v>474</v>
      </c>
      <c r="B98" s="3" t="s">
        <v>475</v>
      </c>
      <c r="D98" s="14">
        <v>1.8191506196118538E-24</v>
      </c>
      <c r="E98" s="14">
        <v>7.1466300188778471E-7</v>
      </c>
      <c r="F98" s="14">
        <v>2.775510493189717E-5</v>
      </c>
      <c r="G98" s="14">
        <v>4.9344463216302242E-6</v>
      </c>
      <c r="H98" s="14">
        <v>0</v>
      </c>
      <c r="I98" s="14">
        <v>1.1613925277155327E-6</v>
      </c>
      <c r="J98" s="14">
        <v>5.4343932168692887E-6</v>
      </c>
      <c r="K98" s="14">
        <v>0</v>
      </c>
    </row>
    <row r="99" spans="1:11">
      <c r="A99" s="2" t="s">
        <v>476</v>
      </c>
      <c r="B99" s="3" t="s">
        <v>477</v>
      </c>
      <c r="D99" s="14">
        <v>6.9616222370754787E-12</v>
      </c>
      <c r="E99" s="14">
        <v>3.9651817053669524E-5</v>
      </c>
      <c r="F99" s="14">
        <v>3.3005374741985901E-9</v>
      </c>
      <c r="G99" s="14">
        <v>1.5349004854674854E-9</v>
      </c>
      <c r="H99" s="14">
        <v>0</v>
      </c>
      <c r="I99" s="14">
        <v>8.5348383886374961E-9</v>
      </c>
      <c r="J99" s="14">
        <v>3.3480570835994735E-7</v>
      </c>
      <c r="K99" s="14">
        <v>0</v>
      </c>
    </row>
    <row r="100" spans="1:11">
      <c r="A100" s="2" t="s">
        <v>478</v>
      </c>
      <c r="B100" s="3" t="s">
        <v>479</v>
      </c>
      <c r="D100" s="14">
        <v>2.0209470302006341E-15</v>
      </c>
      <c r="E100" s="14">
        <v>1.6224359885859346E-5</v>
      </c>
      <c r="F100" s="14">
        <v>8.3296958813674707E-6</v>
      </c>
      <c r="G100" s="14">
        <v>2.0366889207057906E-6</v>
      </c>
      <c r="H100" s="14">
        <v>0</v>
      </c>
      <c r="I100" s="14">
        <v>4.6618437189861771E-7</v>
      </c>
      <c r="J100" s="14">
        <v>1.2943070938147827E-5</v>
      </c>
      <c r="K100" s="14">
        <v>0</v>
      </c>
    </row>
    <row r="101" spans="1:11">
      <c r="A101" s="2" t="s">
        <v>480</v>
      </c>
      <c r="B101" s="3" t="s">
        <v>481</v>
      </c>
      <c r="D101" s="14">
        <v>1.8730028815057865E-15</v>
      </c>
      <c r="E101" s="14">
        <v>3.9417682412530691E-5</v>
      </c>
      <c r="F101" s="14">
        <v>8.9209819448593299E-9</v>
      </c>
      <c r="G101" s="14">
        <v>3.853968988964539E-9</v>
      </c>
      <c r="H101" s="14">
        <v>0</v>
      </c>
      <c r="I101" s="14">
        <v>8.9842586123101806E-9</v>
      </c>
      <c r="J101" s="14">
        <v>5.6055837605017947E-7</v>
      </c>
      <c r="K101" s="14">
        <v>0</v>
      </c>
    </row>
    <row r="102" spans="1:11">
      <c r="A102" s="2" t="s">
        <v>482</v>
      </c>
      <c r="B102" s="3" t="s">
        <v>483</v>
      </c>
      <c r="D102" s="14">
        <v>1.1773286578204831E-31</v>
      </c>
      <c r="E102" s="14">
        <v>3.9848351171191358E-5</v>
      </c>
      <c r="F102" s="14">
        <v>6.3675436441826135E-10</v>
      </c>
      <c r="G102" s="14">
        <v>3.3440093705340146E-10</v>
      </c>
      <c r="H102" s="14">
        <v>0</v>
      </c>
      <c r="I102" s="14">
        <v>8.3202509561326533E-9</v>
      </c>
      <c r="J102" s="14">
        <v>1.423574225510389E-7</v>
      </c>
      <c r="K102" s="14">
        <v>0</v>
      </c>
    </row>
    <row r="103" spans="1:11">
      <c r="A103" s="2" t="s">
        <v>484</v>
      </c>
      <c r="B103" s="3" t="s">
        <v>485</v>
      </c>
      <c r="D103" s="14">
        <v>9.3903198179360086E-18</v>
      </c>
      <c r="E103" s="14">
        <v>3.966276843505839E-5</v>
      </c>
      <c r="F103" s="14">
        <v>3.1013772636051291E-9</v>
      </c>
      <c r="G103" s="14">
        <v>1.4489391732738092E-9</v>
      </c>
      <c r="H103" s="14">
        <v>0</v>
      </c>
      <c r="I103" s="14">
        <v>8.518739840773557E-9</v>
      </c>
      <c r="J103" s="14">
        <v>3.2416250865457108E-7</v>
      </c>
      <c r="K103" s="14">
        <v>0</v>
      </c>
    </row>
    <row r="104" spans="1:11">
      <c r="A104" s="2" t="s">
        <v>486</v>
      </c>
      <c r="B104" s="3" t="s">
        <v>487</v>
      </c>
      <c r="D104" s="14">
        <v>1.1554355675713064E-13</v>
      </c>
      <c r="E104" s="14">
        <v>3.8046820791050078E-5</v>
      </c>
      <c r="F104" s="14">
        <v>8.8108934044647117E-8</v>
      </c>
      <c r="G104" s="14">
        <v>3.2071221590183233E-8</v>
      </c>
      <c r="H104" s="14">
        <v>0</v>
      </c>
      <c r="I104" s="14">
        <v>1.48555408266685E-8</v>
      </c>
      <c r="J104" s="14">
        <v>1.8181433969448615E-6</v>
      </c>
      <c r="K104" s="14">
        <v>0</v>
      </c>
    </row>
    <row r="105" spans="1:11">
      <c r="A105" s="2" t="s">
        <v>488</v>
      </c>
      <c r="B105" s="3" t="s">
        <v>489</v>
      </c>
      <c r="D105" s="14">
        <v>9.3631907312298632E-21</v>
      </c>
      <c r="E105" s="14">
        <v>3.9819564944503748E-5</v>
      </c>
      <c r="F105" s="14">
        <v>9.0302148866809887E-10</v>
      </c>
      <c r="G105" s="14">
        <v>4.6216136843356811E-10</v>
      </c>
      <c r="H105" s="14">
        <v>0</v>
      </c>
      <c r="I105" s="14">
        <v>8.3412758054353594E-9</v>
      </c>
      <c r="J105" s="14">
        <v>1.7072859683371749E-7</v>
      </c>
      <c r="K105" s="14">
        <v>0</v>
      </c>
    </row>
    <row r="106" spans="1:11">
      <c r="A106" s="2" t="s">
        <v>490</v>
      </c>
      <c r="B106" s="3" t="s">
        <v>491</v>
      </c>
      <c r="D106" s="14">
        <v>5.0813977645710174E-13</v>
      </c>
      <c r="E106" s="14">
        <v>3.2927278181440236E-5</v>
      </c>
      <c r="F106" s="14">
        <v>9.2951714995422275E-7</v>
      </c>
      <c r="G106" s="14">
        <v>2.8141870644789483E-7</v>
      </c>
      <c r="H106" s="14">
        <v>0</v>
      </c>
      <c r="I106" s="14">
        <v>6.9291448708988658E-8</v>
      </c>
      <c r="J106" s="14">
        <v>5.7924940053088877E-6</v>
      </c>
      <c r="K106" s="14">
        <v>0</v>
      </c>
    </row>
    <row r="107" spans="1:11">
      <c r="A107" s="2" t="s">
        <v>492</v>
      </c>
      <c r="B107" s="3" t="s">
        <v>493</v>
      </c>
      <c r="D107" s="14">
        <v>8.5474305038204421E-21</v>
      </c>
      <c r="E107" s="14">
        <v>5.3123688191401001E-7</v>
      </c>
      <c r="F107" s="14">
        <v>2.8556816658569588E-5</v>
      </c>
      <c r="G107" s="14">
        <v>4.956845112667223E-6</v>
      </c>
      <c r="H107" s="14">
        <v>0</v>
      </c>
      <c r="I107" s="14">
        <v>1.1697042784445537E-6</v>
      </c>
      <c r="J107" s="14">
        <v>4.7853970684046259E-6</v>
      </c>
      <c r="K107" s="14">
        <v>0</v>
      </c>
    </row>
    <row r="108" spans="1:11">
      <c r="A108" s="2" t="s">
        <v>291</v>
      </c>
      <c r="B108" s="3" t="s">
        <v>494</v>
      </c>
      <c r="D108" s="14">
        <v>1.1657309780039097E-14</v>
      </c>
      <c r="E108" s="14">
        <v>1.8709017364836403E-5</v>
      </c>
      <c r="F108" s="14">
        <v>6.7681901632390266E-6</v>
      </c>
      <c r="G108" s="14">
        <v>1.6981189472771855E-6</v>
      </c>
      <c r="H108" s="14">
        <v>0</v>
      </c>
      <c r="I108" s="14">
        <v>3.8867279826530542E-7</v>
      </c>
      <c r="J108" s="14">
        <v>1.2436000714724779E-5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0.77001795994856548</v>
      </c>
      <c r="M2" s="115">
        <v>7.5903716492856015</v>
      </c>
      <c r="N2" s="115">
        <v>52.819536829764019</v>
      </c>
      <c r="O2" s="115">
        <v>1.1271876862823762</v>
      </c>
      <c r="P2" s="115">
        <v>1.1569201038589088</v>
      </c>
      <c r="Q2" s="111">
        <v>1.1271876862823762</v>
      </c>
      <c r="R2" s="68">
        <v>1.1569201038589088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5.6906513306013344E-4</v>
      </c>
      <c r="M3" s="115">
        <v>419.04957177650908</v>
      </c>
      <c r="N3" s="115">
        <v>3152.7965252171898</v>
      </c>
      <c r="O3" s="115">
        <v>19.014745370924757</v>
      </c>
      <c r="P3" s="115">
        <v>8.1449958941827649</v>
      </c>
      <c r="Q3" s="111">
        <v>19.014745370924761</v>
      </c>
      <c r="R3" s="68">
        <v>8.1449958941827649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0.34854245938559208</v>
      </c>
      <c r="M4" s="115">
        <v>40.378569027823332</v>
      </c>
      <c r="N4" s="115">
        <v>299.08722701435761</v>
      </c>
      <c r="O4" s="115">
        <v>3.2235709791989762</v>
      </c>
      <c r="P4" s="115">
        <v>3.0198314348442739</v>
      </c>
      <c r="Q4" s="111">
        <v>3.2235709791989762</v>
      </c>
      <c r="R4" s="68">
        <v>3.0198314348442739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6.6232006236433341E-3</v>
      </c>
      <c r="M5" s="115">
        <v>133.45615460988799</v>
      </c>
      <c r="N5" s="115">
        <v>999.91727969983287</v>
      </c>
      <c r="O5" s="115">
        <v>8.8073702451194862</v>
      </c>
      <c r="P5" s="115">
        <v>7.4264419424741979</v>
      </c>
      <c r="Q5" s="111">
        <v>8.8073702451194862</v>
      </c>
      <c r="R5" s="68">
        <v>7.4264419424741988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2.5053612596874058E-4</v>
      </c>
      <c r="M6" s="115">
        <v>480.91160674191991</v>
      </c>
      <c r="N6" s="115">
        <v>3622.1276615102302</v>
      </c>
      <c r="O6" s="115">
        <v>21.224194244655447</v>
      </c>
      <c r="P6" s="115">
        <v>8.4075354420735806</v>
      </c>
      <c r="Q6" s="111">
        <v>21.224194244655447</v>
      </c>
      <c r="R6" s="68">
        <v>8.4075354420735806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5.0783999903917588E-4</v>
      </c>
      <c r="M7" s="115">
        <v>430.25061968999125</v>
      </c>
      <c r="N7" s="115">
        <v>3237.5820732513203</v>
      </c>
      <c r="O7" s="115">
        <v>19.426741877190789</v>
      </c>
      <c r="P7" s="115">
        <v>8.2070648455858297</v>
      </c>
      <c r="Q7" s="111">
        <v>19.426741877190793</v>
      </c>
      <c r="R7" s="68">
        <v>8.2070648455858297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1.1573065883635743E-3</v>
      </c>
      <c r="M8" s="115">
        <v>350.67912360285641</v>
      </c>
      <c r="N8" s="115">
        <v>2635.7421702523125</v>
      </c>
      <c r="O8" s="115">
        <v>16.581791712771683</v>
      </c>
      <c r="P8" s="115">
        <v>7.9316892833243049</v>
      </c>
      <c r="Q8" s="111">
        <v>16.581791712771683</v>
      </c>
      <c r="R8" s="68">
        <v>7.9316892833243049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5.7821366365919488E-2</v>
      </c>
      <c r="M9" s="115">
        <v>79.344777806852974</v>
      </c>
      <c r="N9" s="115">
        <v>592.36092322851016</v>
      </c>
      <c r="O9" s="115">
        <v>6.2240408890531898</v>
      </c>
      <c r="P9" s="115">
        <v>6.1098218746576451</v>
      </c>
      <c r="Q9" s="111">
        <v>6.2240408890531906</v>
      </c>
      <c r="R9" s="68">
        <v>6.1098218746576451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6.1419225470567282E-3</v>
      </c>
      <c r="M10" s="115">
        <v>142.3843720577681</v>
      </c>
      <c r="N10" s="115">
        <v>1066.9901502384325</v>
      </c>
      <c r="O10" s="115">
        <v>9.1257108466417929</v>
      </c>
      <c r="P10" s="115">
        <v>7.4391638730264136</v>
      </c>
      <c r="Q10" s="111">
        <v>9.1257108466417929</v>
      </c>
      <c r="R10" s="68">
        <v>7.4391638730264136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5.3979203069131065E-3</v>
      </c>
      <c r="M11" s="115">
        <v>158.07528059749822</v>
      </c>
      <c r="N11" s="115">
        <v>1184.9019034724329</v>
      </c>
      <c r="O11" s="115">
        <v>9.6847459162815586</v>
      </c>
      <c r="P11" s="115">
        <v>7.4619676747113726</v>
      </c>
      <c r="Q11" s="111">
        <v>9.6847459162815586</v>
      </c>
      <c r="R11" s="68">
        <v>7.4619676747113735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3.7069597097417022E-2</v>
      </c>
      <c r="M12" s="115">
        <v>83.076493512306897</v>
      </c>
      <c r="N12" s="115">
        <v>620.69110017564924</v>
      </c>
      <c r="O12" s="115">
        <v>6.5867059277855153</v>
      </c>
      <c r="P12" s="115">
        <v>6.5488861323245811</v>
      </c>
      <c r="Q12" s="111">
        <v>6.5867059277855153</v>
      </c>
      <c r="R12" s="68">
        <v>6.5488861323245819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5.5468677013484097E-2</v>
      </c>
      <c r="M13" s="115">
        <v>79.756236550974663</v>
      </c>
      <c r="N13" s="115">
        <v>595.47813385965321</v>
      </c>
      <c r="O13" s="115">
        <v>6.2621777455878194</v>
      </c>
      <c r="P13" s="115">
        <v>6.1546625177995722</v>
      </c>
      <c r="Q13" s="111">
        <v>6.2621777455878194</v>
      </c>
      <c r="R13" s="68">
        <v>6.1546625177995722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3.5220389815071962E-3</v>
      </c>
      <c r="M14" s="115">
        <v>212.8248764341337</v>
      </c>
      <c r="N14" s="115">
        <v>1596.6496816099032</v>
      </c>
      <c r="O14" s="115">
        <v>11.641584105116271</v>
      </c>
      <c r="P14" s="115">
        <v>7.5644486618041391</v>
      </c>
      <c r="Q14" s="111">
        <v>11.641584105116271</v>
      </c>
      <c r="R14" s="68">
        <v>7.5644486618041391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5.7610135698125077E-3</v>
      </c>
      <c r="M15" s="115">
        <v>150.105476917034</v>
      </c>
      <c r="N15" s="115">
        <v>1125.0061584117568</v>
      </c>
      <c r="O15" s="115">
        <v>9.400851392963931</v>
      </c>
      <c r="P15" s="115">
        <v>7.4502874485486101</v>
      </c>
      <c r="Q15" s="111">
        <v>9.400851392963931</v>
      </c>
      <c r="R15" s="68">
        <v>7.4502874485486101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1.1988032239168772E-3</v>
      </c>
      <c r="M16" s="115">
        <v>346.66704142749728</v>
      </c>
      <c r="N16" s="115">
        <v>2605.4481206726678</v>
      </c>
      <c r="O16" s="115">
        <v>16.437117341004036</v>
      </c>
      <c r="P16" s="115">
        <v>7.9174598592020127</v>
      </c>
      <c r="Q16" s="111">
        <v>16.43711734100404</v>
      </c>
      <c r="R16" s="68">
        <v>7.9174598592020136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6.4600132522978811E-3</v>
      </c>
      <c r="M17" s="115">
        <v>136.39543417003949</v>
      </c>
      <c r="N17" s="115">
        <v>1021.9968154708816</v>
      </c>
      <c r="O17" s="115">
        <v>8.9123337475821671</v>
      </c>
      <c r="P17" s="115">
        <v>7.4308633082205446</v>
      </c>
      <c r="Q17" s="111">
        <v>8.9123337475821671</v>
      </c>
      <c r="R17" s="68">
        <v>7.4308633082205446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6.9314296612910303E-2</v>
      </c>
      <c r="M18" s="115">
        <v>77.084616557709737</v>
      </c>
      <c r="N18" s="115">
        <v>575.28236188277629</v>
      </c>
      <c r="O18" s="115">
        <v>6.0228513668834935</v>
      </c>
      <c r="P18" s="115">
        <v>5.8806483363458408</v>
      </c>
      <c r="Q18" s="111">
        <v>6.0228513668834935</v>
      </c>
      <c r="R18" s="68">
        <v>5.8806483363458408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5.6870363504071819E-3</v>
      </c>
      <c r="M19" s="115">
        <v>151.68114543847889</v>
      </c>
      <c r="N19" s="115">
        <v>1136.8469244500841</v>
      </c>
      <c r="O19" s="115">
        <v>9.4570229111163524</v>
      </c>
      <c r="P19" s="115">
        <v>7.4526440989025993</v>
      </c>
      <c r="Q19" s="111">
        <v>9.4570229111163524</v>
      </c>
      <c r="R19" s="68">
        <v>7.4526440989025993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5.5475925825808695E-2</v>
      </c>
      <c r="M20" s="115">
        <v>79.766659334094825</v>
      </c>
      <c r="N20" s="115">
        <v>595.55595272010123</v>
      </c>
      <c r="O20" s="115">
        <v>6.2629961056725572</v>
      </c>
      <c r="P20" s="115">
        <v>6.1554668274733348</v>
      </c>
      <c r="Q20" s="111">
        <v>6.2629961056725572</v>
      </c>
      <c r="R20" s="68">
        <v>6.1554668274733348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4.0029773451377981E-3</v>
      </c>
      <c r="M21" s="115">
        <v>196.00989700929338</v>
      </c>
      <c r="N21" s="115">
        <v>1470.1401621884841</v>
      </c>
      <c r="O21" s="115">
        <v>11.038454165070991</v>
      </c>
      <c r="P21" s="115">
        <v>7.5272478336835169</v>
      </c>
      <c r="Q21" s="111">
        <v>11.038454165070991</v>
      </c>
      <c r="R21" s="68">
        <v>7.5272478336835169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0.55718622590678824</v>
      </c>
      <c r="M22" s="115">
        <v>21.260869220476355</v>
      </c>
      <c r="N22" s="115">
        <v>155.54961526114604</v>
      </c>
      <c r="O22" s="115">
        <v>1.9496617702900616</v>
      </c>
      <c r="P22" s="115">
        <v>1.8542344797177019</v>
      </c>
      <c r="Q22" s="111">
        <v>1.9496617702900616</v>
      </c>
      <c r="R22" s="68">
        <v>1.8542344797177019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0.7065700383034611</v>
      </c>
      <c r="M23" s="115">
        <v>11.100011794432973</v>
      </c>
      <c r="N23" s="115">
        <v>79.212998583433702</v>
      </c>
      <c r="O23" s="115">
        <v>1.3276904692692775</v>
      </c>
      <c r="P23" s="115">
        <v>1.3202369518885735</v>
      </c>
      <c r="Q23" s="111">
        <v>1.3276904692692775</v>
      </c>
      <c r="R23" s="68">
        <v>1.3202369518885735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0.17037309741022241</v>
      </c>
      <c r="M24" s="115">
        <v>61.794594393821541</v>
      </c>
      <c r="N24" s="115">
        <v>460.02408071725233</v>
      </c>
      <c r="O24" s="115">
        <v>4.7791667597139957</v>
      </c>
      <c r="P24" s="115">
        <v>4.545599883887073</v>
      </c>
      <c r="Q24" s="111">
        <v>4.7791667597139957</v>
      </c>
      <c r="R24" s="68">
        <v>4.545599883887073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2.0160255659868554E-2</v>
      </c>
      <c r="M25" s="115">
        <v>84.8976154026317</v>
      </c>
      <c r="N25" s="115">
        <v>634.85307410347389</v>
      </c>
      <c r="O25" s="115">
        <v>6.8383760404707665</v>
      </c>
      <c r="P25" s="115">
        <v>6.913090429357605</v>
      </c>
      <c r="Q25" s="111">
        <v>6.8383760404707674</v>
      </c>
      <c r="R25" s="68">
        <v>6.9130904293576059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4.3520936606945568E-3</v>
      </c>
      <c r="M26" s="115">
        <v>185.22705930814547</v>
      </c>
      <c r="N26" s="115">
        <v>1389.037368982601</v>
      </c>
      <c r="O26" s="115">
        <v>10.653256572359709</v>
      </c>
      <c r="P26" s="115">
        <v>7.5070713704111469</v>
      </c>
      <c r="Q26" s="111">
        <v>10.653256572359709</v>
      </c>
      <c r="R26" s="68">
        <v>7.5070713704111469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6.2725909928804905E-4</v>
      </c>
      <c r="M27" s="115">
        <v>410.96782066856656</v>
      </c>
      <c r="N27" s="115">
        <v>3091.5836816341857</v>
      </c>
      <c r="O27" s="115">
        <v>18.730252667725207</v>
      </c>
      <c r="P27" s="115">
        <v>8.1219366874865582</v>
      </c>
      <c r="Q27" s="111">
        <v>18.730252667725207</v>
      </c>
      <c r="R27" s="68">
        <v>8.1219366874865582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2.3417778422269533E-3</v>
      </c>
      <c r="M28" s="115">
        <v>265.93543600482747</v>
      </c>
      <c r="N28" s="115">
        <v>1996.5527396661626</v>
      </c>
      <c r="O28" s="115">
        <v>13.543970554065687</v>
      </c>
      <c r="P28" s="115">
        <v>7.688817412187638</v>
      </c>
      <c r="Q28" s="111">
        <v>13.543970554065687</v>
      </c>
      <c r="R28" s="68">
        <v>7.6888174121876389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3.5838111299478239E-3</v>
      </c>
      <c r="M29" s="115">
        <v>201.8965257082213</v>
      </c>
      <c r="N29" s="115">
        <v>1514.5396147275105</v>
      </c>
      <c r="O29" s="115">
        <v>11.147888510012415</v>
      </c>
      <c r="P29" s="115">
        <v>7.3600645683307127</v>
      </c>
      <c r="Q29" s="111">
        <v>11.147888510012415</v>
      </c>
      <c r="R29" s="68">
        <v>7.3600645683307127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2.3417778422269533E-3</v>
      </c>
      <c r="M30" s="115">
        <v>265.93543600482747</v>
      </c>
      <c r="N30" s="115">
        <v>1996.5527396661626</v>
      </c>
      <c r="O30" s="115">
        <v>13.543970554065687</v>
      </c>
      <c r="P30" s="115">
        <v>7.688817412187638</v>
      </c>
      <c r="Q30" s="111">
        <v>13.543970554065687</v>
      </c>
      <c r="R30" s="68">
        <v>7.6888174121876389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0.97293543472282762</v>
      </c>
      <c r="M31" s="115">
        <v>0.75548933609334745</v>
      </c>
      <c r="N31" s="115">
        <v>1.1400429054821843</v>
      </c>
      <c r="O31" s="115">
        <v>0.81347706109276963</v>
      </c>
      <c r="P31" s="115">
        <v>0.94150519007953082</v>
      </c>
      <c r="Q31" s="111">
        <v>0.81347706109276974</v>
      </c>
      <c r="R31" s="68">
        <v>0.94150519007953093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0.42990317569838016</v>
      </c>
      <c r="M32" s="115">
        <v>32.621356792653863</v>
      </c>
      <c r="N32" s="115">
        <v>240.44279463633623</v>
      </c>
      <c r="O32" s="115">
        <v>2.4620760287065631</v>
      </c>
      <c r="P32" s="115">
        <v>2.2615762784727012</v>
      </c>
      <c r="Q32" s="111">
        <v>2.4620760287065631</v>
      </c>
      <c r="R32" s="68">
        <v>2.2615762784727012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0.99274996170986685</v>
      </c>
      <c r="M33" s="115">
        <v>0.68312093762911097</v>
      </c>
      <c r="N33" s="115">
        <v>0.59122578539058657</v>
      </c>
      <c r="O33" s="115">
        <v>0.84205999472122361</v>
      </c>
      <c r="P33" s="115">
        <v>0.98990533736710196</v>
      </c>
      <c r="Q33" s="111">
        <v>0.84205999472122361</v>
      </c>
      <c r="R33" s="68">
        <v>0.98990533736710207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0.54569752618706691</v>
      </c>
      <c r="M34" s="115">
        <v>5.6283785543704443</v>
      </c>
      <c r="N34" s="115">
        <v>44.936614803887267</v>
      </c>
      <c r="O34" s="115">
        <v>2.6223764887340386</v>
      </c>
      <c r="P34" s="115">
        <v>4.2871047904132791</v>
      </c>
      <c r="Q34" s="111">
        <v>2.6223764887340386</v>
      </c>
      <c r="R34" s="68">
        <v>4.2871047904132791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0.32285083458684544</v>
      </c>
      <c r="M35" s="115">
        <v>7.68850903889627</v>
      </c>
      <c r="N35" s="115">
        <v>63.544030744449714</v>
      </c>
      <c r="O35" s="115">
        <v>3.4987755342009508</v>
      </c>
      <c r="P35" s="115">
        <v>5.9220874941676733</v>
      </c>
      <c r="Q35" s="111">
        <v>3.4987755342009512</v>
      </c>
      <c r="R35" s="68">
        <v>5.9220874941676733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0.10764116354338518</v>
      </c>
      <c r="M36" s="115">
        <v>9.1704166971206824</v>
      </c>
      <c r="N36" s="115">
        <v>77.176293161445841</v>
      </c>
      <c r="O36" s="115">
        <v>4.3356033563676419</v>
      </c>
      <c r="P36" s="115">
        <v>7.4996006602974852</v>
      </c>
      <c r="Q36" s="111">
        <v>4.3356033563676419</v>
      </c>
      <c r="R36" s="68">
        <v>7.4996006602974852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0.20625550134223158</v>
      </c>
      <c r="M37" s="115">
        <v>22.546335898474567</v>
      </c>
      <c r="N37" s="115">
        <v>173.67053088872268</v>
      </c>
      <c r="O37" s="115">
        <v>4.0706581137482623</v>
      </c>
      <c r="P37" s="115">
        <v>6.0816838009199046</v>
      </c>
      <c r="Q37" s="111">
        <v>4.0706581137482623</v>
      </c>
      <c r="R37" s="68">
        <v>6.0816838009199055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0.61116546872026667</v>
      </c>
      <c r="M38" s="115">
        <v>5.1403345073814588</v>
      </c>
      <c r="N38" s="115">
        <v>40.244201005091</v>
      </c>
      <c r="O38" s="115">
        <v>2.3611748589817374</v>
      </c>
      <c r="P38" s="115">
        <v>3.7901705604726121</v>
      </c>
      <c r="Q38" s="111">
        <v>2.3611748589817378</v>
      </c>
      <c r="R38" s="68">
        <v>3.7901705604726121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1.0037228084693321E-2</v>
      </c>
      <c r="M39" s="115">
        <v>89.272364455398119</v>
      </c>
      <c r="N39" s="115">
        <v>668.20616869467415</v>
      </c>
      <c r="O39" s="115">
        <v>7.2401493119782208</v>
      </c>
      <c r="P39" s="115">
        <v>7.3859600219399528</v>
      </c>
      <c r="Q39" s="111">
        <v>7.2401493119782216</v>
      </c>
      <c r="R39" s="68">
        <v>7.3859600219399537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8.2882744740444213E-4</v>
      </c>
      <c r="M40" s="115">
        <v>549.41075313005115</v>
      </c>
      <c r="N40" s="115">
        <v>4629.3652734397638</v>
      </c>
      <c r="O40" s="115">
        <v>16.339613126404835</v>
      </c>
      <c r="P40" s="115">
        <v>10.714598115419209</v>
      </c>
      <c r="Q40" s="111">
        <v>16.339613126404835</v>
      </c>
      <c r="R40" s="68">
        <v>10.714598115419211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0.91075158832248015</v>
      </c>
      <c r="M41" s="115">
        <v>0.57159097388269486</v>
      </c>
      <c r="N41" s="115">
        <v>6.4436998106926713E-2</v>
      </c>
      <c r="O41" s="115">
        <v>0.7529148282298892</v>
      </c>
      <c r="P41" s="115">
        <v>0.87489150249966097</v>
      </c>
      <c r="Q41" s="111">
        <v>0.7529148282298892</v>
      </c>
      <c r="R41" s="68">
        <v>0.87489150249966097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0.51968069734886335</v>
      </c>
      <c r="M42" s="115">
        <v>24.395450415315814</v>
      </c>
      <c r="N42" s="115">
        <v>179.07849548079298</v>
      </c>
      <c r="O42" s="115">
        <v>2.1517756345297929</v>
      </c>
      <c r="P42" s="115">
        <v>2.0339610085435256</v>
      </c>
      <c r="Q42" s="111">
        <v>2.1517756345297934</v>
      </c>
      <c r="R42" s="68">
        <v>2.0339610085435256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8.7466204850558185E-3</v>
      </c>
      <c r="M43" s="115">
        <v>19.323571730112224</v>
      </c>
      <c r="N43" s="115">
        <v>163.55694435410692</v>
      </c>
      <c r="O43" s="115">
        <v>4.9218410042985674</v>
      </c>
      <c r="P43" s="115">
        <v>8.2722397020639811</v>
      </c>
      <c r="Q43" s="111">
        <v>4.9218410042985674</v>
      </c>
      <c r="R43" s="68">
        <v>8.2722397020639811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0.75964187508720926</v>
      </c>
      <c r="M44" s="115">
        <v>4.3829958534554168</v>
      </c>
      <c r="N44" s="115">
        <v>29.035289231107537</v>
      </c>
      <c r="O44" s="115">
        <v>0.89424078124736273</v>
      </c>
      <c r="P44" s="115">
        <v>0.95226585606026481</v>
      </c>
      <c r="Q44" s="111">
        <v>0.89424078124736273</v>
      </c>
      <c r="R44" s="68">
        <v>0.95226585606026493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0.48429366561472542</v>
      </c>
      <c r="M45" s="115">
        <v>27.345473832240682</v>
      </c>
      <c r="N45" s="115">
        <v>201.23075648771777</v>
      </c>
      <c r="O45" s="115">
        <v>2.343524213101444</v>
      </c>
      <c r="P45" s="115">
        <v>2.2062362987648863</v>
      </c>
      <c r="Q45" s="111">
        <v>2.343524213101444</v>
      </c>
      <c r="R45" s="68">
        <v>2.2062362987648867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0.50558848676475765</v>
      </c>
      <c r="M46" s="115">
        <v>25.434593400398434</v>
      </c>
      <c r="N46" s="115">
        <v>186.88890600115252</v>
      </c>
      <c r="O46" s="115">
        <v>2.2180020672997727</v>
      </c>
      <c r="P46" s="115">
        <v>2.0930584244575727</v>
      </c>
      <c r="Q46" s="111">
        <v>2.2180020672997727</v>
      </c>
      <c r="R46" s="68">
        <v>2.0930584244575732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5.7084784924316307E-4</v>
      </c>
      <c r="M47" s="115">
        <v>420.36233267099641</v>
      </c>
      <c r="N47" s="115">
        <v>3162.673323250975</v>
      </c>
      <c r="O47" s="115">
        <v>19.074313058909169</v>
      </c>
      <c r="P47" s="115">
        <v>8.170511806417954</v>
      </c>
      <c r="Q47" s="111">
        <v>19.074313058909169</v>
      </c>
      <c r="R47" s="68">
        <v>8.170511806417954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0.90079816146539782</v>
      </c>
      <c r="M48" s="115">
        <v>1.9336888516538926</v>
      </c>
      <c r="N48" s="115">
        <v>10.202806139532793</v>
      </c>
      <c r="O48" s="115">
        <v>0.83546788678811945</v>
      </c>
      <c r="P48" s="115">
        <v>0.93845537913799015</v>
      </c>
      <c r="Q48" s="111">
        <v>0.83546788678811945</v>
      </c>
      <c r="R48" s="68">
        <v>0.93845537913799015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0.85947563142031524</v>
      </c>
      <c r="M49" s="115">
        <v>2.8873892550248197</v>
      </c>
      <c r="N49" s="115">
        <v>17.469129098711218</v>
      </c>
      <c r="O49" s="115">
        <v>0.86835712087193206</v>
      </c>
      <c r="P49" s="115">
        <v>0.95507095273563325</v>
      </c>
      <c r="Q49" s="111">
        <v>0.86835712087193206</v>
      </c>
      <c r="R49" s="68">
        <v>0.95507095273563325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7.3377120281902533E-2</v>
      </c>
      <c r="M50" s="115">
        <v>76.081576438936892</v>
      </c>
      <c r="N50" s="115">
        <v>567.72623950764046</v>
      </c>
      <c r="O50" s="115">
        <v>5.9372423196738398</v>
      </c>
      <c r="P50" s="115">
        <v>5.7867987270875565</v>
      </c>
      <c r="Q50" s="111">
        <v>5.9372423196738406</v>
      </c>
      <c r="R50" s="68">
        <v>5.7867987270875565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0.90091742519551021</v>
      </c>
      <c r="M51" s="115">
        <v>0.80694816427792659</v>
      </c>
      <c r="N51" s="115">
        <v>1.8505763212194721</v>
      </c>
      <c r="O51" s="115">
        <v>0.76021381556282219</v>
      </c>
      <c r="P51" s="115">
        <v>0.87723003826099799</v>
      </c>
      <c r="Q51" s="111">
        <v>0.7602138155628223</v>
      </c>
      <c r="R51" s="68">
        <v>0.87723003826099799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0.71964579741091339</v>
      </c>
      <c r="M52" s="115">
        <v>6.940277275042642</v>
      </c>
      <c r="N52" s="115">
        <v>48.222893502528876</v>
      </c>
      <c r="O52" s="115">
        <v>1.0426225601927233</v>
      </c>
      <c r="P52" s="115">
        <v>1.0717681354104271</v>
      </c>
      <c r="Q52" s="111">
        <v>1.0426225601927233</v>
      </c>
      <c r="R52" s="68">
        <v>1.0717681354104271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0.37357991198187346</v>
      </c>
      <c r="M53" s="115">
        <v>37.647970857111993</v>
      </c>
      <c r="N53" s="115">
        <v>278.59043220354977</v>
      </c>
      <c r="O53" s="115">
        <v>3.0343902009825157</v>
      </c>
      <c r="P53" s="115">
        <v>2.8419845812902516</v>
      </c>
      <c r="Q53" s="111">
        <v>3.0343902009825157</v>
      </c>
      <c r="R53" s="68">
        <v>2.8419845812902516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8.0381884643933559E-4</v>
      </c>
      <c r="M54" s="115">
        <v>388.67681349076594</v>
      </c>
      <c r="N54" s="115">
        <v>2922.8895385101496</v>
      </c>
      <c r="O54" s="115">
        <v>17.941882550392055</v>
      </c>
      <c r="P54" s="115">
        <v>8.0568808525874918</v>
      </c>
      <c r="Q54" s="111">
        <v>17.941882550392059</v>
      </c>
      <c r="R54" s="68">
        <v>8.0568808525874918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0.13365223592622452</v>
      </c>
      <c r="M55" s="115">
        <v>55.759054954428279</v>
      </c>
      <c r="N55" s="115">
        <v>415.25566939409441</v>
      </c>
      <c r="O55" s="115">
        <v>4.3117465848835739</v>
      </c>
      <c r="P55" s="115">
        <v>4.1130157705997208</v>
      </c>
      <c r="Q55" s="111">
        <v>4.3117465848835739</v>
      </c>
      <c r="R55" s="68">
        <v>4.1130157705997217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1.5920203707967283E-2</v>
      </c>
      <c r="M56" s="115">
        <v>33.263949058543716</v>
      </c>
      <c r="N56" s="115">
        <v>248.49996234384798</v>
      </c>
      <c r="O56" s="115">
        <v>2.6330365294859228</v>
      </c>
      <c r="P56" s="115">
        <v>2.6131134668283642</v>
      </c>
      <c r="Q56" s="111">
        <v>2.6330365294859228</v>
      </c>
      <c r="R56" s="68">
        <v>2.6131134668283642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2.8926784603770666E-2</v>
      </c>
      <c r="M57" s="115">
        <v>16.345261515227641</v>
      </c>
      <c r="N57" s="115">
        <v>121.82014401824763</v>
      </c>
      <c r="O57" s="115">
        <v>1.2656689489396711</v>
      </c>
      <c r="P57" s="115">
        <v>1.2155306372551056</v>
      </c>
      <c r="Q57" s="111">
        <v>1.2656689489396711</v>
      </c>
      <c r="R57" s="68">
        <v>1.2155306372551056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5.9048873639173348E-2</v>
      </c>
      <c r="M58" s="115">
        <v>0.24098059533953364</v>
      </c>
      <c r="N58" s="115">
        <v>1.5164644012261874</v>
      </c>
      <c r="O58" s="115">
        <v>6.2594179551897028E-2</v>
      </c>
      <c r="P58" s="115">
        <v>6.8103924858459716E-2</v>
      </c>
      <c r="Q58" s="111">
        <v>6.2594179551897042E-2</v>
      </c>
      <c r="R58" s="68">
        <v>6.8103924858459716E-2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1.1937595810442741E-2</v>
      </c>
      <c r="M59" s="115">
        <v>6.2892622468532613</v>
      </c>
      <c r="N59" s="115">
        <v>46.865785762105226</v>
      </c>
      <c r="O59" s="115">
        <v>0.48675775936320692</v>
      </c>
      <c r="P59" s="115">
        <v>0.46672431166457007</v>
      </c>
      <c r="Q59" s="111">
        <v>0.48675775936320698</v>
      </c>
      <c r="R59" s="68">
        <v>0.46672431166457007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4.4699413871537391E-4</v>
      </c>
      <c r="M60" s="115">
        <v>0.10906884318339349</v>
      </c>
      <c r="N60" s="115">
        <v>0.81089021785345872</v>
      </c>
      <c r="O60" s="115">
        <v>8.4679347760694083E-3</v>
      </c>
      <c r="P60" s="115">
        <v>7.9953020378529926E-3</v>
      </c>
      <c r="Q60" s="111">
        <v>8.4679347760694083E-3</v>
      </c>
      <c r="R60" s="68">
        <v>7.9953020378529926E-3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0.27918460073545354</v>
      </c>
      <c r="M61" s="115">
        <v>48.032648724425513</v>
      </c>
      <c r="N61" s="115">
        <v>356.57629649856932</v>
      </c>
      <c r="O61" s="115">
        <v>3.7626936911819633</v>
      </c>
      <c r="P61" s="115">
        <v>3.535374988849211</v>
      </c>
      <c r="Q61" s="111">
        <v>3.7626936911819637</v>
      </c>
      <c r="R61" s="68">
        <v>3.5353749888492114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3.6253080997613275E-3</v>
      </c>
      <c r="M62" s="115">
        <v>209.06282506894749</v>
      </c>
      <c r="N62" s="115">
        <v>1568.3407630262554</v>
      </c>
      <c r="O62" s="115">
        <v>11.507139277944676</v>
      </c>
      <c r="P62" s="115">
        <v>7.5568522684220802</v>
      </c>
      <c r="Q62" s="111">
        <v>11.507139277944678</v>
      </c>
      <c r="R62" s="68">
        <v>7.5568522684220811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3.07782096548788E-4</v>
      </c>
      <c r="M63" s="115">
        <v>467.68360956922731</v>
      </c>
      <c r="N63" s="115">
        <v>3521.5745592359754</v>
      </c>
      <c r="O63" s="115">
        <v>20.756566127815493</v>
      </c>
      <c r="P63" s="115">
        <v>8.3529526766285453</v>
      </c>
      <c r="Q63" s="111">
        <v>20.756566127815496</v>
      </c>
      <c r="R63" s="68">
        <v>8.3529526766285453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1.0495210009201911E-4</v>
      </c>
      <c r="M64" s="115">
        <v>525.14780147661133</v>
      </c>
      <c r="N64" s="115">
        <v>3959.5329539015597</v>
      </c>
      <c r="O64" s="115">
        <v>22.771982582591416</v>
      </c>
      <c r="P64" s="115">
        <v>8.602929152090919</v>
      </c>
      <c r="Q64" s="111">
        <v>22.771982582591416</v>
      </c>
      <c r="R64" s="68">
        <v>8.602929152090919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2.9136660413759199E-5</v>
      </c>
      <c r="M65" s="115">
        <v>565.40521314516309</v>
      </c>
      <c r="N65" s="115">
        <v>4269.4487664783728</v>
      </c>
      <c r="O65" s="115">
        <v>24.134930807481581</v>
      </c>
      <c r="P65" s="115">
        <v>8.8029196983148363</v>
      </c>
      <c r="Q65" s="111">
        <v>24.134930807481581</v>
      </c>
      <c r="R65" s="68">
        <v>8.8029196983148363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6.0749918141112879E-5</v>
      </c>
      <c r="M66" s="115">
        <v>545.1987179505112</v>
      </c>
      <c r="N66" s="115">
        <v>4113.3738440248462</v>
      </c>
      <c r="O66" s="115">
        <v>23.459587775429934</v>
      </c>
      <c r="P66" s="115">
        <v>8.6994106113530165</v>
      </c>
      <c r="Q66" s="111">
        <v>23.459587775429934</v>
      </c>
      <c r="R66" s="68">
        <v>8.6994106113530165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0.80893917014301553</v>
      </c>
      <c r="M67" s="115">
        <v>5.5239844023240794</v>
      </c>
      <c r="N67" s="115">
        <v>37.2824419098039</v>
      </c>
      <c r="O67" s="115">
        <v>1.0120508564990827</v>
      </c>
      <c r="P67" s="115">
        <v>1.0656272994973746</v>
      </c>
      <c r="Q67" s="111">
        <v>1.0120508564990827</v>
      </c>
      <c r="R67" s="68">
        <v>1.0656272994973746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0.73696642633466836</v>
      </c>
      <c r="M68" s="115">
        <v>8.8581196291822213</v>
      </c>
      <c r="N68" s="115">
        <v>62.398682509061132</v>
      </c>
      <c r="O68" s="115">
        <v>1.1914736742785679</v>
      </c>
      <c r="P68" s="115">
        <v>1.2061415284219374</v>
      </c>
      <c r="Q68" s="111">
        <v>1.1914736742785679</v>
      </c>
      <c r="R68" s="68">
        <v>1.2061415284219374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1.262919991741971E-3</v>
      </c>
      <c r="M69" s="115">
        <v>340.48286344317529</v>
      </c>
      <c r="N69" s="115">
        <v>2558.7650386158657</v>
      </c>
      <c r="O69" s="115">
        <v>16.21254577160553</v>
      </c>
      <c r="P69" s="115">
        <v>7.8931111055453202</v>
      </c>
      <c r="Q69" s="111">
        <v>16.21254577160553</v>
      </c>
      <c r="R69" s="68">
        <v>7.8931111055453211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2.4901052834388475E-2</v>
      </c>
      <c r="M70" s="115">
        <v>84.976756733357576</v>
      </c>
      <c r="N70" s="115">
        <v>635.2651781197219</v>
      </c>
      <c r="O70" s="115">
        <v>6.80736839644758</v>
      </c>
      <c r="P70" s="115">
        <v>6.8436391740447506</v>
      </c>
      <c r="Q70" s="111">
        <v>6.8073683964475808</v>
      </c>
      <c r="R70" s="68">
        <v>6.8436391740447506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0.73758364948770572</v>
      </c>
      <c r="M71" s="115">
        <v>8.1151717248164328</v>
      </c>
      <c r="N71" s="115">
        <v>56.872397570112881</v>
      </c>
      <c r="O71" s="115">
        <v>1.1393535924676073</v>
      </c>
      <c r="P71" s="115">
        <v>1.1604598056273425</v>
      </c>
      <c r="Q71" s="111">
        <v>1.1393535924676073</v>
      </c>
      <c r="R71" s="68">
        <v>1.1604598056273425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2.878303324457062E-2</v>
      </c>
      <c r="M72" s="115">
        <v>83.405975572695198</v>
      </c>
      <c r="N72" s="115">
        <v>623.3816563869367</v>
      </c>
      <c r="O72" s="115">
        <v>6.6540228796290553</v>
      </c>
      <c r="P72" s="115">
        <v>6.6606830126980814</v>
      </c>
      <c r="Q72" s="111">
        <v>6.6540228796290561</v>
      </c>
      <c r="R72" s="68">
        <v>6.6606830126980823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0.25677719841002616</v>
      </c>
      <c r="M73" s="115">
        <v>49.632694069178335</v>
      </c>
      <c r="N73" s="115">
        <v>368.65250167701885</v>
      </c>
      <c r="O73" s="115">
        <v>3.8737759773447884</v>
      </c>
      <c r="P73" s="115">
        <v>3.6449450713347615</v>
      </c>
      <c r="Q73" s="111">
        <v>3.8737759773447884</v>
      </c>
      <c r="R73" s="68">
        <v>3.6449450713347615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2.5987742337081517E-2</v>
      </c>
      <c r="M74" s="115">
        <v>84.636714980912771</v>
      </c>
      <c r="N74" s="115">
        <v>632.68265191993817</v>
      </c>
      <c r="O74" s="115">
        <v>6.7720542617654162</v>
      </c>
      <c r="P74" s="115">
        <v>6.7997469056207471</v>
      </c>
      <c r="Q74" s="111">
        <v>6.7720542617654162</v>
      </c>
      <c r="R74" s="68">
        <v>6.7997469056207471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4.2223106597743983E-3</v>
      </c>
      <c r="M75" s="115">
        <v>63.418367099065158</v>
      </c>
      <c r="N75" s="115">
        <v>538.5821775286181</v>
      </c>
      <c r="O75" s="115">
        <v>5.8594830616445162</v>
      </c>
      <c r="P75" s="115">
        <v>8.5494772661101415</v>
      </c>
      <c r="Q75" s="111">
        <v>5.8594830616445162</v>
      </c>
      <c r="R75" s="68">
        <v>8.5494772661101415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4.2223106619930463E-3</v>
      </c>
      <c r="M76" s="115">
        <v>63.41836713238888</v>
      </c>
      <c r="N76" s="115">
        <v>538.58217781162068</v>
      </c>
      <c r="O76" s="115">
        <v>5.8594830647234311</v>
      </c>
      <c r="P76" s="115">
        <v>8.5494772706025373</v>
      </c>
      <c r="Q76" s="111">
        <v>5.8594830647234319</v>
      </c>
      <c r="R76" s="68">
        <v>8.5494772706025373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9.8680510044745623E-2</v>
      </c>
      <c r="M77" s="115">
        <v>70.420995983240161</v>
      </c>
      <c r="N77" s="115">
        <v>525.10973017782692</v>
      </c>
      <c r="O77" s="115">
        <v>5.4655922968215505</v>
      </c>
      <c r="P77" s="115">
        <v>5.2781425183219248</v>
      </c>
      <c r="Q77" s="111">
        <v>5.4655922968215505</v>
      </c>
      <c r="R77" s="68">
        <v>5.2781425183219248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0.51920233868107246</v>
      </c>
      <c r="M78" s="115">
        <v>22.226883848363997</v>
      </c>
      <c r="N78" s="115">
        <v>162.93118460984945</v>
      </c>
      <c r="O78" s="115">
        <v>1.9928964377340379</v>
      </c>
      <c r="P78" s="115">
        <v>1.8885250170366634</v>
      </c>
      <c r="Q78" s="111">
        <v>1.9928964377340379</v>
      </c>
      <c r="R78" s="68">
        <v>1.8885250170366636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0.36284813949562622</v>
      </c>
      <c r="M79" s="115">
        <v>38.305097265830476</v>
      </c>
      <c r="N79" s="115">
        <v>283.54853438854099</v>
      </c>
      <c r="O79" s="115">
        <v>3.0769703514759876</v>
      </c>
      <c r="P79" s="115">
        <v>2.8819186249088511</v>
      </c>
      <c r="Q79" s="111">
        <v>3.0769703514759881</v>
      </c>
      <c r="R79" s="68">
        <v>2.8819186249088511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2.8064414228965908E-3</v>
      </c>
      <c r="M80" s="115">
        <v>120.78332843443683</v>
      </c>
      <c r="N80" s="115">
        <v>1025.7883372107824</v>
      </c>
      <c r="O80" s="115">
        <v>7.0660077729280699</v>
      </c>
      <c r="P80" s="115">
        <v>8.8660071921928161</v>
      </c>
      <c r="Q80" s="111">
        <v>7.0660077729280699</v>
      </c>
      <c r="R80" s="68">
        <v>8.8660071921928161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0.9669715397203823</v>
      </c>
      <c r="M81" s="115">
        <v>0.82559882206089885</v>
      </c>
      <c r="N81" s="115">
        <v>1.6862941975759884</v>
      </c>
      <c r="O81" s="115">
        <v>0.81331798965187696</v>
      </c>
      <c r="P81" s="115">
        <v>0.93948338225025363</v>
      </c>
      <c r="Q81" s="111">
        <v>0.81331798965187707</v>
      </c>
      <c r="R81" s="68">
        <v>0.93948338225025363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0.71313955546325758</v>
      </c>
      <c r="M82" s="115">
        <v>10.711850320411813</v>
      </c>
      <c r="N82" s="115">
        <v>76.295115312576456</v>
      </c>
      <c r="O82" s="115">
        <v>1.3050153699921545</v>
      </c>
      <c r="P82" s="115">
        <v>1.301459294276575</v>
      </c>
      <c r="Q82" s="111">
        <v>1.3050153699921545</v>
      </c>
      <c r="R82" s="68">
        <v>1.301459294276575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0.12403658148505663</v>
      </c>
      <c r="M83" s="115">
        <v>68.470726784918952</v>
      </c>
      <c r="N83" s="115">
        <v>510.28025452963305</v>
      </c>
      <c r="O83" s="115">
        <v>5.3009863219819175</v>
      </c>
      <c r="P83" s="115">
        <v>5.0882509283348369</v>
      </c>
      <c r="Q83" s="111">
        <v>5.3009863219819184</v>
      </c>
      <c r="R83" s="68">
        <v>5.0882509283348369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0.9298793821392829</v>
      </c>
      <c r="M84" s="115">
        <v>1.4972576173263095</v>
      </c>
      <c r="N84" s="115">
        <v>6.8329605357618233</v>
      </c>
      <c r="O84" s="115">
        <v>0.82874952364448062</v>
      </c>
      <c r="P84" s="115">
        <v>0.94096711803783406</v>
      </c>
      <c r="Q84" s="111">
        <v>0.82874952364448062</v>
      </c>
      <c r="R84" s="68">
        <v>0.94096711803783417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0.98465788343471328</v>
      </c>
      <c r="M85" s="115">
        <v>0.65537472637310246</v>
      </c>
      <c r="N85" s="115">
        <v>0.34590077906811001</v>
      </c>
      <c r="O85" s="115">
        <v>0.81633276091981055</v>
      </c>
      <c r="P85" s="115">
        <v>0.94757631014043608</v>
      </c>
      <c r="Q85" s="111">
        <v>0.81633276091981055</v>
      </c>
      <c r="R85" s="68">
        <v>0.94757631014043608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0.93161371156328321</v>
      </c>
      <c r="M86" s="115">
        <v>1.4578514560782418</v>
      </c>
      <c r="N86" s="115">
        <v>6.5328693073565116</v>
      </c>
      <c r="O86" s="115">
        <v>0.82746188512886232</v>
      </c>
      <c r="P86" s="115">
        <v>0.94040376227838607</v>
      </c>
      <c r="Q86" s="111">
        <v>0.82746188512886232</v>
      </c>
      <c r="R86" s="68">
        <v>0.94040376227838618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4.5120742850836683E-4</v>
      </c>
      <c r="M87" s="115">
        <v>439.80696998514435</v>
      </c>
      <c r="N87" s="115">
        <v>3310.0155936683245</v>
      </c>
      <c r="O87" s="115">
        <v>19.767054067413259</v>
      </c>
      <c r="P87" s="115">
        <v>8.2433153253160683</v>
      </c>
      <c r="Q87" s="111">
        <v>19.767054067413259</v>
      </c>
      <c r="R87" s="68">
        <v>8.24331532531607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0.595539699985421</v>
      </c>
      <c r="M88" s="115">
        <v>18.484469152022438</v>
      </c>
      <c r="N88" s="115">
        <v>134.69186382747711</v>
      </c>
      <c r="O88" s="115">
        <v>1.7758418013365393</v>
      </c>
      <c r="P88" s="115">
        <v>1.7021465523286008</v>
      </c>
      <c r="Q88" s="111">
        <v>1.7758418013365393</v>
      </c>
      <c r="R88" s="68">
        <v>1.7021465523286008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0.69316130331667558</v>
      </c>
      <c r="M89" s="115">
        <v>11.914205645504763</v>
      </c>
      <c r="N89" s="115">
        <v>85.332352756218683</v>
      </c>
      <c r="O89" s="115">
        <v>1.3756512897807942</v>
      </c>
      <c r="P89" s="115">
        <v>1.360184443936628</v>
      </c>
      <c r="Q89" s="111">
        <v>1.3756512897807944</v>
      </c>
      <c r="R89" s="68">
        <v>1.360184443936628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0.86084797222898546</v>
      </c>
      <c r="M90" s="115">
        <v>3.5836261182444042</v>
      </c>
      <c r="N90" s="115">
        <v>22.631091310779727</v>
      </c>
      <c r="O90" s="115">
        <v>0.91740118474971688</v>
      </c>
      <c r="P90" s="115">
        <v>0.99699780533707383</v>
      </c>
      <c r="Q90" s="111">
        <v>0.91740118474971699</v>
      </c>
      <c r="R90" s="68">
        <v>0.99699780533707383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3.1324623091939698E-3</v>
      </c>
      <c r="M91" s="115">
        <v>228.19158569064774</v>
      </c>
      <c r="N91" s="115">
        <v>1712.3053741272499</v>
      </c>
      <c r="O91" s="115">
        <v>12.191982854392606</v>
      </c>
      <c r="P91" s="115">
        <v>7.5985647663984759</v>
      </c>
      <c r="Q91" s="111">
        <v>12.191982854392606</v>
      </c>
      <c r="R91" s="68">
        <v>7.5985647663984768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0.17327828768379611</v>
      </c>
      <c r="M92" s="115">
        <v>61.399292084328472</v>
      </c>
      <c r="N92" s="115">
        <v>457.05001825575511</v>
      </c>
      <c r="O92" s="115">
        <v>4.7489703992920136</v>
      </c>
      <c r="P92" s="115">
        <v>4.5147482253147011</v>
      </c>
      <c r="Q92" s="111">
        <v>4.7489703992920136</v>
      </c>
      <c r="R92" s="68">
        <v>4.5147482253147011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3.7873439787181995E-2</v>
      </c>
      <c r="M93" s="115">
        <v>82.91821372870551</v>
      </c>
      <c r="N93" s="115">
        <v>619.48731999114568</v>
      </c>
      <c r="O93" s="115">
        <v>6.5705680518246172</v>
      </c>
      <c r="P93" s="115">
        <v>6.5288395465669176</v>
      </c>
      <c r="Q93" s="111">
        <v>6.5705680518246172</v>
      </c>
      <c r="R93" s="68">
        <v>6.5288395465669176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0.89245718799134821</v>
      </c>
      <c r="M94" s="115">
        <v>1.949352776581504</v>
      </c>
      <c r="N94" s="115">
        <v>11.87215717836914</v>
      </c>
      <c r="O94" s="115">
        <v>1.2467593922301961</v>
      </c>
      <c r="P94" s="115">
        <v>1.7343327196582337</v>
      </c>
      <c r="Q94" s="111">
        <v>1.2467593922301961</v>
      </c>
      <c r="R94" s="68">
        <v>1.7343327196582337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7.5818458110747276E-3</v>
      </c>
      <c r="M95" s="115">
        <v>118.14623221696868</v>
      </c>
      <c r="N95" s="115">
        <v>884.93479987070521</v>
      </c>
      <c r="O95" s="115">
        <v>8.2635100331917197</v>
      </c>
      <c r="P95" s="115">
        <v>7.4094505115440645</v>
      </c>
      <c r="Q95" s="111">
        <v>8.2635100331917197</v>
      </c>
      <c r="R95" s="68">
        <v>7.4094505115440645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0.96577341645108639</v>
      </c>
      <c r="M96" s="115">
        <v>0.84111063229018868</v>
      </c>
      <c r="N96" s="115">
        <v>1.8066228047527555</v>
      </c>
      <c r="O96" s="115">
        <v>0.81338387576308679</v>
      </c>
      <c r="P96" s="115">
        <v>0.93915935148279361</v>
      </c>
      <c r="Q96" s="111">
        <v>0.81338387576308679</v>
      </c>
      <c r="R96" s="68">
        <v>0.93915935148279361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0.92899516883304256</v>
      </c>
      <c r="M97" s="115">
        <v>1.5176229247955777</v>
      </c>
      <c r="N97" s="115">
        <v>6.9879995825999561</v>
      </c>
      <c r="O97" s="115">
        <v>0.82942563932170543</v>
      </c>
      <c r="P97" s="115">
        <v>0.94127170672218285</v>
      </c>
      <c r="Q97" s="111">
        <v>0.82942563932170543</v>
      </c>
      <c r="R97" s="68">
        <v>0.94127170672218285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1.7836127812155437E-2</v>
      </c>
      <c r="M98" s="115">
        <v>86.413134502643786</v>
      </c>
      <c r="N98" s="115">
        <v>646.30522988258895</v>
      </c>
      <c r="O98" s="115">
        <v>6.9865742676565814</v>
      </c>
      <c r="P98" s="115">
        <v>7.0891059324118917</v>
      </c>
      <c r="Q98" s="111">
        <v>6.9865742676565814</v>
      </c>
      <c r="R98" s="68">
        <v>7.0891059324118917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0.98845275073003891</v>
      </c>
      <c r="M99" s="115">
        <v>0.63503261820219459</v>
      </c>
      <c r="N99" s="115">
        <v>0.17827049268266196</v>
      </c>
      <c r="O99" s="115">
        <v>0.81805337636760633</v>
      </c>
      <c r="P99" s="115">
        <v>0.95018110426914193</v>
      </c>
      <c r="Q99" s="111">
        <v>0.81805337636760633</v>
      </c>
      <c r="R99" s="68">
        <v>0.95018110426914193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0.40491194644866124</v>
      </c>
      <c r="M100" s="115">
        <v>34.686337194837627</v>
      </c>
      <c r="N100" s="115">
        <v>256.3444635901335</v>
      </c>
      <c r="O100" s="115">
        <v>2.8334030552228904</v>
      </c>
      <c r="P100" s="115">
        <v>2.6547877994741902</v>
      </c>
      <c r="Q100" s="111">
        <v>2.8334030552228904</v>
      </c>
      <c r="R100" s="68">
        <v>2.6547877994741902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0.98267902813070684</v>
      </c>
      <c r="M101" s="115">
        <v>0.6684716229397456</v>
      </c>
      <c r="N101" s="115">
        <v>0.45175966955460567</v>
      </c>
      <c r="O101" s="115">
        <v>0.81559793244993284</v>
      </c>
      <c r="P101" s="115">
        <v>0.94634662165809014</v>
      </c>
      <c r="Q101" s="111">
        <v>0.81559793244993295</v>
      </c>
      <c r="R101" s="68">
        <v>0.94634662165809025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0.99331680414515289</v>
      </c>
      <c r="M102" s="115">
        <v>0.61906629137891767</v>
      </c>
      <c r="N102" s="115">
        <v>3.8253108036536483E-2</v>
      </c>
      <c r="O102" s="115">
        <v>0.82090710930503485</v>
      </c>
      <c r="P102" s="115">
        <v>0.95402106646193507</v>
      </c>
      <c r="Q102" s="111">
        <v>0.82090710930503497</v>
      </c>
      <c r="R102" s="68">
        <v>0.95402106646193507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0.98872328909823404</v>
      </c>
      <c r="M103" s="115">
        <v>0.63383480958136573</v>
      </c>
      <c r="N103" s="115">
        <v>0.16818969978996243</v>
      </c>
      <c r="O103" s="115">
        <v>0.81819236100731296</v>
      </c>
      <c r="P103" s="115">
        <v>0.95037957163805864</v>
      </c>
      <c r="Q103" s="111">
        <v>0.81819236100731307</v>
      </c>
      <c r="R103" s="68">
        <v>0.95037957163805875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0.94893363150614962</v>
      </c>
      <c r="M104" s="115">
        <v>1.1053229781747396</v>
      </c>
      <c r="N104" s="115">
        <v>3.840738543439056</v>
      </c>
      <c r="O104" s="115">
        <v>0.81751968000858788</v>
      </c>
      <c r="P104" s="115">
        <v>0.93734173109822294</v>
      </c>
      <c r="Q104" s="111">
        <v>0.81751968000858788</v>
      </c>
      <c r="R104" s="68">
        <v>0.93734173109822305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0.99260304107764219</v>
      </c>
      <c r="M105" s="115">
        <v>0.62063064028536907</v>
      </c>
      <c r="N105" s="115">
        <v>5.3038701336909827E-2</v>
      </c>
      <c r="O105" s="115">
        <v>0.82043911951258319</v>
      </c>
      <c r="P105" s="115">
        <v>0.95342037900873677</v>
      </c>
      <c r="Q105" s="111">
        <v>0.82043911951258319</v>
      </c>
      <c r="R105" s="68">
        <v>0.95342037900873677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0.82167390299275989</v>
      </c>
      <c r="M106" s="115">
        <v>5.1556137432283222</v>
      </c>
      <c r="N106" s="115">
        <v>34.486744835392557</v>
      </c>
      <c r="O106" s="115">
        <v>0.99617538324273569</v>
      </c>
      <c r="P106" s="115">
        <v>1.0549305065162191</v>
      </c>
      <c r="Q106" s="111">
        <v>0.99617538324273569</v>
      </c>
      <c r="R106" s="68">
        <v>1.0549305065162191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1.3258295718782497E-2</v>
      </c>
      <c r="M107" s="115">
        <v>87.031568336648348</v>
      </c>
      <c r="N107" s="115">
        <v>651.1853026978373</v>
      </c>
      <c r="O107" s="115">
        <v>7.0955477777191689</v>
      </c>
      <c r="P107" s="115">
        <v>7.2576136123764305</v>
      </c>
      <c r="Q107" s="111">
        <v>7.0955477777191689</v>
      </c>
      <c r="R107" s="68">
        <v>7.2576136123764305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0.46691985616299009</v>
      </c>
      <c r="M108" s="115">
        <v>28.919107013787606</v>
      </c>
      <c r="N108" s="115">
        <v>213.04303924392894</v>
      </c>
      <c r="O108" s="115">
        <v>2.4474819276468365</v>
      </c>
      <c r="P108" s="115">
        <v>2.300511916879953</v>
      </c>
      <c r="Q108" s="111">
        <v>2.4474819276468365</v>
      </c>
      <c r="R108" s="68">
        <v>2.300511916879953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08"/>
  <sheetViews>
    <sheetView tabSelected="1" topLeftCell="A83" workbookViewId="0">
      <selection activeCell="A84" sqref="A84:D108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1.0201459496639848E-7</v>
      </c>
      <c r="B2">
        <f>'Mass Balance'!E2</f>
        <v>3.0855899946320843E-5</v>
      </c>
      <c r="C2">
        <f>SUM('Mass Balance'!E2:H2)</f>
        <v>3.2757489609413435E-5</v>
      </c>
      <c r="D2">
        <f>Concentrations!F2/Concentrations!E2</f>
        <v>0.94563593622416298</v>
      </c>
    </row>
    <row r="3" spans="1:4">
      <c r="A3" s="164">
        <f>'Mass Balance'!I3</f>
        <v>5.6320262446762816E-6</v>
      </c>
      <c r="B3">
        <f>'Mass Balance'!E3</f>
        <v>2.2801298085179257E-8</v>
      </c>
      <c r="C3">
        <f>SUM('Mass Balance'!E3:H3)</f>
        <v>3.1386061178766779E-5</v>
      </c>
      <c r="D3">
        <f>Concentrations!F3/Concentrations!E3</f>
        <v>7.2932166972692724E-4</v>
      </c>
    </row>
    <row r="4" spans="1:4">
      <c r="A4" s="164">
        <f>'Mass Balance'!I4</f>
        <v>5.4268796773394556E-7</v>
      </c>
      <c r="B4">
        <f>'Mass Balance'!E4</f>
        <v>1.3965660980001048E-5</v>
      </c>
      <c r="C4">
        <f>SUM('Mass Balance'!E4:H4)</f>
        <v>2.6259216868571712E-5</v>
      </c>
      <c r="D4">
        <f>Concentrations!F4/Concentrations!E4</f>
        <v>0.53391987495413606</v>
      </c>
    </row>
    <row r="5" spans="1:4">
      <c r="A5" s="164">
        <f>'Mass Balance'!I5</f>
        <v>1.7936507179568947E-6</v>
      </c>
      <c r="B5">
        <f>'Mass Balance'!E5</f>
        <v>2.6537970229699097E-7</v>
      </c>
      <c r="C5">
        <f>SUM('Mass Balance'!E5:H5)</f>
        <v>3.3733082040851763E-5</v>
      </c>
      <c r="D5">
        <f>Concentrations!F5/Concentrations!E5</f>
        <v>7.8978347458445244E-3</v>
      </c>
    </row>
    <row r="6" spans="1:4">
      <c r="A6" s="164">
        <f>'Mass Balance'!I6</f>
        <v>6.4634519946114038E-6</v>
      </c>
      <c r="B6">
        <f>'Mass Balance'!E6</f>
        <v>1.0038466682843227E-8</v>
      </c>
      <c r="C6">
        <f>SUM('Mass Balance'!E6:H6)</f>
        <v>3.138991297410637E-5</v>
      </c>
      <c r="D6">
        <f>Concentrations!F6/Concentrations!E6</f>
        <v>3.2105070844138669E-4</v>
      </c>
    </row>
    <row r="7" spans="1:4">
      <c r="A7" s="164">
        <f>'Mass Balance'!I7</f>
        <v>5.7825683286334822E-6</v>
      </c>
      <c r="B7">
        <f>'Mass Balance'!E7</f>
        <v>2.0348125881547291E-8</v>
      </c>
      <c r="C7">
        <f>SUM('Mass Balance'!E7:H7)</f>
        <v>3.1459848941942391E-5</v>
      </c>
      <c r="D7">
        <f>Concentrations!F7/Concentrations!E7</f>
        <v>6.4932802139476542E-4</v>
      </c>
    </row>
    <row r="8" spans="1:4">
      <c r="A8" s="164">
        <f>'Mass Balance'!I8</f>
        <v>4.7131274212223903E-6</v>
      </c>
      <c r="B8">
        <f>'Mass Balance'!E8</f>
        <v>4.6371009870894016E-8</v>
      </c>
      <c r="C8">
        <f>SUM('Mass Balance'!E8:H8)</f>
        <v>3.1740161547538365E-5</v>
      </c>
      <c r="D8">
        <f>Concentrations!F8/Concentrations!E8</f>
        <v>1.4666746427414964E-3</v>
      </c>
    </row>
    <row r="9" spans="1:4">
      <c r="A9" s="164">
        <f>'Mass Balance'!I9</f>
        <v>1.0663938137241039E-6</v>
      </c>
      <c r="B9">
        <f>'Mass Balance'!E9</f>
        <v>2.3168079263401178E-6</v>
      </c>
      <c r="C9">
        <f>SUM('Mass Balance'!E9:H9)</f>
        <v>3.0213998539607157E-5</v>
      </c>
      <c r="D9">
        <f>Concentrations!F9/Concentrations!E9</f>
        <v>7.6980049987451254E-2</v>
      </c>
    </row>
    <row r="10" spans="1:4">
      <c r="A10" s="164">
        <f>'Mass Balance'!I10</f>
        <v>1.913645960456403E-6</v>
      </c>
      <c r="B10">
        <f>'Mass Balance'!E10</f>
        <v>2.4609570789955678E-7</v>
      </c>
      <c r="C10">
        <f>SUM('Mass Balance'!E10:H10)</f>
        <v>3.3605306841211769E-5</v>
      </c>
      <c r="D10">
        <f>Concentrations!F10/Concentrations!E10</f>
        <v>7.3517805761136165E-3</v>
      </c>
    </row>
    <row r="11" spans="1:4">
      <c r="A11" s="164">
        <f>'Mass Balance'!I11</f>
        <v>2.1245317712303763E-6</v>
      </c>
      <c r="B11">
        <f>'Mass Balance'!E11</f>
        <v>2.1628481338229426E-7</v>
      </c>
      <c r="C11">
        <f>SUM('Mass Balance'!E11:H11)</f>
        <v>3.3386033182279964E-5</v>
      </c>
      <c r="D11">
        <f>Concentrations!F11/Concentrations!E11</f>
        <v>6.5036560878853978E-3</v>
      </c>
    </row>
    <row r="12" spans="1:4">
      <c r="A12" s="164">
        <f>'Mass Balance'!I12</f>
        <v>1.1165480728054046E-6</v>
      </c>
      <c r="B12">
        <f>'Mass Balance'!E12</f>
        <v>1.48531698476354E-6</v>
      </c>
      <c r="C12">
        <f>SUM('Mass Balance'!E12:H12)</f>
        <v>3.1534741149186639E-5</v>
      </c>
      <c r="D12">
        <f>Concentrations!F12/Concentrations!E12</f>
        <v>4.7285309840487087E-2</v>
      </c>
    </row>
    <row r="13" spans="1:4">
      <c r="A13" s="164">
        <f>'Mass Balance'!I13</f>
        <v>1.0719238192450993E-6</v>
      </c>
      <c r="B13">
        <f>'Mass Balance'!E13</f>
        <v>2.2225392927839219E-6</v>
      </c>
      <c r="C13">
        <f>SUM('Mass Balance'!E13:H13)</f>
        <v>3.0340101188420315E-5</v>
      </c>
      <c r="D13">
        <f>Concentrations!F13/Concentrations!E13</f>
        <v>7.3540873690213088E-2</v>
      </c>
    </row>
    <row r="14" spans="1:4">
      <c r="A14" s="164">
        <f>'Mass Balance'!I14</f>
        <v>2.8603663392747569E-6</v>
      </c>
      <c r="B14">
        <f>'Mass Balance'!E14</f>
        <v>1.4112152721467628E-7</v>
      </c>
      <c r="C14">
        <f>SUM('Mass Balance'!E14:H14)</f>
        <v>3.2753100105654028E-5</v>
      </c>
      <c r="D14">
        <f>Concentrations!F14/Concentrations!E14</f>
        <v>4.3255089750456246E-3</v>
      </c>
    </row>
    <row r="15" spans="1:4">
      <c r="A15" s="164">
        <f>'Mass Balance'!I15</f>
        <v>2.017417609764937E-6</v>
      </c>
      <c r="B15">
        <f>'Mass Balance'!E15</f>
        <v>2.3083333643323159E-7</v>
      </c>
      <c r="C15">
        <f>SUM('Mass Balance'!E15:H15)</f>
        <v>3.3496485882405022E-5</v>
      </c>
      <c r="D15">
        <f>Concentrations!F15/Concentrations!E15</f>
        <v>6.9182403118300574E-3</v>
      </c>
    </row>
    <row r="16" spans="1:4">
      <c r="A16" s="164">
        <f>'Mass Balance'!I16</f>
        <v>4.6592050367855632E-6</v>
      </c>
      <c r="B16">
        <f>'Mass Balance'!E16</f>
        <v>4.8033701956259354E-8</v>
      </c>
      <c r="C16">
        <f>SUM('Mass Balance'!E16:H16)</f>
        <v>3.1752218637283737E-5</v>
      </c>
      <c r="D16">
        <f>Concentrations!F16/Concentrations!E16</f>
        <v>1.5186872432767797E-3</v>
      </c>
    </row>
    <row r="17" spans="1:4">
      <c r="A17" s="164">
        <f>'Mass Balance'!I17</f>
        <v>1.833154635245331E-6</v>
      </c>
      <c r="B17">
        <f>'Mass Balance'!E17</f>
        <v>2.5884106112988286E-7</v>
      </c>
      <c r="C17">
        <f>SUM('Mass Balance'!E17:H17)</f>
        <v>3.369200390456576E-5</v>
      </c>
      <c r="D17">
        <f>Concentrations!F17/Concentrations!E17</f>
        <v>7.7126334484831222E-3</v>
      </c>
    </row>
    <row r="18" spans="1:4">
      <c r="A18" s="164">
        <f>'Mass Balance'!I18</f>
        <v>1.036017246535619E-6</v>
      </c>
      <c r="B18">
        <f>'Mass Balance'!E18</f>
        <v>2.7773121098714998E-6</v>
      </c>
      <c r="C18">
        <f>SUM('Mass Balance'!E18:H18)</f>
        <v>2.9553280563817384E-5</v>
      </c>
      <c r="D18">
        <f>Concentrations!F18/Concentrations!E18</f>
        <v>9.4344231965447375E-2</v>
      </c>
    </row>
    <row r="19" spans="1:4">
      <c r="A19" s="164">
        <f>'Mass Balance'!I19</f>
        <v>2.0385945946931562E-6</v>
      </c>
      <c r="B19">
        <f>'Mass Balance'!E19</f>
        <v>2.2786919612227761E-7</v>
      </c>
      <c r="C19">
        <f>SUM('Mass Balance'!E19:H19)</f>
        <v>3.3474814082180382E-5</v>
      </c>
      <c r="D19">
        <f>Concentrations!F19/Concentrations!E19</f>
        <v>6.8338243025118008E-3</v>
      </c>
    </row>
    <row r="20" spans="1:4">
      <c r="A20" s="164">
        <f>'Mass Balance'!I20</f>
        <v>1.0720639014502343E-6</v>
      </c>
      <c r="B20">
        <f>'Mass Balance'!E20</f>
        <v>2.2228297408545241E-6</v>
      </c>
      <c r="C20">
        <f>SUM('Mass Balance'!E20:H20)</f>
        <v>3.0344066123429868E-5</v>
      </c>
      <c r="D20">
        <f>Concentrations!F20/Concentrations!E20</f>
        <v>7.3540873690213088E-2</v>
      </c>
    </row>
    <row r="21" spans="1:4">
      <c r="A21" s="164">
        <f>'Mass Balance'!I21</f>
        <v>2.634373015804903E-6</v>
      </c>
      <c r="B21">
        <f>'Mass Balance'!E21</f>
        <v>1.603918774803143E-7</v>
      </c>
      <c r="C21">
        <f>SUM('Mass Balance'!E21:H21)</f>
        <v>3.2917047594252931E-5</v>
      </c>
      <c r="D21">
        <f>Concentrations!F21/Concentrations!E21</f>
        <v>4.8916779614992974E-3</v>
      </c>
    </row>
    <row r="22" spans="1:4">
      <c r="A22" s="164">
        <f>'Mass Balance'!I22</f>
        <v>2.8574608232320221E-7</v>
      </c>
      <c r="B22">
        <f>'Mass Balance'!E22</f>
        <v>2.232608481576564E-5</v>
      </c>
      <c r="C22">
        <f>SUM('Mass Balance'!E22:H22)</f>
        <v>2.8349154058852344E-5</v>
      </c>
      <c r="D22">
        <f>Concentrations!F22/Concentrations!E22</f>
        <v>0.79062187913500215</v>
      </c>
    </row>
    <row r="23" spans="1:4">
      <c r="A23" s="164">
        <f>'Mass Balance'!I23</f>
        <v>1.4918415851717914E-7</v>
      </c>
      <c r="B23">
        <f>'Mass Balance'!E23</f>
        <v>2.8312621475298039E-5</v>
      </c>
      <c r="C23">
        <f>SUM('Mass Balance'!E23:H23)</f>
        <v>3.123734947267189E-5</v>
      </c>
      <c r="D23">
        <f>Concentrations!F23/Concentrations!E23</f>
        <v>0.90991802583642012</v>
      </c>
    </row>
    <row r="24" spans="1:4">
      <c r="A24" s="164">
        <f>'Mass Balance'!I24</f>
        <v>8.3051934865296152E-7</v>
      </c>
      <c r="B24">
        <f>'Mass Balance'!E24</f>
        <v>6.8265958934110865E-6</v>
      </c>
      <c r="C24">
        <f>SUM('Mass Balance'!E24:H24)</f>
        <v>2.6948814145372335E-5</v>
      </c>
      <c r="D24">
        <f>Concentrations!F24/Concentrations!E24</f>
        <v>0.25430851284398492</v>
      </c>
    </row>
    <row r="25" spans="1:4">
      <c r="A25" s="164">
        <f>'Mass Balance'!I25</f>
        <v>1.1410239510113701E-6</v>
      </c>
      <c r="B25">
        <f>'Mass Balance'!E25</f>
        <v>8.077869930525701E-7</v>
      </c>
      <c r="C25">
        <f>SUM('Mass Balance'!E25:H25)</f>
        <v>3.266241059550869E-5</v>
      </c>
      <c r="D25">
        <f>Concentrations!F25/Concentrations!E25</f>
        <v>2.4828185657071931E-2</v>
      </c>
    </row>
    <row r="26" spans="1:4">
      <c r="A26" s="164">
        <f>'Mass Balance'!I26</f>
        <v>2.4894516771014754E-6</v>
      </c>
      <c r="B26">
        <f>'Mass Balance'!E26</f>
        <v>1.7438035547782679E-7</v>
      </c>
      <c r="C26">
        <f>SUM('Mass Balance'!E26:H26)</f>
        <v>3.3041153317030408E-5</v>
      </c>
      <c r="D26">
        <f>Concentrations!F26/Concentrations!E26</f>
        <v>5.2983265655727266E-3</v>
      </c>
    </row>
    <row r="27" spans="1:4">
      <c r="A27" s="164">
        <f>'Mass Balance'!I27</f>
        <v>5.5234075097855345E-6</v>
      </c>
      <c r="B27">
        <f>'Mass Balance'!E27</f>
        <v>2.5133017596602101E-8</v>
      </c>
      <c r="C27">
        <f>SUM('Mass Balance'!E27:H27)</f>
        <v>3.1439282358486488E-5</v>
      </c>
      <c r="D27">
        <f>Concentrations!F27/Concentrations!E27</f>
        <v>8.0254311530271677E-4</v>
      </c>
    </row>
    <row r="28" spans="1:4">
      <c r="A28" s="164">
        <f>'Mass Balance'!I28</f>
        <v>3.5741722599048814E-6</v>
      </c>
      <c r="B28">
        <f>'Mass Balance'!E28</f>
        <v>9.383058321580193E-8</v>
      </c>
      <c r="C28">
        <f>SUM('Mass Balance'!E28:H28)</f>
        <v>3.2276149136405374E-5</v>
      </c>
      <c r="D28">
        <f>Concentrations!F28/Concentrations!E28</f>
        <v>2.918495745467104E-3</v>
      </c>
    </row>
    <row r="29" spans="1:4">
      <c r="A29" s="164">
        <f>'Mass Balance'!I29</f>
        <v>2.7134893055184943E-6</v>
      </c>
      <c r="B29">
        <f>'Mass Balance'!E29</f>
        <v>1.4359663614548563E-7</v>
      </c>
      <c r="C29">
        <f>SUM('Mass Balance'!E29:H29)</f>
        <v>3.197471071824576E-5</v>
      </c>
      <c r="D29">
        <f>Concentrations!F29/Concentrations!E29</f>
        <v>4.5085200424820797E-3</v>
      </c>
    </row>
    <row r="30" spans="1:4">
      <c r="A30" s="164">
        <f>'Mass Balance'!I30</f>
        <v>3.5741722599048814E-6</v>
      </c>
      <c r="B30">
        <f>'Mass Balance'!E30</f>
        <v>9.383058321580193E-8</v>
      </c>
      <c r="C30">
        <f>SUM('Mass Balance'!E30:H30)</f>
        <v>3.2276149136405374E-5</v>
      </c>
      <c r="D30">
        <f>Concentrations!F30/Concentrations!E30</f>
        <v>2.918495745467104E-3</v>
      </c>
    </row>
    <row r="31" spans="1:4">
      <c r="A31" s="164">
        <f>'Mass Balance'!I31</f>
        <v>1.0153776677094591E-8</v>
      </c>
      <c r="B31">
        <f>'Mass Balance'!E31</f>
        <v>3.902157776663221E-5</v>
      </c>
      <c r="C31">
        <f>SUM('Mass Balance'!E31:H31)</f>
        <v>3.9055226217985938E-5</v>
      </c>
      <c r="D31">
        <f>Concentrations!F31/Concentrations!E31</f>
        <v>1.0030487243621813</v>
      </c>
    </row>
    <row r="32" spans="1:4">
      <c r="A32" s="164">
        <f>'Mass Balance'!I32</f>
        <v>4.3843103529326794E-7</v>
      </c>
      <c r="B32">
        <f>'Mass Balance'!E32</f>
        <v>1.7190507084278806E-5</v>
      </c>
      <c r="C32">
        <f>SUM('Mass Balance'!E32:H32)</f>
        <v>2.6823796015546569E-5</v>
      </c>
      <c r="D32">
        <f>Concentrations!F32/Concentrations!E32</f>
        <v>0.64337593466145515</v>
      </c>
    </row>
    <row r="33" spans="1:4">
      <c r="A33" s="164">
        <f>'Mass Balance'!I33</f>
        <v>9.1811454017352509E-9</v>
      </c>
      <c r="B33">
        <f>'Mass Balance'!E33</f>
        <v>3.9820429498047358E-5</v>
      </c>
      <c r="C33">
        <f>SUM('Mass Balance'!E33:H33)</f>
        <v>3.9988534369206813E-5</v>
      </c>
      <c r="D33">
        <f>Concentrations!F33/Concentrations!E33</f>
        <v>0.99969337789726753</v>
      </c>
    </row>
    <row r="34" spans="1:4">
      <c r="A34" s="164">
        <f>'Mass Balance'!I34</f>
        <v>7.5645407770738765E-8</v>
      </c>
      <c r="B34">
        <f>'Mass Balance'!E34</f>
        <v>2.1863373730773529E-5</v>
      </c>
      <c r="C34">
        <f>SUM('Mass Balance'!E34:H34)</f>
        <v>3.9916583059301519E-5</v>
      </c>
      <c r="D34">
        <f>Concentrations!F34/Concentrations!E34</f>
        <v>0.54987019915558144</v>
      </c>
    </row>
    <row r="35" spans="1:4">
      <c r="A35" s="164">
        <f>'Mass Balance'!I35</f>
        <v>1.0333356148276587E-7</v>
      </c>
      <c r="B35">
        <f>'Mass Balance'!E35</f>
        <v>1.2934431130296384E-5</v>
      </c>
      <c r="C35">
        <f>SUM('Mass Balance'!E35:H35)</f>
        <v>3.9877868558645672E-5</v>
      </c>
      <c r="D35">
        <f>Concentrations!F35/Concentrations!E35</f>
        <v>0.32562051399863756</v>
      </c>
    </row>
    <row r="36" spans="1:4">
      <c r="A36" s="164">
        <f>'Mass Balance'!I36</f>
        <v>1.2325040040930195E-7</v>
      </c>
      <c r="B36">
        <f>'Mass Balance'!E36</f>
        <v>4.312341766321999E-6</v>
      </c>
      <c r="C36">
        <f>SUM('Mass Balance'!E36:H36)</f>
        <v>3.9855750321654374E-5</v>
      </c>
      <c r="D36">
        <f>Concentrations!F36/Concentrations!E36</f>
        <v>0.10862218771257094</v>
      </c>
    </row>
    <row r="37" spans="1:4">
      <c r="A37" s="164">
        <f>'Mass Balance'!I37</f>
        <v>3.030227544754982E-7</v>
      </c>
      <c r="B37">
        <f>'Mass Balance'!E37</f>
        <v>8.2640041193656245E-6</v>
      </c>
      <c r="C37">
        <f>SUM('Mass Balance'!E37:H37)</f>
        <v>3.6888090486528897E-5</v>
      </c>
      <c r="D37">
        <f>Concentrations!F37/Concentrations!E37</f>
        <v>0.22490582970047909</v>
      </c>
    </row>
    <row r="38" spans="1:4">
      <c r="A38" s="164">
        <f>'Mass Balance'!I38</f>
        <v>6.9086095779206798E-8</v>
      </c>
      <c r="B38">
        <f>'Mass Balance'!E38</f>
        <v>2.4486961732664005E-5</v>
      </c>
      <c r="C38">
        <f>SUM('Mass Balance'!E38:H38)</f>
        <v>3.9855733240518226E-5</v>
      </c>
      <c r="D38">
        <f>Concentrations!F38/Concentrations!E38</f>
        <v>0.61679445598249327</v>
      </c>
    </row>
    <row r="39" spans="1:4">
      <c r="A39" s="164">
        <f>'Mass Balance'!I39</f>
        <v>1.1998205782805509E-6</v>
      </c>
      <c r="B39">
        <f>'Mass Balance'!E39</f>
        <v>4.0217411020063848E-7</v>
      </c>
      <c r="C39">
        <f>SUM('Mass Balance'!E39:H39)</f>
        <v>3.4507969035909654E-5</v>
      </c>
      <c r="D39">
        <f>Concentrations!F39/Concentrations!E39</f>
        <v>1.1700140373438878E-2</v>
      </c>
    </row>
    <row r="40" spans="1:4">
      <c r="A40" s="164">
        <f>'Mass Balance'!I40</f>
        <v>7.3840805220678876E-6</v>
      </c>
      <c r="B40">
        <f>'Mass Balance'!E40</f>
        <v>3.3204595271198858E-8</v>
      </c>
      <c r="C40">
        <f>SUM('Mass Balance'!E40:H40)</f>
        <v>3.252061511712242E-5</v>
      </c>
      <c r="D40">
        <f>Concentrations!F40/Concentrations!E40</f>
        <v>1.0250281720648683E-3</v>
      </c>
    </row>
    <row r="41" spans="1:4">
      <c r="A41" s="164">
        <f>'Mass Balance'!I41</f>
        <v>7.6821826889834192E-9</v>
      </c>
      <c r="B41">
        <f>'Mass Balance'!E41</f>
        <v>3.6535825889399711E-5</v>
      </c>
      <c r="C41">
        <f>SUM('Mass Balance'!E41:H41)</f>
        <v>3.6537504334021152E-5</v>
      </c>
      <c r="D41">
        <f>Concentrations!F41/Concentrations!E41</f>
        <v>1.0038675396339611</v>
      </c>
    </row>
    <row r="42" spans="1:4">
      <c r="A42" s="164">
        <f>'Mass Balance'!I42</f>
        <v>3.2787485358184452E-7</v>
      </c>
      <c r="B42">
        <f>'Mass Balance'!E42</f>
        <v>2.0823180612211026E-5</v>
      </c>
      <c r="C42">
        <f>SUM('Mass Balance'!E42:H42)</f>
        <v>2.7834710738046987E-5</v>
      </c>
      <c r="D42">
        <f>Concentrations!F42/Concentrations!E42</f>
        <v>0.75102901537292643</v>
      </c>
    </row>
    <row r="43" spans="1:4">
      <c r="A43" s="164">
        <f>'Mass Balance'!I43</f>
        <v>2.5970880405270831E-7</v>
      </c>
      <c r="B43">
        <f>'Mass Balance'!E43</f>
        <v>3.5040610934216996E-7</v>
      </c>
      <c r="C43">
        <f>SUM('Mass Balance'!E43:H43)</f>
        <v>3.9723522001667097E-5</v>
      </c>
      <c r="D43">
        <f>Concentrations!F43/Concentrations!E43</f>
        <v>8.8556467538360335E-3</v>
      </c>
    </row>
    <row r="44" spans="1:4">
      <c r="A44" s="164">
        <f>'Mass Balance'!I44</f>
        <v>5.8907464270440807E-8</v>
      </c>
      <c r="B44">
        <f>'Mass Balance'!E44</f>
        <v>3.0441761954023346E-5</v>
      </c>
      <c r="C44">
        <f>SUM('Mass Balance'!E44:H44)</f>
        <v>3.1456469453929322E-5</v>
      </c>
      <c r="D44">
        <f>Concentrations!F44/Concentrations!E44</f>
        <v>0.97152989827926495</v>
      </c>
    </row>
    <row r="45" spans="1:4">
      <c r="A45" s="164">
        <f>'Mass Balance'!I45</f>
        <v>3.6752316830531477E-7</v>
      </c>
      <c r="B45">
        <f>'Mass Balance'!E45</f>
        <v>1.9405193999153284E-5</v>
      </c>
      <c r="C45">
        <f>SUM('Mass Balance'!E45:H45)</f>
        <v>2.7362478035505396E-5</v>
      </c>
      <c r="D45">
        <f>Concentrations!F45/Concentrations!E45</f>
        <v>0.7119654604094906</v>
      </c>
    </row>
    <row r="46" spans="1:4">
      <c r="A46" s="164">
        <f>'Mass Balance'!I46</f>
        <v>3.4184093530135495E-7</v>
      </c>
      <c r="B46">
        <f>'Mass Balance'!E46</f>
        <v>2.0258493705238036E-5</v>
      </c>
      <c r="C46">
        <f>SUM('Mass Balance'!E46:H46)</f>
        <v>2.7603023984885882E-5</v>
      </c>
      <c r="D46">
        <f>Concentrations!F46/Concentrations!E46</f>
        <v>0.73679530590858955</v>
      </c>
    </row>
    <row r="47" spans="1:4">
      <c r="A47" s="164">
        <f>'Mass Balance'!I47</f>
        <v>5.6496697510981918E-6</v>
      </c>
      <c r="B47">
        <f>'Mass Balance'!E47</f>
        <v>2.287272794571551E-8</v>
      </c>
      <c r="C47">
        <f>SUM('Mass Balance'!E47:H47)</f>
        <v>3.148438461475742E-5</v>
      </c>
      <c r="D47">
        <f>Concentrations!F47/Concentrations!E47</f>
        <v>7.2932166972692735E-4</v>
      </c>
    </row>
    <row r="48" spans="1:4">
      <c r="A48" s="164">
        <f>'Mass Balance'!I48</f>
        <v>2.5988778166228317E-8</v>
      </c>
      <c r="B48">
        <f>'Mass Balance'!E48</f>
        <v>3.610632307508798E-5</v>
      </c>
      <c r="C48">
        <f>SUM('Mass Balance'!E48:H48)</f>
        <v>3.6441921368914797E-5</v>
      </c>
      <c r="D48">
        <f>Concentrations!F48/Concentrations!E48</f>
        <v>0.99466848831057531</v>
      </c>
    </row>
    <row r="49" spans="1:4">
      <c r="A49" s="164">
        <f>'Mass Balance'!I49</f>
        <v>3.8806511587533569E-8</v>
      </c>
      <c r="B49">
        <f>'Mass Balance'!E49</f>
        <v>3.4445689570082723E-5</v>
      </c>
      <c r="C49">
        <f>SUM('Mass Balance'!E49:H49)</f>
        <v>3.5037157569113305E-5</v>
      </c>
      <c r="D49">
        <f>Concentrations!F49/Concentrations!E49</f>
        <v>0.98696642602903828</v>
      </c>
    </row>
    <row r="50" spans="1:4">
      <c r="A50" s="164">
        <f>'Mass Balance'!I50</f>
        <v>1.0225363873393118E-6</v>
      </c>
      <c r="B50">
        <f>'Mass Balance'!E50</f>
        <v>2.9401033450058837E-6</v>
      </c>
      <c r="C50">
        <f>SUM('Mass Balance'!E50:H50)</f>
        <v>2.9261168110652555E-5</v>
      </c>
      <c r="D50">
        <f>Concentrations!F50/Concentrations!E50</f>
        <v>0.10087122598395441</v>
      </c>
    </row>
    <row r="51" spans="1:4">
      <c r="A51" s="164">
        <f>'Mass Balance'!I51</f>
        <v>1.0845383327895333E-8</v>
      </c>
      <c r="B51">
        <f>'Mass Balance'!E51</f>
        <v>3.6128558168446586E-5</v>
      </c>
      <c r="C51">
        <f>SUM('Mass Balance'!E51:H51)</f>
        <v>3.6184629180901387E-5</v>
      </c>
      <c r="D51">
        <f>Concentrations!F51/Concentrations!E51</f>
        <v>1.002358011511207</v>
      </c>
    </row>
    <row r="52" spans="1:4">
      <c r="A52" s="164">
        <f>'Mass Balance'!I52</f>
        <v>9.3277326576573104E-8</v>
      </c>
      <c r="B52">
        <f>'Mass Balance'!E52</f>
        <v>2.8837452665685248E-5</v>
      </c>
      <c r="C52">
        <f>SUM('Mass Balance'!E52:H52)</f>
        <v>3.057148051664705E-5</v>
      </c>
      <c r="D52">
        <f>Concentrations!F52/Concentrations!E52</f>
        <v>0.94697123184535315</v>
      </c>
    </row>
    <row r="53" spans="1:4">
      <c r="A53" s="164">
        <f>'Mass Balance'!I53</f>
        <v>5.059887283195853E-7</v>
      </c>
      <c r="B53">
        <f>'Mass Balance'!E53</f>
        <v>1.4968897899034775E-5</v>
      </c>
      <c r="C53">
        <f>SUM('Mass Balance'!E53:H53)</f>
        <v>2.6334044206107103E-5</v>
      </c>
      <c r="D53">
        <f>Concentrations!F53/Concentrations!E53</f>
        <v>0.57064843187288916</v>
      </c>
    </row>
    <row r="54" spans="1:4">
      <c r="A54" s="164">
        <f>'Mass Balance'!I54</f>
        <v>5.223816373315894E-6</v>
      </c>
      <c r="B54">
        <f>'Mass Balance'!E54</f>
        <v>3.2207427057015606E-8</v>
      </c>
      <c r="C54">
        <f>SUM('Mass Balance'!E54:H54)</f>
        <v>3.157760854610315E-5</v>
      </c>
      <c r="D54">
        <f>Concentrations!F54/Concentrations!E54</f>
        <v>1.0239368137133337E-3</v>
      </c>
    </row>
    <row r="55" spans="1:4">
      <c r="A55" s="164">
        <f>'Mass Balance'!I55</f>
        <v>7.4940169858751613E-7</v>
      </c>
      <c r="B55">
        <f>'Mass Balance'!E55</f>
        <v>5.3552432134109329E-6</v>
      </c>
      <c r="C55">
        <f>SUM('Mass Balance'!E55:H55)</f>
        <v>2.3659632687146216E-5</v>
      </c>
      <c r="D55">
        <f>Concentrations!F55/Concentrations!E55</f>
        <v>0.22723099168919017</v>
      </c>
    </row>
    <row r="56" spans="1:4">
      <c r="A56" s="164">
        <f>'Mass Balance'!I56</f>
        <v>4.4706747534682758E-7</v>
      </c>
      <c r="B56">
        <f>'Mass Balance'!E56</f>
        <v>6.3789611370220826E-7</v>
      </c>
      <c r="C56">
        <f>SUM('Mass Balance'!E56:H56)</f>
        <v>1.2620997249882456E-5</v>
      </c>
      <c r="D56">
        <f>Concentrations!F56/Concentrations!E56</f>
        <v>5.0740255117251006E-2</v>
      </c>
    </row>
    <row r="57" spans="1:4">
      <c r="A57" s="164">
        <f>'Mass Balance'!I57</f>
        <v>2.1968031476465949E-7</v>
      </c>
      <c r="B57">
        <f>'Mass Balance'!E57</f>
        <v>1.159051511387421E-6</v>
      </c>
      <c r="C57">
        <f>SUM('Mass Balance'!E57:H57)</f>
        <v>6.619539437866079E-6</v>
      </c>
      <c r="D57">
        <f>Concentrations!F57/Concentrations!E57</f>
        <v>0.17578075519766789</v>
      </c>
    </row>
    <row r="58" spans="1:4">
      <c r="A58" s="164">
        <f>'Mass Balance'!I58</f>
        <v>3.2387792013633322E-9</v>
      </c>
      <c r="B58">
        <f>'Mass Balance'!E58</f>
        <v>2.3664419135560604E-6</v>
      </c>
      <c r="C58">
        <f>SUM('Mass Balance'!E58:H58)</f>
        <v>2.4183893118885616E-6</v>
      </c>
      <c r="D58">
        <f>Concentrations!F58/Concentrations!E58</f>
        <v>0.98234942729794861</v>
      </c>
    </row>
    <row r="59" spans="1:4">
      <c r="A59" s="164">
        <f>'Mass Balance'!I59</f>
        <v>8.4527684597707826E-8</v>
      </c>
      <c r="B59">
        <f>'Mass Balance'!E59</f>
        <v>4.7832109201876528E-7</v>
      </c>
      <c r="C59">
        <f>SUM('Mass Balance'!E59:H59)</f>
        <v>2.5709235983237721E-6</v>
      </c>
      <c r="D59">
        <f>Concentrations!F59/Concentrations!E59</f>
        <v>0.18677843130853475</v>
      </c>
    </row>
    <row r="60" spans="1:4">
      <c r="A60" s="164">
        <f>'Mass Balance'!I60</f>
        <v>1.4658852523848084E-9</v>
      </c>
      <c r="B60">
        <f>'Mass Balance'!E60</f>
        <v>1.7910416708250986E-8</v>
      </c>
      <c r="C60">
        <f>SUM('Mass Balance'!E60:H60)</f>
        <v>5.2617979460589059E-8</v>
      </c>
      <c r="D60">
        <f>Concentrations!F60/Concentrations!E60</f>
        <v>0.34171802338874779</v>
      </c>
    </row>
    <row r="61" spans="1:4">
      <c r="A61" s="164">
        <f>'Mass Balance'!I61</f>
        <v>6.4555879885627889E-7</v>
      </c>
      <c r="B61">
        <f>'Mass Balance'!E61</f>
        <v>1.1186548219046388E-5</v>
      </c>
      <c r="C61">
        <f>SUM('Mass Balance'!E61:H61)</f>
        <v>2.6160763851723512E-5</v>
      </c>
      <c r="D61">
        <f>Concentrations!F61/Concentrations!E61</f>
        <v>0.4292813694373403</v>
      </c>
    </row>
    <row r="62" spans="1:4">
      <c r="A62" s="164">
        <f>'Mass Balance'!I62</f>
        <v>2.8098043689266544E-6</v>
      </c>
      <c r="B62">
        <f>'Mass Balance'!E62</f>
        <v>1.4525933761750422E-7</v>
      </c>
      <c r="C62">
        <f>SUM('Mass Balance'!E62:H62)</f>
        <v>3.2793218399121172E-5</v>
      </c>
      <c r="D62">
        <f>Concentrations!F62/Concentrations!E62</f>
        <v>4.4468899351751291E-3</v>
      </c>
    </row>
    <row r="63" spans="1:4">
      <c r="A63" s="164">
        <f>'Mass Balance'!I63</f>
        <v>6.2856677126104156E-6</v>
      </c>
      <c r="B63">
        <f>'Mass Balance'!E63</f>
        <v>1.2332198790640157E-8</v>
      </c>
      <c r="C63">
        <f>SUM('Mass Balance'!E63:H63)</f>
        <v>3.1398974628267733E-5</v>
      </c>
      <c r="D63">
        <f>Concentrations!F63/Concentrations!E63</f>
        <v>3.9429513012256986E-4</v>
      </c>
    </row>
    <row r="64" spans="1:4">
      <c r="A64" s="164">
        <f>'Mass Balance'!I64</f>
        <v>7.0579864518456558E-6</v>
      </c>
      <c r="B64">
        <f>'Mass Balance'!E64</f>
        <v>4.2052090542691609E-9</v>
      </c>
      <c r="C64">
        <f>SUM('Mass Balance'!E64:H64)</f>
        <v>3.140779155778589E-5</v>
      </c>
      <c r="D64">
        <f>Concentrations!F64/Concentrations!E64</f>
        <v>1.3441463378141346E-4</v>
      </c>
    </row>
    <row r="65" spans="1:4">
      <c r="A65" s="164">
        <f>'Mass Balance'!I65</f>
        <v>7.5990460646709922E-6</v>
      </c>
      <c r="B65">
        <f>'Mass Balance'!E65</f>
        <v>1.1674423277395231E-9</v>
      </c>
      <c r="C65">
        <f>SUM('Mass Balance'!E65:H65)</f>
        <v>3.1493986757031904E-5</v>
      </c>
      <c r="D65">
        <f>Concentrations!F65/Concentrations!E65</f>
        <v>3.7213811818105853E-5</v>
      </c>
    </row>
    <row r="66" spans="1:4">
      <c r="A66" s="164">
        <f>'Mass Balance'!I66</f>
        <v>7.3274707692548704E-6</v>
      </c>
      <c r="B66">
        <f>'Mass Balance'!E66</f>
        <v>2.4341190271073956E-9</v>
      </c>
      <c r="C66">
        <f>SUM('Mass Balance'!E66:H66)</f>
        <v>3.1442510934743361E-5</v>
      </c>
      <c r="D66">
        <f>Concentrations!F66/Concentrations!E66</f>
        <v>7.7717881346988244E-5</v>
      </c>
    </row>
    <row r="67" spans="1:4">
      <c r="A67" s="164">
        <f>'Mass Balance'!I67</f>
        <v>7.4242350367235617E-8</v>
      </c>
      <c r="B67">
        <f>'Mass Balance'!E67</f>
        <v>3.2416638570760427E-5</v>
      </c>
      <c r="C67">
        <f>SUM('Mass Balance'!E67:H67)</f>
        <v>3.3731959446158995E-5</v>
      </c>
      <c r="D67">
        <f>Concentrations!F67/Concentrations!E67</f>
        <v>0.96476773687511463</v>
      </c>
    </row>
    <row r="68" spans="1:4">
      <c r="A68" s="164">
        <f>'Mass Balance'!I68</f>
        <v>1.1905312781620906E-7</v>
      </c>
      <c r="B68">
        <f>'Mass Balance'!E68</f>
        <v>2.9531060889271909E-5</v>
      </c>
      <c r="C68">
        <f>SUM('Mass Balance'!E68:H68)</f>
        <v>3.1801887318147393E-5</v>
      </c>
      <c r="D68">
        <f>Concentrations!F68/Concentrations!E68</f>
        <v>0.9322288025193527</v>
      </c>
    </row>
    <row r="69" spans="1:4">
      <c r="A69" s="164">
        <f>'Mass Balance'!I69</f>
        <v>4.5760896846762757E-6</v>
      </c>
      <c r="B69">
        <f>'Mass Balance'!E69</f>
        <v>5.060274044710735E-8</v>
      </c>
      <c r="C69">
        <f>SUM('Mass Balance'!E69:H69)</f>
        <v>3.1758921422023469E-5</v>
      </c>
      <c r="D69">
        <f>Concentrations!F69/Concentrations!E69</f>
        <v>1.5995751726402133E-3</v>
      </c>
    </row>
    <row r="70" spans="1:4">
      <c r="A70" s="164">
        <f>'Mass Balance'!I70</f>
        <v>1.1420876104963257E-6</v>
      </c>
      <c r="B70">
        <f>'Mass Balance'!E70</f>
        <v>9.9774297644791487E-7</v>
      </c>
      <c r="C70">
        <f>SUM('Mass Balance'!E70:H70)</f>
        <v>3.2494011779349141E-5</v>
      </c>
      <c r="D70">
        <f>Concentrations!F70/Concentrations!E70</f>
        <v>3.0825612024579733E-2</v>
      </c>
    </row>
    <row r="71" spans="1:4">
      <c r="A71" s="164">
        <f>'Mass Balance'!I71</f>
        <v>1.0906790798153285E-7</v>
      </c>
      <c r="B71">
        <f>'Mass Balance'!E71</f>
        <v>2.9555966538975219E-5</v>
      </c>
      <c r="C71">
        <f>SUM('Mass Balance'!E71:H71)</f>
        <v>3.1615764836178313E-5</v>
      </c>
      <c r="D71">
        <f>Concentrations!F71/Concentrations!E71</f>
        <v>0.93850769095966746</v>
      </c>
    </row>
    <row r="72" spans="1:4">
      <c r="A72" s="164">
        <f>'Mass Balance'!I72</f>
        <v>1.1209763116970235E-6</v>
      </c>
      <c r="B72">
        <f>'Mass Balance'!E72</f>
        <v>1.1532876664767988E-6</v>
      </c>
      <c r="C72">
        <f>SUM('Mass Balance'!E72:H72)</f>
        <v>3.177490630260667E-5</v>
      </c>
      <c r="D72">
        <f>Concentrations!F72/Concentrations!E72</f>
        <v>3.6437597259925153E-2</v>
      </c>
    </row>
    <row r="73" spans="1:4">
      <c r="A73" s="164">
        <f>'Mass Balance'!I73</f>
        <v>6.670634082897567E-7</v>
      </c>
      <c r="B73">
        <f>'Mass Balance'!E73</f>
        <v>1.0288707349538853E-5</v>
      </c>
      <c r="C73">
        <f>SUM('Mass Balance'!E73:H73)</f>
        <v>2.5868441193055309E-5</v>
      </c>
      <c r="D73">
        <f>Concentrations!F73/Concentrations!E73</f>
        <v>0.39928860591166576</v>
      </c>
    </row>
    <row r="74" spans="1:4">
      <c r="A74" s="164">
        <f>'Mass Balance'!I74</f>
        <v>1.1375174493434676E-6</v>
      </c>
      <c r="B74">
        <f>'Mass Balance'!E74</f>
        <v>1.0412848634199576E-6</v>
      </c>
      <c r="C74">
        <f>SUM('Mass Balance'!E74:H74)</f>
        <v>3.2326389260149411E-5</v>
      </c>
      <c r="D74">
        <f>Concentrations!F74/Concentrations!E74</f>
        <v>3.2337669598745421E-2</v>
      </c>
    </row>
    <row r="75" spans="1:4">
      <c r="A75" s="164">
        <f>'Mass Balance'!I75</f>
        <v>8.5234285381143575E-7</v>
      </c>
      <c r="B75">
        <f>'Mass Balance'!E75</f>
        <v>1.6915294753466858E-7</v>
      </c>
      <c r="C75">
        <f>SUM('Mass Balance'!E75:H75)</f>
        <v>3.9144383838396211E-5</v>
      </c>
      <c r="D75">
        <f>Concentrations!F75/Concentrations!E75</f>
        <v>4.3381690424097374E-3</v>
      </c>
    </row>
    <row r="76" spans="1:4">
      <c r="A76" s="164">
        <f>'Mass Balance'!I76</f>
        <v>8.5234285425930653E-7</v>
      </c>
      <c r="B76">
        <f>'Mass Balance'!E76</f>
        <v>1.6915294762355151E-7</v>
      </c>
      <c r="C76">
        <f>SUM('Mass Balance'!E76:H76)</f>
        <v>3.9144383858964962E-5</v>
      </c>
      <c r="D76">
        <f>Concentrations!F76/Concentrations!E76</f>
        <v>4.3381690424097383E-3</v>
      </c>
    </row>
    <row r="77" spans="1:4">
      <c r="A77" s="164">
        <f>'Mass Balance'!I77</f>
        <v>9.4645818601474769E-7</v>
      </c>
      <c r="B77">
        <f>'Mass Balance'!E77</f>
        <v>3.9539729580597642E-6</v>
      </c>
      <c r="C77">
        <f>SUM('Mass Balance'!E77:H77)</f>
        <v>2.7798084773441834E-5</v>
      </c>
      <c r="D77">
        <f>Concentrations!F77/Concentrations!E77</f>
        <v>0.14279571719987916</v>
      </c>
    </row>
    <row r="78" spans="1:4">
      <c r="A78" s="164">
        <f>'Mass Balance'!I78</f>
        <v>2.9872931892201208E-7</v>
      </c>
      <c r="B78">
        <f>'Mass Balance'!E78</f>
        <v>2.0804047856401617E-5</v>
      </c>
      <c r="C78">
        <f>SUM('Mass Balance'!E78:H78)</f>
        <v>2.7151928518084094E-5</v>
      </c>
      <c r="D78">
        <f>Concentrations!F78/Concentrations!E78</f>
        <v>0.76920752608869436</v>
      </c>
    </row>
    <row r="79" spans="1:4">
      <c r="A79" s="164">
        <f>'Mass Balance'!I79</f>
        <v>5.148205072527615E-7</v>
      </c>
      <c r="B79">
        <f>'Mass Balance'!E79</f>
        <v>1.4538882806742498E-5</v>
      </c>
      <c r="C79">
        <f>SUM('Mass Balance'!E79:H79)</f>
        <v>2.6135347055275204E-5</v>
      </c>
      <c r="D79">
        <f>Concentrations!F79/Concentrations!E79</f>
        <v>0.5584690716502958</v>
      </c>
    </row>
    <row r="80" spans="1:4">
      <c r="A80" s="164">
        <f>'Mass Balance'!I80</f>
        <v>1.6233279341588311E-6</v>
      </c>
      <c r="B80">
        <f>'Mass Balance'!E80</f>
        <v>1.1243081245957671E-7</v>
      </c>
      <c r="C80">
        <f>SUM('Mass Balance'!E80:H80)</f>
        <v>3.8372761040739872E-5</v>
      </c>
      <c r="D80">
        <f>Concentrations!F80/Concentrations!E80</f>
        <v>2.941430979542805E-3</v>
      </c>
    </row>
    <row r="81" spans="1:4">
      <c r="A81" s="164">
        <f>'Mass Balance'!I81</f>
        <v>1.109604816849848E-8</v>
      </c>
      <c r="B81">
        <f>'Mass Balance'!E81</f>
        <v>3.8779032947503621E-5</v>
      </c>
      <c r="C81">
        <f>SUM('Mass Balance'!E81:H81)</f>
        <v>3.8829735013872402E-5</v>
      </c>
      <c r="D81">
        <f>Concentrations!F81/Concentrations!E81</f>
        <v>1.002602793126474</v>
      </c>
    </row>
    <row r="82" spans="1:4">
      <c r="A82" s="164">
        <f>'Mass Balance'!I82</f>
        <v>1.4396726830633476E-7</v>
      </c>
      <c r="B82">
        <f>'Mass Balance'!E82</f>
        <v>2.8575929303427091E-5</v>
      </c>
      <c r="C82">
        <f>SUM('Mass Balance'!E82:H82)</f>
        <v>3.1386124449829952E-5</v>
      </c>
      <c r="D82">
        <f>Concentrations!F82/Concentrations!E82</f>
        <v>0.9140270164622144</v>
      </c>
    </row>
    <row r="83" spans="1:4">
      <c r="A83" s="164">
        <f>'Mass Balance'!I83</f>
        <v>9.202465679893108E-7</v>
      </c>
      <c r="B83">
        <f>'Mass Balance'!E83</f>
        <v>4.9699542679283643E-6</v>
      </c>
      <c r="C83">
        <f>SUM('Mass Balance'!E83:H83)</f>
        <v>2.781333575058533E-5</v>
      </c>
      <c r="D83">
        <f>Concentrations!F83/Concentrations!E83</f>
        <v>0.17938894525213359</v>
      </c>
    </row>
    <row r="84" spans="1:4">
      <c r="A84" s="164">
        <f>'Mass Balance'!I84</f>
        <v>2.0123142376865598E-8</v>
      </c>
      <c r="B84">
        <f>'Mass Balance'!E84</f>
        <v>3.7276277955659791E-5</v>
      </c>
      <c r="C84">
        <f>SUM('Mass Balance'!E84:H84)</f>
        <v>3.7496330323886748E-5</v>
      </c>
      <c r="D84">
        <f>Concentrations!F84/Concentrations!E84</f>
        <v>0.99802205172041059</v>
      </c>
    </row>
    <row r="85" spans="1:4">
      <c r="A85" s="164">
        <f>'Mass Balance'!I85</f>
        <v>8.8082363224544971E-9</v>
      </c>
      <c r="B85">
        <f>'Mass Balance'!E85</f>
        <v>3.9498005794596425E-5</v>
      </c>
      <c r="C85">
        <f>SUM('Mass Balance'!E85:H85)</f>
        <v>3.9507669626825228E-5</v>
      </c>
      <c r="D85">
        <f>Concentrations!F85/Concentrations!E85</f>
        <v>1.0036680932087843</v>
      </c>
    </row>
    <row r="86" spans="1:4">
      <c r="A86" s="164">
        <f>'Mass Balance'!I86</f>
        <v>1.959352356969157E-8</v>
      </c>
      <c r="B86">
        <f>'Mass Balance'!E86</f>
        <v>3.7346301506549529E-5</v>
      </c>
      <c r="C86">
        <f>SUM('Mass Balance'!E86:H86)</f>
        <v>3.7556211976954447E-5</v>
      </c>
      <c r="D86">
        <f>Concentrations!F86/Concentrations!E86</f>
        <v>0.9983025482944875</v>
      </c>
    </row>
    <row r="87" spans="1:4">
      <c r="A87" s="164">
        <f>'Mass Balance'!I87</f>
        <v>5.9110056766003402E-6</v>
      </c>
      <c r="B87">
        <f>'Mass Balance'!E87</f>
        <v>1.8078969362383144E-8</v>
      </c>
      <c r="C87">
        <f>SUM('Mass Balance'!E87:H87)</f>
        <v>3.1440227639211975E-5</v>
      </c>
      <c r="D87">
        <f>Concentrations!F87/Concentrations!E87</f>
        <v>5.7727712584221204E-4</v>
      </c>
    </row>
    <row r="88" spans="1:4">
      <c r="A88" s="164">
        <f>'Mass Balance'!I88</f>
        <v>2.4843126540318153E-7</v>
      </c>
      <c r="B88">
        <f>'Mass Balance'!E88</f>
        <v>2.3862997273299636E-5</v>
      </c>
      <c r="C88">
        <f>SUM('Mass Balance'!E88:H88)</f>
        <v>2.9021093123576144E-5</v>
      </c>
      <c r="D88">
        <f>Concentrations!F88/Concentrations!E88</f>
        <v>0.8254819609178794</v>
      </c>
    </row>
    <row r="89" spans="1:4">
      <c r="A89" s="164">
        <f>'Mass Balance'!I89</f>
        <v>1.6012692387558402E-7</v>
      </c>
      <c r="B89">
        <f>'Mass Balance'!E89</f>
        <v>2.777520986238527E-5</v>
      </c>
      <c r="C89">
        <f>SUM('Mass Balance'!E89:H89)</f>
        <v>3.0941161938669614E-5</v>
      </c>
      <c r="D89">
        <f>Concentrations!F89/Concentrations!E89</f>
        <v>0.90119151188221702</v>
      </c>
    </row>
    <row r="90" spans="1:4">
      <c r="A90" s="164">
        <f>'Mass Balance'!I90</f>
        <v>4.8163935029204792E-8</v>
      </c>
      <c r="B90">
        <f>'Mass Balance'!E90</f>
        <v>3.4499208067387094E-5</v>
      </c>
      <c r="C90">
        <f>SUM('Mass Balance'!E90:H90)</f>
        <v>3.5275358166476726E-5</v>
      </c>
      <c r="D90">
        <f>Concentrations!F90/Concentrations!E90</f>
        <v>0.98182493204176768</v>
      </c>
    </row>
    <row r="91" spans="1:4">
      <c r="A91" s="164">
        <f>'Mass Balance'!I91</f>
        <v>3.0668949116823059E-6</v>
      </c>
      <c r="B91">
        <f>'Mass Balance'!E91</f>
        <v>1.255118840377036E-7</v>
      </c>
      <c r="C91">
        <f>SUM('Mass Balance'!E91:H91)</f>
        <v>3.2605029903724425E-5</v>
      </c>
      <c r="D91">
        <f>Concentrations!F91/Concentrations!E91</f>
        <v>3.8645293340741375E-3</v>
      </c>
    </row>
    <row r="92" spans="1:4">
      <c r="A92" s="164">
        <f>'Mass Balance'!I92</f>
        <v>8.2520648561337464E-7</v>
      </c>
      <c r="B92">
        <f>'Mass Balance'!E92</f>
        <v>6.9430031076260198E-6</v>
      </c>
      <c r="C92">
        <f>SUM('Mass Balance'!E92:H92)</f>
        <v>2.6909523143863488E-5</v>
      </c>
      <c r="D92">
        <f>Concentrations!F92/Concentrations!E92</f>
        <v>0.25902263682185789</v>
      </c>
    </row>
    <row r="93" spans="1:4">
      <c r="A93" s="164">
        <f>'Mass Balance'!I93</f>
        <v>1.114420792513802E-6</v>
      </c>
      <c r="B93">
        <f>'Mass Balance'!E93</f>
        <v>1.5175256848129645E-6</v>
      </c>
      <c r="C93">
        <f>SUM('Mass Balance'!E93:H93)</f>
        <v>3.1469143156474162E-5</v>
      </c>
      <c r="D93">
        <f>Concentrations!F93/Concentrations!E93</f>
        <v>4.8411383565722318E-2</v>
      </c>
    </row>
    <row r="94" spans="1:4">
      <c r="A94" s="164">
        <f>'Mass Balance'!I94</f>
        <v>2.6199301317255411E-8</v>
      </c>
      <c r="B94">
        <f>'Mass Balance'!E94</f>
        <v>3.5767277228769744E-5</v>
      </c>
      <c r="C94">
        <f>SUM('Mass Balance'!E94:H94)</f>
        <v>3.9967424547876074E-5</v>
      </c>
      <c r="D94">
        <f>Concentrations!F94/Concentrations!E94</f>
        <v>0.89841310742128699</v>
      </c>
    </row>
    <row r="95" spans="1:4">
      <c r="A95" s="164">
        <f>'Mass Balance'!I95</f>
        <v>1.587885360996059E-6</v>
      </c>
      <c r="B95">
        <f>'Mass Balance'!E95</f>
        <v>3.0379099966675106E-7</v>
      </c>
      <c r="C95">
        <f>SUM('Mass Balance'!E95:H95)</f>
        <v>3.3979860408197416E-5</v>
      </c>
      <c r="D95">
        <f>Concentrations!F95/Concentrations!E95</f>
        <v>8.9753144885108566E-3</v>
      </c>
    </row>
    <row r="96" spans="1:4">
      <c r="A96" s="164">
        <f>'Mass Balance'!I96</f>
        <v>1.1304526897980135E-8</v>
      </c>
      <c r="B96">
        <f>'Mass Balance'!E96</f>
        <v>3.8730322829988087E-5</v>
      </c>
      <c r="C96">
        <f>SUM('Mass Balance'!E96:H96)</f>
        <v>3.8784821896014239E-5</v>
      </c>
      <c r="D96">
        <f>Concentrations!F96/Concentrations!E96</f>
        <v>1.0025029928797253</v>
      </c>
    </row>
    <row r="97" spans="1:4">
      <c r="A97" s="164">
        <f>'Mass Balance'!I97</f>
        <v>2.0396852109252566E-8</v>
      </c>
      <c r="B97">
        <f>'Mass Balance'!E97</f>
        <v>3.7240585414762174E-5</v>
      </c>
      <c r="C97">
        <f>SUM('Mass Balance'!E97:H97)</f>
        <v>3.7465886834853432E-5</v>
      </c>
      <c r="D97">
        <f>Concentrations!F97/Concentrations!E97</f>
        <v>0.99787661392795624</v>
      </c>
    </row>
    <row r="98" spans="1:4">
      <c r="A98" s="164">
        <f>'Mass Balance'!I98</f>
        <v>1.1613925277155327E-6</v>
      </c>
      <c r="B98">
        <f>'Mass Balance'!E98</f>
        <v>7.1466300188778471E-7</v>
      </c>
      <c r="C98">
        <f>SUM('Mass Balance'!E98:H98)</f>
        <v>3.3404214255415182E-5</v>
      </c>
      <c r="D98">
        <f>Concentrations!F98/Concentrations!E98</f>
        <v>2.1478126749584537E-2</v>
      </c>
    </row>
    <row r="99" spans="1:4">
      <c r="A99" s="164">
        <f>'Mass Balance'!I99</f>
        <v>8.5348383886374961E-9</v>
      </c>
      <c r="B99">
        <f>'Mass Balance'!E99</f>
        <v>3.9651817053669524E-5</v>
      </c>
      <c r="C99">
        <f>SUM('Mass Balance'!E99:H99)</f>
        <v>3.9656652491629189E-5</v>
      </c>
      <c r="D99">
        <f>Concentrations!F99/Concentrations!E99</f>
        <v>1.0037912472179731</v>
      </c>
    </row>
    <row r="100" spans="1:4">
      <c r="A100" s="164">
        <f>'Mass Balance'!I100</f>
        <v>4.6618437189861771E-7</v>
      </c>
      <c r="B100">
        <f>'Mass Balance'!E100</f>
        <v>1.6224359885859346E-5</v>
      </c>
      <c r="C100">
        <f>SUM('Mass Balance'!E100:H100)</f>
        <v>2.6590744687932607E-5</v>
      </c>
      <c r="D100">
        <f>Concentrations!F100/Concentrations!E100</f>
        <v>0.6125385601891854</v>
      </c>
    </row>
    <row r="101" spans="1:4">
      <c r="A101" s="164">
        <f>'Mass Balance'!I101</f>
        <v>8.9842586123101806E-9</v>
      </c>
      <c r="B101">
        <f>'Mass Balance'!E101</f>
        <v>3.9417682412530691E-5</v>
      </c>
      <c r="C101">
        <f>SUM('Mass Balance'!E101:H101)</f>
        <v>3.9430457363464518E-5</v>
      </c>
      <c r="D101">
        <f>Concentrations!F101/Concentrations!E101</f>
        <v>1.0035884021450032</v>
      </c>
    </row>
    <row r="102" spans="1:4">
      <c r="A102" s="164">
        <f>'Mass Balance'!I102</f>
        <v>8.3202509561326533E-9</v>
      </c>
      <c r="B102">
        <f>'Mass Balance'!E102</f>
        <v>3.9848351171191358E-5</v>
      </c>
      <c r="C102">
        <f>SUM('Mass Balance'!E102:H102)</f>
        <v>3.9849322326492832E-5</v>
      </c>
      <c r="D102">
        <f>Concentrations!F102/Concentrations!E102</f>
        <v>1.0038891909364551</v>
      </c>
    </row>
    <row r="103" spans="1:4">
      <c r="A103" s="164">
        <f>'Mass Balance'!I103</f>
        <v>8.518739840773557E-9</v>
      </c>
      <c r="B103">
        <f>'Mass Balance'!E103</f>
        <v>3.966276843505839E-5</v>
      </c>
      <c r="C103">
        <f>SUM('Mass Balance'!E103:H103)</f>
        <v>3.9667318751495269E-5</v>
      </c>
      <c r="D103">
        <f>Concentrations!F103/Concentrations!E103</f>
        <v>1.0037984960831403</v>
      </c>
    </row>
    <row r="104" spans="1:4">
      <c r="A104" s="164">
        <f>'Mass Balance'!I104</f>
        <v>1.48555408266685E-8</v>
      </c>
      <c r="B104">
        <f>'Mass Balance'!E104</f>
        <v>3.8046820791050078E-5</v>
      </c>
      <c r="C104">
        <f>SUM('Mass Balance'!E104:H104)</f>
        <v>3.8167000946684912E-5</v>
      </c>
      <c r="D104">
        <f>Concentrations!F104/Concentrations!E104</f>
        <v>1.0007525362272784</v>
      </c>
    </row>
    <row r="105" spans="1:4">
      <c r="A105" s="164">
        <f>'Mass Balance'!I105</f>
        <v>8.3412758054353594E-9</v>
      </c>
      <c r="B105">
        <f>'Mass Balance'!E105</f>
        <v>3.9819564944503748E-5</v>
      </c>
      <c r="C105">
        <f>SUM('Mass Balance'!E105:H105)</f>
        <v>3.9820930127360849E-5</v>
      </c>
      <c r="D105">
        <f>Concentrations!F105/Concentrations!E105</f>
        <v>1.0038792397804066</v>
      </c>
    </row>
    <row r="106" spans="1:4">
      <c r="A106" s="164">
        <f>'Mass Balance'!I106</f>
        <v>6.9291448708988658E-8</v>
      </c>
      <c r="B106">
        <f>'Mass Balance'!E106</f>
        <v>3.2927278181440236E-5</v>
      </c>
      <c r="C106">
        <f>SUM('Mass Balance'!E106:H106)</f>
        <v>3.4138214037842359E-5</v>
      </c>
      <c r="D106">
        <f>Concentrations!F106/Concentrations!E106</f>
        <v>0.96830326910358977</v>
      </c>
    </row>
    <row r="107" spans="1:4">
      <c r="A107" s="164">
        <f>'Mass Balance'!I107</f>
        <v>1.1697042784445537E-6</v>
      </c>
      <c r="B107">
        <f>'Mass Balance'!E107</f>
        <v>5.3123688191401001E-7</v>
      </c>
      <c r="C107">
        <f>SUM('Mass Balance'!E107:H107)</f>
        <v>3.4044898653150824E-5</v>
      </c>
      <c r="D107">
        <f>Concentrations!F107/Concentrations!E107</f>
        <v>1.5665077058658022E-2</v>
      </c>
    </row>
    <row r="108" spans="1:4">
      <c r="A108" s="164">
        <f>'Mass Balance'!I108</f>
        <v>3.8867279826530542E-7</v>
      </c>
      <c r="B108">
        <f>'Mass Balance'!E108</f>
        <v>1.8709017364836403E-5</v>
      </c>
      <c r="C108">
        <f>SUM('Mass Balance'!E108:H108)</f>
        <v>2.7175326475352615E-5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2024-10-28T23:33:31Z</dcterms:modified>
</cp:coreProperties>
</file>