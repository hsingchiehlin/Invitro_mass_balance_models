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38D61A16-FF64-4E06-9C0D-39B9D6C6B921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<sst xmlns="http://schemas.openxmlformats.org/spreadsheetml/2006/main" count="3131" uniqueCount="515">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</sst>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14288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4.75</v>
      </c>
      <c r="K5" s="136">
        <v>5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0.95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0.47499999999999998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0.1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0.08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2.8000000000000001E-2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1.55E-2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0.01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1.15E-2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6.0000000000000001E-3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0.1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7" ht="13.15">
      <c r="A1" s="74" t="s">
        <v>132</v>
      </c>
      <c r="B1" s="75"/>
      <c r="F1" s="74" t="s">
        <v>131</v>
      </c>
      <c r="I1" s="76"/>
    </row>
    <row r="2" spans="1:17" ht="13.15" thickBot="1">
      <c r="B2" s="75"/>
      <c r="I2" s="76"/>
    </row>
    <row r="3" spans="1:17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7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7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7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7" ht="13.15" thickBot="1">
      <c r="B7" s="87"/>
      <c r="I7" s="76"/>
    </row>
    <row r="8" spans="1:17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7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5.0000000000000001E-3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7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2.4999999999999998E-2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7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7" ht="13.15" thickBot="1">
      <c r="A12" s="76" t="s">
        <v>22</v>
      </c>
      <c r="B12" s="138">
        <f>G13/1000000/G12*1000000</f>
        <v>2.8000000000000001E-2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7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2.8000000000000001E-2</v>
      </c>
      <c r="H13" s="75" t="s">
        <v>16</v>
      </c>
      <c r="K13" s="75"/>
      <c r="L13" s="76"/>
      <c r="M13" s="75"/>
    </row>
    <row r="14" spans="1:17" ht="13.15" thickBot="1">
      <c r="C14" s="76"/>
      <c r="D14" s="76"/>
      <c r="E14" s="76"/>
      <c r="F14" s="102" t="s">
        <v>164</v>
      </c>
      <c r="G14" s="88">
        <v>7.4</v>
      </c>
    </row>
    <row r="15" spans="1:17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7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O16"/>
      <c r="P16"/>
      <c r="Q16"/>
    </row>
    <row r="17" spans="1:17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O17"/>
      <c r="P17"/>
      <c r="Q17"/>
    </row>
    <row r="18" spans="1:17" ht="15">
      <c r="C18" s="76"/>
      <c r="D18" s="76"/>
      <c r="E18" s="76"/>
      <c r="K18" s="75"/>
      <c r="O18"/>
      <c r="P18"/>
      <c r="Q18"/>
    </row>
    <row r="19" spans="1:17" ht="13.15">
      <c r="A19" s="93" t="s">
        <v>15</v>
      </c>
      <c r="C19" s="76"/>
      <c r="D19" s="76"/>
      <c r="E19" s="76"/>
    </row>
    <row r="20" spans="1:17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7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6.9999999999999999E-4</v>
      </c>
      <c r="K21" s="76" t="s">
        <v>125</v>
      </c>
      <c r="M21" s="75"/>
    </row>
    <row r="22" spans="1:17" ht="13.15" thickBot="1">
      <c r="A22" s="75"/>
      <c r="C22" s="76"/>
      <c r="F22" s="102" t="s">
        <v>164</v>
      </c>
      <c r="G22" s="88">
        <v>7.4</v>
      </c>
      <c r="J22" s="95">
        <f>B12*(G9+G10)/B6</f>
        <v>2.1000000000000002E-5</v>
      </c>
      <c r="K22" s="78" t="s">
        <v>126</v>
      </c>
      <c r="L22" s="96"/>
    </row>
    <row r="23" spans="1:17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7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7">
      <c r="C25" s="96"/>
      <c r="F25" s="76" t="s">
        <v>137</v>
      </c>
    </row>
    <row r="26" spans="1:17">
      <c r="B26" s="75"/>
      <c r="F26" s="98" t="s">
        <v>152</v>
      </c>
      <c r="G26" s="76" t="b">
        <v>0</v>
      </c>
    </row>
    <row r="27" spans="1:17" ht="13.15">
      <c r="C27" s="96"/>
      <c r="F27" s="74"/>
      <c r="G27" s="75"/>
      <c r="H27" s="75"/>
      <c r="J27" s="99"/>
    </row>
    <row r="28" spans="1:17" ht="13.15">
      <c r="B28" s="100"/>
      <c r="C28" s="96"/>
      <c r="F28" s="6" t="s">
        <v>269</v>
      </c>
      <c r="G28" s="75"/>
      <c r="H28" s="75"/>
      <c r="J28" s="99"/>
    </row>
    <row r="29" spans="1:17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7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7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7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8.1303397266483481E-8</v>
      </c>
      <c r="J2" s="67" t="s">
        <v>231</v>
      </c>
      <c r="K2" s="68">
        <v>8.7977242037560338E-4</v>
      </c>
      <c r="L2" s="67" t="s">
        <v>231</v>
      </c>
      <c r="M2" s="68">
        <v>1.1396301094084183E-3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7.8508527401011634E-6</v>
      </c>
      <c r="J3" s="67" t="s">
        <v>231</v>
      </c>
      <c r="K3" s="68">
        <v>8.4824016192562284E-3</v>
      </c>
      <c r="L3" s="67" t="s">
        <v>231</v>
      </c>
      <c r="M3" s="68">
        <v>0.24100168902494543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9.1599603439963518E-15</v>
      </c>
      <c r="J4" s="67" t="s">
        <v>231</v>
      </c>
      <c r="K4" s="68">
        <v>1.041186621317719E-3</v>
      </c>
      <c r="L4" s="67" t="s">
        <v>231</v>
      </c>
      <c r="M4" s="68">
        <v>3.058253031604433E-3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1.2202322642424555E-10</v>
      </c>
      <c r="J5" s="67" t="s">
        <v>231</v>
      </c>
      <c r="K5" s="68">
        <v>1.5990941527883773E-3</v>
      </c>
      <c r="L5" s="67" t="s">
        <v>231</v>
      </c>
      <c r="M5" s="68">
        <v>4.4965943173289835E-2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3.505853225738971E-7</v>
      </c>
      <c r="J6" s="67" t="s">
        <v>231</v>
      </c>
      <c r="K6" s="68">
        <v>1.8823343203693312E-3</v>
      </c>
      <c r="L6" s="67" t="s">
        <v>231</v>
      </c>
      <c r="M6" s="68">
        <v>6.3909312313119304E-2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1.5803628990100737E-6</v>
      </c>
      <c r="J7" s="67" t="s">
        <v>231</v>
      </c>
      <c r="K7" s="68">
        <v>2.2391116802638585E-3</v>
      </c>
      <c r="L7" s="67" t="s">
        <v>231</v>
      </c>
      <c r="M7" s="68">
        <v>8.426135636463665E-2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5.3071825416199443E-9</v>
      </c>
      <c r="J8" s="67" t="s">
        <v>231</v>
      </c>
      <c r="K8" s="68">
        <v>1.9564674251891785E-3</v>
      </c>
      <c r="L8" s="67" t="s">
        <v>231</v>
      </c>
      <c r="M8" s="68">
        <v>7.0214337543990646E-2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4.1981470364927814E-7</v>
      </c>
      <c r="J9" s="67" t="s">
        <v>231</v>
      </c>
      <c r="K9" s="68">
        <v>1.5226400261516379E-3</v>
      </c>
      <c r="L9" s="67" t="s">
        <v>231</v>
      </c>
      <c r="M9" s="68">
        <v>3.950756020937516E-2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2.0710533184802835E-4</v>
      </c>
      <c r="J10" s="67" t="s">
        <v>231</v>
      </c>
      <c r="K10" s="68">
        <v>1.9849146355759191E-2</v>
      </c>
      <c r="L10" s="67" t="s">
        <v>231</v>
      </c>
      <c r="M10" s="68">
        <v>0.67929772809148981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4.8649706803243269E-9</v>
      </c>
      <c r="J11" s="67" t="s">
        <v>231</v>
      </c>
      <c r="K11" s="68">
        <v>0.13086144585713538</v>
      </c>
      <c r="L11" s="67" t="s">
        <v>231</v>
      </c>
      <c r="M11" s="68">
        <v>4.9015783999643885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2.4033278448761268E-8</v>
      </c>
      <c r="J12" s="67" t="s">
        <v>231</v>
      </c>
      <c r="K12" s="68">
        <v>8.0032349998633296E-4</v>
      </c>
      <c r="L12" s="67" t="s">
        <v>231</v>
      </c>
      <c r="M12" s="68">
        <v>6.1573903512083917E-5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9.424333203014129E-4</v>
      </c>
      <c r="J13" s="67" t="s">
        <v>231</v>
      </c>
      <c r="K13" s="68">
        <v>5.7461609979646954E-3</v>
      </c>
      <c r="L13" s="67" t="s">
        <v>231</v>
      </c>
      <c r="M13" s="68">
        <v>0.17983224757041491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9.3407568295950459E-9</v>
      </c>
      <c r="J14" s="67" t="s">
        <v>231</v>
      </c>
      <c r="K14" s="68">
        <v>4.2266869506018406E-3</v>
      </c>
      <c r="L14" s="67" t="s">
        <v>231</v>
      </c>
      <c r="M14" s="68">
        <v>0.16744441919836883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1.0653845785982104E-6</v>
      </c>
      <c r="J15" s="67" t="s">
        <v>231</v>
      </c>
      <c r="K15" s="68">
        <v>1.5181658095673413E-3</v>
      </c>
      <c r="L15" s="67" t="s">
        <v>231</v>
      </c>
      <c r="M15" s="68">
        <v>2.904721040046097E-2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8.2509127545885738E-5</v>
      </c>
      <c r="J16" s="67" t="s">
        <v>231</v>
      </c>
      <c r="K16" s="68">
        <v>6.3719079354328323E-3</v>
      </c>
      <c r="L16" s="67" t="s">
        <v>231</v>
      </c>
      <c r="M16" s="68">
        <v>0.20219094621875991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1.8568624283603067E-6</v>
      </c>
      <c r="J17" s="67" t="s">
        <v>231</v>
      </c>
      <c r="K17" s="68">
        <v>5.9653065197756653E-3</v>
      </c>
      <c r="L17" s="67" t="s">
        <v>231</v>
      </c>
      <c r="M17" s="68">
        <v>0.18771270847032906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2.4203922471737922E-3</v>
      </c>
      <c r="J18" s="67" t="s">
        <v>231</v>
      </c>
      <c r="K18" s="68">
        <v>9.9461489072326784E-2</v>
      </c>
      <c r="L18" s="67" t="s">
        <v>231</v>
      </c>
      <c r="M18" s="68">
        <v>3.4264338807853432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1.8047548203887533E-6</v>
      </c>
      <c r="J19" s="67" t="s">
        <v>231</v>
      </c>
      <c r="K19" s="68">
        <v>1.0847351410245565E-3</v>
      </c>
      <c r="L19" s="67" t="s">
        <v>231</v>
      </c>
      <c r="M19" s="68">
        <v>1.0201687234544659E-2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5.0282175450947017E-6</v>
      </c>
      <c r="J20" s="67" t="s">
        <v>231</v>
      </c>
      <c r="K20" s="68">
        <v>1.2634479436609497E-3</v>
      </c>
      <c r="L20" s="67" t="s">
        <v>231</v>
      </c>
      <c r="M20" s="68">
        <v>1.747062851774548E-2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2.005743414354617E-6</v>
      </c>
      <c r="J21" s="67" t="s">
        <v>231</v>
      </c>
      <c r="K21" s="68">
        <v>6.2532109660770642E-3</v>
      </c>
      <c r="L21" s="67" t="s">
        <v>231</v>
      </c>
      <c r="M21" s="68">
        <v>0.21827401435304586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4.0215976731065785E-8</v>
      </c>
      <c r="J22" s="67" t="s">
        <v>231</v>
      </c>
      <c r="K22" s="68">
        <v>8.3813205139535434E-4</v>
      </c>
      <c r="L22" s="67" t="s">
        <v>231</v>
      </c>
      <c r="M22" s="68">
        <v>1.8499921989533962E-3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1.0748340402043775E-5</v>
      </c>
      <c r="J23" s="67" t="s">
        <v>231</v>
      </c>
      <c r="K23" s="68">
        <v>2.049964050871269E-3</v>
      </c>
      <c r="L23" s="67" t="s">
        <v>231</v>
      </c>
      <c r="M23" s="68">
        <v>4.82662485295203E-2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1.5439735509013879E-4</v>
      </c>
      <c r="J24" s="67" t="s">
        <v>231</v>
      </c>
      <c r="K24" s="68">
        <v>8.5718506009253483E-3</v>
      </c>
      <c r="L24" s="67" t="s">
        <v>231</v>
      </c>
      <c r="M24" s="68">
        <v>0.28046663115987919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8.2816890005499527E-4</v>
      </c>
      <c r="J25" s="67" t="s">
        <v>231</v>
      </c>
      <c r="K25" s="68">
        <v>9.1398804637459835E-2</v>
      </c>
      <c r="L25" s="67" t="s">
        <v>231</v>
      </c>
      <c r="M25" s="68">
        <v>3.1468496266805568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1.6999297175240635E-4</v>
      </c>
      <c r="J26" s="67" t="s">
        <v>231</v>
      </c>
      <c r="K26" s="68">
        <v>1.2423939832850572E-2</v>
      </c>
      <c r="L26" s="67" t="s">
        <v>231</v>
      </c>
      <c r="M26" s="68">
        <v>0.41950371122166491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5.0616289995757515E-5</v>
      </c>
      <c r="J27" s="67" t="s">
        <v>231</v>
      </c>
      <c r="K27" s="68">
        <v>7.3313892091028164E-3</v>
      </c>
      <c r="L27" s="67" t="s">
        <v>231</v>
      </c>
      <c r="M27" s="68">
        <v>0.25001905204382086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2.3887194171263019E-5</v>
      </c>
      <c r="J28" s="67" t="s">
        <v>231</v>
      </c>
      <c r="K28" s="68">
        <v>3.6080154004016589E-3</v>
      </c>
      <c r="L28" s="67" t="s">
        <v>231</v>
      </c>
      <c r="M28" s="68">
        <v>0.122183506528591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2.5844928202908254E-7</v>
      </c>
      <c r="J29" s="67" t="s">
        <v>231</v>
      </c>
      <c r="K29" s="68">
        <v>9.612711350966202E-5</v>
      </c>
      <c r="L29" s="67" t="s">
        <v>231</v>
      </c>
      <c r="M29" s="68">
        <v>1.5164851488982318E-3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5.7424028600089413E-6</v>
      </c>
      <c r="J30" s="67" t="s">
        <v>231</v>
      </c>
      <c r="K30" s="68">
        <v>1.3863513912259753E-3</v>
      </c>
      <c r="L30" s="67" t="s">
        <v>231</v>
      </c>
      <c r="M30" s="68">
        <v>4.6919454871071652E-2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8.9710798072321086E-8</v>
      </c>
      <c r="J31" s="67" t="s">
        <v>231</v>
      </c>
      <c r="K31" s="68">
        <v>2.4195978312711469E-5</v>
      </c>
      <c r="L31" s="67" t="s">
        <v>231</v>
      </c>
      <c r="M31" s="68">
        <v>8.1090620104200023E-4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8.6282366476862323E-5</v>
      </c>
      <c r="J32" s="67" t="s">
        <v>231</v>
      </c>
      <c r="K32" s="68">
        <v>5.0819095399468042E-3</v>
      </c>
      <c r="L32" s="67" t="s">
        <v>231</v>
      </c>
      <c r="M32" s="68">
        <v>0.15611147899776689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2.9270071533284449E-5</v>
      </c>
      <c r="J33" s="67" t="s">
        <v>231</v>
      </c>
      <c r="K33" s="68">
        <v>2.9541649886996777E-3</v>
      </c>
      <c r="L33" s="67" t="s">
        <v>231</v>
      </c>
      <c r="M33" s="68">
        <v>7.9345118665502104E-2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8.0919088096593079E-5</v>
      </c>
      <c r="J34" s="67" t="s">
        <v>231</v>
      </c>
      <c r="K34" s="68">
        <v>1.3800851127410026E-2</v>
      </c>
      <c r="L34" s="67" t="s">
        <v>231</v>
      </c>
      <c r="M34" s="68">
        <v>0.46523973914827305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4.0084399633164209E-4</v>
      </c>
      <c r="J35" s="67" t="s">
        <v>231</v>
      </c>
      <c r="K35" s="68">
        <v>1.8872389878824E-2</v>
      </c>
      <c r="L35" s="67" t="s">
        <v>231</v>
      </c>
      <c r="M35" s="68">
        <v>0.64486129228163569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8.1598683520627035E-4</v>
      </c>
      <c r="J36" s="67" t="s">
        <v>231</v>
      </c>
      <c r="K36" s="68">
        <v>4.1904281005596934E-2</v>
      </c>
      <c r="L36" s="67" t="s">
        <v>231</v>
      </c>
      <c r="M36" s="68">
        <v>1.4377744935213783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5.2446429372246398E-4</v>
      </c>
      <c r="J37" s="67" t="s">
        <v>231</v>
      </c>
      <c r="K37" s="68">
        <v>9.7060365349339178E-2</v>
      </c>
      <c r="L37" s="67" t="s">
        <v>231</v>
      </c>
      <c r="M37" s="68">
        <v>3.3431778541325707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2.8710868845112131E-4</v>
      </c>
      <c r="J38" s="67" t="s">
        <v>231</v>
      </c>
      <c r="K38" s="68">
        <v>6.1080204688476823E-2</v>
      </c>
      <c r="L38" s="67" t="s">
        <v>231</v>
      </c>
      <c r="M38" s="68">
        <v>2.0987172709383355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1.7731166859266502E-4</v>
      </c>
      <c r="J39" s="67" t="s">
        <v>231</v>
      </c>
      <c r="K39" s="68">
        <v>4.5816216498289652E-2</v>
      </c>
      <c r="L39" s="67" t="s">
        <v>231</v>
      </c>
      <c r="M39" s="68">
        <v>1.5726505430565403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2.8710868845112131E-4</v>
      </c>
      <c r="J40" s="67" t="s">
        <v>231</v>
      </c>
      <c r="K40" s="68">
        <v>6.1080204688476823E-2</v>
      </c>
      <c r="L40" s="67" t="s">
        <v>231</v>
      </c>
      <c r="M40" s="68">
        <v>2.0987172709383355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8.4518863175424017E-9</v>
      </c>
      <c r="J41" s="67" t="s">
        <v>231</v>
      </c>
      <c r="K41" s="68">
        <v>9.6428218289106873E-4</v>
      </c>
      <c r="L41" s="67" t="s">
        <v>231</v>
      </c>
      <c r="M41" s="68">
        <v>5.4741048793859994E-3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9.538420088681485E-4</v>
      </c>
      <c r="J42" s="67" t="s">
        <v>231</v>
      </c>
      <c r="K42" s="68">
        <v>9.9125061393163669E-2</v>
      </c>
      <c r="L42" s="67" t="s">
        <v>231</v>
      </c>
      <c r="M42" s="68">
        <v>3.414843996006117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1.7402526079267533E-3</v>
      </c>
      <c r="J43" s="67" t="s">
        <v>231</v>
      </c>
      <c r="K43" s="68">
        <v>9.1594528911997427E-3</v>
      </c>
      <c r="L43" s="67" t="s">
        <v>231</v>
      </c>
      <c r="M43" s="68">
        <v>0.30125680534447974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1.5209204698950233E-3</v>
      </c>
      <c r="J44" s="67" t="s">
        <v>231</v>
      </c>
      <c r="K44" s="68">
        <v>2.9906808992717981E-2</v>
      </c>
      <c r="L44" s="67" t="s">
        <v>231</v>
      </c>
      <c r="M44" s="68">
        <v>1.0249440352524886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2.5841094233251026E-3</v>
      </c>
      <c r="J45" s="67" t="s">
        <v>231</v>
      </c>
      <c r="K45" s="68">
        <v>0.11514683907745044</v>
      </c>
      <c r="L45" s="67" t="s">
        <v>231</v>
      </c>
      <c r="M45" s="68">
        <v>3.9719938680684872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3.7892209489582852E-4</v>
      </c>
      <c r="J46" s="67" t="s">
        <v>231</v>
      </c>
      <c r="K46" s="68">
        <v>0.10199799439676421</v>
      </c>
      <c r="L46" s="67" t="s">
        <v>231</v>
      </c>
      <c r="M46" s="68">
        <v>3.5144931827838359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7.3808562988119514E-4</v>
      </c>
      <c r="J47" s="142" t="s">
        <v>231</v>
      </c>
      <c r="K47" s="143">
        <v>8.1859440182534882E-2</v>
      </c>
      <c r="L47" s="142" t="s">
        <v>231</v>
      </c>
      <c r="M47" s="143">
        <v>2.8165827387956499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2.1563238630318985E-4</v>
      </c>
      <c r="J48" s="142" t="s">
        <v>231</v>
      </c>
      <c r="K48" s="143">
        <v>1.7653423270911756E-2</v>
      </c>
      <c r="L48" s="142" t="s">
        <v>231</v>
      </c>
      <c r="M48" s="143">
        <v>0.60106518954815591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9.1443449357411939E-4</v>
      </c>
      <c r="J49" s="142" t="s">
        <v>231</v>
      </c>
      <c r="K49" s="143">
        <v>3.19593264206324E-2</v>
      </c>
      <c r="L49" s="142" t="s">
        <v>231</v>
      </c>
      <c r="M49" s="143">
        <v>1.0955314321828258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2.2472923667462319E-4</v>
      </c>
      <c r="J50" s="142" t="s">
        <v>231</v>
      </c>
      <c r="K50" s="143">
        <v>3.5583128716425196E-2</v>
      </c>
      <c r="L50" s="142" t="s">
        <v>231</v>
      </c>
      <c r="M50" s="143">
        <v>1.220196814075555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4.629650674725277E-4</v>
      </c>
      <c r="J51" s="142" t="s">
        <v>231</v>
      </c>
      <c r="K51" s="143">
        <v>1.8476959025855583E-2</v>
      </c>
      <c r="L51" s="142" t="s">
        <v>231</v>
      </c>
      <c r="M51" s="143">
        <v>0.63025593767224053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1.0049270085330292E-2</v>
      </c>
      <c r="J52" s="142" t="s">
        <v>232</v>
      </c>
      <c r="K52" s="143">
        <v>1.7744163873755707E-2</v>
      </c>
      <c r="L52" s="142" t="s">
        <v>231</v>
      </c>
      <c r="M52" s="143">
        <v>0.60427517457138147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2.1327279077465269E-3</v>
      </c>
      <c r="J53" s="142" t="s">
        <v>231</v>
      </c>
      <c r="K53" s="143">
        <v>4.839569666215475E-2</v>
      </c>
      <c r="L53" s="142" t="s">
        <v>231</v>
      </c>
      <c r="M53" s="143">
        <v>1.6613626446986745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1.0785265499070852E-3</v>
      </c>
      <c r="J54" s="67" t="s">
        <v>231</v>
      </c>
      <c r="K54" s="68">
        <v>3.3739856710008301E-2</v>
      </c>
      <c r="L54" s="67" t="s">
        <v>231</v>
      </c>
      <c r="M54" s="68">
        <v>1.1567785091792715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7.7668076020507432E-4</v>
      </c>
      <c r="J55" s="67" t="s">
        <v>231</v>
      </c>
      <c r="K55" s="68">
        <v>8.0860328813462765E-2</v>
      </c>
      <c r="L55" s="67" t="s">
        <v>231</v>
      </c>
      <c r="M55" s="68">
        <v>2.782024511910747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6.405222880272E-4</v>
      </c>
      <c r="J56" s="67" t="s">
        <v>231</v>
      </c>
      <c r="K56" s="68">
        <v>3.0581770271833834E-2</v>
      </c>
      <c r="L56" s="67" t="s">
        <v>231</v>
      </c>
      <c r="M56" s="68">
        <v>1.0481544132164005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1.6036474428611862E-3</v>
      </c>
      <c r="J57" s="67" t="s">
        <v>231</v>
      </c>
      <c r="K57" s="68">
        <v>1.7153945468569756E-2</v>
      </c>
      <c r="L57" s="67" t="s">
        <v>231</v>
      </c>
      <c r="M57" s="68">
        <v>0.5834870751213479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6.5561292281353118E-3</v>
      </c>
      <c r="J58" s="67" t="s">
        <v>231</v>
      </c>
      <c r="K58" s="68">
        <v>3.4103845710332301E-2</v>
      </c>
      <c r="L58" s="67" t="s">
        <v>231</v>
      </c>
      <c r="M58" s="68">
        <v>1.1693005737027362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1.039843726322728E-3</v>
      </c>
      <c r="J59" s="67" t="s">
        <v>231</v>
      </c>
      <c r="K59" s="68">
        <v>1.7746516995300176E-2</v>
      </c>
      <c r="L59" s="67" t="s">
        <v>231</v>
      </c>
      <c r="M59" s="68">
        <v>0.60435530981709884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3.0806242773650785E-3</v>
      </c>
      <c r="J60" s="67" t="s">
        <v>231</v>
      </c>
      <c r="K60" s="68">
        <v>4.4432533842622662E-2</v>
      </c>
      <c r="L60" s="67" t="s">
        <v>231</v>
      </c>
      <c r="M60" s="68">
        <v>1.524839635137498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2.4750739462330329E-5</v>
      </c>
      <c r="J61" s="67" t="s">
        <v>231</v>
      </c>
      <c r="K61" s="68">
        <v>3.9253118927143872E-2</v>
      </c>
      <c r="L61" s="67" t="s">
        <v>231</v>
      </c>
      <c r="M61" s="68">
        <v>0.77949088507412412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1.2447628863046769E-4</v>
      </c>
      <c r="J62" s="67" t="s">
        <v>231</v>
      </c>
      <c r="K62" s="68">
        <v>1.3449645693264803E-2</v>
      </c>
      <c r="L62" s="67" t="s">
        <v>231</v>
      </c>
      <c r="M62" s="68">
        <v>0.45285713296733449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1.6783600121641252E-6</v>
      </c>
      <c r="J63" s="67" t="s">
        <v>231</v>
      </c>
      <c r="K63" s="68">
        <v>6.913987680499124E-3</v>
      </c>
      <c r="L63" s="67" t="s">
        <v>231</v>
      </c>
      <c r="M63" s="68">
        <v>0.11110874730879242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1.052442823070738E-7</v>
      </c>
      <c r="J64" s="67" t="s">
        <v>231</v>
      </c>
      <c r="K64" s="68">
        <v>9.1215149718808827E-4</v>
      </c>
      <c r="L64" s="67" t="s">
        <v>231</v>
      </c>
      <c r="M64" s="68">
        <v>2.2537749975537901E-3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2.0130234434893288E-8</v>
      </c>
      <c r="J65" s="67" t="s">
        <v>231</v>
      </c>
      <c r="K65" s="68">
        <v>1.4071050442532481E-3</v>
      </c>
      <c r="L65" s="67" t="s">
        <v>231</v>
      </c>
      <c r="M65" s="68">
        <v>9.5714046220790761E-3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1.4122777938991702E-7</v>
      </c>
      <c r="J66" s="67" t="s">
        <v>231</v>
      </c>
      <c r="K66" s="68">
        <v>4.9572849380284466E-2</v>
      </c>
      <c r="L66" s="67" t="s">
        <v>231</v>
      </c>
      <c r="M66" s="68">
        <v>0.86042747431397304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1.9832908339814038E-8</v>
      </c>
      <c r="J67" s="67" t="s">
        <v>231</v>
      </c>
      <c r="K67" s="68">
        <v>1.3154837005282087E-3</v>
      </c>
      <c r="L67" s="67" t="s">
        <v>231</v>
      </c>
      <c r="M67" s="68">
        <v>7.9693772860942418E-3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6.4460980825204719E-9</v>
      </c>
      <c r="J68" s="67" t="s">
        <v>231</v>
      </c>
      <c r="K68" s="68">
        <v>9.2588171718292582E-4</v>
      </c>
      <c r="L68" s="67" t="s">
        <v>231</v>
      </c>
      <c r="M68" s="68">
        <v>1.0580707654801354E-3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3.5836450259020911E-5</v>
      </c>
      <c r="J69" s="67" t="s">
        <v>231</v>
      </c>
      <c r="K69" s="68">
        <v>2.7234095296857313E-2</v>
      </c>
      <c r="L69" s="67" t="s">
        <v>231</v>
      </c>
      <c r="M69" s="68">
        <v>0.93305155137311147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2.2292165818563361E-14</v>
      </c>
      <c r="J70" s="67" t="s">
        <v>231</v>
      </c>
      <c r="K70" s="68">
        <v>9.3357650718844942E-4</v>
      </c>
      <c r="L70" s="67" t="s">
        <v>231</v>
      </c>
      <c r="M70" s="68">
        <v>3.7168913193336098E-3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1.8883755914980769E-10</v>
      </c>
      <c r="J71" s="67" t="s">
        <v>231</v>
      </c>
      <c r="K71" s="68">
        <v>9.8407519675000068E-4</v>
      </c>
      <c r="L71" s="67" t="s">
        <v>231</v>
      </c>
      <c r="M71" s="68">
        <v>6.6442967479970368E-3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2.8672602995451356E-14</v>
      </c>
      <c r="J72" s="67" t="s">
        <v>231</v>
      </c>
      <c r="K72" s="68">
        <v>1.6246047715782096E-2</v>
      </c>
      <c r="L72" s="67" t="s">
        <v>231</v>
      </c>
      <c r="M72" s="68">
        <v>0.64951706821603761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1.5672675822553799E-11</v>
      </c>
      <c r="J73" s="67" t="s">
        <v>231</v>
      </c>
      <c r="K73" s="68">
        <v>1.9461926612657622E-3</v>
      </c>
      <c r="L73" s="67" t="s">
        <v>231</v>
      </c>
      <c r="M73" s="68">
        <v>7.6571818998777505E-2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1.7791879376913683E-11</v>
      </c>
      <c r="J74" s="67" t="s">
        <v>231</v>
      </c>
      <c r="K74" s="68">
        <v>9.7447141357291797E-4</v>
      </c>
      <c r="L74" s="67" t="s">
        <v>231</v>
      </c>
      <c r="M74" s="68">
        <v>6.0834094611141205E-3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9.7077117590581471E-14</v>
      </c>
      <c r="J75" s="67" t="s">
        <v>231</v>
      </c>
      <c r="K75" s="68">
        <v>1.9603316957653234E-3</v>
      </c>
      <c r="L75" s="67" t="s">
        <v>231</v>
      </c>
      <c r="M75" s="68">
        <v>7.690808047054723E-2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8.3632773994486106E-9</v>
      </c>
      <c r="J76" s="67" t="s">
        <v>231</v>
      </c>
      <c r="K76" s="68">
        <v>1.725202933387714E-3</v>
      </c>
      <c r="L76" s="67" t="s">
        <v>231</v>
      </c>
      <c r="M76" s="68">
        <v>5.3465051092560216E-2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6.5891723092500888E-8</v>
      </c>
      <c r="J77" s="67" t="s">
        <v>231</v>
      </c>
      <c r="K77" s="68">
        <v>1.9503820226492502E-3</v>
      </c>
      <c r="L77" s="67" t="s">
        <v>231</v>
      </c>
      <c r="M77" s="68">
        <v>7.6677457261855611E-2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2.8377761585970171E-13</v>
      </c>
      <c r="J78" s="67" t="s">
        <v>231</v>
      </c>
      <c r="K78" s="68">
        <v>1.3634157520972936E-2</v>
      </c>
      <c r="L78" s="67" t="s">
        <v>231</v>
      </c>
      <c r="M78" s="68">
        <v>0.5450564234921671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1.5611970794902065E-16</v>
      </c>
      <c r="J79" s="67" t="s">
        <v>231</v>
      </c>
      <c r="K79" s="68">
        <v>1.3634149778455904E-2</v>
      </c>
      <c r="L79" s="67" t="s">
        <v>231</v>
      </c>
      <c r="M79" s="68">
        <v>0.54505616716355998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2.0665973687085408E-14</v>
      </c>
      <c r="J80" s="67" t="s">
        <v>231</v>
      </c>
      <c r="K80" s="68">
        <v>1.9884297990433526E-3</v>
      </c>
      <c r="L80" s="67" t="s">
        <v>231</v>
      </c>
      <c r="M80" s="68">
        <v>7.3736041602365104E-2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7.0047496562144922E-11</v>
      </c>
      <c r="J81" s="67" t="s">
        <v>231</v>
      </c>
      <c r="K81" s="68">
        <v>1.2226664527456737E-3</v>
      </c>
      <c r="L81" s="67" t="s">
        <v>231</v>
      </c>
      <c r="M81" s="68">
        <v>2.1000392346760332E-2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1.3917832561506516E-15</v>
      </c>
      <c r="J82" s="67" t="s">
        <v>231</v>
      </c>
      <c r="K82" s="68">
        <v>1.5160918133147582E-3</v>
      </c>
      <c r="L82" s="67" t="s">
        <v>231</v>
      </c>
      <c r="M82" s="68">
        <v>3.9537506752430819E-2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1.6746312133029517E-14</v>
      </c>
      <c r="J83" s="67" t="s">
        <v>231</v>
      </c>
      <c r="K83" s="68">
        <v>2.6248448763083999E-2</v>
      </c>
      <c r="L83" s="67" t="s">
        <v>231</v>
      </c>
      <c r="M83" s="68">
        <v>1.049534128593999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3.3529649770634648E-2</v>
      </c>
      <c r="J84" s="67" t="s">
        <v>232</v>
      </c>
      <c r="K84" s="68">
        <v>1.0810149566092914E-2</v>
      </c>
      <c r="L84" s="67" t="s">
        <v>231</v>
      </c>
      <c r="M84" s="68">
        <v>0.359682958802092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3.8078285205191028E-6</v>
      </c>
      <c r="J85" s="67" t="s">
        <v>231</v>
      </c>
      <c r="K85" s="68">
        <v>0.42420922882105866</v>
      </c>
      <c r="L85" s="67" t="s">
        <v>231</v>
      </c>
      <c r="M85" s="68">
        <v>7.4532892008262781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2.5042220180236636E-4</v>
      </c>
      <c r="J86" s="67" t="s">
        <v>231</v>
      </c>
      <c r="K86" s="68">
        <v>0.11168868790255261</v>
      </c>
      <c r="L86" s="67" t="s">
        <v>231</v>
      </c>
      <c r="M86" s="68">
        <v>3.85147835911879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1.8023606518089401E-4</v>
      </c>
      <c r="J87" s="67" t="s">
        <v>231</v>
      </c>
      <c r="K87" s="68">
        <v>0.1268391491385753</v>
      </c>
      <c r="L87" s="67" t="s">
        <v>231</v>
      </c>
      <c r="M87" s="68">
        <v>4.3810027520341297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2.7505815444468307E-4</v>
      </c>
      <c r="J88" s="67" t="s">
        <v>231</v>
      </c>
      <c r="K88" s="68">
        <v>0.13764610123846199</v>
      </c>
      <c r="L88" s="67" t="s">
        <v>231</v>
      </c>
      <c r="M88" s="68">
        <v>4.7629186352707551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2.4303636473536487E-7</v>
      </c>
      <c r="J89" s="67" t="s">
        <v>231</v>
      </c>
      <c r="K89" s="68">
        <v>1.053690963549065</v>
      </c>
      <c r="L89" s="67" t="s">
        <v>232</v>
      </c>
      <c r="M89" s="68">
        <v>18.628234392895543</v>
      </c>
      <c r="N89" s="67" t="s">
        <v>231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1.9094193990366695E-5</v>
      </c>
      <c r="J90" s="67" t="s">
        <v>231</v>
      </c>
      <c r="K90" s="68">
        <v>8.8791184457072197E-4</v>
      </c>
      <c r="L90" s="67" t="s">
        <v>231</v>
      </c>
      <c r="M90" s="68">
        <v>1.4802644289696543E-3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3.3297163692723272E-5</v>
      </c>
      <c r="J91" s="67" t="s">
        <v>231</v>
      </c>
      <c r="K91" s="68">
        <v>2.8736646864815905E-3</v>
      </c>
      <c r="L91" s="67" t="s">
        <v>231</v>
      </c>
      <c r="M91" s="68">
        <v>7.6416680225165498E-2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2.7490142702479115E-5</v>
      </c>
      <c r="J92" s="67" t="s">
        <v>231</v>
      </c>
      <c r="K92" s="68">
        <v>1.526141158860236E-2</v>
      </c>
      <c r="L92" s="67" t="s">
        <v>231</v>
      </c>
      <c r="M92" s="68">
        <v>0.51671660366534677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1.2890667195811851E-8</v>
      </c>
      <c r="J93" s="67" t="s">
        <v>231</v>
      </c>
      <c r="K93" s="68">
        <v>8.7862528785451254E-4</v>
      </c>
      <c r="L93" s="67" t="s">
        <v>231</v>
      </c>
      <c r="M93" s="68">
        <v>6.2150325322569489E-4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2.1133466829138562E-18</v>
      </c>
      <c r="J94" s="67" t="s">
        <v>231</v>
      </c>
      <c r="K94" s="68">
        <v>8.7556683514933352E-4</v>
      </c>
      <c r="L94" s="67" t="s">
        <v>231</v>
      </c>
      <c r="M94" s="68">
        <v>1.5140741715316246E-4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2.2726740838281877E-6</v>
      </c>
      <c r="J95" s="67" t="s">
        <v>231</v>
      </c>
      <c r="K95" s="68">
        <v>1.0101471260386588E-3</v>
      </c>
      <c r="L95" s="67" t="s">
        <v>231</v>
      </c>
      <c r="M95" s="68">
        <v>6.3744654129236885E-3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2.7914317968098972E-3</v>
      </c>
      <c r="J96" s="67" t="s">
        <v>231</v>
      </c>
      <c r="K96" s="68">
        <v>0.10445861480637082</v>
      </c>
      <c r="L96" s="67" t="s">
        <v>231</v>
      </c>
      <c r="M96" s="68">
        <v>3.5999699068046915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9.8400924270945376E-5</v>
      </c>
      <c r="J97" s="67" t="s">
        <v>231</v>
      </c>
      <c r="K97" s="68">
        <v>4.4979494606138893E-3</v>
      </c>
      <c r="L97" s="67" t="s">
        <v>231</v>
      </c>
      <c r="M97" s="68">
        <v>0.13510689722616562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2.6815387138061832E-5</v>
      </c>
      <c r="J98" s="67" t="s">
        <v>231</v>
      </c>
      <c r="K98" s="68">
        <v>3.1233274046386654E-3</v>
      </c>
      <c r="L98" s="67" t="s">
        <v>231</v>
      </c>
      <c r="M98" s="68">
        <v>8.5488011450658499E-2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1.7599368300286891E-6</v>
      </c>
      <c r="J99" s="67" t="s">
        <v>231</v>
      </c>
      <c r="K99" s="68">
        <v>1.4171097922555484E-3</v>
      </c>
      <c r="L99" s="67" t="s">
        <v>231</v>
      </c>
      <c r="M99" s="68">
        <v>2.2635897639586594E-2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2.2292468464010459E-3</v>
      </c>
      <c r="J100" s="67" t="s">
        <v>231</v>
      </c>
      <c r="K100" s="68">
        <v>5.203956045292378E-2</v>
      </c>
      <c r="L100" s="67" t="s">
        <v>231</v>
      </c>
      <c r="M100" s="68">
        <v>1.7869388851657706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1.8378369868004427E-2</v>
      </c>
      <c r="J101" s="67" t="s">
        <v>232</v>
      </c>
      <c r="K101" s="68">
        <v>1.3714588619620454E-2</v>
      </c>
      <c r="L101" s="67" t="s">
        <v>231</v>
      </c>
      <c r="M101" s="68">
        <v>0.46219744949439606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5.6060727417122707E-3</v>
      </c>
      <c r="J102" s="67" t="s">
        <v>231</v>
      </c>
      <c r="K102" s="68">
        <v>1.8441964842664551E-2</v>
      </c>
      <c r="L102" s="67" t="s">
        <v>231</v>
      </c>
      <c r="M102" s="68">
        <v>0.62901480506726803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1.5542476303617609E-9</v>
      </c>
      <c r="J103" s="67" t="s">
        <v>231</v>
      </c>
      <c r="K103" s="68">
        <v>1.0721417314328049E-3</v>
      </c>
      <c r="L103" s="67" t="s">
        <v>231</v>
      </c>
      <c r="M103" s="68">
        <v>1.1855129569613009E-2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2.4567054073386379E-7</v>
      </c>
      <c r="J104" s="67" t="s">
        <v>231</v>
      </c>
      <c r="K104" s="68">
        <v>2.8417257800138298E-3</v>
      </c>
      <c r="L104" s="67" t="s">
        <v>231</v>
      </c>
      <c r="M104" s="68">
        <v>0.11239370426412947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9.7148702109458596E-8</v>
      </c>
      <c r="J105" s="67" t="s">
        <v>231</v>
      </c>
      <c r="K105" s="68">
        <v>8.9321806137377074E-4</v>
      </c>
      <c r="L105" s="67" t="s">
        <v>231</v>
      </c>
      <c r="M105" s="68">
        <v>1.8060036094787789E-3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3.3199888985113112E-8</v>
      </c>
      <c r="J106" s="67" t="s">
        <v>231</v>
      </c>
      <c r="K106" s="68">
        <v>1.0203145066864487E-3</v>
      </c>
      <c r="L106" s="67" t="s">
        <v>231</v>
      </c>
      <c r="M106" s="68">
        <v>6.8526293264968294E-3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8.416843662994043E-6</v>
      </c>
      <c r="J107" s="67" t="s">
        <v>231</v>
      </c>
      <c r="K107" s="68">
        <v>2.3033204395709481E-2</v>
      </c>
      <c r="L107" s="67" t="s">
        <v>231</v>
      </c>
      <c r="M107" s="68">
        <v>0.68995489056801607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2.6552775144101037E-10</v>
      </c>
      <c r="J108" s="67" t="s">
        <v>231</v>
      </c>
      <c r="K108" s="68">
        <v>8.7134772619433477E-4</v>
      </c>
      <c r="L108" s="67" t="s">
        <v>231</v>
      </c>
      <c r="M108" s="68">
        <v>7.8366022073036461E-5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2.7257770120488927E-6</v>
      </c>
      <c r="J109" s="67" t="s">
        <v>231</v>
      </c>
      <c r="K109" s="68">
        <v>1.5339843686477438E-2</v>
      </c>
      <c r="L109" s="67" t="s">
        <v>231</v>
      </c>
      <c r="M109" s="68">
        <v>0.25709821646255965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5.8420355382963142E-6</v>
      </c>
      <c r="J110" s="67" t="s">
        <v>231</v>
      </c>
      <c r="K110" s="68">
        <v>8.6780168832265134E-4</v>
      </c>
      <c r="L110" s="67" t="s">
        <v>231</v>
      </c>
      <c r="M110" s="68">
        <v>2.2264622179206026E-4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8.1435836558425254E-14</v>
      </c>
      <c r="J111" s="67" t="s">
        <v>231</v>
      </c>
      <c r="K111" s="68">
        <v>8.6700188521230477E-4</v>
      </c>
      <c r="L111" s="67" t="s">
        <v>231</v>
      </c>
      <c r="M111" s="68">
        <v>3.2437054170003037E-6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9.1865065897610902E-9</v>
      </c>
      <c r="J112" s="67" t="s">
        <v>231</v>
      </c>
      <c r="K112" s="68">
        <v>8.6482087326104147E-4</v>
      </c>
      <c r="L112" s="67" t="s">
        <v>231</v>
      </c>
      <c r="M112" s="68">
        <v>1.6812368706460966E-4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4.2170684328810631E-7</v>
      </c>
      <c r="J113" s="67" t="s">
        <v>231</v>
      </c>
      <c r="K113" s="68">
        <v>9.3863947568867618E-4</v>
      </c>
      <c r="L113" s="67" t="s">
        <v>231</v>
      </c>
      <c r="M113" s="68">
        <v>3.839640993858787E-3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5.7151464158188865E-8</v>
      </c>
      <c r="J114" s="67" t="s">
        <v>231</v>
      </c>
      <c r="K114" s="68">
        <v>8.6482631501595014E-4</v>
      </c>
      <c r="L114" s="67" t="s">
        <v>231</v>
      </c>
      <c r="M114" s="68">
        <v>5.2262939326163186E-5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4.7461096664961611E-11</v>
      </c>
      <c r="J115" s="67" t="s">
        <v>231</v>
      </c>
      <c r="K115" s="68">
        <v>9.2802680259247152E-4</v>
      </c>
      <c r="L115" s="67" t="s">
        <v>231</v>
      </c>
      <c r="M115" s="68">
        <v>3.3975684887391573E-3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8.5274447956824348E-6</v>
      </c>
      <c r="J116" s="67" t="s">
        <v>231</v>
      </c>
      <c r="K116" s="68">
        <v>0.14846017445422902</v>
      </c>
      <c r="L116" s="67" t="s">
        <v>231</v>
      </c>
      <c r="M116" s="68">
        <v>2.6126343240643171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6.7211649013097866E-5</v>
      </c>
      <c r="J117" s="67" t="s">
        <v>231</v>
      </c>
      <c r="K117" s="68">
        <v>6.7070752583784522E-3</v>
      </c>
      <c r="L117" s="67" t="s">
        <v>231</v>
      </c>
      <c r="M117" s="68">
        <v>0.21412341088778772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0.97602711954399735</v>
      </c>
      <c r="F2" s="14">
        <v>0.97900275720150087</v>
      </c>
      <c r="G2" s="14">
        <v>2.9113364823160369E-10</v>
      </c>
      <c r="H2" s="14">
        <v>0.17055478761574436</v>
      </c>
      <c r="I2" s="14">
        <v>0.63375454321975522</v>
      </c>
      <c r="J2" s="14">
        <v>0</v>
      </c>
      <c r="K2" s="14">
        <v>1.0214475829041789</v>
      </c>
      <c r="L2" s="14">
        <v>0.97900275720150098</v>
      </c>
      <c r="M2" s="14">
        <v>0.80327176228383157</v>
      </c>
      <c r="N2" s="14">
        <v>0.87977242037560333</v>
      </c>
      <c r="O2" s="14">
        <v>170.84300631273842</v>
      </c>
      <c r="P2" s="8">
        <v>0.87977242037560344</v>
      </c>
      <c r="Q2" s="54">
        <v>1.5765984152805189E-2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0.69421387483392427</v>
      </c>
      <c r="F3" s="14">
        <v>0.4665504806877982</v>
      </c>
      <c r="G3" s="14">
        <v>2.2087933940256254E-10</v>
      </c>
      <c r="H3" s="14">
        <v>52.475397300587019</v>
      </c>
      <c r="I3" s="14">
        <v>118.0335702043526</v>
      </c>
      <c r="J3" s="14">
        <v>0</v>
      </c>
      <c r="K3" s="14">
        <v>2.1433907827632703</v>
      </c>
      <c r="L3" s="14">
        <v>0.46655048068779825</v>
      </c>
      <c r="M3" s="14">
        <v>0.38280466940433844</v>
      </c>
      <c r="N3" s="14">
        <v>8.4824016192562279</v>
      </c>
      <c r="O3" s="14">
        <v>2172.258230675327</v>
      </c>
      <c r="P3" s="8">
        <v>8.4824016192562279</v>
      </c>
      <c r="Q3" s="54">
        <v>0.20239768630358279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0.9992505326395672</v>
      </c>
      <c r="F4" s="14">
        <v>1.0027376067927742</v>
      </c>
      <c r="G4" s="14">
        <v>1.5104828224357645E-19</v>
      </c>
      <c r="H4" s="14">
        <v>0.11980840964840535</v>
      </c>
      <c r="I4" s="14">
        <v>1.2216437022367112E-3</v>
      </c>
      <c r="J4" s="14">
        <v>0</v>
      </c>
      <c r="K4" s="14">
        <v>0.99726986723722211</v>
      </c>
      <c r="L4" s="14">
        <v>1.0027376067927745</v>
      </c>
      <c r="M4" s="14">
        <v>0.8227462063734714</v>
      </c>
      <c r="N4" s="14">
        <v>1.041186621317719</v>
      </c>
      <c r="O4" s="14">
        <v>308.34741790324244</v>
      </c>
      <c r="P4" s="8">
        <v>1.041186621317719</v>
      </c>
      <c r="Q4" s="54">
        <v>1.3929789719508498E-5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0.99869271529008841</v>
      </c>
      <c r="F5" s="14">
        <v>0.54915204627425751</v>
      </c>
      <c r="G5" s="14">
        <v>2.5134626076388825E-12</v>
      </c>
      <c r="H5" s="14">
        <v>128.36676784922969</v>
      </c>
      <c r="I5" s="14">
        <v>9.4335137623336021E-2</v>
      </c>
      <c r="J5" s="14">
        <v>0</v>
      </c>
      <c r="K5" s="14">
        <v>1.8209892993835446</v>
      </c>
      <c r="L5" s="14">
        <v>0.54915204627425751</v>
      </c>
      <c r="M5" s="14">
        <v>0.45057925396802828</v>
      </c>
      <c r="N5" s="14">
        <v>1.5990941527883775</v>
      </c>
      <c r="O5" s="14">
        <v>353.46377153234295</v>
      </c>
      <c r="P5" s="8">
        <v>1.5990941527883775</v>
      </c>
      <c r="Q5" s="54">
        <v>1.2684503930493083E-4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0.99797794088594227</v>
      </c>
      <c r="F6" s="14">
        <v>0.32494094267381007</v>
      </c>
      <c r="G6" s="14">
        <v>2.0614786734059934E-13</v>
      </c>
      <c r="H6" s="14">
        <v>191.59511682896397</v>
      </c>
      <c r="I6" s="14">
        <v>0.51444455796066546</v>
      </c>
      <c r="J6" s="14">
        <v>0</v>
      </c>
      <c r="K6" s="14">
        <v>3.0774823011572403</v>
      </c>
      <c r="L6" s="14">
        <v>0.32494094267381007</v>
      </c>
      <c r="M6" s="14">
        <v>0.26661404346386119</v>
      </c>
      <c r="N6" s="14">
        <v>1.882334320369331</v>
      </c>
      <c r="O6" s="14">
        <v>433.42630060824217</v>
      </c>
      <c r="P6" s="8">
        <v>1.8823343203693312</v>
      </c>
      <c r="Q6" s="54">
        <v>4.7548692309107396E-4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0.99471220980812103</v>
      </c>
      <c r="F7" s="14">
        <v>0.10787956949708159</v>
      </c>
      <c r="G7" s="14">
        <v>1.7977376692681801E-9</v>
      </c>
      <c r="H7" s="14">
        <v>251.66290456028827</v>
      </c>
      <c r="I7" s="14">
        <v>4.7432489996016418</v>
      </c>
      <c r="J7" s="14">
        <v>0</v>
      </c>
      <c r="K7" s="14">
        <v>9.2695957599928338</v>
      </c>
      <c r="L7" s="14">
        <v>0.10787956949708161</v>
      </c>
      <c r="M7" s="14">
        <v>8.8515186772355453E-2</v>
      </c>
      <c r="N7" s="14">
        <v>2.2391116802638584</v>
      </c>
      <c r="O7" s="14">
        <v>461.88395740482866</v>
      </c>
      <c r="P7" s="8">
        <v>2.2391116802638584</v>
      </c>
      <c r="Q7" s="54">
        <v>2.5111688980304354E-3</v>
      </c>
    </row>
    <row r="8" spans="1:20">
      <c r="A8" s="2" t="s">
        <v>289</v>
      </c>
      <c r="B8" s="16" t="s">
        <v>290</v>
      </c>
      <c r="D8" s="14">
        <v>1</v>
      </c>
      <c r="E8" s="14">
        <v>0.99828303548118646</v>
      </c>
      <c r="F8" s="14">
        <v>0.2303955253916122</v>
      </c>
      <c r="G8" s="14">
        <v>1.2771728170091152E-19</v>
      </c>
      <c r="H8" s="14">
        <v>218.47112256848501</v>
      </c>
      <c r="I8" s="14">
        <v>0.30759568632417295</v>
      </c>
      <c r="J8" s="14">
        <v>0</v>
      </c>
      <c r="K8" s="14">
        <v>4.3403620721377347</v>
      </c>
      <c r="L8" s="14">
        <v>0.2303955253916122</v>
      </c>
      <c r="M8" s="14">
        <v>0.18903952858381781</v>
      </c>
      <c r="N8" s="14">
        <v>1.9564674251891785</v>
      </c>
      <c r="O8" s="14">
        <v>681.67238028441363</v>
      </c>
      <c r="P8" s="8">
        <v>1.9564674251891787</v>
      </c>
      <c r="Q8" s="54">
        <v>2.3452019179731444E-4</v>
      </c>
    </row>
    <row r="9" spans="1:20">
      <c r="A9" s="2" t="s">
        <v>291</v>
      </c>
      <c r="B9" s="16" t="s">
        <v>292</v>
      </c>
      <c r="D9" s="14">
        <v>1</v>
      </c>
      <c r="E9" s="14">
        <v>0.99807984900785429</v>
      </c>
      <c r="F9" s="14">
        <v>0.61571839234171555</v>
      </c>
      <c r="G9" s="14">
        <v>5.3550584310409329E-15</v>
      </c>
      <c r="H9" s="14">
        <v>109.31559595172631</v>
      </c>
      <c r="I9" s="14">
        <v>0.38363276392070916</v>
      </c>
      <c r="J9" s="14">
        <v>0</v>
      </c>
      <c r="K9" s="14">
        <v>1.6241190980129325</v>
      </c>
      <c r="L9" s="14">
        <v>0.61571839234171555</v>
      </c>
      <c r="M9" s="14">
        <v>0.50519694091637768</v>
      </c>
      <c r="N9" s="14">
        <v>1.522640026151638</v>
      </c>
      <c r="O9" s="14">
        <v>469.47559926333452</v>
      </c>
      <c r="P9" s="8">
        <v>1.522640026151638</v>
      </c>
      <c r="Q9" s="54">
        <v>5.7665450701632466E-4</v>
      </c>
    </row>
    <row r="10" spans="1:20">
      <c r="A10" s="2" t="s">
        <v>367</v>
      </c>
      <c r="B10" s="16" t="s">
        <v>368</v>
      </c>
      <c r="D10" s="14">
        <v>1</v>
      </c>
      <c r="E10" s="14">
        <v>0.87701917706539334</v>
      </c>
      <c r="F10" s="14">
        <v>1.0261247481862948E-2</v>
      </c>
      <c r="G10" s="14">
        <v>1.5943682958066545E-7</v>
      </c>
      <c r="H10" s="14">
        <v>209.72980936615389</v>
      </c>
      <c r="I10" s="14">
        <v>339.16992304431039</v>
      </c>
      <c r="J10" s="14">
        <v>0</v>
      </c>
      <c r="K10" s="14">
        <v>97.454037802667656</v>
      </c>
      <c r="L10" s="14">
        <v>1.0261247481862948E-2</v>
      </c>
      <c r="M10" s="14">
        <v>8.4193535588685496E-3</v>
      </c>
      <c r="N10" s="14">
        <v>19.849146355759189</v>
      </c>
      <c r="O10" s="14">
        <v>5524.8113966620122</v>
      </c>
      <c r="P10" s="8">
        <v>19.849146355759192</v>
      </c>
      <c r="Q10" s="54">
        <v>7.362364804036628E-2</v>
      </c>
    </row>
    <row r="11" spans="1:20">
      <c r="A11" s="2" t="s">
        <v>369</v>
      </c>
      <c r="B11" s="16" t="s">
        <v>370</v>
      </c>
      <c r="D11" s="14">
        <v>1</v>
      </c>
      <c r="E11" s="14">
        <v>0.89203222624098377</v>
      </c>
      <c r="F11" s="14">
        <v>5.6678385382565673E-4</v>
      </c>
      <c r="G11" s="14">
        <v>6.1067983832023451E-14</v>
      </c>
      <c r="H11" s="14">
        <v>146.40552620213921</v>
      </c>
      <c r="I11" s="14">
        <v>990.40644354665085</v>
      </c>
      <c r="J11" s="14">
        <v>0</v>
      </c>
      <c r="K11" s="14">
        <v>1764.3410150981488</v>
      </c>
      <c r="L11" s="14">
        <v>5.6678385382565673E-4</v>
      </c>
      <c r="M11" s="14">
        <v>4.6504615206395138E-4</v>
      </c>
      <c r="N11" s="14">
        <v>130.86144585713538</v>
      </c>
      <c r="O11" s="14">
        <v>53247.522319268384</v>
      </c>
      <c r="P11" s="8">
        <v>130.86144585713538</v>
      </c>
      <c r="Q11" s="54">
        <v>1.1046214116129709E-2</v>
      </c>
    </row>
    <row r="12" spans="1:20">
      <c r="A12" s="2" t="s">
        <v>371</v>
      </c>
      <c r="B12" s="16" t="s">
        <v>372</v>
      </c>
      <c r="D12" s="14">
        <v>1</v>
      </c>
      <c r="E12" s="14">
        <v>0.92032850725058446</v>
      </c>
      <c r="F12" s="14">
        <v>0.92389151500901445</v>
      </c>
      <c r="G12" s="14">
        <v>8.3240902674765074E-4</v>
      </c>
      <c r="H12" s="14">
        <v>7.3524091559230478E-3</v>
      </c>
      <c r="I12" s="14">
        <v>3.3742650807564278E-2</v>
      </c>
      <c r="J12" s="14">
        <v>0</v>
      </c>
      <c r="K12" s="14">
        <v>1.0823781621051503</v>
      </c>
      <c r="L12" s="14">
        <v>0.92389151500901445</v>
      </c>
      <c r="M12" s="14">
        <v>0.7580529880648964</v>
      </c>
      <c r="N12" s="14">
        <v>0.8003234999863329</v>
      </c>
      <c r="O12" s="14">
        <v>112.197351463084</v>
      </c>
      <c r="P12" s="8">
        <v>0.8003234999863329</v>
      </c>
      <c r="Q12" s="54">
        <v>2.8312563771922031E-3</v>
      </c>
    </row>
    <row r="13" spans="1:20">
      <c r="A13" s="2" t="s">
        <v>293</v>
      </c>
      <c r="B13" s="16" t="s">
        <v>294</v>
      </c>
      <c r="D13" s="14">
        <v>1</v>
      </c>
      <c r="E13" s="14">
        <v>0.69879671747524608</v>
      </c>
      <c r="F13" s="14">
        <v>0.52481661067126706</v>
      </c>
      <c r="G13" s="14">
        <v>1.9404214190672284E-10</v>
      </c>
      <c r="H13" s="14">
        <v>39.816911715474532</v>
      </c>
      <c r="I13" s="14">
        <v>94.563762366563822</v>
      </c>
      <c r="J13" s="14">
        <v>0</v>
      </c>
      <c r="K13" s="14">
        <v>1.9054274953701429</v>
      </c>
      <c r="L13" s="14">
        <v>0.52481661067126717</v>
      </c>
      <c r="M13" s="14">
        <v>0.43061202905577467</v>
      </c>
      <c r="N13" s="14">
        <v>5.7461609979646955</v>
      </c>
      <c r="O13" s="14">
        <v>1898.3017472876168</v>
      </c>
      <c r="P13" s="8">
        <v>5.7461609979646955</v>
      </c>
      <c r="Q13" s="54">
        <v>0.20059714284461047</v>
      </c>
    </row>
    <row r="14" spans="1:20">
      <c r="A14" s="2" t="s">
        <v>373</v>
      </c>
      <c r="B14" s="16" t="s">
        <v>374</v>
      </c>
      <c r="D14" s="14">
        <v>1</v>
      </c>
      <c r="E14" s="14">
        <v>0.99626153525759853</v>
      </c>
      <c r="F14" s="14">
        <v>8.8162339518684969E-3</v>
      </c>
      <c r="G14" s="14">
        <v>9.5061807779970112E-10</v>
      </c>
      <c r="H14" s="14">
        <v>280.22256646352082</v>
      </c>
      <c r="I14" s="14">
        <v>4.0647175445166503</v>
      </c>
      <c r="J14" s="14">
        <v>0</v>
      </c>
      <c r="K14" s="14">
        <v>113.42711700476843</v>
      </c>
      <c r="L14" s="14">
        <v>8.8162339518684969E-3</v>
      </c>
      <c r="M14" s="14">
        <v>7.2337199575081019E-3</v>
      </c>
      <c r="N14" s="14">
        <v>4.2266869506018407</v>
      </c>
      <c r="O14" s="14">
        <v>1125.7358024232942</v>
      </c>
      <c r="P14" s="8">
        <v>4.2266869506018407</v>
      </c>
      <c r="Q14" s="54">
        <v>5.2629636691318765E-4</v>
      </c>
    </row>
    <row r="15" spans="1:20">
      <c r="A15" s="2" t="s">
        <v>375</v>
      </c>
      <c r="B15" s="16" t="s">
        <v>376</v>
      </c>
      <c r="D15" s="14">
        <v>1</v>
      </c>
      <c r="E15" s="14">
        <v>0.78673461749523699</v>
      </c>
      <c r="F15" s="14">
        <v>0.76433620290792414</v>
      </c>
      <c r="G15" s="14">
        <v>9.4522003449941925E-4</v>
      </c>
      <c r="H15" s="14">
        <v>5.5271904653680606</v>
      </c>
      <c r="I15" s="14">
        <v>15.608515545732232</v>
      </c>
      <c r="J15" s="14">
        <v>0</v>
      </c>
      <c r="K15" s="14">
        <v>1.3083247871754482</v>
      </c>
      <c r="L15" s="14">
        <v>0.76433620290792414</v>
      </c>
      <c r="M15" s="14">
        <v>0.62713785448595172</v>
      </c>
      <c r="N15" s="14">
        <v>1.5181658095673414</v>
      </c>
      <c r="O15" s="14">
        <v>226.81397194936079</v>
      </c>
      <c r="P15" s="8">
        <v>1.5181658095673414</v>
      </c>
      <c r="Q15" s="54">
        <v>8.5814682749854682E-2</v>
      </c>
    </row>
    <row r="16" spans="1:20">
      <c r="A16" s="2" t="s">
        <v>377</v>
      </c>
      <c r="B16" s="16" t="s">
        <v>378</v>
      </c>
      <c r="D16" s="14">
        <v>1</v>
      </c>
      <c r="E16" s="14">
        <v>0.68732601087579615</v>
      </c>
      <c r="F16" s="14">
        <v>0.48935237978460466</v>
      </c>
      <c r="G16" s="14">
        <v>7.3788756631043927E-6</v>
      </c>
      <c r="H16" s="14">
        <v>45.348372430623606</v>
      </c>
      <c r="I16" s="14">
        <v>106.1252864437833</v>
      </c>
      <c r="J16" s="14">
        <v>0</v>
      </c>
      <c r="K16" s="14">
        <v>2.0435171898830125</v>
      </c>
      <c r="L16" s="14">
        <v>0.48935237978460472</v>
      </c>
      <c r="M16" s="14">
        <v>0.40151362761326814</v>
      </c>
      <c r="N16" s="14">
        <v>6.3719079354328327</v>
      </c>
      <c r="O16" s="14">
        <v>1416.0928195705928</v>
      </c>
      <c r="P16" s="8">
        <v>6.3719079354328327</v>
      </c>
      <c r="Q16" s="54">
        <v>0.20759594946281207</v>
      </c>
    </row>
    <row r="17" spans="1:21">
      <c r="A17" s="2" t="s">
        <v>379</v>
      </c>
      <c r="B17" s="16" t="s">
        <v>380</v>
      </c>
      <c r="D17" s="14">
        <v>1</v>
      </c>
      <c r="E17" s="14">
        <v>0.69311743872887122</v>
      </c>
      <c r="F17" s="14">
        <v>0.5106856752988167</v>
      </c>
      <c r="G17" s="14">
        <v>2.2193314306976424E-5</v>
      </c>
      <c r="H17" s="14">
        <v>41.763191162932557</v>
      </c>
      <c r="I17" s="14">
        <v>98.639496523625084</v>
      </c>
      <c r="J17" s="14">
        <v>0</v>
      </c>
      <c r="K17" s="14">
        <v>1.958151654469007</v>
      </c>
      <c r="L17" s="14">
        <v>0.5106856752988167</v>
      </c>
      <c r="M17" s="14">
        <v>0.41901759658267912</v>
      </c>
      <c r="N17" s="14">
        <v>5.9653065197756652</v>
      </c>
      <c r="O17" s="14">
        <v>766.8998061823595</v>
      </c>
      <c r="P17" s="8">
        <v>5.9653065197756652</v>
      </c>
      <c r="Q17" s="54">
        <v>0.20297887768326922</v>
      </c>
    </row>
    <row r="18" spans="1:21">
      <c r="A18" s="2" t="s">
        <v>381</v>
      </c>
      <c r="B18" s="16" t="s">
        <v>382</v>
      </c>
      <c r="D18" s="14">
        <v>1</v>
      </c>
      <c r="E18" s="14">
        <v>0.85275296508327358</v>
      </c>
      <c r="F18" s="14">
        <v>6.2193121635912131E-4</v>
      </c>
      <c r="G18" s="14">
        <v>4.4306846787128999E-10</v>
      </c>
      <c r="H18" s="14">
        <v>65.289351625348246</v>
      </c>
      <c r="I18" s="14">
        <v>1637.9457990656397</v>
      </c>
      <c r="J18" s="14">
        <v>0</v>
      </c>
      <c r="K18" s="14">
        <v>1607.8948502603714</v>
      </c>
      <c r="L18" s="14">
        <v>6.2193121635912131E-4</v>
      </c>
      <c r="M18" s="14">
        <v>5.102945630226591E-4</v>
      </c>
      <c r="N18" s="14">
        <v>99.461489072326785</v>
      </c>
      <c r="O18" s="14">
        <v>38918.286059110753</v>
      </c>
      <c r="P18" s="8">
        <v>99.461489072326799</v>
      </c>
      <c r="Q18" s="54">
        <v>5.2396168065706523E-2</v>
      </c>
    </row>
    <row r="19" spans="1:21">
      <c r="A19" s="2" t="s">
        <v>383</v>
      </c>
      <c r="B19" s="16" t="s">
        <v>384</v>
      </c>
      <c r="D19" s="14">
        <v>1</v>
      </c>
      <c r="E19" s="14">
        <v>0.91094812286750548</v>
      </c>
      <c r="F19" s="14">
        <v>0.90609139230197777</v>
      </c>
      <c r="G19" s="14">
        <v>1.3070749526580637E-4</v>
      </c>
      <c r="H19" s="14">
        <v>1.7851388625752407</v>
      </c>
      <c r="I19" s="14">
        <v>5.5479070399815056</v>
      </c>
      <c r="J19" s="14">
        <v>0</v>
      </c>
      <c r="K19" s="14">
        <v>1.1036414300983943</v>
      </c>
      <c r="L19" s="14">
        <v>0.90609139230197777</v>
      </c>
      <c r="M19" s="14">
        <v>0.74344798738377271</v>
      </c>
      <c r="N19" s="14">
        <v>1.0847351410245565</v>
      </c>
      <c r="O19" s="14">
        <v>101.02138368361693</v>
      </c>
      <c r="P19" s="8">
        <v>1.0847351410245565</v>
      </c>
      <c r="Q19" s="54">
        <v>5.1656999372902017E-2</v>
      </c>
    </row>
    <row r="20" spans="1:21">
      <c r="A20" s="2" t="s">
        <v>385</v>
      </c>
      <c r="B20" s="16" t="s">
        <v>386</v>
      </c>
      <c r="D20" s="14">
        <v>1</v>
      </c>
      <c r="E20" s="14">
        <v>0.87600412239905545</v>
      </c>
      <c r="F20" s="14">
        <v>0.86458665787089994</v>
      </c>
      <c r="G20" s="14">
        <v>2.4402651460007788E-4</v>
      </c>
      <c r="H20" s="14">
        <v>3.182793989870409</v>
      </c>
      <c r="I20" s="14">
        <v>9.4463862664195748</v>
      </c>
      <c r="J20" s="14">
        <v>0</v>
      </c>
      <c r="K20" s="14">
        <v>1.156622058525127</v>
      </c>
      <c r="L20" s="14">
        <v>0.86458665787089994</v>
      </c>
      <c r="M20" s="14">
        <v>0.70939335278307347</v>
      </c>
      <c r="N20" s="14">
        <v>1.2634479436609498</v>
      </c>
      <c r="O20" s="14">
        <v>140.39433549960475</v>
      </c>
      <c r="P20" s="8">
        <v>1.2634479436609498</v>
      </c>
      <c r="Q20" s="54">
        <v>6.8275627465303149E-2</v>
      </c>
    </row>
    <row r="21" spans="1:21">
      <c r="A21" s="2" t="s">
        <v>387</v>
      </c>
      <c r="B21" s="16" t="s">
        <v>388</v>
      </c>
      <c r="D21" s="14">
        <v>1</v>
      </c>
      <c r="E21" s="14">
        <v>0.92541953817157308</v>
      </c>
      <c r="F21" s="14">
        <v>0.10609772822431254</v>
      </c>
      <c r="G21" s="14">
        <v>2.0618248936575605E-5</v>
      </c>
      <c r="H21" s="14">
        <v>223.94743100857701</v>
      </c>
      <c r="I21" s="14">
        <v>83.681000185244756</v>
      </c>
      <c r="J21" s="14">
        <v>0</v>
      </c>
      <c r="K21" s="14">
        <v>9.4252724986325163</v>
      </c>
      <c r="L21" s="14">
        <v>0.10609772822431254</v>
      </c>
      <c r="M21" s="14">
        <v>8.7053186008048442E-2</v>
      </c>
      <c r="N21" s="14">
        <v>6.2532109660770638</v>
      </c>
      <c r="O21" s="14">
        <v>1234.6965052519163</v>
      </c>
      <c r="P21" s="8">
        <v>6.2532109660770638</v>
      </c>
      <c r="Q21" s="54">
        <v>4.6134610929819811E-2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0.90433019350664734</v>
      </c>
      <c r="F22" s="14">
        <v>0.90646261451286814</v>
      </c>
      <c r="G22" s="14">
        <v>7.2794469392820982E-4</v>
      </c>
      <c r="H22" s="14">
        <v>0.28778615519015721</v>
      </c>
      <c r="I22" s="14">
        <v>1.023121162566305</v>
      </c>
      <c r="J22" s="14">
        <v>0</v>
      </c>
      <c r="K22" s="14">
        <v>1.1031894575568335</v>
      </c>
      <c r="L22" s="14">
        <v>0.90646261451286814</v>
      </c>
      <c r="M22" s="14">
        <v>0.74375257520780835</v>
      </c>
      <c r="N22" s="14">
        <v>0.83813205139535429</v>
      </c>
      <c r="O22" s="14">
        <v>48.678709545042175</v>
      </c>
      <c r="P22" s="8">
        <v>0.83813205139535429</v>
      </c>
      <c r="Q22" s="54">
        <v>1.9958461832590008E-2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0.76497414887313508</v>
      </c>
      <c r="F23" s="14">
        <v>0.72440851208824319</v>
      </c>
      <c r="G23" s="14">
        <v>7.6501866720100485E-4</v>
      </c>
      <c r="H23" s="14">
        <v>9.5464861056804615</v>
      </c>
      <c r="I23" s="14">
        <v>25.792932142606681</v>
      </c>
      <c r="J23" s="14">
        <v>0</v>
      </c>
      <c r="K23" s="14">
        <v>1.3804365676451158</v>
      </c>
      <c r="L23" s="14">
        <v>0.72440851208824331</v>
      </c>
      <c r="M23" s="14">
        <v>0.59437718416840357</v>
      </c>
      <c r="N23" s="14">
        <v>2.0499640508712691</v>
      </c>
      <c r="O23" s="14">
        <v>219.6536480508565</v>
      </c>
      <c r="P23" s="8">
        <v>2.0499640508712691</v>
      </c>
      <c r="Q23" s="54">
        <v>0.11119895746413609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0.66278484556011308</v>
      </c>
      <c r="F24" s="14">
        <v>0.37821713278799352</v>
      </c>
      <c r="G24" s="14">
        <v>2.1757534741944167E-5</v>
      </c>
      <c r="H24" s="14">
        <v>65.490936082441181</v>
      </c>
      <c r="I24" s="14">
        <v>146.36538139505046</v>
      </c>
      <c r="J24" s="14">
        <v>0</v>
      </c>
      <c r="K24" s="14">
        <v>2.6439838741005466</v>
      </c>
      <c r="L24" s="14">
        <v>0.37821713278799352</v>
      </c>
      <c r="M24" s="14">
        <v>0.31032715745254869</v>
      </c>
      <c r="N24" s="14">
        <v>8.5718506009253499</v>
      </c>
      <c r="O24" s="14">
        <v>1388.8112343619252</v>
      </c>
      <c r="P24" s="8">
        <v>8.5718506009253499</v>
      </c>
      <c r="Q24" s="54">
        <v>0.22224825960241343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0.84992936232735772</v>
      </c>
      <c r="F25" s="14">
        <v>8.702739631428803E-4</v>
      </c>
      <c r="G25" s="14">
        <v>2.0478798753461441E-6</v>
      </c>
      <c r="H25" s="14">
        <v>78.176458155009186</v>
      </c>
      <c r="I25" s="14">
        <v>1510.543238599075</v>
      </c>
      <c r="J25" s="14">
        <v>0</v>
      </c>
      <c r="K25" s="14">
        <v>1149.0634470881228</v>
      </c>
      <c r="L25" s="14">
        <v>8.702739631428803E-4</v>
      </c>
      <c r="M25" s="14">
        <v>7.1405978675873332E-4</v>
      </c>
      <c r="N25" s="14">
        <v>91.398804637459833</v>
      </c>
      <c r="O25" s="14">
        <v>21331.56701433675</v>
      </c>
      <c r="P25" s="8">
        <v>91.398804637459833</v>
      </c>
      <c r="Q25" s="54">
        <v>5.7987336535406386E-2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0.59754173452233683</v>
      </c>
      <c r="F26" s="14">
        <v>0.13578000091118941</v>
      </c>
      <c r="G26" s="14">
        <v>1.4667776876757283E-3</v>
      </c>
      <c r="H26" s="14">
        <v>108.0776286661474</v>
      </c>
      <c r="I26" s="14">
        <v>215.87034123085951</v>
      </c>
      <c r="J26" s="14">
        <v>0</v>
      </c>
      <c r="K26" s="14">
        <v>7.3648548629343216</v>
      </c>
      <c r="L26" s="14">
        <v>0.13578000091118941</v>
      </c>
      <c r="M26" s="14">
        <v>0.11140749074763091</v>
      </c>
      <c r="N26" s="14">
        <v>12.423939832850571</v>
      </c>
      <c r="O26" s="14">
        <v>1592.3763683764575</v>
      </c>
      <c r="P26" s="8">
        <v>12.423939832850571</v>
      </c>
      <c r="Q26" s="54">
        <v>0.17668227310010032</v>
      </c>
    </row>
    <row r="27" spans="1:21">
      <c r="A27" s="2" t="s">
        <v>397</v>
      </c>
      <c r="B27" s="16" t="s">
        <v>398</v>
      </c>
      <c r="D27" s="14">
        <v>1</v>
      </c>
      <c r="E27" s="14">
        <v>0.3174537471254269</v>
      </c>
      <c r="F27" s="14">
        <v>1.610768411707145E-2</v>
      </c>
      <c r="G27" s="14">
        <v>6.6788484946489098E-3</v>
      </c>
      <c r="H27" s="14">
        <v>71.990154265429993</v>
      </c>
      <c r="I27" s="14">
        <v>126.62815378060164</v>
      </c>
      <c r="J27" s="14">
        <v>0</v>
      </c>
      <c r="K27" s="14">
        <v>62.082171014278046</v>
      </c>
      <c r="L27" s="14">
        <v>1.610768411707145E-2</v>
      </c>
      <c r="M27" s="14">
        <v>1.3216354818057127E-2</v>
      </c>
      <c r="N27" s="14">
        <v>7.3313892091028166</v>
      </c>
      <c r="O27" s="14">
        <v>1330.280571991706</v>
      </c>
      <c r="P27" s="8">
        <v>7.3313892091028166</v>
      </c>
      <c r="Q27" s="54">
        <v>5.1514593239114601E-2</v>
      </c>
    </row>
    <row r="28" spans="1:21">
      <c r="A28" s="2" t="s">
        <v>399</v>
      </c>
      <c r="B28" s="16" t="s">
        <v>400</v>
      </c>
      <c r="D28" s="14">
        <v>1</v>
      </c>
      <c r="E28" s="14">
        <v>0.16598210144982761</v>
      </c>
      <c r="F28" s="14">
        <v>2.9176459142146626E-2</v>
      </c>
      <c r="G28" s="14">
        <v>8.4984763940169419E-3</v>
      </c>
      <c r="H28" s="14">
        <v>32.144937429262811</v>
      </c>
      <c r="I28" s="14">
        <v>62.685884118111758</v>
      </c>
      <c r="J28" s="14">
        <v>0</v>
      </c>
      <c r="K28" s="14">
        <v>34.274206994345576</v>
      </c>
      <c r="L28" s="14">
        <v>2.917645914214663E-2</v>
      </c>
      <c r="M28" s="14">
        <v>2.393928472613131E-2</v>
      </c>
      <c r="N28" s="14">
        <v>3.6080154004016589</v>
      </c>
      <c r="O28" s="14">
        <v>530.37826385904384</v>
      </c>
      <c r="P28" s="8">
        <v>3.6080154004016589</v>
      </c>
      <c r="Q28" s="54">
        <v>4.4974853308147433E-2</v>
      </c>
    </row>
    <row r="29" spans="1:21">
      <c r="A29" s="2" t="s">
        <v>297</v>
      </c>
      <c r="B29" s="16" t="s">
        <v>298</v>
      </c>
      <c r="D29" s="14">
        <v>1</v>
      </c>
      <c r="E29" s="14">
        <v>6.0460559983600323E-2</v>
      </c>
      <c r="F29" s="14">
        <v>5.9393396474003046E-2</v>
      </c>
      <c r="G29" s="14">
        <v>1.0350626781489972E-2</v>
      </c>
      <c r="H29" s="14">
        <v>0.28076189277489039</v>
      </c>
      <c r="I29" s="14">
        <v>0.81807916545355519</v>
      </c>
      <c r="J29" s="14">
        <v>0</v>
      </c>
      <c r="K29" s="14">
        <v>16.836888599858199</v>
      </c>
      <c r="L29" s="14">
        <v>5.9393396474003046E-2</v>
      </c>
      <c r="M29" s="14">
        <v>4.8732281806919506E-2</v>
      </c>
      <c r="N29" s="14">
        <v>9.6127113509662021E-2</v>
      </c>
      <c r="O29" s="14">
        <v>8.1640757503755967</v>
      </c>
      <c r="P29" s="8">
        <v>9.6127113509662035E-2</v>
      </c>
      <c r="Q29" s="54">
        <v>5.3431249744206339E-3</v>
      </c>
    </row>
    <row r="30" spans="1:21">
      <c r="A30" s="2" t="s">
        <v>401</v>
      </c>
      <c r="B30" s="16" t="s">
        <v>402</v>
      </c>
      <c r="D30" s="14">
        <v>1</v>
      </c>
      <c r="E30" s="14">
        <v>6.4346693321667023E-2</v>
      </c>
      <c r="F30" s="14">
        <v>1.2018574438512336E-2</v>
      </c>
      <c r="G30" s="14">
        <v>1.0092097680269517E-2</v>
      </c>
      <c r="H30" s="14">
        <v>12.284371949833734</v>
      </c>
      <c r="I30" s="14">
        <v>24.088520593291531</v>
      </c>
      <c r="J30" s="14">
        <v>0</v>
      </c>
      <c r="K30" s="14">
        <v>83.204543526859439</v>
      </c>
      <c r="L30" s="14">
        <v>1.2018574438512336E-2</v>
      </c>
      <c r="M30" s="14">
        <v>9.8612403267993726E-3</v>
      </c>
      <c r="N30" s="14">
        <v>1.3863513912259755</v>
      </c>
      <c r="O30" s="14">
        <v>229.89865120700352</v>
      </c>
      <c r="P30" s="8">
        <v>1.3863513912259755</v>
      </c>
      <c r="Q30" s="54">
        <v>1.7815996899147413E-2</v>
      </c>
    </row>
    <row r="31" spans="1:21">
      <c r="A31" s="2" t="s">
        <v>299</v>
      </c>
      <c r="B31" s="16" t="s">
        <v>300</v>
      </c>
      <c r="D31" s="14">
        <v>1</v>
      </c>
      <c r="E31" s="14">
        <v>1.3154754149039176E-3</v>
      </c>
      <c r="F31" s="14">
        <v>4.4952165859745959E-4</v>
      </c>
      <c r="G31" s="14">
        <v>1.1089171731493789E-2</v>
      </c>
      <c r="H31" s="14">
        <v>0.20131244406931095</v>
      </c>
      <c r="I31" s="14">
        <v>0.41949596928123878</v>
      </c>
      <c r="J31" s="14">
        <v>0</v>
      </c>
      <c r="K31" s="14">
        <v>2224.5869156117483</v>
      </c>
      <c r="L31" s="14">
        <v>4.4952165859745964E-4</v>
      </c>
      <c r="M31" s="14">
        <v>3.6883252087921561E-4</v>
      </c>
      <c r="N31" s="14">
        <v>2.4195978312711468E-2</v>
      </c>
      <c r="O31" s="14">
        <v>1.9874576586061201</v>
      </c>
      <c r="P31" s="8">
        <v>2.4195978312711468E-2</v>
      </c>
      <c r="Q31" s="54">
        <v>4.3343880693933617E-4</v>
      </c>
    </row>
    <row r="32" spans="1:21">
      <c r="A32" s="2" t="s">
        <v>343</v>
      </c>
      <c r="B32" s="16" t="s">
        <v>344</v>
      </c>
      <c r="D32" s="14">
        <v>1</v>
      </c>
      <c r="E32" s="14">
        <v>0.71128886449397122</v>
      </c>
      <c r="F32" s="14">
        <v>0.56236053865402535</v>
      </c>
      <c r="G32" s="14">
        <v>2.1745195970274502E-5</v>
      </c>
      <c r="H32" s="14">
        <v>34.067074342123334</v>
      </c>
      <c r="I32" s="14">
        <v>82.260625785547148</v>
      </c>
      <c r="J32" s="14">
        <v>0</v>
      </c>
      <c r="K32" s="14">
        <v>1.7782186538078173</v>
      </c>
      <c r="L32" s="14">
        <v>0.56236053865402535</v>
      </c>
      <c r="M32" s="14">
        <v>0.46141682196562783</v>
      </c>
      <c r="N32" s="14">
        <v>5.0819095399468042</v>
      </c>
      <c r="O32" s="14">
        <v>834.44954645926521</v>
      </c>
      <c r="P32" s="8">
        <v>5.0819095399468051</v>
      </c>
      <c r="Q32" s="54">
        <v>0.19115779355375043</v>
      </c>
    </row>
    <row r="33" spans="1:17">
      <c r="A33" s="2" t="s">
        <v>345</v>
      </c>
      <c r="B33" s="16" t="s">
        <v>346</v>
      </c>
      <c r="D33" s="14">
        <v>1</v>
      </c>
      <c r="E33" s="14">
        <v>0.78223626331173268</v>
      </c>
      <c r="F33" s="14">
        <v>0.71177087645027004</v>
      </c>
      <c r="G33" s="14">
        <v>9.2757428804258694E-7</v>
      </c>
      <c r="H33" s="14">
        <v>16.259987747129205</v>
      </c>
      <c r="I33" s="14">
        <v>42.186877780834379</v>
      </c>
      <c r="J33" s="14">
        <v>0</v>
      </c>
      <c r="K33" s="14">
        <v>1.4049464976527006</v>
      </c>
      <c r="L33" s="14">
        <v>0.71177087645027004</v>
      </c>
      <c r="M33" s="14">
        <v>0.58400800412744658</v>
      </c>
      <c r="N33" s="14">
        <v>2.9541649886996777</v>
      </c>
      <c r="O33" s="14">
        <v>446.55157969184324</v>
      </c>
      <c r="P33" s="8">
        <v>2.9541649886996777</v>
      </c>
      <c r="Q33" s="54">
        <v>0.1455383291694213</v>
      </c>
    </row>
    <row r="34" spans="1:17">
      <c r="A34" s="2" t="s">
        <v>347</v>
      </c>
      <c r="B34" s="16" t="s">
        <v>348</v>
      </c>
      <c r="D34" s="14">
        <v>1</v>
      </c>
      <c r="E34" s="14">
        <v>0.68135885646464756</v>
      </c>
      <c r="F34" s="14">
        <v>0.17327535750060272</v>
      </c>
      <c r="G34" s="14">
        <v>7.9782068356727964E-7</v>
      </c>
      <c r="H34" s="14">
        <v>118.70712957456482</v>
      </c>
      <c r="I34" s="14">
        <v>239.73639716467474</v>
      </c>
      <c r="J34" s="14">
        <v>0</v>
      </c>
      <c r="K34" s="14">
        <v>5.7711610838634204</v>
      </c>
      <c r="L34" s="14">
        <v>0.17327535750060272</v>
      </c>
      <c r="M34" s="14">
        <v>0.14217243082924452</v>
      </c>
      <c r="N34" s="14">
        <v>13.800851127410027</v>
      </c>
      <c r="O34" s="14">
        <v>2432.4000112060171</v>
      </c>
      <c r="P34" s="8">
        <v>13.800851127410027</v>
      </c>
      <c r="Q34" s="54">
        <v>0.20851340212213487</v>
      </c>
    </row>
    <row r="35" spans="1:17">
      <c r="A35" s="2" t="s">
        <v>349</v>
      </c>
      <c r="B35" s="16" t="s">
        <v>350</v>
      </c>
      <c r="D35" s="14">
        <v>1</v>
      </c>
      <c r="E35" s="14">
        <v>0.82943302808281505</v>
      </c>
      <c r="F35" s="14">
        <v>2.0593317211347488E-2</v>
      </c>
      <c r="G35" s="14">
        <v>1.4561120535588922E-4</v>
      </c>
      <c r="H35" s="14">
        <v>194.87956845671826</v>
      </c>
      <c r="I35" s="14">
        <v>324.35715316096525</v>
      </c>
      <c r="J35" s="14">
        <v>0</v>
      </c>
      <c r="K35" s="14">
        <v>48.559442353899755</v>
      </c>
      <c r="L35" s="14">
        <v>2.0593317211347488E-2</v>
      </c>
      <c r="M35" s="14">
        <v>1.6896816771910614E-2</v>
      </c>
      <c r="N35" s="14">
        <v>18.872389878823999</v>
      </c>
      <c r="O35" s="14">
        <v>3629.1605736978554</v>
      </c>
      <c r="P35" s="8">
        <v>18.872389878824002</v>
      </c>
      <c r="Q35" s="54">
        <v>9.7369621100985265E-2</v>
      </c>
    </row>
    <row r="36" spans="1:17">
      <c r="A36" s="2" t="s">
        <v>351</v>
      </c>
      <c r="B36" s="16" t="s">
        <v>352</v>
      </c>
      <c r="D36" s="14">
        <v>1</v>
      </c>
      <c r="E36" s="14">
        <v>0.8550116889682946</v>
      </c>
      <c r="F36" s="14">
        <v>4.5301311455359216E-3</v>
      </c>
      <c r="G36" s="14">
        <v>3.9040849815867051E-6</v>
      </c>
      <c r="H36" s="14">
        <v>165.38296542614924</v>
      </c>
      <c r="I36" s="14">
        <v>706.88366455435005</v>
      </c>
      <c r="J36" s="14">
        <v>0</v>
      </c>
      <c r="K36" s="14">
        <v>220.74416123370275</v>
      </c>
      <c r="L36" s="14">
        <v>4.5301311455359216E-3</v>
      </c>
      <c r="M36" s="14">
        <v>3.7169726049122239E-3</v>
      </c>
      <c r="N36" s="14">
        <v>41.904281005596935</v>
      </c>
      <c r="O36" s="14">
        <v>9318.2549672145906</v>
      </c>
      <c r="P36" s="8">
        <v>41.904281005596935</v>
      </c>
      <c r="Q36" s="54">
        <v>7.7830164008625219E-2</v>
      </c>
    </row>
    <row r="37" spans="1:17">
      <c r="A37" s="2" t="s">
        <v>353</v>
      </c>
      <c r="B37" s="16" t="s">
        <v>354</v>
      </c>
      <c r="D37" s="14">
        <v>1</v>
      </c>
      <c r="E37" s="14">
        <v>0.84994555666656002</v>
      </c>
      <c r="F37" s="14">
        <v>6.8211795488488285E-4</v>
      </c>
      <c r="G37" s="14">
        <v>2.6078821933044538E-5</v>
      </c>
      <c r="H37" s="14">
        <v>68.573999714839474</v>
      </c>
      <c r="I37" s="14">
        <v>1599.987729693735</v>
      </c>
      <c r="J37" s="14">
        <v>0</v>
      </c>
      <c r="K37" s="14">
        <v>1466.0221048847252</v>
      </c>
      <c r="L37" s="14">
        <v>6.8211795488488285E-4</v>
      </c>
      <c r="M37" s="14">
        <v>5.5967778198304642E-4</v>
      </c>
      <c r="N37" s="14">
        <v>97.060365349339179</v>
      </c>
      <c r="O37" s="14">
        <v>22944.099764930288</v>
      </c>
      <c r="P37" s="8">
        <v>97.060365349339193</v>
      </c>
      <c r="Q37" s="54">
        <v>5.3841438190076849E-2</v>
      </c>
    </row>
    <row r="38" spans="1:17">
      <c r="A38" s="2" t="s">
        <v>355</v>
      </c>
      <c r="B38" s="16" t="s">
        <v>356</v>
      </c>
      <c r="D38" s="14">
        <v>1</v>
      </c>
      <c r="E38" s="14">
        <v>0.84819336707431225</v>
      </c>
      <c r="F38" s="14">
        <v>2.4754487331397975E-3</v>
      </c>
      <c r="G38" s="14">
        <v>1.4507160775900342E-6</v>
      </c>
      <c r="H38" s="14">
        <v>130.00316825922508</v>
      </c>
      <c r="I38" s="14">
        <v>1021.9063721769899</v>
      </c>
      <c r="J38" s="14">
        <v>0</v>
      </c>
      <c r="K38" s="14">
        <v>403.96716224117677</v>
      </c>
      <c r="L38" s="14">
        <v>2.4754487331397975E-3</v>
      </c>
      <c r="M38" s="14">
        <v>2.0311056855412037E-3</v>
      </c>
      <c r="N38" s="14">
        <v>61.080204688476826</v>
      </c>
      <c r="O38" s="14">
        <v>15783.12489150241</v>
      </c>
      <c r="P38" s="8">
        <v>61.080204688476826</v>
      </c>
      <c r="Q38" s="54">
        <v>7.3520949507820454E-2</v>
      </c>
    </row>
    <row r="39" spans="1:17">
      <c r="A39" s="2" t="s">
        <v>357</v>
      </c>
      <c r="B39" s="16" t="s">
        <v>358</v>
      </c>
      <c r="D39" s="14">
        <v>1</v>
      </c>
      <c r="E39" s="14">
        <v>0.83003847648072315</v>
      </c>
      <c r="F39" s="14">
        <v>3.7422451072446307E-3</v>
      </c>
      <c r="G39" s="14">
        <v>2.9461897682691543E-4</v>
      </c>
      <c r="H39" s="14">
        <v>151.57662374158889</v>
      </c>
      <c r="I39" s="14">
        <v>771.06217676157451</v>
      </c>
      <c r="J39" s="14">
        <v>0</v>
      </c>
      <c r="K39" s="14">
        <v>267.21926847177781</v>
      </c>
      <c r="L39" s="14">
        <v>3.7422451072446307E-3</v>
      </c>
      <c r="M39" s="14">
        <v>3.0705121104942197E-3</v>
      </c>
      <c r="N39" s="14">
        <v>45.816216498289648</v>
      </c>
      <c r="O39" s="14">
        <v>10830.49541803069</v>
      </c>
      <c r="P39" s="8">
        <v>45.816216498289648</v>
      </c>
      <c r="Q39" s="54">
        <v>7.5177763237834871E-2</v>
      </c>
    </row>
    <row r="40" spans="1:17">
      <c r="A40" s="2" t="s">
        <v>359</v>
      </c>
      <c r="B40" s="16" t="s">
        <v>360</v>
      </c>
      <c r="D40" s="14">
        <v>1</v>
      </c>
      <c r="E40" s="14">
        <v>0.84819336707431225</v>
      </c>
      <c r="F40" s="14">
        <v>2.4754487331397975E-3</v>
      </c>
      <c r="G40" s="14">
        <v>1.4507160775900342E-6</v>
      </c>
      <c r="H40" s="14">
        <v>130.00316825922508</v>
      </c>
      <c r="I40" s="14">
        <v>1021.9063721769899</v>
      </c>
      <c r="J40" s="14">
        <v>0</v>
      </c>
      <c r="K40" s="14">
        <v>403.96716224117677</v>
      </c>
      <c r="L40" s="14">
        <v>2.4754487331397975E-3</v>
      </c>
      <c r="M40" s="14">
        <v>2.0311056855412037E-3</v>
      </c>
      <c r="N40" s="14">
        <v>61.080204688476826</v>
      </c>
      <c r="O40" s="14">
        <v>15783.12489150241</v>
      </c>
      <c r="P40" s="8">
        <v>61.080204688476826</v>
      </c>
      <c r="Q40" s="54">
        <v>7.3520949507820454E-2</v>
      </c>
    </row>
    <row r="41" spans="1:17">
      <c r="A41" s="2" t="s">
        <v>313</v>
      </c>
      <c r="B41" s="16" t="s">
        <v>314</v>
      </c>
      <c r="D41" s="14">
        <v>1</v>
      </c>
      <c r="E41" s="14">
        <v>0.99914473989447861</v>
      </c>
      <c r="F41" s="14">
        <v>0.95735286591729829</v>
      </c>
      <c r="G41" s="14">
        <v>6.2316481036680846E-10</v>
      </c>
      <c r="H41" s="14">
        <v>12.935762749494872</v>
      </c>
      <c r="I41" s="14">
        <v>2.8501925920114069E-2</v>
      </c>
      <c r="J41" s="14">
        <v>0</v>
      </c>
      <c r="K41" s="14">
        <v>1.0445469331121069</v>
      </c>
      <c r="L41" s="14">
        <v>0.95735286591729829</v>
      </c>
      <c r="M41" s="14">
        <v>0.78550802648514328</v>
      </c>
      <c r="N41" s="14">
        <v>0.96428218289106871</v>
      </c>
      <c r="O41" s="14">
        <v>177.53399269207466</v>
      </c>
      <c r="P41" s="8">
        <v>0.96428218289106871</v>
      </c>
      <c r="Q41" s="54">
        <v>1.2163938254859203E-4</v>
      </c>
    </row>
    <row r="42" spans="1:17">
      <c r="A42" s="2" t="s">
        <v>315</v>
      </c>
      <c r="B42" s="16" t="s">
        <v>316</v>
      </c>
      <c r="D42" s="14">
        <v>1</v>
      </c>
      <c r="E42" s="14">
        <v>0.84986853510320548</v>
      </c>
      <c r="F42" s="14">
        <v>6.1982753906984767E-4</v>
      </c>
      <c r="G42" s="14">
        <v>3.758368468126944E-5</v>
      </c>
      <c r="H42" s="14">
        <v>65.068510923622895</v>
      </c>
      <c r="I42" s="14">
        <v>1632.4054607003663</v>
      </c>
      <c r="J42" s="14">
        <v>0</v>
      </c>
      <c r="K42" s="14">
        <v>1613.3520003010242</v>
      </c>
      <c r="L42" s="14">
        <v>6.1982753906984767E-4</v>
      </c>
      <c r="M42" s="14">
        <v>5.0856849580681004E-4</v>
      </c>
      <c r="N42" s="14">
        <v>99.125061393163662</v>
      </c>
      <c r="O42" s="14">
        <v>36171.726152979354</v>
      </c>
      <c r="P42" s="8">
        <v>99.125061393163662</v>
      </c>
      <c r="Q42" s="54">
        <v>5.2218938452679442E-2</v>
      </c>
    </row>
    <row r="43" spans="1:17">
      <c r="A43" s="2" t="s">
        <v>317</v>
      </c>
      <c r="B43" s="16" t="s">
        <v>318</v>
      </c>
      <c r="D43" s="14">
        <v>1</v>
      </c>
      <c r="E43" s="14">
        <v>0.66124252978329556</v>
      </c>
      <c r="F43" s="14">
        <v>0.35305052881625382</v>
      </c>
      <c r="G43" s="14">
        <v>4.8760186047309929E-14</v>
      </c>
      <c r="H43" s="14">
        <v>71.029190691727337</v>
      </c>
      <c r="I43" s="14">
        <v>156.99797004948854</v>
      </c>
      <c r="J43" s="14">
        <v>0</v>
      </c>
      <c r="K43" s="14">
        <v>2.8324557489062787</v>
      </c>
      <c r="L43" s="14">
        <v>0.35305052881625382</v>
      </c>
      <c r="M43" s="14">
        <v>0.28967795889373626</v>
      </c>
      <c r="N43" s="14">
        <v>9.1594528911997415</v>
      </c>
      <c r="O43" s="14">
        <v>2906.4775914355018</v>
      </c>
      <c r="P43" s="8">
        <v>9.1594528911997415</v>
      </c>
      <c r="Q43" s="54">
        <v>0.2243334509022214</v>
      </c>
    </row>
    <row r="44" spans="1:17">
      <c r="A44" s="2" t="s">
        <v>307</v>
      </c>
      <c r="B44" s="16" t="s">
        <v>308</v>
      </c>
      <c r="D44" s="14">
        <v>1</v>
      </c>
      <c r="E44" s="14">
        <v>0.86443453699572181</v>
      </c>
      <c r="F44" s="14">
        <v>6.8271611217928362E-3</v>
      </c>
      <c r="G44" s="14">
        <v>1.3113802540990921E-6</v>
      </c>
      <c r="H44" s="14">
        <v>188.92966407296538</v>
      </c>
      <c r="I44" s="14">
        <v>507.64173895927593</v>
      </c>
      <c r="J44" s="14">
        <v>0</v>
      </c>
      <c r="K44" s="14">
        <v>146.47376591244068</v>
      </c>
      <c r="L44" s="14">
        <v>6.8271611217928371E-3</v>
      </c>
      <c r="M44" s="14">
        <v>5.6016857004310226E-3</v>
      </c>
      <c r="N44" s="14">
        <v>29.906808992717981</v>
      </c>
      <c r="O44" s="14">
        <v>10485.028164756995</v>
      </c>
      <c r="P44" s="8">
        <v>29.906808992717981</v>
      </c>
      <c r="Q44" s="54">
        <v>7.7296053928392075E-2</v>
      </c>
    </row>
    <row r="45" spans="1:17">
      <c r="A45" s="2" t="s">
        <v>319</v>
      </c>
      <c r="B45" s="16" t="s">
        <v>320</v>
      </c>
      <c r="D45" s="14">
        <v>1</v>
      </c>
      <c r="E45" s="14">
        <v>0.86054767738617555</v>
      </c>
      <c r="F45" s="14">
        <v>2.762794414724216E-4</v>
      </c>
      <c r="G45" s="14">
        <v>1.2204979577443757E-7</v>
      </c>
      <c r="H45" s="14">
        <v>41.362670404558529</v>
      </c>
      <c r="I45" s="14">
        <v>1880.9001458975765</v>
      </c>
      <c r="J45" s="14">
        <v>0</v>
      </c>
      <c r="K45" s="14">
        <v>3619.5237498329047</v>
      </c>
      <c r="L45" s="14">
        <v>2.762794414724216E-4</v>
      </c>
      <c r="M45" s="14">
        <v>2.2668728172812194E-4</v>
      </c>
      <c r="N45" s="14">
        <v>115.14683907745044</v>
      </c>
      <c r="O45" s="14">
        <v>40818.402984565408</v>
      </c>
      <c r="P45" s="8">
        <v>115.14683907745044</v>
      </c>
      <c r="Q45" s="54">
        <v>3.9716021775142822E-2</v>
      </c>
    </row>
    <row r="46" spans="1:17">
      <c r="A46" s="2" t="s">
        <v>321</v>
      </c>
      <c r="B46" s="16" t="s">
        <v>322</v>
      </c>
      <c r="D46" s="14">
        <v>1</v>
      </c>
      <c r="E46" s="14">
        <v>0.85376541919469551</v>
      </c>
      <c r="F46" s="14">
        <v>5.543738103809642E-4</v>
      </c>
      <c r="G46" s="14">
        <v>1.8067214177266954E-7</v>
      </c>
      <c r="H46" s="14">
        <v>61.30031486281532</v>
      </c>
      <c r="I46" s="14">
        <v>1677.7215230048619</v>
      </c>
      <c r="J46" s="14">
        <v>0</v>
      </c>
      <c r="K46" s="14">
        <v>1803.8370162414467</v>
      </c>
      <c r="L46" s="14">
        <v>5.543738103809642E-4</v>
      </c>
      <c r="M46" s="14">
        <v>4.5486371141758111E-4</v>
      </c>
      <c r="N46" s="14">
        <v>101.99799439676421</v>
      </c>
      <c r="O46" s="14">
        <v>36157.269033708944</v>
      </c>
      <c r="P46" s="8">
        <v>101.99799439676421</v>
      </c>
      <c r="Q46" s="54">
        <v>5.0503313858496837E-2</v>
      </c>
    </row>
    <row r="47" spans="1:17">
      <c r="A47" s="2" t="s">
        <v>323</v>
      </c>
      <c r="B47" s="16" t="s">
        <v>324</v>
      </c>
      <c r="D47" s="14">
        <v>1</v>
      </c>
      <c r="E47" s="14">
        <v>0.84794704268081045</v>
      </c>
      <c r="F47" s="14">
        <v>1.2436624258875858E-3</v>
      </c>
      <c r="G47" s="14">
        <v>1.7185057955441838E-6</v>
      </c>
      <c r="H47" s="14">
        <v>93.955566060583365</v>
      </c>
      <c r="I47" s="14">
        <v>1358.2499076867564</v>
      </c>
      <c r="J47" s="14">
        <v>0</v>
      </c>
      <c r="K47" s="14">
        <v>804.07671662695202</v>
      </c>
      <c r="L47" s="14">
        <v>1.2436624258875858E-3</v>
      </c>
      <c r="M47" s="14">
        <v>1.0204250204407643E-3</v>
      </c>
      <c r="N47" s="14">
        <v>81.859440182534883</v>
      </c>
      <c r="O47" s="14">
        <v>26198.295236018464</v>
      </c>
      <c r="P47" s="8">
        <v>81.859440182534883</v>
      </c>
      <c r="Q47" s="54">
        <v>6.3852761477125874E-2</v>
      </c>
    </row>
    <row r="48" spans="1:17">
      <c r="A48" s="2" t="s">
        <v>325</v>
      </c>
      <c r="B48" s="16" t="s">
        <v>326</v>
      </c>
      <c r="D48" s="14">
        <v>1</v>
      </c>
      <c r="E48" s="14">
        <v>0.76644922238612223</v>
      </c>
      <c r="F48" s="14">
        <v>5.9001299452126829E-2</v>
      </c>
      <c r="G48" s="14">
        <v>1.1154498884457166E-6</v>
      </c>
      <c r="H48" s="14">
        <v>168.12084985354917</v>
      </c>
      <c r="I48" s="14">
        <v>305.68825125013723</v>
      </c>
      <c r="J48" s="14">
        <v>0</v>
      </c>
      <c r="K48" s="14">
        <v>16.94877925208057</v>
      </c>
      <c r="L48" s="14">
        <v>5.9001299452126836E-2</v>
      </c>
      <c r="M48" s="14">
        <v>4.8410566200470066E-2</v>
      </c>
      <c r="N48" s="14">
        <v>17.653423270911759</v>
      </c>
      <c r="O48" s="14">
        <v>5372.8193725019937</v>
      </c>
      <c r="P48" s="8">
        <v>17.653423270911759</v>
      </c>
      <c r="Q48" s="54">
        <v>0.14923776881313863</v>
      </c>
    </row>
    <row r="49" spans="1:17">
      <c r="A49" s="2" t="s">
        <v>275</v>
      </c>
      <c r="B49" s="16" t="s">
        <v>276</v>
      </c>
      <c r="D49" s="14">
        <v>1</v>
      </c>
      <c r="E49" s="14">
        <v>0.86260566520855675</v>
      </c>
      <c r="F49" s="14">
        <v>6.3416875743258329E-3</v>
      </c>
      <c r="G49" s="14">
        <v>1.6828807017068471E-8</v>
      </c>
      <c r="H49" s="14">
        <v>184.85229316421768</v>
      </c>
      <c r="I49" s="14">
        <v>541.85366263180879</v>
      </c>
      <c r="J49" s="14">
        <v>0</v>
      </c>
      <c r="K49" s="14">
        <v>157.68673374079094</v>
      </c>
      <c r="L49" s="14">
        <v>6.3416875743258329E-3</v>
      </c>
      <c r="M49" s="14">
        <v>5.203354654734346E-3</v>
      </c>
      <c r="N49" s="14">
        <v>31.959326420632404</v>
      </c>
      <c r="O49" s="14">
        <v>11840.610845580099</v>
      </c>
      <c r="P49" s="8">
        <v>31.959326420632404</v>
      </c>
      <c r="Q49" s="54">
        <v>7.7639371900449061E-2</v>
      </c>
    </row>
    <row r="50" spans="1:17">
      <c r="A50" s="2" t="s">
        <v>327</v>
      </c>
      <c r="B50" s="16" t="s">
        <v>328</v>
      </c>
      <c r="D50" s="14">
        <v>1</v>
      </c>
      <c r="E50" s="14">
        <v>0.85951274118673371</v>
      </c>
      <c r="F50" s="14">
        <v>5.5899752718341677E-3</v>
      </c>
      <c r="G50" s="14">
        <v>8.7469848517704437E-7</v>
      </c>
      <c r="H50" s="14">
        <v>177.67645750927471</v>
      </c>
      <c r="I50" s="14">
        <v>602.12555203649254</v>
      </c>
      <c r="J50" s="14">
        <v>0</v>
      </c>
      <c r="K50" s="14">
        <v>178.89166791821648</v>
      </c>
      <c r="L50" s="14">
        <v>5.5899752718341685E-3</v>
      </c>
      <c r="M50" s="14">
        <v>4.5865747105399354E-3</v>
      </c>
      <c r="N50" s="14">
        <v>35.583128716425193</v>
      </c>
      <c r="O50" s="14">
        <v>13553.969559373521</v>
      </c>
      <c r="P50" s="8">
        <v>35.583128716425193</v>
      </c>
      <c r="Q50" s="54">
        <v>7.7962733447469304E-2</v>
      </c>
    </row>
    <row r="51" spans="1:17">
      <c r="A51" s="2" t="s">
        <v>329</v>
      </c>
      <c r="B51" s="16" t="s">
        <v>330</v>
      </c>
      <c r="D51" s="14">
        <v>1</v>
      </c>
      <c r="E51" s="14">
        <v>0.80051727206204504</v>
      </c>
      <c r="F51" s="14">
        <v>3.7852707242115299E-2</v>
      </c>
      <c r="G51" s="14">
        <v>5.833718025825704E-7</v>
      </c>
      <c r="H51" s="14">
        <v>182.35469353430184</v>
      </c>
      <c r="I51" s="14">
        <v>318.98783179672341</v>
      </c>
      <c r="J51" s="14">
        <v>0</v>
      </c>
      <c r="K51" s="14">
        <v>26.418189684657218</v>
      </c>
      <c r="L51" s="14">
        <v>3.7852707242115299E-2</v>
      </c>
      <c r="M51" s="14">
        <v>3.1058146292155604E-2</v>
      </c>
      <c r="N51" s="14">
        <v>18.476959025855582</v>
      </c>
      <c r="O51" s="14">
        <v>5070.0775566947714</v>
      </c>
      <c r="P51" s="8">
        <v>18.476959025855585</v>
      </c>
      <c r="Q51" s="54">
        <v>0.12588503838139586</v>
      </c>
    </row>
    <row r="52" spans="1:17">
      <c r="A52" s="2" t="s">
        <v>277</v>
      </c>
      <c r="B52" s="16" t="s">
        <v>278</v>
      </c>
      <c r="D52" s="14">
        <v>1</v>
      </c>
      <c r="E52" s="14">
        <v>0.76970794138627019</v>
      </c>
      <c r="F52" s="14">
        <v>5.660499449584163E-2</v>
      </c>
      <c r="G52" s="14">
        <v>1.7360540415602405E-6</v>
      </c>
      <c r="H52" s="14">
        <v>169.56442929016671</v>
      </c>
      <c r="I52" s="14">
        <v>307.1792836485493</v>
      </c>
      <c r="J52" s="14">
        <v>0</v>
      </c>
      <c r="K52" s="14">
        <v>17.666285615016935</v>
      </c>
      <c r="L52" s="14">
        <v>5.6604994495841637E-2</v>
      </c>
      <c r="M52" s="14">
        <v>4.6444397983838065E-2</v>
      </c>
      <c r="N52" s="14">
        <v>17.744163873755706</v>
      </c>
      <c r="O52" s="14">
        <v>7220.6326051474098</v>
      </c>
      <c r="P52" s="8">
        <v>17.744163873755706</v>
      </c>
      <c r="Q52" s="54">
        <v>0.14695755685089337</v>
      </c>
    </row>
    <row r="53" spans="1:17">
      <c r="A53" s="2" t="s">
        <v>331</v>
      </c>
      <c r="B53" s="16" t="s">
        <v>332</v>
      </c>
      <c r="D53" s="14">
        <v>1</v>
      </c>
      <c r="E53" s="14">
        <v>0.85201496671992794</v>
      </c>
      <c r="F53" s="14">
        <v>3.6853983854202473E-3</v>
      </c>
      <c r="G53" s="14">
        <v>5.7915249139390349E-7</v>
      </c>
      <c r="H53" s="14">
        <v>153.20200223709114</v>
      </c>
      <c r="I53" s="14">
        <v>813.99476531734729</v>
      </c>
      <c r="J53" s="14">
        <v>0</v>
      </c>
      <c r="K53" s="14">
        <v>271.34108593417903</v>
      </c>
      <c r="L53" s="14">
        <v>3.6853983854202477E-3</v>
      </c>
      <c r="M53" s="14">
        <v>3.0238693752373132E-3</v>
      </c>
      <c r="N53" s="14">
        <v>48.395696662154748</v>
      </c>
      <c r="O53" s="14">
        <v>18434.404815581365</v>
      </c>
      <c r="P53" s="8">
        <v>48.395696662154748</v>
      </c>
      <c r="Q53" s="54">
        <v>7.6987747277328392E-2</v>
      </c>
    </row>
    <row r="54" spans="1:17">
      <c r="A54" s="2" t="s">
        <v>333</v>
      </c>
      <c r="B54" s="16" t="s">
        <v>334</v>
      </c>
      <c r="D54" s="14">
        <v>1</v>
      </c>
      <c r="E54" s="14">
        <v>0.86106228646108129</v>
      </c>
      <c r="F54" s="14">
        <v>5.9570358211916133E-3</v>
      </c>
      <c r="G54" s="14">
        <v>9.5318829209755046E-10</v>
      </c>
      <c r="H54" s="14">
        <v>181.321879300684</v>
      </c>
      <c r="I54" s="14">
        <v>571.48835109686433</v>
      </c>
      <c r="J54" s="14">
        <v>0</v>
      </c>
      <c r="K54" s="14">
        <v>167.86872364315667</v>
      </c>
      <c r="L54" s="14">
        <v>5.9570358211916141E-3</v>
      </c>
      <c r="M54" s="14">
        <v>4.8877478912877194E-3</v>
      </c>
      <c r="N54" s="14">
        <v>33.739856710008304</v>
      </c>
      <c r="O54" s="14">
        <v>12972.300107863994</v>
      </c>
      <c r="P54" s="8">
        <v>33.739856710008304</v>
      </c>
      <c r="Q54" s="54">
        <v>7.7840816437102389E-2</v>
      </c>
    </row>
    <row r="55" spans="1:17">
      <c r="A55" s="2" t="s">
        <v>335</v>
      </c>
      <c r="B55" s="16" t="s">
        <v>336</v>
      </c>
      <c r="D55" s="14">
        <v>1</v>
      </c>
      <c r="E55" s="14">
        <v>0.84760323814916705</v>
      </c>
      <c r="F55" s="14">
        <v>1.2872442251372304E-3</v>
      </c>
      <c r="G55" s="14">
        <v>4.466727308827078E-6</v>
      </c>
      <c r="H55" s="14">
        <v>95.578663231920757</v>
      </c>
      <c r="I55" s="14">
        <v>1342.2027457940187</v>
      </c>
      <c r="J55" s="14">
        <v>0</v>
      </c>
      <c r="K55" s="14">
        <v>776.85335888253223</v>
      </c>
      <c r="L55" s="14">
        <v>1.2872442251372304E-3</v>
      </c>
      <c r="M55" s="14">
        <v>1.0561838867250977E-3</v>
      </c>
      <c r="N55" s="14">
        <v>80.860328813462772</v>
      </c>
      <c r="O55" s="14">
        <v>30186.777952641918</v>
      </c>
      <c r="P55" s="8">
        <v>80.860328813462772</v>
      </c>
      <c r="Q55" s="54">
        <v>6.4389955200939944E-2</v>
      </c>
    </row>
    <row r="56" spans="1:17">
      <c r="A56" s="2" t="s">
        <v>337</v>
      </c>
      <c r="B56" s="16" t="s">
        <v>338</v>
      </c>
      <c r="D56" s="14">
        <v>1</v>
      </c>
      <c r="E56" s="14">
        <v>0.8638584300872747</v>
      </c>
      <c r="F56" s="14">
        <v>6.6626234226452342E-3</v>
      </c>
      <c r="G56" s="14">
        <v>3.3670824796260228E-7</v>
      </c>
      <c r="H56" s="14">
        <v>187.59673144093031</v>
      </c>
      <c r="I56" s="14">
        <v>518.8985271947663</v>
      </c>
      <c r="J56" s="14">
        <v>0</v>
      </c>
      <c r="K56" s="14">
        <v>150.09102819786472</v>
      </c>
      <c r="L56" s="14">
        <v>6.6626234226452351E-3</v>
      </c>
      <c r="M56" s="14">
        <v>5.4666825182804156E-3</v>
      </c>
      <c r="N56" s="14">
        <v>30.581770271833836</v>
      </c>
      <c r="O56" s="14">
        <v>11906.094802230349</v>
      </c>
      <c r="P56" s="8">
        <v>30.581770271833836</v>
      </c>
      <c r="Q56" s="54">
        <v>7.7425218211584379E-2</v>
      </c>
    </row>
    <row r="57" spans="1:17">
      <c r="A57" s="2" t="s">
        <v>279</v>
      </c>
      <c r="B57" s="16" t="s">
        <v>280</v>
      </c>
      <c r="D57" s="14">
        <v>1</v>
      </c>
      <c r="E57" s="14">
        <v>0.74936928276345005</v>
      </c>
      <c r="F57" s="14">
        <v>7.0698669440815862E-2</v>
      </c>
      <c r="G57" s="14">
        <v>3.353202089223721E-5</v>
      </c>
      <c r="H57" s="14">
        <v>160.8537686230365</v>
      </c>
      <c r="I57" s="14">
        <v>297.36401445339652</v>
      </c>
      <c r="J57" s="14">
        <v>0</v>
      </c>
      <c r="K57" s="14">
        <v>14.144537767250801</v>
      </c>
      <c r="L57" s="14">
        <v>7.0698669440815862E-2</v>
      </c>
      <c r="M57" s="14">
        <v>5.8008258276189412E-2</v>
      </c>
      <c r="N57" s="14">
        <v>17.153945468569756</v>
      </c>
      <c r="O57" s="14">
        <v>4988.8819606241414</v>
      </c>
      <c r="P57" s="8">
        <v>17.153945468569756</v>
      </c>
      <c r="Q57" s="54">
        <v>0.1590334246315688</v>
      </c>
    </row>
    <row r="58" spans="1:17">
      <c r="A58" s="2" t="s">
        <v>339</v>
      </c>
      <c r="B58" s="16" t="s">
        <v>340</v>
      </c>
      <c r="D58" s="14">
        <v>1</v>
      </c>
      <c r="E58" s="14">
        <v>0.86076054895912646</v>
      </c>
      <c r="F58" s="14">
        <v>5.8822863581202778E-3</v>
      </c>
      <c r="G58" s="14">
        <v>3.3400629379571555E-9</v>
      </c>
      <c r="H58" s="14">
        <v>180.60350012770243</v>
      </c>
      <c r="I58" s="14">
        <v>577.54168225483284</v>
      </c>
      <c r="J58" s="14">
        <v>0</v>
      </c>
      <c r="K58" s="14">
        <v>170.00192427210504</v>
      </c>
      <c r="L58" s="14">
        <v>5.8822863581202778E-3</v>
      </c>
      <c r="M58" s="14">
        <v>4.8264159568376886E-3</v>
      </c>
      <c r="N58" s="14">
        <v>34.103845710332301</v>
      </c>
      <c r="O58" s="14">
        <v>11787.994269776358</v>
      </c>
      <c r="P58" s="8">
        <v>34.103845710332301</v>
      </c>
      <c r="Q58" s="54">
        <v>7.7872359445634171E-2</v>
      </c>
    </row>
    <row r="59" spans="1:17">
      <c r="A59" s="2" t="s">
        <v>281</v>
      </c>
      <c r="B59" s="16" t="s">
        <v>282</v>
      </c>
      <c r="D59" s="14">
        <v>1</v>
      </c>
      <c r="E59" s="14">
        <v>0.76981001530492377</v>
      </c>
      <c r="F59" s="14">
        <v>5.6612501101000405E-2</v>
      </c>
      <c r="G59" s="14">
        <v>2.6279725817972541E-7</v>
      </c>
      <c r="H59" s="14">
        <v>169.58691587869109</v>
      </c>
      <c r="I59" s="14">
        <v>307.22001987007604</v>
      </c>
      <c r="J59" s="14">
        <v>0</v>
      </c>
      <c r="K59" s="14">
        <v>17.663943131852356</v>
      </c>
      <c r="L59" s="14">
        <v>5.6612501101000405E-2</v>
      </c>
      <c r="M59" s="14">
        <v>4.6450557153370833E-2</v>
      </c>
      <c r="N59" s="14">
        <v>17.746516995300176</v>
      </c>
      <c r="O59" s="14">
        <v>5168.8505400511294</v>
      </c>
      <c r="P59" s="8">
        <v>17.746516995300176</v>
      </c>
      <c r="Q59" s="54">
        <v>0.14697704545546267</v>
      </c>
    </row>
    <row r="60" spans="1:17">
      <c r="A60" s="2" t="s">
        <v>341</v>
      </c>
      <c r="B60" s="16" t="s">
        <v>342</v>
      </c>
      <c r="D60" s="14">
        <v>1</v>
      </c>
      <c r="E60" s="14">
        <v>0.85354478665329325</v>
      </c>
      <c r="F60" s="14">
        <v>4.1752662220245337E-3</v>
      </c>
      <c r="G60" s="14">
        <v>4.8579457402324945E-6</v>
      </c>
      <c r="H60" s="14">
        <v>160.55512464170744</v>
      </c>
      <c r="I60" s="14">
        <v>748.65433355190851</v>
      </c>
      <c r="J60" s="14">
        <v>0</v>
      </c>
      <c r="K60" s="14">
        <v>239.50568582309765</v>
      </c>
      <c r="L60" s="14">
        <v>4.1752662220245346E-3</v>
      </c>
      <c r="M60" s="14">
        <v>3.4258059351711303E-3</v>
      </c>
      <c r="N60" s="14">
        <v>44.432533842622668</v>
      </c>
      <c r="O60" s="14">
        <v>14897.339946754526</v>
      </c>
      <c r="P60" s="8">
        <v>44.432533842622668</v>
      </c>
      <c r="Q60" s="54">
        <v>7.7567776564668914E-2</v>
      </c>
    </row>
    <row r="61" spans="1:17">
      <c r="A61" s="2" t="s">
        <v>483</v>
      </c>
      <c r="B61" s="16" t="s">
        <v>484</v>
      </c>
      <c r="D61" s="14">
        <v>1</v>
      </c>
      <c r="E61" s="14">
        <v>0.78091483405771478</v>
      </c>
      <c r="F61" s="14">
        <v>0.27228005412042983</v>
      </c>
      <c r="G61" s="14">
        <v>8.3012568732603973E-16</v>
      </c>
      <c r="H61" s="14">
        <v>124.17614089387428</v>
      </c>
      <c r="I61" s="14">
        <v>191.56553257700247</v>
      </c>
      <c r="J61" s="14">
        <v>0</v>
      </c>
      <c r="K61" s="14">
        <v>3.6726891480552544</v>
      </c>
      <c r="L61" s="14">
        <v>0.27228005412042983</v>
      </c>
      <c r="M61" s="14">
        <v>0.22340578440581266</v>
      </c>
      <c r="N61" s="14">
        <v>39.253118927143873</v>
      </c>
      <c r="O61" s="14">
        <v>18289.990764102688</v>
      </c>
      <c r="P61" s="8">
        <v>39.253118927143873</v>
      </c>
      <c r="Q61" s="54">
        <v>0.12933538831791655</v>
      </c>
    </row>
    <row r="62" spans="1:17">
      <c r="A62" s="2" t="s">
        <v>485</v>
      </c>
      <c r="B62" s="16" t="s">
        <v>486</v>
      </c>
      <c r="D62" s="14">
        <v>1</v>
      </c>
      <c r="E62" s="14">
        <v>0.6771737733865274</v>
      </c>
      <c r="F62" s="14">
        <v>0.1852086272161623</v>
      </c>
      <c r="G62" s="14">
        <v>2.2625057958338314E-9</v>
      </c>
      <c r="H62" s="14">
        <v>114.80510833106887</v>
      </c>
      <c r="I62" s="14">
        <v>233.570711396505</v>
      </c>
      <c r="J62" s="14">
        <v>0</v>
      </c>
      <c r="K62" s="14">
        <v>5.3993165168967598</v>
      </c>
      <c r="L62" s="14">
        <v>0.18520862721616232</v>
      </c>
      <c r="M62" s="14">
        <v>0.15196367863086119</v>
      </c>
      <c r="N62" s="14">
        <v>13.449645693264802</v>
      </c>
      <c r="O62" s="14">
        <v>4362.9305664381691</v>
      </c>
      <c r="P62" s="8">
        <v>13.449645693264802</v>
      </c>
      <c r="Q62" s="54">
        <v>0.21155260792679945</v>
      </c>
    </row>
    <row r="63" spans="1:17">
      <c r="A63" s="2" t="s">
        <v>487</v>
      </c>
      <c r="B63" s="16" t="s">
        <v>488</v>
      </c>
      <c r="D63" s="14">
        <v>1</v>
      </c>
      <c r="E63" s="14">
        <v>0.9552941565361861</v>
      </c>
      <c r="F63" s="14">
        <v>0.92289719120369562</v>
      </c>
      <c r="G63" s="14">
        <v>7.9218593386905546E-15</v>
      </c>
      <c r="H63" s="14">
        <v>9.0379229535457597</v>
      </c>
      <c r="I63" s="14">
        <v>11.041472691904088</v>
      </c>
      <c r="J63" s="14">
        <v>0</v>
      </c>
      <c r="K63" s="14">
        <v>1.0835443097358899</v>
      </c>
      <c r="L63" s="14">
        <v>0.92289719120369562</v>
      </c>
      <c r="M63" s="14">
        <v>0.75723714538263232</v>
      </c>
      <c r="N63" s="14">
        <v>6.9139876804991243</v>
      </c>
      <c r="O63" s="14">
        <v>3052.9404002011934</v>
      </c>
      <c r="P63" s="8">
        <v>6.9139876804991243</v>
      </c>
      <c r="Q63" s="54">
        <v>2.6909585158557459E-2</v>
      </c>
    </row>
    <row r="64" spans="1:17">
      <c r="A64" s="2" t="s">
        <v>489</v>
      </c>
      <c r="B64" s="16" t="s">
        <v>490</v>
      </c>
      <c r="D64" s="14">
        <v>1</v>
      </c>
      <c r="E64" s="14">
        <v>0.9950219939436129</v>
      </c>
      <c r="F64" s="14">
        <v>0.98656224229091505</v>
      </c>
      <c r="G64" s="14">
        <v>1.4644639607940067E-16</v>
      </c>
      <c r="H64" s="14">
        <v>3.4546534661824304</v>
      </c>
      <c r="I64" s="14">
        <v>0.39713984902248539</v>
      </c>
      <c r="J64" s="14">
        <v>0</v>
      </c>
      <c r="K64" s="14">
        <v>1.0136207905928782</v>
      </c>
      <c r="L64" s="14">
        <v>0.98656224229091505</v>
      </c>
      <c r="M64" s="14">
        <v>0.80947431979969575</v>
      </c>
      <c r="N64" s="14">
        <v>0.9121514971880883</v>
      </c>
      <c r="O64" s="14">
        <v>366.16497551621427</v>
      </c>
      <c r="P64" s="8">
        <v>0.9121514971880883</v>
      </c>
      <c r="Q64" s="54">
        <v>2.9291625056310495E-3</v>
      </c>
    </row>
    <row r="65" spans="1:17">
      <c r="A65" s="2" t="s">
        <v>491</v>
      </c>
      <c r="B65" s="16" t="s">
        <v>492</v>
      </c>
      <c r="D65" s="14">
        <v>1</v>
      </c>
      <c r="E65" s="14">
        <v>0.99707919326756256</v>
      </c>
      <c r="F65" s="14">
        <v>0.99931099274388457</v>
      </c>
      <c r="G65" s="14">
        <v>2.4416478319025948E-14</v>
      </c>
      <c r="H65" s="14">
        <v>0.45277930722644533</v>
      </c>
      <c r="I65" s="14">
        <v>0.18646258748737868</v>
      </c>
      <c r="J65" s="14">
        <v>0</v>
      </c>
      <c r="K65" s="14">
        <v>1.000689482314433</v>
      </c>
      <c r="L65" s="14">
        <v>0.99931099274388469</v>
      </c>
      <c r="M65" s="14">
        <v>0.81993466954635741</v>
      </c>
      <c r="N65" s="14">
        <v>1.4071050442532482</v>
      </c>
      <c r="O65" s="14">
        <v>390.27465507408095</v>
      </c>
      <c r="P65" s="8">
        <v>1.4071050442532482</v>
      </c>
      <c r="Q65" s="54">
        <v>1.3066874095021784E-3</v>
      </c>
    </row>
    <row r="66" spans="1:17">
      <c r="A66" s="2" t="s">
        <v>493</v>
      </c>
      <c r="B66" s="16" t="s">
        <v>494</v>
      </c>
      <c r="D66" s="14">
        <v>1</v>
      </c>
      <c r="E66" s="14">
        <v>0.94850923398154185</v>
      </c>
      <c r="F66" s="14">
        <v>0.75156833552836533</v>
      </c>
      <c r="G66" s="14">
        <v>3.1018846806862788E-13</v>
      </c>
      <c r="H66" s="14">
        <v>55.41841522119433</v>
      </c>
      <c r="I66" s="14">
        <v>12.85963246881621</v>
      </c>
      <c r="J66" s="14">
        <v>0</v>
      </c>
      <c r="K66" s="14">
        <v>1.3305509994603257</v>
      </c>
      <c r="L66" s="14">
        <v>0.75156833552836533</v>
      </c>
      <c r="M66" s="14">
        <v>0.61666181930102382</v>
      </c>
      <c r="N66" s="14">
        <v>49.572849380284467</v>
      </c>
      <c r="O66" s="14">
        <v>16082.423795951889</v>
      </c>
      <c r="P66" s="8">
        <v>49.572849380284474</v>
      </c>
      <c r="Q66" s="54">
        <v>1.1333095711430945E-2</v>
      </c>
    </row>
    <row r="67" spans="1:17">
      <c r="A67" s="2" t="s">
        <v>495</v>
      </c>
      <c r="B67" s="16" t="s">
        <v>496</v>
      </c>
      <c r="D67" s="14">
        <v>1</v>
      </c>
      <c r="E67" s="14">
        <v>0.99690228484558319</v>
      </c>
      <c r="F67" s="14">
        <v>0.99938143259793044</v>
      </c>
      <c r="G67" s="14">
        <v>1.9075668426993428E-14</v>
      </c>
      <c r="H67" s="14">
        <v>0.38182206921763434</v>
      </c>
      <c r="I67" s="14">
        <v>0.19325804251909476</v>
      </c>
      <c r="J67" s="14">
        <v>0</v>
      </c>
      <c r="K67" s="14">
        <v>1.0006189502645266</v>
      </c>
      <c r="L67" s="14">
        <v>0.99938143259793044</v>
      </c>
      <c r="M67" s="14">
        <v>0.81999246544660198</v>
      </c>
      <c r="N67" s="14">
        <v>1.3154837005282085</v>
      </c>
      <c r="O67" s="14">
        <v>412.29890141955116</v>
      </c>
      <c r="P67" s="8">
        <v>1.3154837005282087</v>
      </c>
      <c r="Q67" s="54">
        <v>1.4693916795729082E-3</v>
      </c>
    </row>
    <row r="68" spans="1:17">
      <c r="A68" s="2" t="s">
        <v>497</v>
      </c>
      <c r="B68" s="16" t="s">
        <v>498</v>
      </c>
      <c r="D68" s="14">
        <v>1</v>
      </c>
      <c r="E68" s="14">
        <v>0.99847134598819365</v>
      </c>
      <c r="F68" s="14">
        <v>1.0022060532591643</v>
      </c>
      <c r="G68" s="14">
        <v>1.7270673887002464E-13</v>
      </c>
      <c r="H68" s="14">
        <v>4.5461482054950784E-2</v>
      </c>
      <c r="I68" s="14">
        <v>3.2476654191357743E-2</v>
      </c>
      <c r="J68" s="14">
        <v>0</v>
      </c>
      <c r="K68" s="14">
        <v>0.99779880269931487</v>
      </c>
      <c r="L68" s="14">
        <v>1.0022060532591643</v>
      </c>
      <c r="M68" s="14">
        <v>0.8223100666991443</v>
      </c>
      <c r="N68" s="14">
        <v>0.92588171718292578</v>
      </c>
      <c r="O68" s="14">
        <v>252.17314449194168</v>
      </c>
      <c r="P68" s="8">
        <v>0.92588171718292589</v>
      </c>
      <c r="Q68" s="54">
        <v>5.9436233610839651E-4</v>
      </c>
    </row>
    <row r="69" spans="1:17">
      <c r="A69" s="2" t="s">
        <v>499</v>
      </c>
      <c r="B69" s="16" t="s">
        <v>500</v>
      </c>
      <c r="D69" s="14">
        <v>1</v>
      </c>
      <c r="E69" s="14">
        <v>0.86732810115302517</v>
      </c>
      <c r="F69" s="14">
        <v>7.5469876500220976E-3</v>
      </c>
      <c r="G69" s="14">
        <v>8.3900418475779772E-14</v>
      </c>
      <c r="H69" s="14">
        <v>194.36839089194444</v>
      </c>
      <c r="I69" s="14">
        <v>463.01260043536973</v>
      </c>
      <c r="J69" s="14">
        <v>0</v>
      </c>
      <c r="K69" s="14">
        <v>132.5031981464912</v>
      </c>
      <c r="L69" s="14">
        <v>7.5469876500220976E-3</v>
      </c>
      <c r="M69" s="14">
        <v>6.1923033668431311E-3</v>
      </c>
      <c r="N69" s="14">
        <v>27.234095296857312</v>
      </c>
      <c r="O69" s="14">
        <v>11699.494998576933</v>
      </c>
      <c r="P69" s="8">
        <v>27.234095296857316</v>
      </c>
      <c r="Q69" s="54">
        <v>7.6685421688846109E-2</v>
      </c>
    </row>
    <row r="70" spans="1:17">
      <c r="A70" s="2" t="s">
        <v>501</v>
      </c>
      <c r="B70" s="16" t="s">
        <v>411</v>
      </c>
      <c r="D70" s="14">
        <v>1</v>
      </c>
      <c r="E70" s="14">
        <v>0.99928970309526444</v>
      </c>
      <c r="F70" s="14">
        <v>0.97284581613404886</v>
      </c>
      <c r="G70" s="14">
        <v>3.095797200347653E-15</v>
      </c>
      <c r="H70" s="14">
        <v>8.5929842443070914</v>
      </c>
      <c r="I70" s="14">
        <v>7.5613833224571882E-3</v>
      </c>
      <c r="J70" s="14">
        <v>0</v>
      </c>
      <c r="K70" s="14">
        <v>1.0279121145567114</v>
      </c>
      <c r="L70" s="14">
        <v>0.97284581613404897</v>
      </c>
      <c r="M70" s="14">
        <v>0.79821999213798711</v>
      </c>
      <c r="N70" s="14">
        <v>0.93357650718844942</v>
      </c>
      <c r="O70" s="14">
        <v>280.1663098072537</v>
      </c>
      <c r="P70" s="8">
        <v>0.93357650718844942</v>
      </c>
      <c r="Q70" s="54">
        <v>3.8335510861891037E-5</v>
      </c>
    </row>
    <row r="71" spans="1:17">
      <c r="A71" s="2" t="s">
        <v>502</v>
      </c>
      <c r="B71" s="16" t="s">
        <v>412</v>
      </c>
      <c r="D71" s="14">
        <v>1</v>
      </c>
      <c r="E71" s="14">
        <v>0.99923334306323686</v>
      </c>
      <c r="F71" s="14">
        <v>0.94656054747892215</v>
      </c>
      <c r="G71" s="14">
        <v>1.4139578148466012E-10</v>
      </c>
      <c r="H71" s="14">
        <v>16.018004051369605</v>
      </c>
      <c r="I71" s="14">
        <v>1.3478337546461088E-2</v>
      </c>
      <c r="J71" s="14">
        <v>0</v>
      </c>
      <c r="K71" s="14">
        <v>1.0564564545431445</v>
      </c>
      <c r="L71" s="14">
        <v>0.94656054747892227</v>
      </c>
      <c r="M71" s="14">
        <v>0.77665292920645568</v>
      </c>
      <c r="N71" s="14">
        <v>0.98407519675000077</v>
      </c>
      <c r="O71" s="14">
        <v>322.92427581351274</v>
      </c>
      <c r="P71" s="8">
        <v>0.98407519675000077</v>
      </c>
      <c r="Q71" s="54">
        <v>5.2509312057205212E-5</v>
      </c>
    </row>
    <row r="72" spans="1:17">
      <c r="A72" s="2" t="s">
        <v>503</v>
      </c>
      <c r="B72" s="16" t="s">
        <v>413</v>
      </c>
      <c r="D72" s="14">
        <v>1</v>
      </c>
      <c r="E72" s="14">
        <v>0.98854061456376885</v>
      </c>
      <c r="F72" s="14">
        <v>3.8666466106977364E-3</v>
      </c>
      <c r="G72" s="14">
        <v>1.8944491289103935E-12</v>
      </c>
      <c r="H72" s="14">
        <v>279.73994287879646</v>
      </c>
      <c r="I72" s="14">
        <v>1.1895438512128724</v>
      </c>
      <c r="J72" s="14">
        <v>0</v>
      </c>
      <c r="K72" s="14">
        <v>258.62203109881557</v>
      </c>
      <c r="L72" s="14">
        <v>3.8666466106977368E-3</v>
      </c>
      <c r="M72" s="14">
        <v>3.1725835440774928E-3</v>
      </c>
      <c r="N72" s="14">
        <v>16.246047715782097</v>
      </c>
      <c r="O72" s="14">
        <v>7539.4658239401551</v>
      </c>
      <c r="P72" s="8">
        <v>16.246047715782097</v>
      </c>
      <c r="Q72" s="54">
        <v>5.8827508661308696E-5</v>
      </c>
    </row>
    <row r="73" spans="1:17">
      <c r="A73" s="2" t="s">
        <v>504</v>
      </c>
      <c r="B73" s="16" t="s">
        <v>414</v>
      </c>
      <c r="D73" s="14">
        <v>1</v>
      </c>
      <c r="E73" s="14">
        <v>0.99856633772805825</v>
      </c>
      <c r="F73" s="14">
        <v>3.6202026159297893E-2</v>
      </c>
      <c r="G73" s="14">
        <v>2.4983963904597595E-12</v>
      </c>
      <c r="H73" s="14">
        <v>273.54758051116102</v>
      </c>
      <c r="I73" s="14">
        <v>0.14640599229173532</v>
      </c>
      <c r="J73" s="14">
        <v>0</v>
      </c>
      <c r="K73" s="14">
        <v>27.622763311637641</v>
      </c>
      <c r="L73" s="14">
        <v>3.6202026159297893E-2</v>
      </c>
      <c r="M73" s="14">
        <v>2.9703762463703921E-2</v>
      </c>
      <c r="N73" s="14">
        <v>1.9461926612657621</v>
      </c>
      <c r="O73" s="14">
        <v>611.20180527051264</v>
      </c>
      <c r="P73" s="8">
        <v>1.9461926612657623</v>
      </c>
      <c r="Q73" s="54">
        <v>4.8145849335153763E-5</v>
      </c>
    </row>
    <row r="74" spans="1:17">
      <c r="A74" s="2" t="s">
        <v>505</v>
      </c>
      <c r="B74" s="16" t="s">
        <v>415</v>
      </c>
      <c r="D74" s="14">
        <v>1</v>
      </c>
      <c r="E74" s="14">
        <v>0.99924385114999825</v>
      </c>
      <c r="F74" s="14">
        <v>0.95168004413029006</v>
      </c>
      <c r="G74" s="14">
        <v>1.7479919512530742E-11</v>
      </c>
      <c r="H74" s="14">
        <v>14.571724868286783</v>
      </c>
      <c r="I74" s="14">
        <v>1.2315071488148314E-2</v>
      </c>
      <c r="J74" s="14">
        <v>0</v>
      </c>
      <c r="K74" s="14">
        <v>1.0507733204743912</v>
      </c>
      <c r="L74" s="14">
        <v>0.95168004413029006</v>
      </c>
      <c r="M74" s="14">
        <v>0.780853476208903</v>
      </c>
      <c r="N74" s="14">
        <v>0.974471413572918</v>
      </c>
      <c r="O74" s="14">
        <v>208.57586136114736</v>
      </c>
      <c r="P74" s="8">
        <v>0.974471413572918</v>
      </c>
      <c r="Q74" s="54">
        <v>4.9961668932812528E-5</v>
      </c>
    </row>
    <row r="75" spans="1:17">
      <c r="A75" s="2" t="s">
        <v>506</v>
      </c>
      <c r="B75" s="16" t="s">
        <v>416</v>
      </c>
      <c r="D75" s="14">
        <v>1</v>
      </c>
      <c r="E75" s="14">
        <v>0.99855073716909581</v>
      </c>
      <c r="F75" s="14">
        <v>4.2830770367343465E-2</v>
      </c>
      <c r="G75" s="14">
        <v>1.0721717294132346E-11</v>
      </c>
      <c r="H75" s="14">
        <v>271.66637379102673</v>
      </c>
      <c r="I75" s="14">
        <v>0.14728613316866396</v>
      </c>
      <c r="J75" s="14">
        <v>0</v>
      </c>
      <c r="K75" s="14">
        <v>23.34770052986147</v>
      </c>
      <c r="L75" s="14">
        <v>4.2830770367343465E-2</v>
      </c>
      <c r="M75" s="14">
        <v>3.5142647086405319E-2</v>
      </c>
      <c r="N75" s="14">
        <v>1.9603316957653234</v>
      </c>
      <c r="O75" s="14">
        <v>811.71454526554749</v>
      </c>
      <c r="P75" s="8">
        <v>1.9603316957653236</v>
      </c>
      <c r="Q75" s="54">
        <v>5.1995033266913197E-5</v>
      </c>
    </row>
    <row r="76" spans="1:17">
      <c r="A76" s="2" t="s">
        <v>507</v>
      </c>
      <c r="B76" s="16" t="s">
        <v>417</v>
      </c>
      <c r="D76" s="14">
        <v>1</v>
      </c>
      <c r="E76" s="14">
        <v>0.99861366487704417</v>
      </c>
      <c r="F76" s="14">
        <v>0.44916857538446642</v>
      </c>
      <c r="G76" s="14">
        <v>2.4771791618475385E-10</v>
      </c>
      <c r="H76" s="14">
        <v>156.64962683341795</v>
      </c>
      <c r="I76" s="14">
        <v>0.10547688462859944</v>
      </c>
      <c r="J76" s="14">
        <v>0</v>
      </c>
      <c r="K76" s="14">
        <v>2.2263356227537705</v>
      </c>
      <c r="L76" s="14">
        <v>0.44916857538446642</v>
      </c>
      <c r="M76" s="14">
        <v>0.3685428161029547</v>
      </c>
      <c r="N76" s="14">
        <v>1.7252029333877141</v>
      </c>
      <c r="O76" s="14">
        <v>738.6801399886175</v>
      </c>
      <c r="P76" s="8">
        <v>1.7252029333877141</v>
      </c>
      <c r="Q76" s="54">
        <v>1.2060277310614262E-4</v>
      </c>
    </row>
    <row r="77" spans="1:17">
      <c r="A77" s="2" t="s">
        <v>508</v>
      </c>
      <c r="B77" s="16" t="s">
        <v>418</v>
      </c>
      <c r="D77" s="14">
        <v>1</v>
      </c>
      <c r="E77" s="14">
        <v>0.99856158624895541</v>
      </c>
      <c r="F77" s="14">
        <v>3.7988057007764912E-2</v>
      </c>
      <c r="G77" s="14">
        <v>7.7349076785016095E-11</v>
      </c>
      <c r="H77" s="14">
        <v>273.04050660331097</v>
      </c>
      <c r="I77" s="14">
        <v>0.14711434089563033</v>
      </c>
      <c r="J77" s="14">
        <v>0</v>
      </c>
      <c r="K77" s="14">
        <v>26.324062844161677</v>
      </c>
      <c r="L77" s="14">
        <v>3.7988057007764912E-2</v>
      </c>
      <c r="M77" s="14">
        <v>3.1169200774871113E-2</v>
      </c>
      <c r="N77" s="14">
        <v>1.9503820226492501</v>
      </c>
      <c r="O77" s="14">
        <v>1030.1527767228808</v>
      </c>
      <c r="P77" s="8">
        <v>1.9503820226492503</v>
      </c>
      <c r="Q77" s="54">
        <v>4.9369077297135775E-5</v>
      </c>
    </row>
    <row r="78" spans="1:17">
      <c r="A78" s="2" t="s">
        <v>509</v>
      </c>
      <c r="B78" s="16" t="s">
        <v>419</v>
      </c>
      <c r="D78" s="14">
        <v>1</v>
      </c>
      <c r="E78" s="14">
        <v>0.99037327050715362</v>
      </c>
      <c r="F78" s="14">
        <v>4.2964066087804271E-3</v>
      </c>
      <c r="G78" s="14">
        <v>7.6301634596531956E-12</v>
      </c>
      <c r="H78" s="14">
        <v>280.15951438105458</v>
      </c>
      <c r="I78" s="14">
        <v>1.0009937147228936</v>
      </c>
      <c r="J78" s="14">
        <v>0</v>
      </c>
      <c r="K78" s="14">
        <v>232.75264449047546</v>
      </c>
      <c r="L78" s="14">
        <v>4.2964066087804271E-3</v>
      </c>
      <c r="M78" s="14">
        <v>3.5252016225043406E-3</v>
      </c>
      <c r="N78" s="14">
        <v>13.634157520972936</v>
      </c>
      <c r="O78" s="14">
        <v>7690.8919160056239</v>
      </c>
      <c r="P78" s="8">
        <v>13.634157520972938</v>
      </c>
      <c r="Q78" s="54">
        <v>5.5902515479163838E-5</v>
      </c>
    </row>
    <row r="79" spans="1:17">
      <c r="A79" s="2" t="s">
        <v>510</v>
      </c>
      <c r="B79" s="16" t="s">
        <v>420</v>
      </c>
      <c r="D79" s="14">
        <v>1</v>
      </c>
      <c r="E79" s="14">
        <v>0.9903732897134786</v>
      </c>
      <c r="F79" s="14">
        <v>4.2964069532451313E-3</v>
      </c>
      <c r="G79" s="14">
        <v>1.9166106560766983E-16</v>
      </c>
      <c r="H79" s="14">
        <v>280.15953684286342</v>
      </c>
      <c r="I79" s="14">
        <v>1.0008353820244567</v>
      </c>
      <c r="J79" s="14">
        <v>0</v>
      </c>
      <c r="K79" s="14">
        <v>232.7526258295172</v>
      </c>
      <c r="L79" s="14">
        <v>4.2964069532451313E-3</v>
      </c>
      <c r="M79" s="14">
        <v>3.5252019051376302E-3</v>
      </c>
      <c r="N79" s="14">
        <v>13.634149778455903</v>
      </c>
      <c r="O79" s="14">
        <v>6818.8473286991511</v>
      </c>
      <c r="P79" s="8">
        <v>13.634149778455905</v>
      </c>
      <c r="Q79" s="54">
        <v>5.5893673069870917E-5</v>
      </c>
    </row>
    <row r="80" spans="1:17">
      <c r="A80" s="2" t="s">
        <v>511</v>
      </c>
      <c r="B80" s="16" t="s">
        <v>421</v>
      </c>
      <c r="D80" s="14">
        <v>1</v>
      </c>
      <c r="E80" s="14">
        <v>0.99847057715825738</v>
      </c>
      <c r="F80" s="14">
        <v>0.16713358670675496</v>
      </c>
      <c r="G80" s="14">
        <v>2.1775703735927177E-11</v>
      </c>
      <c r="H80" s="14">
        <v>236.4524037092753</v>
      </c>
      <c r="I80" s="14">
        <v>0.14317582948937538</v>
      </c>
      <c r="J80" s="14">
        <v>0</v>
      </c>
      <c r="K80" s="14">
        <v>5.9832378380926787</v>
      </c>
      <c r="L80" s="14">
        <v>0.16713358670675499</v>
      </c>
      <c r="M80" s="14">
        <v>0.13713310789289246</v>
      </c>
      <c r="N80" s="14">
        <v>1.9884297990433526</v>
      </c>
      <c r="O80" s="14">
        <v>723.90775263972296</v>
      </c>
      <c r="P80" s="8">
        <v>1.9884297990433526</v>
      </c>
      <c r="Q80" s="54">
        <v>9.2826015254254222E-5</v>
      </c>
    </row>
    <row r="81" spans="1:17">
      <c r="A81" s="2" t="s">
        <v>512</v>
      </c>
      <c r="B81" s="16" t="s">
        <v>422</v>
      </c>
      <c r="D81" s="14">
        <v>1</v>
      </c>
      <c r="E81" s="14">
        <v>0.99900691214874071</v>
      </c>
      <c r="F81" s="14">
        <v>0.80718172823728174</v>
      </c>
      <c r="G81" s="14">
        <v>2.8485233797641416E-11</v>
      </c>
      <c r="H81" s="14">
        <v>55.41040474032954</v>
      </c>
      <c r="I81" s="14">
        <v>4.1929269588717601E-2</v>
      </c>
      <c r="J81" s="14">
        <v>0</v>
      </c>
      <c r="K81" s="14">
        <v>1.2388783901040397</v>
      </c>
      <c r="L81" s="14">
        <v>0.80718172823728174</v>
      </c>
      <c r="M81" s="14">
        <v>0.66229260801868972</v>
      </c>
      <c r="N81" s="14">
        <v>1.2226664527456736</v>
      </c>
      <c r="O81" s="14">
        <v>322.84507684749514</v>
      </c>
      <c r="P81" s="8">
        <v>1.2226664527456736</v>
      </c>
      <c r="Q81" s="54">
        <v>9.2622670199837205E-5</v>
      </c>
    </row>
    <row r="82" spans="1:17">
      <c r="A82" s="2" t="s">
        <v>513</v>
      </c>
      <c r="B82" s="16" t="s">
        <v>423</v>
      </c>
      <c r="D82" s="14">
        <v>1</v>
      </c>
      <c r="E82" s="14">
        <v>0.99876630014347401</v>
      </c>
      <c r="F82" s="14">
        <v>0.61025793051029087</v>
      </c>
      <c r="G82" s="14">
        <v>7.169715446111162E-15</v>
      </c>
      <c r="H82" s="14">
        <v>111.08960739805762</v>
      </c>
      <c r="I82" s="14">
        <v>7.8222316206976061E-2</v>
      </c>
      <c r="J82" s="14">
        <v>0</v>
      </c>
      <c r="K82" s="14">
        <v>1.6386513800219051</v>
      </c>
      <c r="L82" s="14">
        <v>0.61025793051029087</v>
      </c>
      <c r="M82" s="14">
        <v>0.50071663198369365</v>
      </c>
      <c r="N82" s="14">
        <v>1.5160918133147583</v>
      </c>
      <c r="O82" s="14">
        <v>606.60349542536801</v>
      </c>
      <c r="P82" s="8">
        <v>1.5160918133147583</v>
      </c>
      <c r="Q82" s="54">
        <v>1.1639402092816524E-4</v>
      </c>
    </row>
    <row r="83" spans="1:17">
      <c r="A83" s="2" t="s">
        <v>514</v>
      </c>
      <c r="B83" s="16" t="s">
        <v>424</v>
      </c>
      <c r="D83" s="14">
        <v>1</v>
      </c>
      <c r="E83" s="14">
        <v>0.98152604354945072</v>
      </c>
      <c r="F83" s="14">
        <v>2.8870910422544526E-3</v>
      </c>
      <c r="G83" s="14">
        <v>2.7076276796278644E-12</v>
      </c>
      <c r="H83" s="14">
        <v>277.94603256543621</v>
      </c>
      <c r="I83" s="14">
        <v>1.9075962228546151</v>
      </c>
      <c r="J83" s="14">
        <v>0</v>
      </c>
      <c r="K83" s="14">
        <v>346.36940275327328</v>
      </c>
      <c r="L83" s="14">
        <v>2.8870910422544526E-3</v>
      </c>
      <c r="M83" s="14">
        <v>2.3688582001697785E-3</v>
      </c>
      <c r="N83" s="14">
        <v>26.248448763083999</v>
      </c>
      <c r="O83" s="14">
        <v>13493.802540126224</v>
      </c>
      <c r="P83" s="8">
        <v>26.248448763083999</v>
      </c>
      <c r="Q83" s="54">
        <v>6.7528399075133678E-5</v>
      </c>
    </row>
    <row r="84" spans="1:17">
      <c r="A84" s="2" t="s">
        <v>403</v>
      </c>
      <c r="B84" s="16" t="s">
        <v>404</v>
      </c>
      <c r="D84" s="14">
        <v>1</v>
      </c>
      <c r="E84" s="14">
        <v>0.65971722174951664</v>
      </c>
      <c r="F84" s="14">
        <v>0.28320431239402999</v>
      </c>
      <c r="G84" s="14">
        <v>4.9356953987045909E-46</v>
      </c>
      <c r="H84" s="14">
        <v>87.160529944414179</v>
      </c>
      <c r="I84" s="14">
        <v>186.7140644486756</v>
      </c>
      <c r="J84" s="14">
        <v>0</v>
      </c>
      <c r="K84" s="14">
        <v>3.5310196781490819</v>
      </c>
      <c r="L84" s="14">
        <v>0.28320431239403004</v>
      </c>
      <c r="M84" s="14">
        <v>0.23236913831930164</v>
      </c>
      <c r="N84" s="14">
        <v>10.810149566092914</v>
      </c>
      <c r="O84" s="14">
        <v>13000.393969678998</v>
      </c>
      <c r="P84" s="8">
        <v>10.810149566092914</v>
      </c>
      <c r="Q84" s="54">
        <v>0.22458307964909729</v>
      </c>
    </row>
    <row r="85" spans="1:17">
      <c r="A85" s="2" t="s">
        <v>405</v>
      </c>
      <c r="B85" s="16" t="s">
        <v>406</v>
      </c>
      <c r="D85" s="14">
        <v>1</v>
      </c>
      <c r="E85" s="14">
        <v>0.6908746022934118</v>
      </c>
      <c r="F85" s="14">
        <v>3.954540900843706E-2</v>
      </c>
      <c r="G85" s="14">
        <v>1.1993976279701582E-10</v>
      </c>
      <c r="H85" s="14">
        <v>175.96544132917887</v>
      </c>
      <c r="I85" s="14">
        <v>85.175127197027351</v>
      </c>
      <c r="J85" s="14">
        <v>0</v>
      </c>
      <c r="K85" s="14">
        <v>25.287385440536191</v>
      </c>
      <c r="L85" s="14">
        <v>3.954540900843706E-2</v>
      </c>
      <c r="M85" s="14">
        <v>3.2447008091422612E-2</v>
      </c>
      <c r="N85" s="14">
        <v>424.20922882105867</v>
      </c>
      <c r="O85" s="14">
        <v>135263.35470188278</v>
      </c>
      <c r="P85" s="8">
        <v>424.20922882105867</v>
      </c>
      <c r="Q85" s="54">
        <v>8.2207755476563053E-3</v>
      </c>
    </row>
    <row r="86" spans="1:17">
      <c r="A86" s="2" t="s">
        <v>407</v>
      </c>
      <c r="B86" s="16" t="s">
        <v>408</v>
      </c>
      <c r="D86" s="14">
        <v>1</v>
      </c>
      <c r="E86" s="14">
        <v>0.85851136505207248</v>
      </c>
      <c r="F86" s="14">
        <v>3.3850685039491196E-4</v>
      </c>
      <c r="G86" s="14">
        <v>2.7174148829737328E-7</v>
      </c>
      <c r="H86" s="14">
        <v>46.475862907058179</v>
      </c>
      <c r="I86" s="14">
        <v>1828.0355310120783</v>
      </c>
      <c r="J86" s="14">
        <v>0</v>
      </c>
      <c r="K86" s="14">
        <v>2954.1499642721283</v>
      </c>
      <c r="L86" s="14">
        <v>3.3850685039491201E-4</v>
      </c>
      <c r="M86" s="14">
        <v>2.7774487074902531E-4</v>
      </c>
      <c r="N86" s="14">
        <v>111.6886879025526</v>
      </c>
      <c r="O86" s="14">
        <v>54257.247696181032</v>
      </c>
      <c r="P86" s="8">
        <v>111.68868790255262</v>
      </c>
      <c r="Q86" s="54">
        <v>4.2715415260480921E-2</v>
      </c>
    </row>
    <row r="87" spans="1:17">
      <c r="A87" s="2" t="s">
        <v>409</v>
      </c>
      <c r="B87" s="16" t="s">
        <v>410</v>
      </c>
      <c r="D87" s="14">
        <v>1</v>
      </c>
      <c r="E87" s="14">
        <v>0.86877431537974237</v>
      </c>
      <c r="F87" s="14">
        <v>1.1677598144046627E-4</v>
      </c>
      <c r="G87" s="14">
        <v>3.349669922835582E-8</v>
      </c>
      <c r="H87" s="14">
        <v>24.932941955957357</v>
      </c>
      <c r="I87" s="14">
        <v>2055.089293841967</v>
      </c>
      <c r="J87" s="14">
        <v>0</v>
      </c>
      <c r="K87" s="14">
        <v>8563.4048000685088</v>
      </c>
      <c r="L87" s="14">
        <v>1.1677598144046627E-4</v>
      </c>
      <c r="M87" s="14">
        <v>9.5814692771902576E-5</v>
      </c>
      <c r="N87" s="14">
        <v>126.83914913857531</v>
      </c>
      <c r="O87" s="14">
        <v>71624.799127062099</v>
      </c>
      <c r="P87" s="8">
        <v>126.83914913857531</v>
      </c>
      <c r="Q87" s="54">
        <v>2.8643804226219156E-2</v>
      </c>
    </row>
    <row r="88" spans="1:17">
      <c r="A88" s="2" t="s">
        <v>301</v>
      </c>
      <c r="B88" s="16" t="s">
        <v>302</v>
      </c>
      <c r="D88" s="14">
        <v>1</v>
      </c>
      <c r="E88" s="14">
        <v>0.87835283094266337</v>
      </c>
      <c r="F88" s="14">
        <v>3.2686856960600821E-5</v>
      </c>
      <c r="G88" s="14">
        <v>4.1257380480771269E-9</v>
      </c>
      <c r="H88" s="14">
        <v>11.531164363231543</v>
      </c>
      <c r="I88" s="14">
        <v>2204.6026916225055</v>
      </c>
      <c r="J88" s="14">
        <v>0</v>
      </c>
      <c r="K88" s="14">
        <v>30593.336067929453</v>
      </c>
      <c r="L88" s="14">
        <v>3.2686856960600821E-5</v>
      </c>
      <c r="M88" s="14">
        <v>2.6819566136172974E-5</v>
      </c>
      <c r="N88" s="14">
        <v>137.64610123846197</v>
      </c>
      <c r="O88" s="14">
        <v>88586.277835049361</v>
      </c>
      <c r="P88" s="8">
        <v>137.64610123846199</v>
      </c>
      <c r="Q88" s="54">
        <v>1.7073805639942402E-2</v>
      </c>
    </row>
    <row r="89" spans="1:17">
      <c r="A89" s="2" t="s">
        <v>303</v>
      </c>
      <c r="B89" s="16" t="s">
        <v>304</v>
      </c>
      <c r="D89" s="14">
        <v>1</v>
      </c>
      <c r="E89" s="14">
        <v>0.25467608444451878</v>
      </c>
      <c r="F89" s="14">
        <v>6.197577987195204E-4</v>
      </c>
      <c r="G89" s="14">
        <v>8.9247541734834218E-16</v>
      </c>
      <c r="H89" s="14">
        <v>20.053517835954565</v>
      </c>
      <c r="I89" s="14">
        <v>482.90117251468217</v>
      </c>
      <c r="J89" s="14">
        <v>0</v>
      </c>
      <c r="K89" s="14">
        <v>1613.5335482120543</v>
      </c>
      <c r="L89" s="14">
        <v>6.197577987195205E-4</v>
      </c>
      <c r="M89" s="14">
        <v>5.0851127384936659E-4</v>
      </c>
      <c r="N89" s="14">
        <v>1053.6909635490649</v>
      </c>
      <c r="O89" s="14">
        <v>679957.31568784697</v>
      </c>
      <c r="P89" s="8">
        <v>1053.6909635490649</v>
      </c>
      <c r="Q89" s="54">
        <v>5.2246627229624179E-3</v>
      </c>
    </row>
    <row r="90" spans="1:17">
      <c r="A90" s="2" t="s">
        <v>425</v>
      </c>
      <c r="B90" s="16" t="s">
        <v>426</v>
      </c>
      <c r="D90" s="14">
        <v>1</v>
      </c>
      <c r="E90" s="14">
        <v>0.97427039553208117</v>
      </c>
      <c r="F90" s="14">
        <v>0.97685507047923048</v>
      </c>
      <c r="G90" s="14">
        <v>1.7793713295716459E-15</v>
      </c>
      <c r="H90" s="14">
        <v>0.26033354669968506</v>
      </c>
      <c r="I90" s="14">
        <v>0.80931397078630218</v>
      </c>
      <c r="J90" s="14">
        <v>0</v>
      </c>
      <c r="K90" s="14">
        <v>1.0236933094992433</v>
      </c>
      <c r="L90" s="14">
        <v>0.97685507047923048</v>
      </c>
      <c r="M90" s="14">
        <v>0.8015095853282086</v>
      </c>
      <c r="N90" s="14">
        <v>0.88791184457072203</v>
      </c>
      <c r="O90" s="14">
        <v>246.18243802567838</v>
      </c>
      <c r="P90" s="8">
        <v>0.88791184457072203</v>
      </c>
      <c r="Q90" s="54">
        <v>1.6947944669177404E-2</v>
      </c>
    </row>
    <row r="91" spans="1:17">
      <c r="A91" s="2" t="s">
        <v>427</v>
      </c>
      <c r="B91" s="16" t="s">
        <v>428</v>
      </c>
      <c r="D91" s="14">
        <v>1</v>
      </c>
      <c r="E91" s="14">
        <v>0.78590333921238231</v>
      </c>
      <c r="F91" s="14">
        <v>0.71833688436798537</v>
      </c>
      <c r="G91" s="14">
        <v>9.1456937443939471E-7</v>
      </c>
      <c r="H91" s="14">
        <v>15.609470333937526</v>
      </c>
      <c r="I91" s="14">
        <v>40.648576135503326</v>
      </c>
      <c r="J91" s="14">
        <v>0</v>
      </c>
      <c r="K91" s="14">
        <v>1.3921044871304784</v>
      </c>
      <c r="L91" s="14">
        <v>0.71833688436798537</v>
      </c>
      <c r="M91" s="14">
        <v>0.589395413623932</v>
      </c>
      <c r="N91" s="14">
        <v>2.8736646864815905</v>
      </c>
      <c r="O91" s="14">
        <v>474.70066955989392</v>
      </c>
      <c r="P91" s="8">
        <v>2.8736646864815905</v>
      </c>
      <c r="Q91" s="54">
        <v>0.14310187937778232</v>
      </c>
    </row>
    <row r="92" spans="1:17">
      <c r="A92" s="2" t="s">
        <v>429</v>
      </c>
      <c r="B92" s="16" t="s">
        <v>430</v>
      </c>
      <c r="D92" s="14">
        <v>1</v>
      </c>
      <c r="E92" s="14">
        <v>0.70410388497659504</v>
      </c>
      <c r="F92" s="14">
        <v>0.12630845327388099</v>
      </c>
      <c r="G92" s="14">
        <v>5.5677651029800443E-6</v>
      </c>
      <c r="H92" s="14">
        <v>135.72267695706569</v>
      </c>
      <c r="I92" s="14">
        <v>265.1609630821502</v>
      </c>
      <c r="J92" s="14">
        <v>0</v>
      </c>
      <c r="K92" s="14">
        <v>7.9171264795052911</v>
      </c>
      <c r="L92" s="14">
        <v>0.12630845327388099</v>
      </c>
      <c r="M92" s="14">
        <v>0.10363608591121935</v>
      </c>
      <c r="N92" s="14">
        <v>15.26141158860236</v>
      </c>
      <c r="O92" s="14">
        <v>2750.7168247296895</v>
      </c>
      <c r="P92" s="8">
        <v>15.261411588602362</v>
      </c>
      <c r="Q92" s="54">
        <v>0.19218061893517768</v>
      </c>
    </row>
    <row r="93" spans="1:17">
      <c r="A93" s="2" t="s">
        <v>431</v>
      </c>
      <c r="B93" s="16" t="s">
        <v>432</v>
      </c>
      <c r="D93" s="14">
        <v>1</v>
      </c>
      <c r="E93" s="14">
        <v>0.99923205358918821</v>
      </c>
      <c r="F93" s="14">
        <v>0.99876303060745142</v>
      </c>
      <c r="G93" s="14">
        <v>1.338490453721938E-19</v>
      </c>
      <c r="H93" s="14">
        <v>1.238946229973847</v>
      </c>
      <c r="I93" s="14">
        <v>9.190433465780275E-3</v>
      </c>
      <c r="J93" s="14">
        <v>0</v>
      </c>
      <c r="K93" s="14">
        <v>1.0012385013808494</v>
      </c>
      <c r="L93" s="14">
        <v>0.99876303060745142</v>
      </c>
      <c r="M93" s="14">
        <v>0.81948506661341391</v>
      </c>
      <c r="N93" s="14">
        <v>0.87862528785451255</v>
      </c>
      <c r="O93" s="14">
        <v>341.6885881937414</v>
      </c>
      <c r="P93" s="8">
        <v>0.87862528785451255</v>
      </c>
      <c r="Q93" s="54">
        <v>1.0321337878664679E-4</v>
      </c>
    </row>
    <row r="94" spans="1:17">
      <c r="A94" s="2" t="s">
        <v>433</v>
      </c>
      <c r="B94" s="16" t="s">
        <v>434</v>
      </c>
      <c r="D94" s="14">
        <v>1</v>
      </c>
      <c r="E94" s="14">
        <v>0.99938323452011524</v>
      </c>
      <c r="F94" s="14">
        <v>1.0032774224576417</v>
      </c>
      <c r="G94" s="14">
        <v>2.829042857890984E-20</v>
      </c>
      <c r="H94" s="14">
        <v>4.8218205033107534E-3</v>
      </c>
      <c r="I94" s="14">
        <v>6.2297166880789139E-5</v>
      </c>
      <c r="J94" s="14">
        <v>0</v>
      </c>
      <c r="K94" s="14">
        <v>0.99673328395090033</v>
      </c>
      <c r="L94" s="14">
        <v>1.0032774224576417</v>
      </c>
      <c r="M94" s="14">
        <v>0.82318912512649511</v>
      </c>
      <c r="N94" s="14">
        <v>0.87556683514933353</v>
      </c>
      <c r="O94" s="14">
        <v>156.93659953216655</v>
      </c>
      <c r="P94" s="8">
        <v>0.87556683514933353</v>
      </c>
      <c r="Q94" s="54">
        <v>2.611369314220104E-6</v>
      </c>
    </row>
    <row r="95" spans="1:17">
      <c r="A95" s="2" t="s">
        <v>435</v>
      </c>
      <c r="B95" s="16" t="s">
        <v>436</v>
      </c>
      <c r="D95" s="14">
        <v>1</v>
      </c>
      <c r="E95" s="14">
        <v>0.94141125901519596</v>
      </c>
      <c r="F95" s="14">
        <v>0.94004540632106059</v>
      </c>
      <c r="G95" s="14">
        <v>1.512895451865781E-10</v>
      </c>
      <c r="H95" s="14">
        <v>1.0615772962008128</v>
      </c>
      <c r="I95" s="14">
        <v>3.4091372294327988</v>
      </c>
      <c r="J95" s="14">
        <v>0</v>
      </c>
      <c r="K95" s="14">
        <v>1.0637784018471792</v>
      </c>
      <c r="L95" s="14">
        <v>0.94004540632106059</v>
      </c>
      <c r="M95" s="14">
        <v>0.77130725588643023</v>
      </c>
      <c r="N95" s="14">
        <v>1.0101471260386587</v>
      </c>
      <c r="O95" s="14">
        <v>263.73931313743338</v>
      </c>
      <c r="P95" s="8">
        <v>1.0101471260386587</v>
      </c>
      <c r="Q95" s="54">
        <v>3.9070096456849619E-2</v>
      </c>
    </row>
    <row r="96" spans="1:17">
      <c r="A96" s="2" t="s">
        <v>437</v>
      </c>
      <c r="B96" s="164" t="s">
        <v>438</v>
      </c>
      <c r="D96" s="14">
        <v>1</v>
      </c>
      <c r="E96" s="14">
        <v>0.85485906456724714</v>
      </c>
      <c r="F96" s="14">
        <v>4.9349058379354245E-4</v>
      </c>
      <c r="G96" s="14">
        <v>5.0901122304051466E-10</v>
      </c>
      <c r="H96" s="14">
        <v>57.477632383519534</v>
      </c>
      <c r="I96" s="14">
        <v>1716.153147444659</v>
      </c>
      <c r="J96" s="14">
        <v>0</v>
      </c>
      <c r="K96" s="14">
        <v>2026.3811161559299</v>
      </c>
      <c r="L96" s="14">
        <v>4.9349058379354245E-4</v>
      </c>
      <c r="M96" s="14">
        <v>4.0490902400260156E-4</v>
      </c>
      <c r="N96" s="14">
        <v>104.45861480637082</v>
      </c>
      <c r="O96" s="14">
        <v>43486.121343892177</v>
      </c>
      <c r="P96" s="8">
        <v>104.45861480637082</v>
      </c>
      <c r="Q96" s="54">
        <v>4.8613404998666017E-2</v>
      </c>
    </row>
    <row r="97" spans="1:17">
      <c r="A97" s="2" t="s">
        <v>439</v>
      </c>
      <c r="B97" s="16" t="s">
        <v>440</v>
      </c>
      <c r="D97" s="14">
        <v>1</v>
      </c>
      <c r="E97" s="14">
        <v>0.72776293508348333</v>
      </c>
      <c r="F97" s="14">
        <v>0.6007551747360651</v>
      </c>
      <c r="G97" s="14">
        <v>4.420852326803515E-7</v>
      </c>
      <c r="H97" s="14">
        <v>29.058789594956316</v>
      </c>
      <c r="I97" s="14">
        <v>71.340260551881528</v>
      </c>
      <c r="J97" s="14">
        <v>0</v>
      </c>
      <c r="K97" s="14">
        <v>1.6645715959739149</v>
      </c>
      <c r="L97" s="14">
        <v>0.6007551747360651</v>
      </c>
      <c r="M97" s="14">
        <v>0.49291962087094149</v>
      </c>
      <c r="N97" s="14">
        <v>4.4979494606138894</v>
      </c>
      <c r="O97" s="14">
        <v>860.32279333161875</v>
      </c>
      <c r="P97" s="8">
        <v>4.4979494606138894</v>
      </c>
      <c r="Q97" s="54">
        <v>0.18160788102062345</v>
      </c>
    </row>
    <row r="98" spans="1:17">
      <c r="A98" s="2" t="s">
        <v>441</v>
      </c>
      <c r="B98" s="16" t="s">
        <v>442</v>
      </c>
      <c r="D98" s="14">
        <v>1</v>
      </c>
      <c r="E98" s="14">
        <v>0.77494007860837466</v>
      </c>
      <c r="F98" s="14">
        <v>0.6983694210592053</v>
      </c>
      <c r="G98" s="14">
        <v>3.0153220439817267E-19</v>
      </c>
      <c r="H98" s="14">
        <v>17.632147693881958</v>
      </c>
      <c r="I98" s="14">
        <v>45.411138037032359</v>
      </c>
      <c r="J98" s="14">
        <v>0</v>
      </c>
      <c r="K98" s="14">
        <v>1.4319069103617346</v>
      </c>
      <c r="L98" s="14">
        <v>0.6983694210592053</v>
      </c>
      <c r="M98" s="14">
        <v>0.57301210997907792</v>
      </c>
      <c r="N98" s="14">
        <v>3.1233274046386654</v>
      </c>
      <c r="O98" s="14">
        <v>1225.7810732244907</v>
      </c>
      <c r="P98" s="8">
        <v>3.1233274046386654</v>
      </c>
      <c r="Q98" s="54">
        <v>0.15043967474065539</v>
      </c>
    </row>
    <row r="99" spans="1:17">
      <c r="A99" s="2" t="s">
        <v>443</v>
      </c>
      <c r="B99" s="16" t="s">
        <v>444</v>
      </c>
      <c r="D99" s="14">
        <v>1</v>
      </c>
      <c r="E99" s="14">
        <v>0.88207124624584798</v>
      </c>
      <c r="F99" s="14">
        <v>0.866039541401327</v>
      </c>
      <c r="G99" s="14">
        <v>4.6647267532047102E-31</v>
      </c>
      <c r="H99" s="14">
        <v>4.1975678163183625</v>
      </c>
      <c r="I99" s="14">
        <v>12.20829154680364</v>
      </c>
      <c r="J99" s="14">
        <v>0</v>
      </c>
      <c r="K99" s="14">
        <v>1.1546816885311189</v>
      </c>
      <c r="L99" s="14">
        <v>0.866039541401327</v>
      </c>
      <c r="M99" s="14">
        <v>0.71058544371978882</v>
      </c>
      <c r="N99" s="14">
        <v>1.4171097922555485</v>
      </c>
      <c r="O99" s="14">
        <v>1106.6777211640481</v>
      </c>
      <c r="P99" s="8">
        <v>1.4171097922555485</v>
      </c>
      <c r="Q99" s="54">
        <v>7.8932324407211943E-2</v>
      </c>
    </row>
    <row r="100" spans="1:17">
      <c r="A100" s="2" t="s">
        <v>445</v>
      </c>
      <c r="B100" s="16" t="s">
        <v>446</v>
      </c>
      <c r="D100" s="14">
        <v>1</v>
      </c>
      <c r="E100" s="14">
        <v>0.85065427971126772</v>
      </c>
      <c r="F100" s="14">
        <v>3.2873784170999007E-3</v>
      </c>
      <c r="G100" s="14">
        <v>5.4154953492485876E-10</v>
      </c>
      <c r="H100" s="14">
        <v>146.45685352077967</v>
      </c>
      <c r="I100" s="14">
        <v>873.91032469125753</v>
      </c>
      <c r="J100" s="14">
        <v>0</v>
      </c>
      <c r="K100" s="14">
        <v>304.19375962265764</v>
      </c>
      <c r="L100" s="14">
        <v>3.2873784170999007E-3</v>
      </c>
      <c r="M100" s="14">
        <v>2.6972939912304687E-3</v>
      </c>
      <c r="N100" s="14">
        <v>52.03956045292378</v>
      </c>
      <c r="O100" s="14">
        <v>15944.921322775846</v>
      </c>
      <c r="P100" s="8">
        <v>52.039560452923787</v>
      </c>
      <c r="Q100" s="54">
        <v>7.6219635981753631E-2</v>
      </c>
    </row>
    <row r="101" spans="1:17">
      <c r="A101" s="2" t="s">
        <v>447</v>
      </c>
      <c r="B101" s="16" t="s">
        <v>448</v>
      </c>
      <c r="D101" s="14">
        <v>1</v>
      </c>
      <c r="E101" s="14">
        <v>0.68031465197559438</v>
      </c>
      <c r="F101" s="14">
        <v>0.17621689502326301</v>
      </c>
      <c r="G101" s="14">
        <v>4.8882795276060719E-11</v>
      </c>
      <c r="H101" s="14">
        <v>117.74095243917657</v>
      </c>
      <c r="I101" s="14">
        <v>238.22356272076635</v>
      </c>
      <c r="J101" s="14">
        <v>0</v>
      </c>
      <c r="K101" s="14">
        <v>5.6748247656275321</v>
      </c>
      <c r="L101" s="14">
        <v>0.17621689502326301</v>
      </c>
      <c r="M101" s="14">
        <v>0.1445859623665873</v>
      </c>
      <c r="N101" s="14">
        <v>13.714588619620454</v>
      </c>
      <c r="O101" s="14">
        <v>4619.3477388605606</v>
      </c>
      <c r="P101" s="8">
        <v>13.714588619620454</v>
      </c>
      <c r="Q101" s="54">
        <v>0.20930746382407325</v>
      </c>
    </row>
    <row r="102" spans="1:17">
      <c r="A102" s="2" t="s">
        <v>449</v>
      </c>
      <c r="B102" s="16" t="s">
        <v>450</v>
      </c>
      <c r="D102" s="14">
        <v>1</v>
      </c>
      <c r="E102" s="14">
        <v>0.79882817248327498</v>
      </c>
      <c r="F102" s="14">
        <v>3.8672377061192809E-2</v>
      </c>
      <c r="G102" s="14">
        <v>2.1636616885937473E-6</v>
      </c>
      <c r="H102" s="14">
        <v>181.70248528006312</v>
      </c>
      <c r="I102" s="14">
        <v>318.43297791432497</v>
      </c>
      <c r="J102" s="14">
        <v>0</v>
      </c>
      <c r="K102" s="14">
        <v>25.858250151462396</v>
      </c>
      <c r="L102" s="14">
        <v>3.8672377061192816E-2</v>
      </c>
      <c r="M102" s="14">
        <v>3.1730685378708705E-2</v>
      </c>
      <c r="N102" s="14">
        <v>18.44196484266455</v>
      </c>
      <c r="O102" s="14">
        <v>8577.1734286748542</v>
      </c>
      <c r="P102" s="8">
        <v>18.44196484266455</v>
      </c>
      <c r="Q102" s="54">
        <v>0.12694571273804842</v>
      </c>
    </row>
    <row r="103" spans="1:17">
      <c r="A103" s="2" t="s">
        <v>451</v>
      </c>
      <c r="B103" s="16" t="s">
        <v>452</v>
      </c>
      <c r="D103" s="14">
        <v>1</v>
      </c>
      <c r="E103" s="14">
        <v>0.99913179075640934</v>
      </c>
      <c r="F103" s="14">
        <v>0.89763633839275736</v>
      </c>
      <c r="G103" s="14">
        <v>4.8864293502692622E-21</v>
      </c>
      <c r="H103" s="14">
        <v>29.838736239727975</v>
      </c>
      <c r="I103" s="14">
        <v>2.6811261535214279E-2</v>
      </c>
      <c r="J103" s="14">
        <v>0</v>
      </c>
      <c r="K103" s="14">
        <v>1.1140368958218954</v>
      </c>
      <c r="L103" s="14">
        <v>0.89763633839275747</v>
      </c>
      <c r="M103" s="14">
        <v>0.73651061565125753</v>
      </c>
      <c r="N103" s="14">
        <v>1.072141731432805</v>
      </c>
      <c r="O103" s="14">
        <v>354.6001562540859</v>
      </c>
      <c r="P103" s="8">
        <v>1.072141731432805</v>
      </c>
      <c r="Q103" s="54">
        <v>7.9454271321743395E-5</v>
      </c>
    </row>
    <row r="104" spans="1:17">
      <c r="A104" s="2" t="s">
        <v>453</v>
      </c>
      <c r="B104" s="16" t="s">
        <v>454</v>
      </c>
      <c r="D104" s="14">
        <v>1</v>
      </c>
      <c r="E104" s="14">
        <v>0.99731848625496944</v>
      </c>
      <c r="F104" s="14">
        <v>1.112946822308248E-2</v>
      </c>
      <c r="G104" s="14">
        <v>1.2519223030390968E-22</v>
      </c>
      <c r="H104" s="14">
        <v>280.01056236894186</v>
      </c>
      <c r="I104" s="14">
        <v>2.7453750313758758</v>
      </c>
      <c r="J104" s="14">
        <v>0</v>
      </c>
      <c r="K104" s="14">
        <v>89.851552648850117</v>
      </c>
      <c r="L104" s="14">
        <v>1.1129468223082481E-2</v>
      </c>
      <c r="M104" s="14">
        <v>9.1317286770391751E-3</v>
      </c>
      <c r="N104" s="14">
        <v>2.8417257800138298</v>
      </c>
      <c r="O104" s="14">
        <v>1403.8125353268319</v>
      </c>
      <c r="P104" s="8">
        <v>2.8417257800138298</v>
      </c>
      <c r="Q104" s="54">
        <v>4.6730634683915095E-4</v>
      </c>
    </row>
    <row r="105" spans="1:17">
      <c r="A105" s="2" t="s">
        <v>455</v>
      </c>
      <c r="B105" s="164">
        <v>354656</v>
      </c>
      <c r="D105" s="14">
        <v>1</v>
      </c>
      <c r="E105" s="14">
        <v>0.96928822321020314</v>
      </c>
      <c r="F105" s="14">
        <v>0.97171434473129992</v>
      </c>
      <c r="G105" s="14">
        <v>4.093050487260255E-12</v>
      </c>
      <c r="H105" s="14">
        <v>0.27913777598590367</v>
      </c>
      <c r="I105" s="14">
        <v>0.99971402467075876</v>
      </c>
      <c r="J105" s="14">
        <v>0</v>
      </c>
      <c r="K105" s="14">
        <v>1.0291090230601891</v>
      </c>
      <c r="L105" s="14">
        <v>0.97171434473130003</v>
      </c>
      <c r="M105" s="14">
        <v>0.79729161985203167</v>
      </c>
      <c r="N105" s="14">
        <v>0.89321806137377069</v>
      </c>
      <c r="O105" s="14">
        <v>176.13366952229384</v>
      </c>
      <c r="P105" s="8">
        <v>0.8932180613737708</v>
      </c>
      <c r="Q105" s="54">
        <v>2.0308403550460933E-2</v>
      </c>
    </row>
    <row r="106" spans="1:17">
      <c r="A106" s="2" t="s">
        <v>457</v>
      </c>
      <c r="B106" s="16" t="s">
        <v>458</v>
      </c>
      <c r="D106" s="14">
        <v>1</v>
      </c>
      <c r="E106" s="14">
        <v>0.93870260683234574</v>
      </c>
      <c r="F106" s="14">
        <v>0.93690905336397245</v>
      </c>
      <c r="G106" s="14">
        <v>6.06487192345388E-12</v>
      </c>
      <c r="H106" s="14">
        <v>1.1505849030787141</v>
      </c>
      <c r="I106" s="14">
        <v>3.6783731553033636</v>
      </c>
      <c r="J106" s="14">
        <v>0</v>
      </c>
      <c r="K106" s="14">
        <v>1.0673394567055354</v>
      </c>
      <c r="L106" s="14">
        <v>0.93690905336397257</v>
      </c>
      <c r="M106" s="14">
        <v>0.7687338782851395</v>
      </c>
      <c r="N106" s="14">
        <v>1.0203145066864487</v>
      </c>
      <c r="O106" s="14">
        <v>163.43397768103537</v>
      </c>
      <c r="P106" s="8">
        <v>1.0203145066864487</v>
      </c>
      <c r="Q106" s="54">
        <v>4.0893641415316415E-2</v>
      </c>
    </row>
    <row r="107" spans="1:17">
      <c r="A107" s="2" t="s">
        <v>459</v>
      </c>
      <c r="B107" s="16" t="s">
        <v>460</v>
      </c>
      <c r="D107" s="14">
        <v>1</v>
      </c>
      <c r="E107" s="14">
        <v>0.84813846438778917</v>
      </c>
      <c r="F107" s="14">
        <v>2.0759612960484352E-2</v>
      </c>
      <c r="G107" s="14">
        <v>5.0484226420087825E-22</v>
      </c>
      <c r="H107" s="14">
        <v>200.15034659195894</v>
      </c>
      <c r="I107" s="14">
        <v>324.34421382453053</v>
      </c>
      <c r="J107" s="14">
        <v>0</v>
      </c>
      <c r="K107" s="14">
        <v>48.170454907010395</v>
      </c>
      <c r="L107" s="14">
        <v>2.0759612960484352E-2</v>
      </c>
      <c r="M107" s="14">
        <v>1.7033262434077413E-2</v>
      </c>
      <c r="N107" s="14">
        <v>23.033204395709483</v>
      </c>
      <c r="O107" s="14">
        <v>12240.535812011889</v>
      </c>
      <c r="P107" s="8">
        <v>23.033204395709483</v>
      </c>
      <c r="Q107" s="54">
        <v>9.1623347461269641E-2</v>
      </c>
    </row>
    <row r="108" spans="1:17">
      <c r="A108" s="2" t="s">
        <v>461</v>
      </c>
      <c r="B108" s="16" t="s">
        <v>462</v>
      </c>
      <c r="D108" s="14">
        <v>1</v>
      </c>
      <c r="E108" s="14">
        <v>0.9993344978875669</v>
      </c>
      <c r="F108" s="14">
        <v>1.0032364726714134</v>
      </c>
      <c r="G108" s="14">
        <v>1.2223067100721202E-11</v>
      </c>
      <c r="H108" s="14">
        <v>2.497606890186146E-3</v>
      </c>
      <c r="I108" s="14">
        <v>6.7026614049039881E-4</v>
      </c>
      <c r="J108" s="14">
        <v>0</v>
      </c>
      <c r="K108" s="14">
        <v>0.99677396829204656</v>
      </c>
      <c r="L108" s="14">
        <v>1.0032364726714134</v>
      </c>
      <c r="M108" s="14">
        <v>0.82315552582689466</v>
      </c>
      <c r="N108" s="14">
        <v>0.87134772619433476</v>
      </c>
      <c r="O108" s="14">
        <v>112.54327231526028</v>
      </c>
      <c r="P108" s="8">
        <v>0.87134772619433487</v>
      </c>
      <c r="Q108" s="54">
        <v>3.7501382714287445E-5</v>
      </c>
    </row>
    <row r="109" spans="1:17">
      <c r="A109" s="2" t="s">
        <v>463</v>
      </c>
      <c r="B109" s="16" t="s">
        <v>464</v>
      </c>
      <c r="D109" s="14">
        <v>1</v>
      </c>
      <c r="E109" s="14">
        <v>0.97122438044621584</v>
      </c>
      <c r="F109" s="14">
        <v>0.91484890039291689</v>
      </c>
      <c r="G109" s="14">
        <v>3.0904635987289713E-14</v>
      </c>
      <c r="H109" s="14">
        <v>16.229978279336187</v>
      </c>
      <c r="I109" s="14">
        <v>7.4693984962478321</v>
      </c>
      <c r="J109" s="14">
        <v>0</v>
      </c>
      <c r="K109" s="14">
        <v>1.093076681373844</v>
      </c>
      <c r="L109" s="14">
        <v>0.914848900392917</v>
      </c>
      <c r="M109" s="14">
        <v>0.75063352277238837</v>
      </c>
      <c r="N109" s="14">
        <v>15.339843686477439</v>
      </c>
      <c r="O109" s="14">
        <v>4598.8851372059362</v>
      </c>
      <c r="P109" s="8">
        <v>15.339843686477439</v>
      </c>
      <c r="Q109" s="54">
        <v>1.21754670550664E-2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0.99313946016294163</v>
      </c>
      <c r="F110" s="14">
        <v>0.99675752228672421</v>
      </c>
      <c r="G110" s="14">
        <v>2.320577721403155E-13</v>
      </c>
      <c r="H110" s="14">
        <v>6.386597135447003E-2</v>
      </c>
      <c r="I110" s="14">
        <v>0.11313517759568929</v>
      </c>
      <c r="J110" s="14">
        <v>0</v>
      </c>
      <c r="K110" s="14">
        <v>1.0032530255762073</v>
      </c>
      <c r="L110" s="14">
        <v>0.99675752228672432</v>
      </c>
      <c r="M110" s="14">
        <v>0.81783954703625728</v>
      </c>
      <c r="N110" s="14">
        <v>0.86780168832265137</v>
      </c>
      <c r="O110" s="14">
        <v>206.67565009092263</v>
      </c>
      <c r="P110" s="8">
        <v>0.86780168832265137</v>
      </c>
      <c r="Q110" s="54">
        <v>4.2208280781844808E-3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0.99938748208529538</v>
      </c>
      <c r="F111" s="14">
        <v>1.003282696759217</v>
      </c>
      <c r="G111" s="14">
        <v>4.1250138341411427E-32</v>
      </c>
      <c r="H111" s="14">
        <v>4.5388237865404525E-3</v>
      </c>
      <c r="I111" s="14">
        <v>3.4719773728614284E-5</v>
      </c>
      <c r="J111" s="14">
        <v>0</v>
      </c>
      <c r="K111" s="14">
        <v>0.99672804407987825</v>
      </c>
      <c r="L111" s="14">
        <v>1.003282696759217</v>
      </c>
      <c r="M111" s="14">
        <v>0.82319345269093758</v>
      </c>
      <c r="N111" s="14">
        <v>0.86700188521230481</v>
      </c>
      <c r="O111" s="14">
        <v>399.1936780083015</v>
      </c>
      <c r="P111" s="8">
        <v>0.86700188521230481</v>
      </c>
      <c r="Q111" s="54">
        <v>3.7912016629154699E-6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0.99129374343328858</v>
      </c>
      <c r="F112" s="14">
        <v>0.99505916883496159</v>
      </c>
      <c r="G112" s="14">
        <v>2.6073983928049066E-15</v>
      </c>
      <c r="H112" s="14">
        <v>2.2028194669192029E-2</v>
      </c>
      <c r="I112" s="14">
        <v>9.5287531550508467E-2</v>
      </c>
      <c r="J112" s="14">
        <v>0</v>
      </c>
      <c r="K112" s="14">
        <v>1.00496536419118</v>
      </c>
      <c r="L112" s="14">
        <v>0.99505916883496159</v>
      </c>
      <c r="M112" s="14">
        <v>0.81644604802908605</v>
      </c>
      <c r="N112" s="14">
        <v>0.8648208732610414</v>
      </c>
      <c r="O112" s="14">
        <v>177.50448423682874</v>
      </c>
      <c r="P112" s="8">
        <v>0.86482087326104151</v>
      </c>
      <c r="Q112" s="54">
        <v>5.4680953197559319E-3</v>
      </c>
    </row>
    <row r="113" spans="1:17">
      <c r="A113" s="2" t="s">
        <v>471</v>
      </c>
      <c r="B113" s="16" t="s">
        <v>472</v>
      </c>
      <c r="D113" s="14">
        <v>1</v>
      </c>
      <c r="E113" s="14">
        <v>0.95390235361033959</v>
      </c>
      <c r="F113" s="14">
        <v>0.95462019968871747</v>
      </c>
      <c r="G113" s="14">
        <v>3.2086260673512215E-11</v>
      </c>
      <c r="H113" s="14">
        <v>0.62587934553892277</v>
      </c>
      <c r="I113" s="14">
        <v>2.1093458388010786</v>
      </c>
      <c r="J113" s="14">
        <v>0</v>
      </c>
      <c r="K113" s="14">
        <v>1.0475370208236532</v>
      </c>
      <c r="L113" s="14">
        <v>0.95462019968871747</v>
      </c>
      <c r="M113" s="14">
        <v>0.78326587384459267</v>
      </c>
      <c r="N113" s="14">
        <v>0.93863947568867612</v>
      </c>
      <c r="O113" s="14">
        <v>141.88474314510029</v>
      </c>
      <c r="P113" s="8">
        <v>0.93863947568867623</v>
      </c>
      <c r="Q113" s="54">
        <v>3.0672402211517548E-2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0.99519436417679019</v>
      </c>
      <c r="F114" s="14">
        <v>0.99905514258800332</v>
      </c>
      <c r="G114" s="14">
        <v>2.5594627838898037E-18</v>
      </c>
      <c r="H114" s="14">
        <v>6.414302827201024E-3</v>
      </c>
      <c r="I114" s="14">
        <v>2.9921246275410329E-2</v>
      </c>
      <c r="J114" s="14">
        <v>0</v>
      </c>
      <c r="K114" s="14">
        <v>1.0009457510118502</v>
      </c>
      <c r="L114" s="14">
        <v>0.99905514258800332</v>
      </c>
      <c r="M114" s="14">
        <v>0.81972474449345678</v>
      </c>
      <c r="N114" s="14">
        <v>0.8648263150159502</v>
      </c>
      <c r="O114" s="14">
        <v>293.48745826381287</v>
      </c>
      <c r="P114" s="8">
        <v>0.8648263150159502</v>
      </c>
      <c r="Q114" s="54">
        <v>2.8351737468215745E-3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0.99928274257595529</v>
      </c>
      <c r="F115" s="14">
        <v>0.97564833114903382</v>
      </c>
      <c r="G115" s="14">
        <v>1.3235711670935743E-14</v>
      </c>
      <c r="H115" s="14">
        <v>7.7974627015114102</v>
      </c>
      <c r="I115" s="14">
        <v>8.6476633553636984E-3</v>
      </c>
      <c r="J115" s="14">
        <v>0</v>
      </c>
      <c r="K115" s="14">
        <v>1.0249594736889334</v>
      </c>
      <c r="L115" s="14">
        <v>0.97564833114903393</v>
      </c>
      <c r="M115" s="14">
        <v>0.80051945570778238</v>
      </c>
      <c r="N115" s="14">
        <v>0.92802680259247161</v>
      </c>
      <c r="O115" s="14">
        <v>178.30178958209154</v>
      </c>
      <c r="P115" s="8">
        <v>0.92802680259247161</v>
      </c>
      <c r="Q115" s="54">
        <v>4.5656096201250543E-5</v>
      </c>
    </row>
    <row r="116" spans="1:17">
      <c r="A116" s="2" t="s">
        <v>477</v>
      </c>
      <c r="B116" s="16" t="s">
        <v>478</v>
      </c>
      <c r="D116" s="14">
        <v>1</v>
      </c>
      <c r="E116" s="14">
        <v>0.87877191029958224</v>
      </c>
      <c r="F116" s="14">
        <v>0.12120251089640514</v>
      </c>
      <c r="G116" s="14">
        <v>3.367371069549051E-19</v>
      </c>
      <c r="H116" s="14">
        <v>210.3558154039911</v>
      </c>
      <c r="I116" s="14">
        <v>47.173669353298365</v>
      </c>
      <c r="J116" s="14">
        <v>0</v>
      </c>
      <c r="K116" s="14">
        <v>8.2506541539780898</v>
      </c>
      <c r="L116" s="14">
        <v>0.12120251089640516</v>
      </c>
      <c r="M116" s="14">
        <v>9.9446660190500427E-2</v>
      </c>
      <c r="N116" s="14">
        <v>148.46017445422902</v>
      </c>
      <c r="O116" s="14">
        <v>67489.995306892524</v>
      </c>
      <c r="P116" s="8">
        <v>148.46017445422905</v>
      </c>
      <c r="Q116" s="54">
        <v>1.1681528118158828E-2</v>
      </c>
    </row>
    <row r="117" spans="1:17">
      <c r="A117" s="2" t="s">
        <v>291</v>
      </c>
      <c r="B117" s="16" t="s">
        <v>479</v>
      </c>
      <c r="D117" s="14">
        <v>1</v>
      </c>
      <c r="E117" s="14">
        <v>0.68282841081576473</v>
      </c>
      <c r="F117" s="14">
        <v>0.4719371362531129</v>
      </c>
      <c r="G117" s="14">
        <v>3.2545626835883442E-12</v>
      </c>
      <c r="H117" s="14">
        <v>48.335270443093954</v>
      </c>
      <c r="I117" s="14">
        <v>112.28489149378716</v>
      </c>
      <c r="J117" s="14">
        <v>0</v>
      </c>
      <c r="K117" s="14">
        <v>2.1189262789094698</v>
      </c>
      <c r="L117" s="14">
        <v>0.4719371362531129</v>
      </c>
      <c r="M117" s="14">
        <v>0.38722442029567916</v>
      </c>
      <c r="N117" s="14">
        <v>6.7070752583784525</v>
      </c>
      <c r="O117" s="14">
        <v>2067.9925144158278</v>
      </c>
      <c r="P117" s="8">
        <v>6.7070752583784525</v>
      </c>
      <c r="Q117" s="54">
        <v>0.21092172944206034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2.6202028340844328E-8</v>
      </c>
      <c r="E2" s="20">
        <v>0.97602711954399723</v>
      </c>
      <c r="F2" s="20">
        <v>6.000799647472349E-4</v>
      </c>
      <c r="G2" s="20">
        <v>2.4082672642350699E-4</v>
      </c>
      <c r="H2" s="20">
        <v>0</v>
      </c>
      <c r="I2" s="20">
        <v>0.97518621285282647</v>
      </c>
      <c r="J2" s="20">
        <v>6.1584069426292231E-4</v>
      </c>
      <c r="K2" s="20">
        <v>2.3357013559711391E-2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1.9879140546230627E-8</v>
      </c>
      <c r="E3" s="20">
        <v>0.69421387483392416</v>
      </c>
      <c r="F3" s="20">
        <v>0.18462943786238534</v>
      </c>
      <c r="G3" s="20">
        <v>4.4852756677653982E-2</v>
      </c>
      <c r="H3" s="20">
        <v>0</v>
      </c>
      <c r="I3" s="20">
        <v>0.4647316802938849</v>
      </c>
      <c r="J3" s="20">
        <v>5.9376811334793589E-3</v>
      </c>
      <c r="K3" s="20">
        <v>0.29984842415345597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1.3594345401921881E-17</v>
      </c>
      <c r="E4" s="20">
        <v>0.9992505326395672</v>
      </c>
      <c r="F4" s="20">
        <v>4.2153390850694934E-4</v>
      </c>
      <c r="G4" s="20">
        <v>4.6422460684995017E-7</v>
      </c>
      <c r="H4" s="20">
        <v>0</v>
      </c>
      <c r="I4" s="20">
        <v>0.99882853450645337</v>
      </c>
      <c r="J4" s="20">
        <v>7.2883063492240315E-4</v>
      </c>
      <c r="K4" s="20">
        <v>2.0636725510382959E-5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2.2621163468749939E-10</v>
      </c>
      <c r="E5" s="20">
        <v>0.99869271529008841</v>
      </c>
      <c r="F5" s="20">
        <v>0.45164563600072966</v>
      </c>
      <c r="G5" s="20">
        <v>3.5847352296867688E-5</v>
      </c>
      <c r="H5" s="20">
        <v>0</v>
      </c>
      <c r="I5" s="20">
        <v>0.54701123193706191</v>
      </c>
      <c r="J5" s="20">
        <v>1.1193659069518641E-3</v>
      </c>
      <c r="K5" s="20">
        <v>1.879185767480457E-4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1.8553308060653939E-11</v>
      </c>
      <c r="E6" s="20">
        <v>0.99797794088594227</v>
      </c>
      <c r="F6" s="20">
        <v>0.67410825905102667</v>
      </c>
      <c r="G6" s="20">
        <v>1.9548893202505285E-4</v>
      </c>
      <c r="H6" s="20">
        <v>0</v>
      </c>
      <c r="I6" s="20">
        <v>0.32367419290289051</v>
      </c>
      <c r="J6" s="20">
        <v>1.3176340242585316E-3</v>
      </c>
      <c r="K6" s="20">
        <v>7.044250712460355E-4</v>
      </c>
      <c r="L6" s="20">
        <v>0</v>
      </c>
    </row>
    <row r="7" spans="1:14">
      <c r="A7" s="2" t="s">
        <v>366</v>
      </c>
      <c r="B7" s="3" t="s">
        <v>305</v>
      </c>
      <c r="D7" s="20">
        <v>1.6179639023413617E-7</v>
      </c>
      <c r="E7" s="20">
        <v>0.99471220980812092</v>
      </c>
      <c r="F7" s="20">
        <v>0.88545076340491813</v>
      </c>
      <c r="G7" s="20">
        <v>1.8024346198486235E-3</v>
      </c>
      <c r="H7" s="20">
        <v>0</v>
      </c>
      <c r="I7" s="20">
        <v>0.10745901178335418</v>
      </c>
      <c r="J7" s="20">
        <v>1.5673781761847009E-3</v>
      </c>
      <c r="K7" s="20">
        <v>3.720250219304349E-3</v>
      </c>
      <c r="L7" s="20">
        <v>0</v>
      </c>
    </row>
    <row r="8" spans="1:14">
      <c r="A8" s="2" t="s">
        <v>289</v>
      </c>
      <c r="B8" s="3" t="s">
        <v>290</v>
      </c>
      <c r="D8" s="20">
        <v>1.1494555353082033E-17</v>
      </c>
      <c r="E8" s="20">
        <v>0.99828303548118635</v>
      </c>
      <c r="F8" s="20">
        <v>0.76866879764495766</v>
      </c>
      <c r="G8" s="20">
        <v>1.1688636080318571E-4</v>
      </c>
      <c r="H8" s="20">
        <v>0</v>
      </c>
      <c r="I8" s="20">
        <v>0.22949735147542555</v>
      </c>
      <c r="J8" s="20">
        <v>1.3695271976324247E-3</v>
      </c>
      <c r="K8" s="20">
        <v>3.4743732118120655E-4</v>
      </c>
      <c r="L8" s="20">
        <v>0</v>
      </c>
    </row>
    <row r="9" spans="1:14">
      <c r="A9" s="2" t="s">
        <v>291</v>
      </c>
      <c r="B9" s="3" t="s">
        <v>292</v>
      </c>
      <c r="D9" s="20">
        <v>4.8195525879368387E-13</v>
      </c>
      <c r="E9" s="20">
        <v>0.99807984900785418</v>
      </c>
      <c r="F9" s="20">
        <v>0.38461599279655379</v>
      </c>
      <c r="G9" s="20">
        <v>1.4578045028986947E-4</v>
      </c>
      <c r="H9" s="20">
        <v>0</v>
      </c>
      <c r="I9" s="20">
        <v>0.61331807576101049</v>
      </c>
      <c r="J9" s="20">
        <v>1.0658480183061464E-3</v>
      </c>
      <c r="K9" s="20">
        <v>8.543029733575181E-4</v>
      </c>
      <c r="L9" s="20">
        <v>0</v>
      </c>
    </row>
    <row r="10" spans="1:14">
      <c r="A10" s="2" t="s">
        <v>367</v>
      </c>
      <c r="B10" s="3" t="s">
        <v>368</v>
      </c>
      <c r="D10" s="20">
        <v>1.4349314662259888E-5</v>
      </c>
      <c r="E10" s="20">
        <v>0.87701917706539334</v>
      </c>
      <c r="F10" s="20">
        <v>0.73791336127387575</v>
      </c>
      <c r="G10" s="20">
        <v>0.12888457075683793</v>
      </c>
      <c r="H10" s="20">
        <v>0</v>
      </c>
      <c r="I10" s="20">
        <v>1.0221245034679652E-2</v>
      </c>
      <c r="J10" s="20">
        <v>1.3894402449031432E-2</v>
      </c>
      <c r="K10" s="20">
        <v>0.109072071170913</v>
      </c>
      <c r="L10" s="20">
        <v>0</v>
      </c>
    </row>
    <row r="11" spans="1:14">
      <c r="A11" s="2" t="s">
        <v>369</v>
      </c>
      <c r="B11" s="3" t="s">
        <v>370</v>
      </c>
      <c r="D11" s="20">
        <v>5.4961185448821105E-12</v>
      </c>
      <c r="E11" s="20">
        <v>0.89203222624098377</v>
      </c>
      <c r="F11" s="20">
        <v>0.51511320338960653</v>
      </c>
      <c r="G11" s="20">
        <v>0.37635444854772732</v>
      </c>
      <c r="H11" s="20">
        <v>0</v>
      </c>
      <c r="I11" s="20">
        <v>5.6457430364990284E-4</v>
      </c>
      <c r="J11" s="20">
        <v>9.1603012099994746E-2</v>
      </c>
      <c r="K11" s="20">
        <v>1.6364761653525496E-2</v>
      </c>
      <c r="L11" s="20">
        <v>0</v>
      </c>
    </row>
    <row r="12" spans="1:14">
      <c r="A12" s="2" t="s">
        <v>371</v>
      </c>
      <c r="B12" s="3" t="s">
        <v>372</v>
      </c>
      <c r="D12" s="20">
        <v>7.4916812407288563E-2</v>
      </c>
      <c r="E12" s="20">
        <v>0.92032850725058435</v>
      </c>
      <c r="F12" s="20">
        <v>2.5868716374199646E-5</v>
      </c>
      <c r="G12" s="20">
        <v>1.2822207306874422E-5</v>
      </c>
      <c r="H12" s="20">
        <v>0</v>
      </c>
      <c r="I12" s="20">
        <v>0.92028981632690332</v>
      </c>
      <c r="J12" s="20">
        <v>5.6022644999043298E-4</v>
      </c>
      <c r="K12" s="20">
        <v>4.1944538921365971E-3</v>
      </c>
      <c r="L12" s="20">
        <v>0</v>
      </c>
    </row>
    <row r="13" spans="1:14">
      <c r="A13" s="2" t="s">
        <v>293</v>
      </c>
      <c r="B13" s="3" t="s">
        <v>294</v>
      </c>
      <c r="D13" s="20">
        <v>1.746379277160505E-8</v>
      </c>
      <c r="E13" s="20">
        <v>0.69879671747524608</v>
      </c>
      <c r="F13" s="20">
        <v>0.14009182217972557</v>
      </c>
      <c r="G13" s="20">
        <v>3.5934229699294253E-2</v>
      </c>
      <c r="H13" s="20">
        <v>0</v>
      </c>
      <c r="I13" s="20">
        <v>0.5227706655962262</v>
      </c>
      <c r="J13" s="20">
        <v>4.0223126985752863E-3</v>
      </c>
      <c r="K13" s="20">
        <v>0.2971809523623859</v>
      </c>
      <c r="L13" s="20">
        <v>0</v>
      </c>
    </row>
    <row r="14" spans="1:14">
      <c r="A14" s="2" t="s">
        <v>373</v>
      </c>
      <c r="B14" s="3" t="s">
        <v>374</v>
      </c>
      <c r="D14" s="20">
        <v>8.5555627001973083E-8</v>
      </c>
      <c r="E14" s="20">
        <v>0.99626153525759853</v>
      </c>
      <c r="F14" s="20">
        <v>0.9859350778452517</v>
      </c>
      <c r="G14" s="20">
        <v>1.5445926669163273E-3</v>
      </c>
      <c r="H14" s="20">
        <v>0</v>
      </c>
      <c r="I14" s="20">
        <v>8.7818647454305319E-3</v>
      </c>
      <c r="J14" s="20">
        <v>2.958680865421288E-3</v>
      </c>
      <c r="K14" s="20">
        <v>7.7969832135287064E-4</v>
      </c>
      <c r="L14" s="20">
        <v>0</v>
      </c>
    </row>
    <row r="15" spans="1:14">
      <c r="A15" s="2" t="s">
        <v>375</v>
      </c>
      <c r="B15" s="3" t="s">
        <v>376</v>
      </c>
      <c r="D15" s="20">
        <v>8.506980310494773E-2</v>
      </c>
      <c r="E15" s="20">
        <v>0.78673461749523699</v>
      </c>
      <c r="F15" s="20">
        <v>1.944686693335098E-2</v>
      </c>
      <c r="G15" s="20">
        <v>5.9312359073782472E-3</v>
      </c>
      <c r="H15" s="20">
        <v>0</v>
      </c>
      <c r="I15" s="20">
        <v>0.76135651465450771</v>
      </c>
      <c r="J15" s="20">
        <v>1.0627160666971387E-3</v>
      </c>
      <c r="K15" s="20">
        <v>0.12713286333311807</v>
      </c>
      <c r="L15" s="20">
        <v>0</v>
      </c>
    </row>
    <row r="16" spans="1:14">
      <c r="A16" s="2" t="s">
        <v>377</v>
      </c>
      <c r="B16" s="3" t="s">
        <v>378</v>
      </c>
      <c r="D16" s="20">
        <v>6.6409880967939516E-4</v>
      </c>
      <c r="E16" s="20">
        <v>0.68732601087579615</v>
      </c>
      <c r="F16" s="20">
        <v>0.15955371355990608</v>
      </c>
      <c r="G16" s="20">
        <v>4.0327608848637647E-2</v>
      </c>
      <c r="H16" s="20">
        <v>0</v>
      </c>
      <c r="I16" s="20">
        <v>0.48744468846725236</v>
      </c>
      <c r="J16" s="20">
        <v>4.4603355548029824E-3</v>
      </c>
      <c r="K16" s="20">
        <v>0.30754955475972157</v>
      </c>
      <c r="L16" s="20">
        <v>0</v>
      </c>
    </row>
    <row r="17" spans="1:12">
      <c r="A17" s="2" t="s">
        <v>379</v>
      </c>
      <c r="B17" s="3" t="s">
        <v>380</v>
      </c>
      <c r="D17" s="20">
        <v>1.9973982876278782E-3</v>
      </c>
      <c r="E17" s="20">
        <v>0.6931174387288711</v>
      </c>
      <c r="F17" s="20">
        <v>0.14693961178766188</v>
      </c>
      <c r="G17" s="20">
        <v>3.7483008678977532E-2</v>
      </c>
      <c r="H17" s="20">
        <v>0</v>
      </c>
      <c r="I17" s="20">
        <v>0.50869481826223173</v>
      </c>
      <c r="J17" s="20">
        <v>4.175714563842965E-3</v>
      </c>
      <c r="K17" s="20">
        <v>0.30070944841965813</v>
      </c>
      <c r="L17" s="20">
        <v>0</v>
      </c>
    </row>
    <row r="18" spans="1:12">
      <c r="A18" s="2" t="s">
        <v>381</v>
      </c>
      <c r="B18" s="3" t="s">
        <v>382</v>
      </c>
      <c r="D18" s="20">
        <v>3.9876162108416099E-8</v>
      </c>
      <c r="E18" s="20">
        <v>0.85275296508327347</v>
      </c>
      <c r="F18" s="20">
        <v>0.22971405475862525</v>
      </c>
      <c r="G18" s="20">
        <v>0.62241940364494297</v>
      </c>
      <c r="H18" s="20">
        <v>0</v>
      </c>
      <c r="I18" s="20">
        <v>6.1950667970526692E-4</v>
      </c>
      <c r="J18" s="20">
        <v>6.9623042350628744E-2</v>
      </c>
      <c r="K18" s="20">
        <v>7.7623952689935591E-2</v>
      </c>
      <c r="L18" s="20">
        <v>0</v>
      </c>
    </row>
    <row r="19" spans="1:12">
      <c r="A19" s="2" t="s">
        <v>383</v>
      </c>
      <c r="B19" s="3" t="s">
        <v>384</v>
      </c>
      <c r="D19" s="20">
        <v>1.1763674573922571E-2</v>
      </c>
      <c r="E19" s="20">
        <v>0.91094812286750548</v>
      </c>
      <c r="F19" s="20">
        <v>6.280832574084726E-3</v>
      </c>
      <c r="G19" s="20">
        <v>2.1082046751929721E-3</v>
      </c>
      <c r="H19" s="20">
        <v>0</v>
      </c>
      <c r="I19" s="20">
        <v>0.90255908561822773</v>
      </c>
      <c r="J19" s="20">
        <v>7.5931459871718941E-4</v>
      </c>
      <c r="K19" s="20">
        <v>7.6528887959854852E-2</v>
      </c>
      <c r="L19" s="20">
        <v>0</v>
      </c>
    </row>
    <row r="20" spans="1:12">
      <c r="A20" s="2" t="s">
        <v>385</v>
      </c>
      <c r="B20" s="3" t="s">
        <v>386</v>
      </c>
      <c r="D20" s="20">
        <v>2.1962386314007005E-2</v>
      </c>
      <c r="E20" s="20">
        <v>0.87600412239905545</v>
      </c>
      <c r="F20" s="20">
        <v>1.1198342373960045E-2</v>
      </c>
      <c r="G20" s="20">
        <v>3.5896267812394384E-3</v>
      </c>
      <c r="H20" s="20">
        <v>0</v>
      </c>
      <c r="I20" s="20">
        <v>0.86121615324385592</v>
      </c>
      <c r="J20" s="20">
        <v>8.8441356056266477E-4</v>
      </c>
      <c r="K20" s="20">
        <v>0.10114907772637503</v>
      </c>
      <c r="L20" s="20">
        <v>0</v>
      </c>
    </row>
    <row r="21" spans="1:12">
      <c r="A21" s="2" t="s">
        <v>387</v>
      </c>
      <c r="B21" s="3" t="s">
        <v>388</v>
      </c>
      <c r="D21" s="20">
        <v>1.8556424042918045E-3</v>
      </c>
      <c r="E21" s="20">
        <v>0.92541953817157308</v>
      </c>
      <c r="F21" s="20">
        <v>0.78793664126057716</v>
      </c>
      <c r="G21" s="20">
        <v>3.1798780070393003E-2</v>
      </c>
      <c r="H21" s="20">
        <v>0</v>
      </c>
      <c r="I21" s="20">
        <v>0.10568411684060287</v>
      </c>
      <c r="J21" s="20">
        <v>4.3772476762539442E-3</v>
      </c>
      <c r="K21" s="20">
        <v>6.8347571747881197E-2</v>
      </c>
      <c r="L21" s="20">
        <v>0</v>
      </c>
    </row>
    <row r="22" spans="1:12">
      <c r="A22" s="2" t="s">
        <v>295</v>
      </c>
      <c r="B22" s="3" t="s">
        <v>296</v>
      </c>
      <c r="D22" s="20">
        <v>6.5515022453538865E-2</v>
      </c>
      <c r="E22" s="20">
        <v>0.90433019350664734</v>
      </c>
      <c r="F22" s="20">
        <v>1.0125468084210489E-3</v>
      </c>
      <c r="G22" s="20">
        <v>3.8878604177519584E-4</v>
      </c>
      <c r="H22" s="20">
        <v>0</v>
      </c>
      <c r="I22" s="20">
        <v>0.90292886065645106</v>
      </c>
      <c r="J22" s="20">
        <v>5.8669243597674785E-4</v>
      </c>
      <c r="K22" s="20">
        <v>2.9568091603837048E-2</v>
      </c>
      <c r="L22" s="20">
        <v>0</v>
      </c>
    </row>
    <row r="23" spans="1:12">
      <c r="A23" s="2" t="s">
        <v>389</v>
      </c>
      <c r="B23" s="3" t="s">
        <v>390</v>
      </c>
      <c r="D23" s="20">
        <v>6.8851680048090419E-2</v>
      </c>
      <c r="E23" s="20">
        <v>0.76497414887313497</v>
      </c>
      <c r="F23" s="20">
        <v>3.3588356714226129E-2</v>
      </c>
      <c r="G23" s="20">
        <v>9.801314214190537E-3</v>
      </c>
      <c r="H23" s="20">
        <v>0</v>
      </c>
      <c r="I23" s="20">
        <v>0.72158447794471836</v>
      </c>
      <c r="J23" s="20">
        <v>1.4349748356098885E-3</v>
      </c>
      <c r="K23" s="20">
        <v>0.16473919624316458</v>
      </c>
      <c r="L23" s="20">
        <v>0</v>
      </c>
    </row>
    <row r="24" spans="1:12">
      <c r="A24" s="2" t="s">
        <v>391</v>
      </c>
      <c r="B24" s="3" t="s">
        <v>392</v>
      </c>
      <c r="D24" s="20">
        <v>1.9581781267749747E-3</v>
      </c>
      <c r="E24" s="20">
        <v>0.66278484556011308</v>
      </c>
      <c r="F24" s="20">
        <v>0.23042330951246104</v>
      </c>
      <c r="G24" s="20">
        <v>5.5618844930119177E-2</v>
      </c>
      <c r="H24" s="20">
        <v>0</v>
      </c>
      <c r="I24" s="20">
        <v>0.37674269111753284</v>
      </c>
      <c r="J24" s="20">
        <v>6.0002954206477442E-3</v>
      </c>
      <c r="K24" s="20">
        <v>0.32925668089246435</v>
      </c>
      <c r="L24" s="20">
        <v>0</v>
      </c>
    </row>
    <row r="25" spans="1:12">
      <c r="A25" s="2" t="s">
        <v>393</v>
      </c>
      <c r="B25" s="3" t="s">
        <v>394</v>
      </c>
      <c r="D25" s="20">
        <v>1.8430918878115294E-4</v>
      </c>
      <c r="E25" s="20">
        <v>0.84992936232735772</v>
      </c>
      <c r="F25" s="20">
        <v>0.27505605037258429</v>
      </c>
      <c r="G25" s="20">
        <v>0.57400643066764845</v>
      </c>
      <c r="H25" s="20">
        <v>0</v>
      </c>
      <c r="I25" s="20">
        <v>8.6688128712496401E-4</v>
      </c>
      <c r="J25" s="20">
        <v>6.3979163246221882E-2</v>
      </c>
      <c r="K25" s="20">
        <v>8.5907165237639097E-2</v>
      </c>
      <c r="L25" s="20">
        <v>0</v>
      </c>
    </row>
    <row r="26" spans="1:12">
      <c r="A26" s="2" t="s">
        <v>395</v>
      </c>
      <c r="B26" s="3" t="s">
        <v>396</v>
      </c>
      <c r="D26" s="20">
        <v>0.1320099918908155</v>
      </c>
      <c r="E26" s="20">
        <v>0.59754173452233683</v>
      </c>
      <c r="F26" s="20">
        <v>0.38026032869897303</v>
      </c>
      <c r="G26" s="20">
        <v>8.2030729667726607E-2</v>
      </c>
      <c r="H26" s="20">
        <v>0</v>
      </c>
      <c r="I26" s="20">
        <v>0.13525067615563721</v>
      </c>
      <c r="J26" s="20">
        <v>8.6967578829953984E-3</v>
      </c>
      <c r="K26" s="20">
        <v>0.2617515157038523</v>
      </c>
      <c r="L26" s="20">
        <v>0</v>
      </c>
    </row>
    <row r="27" spans="1:12">
      <c r="A27" s="2" t="s">
        <v>397</v>
      </c>
      <c r="B27" s="3" t="s">
        <v>398</v>
      </c>
      <c r="D27" s="20">
        <v>0.60109636451840176</v>
      </c>
      <c r="E27" s="20">
        <v>0.3174537471254269</v>
      </c>
      <c r="F27" s="20">
        <v>0.25329015876748884</v>
      </c>
      <c r="G27" s="20">
        <v>4.8118698436628617E-2</v>
      </c>
      <c r="H27" s="20">
        <v>0</v>
      </c>
      <c r="I27" s="20">
        <v>1.6044889921309459E-2</v>
      </c>
      <c r="J27" s="20">
        <v>5.1319724463719709E-3</v>
      </c>
      <c r="K27" s="20">
        <v>7.6317915909799403E-2</v>
      </c>
      <c r="L27" s="20">
        <v>0</v>
      </c>
    </row>
    <row r="28" spans="1:12">
      <c r="A28" s="2" t="s">
        <v>399</v>
      </c>
      <c r="B28" s="3" t="s">
        <v>400</v>
      </c>
      <c r="D28" s="20">
        <v>0.76486287546152465</v>
      </c>
      <c r="E28" s="20">
        <v>0.16598210144982761</v>
      </c>
      <c r="F28" s="20">
        <v>0.11309874785111826</v>
      </c>
      <c r="G28" s="20">
        <v>2.3820635964882465E-2</v>
      </c>
      <c r="H28" s="20">
        <v>0</v>
      </c>
      <c r="I28" s="20">
        <v>2.9062717633826882E-2</v>
      </c>
      <c r="J28" s="20">
        <v>2.525610780281161E-3</v>
      </c>
      <c r="K28" s="20">
        <v>6.6629412308366567E-2</v>
      </c>
      <c r="L28" s="20">
        <v>0</v>
      </c>
    </row>
    <row r="29" spans="1:12">
      <c r="A29" s="2" t="s">
        <v>297</v>
      </c>
      <c r="B29" s="3" t="s">
        <v>298</v>
      </c>
      <c r="D29" s="20">
        <v>0.93155641033409731</v>
      </c>
      <c r="E29" s="20">
        <v>6.0460559983600323E-2</v>
      </c>
      <c r="F29" s="20">
        <v>9.8783264353917411E-4</v>
      </c>
      <c r="G29" s="20">
        <v>3.1087008287235095E-4</v>
      </c>
      <c r="H29" s="20">
        <v>0</v>
      </c>
      <c r="I29" s="20">
        <v>5.9161857257188796E-2</v>
      </c>
      <c r="J29" s="20">
        <v>6.7288979456763399E-5</v>
      </c>
      <c r="K29" s="20">
        <v>7.9157407028453836E-3</v>
      </c>
      <c r="L29" s="20">
        <v>0</v>
      </c>
    </row>
    <row r="30" spans="1:12">
      <c r="A30" s="2" t="s">
        <v>401</v>
      </c>
      <c r="B30" s="3" t="s">
        <v>402</v>
      </c>
      <c r="D30" s="20">
        <v>0.90828879122425632</v>
      </c>
      <c r="E30" s="20">
        <v>6.4346693321667023E-2</v>
      </c>
      <c r="F30" s="20">
        <v>4.3221334268295004E-2</v>
      </c>
      <c r="G30" s="20">
        <v>9.1536378254507798E-3</v>
      </c>
      <c r="H30" s="20">
        <v>0</v>
      </c>
      <c r="I30" s="20">
        <v>1.1971721227921239E-2</v>
      </c>
      <c r="J30" s="20">
        <v>9.7044597385818269E-4</v>
      </c>
      <c r="K30" s="20">
        <v>2.6394069480218395E-2</v>
      </c>
      <c r="L30" s="20">
        <v>0</v>
      </c>
    </row>
    <row r="31" spans="1:12">
      <c r="A31" s="2" t="s">
        <v>299</v>
      </c>
      <c r="B31" s="3" t="s">
        <v>300</v>
      </c>
      <c r="D31" s="20">
        <v>0.99802545583444091</v>
      </c>
      <c r="E31" s="20">
        <v>1.3154754149039176E-3</v>
      </c>
      <c r="F31" s="20">
        <v>7.0829770321346357E-4</v>
      </c>
      <c r="G31" s="20">
        <v>1.5940846832687071E-4</v>
      </c>
      <c r="H31" s="20">
        <v>0</v>
      </c>
      <c r="I31" s="20">
        <v>4.4776924336358323E-4</v>
      </c>
      <c r="J31" s="20">
        <v>1.6937184818898027E-5</v>
      </c>
      <c r="K31" s="20">
        <v>6.4213156583605357E-4</v>
      </c>
      <c r="L31" s="20">
        <v>0</v>
      </c>
    </row>
    <row r="32" spans="1:12">
      <c r="A32" s="2" t="s">
        <v>343</v>
      </c>
      <c r="B32" s="3" t="s">
        <v>344</v>
      </c>
      <c r="D32" s="20">
        <v>1.9570676373247054E-3</v>
      </c>
      <c r="E32" s="20">
        <v>0.71128886449397122</v>
      </c>
      <c r="F32" s="20">
        <v>0.11986159436532673</v>
      </c>
      <c r="G32" s="20">
        <v>3.1259037798507916E-2</v>
      </c>
      <c r="H32" s="20">
        <v>0</v>
      </c>
      <c r="I32" s="20">
        <v>0.56016823233013657</v>
      </c>
      <c r="J32" s="20">
        <v>3.5573366779627627E-3</v>
      </c>
      <c r="K32" s="20">
        <v>0.2831967311907414</v>
      </c>
      <c r="L32" s="20">
        <v>0</v>
      </c>
    </row>
    <row r="33" spans="1:12">
      <c r="A33" s="2" t="s">
        <v>345</v>
      </c>
      <c r="B33" s="3" t="s">
        <v>346</v>
      </c>
      <c r="D33" s="20">
        <v>8.3481685923832825E-5</v>
      </c>
      <c r="E33" s="20">
        <v>0.78223626331173268</v>
      </c>
      <c r="F33" s="20">
        <v>5.7209140889499389E-2</v>
      </c>
      <c r="G33" s="20">
        <v>1.6031013556717065E-2</v>
      </c>
      <c r="H33" s="20">
        <v>0</v>
      </c>
      <c r="I33" s="20">
        <v>0.70899610886551623</v>
      </c>
      <c r="J33" s="20">
        <v>2.0679154920897739E-3</v>
      </c>
      <c r="K33" s="20">
        <v>0.2156123395102538</v>
      </c>
      <c r="L33" s="20">
        <v>0</v>
      </c>
    </row>
    <row r="34" spans="1:12">
      <c r="A34" s="2" t="s">
        <v>347</v>
      </c>
      <c r="B34" s="3" t="s">
        <v>348</v>
      </c>
      <c r="D34" s="20">
        <v>7.1803861521055155E-5</v>
      </c>
      <c r="E34" s="20">
        <v>0.68135885646464756</v>
      </c>
      <c r="F34" s="20">
        <v>0.4176591646951488</v>
      </c>
      <c r="G34" s="20">
        <v>9.1099830922576383E-2</v>
      </c>
      <c r="H34" s="20">
        <v>0</v>
      </c>
      <c r="I34" s="20">
        <v>0.17259986084692236</v>
      </c>
      <c r="J34" s="20">
        <v>9.6605957891870171E-3</v>
      </c>
      <c r="K34" s="20">
        <v>0.30890874388464429</v>
      </c>
      <c r="L34" s="20">
        <v>0</v>
      </c>
    </row>
    <row r="35" spans="1:12">
      <c r="A35" s="2" t="s">
        <v>349</v>
      </c>
      <c r="B35" s="3" t="s">
        <v>350</v>
      </c>
      <c r="D35" s="20">
        <v>1.3105008482030028E-2</v>
      </c>
      <c r="E35" s="20">
        <v>0.82943302808281494</v>
      </c>
      <c r="F35" s="20">
        <v>0.68566427365811744</v>
      </c>
      <c r="G35" s="20">
        <v>0.12325571820116678</v>
      </c>
      <c r="H35" s="20">
        <v>0</v>
      </c>
      <c r="I35" s="20">
        <v>2.0513036223530769E-2</v>
      </c>
      <c r="J35" s="20">
        <v>1.32106729151768E-2</v>
      </c>
      <c r="K35" s="20">
        <v>0.14425129051997818</v>
      </c>
      <c r="L35" s="20">
        <v>0</v>
      </c>
    </row>
    <row r="36" spans="1:12">
      <c r="A36" s="2" t="s">
        <v>351</v>
      </c>
      <c r="B36" s="3" t="s">
        <v>352</v>
      </c>
      <c r="D36" s="20">
        <v>3.5136764834280343E-4</v>
      </c>
      <c r="E36" s="20">
        <v>0.8550116889682946</v>
      </c>
      <c r="F36" s="20">
        <v>0.58188342555536343</v>
      </c>
      <c r="G36" s="20">
        <v>0.26861579253065304</v>
      </c>
      <c r="H36" s="20">
        <v>0</v>
      </c>
      <c r="I36" s="20">
        <v>4.5124708822781639E-3</v>
      </c>
      <c r="J36" s="20">
        <v>2.9332996703917851E-2</v>
      </c>
      <c r="K36" s="20">
        <v>0.11530394667944478</v>
      </c>
      <c r="L36" s="20">
        <v>0</v>
      </c>
    </row>
    <row r="37" spans="1:12">
      <c r="A37" s="2" t="s">
        <v>353</v>
      </c>
      <c r="B37" s="3" t="s">
        <v>354</v>
      </c>
      <c r="D37" s="20">
        <v>2.347093973974008E-3</v>
      </c>
      <c r="E37" s="20">
        <v>0.84994555666655991</v>
      </c>
      <c r="F37" s="20">
        <v>0.24127076059669114</v>
      </c>
      <c r="G37" s="20">
        <v>0.60799533728361921</v>
      </c>
      <c r="H37" s="20">
        <v>0</v>
      </c>
      <c r="I37" s="20">
        <v>6.7945878624955957E-4</v>
      </c>
      <c r="J37" s="20">
        <v>6.7942255744537411E-2</v>
      </c>
      <c r="K37" s="20">
        <v>7.9765093614928659E-2</v>
      </c>
      <c r="L37" s="20">
        <v>0</v>
      </c>
    </row>
    <row r="38" spans="1:12">
      <c r="A38" s="2" t="s">
        <v>355</v>
      </c>
      <c r="B38" s="3" t="s">
        <v>356</v>
      </c>
      <c r="D38" s="20">
        <v>1.3056444698310307E-4</v>
      </c>
      <c r="E38" s="20">
        <v>0.84819336707431214</v>
      </c>
      <c r="F38" s="20">
        <v>0.45740314720325748</v>
      </c>
      <c r="G38" s="20">
        <v>0.38832442142725615</v>
      </c>
      <c r="H38" s="20">
        <v>0</v>
      </c>
      <c r="I38" s="20">
        <v>2.4657984437985248E-3</v>
      </c>
      <c r="J38" s="20">
        <v>4.2756143281933771E-2</v>
      </c>
      <c r="K38" s="20">
        <v>0.10891992519677104</v>
      </c>
      <c r="L38" s="20">
        <v>0</v>
      </c>
    </row>
    <row r="39" spans="1:12">
      <c r="A39" s="2" t="s">
        <v>357</v>
      </c>
      <c r="B39" s="3" t="s">
        <v>358</v>
      </c>
      <c r="D39" s="20">
        <v>2.6515707914422385E-2</v>
      </c>
      <c r="E39" s="20">
        <v>0.83003847648072315</v>
      </c>
      <c r="F39" s="20">
        <v>0.53330719297240625</v>
      </c>
      <c r="G39" s="20">
        <v>0.29300362716939832</v>
      </c>
      <c r="H39" s="20">
        <v>0</v>
      </c>
      <c r="I39" s="20">
        <v>3.7276563389185475E-3</v>
      </c>
      <c r="J39" s="20">
        <v>3.2071351548802751E-2</v>
      </c>
      <c r="K39" s="20">
        <v>0.11137446405605168</v>
      </c>
      <c r="L39" s="20">
        <v>0</v>
      </c>
    </row>
    <row r="40" spans="1:12">
      <c r="A40" s="2" t="s">
        <v>359</v>
      </c>
      <c r="B40" s="3" t="s">
        <v>360</v>
      </c>
      <c r="D40" s="20">
        <v>1.3056444698310307E-4</v>
      </c>
      <c r="E40" s="20">
        <v>0.84819336707431214</v>
      </c>
      <c r="F40" s="20">
        <v>0.45740314720325748</v>
      </c>
      <c r="G40" s="20">
        <v>0.38832442142725615</v>
      </c>
      <c r="H40" s="20">
        <v>0</v>
      </c>
      <c r="I40" s="20">
        <v>2.4657984437985248E-3</v>
      </c>
      <c r="J40" s="20">
        <v>4.2756143281933771E-2</v>
      </c>
      <c r="K40" s="20">
        <v>0.10891992519677104</v>
      </c>
      <c r="L40" s="20">
        <v>0</v>
      </c>
    </row>
    <row r="41" spans="1:12">
      <c r="A41" s="2" t="s">
        <v>313</v>
      </c>
      <c r="B41" s="3" t="s">
        <v>314</v>
      </c>
      <c r="D41" s="20">
        <v>5.6084832933012755E-8</v>
      </c>
      <c r="E41" s="20">
        <v>0.99914473989447861</v>
      </c>
      <c r="F41" s="20">
        <v>4.5513187657822751E-2</v>
      </c>
      <c r="G41" s="20">
        <v>1.0830731849643345E-5</v>
      </c>
      <c r="H41" s="20">
        <v>0</v>
      </c>
      <c r="I41" s="20">
        <v>0.95362072150480626</v>
      </c>
      <c r="J41" s="20">
        <v>6.7499752802374798E-4</v>
      </c>
      <c r="K41" s="20">
        <v>1.8020649266458076E-4</v>
      </c>
      <c r="L41" s="20">
        <v>0</v>
      </c>
    </row>
    <row r="42" spans="1:12">
      <c r="A42" s="2" t="s">
        <v>315</v>
      </c>
      <c r="B42" s="3" t="s">
        <v>316</v>
      </c>
      <c r="D42" s="20">
        <v>3.382531621314249E-3</v>
      </c>
      <c r="E42" s="20">
        <v>0.84986853510320537</v>
      </c>
      <c r="F42" s="20">
        <v>0.22893704883367474</v>
      </c>
      <c r="G42" s="20">
        <v>0.62031407506613911</v>
      </c>
      <c r="H42" s="20">
        <v>0</v>
      </c>
      <c r="I42" s="20">
        <v>6.1741120339153777E-4</v>
      </c>
      <c r="J42" s="20">
        <v>6.9387542975214558E-2</v>
      </c>
      <c r="K42" s="20">
        <v>7.7361390300265842E-2</v>
      </c>
      <c r="L42" s="20">
        <v>0</v>
      </c>
    </row>
    <row r="43" spans="1:12">
      <c r="A43" s="2" t="s">
        <v>317</v>
      </c>
      <c r="B43" s="3" t="s">
        <v>318</v>
      </c>
      <c r="D43" s="20">
        <v>4.3884167442578933E-12</v>
      </c>
      <c r="E43" s="20">
        <v>0.66124252978329556</v>
      </c>
      <c r="F43" s="20">
        <v>0.24990910452977347</v>
      </c>
      <c r="G43" s="20">
        <v>5.9659228618805647E-2</v>
      </c>
      <c r="H43" s="20">
        <v>0</v>
      </c>
      <c r="I43" s="20">
        <v>0.3516741966347165</v>
      </c>
      <c r="J43" s="20">
        <v>6.4116170238398178E-3</v>
      </c>
      <c r="K43" s="20">
        <v>0.33234585318847615</v>
      </c>
      <c r="L43" s="20">
        <v>0</v>
      </c>
    </row>
    <row r="44" spans="1:12">
      <c r="A44" s="2" t="s">
        <v>307</v>
      </c>
      <c r="B44" s="3" t="s">
        <v>308</v>
      </c>
      <c r="D44" s="20">
        <v>1.1802422286891826E-4</v>
      </c>
      <c r="E44" s="20">
        <v>0.8644345369957217</v>
      </c>
      <c r="F44" s="20">
        <v>0.66473013007432125</v>
      </c>
      <c r="G44" s="20">
        <v>0.19290386080452482</v>
      </c>
      <c r="H44" s="20">
        <v>0</v>
      </c>
      <c r="I44" s="20">
        <v>6.8005461168756396E-3</v>
      </c>
      <c r="J44" s="20">
        <v>2.0934766294902585E-2</v>
      </c>
      <c r="K44" s="20">
        <v>0.11451267248650678</v>
      </c>
      <c r="L44" s="20">
        <v>0</v>
      </c>
    </row>
    <row r="45" spans="1:12">
      <c r="A45" s="2" t="s">
        <v>319</v>
      </c>
      <c r="B45" s="3" t="s">
        <v>320</v>
      </c>
      <c r="D45" s="20">
        <v>1.098448161969938E-5</v>
      </c>
      <c r="E45" s="20">
        <v>0.86054767738617555</v>
      </c>
      <c r="F45" s="20">
        <v>0.1455304195513987</v>
      </c>
      <c r="G45" s="20">
        <v>0.71474205544107905</v>
      </c>
      <c r="H45" s="20">
        <v>0</v>
      </c>
      <c r="I45" s="20">
        <v>2.7520239369778547E-4</v>
      </c>
      <c r="J45" s="20">
        <v>8.0602787354215305E-2</v>
      </c>
      <c r="K45" s="20">
        <v>5.8838550777989364E-2</v>
      </c>
      <c r="L45" s="20">
        <v>0</v>
      </c>
    </row>
    <row r="46" spans="1:12">
      <c r="A46" s="2" t="s">
        <v>321</v>
      </c>
      <c r="B46" s="3" t="s">
        <v>322</v>
      </c>
      <c r="D46" s="20">
        <v>1.6260492759540257E-5</v>
      </c>
      <c r="E46" s="20">
        <v>0.85376541919469551</v>
      </c>
      <c r="F46" s="20">
        <v>0.2156790278133294</v>
      </c>
      <c r="G46" s="20">
        <v>0.63753417874184748</v>
      </c>
      <c r="H46" s="20">
        <v>0</v>
      </c>
      <c r="I46" s="20">
        <v>5.5221263951857498E-4</v>
      </c>
      <c r="J46" s="20">
        <v>7.1398596077734938E-2</v>
      </c>
      <c r="K46" s="20">
        <v>7.4819724234810134E-2</v>
      </c>
      <c r="L46" s="20">
        <v>0</v>
      </c>
    </row>
    <row r="47" spans="1:12">
      <c r="A47" s="2" t="s">
        <v>323</v>
      </c>
      <c r="B47" s="3" t="s">
        <v>324</v>
      </c>
      <c r="D47" s="20">
        <v>1.5466552159897651E-4</v>
      </c>
      <c r="E47" s="20">
        <v>0.84794704268081034</v>
      </c>
      <c r="F47" s="20">
        <v>0.33057326362755651</v>
      </c>
      <c r="G47" s="20">
        <v>0.51613496492096733</v>
      </c>
      <c r="H47" s="20">
        <v>0</v>
      </c>
      <c r="I47" s="20">
        <v>1.2388141322865057E-3</v>
      </c>
      <c r="J47" s="20">
        <v>5.7301608127774406E-2</v>
      </c>
      <c r="K47" s="20">
        <v>9.459668366981612E-2</v>
      </c>
      <c r="L47" s="20">
        <v>0</v>
      </c>
    </row>
    <row r="48" spans="1:12">
      <c r="A48" s="2" t="s">
        <v>325</v>
      </c>
      <c r="B48" s="3" t="s">
        <v>326</v>
      </c>
      <c r="D48" s="20">
        <v>1.0039048996011448E-4</v>
      </c>
      <c r="E48" s="20">
        <v>0.76644922238612212</v>
      </c>
      <c r="F48" s="20">
        <v>0.59151639812472734</v>
      </c>
      <c r="G48" s="20">
        <v>0.11616153547505213</v>
      </c>
      <c r="H48" s="20">
        <v>0</v>
      </c>
      <c r="I48" s="20">
        <v>5.8771288786342656E-2</v>
      </c>
      <c r="J48" s="20">
        <v>1.2357396289638228E-2</v>
      </c>
      <c r="K48" s="20">
        <v>0.2210929908342795</v>
      </c>
      <c r="L48" s="20">
        <v>0</v>
      </c>
    </row>
    <row r="49" spans="1:12">
      <c r="A49" s="2" t="s">
        <v>275</v>
      </c>
      <c r="B49" s="3" t="s">
        <v>276</v>
      </c>
      <c r="D49" s="20">
        <v>1.5145926315361625E-6</v>
      </c>
      <c r="E49" s="20">
        <v>0.86260566520855675</v>
      </c>
      <c r="F49" s="20">
        <v>0.6503843082689833</v>
      </c>
      <c r="G49" s="20">
        <v>0.20590439180008732</v>
      </c>
      <c r="H49" s="20">
        <v>0</v>
      </c>
      <c r="I49" s="20">
        <v>6.3169651394860806E-3</v>
      </c>
      <c r="J49" s="20">
        <v>2.2371528494442679E-2</v>
      </c>
      <c r="K49" s="20">
        <v>0.11502129170436899</v>
      </c>
      <c r="L49" s="20">
        <v>0</v>
      </c>
    </row>
    <row r="50" spans="1:12">
      <c r="A50" s="2" t="s">
        <v>327</v>
      </c>
      <c r="B50" s="3" t="s">
        <v>328</v>
      </c>
      <c r="D50" s="20">
        <v>7.8722863665933973E-5</v>
      </c>
      <c r="E50" s="20">
        <v>0.85951274118673371</v>
      </c>
      <c r="F50" s="20">
        <v>0.62513684810063208</v>
      </c>
      <c r="G50" s="20">
        <v>0.22880770977386714</v>
      </c>
      <c r="H50" s="20">
        <v>0</v>
      </c>
      <c r="I50" s="20">
        <v>5.5681833122344492E-3</v>
      </c>
      <c r="J50" s="20">
        <v>2.4908190101497637E-2</v>
      </c>
      <c r="K50" s="20">
        <v>0.11550034584810268</v>
      </c>
      <c r="L50" s="20">
        <v>0</v>
      </c>
    </row>
    <row r="51" spans="1:12">
      <c r="A51" s="2" t="s">
        <v>329</v>
      </c>
      <c r="B51" s="3" t="s">
        <v>330</v>
      </c>
      <c r="D51" s="20">
        <v>5.2503462232431329E-5</v>
      </c>
      <c r="E51" s="20">
        <v>0.80051727206204504</v>
      </c>
      <c r="F51" s="20">
        <v>0.64159675373108749</v>
      </c>
      <c r="G51" s="20">
        <v>0.12121537608275489</v>
      </c>
      <c r="H51" s="20">
        <v>0</v>
      </c>
      <c r="I51" s="20">
        <v>3.7705142248202636E-2</v>
      </c>
      <c r="J51" s="20">
        <v>1.2933871318098906E-2</v>
      </c>
      <c r="K51" s="20">
        <v>0.1864963531576235</v>
      </c>
      <c r="L51" s="20">
        <v>0</v>
      </c>
    </row>
    <row r="52" spans="1:12">
      <c r="A52" s="2" t="s">
        <v>277</v>
      </c>
      <c r="B52" s="3" t="s">
        <v>278</v>
      </c>
      <c r="D52" s="20">
        <v>1.5624486374042162E-4</v>
      </c>
      <c r="E52" s="20">
        <v>0.76970794138627019</v>
      </c>
      <c r="F52" s="20">
        <v>0.59659548801452245</v>
      </c>
      <c r="G52" s="20">
        <v>0.11672812778644871</v>
      </c>
      <c r="H52" s="20">
        <v>0</v>
      </c>
      <c r="I52" s="20">
        <v>5.6384325585299044E-2</v>
      </c>
      <c r="J52" s="20">
        <v>1.2420914711628992E-2</v>
      </c>
      <c r="K52" s="20">
        <v>0.21771489903836055</v>
      </c>
      <c r="L52" s="20">
        <v>0</v>
      </c>
    </row>
    <row r="53" spans="1:12">
      <c r="A53" s="2" t="s">
        <v>331</v>
      </c>
      <c r="B53" s="3" t="s">
        <v>332</v>
      </c>
      <c r="D53" s="20">
        <v>5.2123724225451313E-5</v>
      </c>
      <c r="E53" s="20">
        <v>0.85201496671992794</v>
      </c>
      <c r="F53" s="20">
        <v>0.53902592467098143</v>
      </c>
      <c r="G53" s="20">
        <v>0.30931801082059196</v>
      </c>
      <c r="H53" s="20">
        <v>0</v>
      </c>
      <c r="I53" s="20">
        <v>3.6710312283545249E-3</v>
      </c>
      <c r="J53" s="20">
        <v>3.3876987663508322E-2</v>
      </c>
      <c r="K53" s="20">
        <v>0.11405592189233836</v>
      </c>
      <c r="L53" s="20">
        <v>0</v>
      </c>
    </row>
    <row r="54" spans="1:12">
      <c r="A54" s="2" t="s">
        <v>333</v>
      </c>
      <c r="B54" s="3" t="s">
        <v>334</v>
      </c>
      <c r="D54" s="20">
        <v>8.5786946288779527E-8</v>
      </c>
      <c r="E54" s="20">
        <v>0.86106228646108129</v>
      </c>
      <c r="F54" s="20">
        <v>0.63796290013152657</v>
      </c>
      <c r="G54" s="20">
        <v>0.21716557341680845</v>
      </c>
      <c r="H54" s="20">
        <v>0</v>
      </c>
      <c r="I54" s="20">
        <v>5.9338129127462797E-3</v>
      </c>
      <c r="J54" s="20">
        <v>2.3617899697005808E-2</v>
      </c>
      <c r="K54" s="20">
        <v>0.11531972805496651</v>
      </c>
      <c r="L54" s="20">
        <v>0</v>
      </c>
    </row>
    <row r="55" spans="1:12">
      <c r="A55" s="2" t="s">
        <v>335</v>
      </c>
      <c r="B55" s="3" t="s">
        <v>336</v>
      </c>
      <c r="D55" s="20">
        <v>4.0200545779443695E-4</v>
      </c>
      <c r="E55" s="20">
        <v>0.84760323814916694</v>
      </c>
      <c r="F55" s="20">
        <v>0.33628396871518995</v>
      </c>
      <c r="G55" s="20">
        <v>0.51003704340172706</v>
      </c>
      <c r="H55" s="20">
        <v>0</v>
      </c>
      <c r="I55" s="20">
        <v>1.2822260322499553E-3</v>
      </c>
      <c r="J55" s="20">
        <v>5.660223016942393E-2</v>
      </c>
      <c r="K55" s="20">
        <v>9.5392526223614729E-2</v>
      </c>
      <c r="L55" s="20">
        <v>0</v>
      </c>
    </row>
    <row r="56" spans="1:12">
      <c r="A56" s="2" t="s">
        <v>337</v>
      </c>
      <c r="B56" s="3" t="s">
        <v>338</v>
      </c>
      <c r="D56" s="20">
        <v>3.0303742316634201E-5</v>
      </c>
      <c r="E56" s="20">
        <v>0.8638584300872747</v>
      </c>
      <c r="F56" s="20">
        <v>0.66004033990176914</v>
      </c>
      <c r="G56" s="20">
        <v>0.19718144033401119</v>
      </c>
      <c r="H56" s="20">
        <v>0</v>
      </c>
      <c r="I56" s="20">
        <v>6.6366498514943946E-3</v>
      </c>
      <c r="J56" s="20">
        <v>2.1407239190283683E-2</v>
      </c>
      <c r="K56" s="20">
        <v>0.114704026980125</v>
      </c>
      <c r="L56" s="20">
        <v>0</v>
      </c>
    </row>
    <row r="57" spans="1:12">
      <c r="A57" s="2" t="s">
        <v>279</v>
      </c>
      <c r="B57" s="3" t="s">
        <v>280</v>
      </c>
      <c r="D57" s="20">
        <v>3.0178818803013483E-3</v>
      </c>
      <c r="E57" s="20">
        <v>0.74936928276345005</v>
      </c>
      <c r="F57" s="20">
        <v>0.56594789952329161</v>
      </c>
      <c r="G57" s="20">
        <v>0.11299832549229068</v>
      </c>
      <c r="H57" s="20">
        <v>0</v>
      </c>
      <c r="I57" s="20">
        <v>7.0423057747867779E-2</v>
      </c>
      <c r="J57" s="20">
        <v>1.2007761827998828E-2</v>
      </c>
      <c r="K57" s="20">
        <v>0.23560507352825008</v>
      </c>
      <c r="L57" s="20">
        <v>0</v>
      </c>
    </row>
    <row r="58" spans="1:12">
      <c r="A58" s="2" t="s">
        <v>339</v>
      </c>
      <c r="B58" s="3" t="s">
        <v>340</v>
      </c>
      <c r="D58" s="20">
        <v>3.0060566441614394E-7</v>
      </c>
      <c r="E58" s="20">
        <v>0.86076054895912635</v>
      </c>
      <c r="F58" s="20">
        <v>0.63543535484930813</v>
      </c>
      <c r="G58" s="20">
        <v>0.21946583925683646</v>
      </c>
      <c r="H58" s="20">
        <v>0</v>
      </c>
      <c r="I58" s="20">
        <v>5.8593548529817822E-3</v>
      </c>
      <c r="J58" s="20">
        <v>2.3872691997232607E-2</v>
      </c>
      <c r="K58" s="20">
        <v>0.11536645843797655</v>
      </c>
      <c r="L58" s="20">
        <v>0</v>
      </c>
    </row>
    <row r="59" spans="1:12">
      <c r="A59" s="2" t="s">
        <v>281</v>
      </c>
      <c r="B59" s="3" t="s">
        <v>282</v>
      </c>
      <c r="D59" s="20">
        <v>2.3651753236175284E-5</v>
      </c>
      <c r="E59" s="20">
        <v>0.76981001530492377</v>
      </c>
      <c r="F59" s="20">
        <v>0.59667460482758661</v>
      </c>
      <c r="G59" s="20">
        <v>0.11674360755062888</v>
      </c>
      <c r="H59" s="20">
        <v>0</v>
      </c>
      <c r="I59" s="20">
        <v>5.6391802926708257E-2</v>
      </c>
      <c r="J59" s="20">
        <v>1.2422561896710121E-2</v>
      </c>
      <c r="K59" s="20">
        <v>0.2177437710451299</v>
      </c>
      <c r="L59" s="20">
        <v>0</v>
      </c>
    </row>
    <row r="60" spans="1:12">
      <c r="A60" s="2" t="s">
        <v>341</v>
      </c>
      <c r="B60" s="3" t="s">
        <v>342</v>
      </c>
      <c r="D60" s="20">
        <v>4.3721511662092447E-4</v>
      </c>
      <c r="E60" s="20">
        <v>0.85354478665329325</v>
      </c>
      <c r="F60" s="20">
        <v>0.56489715053938339</v>
      </c>
      <c r="G60" s="20">
        <v>0.28448864674972524</v>
      </c>
      <c r="H60" s="20">
        <v>0</v>
      </c>
      <c r="I60" s="20">
        <v>4.1589893641845932E-3</v>
      </c>
      <c r="J60" s="20">
        <v>3.1102773689835859E-2</v>
      </c>
      <c r="K60" s="20">
        <v>0.11491522454025023</v>
      </c>
      <c r="L60" s="20">
        <v>0</v>
      </c>
    </row>
    <row r="61" spans="1:12">
      <c r="A61" s="2" t="s">
        <v>483</v>
      </c>
      <c r="B61" s="3" t="s">
        <v>484</v>
      </c>
      <c r="D61" s="20">
        <v>7.4711311859343559E-14</v>
      </c>
      <c r="E61" s="20">
        <v>0.78091483405771478</v>
      </c>
      <c r="F61" s="20">
        <v>0.43690133412100712</v>
      </c>
      <c r="G61" s="20">
        <v>7.2794902379260937E-2</v>
      </c>
      <c r="H61" s="20">
        <v>0</v>
      </c>
      <c r="I61" s="20">
        <v>0.27121859755744671</v>
      </c>
      <c r="J61" s="20">
        <v>2.7477183249000708E-2</v>
      </c>
      <c r="K61" s="20">
        <v>0.19160798269320969</v>
      </c>
      <c r="L61" s="20">
        <v>0</v>
      </c>
    </row>
    <row r="62" spans="1:12">
      <c r="A62" s="2" t="s">
        <v>485</v>
      </c>
      <c r="B62" s="3" t="s">
        <v>486</v>
      </c>
      <c r="D62" s="20">
        <v>2.0362552162504479E-7</v>
      </c>
      <c r="E62" s="20">
        <v>0.67717377338652729</v>
      </c>
      <c r="F62" s="20">
        <v>0.40393029315203266</v>
      </c>
      <c r="G62" s="20">
        <v>8.8756870330671894E-2</v>
      </c>
      <c r="H62" s="20">
        <v>0</v>
      </c>
      <c r="I62" s="20">
        <v>0.18448660990382279</v>
      </c>
      <c r="J62" s="20">
        <v>9.414751985285361E-3</v>
      </c>
      <c r="K62" s="20">
        <v>0.31341127100266586</v>
      </c>
      <c r="L62" s="20">
        <v>0</v>
      </c>
    </row>
    <row r="63" spans="1:12">
      <c r="A63" s="2" t="s">
        <v>487</v>
      </c>
      <c r="B63" s="3" t="s">
        <v>488</v>
      </c>
      <c r="D63" s="20">
        <v>7.129673404821497E-13</v>
      </c>
      <c r="E63" s="20">
        <v>0.9552941565361861</v>
      </c>
      <c r="F63" s="20">
        <v>3.17990281197554E-2</v>
      </c>
      <c r="G63" s="20">
        <v>4.1957596229235533E-3</v>
      </c>
      <c r="H63" s="20">
        <v>0</v>
      </c>
      <c r="I63" s="20">
        <v>0.91929936879350715</v>
      </c>
      <c r="J63" s="20">
        <v>4.8397913763493861E-3</v>
      </c>
      <c r="K63" s="20">
        <v>3.9866052086751792E-2</v>
      </c>
      <c r="L63" s="20">
        <v>0</v>
      </c>
    </row>
    <row r="64" spans="1:12">
      <c r="A64" s="2" t="s">
        <v>489</v>
      </c>
      <c r="B64" s="3" t="s">
        <v>490</v>
      </c>
      <c r="D64" s="20">
        <v>1.3180175647146059E-14</v>
      </c>
      <c r="E64" s="20">
        <v>0.9950219939436129</v>
      </c>
      <c r="F64" s="20">
        <v>1.2154852755416262E-2</v>
      </c>
      <c r="G64" s="20">
        <v>1.5091314262854444E-4</v>
      </c>
      <c r="H64" s="20">
        <v>0</v>
      </c>
      <c r="I64" s="20">
        <v>0.98271622804556813</v>
      </c>
      <c r="J64" s="20">
        <v>6.3850604803166171E-4</v>
      </c>
      <c r="K64" s="20">
        <v>4.3395000083422961E-3</v>
      </c>
      <c r="L64" s="20">
        <v>0</v>
      </c>
    </row>
    <row r="65" spans="1:12">
      <c r="A65" s="2" t="s">
        <v>491</v>
      </c>
      <c r="B65" s="3" t="s">
        <v>492</v>
      </c>
      <c r="D65" s="20">
        <v>2.1974830487123348E-12</v>
      </c>
      <c r="E65" s="20">
        <v>0.99707919326756245</v>
      </c>
      <c r="F65" s="20">
        <v>1.5930587145455252E-3</v>
      </c>
      <c r="G65" s="20">
        <v>7.0855783245203895E-5</v>
      </c>
      <c r="H65" s="20">
        <v>0</v>
      </c>
      <c r="I65" s="20">
        <v>0.99541527876977176</v>
      </c>
      <c r="J65" s="20">
        <v>9.8497353097727353E-4</v>
      </c>
      <c r="K65" s="20">
        <v>1.9358331992624868E-3</v>
      </c>
      <c r="L65" s="20">
        <v>0</v>
      </c>
    </row>
    <row r="66" spans="1:12">
      <c r="A66" s="2" t="s">
        <v>493</v>
      </c>
      <c r="B66" s="3" t="s">
        <v>494</v>
      </c>
      <c r="D66" s="20">
        <v>2.7916962126176508E-11</v>
      </c>
      <c r="E66" s="20">
        <v>0.94850923398154174</v>
      </c>
      <c r="F66" s="20">
        <v>0.1949841521142501</v>
      </c>
      <c r="G66" s="20">
        <v>4.8866603381501599E-3</v>
      </c>
      <c r="H66" s="20">
        <v>0</v>
      </c>
      <c r="I66" s="20">
        <v>0.74863842152914151</v>
      </c>
      <c r="J66" s="20">
        <v>3.4700994566199121E-2</v>
      </c>
      <c r="K66" s="20">
        <v>1.6789771424342143E-2</v>
      </c>
      <c r="L66" s="20">
        <v>0</v>
      </c>
    </row>
    <row r="67" spans="1:12">
      <c r="A67" s="2" t="s">
        <v>495</v>
      </c>
      <c r="B67" s="3" t="s">
        <v>496</v>
      </c>
      <c r="D67" s="20">
        <v>1.7168101584294082E-12</v>
      </c>
      <c r="E67" s="20">
        <v>0.99690228484558308</v>
      </c>
      <c r="F67" s="20">
        <v>1.3434027683353245E-3</v>
      </c>
      <c r="G67" s="20">
        <v>7.3438056157256007E-5</v>
      </c>
      <c r="H67" s="20">
        <v>0</v>
      </c>
      <c r="I67" s="20">
        <v>0.99548544402109052</v>
      </c>
      <c r="J67" s="20">
        <v>9.2083859036974592E-4</v>
      </c>
      <c r="K67" s="20">
        <v>2.1768765623302344E-3</v>
      </c>
      <c r="L67" s="20">
        <v>0</v>
      </c>
    </row>
    <row r="68" spans="1:12">
      <c r="A68" s="2" t="s">
        <v>497</v>
      </c>
      <c r="B68" s="3" t="s">
        <v>498</v>
      </c>
      <c r="D68" s="20">
        <v>1.5543606498302215E-11</v>
      </c>
      <c r="E68" s="20">
        <v>0.99847134598819365</v>
      </c>
      <c r="F68" s="20">
        <v>1.5995167846213882E-4</v>
      </c>
      <c r="G68" s="20">
        <v>1.2341128592715941E-5</v>
      </c>
      <c r="H68" s="20">
        <v>0</v>
      </c>
      <c r="I68" s="20">
        <v>0.99829905318113876</v>
      </c>
      <c r="J68" s="20">
        <v>6.4811720202804797E-4</v>
      </c>
      <c r="K68" s="20">
        <v>8.8053679423466156E-4</v>
      </c>
      <c r="L68" s="20">
        <v>0</v>
      </c>
    </row>
    <row r="69" spans="1:12">
      <c r="A69" s="2" t="s">
        <v>499</v>
      </c>
      <c r="B69" s="3" t="s">
        <v>500</v>
      </c>
      <c r="D69" s="20">
        <v>7.5510376628201786E-12</v>
      </c>
      <c r="E69" s="20">
        <v>0.86732810115302517</v>
      </c>
      <c r="F69" s="20">
        <v>0.68386574651421739</v>
      </c>
      <c r="G69" s="20">
        <v>0.17594478816544049</v>
      </c>
      <c r="H69" s="20">
        <v>0</v>
      </c>
      <c r="I69" s="20">
        <v>7.5175664733672506E-3</v>
      </c>
      <c r="J69" s="20">
        <v>1.9063866707800116E-2</v>
      </c>
      <c r="K69" s="20">
        <v>0.11360803213162386</v>
      </c>
      <c r="L69" s="20">
        <v>0</v>
      </c>
    </row>
    <row r="70" spans="1:12">
      <c r="A70" s="2" t="s">
        <v>501</v>
      </c>
      <c r="B70" s="3" t="s">
        <v>411</v>
      </c>
      <c r="D70" s="20">
        <v>2.7862174803128871E-13</v>
      </c>
      <c r="E70" s="20">
        <v>0.99928970309526433</v>
      </c>
      <c r="F70" s="20">
        <v>3.0233555765170065E-2</v>
      </c>
      <c r="G70" s="20">
        <v>2.8733256625337309E-6</v>
      </c>
      <c r="H70" s="20">
        <v>0</v>
      </c>
      <c r="I70" s="20">
        <v>0.96905327400443175</v>
      </c>
      <c r="J70" s="20">
        <v>6.5350355503191457E-4</v>
      </c>
      <c r="K70" s="20">
        <v>5.6793349425023756E-5</v>
      </c>
      <c r="L70" s="20">
        <v>0</v>
      </c>
    </row>
    <row r="71" spans="1:12">
      <c r="A71" s="2" t="s">
        <v>502</v>
      </c>
      <c r="B71" s="3" t="s">
        <v>412</v>
      </c>
      <c r="D71" s="20">
        <v>1.2725620333619408E-8</v>
      </c>
      <c r="E71" s="20">
        <v>0.99923334306323686</v>
      </c>
      <c r="F71" s="20">
        <v>5.6357745454338817E-2</v>
      </c>
      <c r="G71" s="20">
        <v>5.121768267655213E-6</v>
      </c>
      <c r="H71" s="20">
        <v>0</v>
      </c>
      <c r="I71" s="20">
        <v>0.94287047584063033</v>
      </c>
      <c r="J71" s="20">
        <v>6.8885263772500041E-4</v>
      </c>
      <c r="K71" s="20">
        <v>7.7791573418081804E-5</v>
      </c>
      <c r="L71" s="20">
        <v>0</v>
      </c>
    </row>
    <row r="72" spans="1:12">
      <c r="A72" s="2" t="s">
        <v>503</v>
      </c>
      <c r="B72" s="3" t="s">
        <v>413</v>
      </c>
      <c r="D72" s="20">
        <v>1.7050042160193541E-10</v>
      </c>
      <c r="E72" s="20">
        <v>0.98854061456376885</v>
      </c>
      <c r="F72" s="20">
        <v>0.98423701502475736</v>
      </c>
      <c r="G72" s="20">
        <v>4.5202666346089149E-4</v>
      </c>
      <c r="H72" s="20">
        <v>0</v>
      </c>
      <c r="I72" s="20">
        <v>3.8515728755505923E-3</v>
      </c>
      <c r="J72" s="20">
        <v>1.1372233401047467E-2</v>
      </c>
      <c r="K72" s="20">
        <v>8.715186468342029E-5</v>
      </c>
      <c r="L72" s="20">
        <v>0</v>
      </c>
    </row>
    <row r="73" spans="1:12">
      <c r="A73" s="2" t="s">
        <v>504</v>
      </c>
      <c r="B73" s="3" t="s">
        <v>414</v>
      </c>
      <c r="D73" s="20">
        <v>2.2485567514137835E-10</v>
      </c>
      <c r="E73" s="20">
        <v>0.99856633772805814</v>
      </c>
      <c r="F73" s="20">
        <v>0.9624498072704688</v>
      </c>
      <c r="G73" s="20">
        <v>5.5634277070859416E-5</v>
      </c>
      <c r="H73" s="20">
        <v>0</v>
      </c>
      <c r="I73" s="20">
        <v>3.6060896180518484E-2</v>
      </c>
      <c r="J73" s="20">
        <v>1.3623348628860334E-3</v>
      </c>
      <c r="K73" s="20">
        <v>7.1327184200227801E-5</v>
      </c>
      <c r="L73" s="20">
        <v>0</v>
      </c>
    </row>
    <row r="74" spans="1:12">
      <c r="A74" s="2" t="s">
        <v>505</v>
      </c>
      <c r="B74" s="3" t="s">
        <v>415</v>
      </c>
      <c r="D74" s="20">
        <v>1.5731927561277665E-9</v>
      </c>
      <c r="E74" s="20">
        <v>0.99924385114999814</v>
      </c>
      <c r="F74" s="20">
        <v>5.1269156776580213E-2</v>
      </c>
      <c r="G74" s="20">
        <v>4.6797271654963592E-6</v>
      </c>
      <c r="H74" s="20">
        <v>0</v>
      </c>
      <c r="I74" s="20">
        <v>0.94797001464625241</v>
      </c>
      <c r="J74" s="20">
        <v>6.8212998950104248E-4</v>
      </c>
      <c r="K74" s="20">
        <v>7.4017287307870413E-5</v>
      </c>
      <c r="L74" s="20">
        <v>0</v>
      </c>
    </row>
    <row r="75" spans="1:12">
      <c r="A75" s="2" t="s">
        <v>506</v>
      </c>
      <c r="B75" s="3" t="s">
        <v>416</v>
      </c>
      <c r="D75" s="20">
        <v>9.6495455647191102E-10</v>
      </c>
      <c r="E75" s="20">
        <v>0.99855073716909581</v>
      </c>
      <c r="F75" s="20">
        <v>0.95583096954634827</v>
      </c>
      <c r="G75" s="20">
        <v>5.5968730604092291E-5</v>
      </c>
      <c r="H75" s="20">
        <v>0</v>
      </c>
      <c r="I75" s="20">
        <v>4.2663798892143417E-2</v>
      </c>
      <c r="J75" s="20">
        <v>1.3722321870357262E-3</v>
      </c>
      <c r="K75" s="20">
        <v>7.7029678913945472E-5</v>
      </c>
      <c r="L75" s="20">
        <v>0</v>
      </c>
    </row>
    <row r="76" spans="1:12">
      <c r="A76" s="2" t="s">
        <v>507</v>
      </c>
      <c r="B76" s="3" t="s">
        <v>417</v>
      </c>
      <c r="D76" s="20">
        <v>2.2294612456627843E-8</v>
      </c>
      <c r="E76" s="20">
        <v>0.99861366487704417</v>
      </c>
      <c r="F76" s="20">
        <v>0.55115604705069776</v>
      </c>
      <c r="G76" s="20">
        <v>4.0081216158867787E-5</v>
      </c>
      <c r="H76" s="20">
        <v>0</v>
      </c>
      <c r="I76" s="20">
        <v>0.44741753661018757</v>
      </c>
      <c r="J76" s="20">
        <v>1.2076420533713996E-3</v>
      </c>
      <c r="K76" s="20">
        <v>1.7867077497206316E-4</v>
      </c>
      <c r="L76" s="20">
        <v>0</v>
      </c>
    </row>
    <row r="77" spans="1:12">
      <c r="A77" s="2" t="s">
        <v>508</v>
      </c>
      <c r="B77" s="3" t="s">
        <v>418</v>
      </c>
      <c r="D77" s="20">
        <v>6.9614169106514484E-9</v>
      </c>
      <c r="E77" s="20">
        <v>0.9985615862489553</v>
      </c>
      <c r="F77" s="20">
        <v>0.96066571843308912</v>
      </c>
      <c r="G77" s="20">
        <v>5.590344954033952E-5</v>
      </c>
      <c r="H77" s="20">
        <v>0</v>
      </c>
      <c r="I77" s="20">
        <v>3.7839964366325841E-2</v>
      </c>
      <c r="J77" s="20">
        <v>1.3652674158544749E-3</v>
      </c>
      <c r="K77" s="20">
        <v>7.3139373773534495E-5</v>
      </c>
      <c r="L77" s="20">
        <v>0</v>
      </c>
    </row>
    <row r="78" spans="1:12">
      <c r="A78" s="2" t="s">
        <v>509</v>
      </c>
      <c r="B78" s="3" t="s">
        <v>419</v>
      </c>
      <c r="D78" s="20">
        <v>6.8671471136878755E-10</v>
      </c>
      <c r="E78" s="20">
        <v>0.99037327050715362</v>
      </c>
      <c r="F78" s="20">
        <v>0.98571323539830213</v>
      </c>
      <c r="G78" s="20">
        <v>3.8037761159469952E-4</v>
      </c>
      <c r="H78" s="20">
        <v>0</v>
      </c>
      <c r="I78" s="20">
        <v>4.2796574972567567E-3</v>
      </c>
      <c r="J78" s="20">
        <v>9.5439102646810541E-3</v>
      </c>
      <c r="K78" s="20">
        <v>8.2818541450613097E-5</v>
      </c>
      <c r="L78" s="20">
        <v>0</v>
      </c>
    </row>
    <row r="79" spans="1:12">
      <c r="A79" s="2" t="s">
        <v>510</v>
      </c>
      <c r="B79" s="3" t="s">
        <v>420</v>
      </c>
      <c r="D79" s="20">
        <v>1.7249495904690284E-14</v>
      </c>
      <c r="E79" s="20">
        <v>0.99037328971347849</v>
      </c>
      <c r="F79" s="20">
        <v>0.98571331442793064</v>
      </c>
      <c r="G79" s="20">
        <v>3.8031744516929354E-4</v>
      </c>
      <c r="H79" s="20">
        <v>0</v>
      </c>
      <c r="I79" s="20">
        <v>4.2796578403786001E-3</v>
      </c>
      <c r="J79" s="20">
        <v>9.5439048449191318E-3</v>
      </c>
      <c r="K79" s="20">
        <v>8.2805441584993958E-5</v>
      </c>
      <c r="L79" s="20">
        <v>0</v>
      </c>
    </row>
    <row r="80" spans="1:12">
      <c r="A80" s="2" t="s">
        <v>511</v>
      </c>
      <c r="B80" s="3" t="s">
        <v>421</v>
      </c>
      <c r="D80" s="20">
        <v>1.9598133362334456E-9</v>
      </c>
      <c r="E80" s="20">
        <v>0.99847057715825738</v>
      </c>
      <c r="F80" s="20">
        <v>0.83193413721071408</v>
      </c>
      <c r="G80" s="20">
        <v>5.4406815205962637E-5</v>
      </c>
      <c r="H80" s="20">
        <v>0</v>
      </c>
      <c r="I80" s="20">
        <v>0.16648203313233734</v>
      </c>
      <c r="J80" s="20">
        <v>1.3919008593303466E-3</v>
      </c>
      <c r="K80" s="20">
        <v>1.3752002259889514E-4</v>
      </c>
      <c r="L80" s="20">
        <v>0</v>
      </c>
    </row>
    <row r="81" spans="1:12">
      <c r="A81" s="2" t="s">
        <v>512</v>
      </c>
      <c r="B81" s="3" t="s">
        <v>422</v>
      </c>
      <c r="D81" s="20">
        <v>2.5636710417877269E-9</v>
      </c>
      <c r="E81" s="20">
        <v>0.9990069121487406</v>
      </c>
      <c r="F81" s="20">
        <v>0.19495596803837542</v>
      </c>
      <c r="G81" s="20">
        <v>1.5933122443712685E-5</v>
      </c>
      <c r="H81" s="20">
        <v>0</v>
      </c>
      <c r="I81" s="20">
        <v>0.80403501098792152</v>
      </c>
      <c r="J81" s="20">
        <v>8.5586651692197142E-4</v>
      </c>
      <c r="K81" s="20">
        <v>1.3721877066642549E-4</v>
      </c>
      <c r="L81" s="20">
        <v>0</v>
      </c>
    </row>
    <row r="82" spans="1:12">
      <c r="A82" s="2" t="s">
        <v>513</v>
      </c>
      <c r="B82" s="3" t="s">
        <v>423</v>
      </c>
      <c r="D82" s="20">
        <v>6.452743901500045E-13</v>
      </c>
      <c r="E82" s="20">
        <v>0.99876630014347401</v>
      </c>
      <c r="F82" s="20">
        <v>0.39085767466932586</v>
      </c>
      <c r="G82" s="20">
        <v>2.9724480158650906E-5</v>
      </c>
      <c r="H82" s="20">
        <v>0</v>
      </c>
      <c r="I82" s="20">
        <v>0.60787890099398945</v>
      </c>
      <c r="J82" s="20">
        <v>1.0612642693203307E-3</v>
      </c>
      <c r="K82" s="20">
        <v>1.7243558656024479E-4</v>
      </c>
      <c r="L82" s="20">
        <v>0</v>
      </c>
    </row>
    <row r="83" spans="1:12">
      <c r="A83" s="2" t="s">
        <v>514</v>
      </c>
      <c r="B83" s="3" t="s">
        <v>424</v>
      </c>
      <c r="D83" s="20">
        <v>2.4368649116650782E-10</v>
      </c>
      <c r="E83" s="20">
        <v>0.98152604354945072</v>
      </c>
      <c r="F83" s="20">
        <v>0.97792532097823059</v>
      </c>
      <c r="G83" s="20">
        <v>7.248865646847536E-4</v>
      </c>
      <c r="H83" s="20">
        <v>0</v>
      </c>
      <c r="I83" s="20">
        <v>2.8758360065353275E-3</v>
      </c>
      <c r="J83" s="20">
        <v>1.8373914134158797E-2</v>
      </c>
      <c r="K83" s="20">
        <v>1.0004207270390174E-4</v>
      </c>
      <c r="L83" s="20">
        <v>0</v>
      </c>
    </row>
    <row r="84" spans="1:12">
      <c r="A84" s="2" t="s">
        <v>403</v>
      </c>
      <c r="B84" s="3" t="s">
        <v>404</v>
      </c>
      <c r="D84" s="20">
        <v>4.4421258588341313E-44</v>
      </c>
      <c r="E84" s="20">
        <v>0.65971722174951664</v>
      </c>
      <c r="F84" s="20">
        <v>0.30666560855642683</v>
      </c>
      <c r="G84" s="20">
        <v>7.0951344490496726E-2</v>
      </c>
      <c r="H84" s="20">
        <v>0</v>
      </c>
      <c r="I84" s="20">
        <v>0.28210026870259308</v>
      </c>
      <c r="J84" s="20">
        <v>7.5671046962650385E-3</v>
      </c>
      <c r="K84" s="20">
        <v>0.33271567355421822</v>
      </c>
      <c r="L84" s="20">
        <v>0</v>
      </c>
    </row>
    <row r="85" spans="1:12">
      <c r="A85" s="2" t="s">
        <v>405</v>
      </c>
      <c r="B85" s="3" t="s">
        <v>406</v>
      </c>
      <c r="D85" s="20">
        <v>1.0794578651731424E-8</v>
      </c>
      <c r="E85" s="20">
        <v>0.6908746022934118</v>
      </c>
      <c r="F85" s="20">
        <v>0.61911680877258279</v>
      </c>
      <c r="G85" s="20">
        <v>3.236654833487039E-2</v>
      </c>
      <c r="H85" s="20">
        <v>0</v>
      </c>
      <c r="I85" s="20">
        <v>3.9391245185958566E-2</v>
      </c>
      <c r="J85" s="20">
        <v>0.29694646017474102</v>
      </c>
      <c r="K85" s="20">
        <v>1.21789267372686E-2</v>
      </c>
      <c r="L85" s="20">
        <v>0</v>
      </c>
    </row>
    <row r="86" spans="1:12">
      <c r="A86" s="2" t="s">
        <v>407</v>
      </c>
      <c r="B86" s="3" t="s">
        <v>408</v>
      </c>
      <c r="D86" s="20">
        <v>2.4456733946763595E-5</v>
      </c>
      <c r="E86" s="20">
        <v>0.85851136505207248</v>
      </c>
      <c r="F86" s="20">
        <v>0.16352067605219348</v>
      </c>
      <c r="G86" s="20">
        <v>0.69465350178458962</v>
      </c>
      <c r="H86" s="20">
        <v>0</v>
      </c>
      <c r="I86" s="20">
        <v>3.3718721528933245E-4</v>
      </c>
      <c r="J86" s="20">
        <v>7.8182081531786823E-2</v>
      </c>
      <c r="K86" s="20">
        <v>6.328209668219395E-2</v>
      </c>
      <c r="L86" s="20">
        <v>0</v>
      </c>
    </row>
    <row r="87" spans="1:12">
      <c r="A87" s="2" t="s">
        <v>409</v>
      </c>
      <c r="B87" s="3" t="s">
        <v>410</v>
      </c>
      <c r="D87" s="20">
        <v>3.0147029305520232E-6</v>
      </c>
      <c r="E87" s="20">
        <v>0.86877431537974226</v>
      </c>
      <c r="F87" s="20">
        <v>8.7724062977840356E-2</v>
      </c>
      <c r="G87" s="20">
        <v>0.78093393165994751</v>
      </c>
      <c r="H87" s="20">
        <v>0</v>
      </c>
      <c r="I87" s="20">
        <v>1.1632074195441875E-4</v>
      </c>
      <c r="J87" s="20">
        <v>8.8787404397002709E-2</v>
      </c>
      <c r="K87" s="20">
        <v>4.2435265520324672E-2</v>
      </c>
      <c r="L87" s="20">
        <v>0</v>
      </c>
    </row>
    <row r="88" spans="1:12">
      <c r="A88" s="2" t="s">
        <v>301</v>
      </c>
      <c r="B88" s="3" t="s">
        <v>302</v>
      </c>
      <c r="D88" s="20">
        <v>3.7131642432694145E-7</v>
      </c>
      <c r="E88" s="20">
        <v>0.87835283094266325</v>
      </c>
      <c r="F88" s="20">
        <v>4.0571248695593858E-2</v>
      </c>
      <c r="G88" s="20">
        <v>0.83774902281655195</v>
      </c>
      <c r="H88" s="20">
        <v>0</v>
      </c>
      <c r="I88" s="20">
        <v>3.2559430517425615E-5</v>
      </c>
      <c r="J88" s="20">
        <v>9.635227086692337E-2</v>
      </c>
      <c r="K88" s="20">
        <v>2.5294526873988744E-2</v>
      </c>
      <c r="L88" s="20">
        <v>0</v>
      </c>
    </row>
    <row r="89" spans="1:12">
      <c r="A89" s="2" t="s">
        <v>303</v>
      </c>
      <c r="B89" s="3" t="s">
        <v>304</v>
      </c>
      <c r="D89" s="20">
        <v>8.0322787561350784E-14</v>
      </c>
      <c r="E89" s="20">
        <v>0.25467608444451872</v>
      </c>
      <c r="F89" s="20">
        <v>7.0556297154022535E-2</v>
      </c>
      <c r="G89" s="20">
        <v>0.18350244555557921</v>
      </c>
      <c r="H89" s="20">
        <v>0</v>
      </c>
      <c r="I89" s="20">
        <v>6.1734173491699226E-4</v>
      </c>
      <c r="J89" s="20">
        <v>0.73758367448434525</v>
      </c>
      <c r="K89" s="20">
        <v>7.7402410710554334E-3</v>
      </c>
      <c r="L89" s="20">
        <v>0</v>
      </c>
    </row>
    <row r="90" spans="1:12">
      <c r="A90" s="2" t="s">
        <v>425</v>
      </c>
      <c r="B90" s="3" t="s">
        <v>426</v>
      </c>
      <c r="D90" s="20">
        <v>1.6014341966144811E-13</v>
      </c>
      <c r="E90" s="20">
        <v>0.97427039553208117</v>
      </c>
      <c r="F90" s="20">
        <v>9.1595755070817179E-4</v>
      </c>
      <c r="G90" s="20">
        <v>3.0753930889879479E-4</v>
      </c>
      <c r="H90" s="20">
        <v>0</v>
      </c>
      <c r="I90" s="20">
        <v>0.97304689867247418</v>
      </c>
      <c r="J90" s="20">
        <v>6.215382911995053E-4</v>
      </c>
      <c r="K90" s="20">
        <v>2.5108066176559116E-2</v>
      </c>
      <c r="L90" s="20">
        <v>0</v>
      </c>
    </row>
    <row r="91" spans="1:12">
      <c r="A91" s="2" t="s">
        <v>427</v>
      </c>
      <c r="B91" s="3" t="s">
        <v>428</v>
      </c>
      <c r="D91" s="20">
        <v>8.2311243699545521E-5</v>
      </c>
      <c r="E91" s="20">
        <v>0.7859033392123822</v>
      </c>
      <c r="F91" s="20">
        <v>5.4920360422925786E-2</v>
      </c>
      <c r="G91" s="20">
        <v>1.5446458931491264E-2</v>
      </c>
      <c r="H91" s="20">
        <v>0</v>
      </c>
      <c r="I91" s="20">
        <v>0.71553651985796518</v>
      </c>
      <c r="J91" s="20">
        <v>2.011565280537113E-3</v>
      </c>
      <c r="K91" s="20">
        <v>0.21200278426338123</v>
      </c>
      <c r="L91" s="20">
        <v>0</v>
      </c>
    </row>
    <row r="92" spans="1:12">
      <c r="A92" s="2" t="s">
        <v>429</v>
      </c>
      <c r="B92" s="3" t="s">
        <v>430</v>
      </c>
      <c r="D92" s="20">
        <v>5.0109885926820396E-4</v>
      </c>
      <c r="E92" s="20">
        <v>0.70410388497659504</v>
      </c>
      <c r="F92" s="20">
        <v>0.47752666660573989</v>
      </c>
      <c r="G92" s="20">
        <v>0.10076116597121705</v>
      </c>
      <c r="H92" s="20">
        <v>0</v>
      </c>
      <c r="I92" s="20">
        <v>0.12581605239963808</v>
      </c>
      <c r="J92" s="20">
        <v>1.0682988112021652E-2</v>
      </c>
      <c r="K92" s="20">
        <v>0.2847120280521151</v>
      </c>
      <c r="L92" s="20">
        <v>0</v>
      </c>
    </row>
    <row r="93" spans="1:12">
      <c r="A93" s="2" t="s">
        <v>431</v>
      </c>
      <c r="B93" s="3" t="s">
        <v>432</v>
      </c>
      <c r="D93" s="20">
        <v>1.204641408349744E-17</v>
      </c>
      <c r="E93" s="20">
        <v>0.99923205358918821</v>
      </c>
      <c r="F93" s="20">
        <v>4.3591084155399831E-3</v>
      </c>
      <c r="G93" s="20">
        <v>3.4923647169965039E-6</v>
      </c>
      <c r="H93" s="20">
        <v>0</v>
      </c>
      <c r="I93" s="20">
        <v>0.99486945280893124</v>
      </c>
      <c r="J93" s="20">
        <v>6.1503770149815863E-4</v>
      </c>
      <c r="K93" s="20">
        <v>1.5290870931355079E-4</v>
      </c>
      <c r="L93" s="20">
        <v>0</v>
      </c>
    </row>
    <row r="94" spans="1:12">
      <c r="A94" s="2" t="s">
        <v>433</v>
      </c>
      <c r="B94" s="3" t="s">
        <v>434</v>
      </c>
      <c r="D94" s="20">
        <v>2.5461385721018852E-18</v>
      </c>
      <c r="E94" s="20">
        <v>0.99938323452011513</v>
      </c>
      <c r="F94" s="20">
        <v>1.6965093258848551E-5</v>
      </c>
      <c r="G94" s="20">
        <v>2.3672923414699871E-8</v>
      </c>
      <c r="H94" s="20">
        <v>0</v>
      </c>
      <c r="I94" s="20">
        <v>0.99936624575393285</v>
      </c>
      <c r="J94" s="20">
        <v>6.128967846045334E-4</v>
      </c>
      <c r="K94" s="20">
        <v>3.8686952803260803E-6</v>
      </c>
      <c r="L94" s="20">
        <v>0</v>
      </c>
    </row>
    <row r="95" spans="1:12">
      <c r="A95" s="2" t="s">
        <v>435</v>
      </c>
      <c r="B95" s="3" t="s">
        <v>436</v>
      </c>
      <c r="D95" s="20">
        <v>1.3616059066792029E-8</v>
      </c>
      <c r="E95" s="20">
        <v>0.94141125901519584</v>
      </c>
      <c r="F95" s="20">
        <v>3.7350535589529394E-3</v>
      </c>
      <c r="G95" s="20">
        <v>1.2954721471844634E-3</v>
      </c>
      <c r="H95" s="20">
        <v>0</v>
      </c>
      <c r="I95" s="20">
        <v>0.93638073330905847</v>
      </c>
      <c r="J95" s="20">
        <v>7.0710298822706098E-4</v>
      </c>
      <c r="K95" s="20">
        <v>5.788162438051795E-2</v>
      </c>
      <c r="L95" s="20">
        <v>0</v>
      </c>
    </row>
    <row r="96" spans="1:12">
      <c r="A96" s="2" t="s">
        <v>437</v>
      </c>
      <c r="B96" s="163" t="s">
        <v>438</v>
      </c>
      <c r="D96" s="20">
        <v>4.5811010073646308E-8</v>
      </c>
      <c r="E96" s="20">
        <v>0.85485906456724703</v>
      </c>
      <c r="F96" s="20">
        <v>0.20222930177817508</v>
      </c>
      <c r="G96" s="20">
        <v>0.65213819602897027</v>
      </c>
      <c r="H96" s="20">
        <v>0</v>
      </c>
      <c r="I96" s="20">
        <v>4.9156676010168171E-4</v>
      </c>
      <c r="J96" s="20">
        <v>7.3121030364459563E-2</v>
      </c>
      <c r="K96" s="20">
        <v>7.2019859257282992E-2</v>
      </c>
      <c r="L96" s="20">
        <v>0</v>
      </c>
    </row>
    <row r="97" spans="1:12">
      <c r="A97" s="2" t="s">
        <v>439</v>
      </c>
      <c r="B97" s="3" t="s">
        <v>440</v>
      </c>
      <c r="D97" s="20">
        <v>3.9787670941231634E-5</v>
      </c>
      <c r="E97" s="20">
        <v>0.72776293508348333</v>
      </c>
      <c r="F97" s="20">
        <v>0.10224044531089428</v>
      </c>
      <c r="G97" s="20">
        <v>2.7109299009714982E-2</v>
      </c>
      <c r="H97" s="20">
        <v>0</v>
      </c>
      <c r="I97" s="20">
        <v>0.59841319076287403</v>
      </c>
      <c r="J97" s="20">
        <v>3.1485646224297223E-3</v>
      </c>
      <c r="K97" s="20">
        <v>0.26904871262314584</v>
      </c>
      <c r="L97" s="20">
        <v>0</v>
      </c>
    </row>
    <row r="98" spans="1:12">
      <c r="A98" s="2" t="s">
        <v>441</v>
      </c>
      <c r="B98" s="3" t="s">
        <v>442</v>
      </c>
      <c r="D98" s="20">
        <v>2.7137898395835536E-17</v>
      </c>
      <c r="E98" s="20">
        <v>0.77494007860837455</v>
      </c>
      <c r="F98" s="20">
        <v>6.2036948446154282E-2</v>
      </c>
      <c r="G98" s="20">
        <v>1.7256232454072293E-2</v>
      </c>
      <c r="H98" s="20">
        <v>0</v>
      </c>
      <c r="I98" s="20">
        <v>0.69564689770814803</v>
      </c>
      <c r="J98" s="20">
        <v>2.1863291832470658E-3</v>
      </c>
      <c r="K98" s="20">
        <v>0.22287359220837841</v>
      </c>
      <c r="L98" s="20">
        <v>0</v>
      </c>
    </row>
    <row r="99" spans="1:12">
      <c r="A99" s="2" t="s">
        <v>443</v>
      </c>
      <c r="B99" s="3" t="s">
        <v>444</v>
      </c>
      <c r="D99" s="20">
        <v>4.1982540778842389E-29</v>
      </c>
      <c r="E99" s="20">
        <v>0.88207124624584787</v>
      </c>
      <c r="F99" s="20">
        <v>1.4768722604934524E-2</v>
      </c>
      <c r="G99" s="20">
        <v>4.6391507877853828E-3</v>
      </c>
      <c r="H99" s="20">
        <v>0</v>
      </c>
      <c r="I99" s="20">
        <v>0.862663372853128</v>
      </c>
      <c r="J99" s="20">
        <v>9.9197685457888389E-4</v>
      </c>
      <c r="K99" s="20">
        <v>0.11693677689957326</v>
      </c>
      <c r="L99" s="20">
        <v>0</v>
      </c>
    </row>
    <row r="100" spans="1:12">
      <c r="A100" s="2" t="s">
        <v>445</v>
      </c>
      <c r="B100" s="3" t="s">
        <v>446</v>
      </c>
      <c r="D100" s="20">
        <v>4.8739458143237273E-8</v>
      </c>
      <c r="E100" s="20">
        <v>0.85065427971126772</v>
      </c>
      <c r="F100" s="20">
        <v>0.51529379342751125</v>
      </c>
      <c r="G100" s="20">
        <v>0.33208592338267784</v>
      </c>
      <c r="H100" s="20">
        <v>0</v>
      </c>
      <c r="I100" s="20">
        <v>3.2745629010786782E-3</v>
      </c>
      <c r="J100" s="20">
        <v>3.6427692317046644E-2</v>
      </c>
      <c r="K100" s="20">
        <v>0.1129179792322276</v>
      </c>
      <c r="L100" s="20">
        <v>0</v>
      </c>
    </row>
    <row r="101" spans="1:12">
      <c r="A101" s="2" t="s">
        <v>447</v>
      </c>
      <c r="B101" s="3" t="s">
        <v>448</v>
      </c>
      <c r="D101" s="20">
        <v>4.3994515748454635E-9</v>
      </c>
      <c r="E101" s="20">
        <v>0.68031465197559426</v>
      </c>
      <c r="F101" s="20">
        <v>0.4142597670619988</v>
      </c>
      <c r="G101" s="20">
        <v>9.0524953833891211E-2</v>
      </c>
      <c r="H101" s="20">
        <v>0</v>
      </c>
      <c r="I101" s="20">
        <v>0.1755299310797043</v>
      </c>
      <c r="J101" s="20">
        <v>9.600212033734316E-3</v>
      </c>
      <c r="K101" s="20">
        <v>0.31008513159121959</v>
      </c>
      <c r="L101" s="20">
        <v>0</v>
      </c>
    </row>
    <row r="102" spans="1:12">
      <c r="A102" s="2" t="s">
        <v>449</v>
      </c>
      <c r="B102" s="3" t="s">
        <v>450</v>
      </c>
      <c r="D102" s="20">
        <v>1.9472955197343724E-4</v>
      </c>
      <c r="E102" s="20">
        <v>0.79882817248327498</v>
      </c>
      <c r="F102" s="20">
        <v>0.63930202420937399</v>
      </c>
      <c r="G102" s="20">
        <v>0.1210045316074435</v>
      </c>
      <c r="H102" s="20">
        <v>0</v>
      </c>
      <c r="I102" s="20">
        <v>3.8521616666457453E-2</v>
      </c>
      <c r="J102" s="20">
        <v>1.2909375389865184E-2</v>
      </c>
      <c r="K102" s="20">
        <v>0.18806772257488652</v>
      </c>
      <c r="L102" s="20">
        <v>0</v>
      </c>
    </row>
    <row r="103" spans="1:12">
      <c r="A103" s="2" t="s">
        <v>451</v>
      </c>
      <c r="B103" s="3" t="s">
        <v>452</v>
      </c>
      <c r="D103" s="20">
        <v>4.3977864152423356E-19</v>
      </c>
      <c r="E103" s="20">
        <v>0.99913179075640923</v>
      </c>
      <c r="F103" s="20">
        <v>0.10498460958585888</v>
      </c>
      <c r="G103" s="20">
        <v>1.0188279383381426E-5</v>
      </c>
      <c r="H103" s="20">
        <v>0</v>
      </c>
      <c r="I103" s="20">
        <v>0.89413699289116699</v>
      </c>
      <c r="J103" s="20">
        <v>7.5049921200296332E-4</v>
      </c>
      <c r="K103" s="20">
        <v>1.1771003158776801E-4</v>
      </c>
      <c r="L103" s="20">
        <v>0</v>
      </c>
    </row>
    <row r="104" spans="1:12">
      <c r="A104" s="2" t="s">
        <v>453</v>
      </c>
      <c r="B104" s="3" t="s">
        <v>454</v>
      </c>
      <c r="D104" s="20">
        <v>1.1267300727351869E-20</v>
      </c>
      <c r="E104" s="20">
        <v>0.99731848625496933</v>
      </c>
      <c r="F104" s="20">
        <v>0.9851891626388849</v>
      </c>
      <c r="G104" s="20">
        <v>1.0432425119228327E-3</v>
      </c>
      <c r="H104" s="20">
        <v>0</v>
      </c>
      <c r="I104" s="20">
        <v>1.1086081104161614E-2</v>
      </c>
      <c r="J104" s="20">
        <v>1.9892080460096806E-3</v>
      </c>
      <c r="K104" s="20">
        <v>6.9230569902096442E-4</v>
      </c>
      <c r="L104" s="20">
        <v>0</v>
      </c>
    </row>
    <row r="105" spans="1:12">
      <c r="A105" s="2" t="s">
        <v>455</v>
      </c>
      <c r="B105" s="163">
        <v>354656</v>
      </c>
      <c r="D105" s="20">
        <v>3.683745438534229E-10</v>
      </c>
      <c r="E105" s="20">
        <v>0.96928822321020314</v>
      </c>
      <c r="F105" s="20">
        <v>9.8211835102880339E-4</v>
      </c>
      <c r="G105" s="20">
        <v>3.798913293748883E-4</v>
      </c>
      <c r="H105" s="20">
        <v>0</v>
      </c>
      <c r="I105" s="20">
        <v>0.96792621352979946</v>
      </c>
      <c r="J105" s="20">
        <v>6.2525264296163941E-4</v>
      </c>
      <c r="K105" s="20">
        <v>3.0086523778460644E-2</v>
      </c>
      <c r="L105" s="20">
        <v>0</v>
      </c>
    </row>
    <row r="106" spans="1:12">
      <c r="A106" s="2" t="s">
        <v>457</v>
      </c>
      <c r="B106" s="3" t="s">
        <v>458</v>
      </c>
      <c r="D106" s="20">
        <v>5.4583847311084912E-10</v>
      </c>
      <c r="E106" s="20">
        <v>0.93870260683234574</v>
      </c>
      <c r="F106" s="20">
        <v>4.0482179229921469E-3</v>
      </c>
      <c r="G106" s="20">
        <v>1.3977817990152781E-3</v>
      </c>
      <c r="H106" s="20">
        <v>0</v>
      </c>
      <c r="I106" s="20">
        <v>0.93325660711033831</v>
      </c>
      <c r="J106" s="20">
        <v>7.1422015468051406E-4</v>
      </c>
      <c r="K106" s="20">
        <v>6.0583172467135432E-2</v>
      </c>
      <c r="L106" s="20">
        <v>0</v>
      </c>
    </row>
    <row r="107" spans="1:12">
      <c r="A107" s="2" t="s">
        <v>459</v>
      </c>
      <c r="B107" s="3" t="s">
        <v>460</v>
      </c>
      <c r="D107" s="20">
        <v>4.5435803778079041E-20</v>
      </c>
      <c r="E107" s="20">
        <v>0.84813846438778906</v>
      </c>
      <c r="F107" s="20">
        <v>0.70420897944914829</v>
      </c>
      <c r="G107" s="20">
        <v>0.12325080125332159</v>
      </c>
      <c r="H107" s="20">
        <v>0</v>
      </c>
      <c r="I107" s="20">
        <v>2.0678683685319197E-2</v>
      </c>
      <c r="J107" s="20">
        <v>1.6123243076996637E-2</v>
      </c>
      <c r="K107" s="20">
        <v>0.1357382925352143</v>
      </c>
      <c r="L107" s="20">
        <v>0</v>
      </c>
    </row>
    <row r="108" spans="1:12">
      <c r="A108" s="2" t="s">
        <v>461</v>
      </c>
      <c r="B108" s="3" t="s">
        <v>462</v>
      </c>
      <c r="D108" s="20">
        <v>1.1000760390649082E-9</v>
      </c>
      <c r="E108" s="20">
        <v>0.99933449788756679</v>
      </c>
      <c r="F108" s="20">
        <v>8.7875800824309347E-6</v>
      </c>
      <c r="G108" s="20">
        <v>2.5470113338635153E-7</v>
      </c>
      <c r="H108" s="20">
        <v>0</v>
      </c>
      <c r="I108" s="20">
        <v>0.999325455606351</v>
      </c>
      <c r="J108" s="20">
        <v>6.0994340833603431E-4</v>
      </c>
      <c r="K108" s="20">
        <v>5.555760402116659E-5</v>
      </c>
      <c r="L108" s="20">
        <v>0</v>
      </c>
    </row>
    <row r="109" spans="1:12">
      <c r="A109" s="2" t="s">
        <v>463</v>
      </c>
      <c r="B109" s="3" t="s">
        <v>464</v>
      </c>
      <c r="D109" s="20">
        <v>2.7814172388560735E-12</v>
      </c>
      <c r="E109" s="20">
        <v>0.97122438044621573</v>
      </c>
      <c r="F109" s="20">
        <v>5.7103555578016441E-2</v>
      </c>
      <c r="G109" s="20">
        <v>2.8383714285741763E-3</v>
      </c>
      <c r="H109" s="20">
        <v>0</v>
      </c>
      <c r="I109" s="20">
        <v>0.91128245343962511</v>
      </c>
      <c r="J109" s="20">
        <v>1.0737890580534204E-2</v>
      </c>
      <c r="K109" s="20">
        <v>1.8037728970468739E-2</v>
      </c>
      <c r="L109" s="20">
        <v>0</v>
      </c>
    </row>
    <row r="110" spans="1:12">
      <c r="A110" s="2" t="s">
        <v>465</v>
      </c>
      <c r="B110" s="3" t="s">
        <v>466</v>
      </c>
      <c r="D110" s="20">
        <v>2.0885199492628392E-11</v>
      </c>
      <c r="E110" s="20">
        <v>0.99313946016294163</v>
      </c>
      <c r="F110" s="20">
        <v>2.2470603361356731E-4</v>
      </c>
      <c r="G110" s="20">
        <v>4.2991367486361927E-5</v>
      </c>
      <c r="H110" s="20">
        <v>0</v>
      </c>
      <c r="I110" s="20">
        <v>0.99287176276184175</v>
      </c>
      <c r="J110" s="20">
        <v>6.0746118182585581E-4</v>
      </c>
      <c r="K110" s="20">
        <v>6.2530786343473806E-3</v>
      </c>
      <c r="L110" s="20">
        <v>0</v>
      </c>
    </row>
    <row r="111" spans="1:12">
      <c r="A111" s="2" t="s">
        <v>467</v>
      </c>
      <c r="B111" s="3" t="s">
        <v>468</v>
      </c>
      <c r="D111" s="20">
        <v>3.7125124507270278E-30</v>
      </c>
      <c r="E111" s="20">
        <v>0.99938748208529526</v>
      </c>
      <c r="F111" s="20">
        <v>1.5969397610563925E-5</v>
      </c>
      <c r="G111" s="20">
        <v>1.3193514016873427E-8</v>
      </c>
      <c r="H111" s="20">
        <v>0</v>
      </c>
      <c r="I111" s="20">
        <v>0.9993714994941707</v>
      </c>
      <c r="J111" s="20">
        <v>6.0690131964861332E-4</v>
      </c>
      <c r="K111" s="20">
        <v>5.6165950561710672E-6</v>
      </c>
      <c r="L111" s="20">
        <v>0</v>
      </c>
    </row>
    <row r="112" spans="1:12">
      <c r="A112" s="2" t="s">
        <v>469</v>
      </c>
      <c r="B112" s="3" t="s">
        <v>470</v>
      </c>
      <c r="D112" s="20">
        <v>2.3466585535244156E-13</v>
      </c>
      <c r="E112" s="20">
        <v>0.99129374343328858</v>
      </c>
      <c r="F112" s="20">
        <v>7.7504000124085226E-5</v>
      </c>
      <c r="G112" s="20">
        <v>3.6209261989193217E-5</v>
      </c>
      <c r="H112" s="20">
        <v>0</v>
      </c>
      <c r="I112" s="20">
        <v>0.99118003017117529</v>
      </c>
      <c r="J112" s="20">
        <v>6.0537461128272897E-4</v>
      </c>
      <c r="K112" s="20">
        <v>8.1008819551939733E-3</v>
      </c>
      <c r="L112" s="20">
        <v>0</v>
      </c>
    </row>
    <row r="113" spans="1:12">
      <c r="A113" s="2" t="s">
        <v>471</v>
      </c>
      <c r="B113" s="3" t="s">
        <v>472</v>
      </c>
      <c r="D113" s="20">
        <v>2.8877634606160995E-9</v>
      </c>
      <c r="E113" s="20">
        <v>0.95390235361033959</v>
      </c>
      <c r="F113" s="20">
        <v>2.2020938893441452E-3</v>
      </c>
      <c r="G113" s="20">
        <v>8.0155141874440998E-4</v>
      </c>
      <c r="H113" s="20">
        <v>0</v>
      </c>
      <c r="I113" s="20">
        <v>0.95089870830225098</v>
      </c>
      <c r="J113" s="20">
        <v>6.5704763298207324E-4</v>
      </c>
      <c r="K113" s="20">
        <v>4.5440595868914885E-2</v>
      </c>
      <c r="L113" s="20">
        <v>0</v>
      </c>
    </row>
    <row r="114" spans="1:12">
      <c r="A114" s="2" t="s">
        <v>473</v>
      </c>
      <c r="B114" s="3" t="s">
        <v>474</v>
      </c>
      <c r="D114" s="20">
        <v>2.3035165055008231E-16</v>
      </c>
      <c r="E114" s="20">
        <v>0.99519436417679008</v>
      </c>
      <c r="F114" s="20">
        <v>2.2568083067224081E-5</v>
      </c>
      <c r="G114" s="20">
        <v>1.1370073584655924E-5</v>
      </c>
      <c r="H114" s="20">
        <v>0</v>
      </c>
      <c r="I114" s="20">
        <v>0.99516042602013821</v>
      </c>
      <c r="J114" s="20">
        <v>6.0537842051116501E-4</v>
      </c>
      <c r="K114" s="20">
        <v>4.2002574026986294E-3</v>
      </c>
      <c r="L114" s="20">
        <v>0</v>
      </c>
    </row>
    <row r="115" spans="1:12">
      <c r="A115" s="2" t="s">
        <v>475</v>
      </c>
      <c r="B115" s="3" t="s">
        <v>476</v>
      </c>
      <c r="D115" s="20">
        <v>1.1912140503842168E-12</v>
      </c>
      <c r="E115" s="20">
        <v>0.99928274257595529</v>
      </c>
      <c r="F115" s="20">
        <v>2.7434592768997741E-2</v>
      </c>
      <c r="G115" s="20">
        <v>3.2861120750382055E-6</v>
      </c>
      <c r="H115" s="20">
        <v>0</v>
      </c>
      <c r="I115" s="20">
        <v>0.97184486369488254</v>
      </c>
      <c r="J115" s="20">
        <v>6.4961876181473003E-4</v>
      </c>
      <c r="K115" s="20">
        <v>6.7638661038889702E-5</v>
      </c>
      <c r="L115" s="20">
        <v>0</v>
      </c>
    </row>
    <row r="116" spans="1:12">
      <c r="A116" s="2" t="s">
        <v>477</v>
      </c>
      <c r="B116" s="3" t="s">
        <v>478</v>
      </c>
      <c r="D116" s="20">
        <v>3.0306339625941454E-17</v>
      </c>
      <c r="E116" s="20">
        <v>0.87877191029958213</v>
      </c>
      <c r="F116" s="20">
        <v>0.7401159009174022</v>
      </c>
      <c r="G116" s="20">
        <v>1.7925994354253377E-2</v>
      </c>
      <c r="H116" s="20">
        <v>0</v>
      </c>
      <c r="I116" s="20">
        <v>0.1207300150279266</v>
      </c>
      <c r="J116" s="20">
        <v>0.1039221221179603</v>
      </c>
      <c r="K116" s="20">
        <v>1.7305967582457525E-2</v>
      </c>
      <c r="L116" s="20">
        <v>0</v>
      </c>
    </row>
    <row r="117" spans="1:12">
      <c r="A117" s="2" t="s">
        <v>291</v>
      </c>
      <c r="B117" s="3" t="s">
        <v>479</v>
      </c>
      <c r="D117" s="20">
        <v>2.9291064152295095E-10</v>
      </c>
      <c r="E117" s="20">
        <v>0.68282841081576462</v>
      </c>
      <c r="F117" s="20">
        <v>0.17006281552698177</v>
      </c>
      <c r="G117" s="20">
        <v>4.2668258767639113E-2</v>
      </c>
      <c r="H117" s="20">
        <v>0</v>
      </c>
      <c r="I117" s="20">
        <v>0.47009733652114377</v>
      </c>
      <c r="J117" s="20">
        <v>4.6949526808649162E-3</v>
      </c>
      <c r="K117" s="20">
        <v>0.31247663621045979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1.0480811336337733E-12</v>
      </c>
      <c r="E2" s="14">
        <v>3.9007448514113064E-5</v>
      </c>
      <c r="F2" s="14">
        <v>2.4003198589889398E-8</v>
      </c>
      <c r="G2" s="14">
        <v>9.6330690569402809E-9</v>
      </c>
      <c r="H2" s="14">
        <v>0</v>
      </c>
      <c r="I2" s="14">
        <v>2.4633627770516892E-8</v>
      </c>
      <c r="J2" s="14">
        <v>9.342805423884557E-7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7.9516562184922516E-13</v>
      </c>
      <c r="E3" s="14">
        <v>1.8589267211755396E-5</v>
      </c>
      <c r="F3" s="14">
        <v>7.3851775144954139E-6</v>
      </c>
      <c r="G3" s="14">
        <v>1.7941102671061595E-6</v>
      </c>
      <c r="H3" s="14">
        <v>0</v>
      </c>
      <c r="I3" s="14">
        <v>2.3750724533917438E-7</v>
      </c>
      <c r="J3" s="14">
        <v>1.199393696613824E-5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5.4377381607687527E-22</v>
      </c>
      <c r="E4" s="14">
        <v>3.9953141380258136E-5</v>
      </c>
      <c r="F4" s="14">
        <v>1.6861356340277976E-8</v>
      </c>
      <c r="G4" s="14">
        <v>1.8568984273998009E-11</v>
      </c>
      <c r="H4" s="14">
        <v>0</v>
      </c>
      <c r="I4" s="14">
        <v>2.9153225396896129E-8</v>
      </c>
      <c r="J4" s="14">
        <v>8.2546902041531841E-10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9.0484653874999769E-15</v>
      </c>
      <c r="E5" s="14">
        <v>2.1880449277482476E-5</v>
      </c>
      <c r="F5" s="14">
        <v>1.8065825440029189E-5</v>
      </c>
      <c r="G5" s="14">
        <v>1.4338940918747076E-9</v>
      </c>
      <c r="H5" s="14">
        <v>0</v>
      </c>
      <c r="I5" s="14">
        <v>4.4774636278074569E-8</v>
      </c>
      <c r="J5" s="14">
        <v>7.5167430699218282E-9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7.4213232242615766E-16</v>
      </c>
      <c r="E6" s="14">
        <v>1.2946967716115621E-5</v>
      </c>
      <c r="F6" s="14">
        <v>2.6964330362041073E-5</v>
      </c>
      <c r="G6" s="14">
        <v>7.8195572810021141E-9</v>
      </c>
      <c r="H6" s="14">
        <v>0</v>
      </c>
      <c r="I6" s="14">
        <v>5.2705360970341274E-8</v>
      </c>
      <c r="J6" s="14">
        <v>2.8177002849841423E-8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6.4718556093654477E-12</v>
      </c>
      <c r="E7" s="14">
        <v>4.2983604713341677E-6</v>
      </c>
      <c r="F7" s="14">
        <v>3.5418030536196725E-5</v>
      </c>
      <c r="G7" s="14">
        <v>7.2097384793944949E-8</v>
      </c>
      <c r="H7" s="14">
        <v>0</v>
      </c>
      <c r="I7" s="14">
        <v>6.269512704738803E-8</v>
      </c>
      <c r="J7" s="14">
        <v>1.4881000877217397E-7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4.597822141232814E-22</v>
      </c>
      <c r="E8" s="14">
        <v>9.1798940590170225E-6</v>
      </c>
      <c r="F8" s="14">
        <v>3.0746751905798312E-5</v>
      </c>
      <c r="G8" s="14">
        <v>4.6754544321274292E-9</v>
      </c>
      <c r="H8" s="14">
        <v>0</v>
      </c>
      <c r="I8" s="14">
        <v>5.4781087905296999E-8</v>
      </c>
      <c r="J8" s="14">
        <v>1.3897492847248264E-8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1.9278210351747356E-17</v>
      </c>
      <c r="E9" s="14">
        <v>2.4532723030440425E-5</v>
      </c>
      <c r="F9" s="14">
        <v>1.5384639711862154E-5</v>
      </c>
      <c r="G9" s="14">
        <v>5.8312180115947795E-9</v>
      </c>
      <c r="H9" s="14">
        <v>0</v>
      </c>
      <c r="I9" s="14">
        <v>4.2633920732245859E-8</v>
      </c>
      <c r="J9" s="14">
        <v>3.4172118934300728E-8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5.7397258649039559E-10</v>
      </c>
      <c r="E10" s="14">
        <v>4.0884980138718615E-7</v>
      </c>
      <c r="F10" s="14">
        <v>2.9516534450955033E-5</v>
      </c>
      <c r="G10" s="14">
        <v>5.1553828302735184E-6</v>
      </c>
      <c r="H10" s="14">
        <v>0</v>
      </c>
      <c r="I10" s="14">
        <v>5.5577609796125729E-7</v>
      </c>
      <c r="J10" s="14">
        <v>4.3628828468365204E-6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2.1984474179528442E-16</v>
      </c>
      <c r="E11" s="14">
        <v>2.2582972145996113E-8</v>
      </c>
      <c r="F11" s="14">
        <v>2.0604528135584265E-5</v>
      </c>
      <c r="G11" s="14">
        <v>1.5054177941909093E-5</v>
      </c>
      <c r="H11" s="14">
        <v>0</v>
      </c>
      <c r="I11" s="14">
        <v>3.6641204839997903E-6</v>
      </c>
      <c r="J11" s="14">
        <v>6.5459046614101985E-7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2.9966724962915426E-6</v>
      </c>
      <c r="E12" s="14">
        <v>3.6811592653076134E-5</v>
      </c>
      <c r="F12" s="14">
        <v>1.0347486549679859E-9</v>
      </c>
      <c r="G12" s="14">
        <v>5.1288829227497696E-10</v>
      </c>
      <c r="H12" s="14">
        <v>0</v>
      </c>
      <c r="I12" s="14">
        <v>2.2409057999617321E-8</v>
      </c>
      <c r="J12" s="14">
        <v>1.6777815568546392E-7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6.9855171086420214E-13</v>
      </c>
      <c r="E13" s="14">
        <v>2.091082662384905E-5</v>
      </c>
      <c r="F13" s="14">
        <v>5.6036728871890237E-6</v>
      </c>
      <c r="G13" s="14">
        <v>1.4373691879717701E-6</v>
      </c>
      <c r="H13" s="14">
        <v>0</v>
      </c>
      <c r="I13" s="14">
        <v>1.6089250794301146E-7</v>
      </c>
      <c r="J13" s="14">
        <v>1.1887238094495437E-5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3.4222250800789237E-12</v>
      </c>
      <c r="E14" s="14">
        <v>3.5127458981722132E-7</v>
      </c>
      <c r="F14" s="14">
        <v>3.9437403113810069E-5</v>
      </c>
      <c r="G14" s="14">
        <v>6.1783706676653089E-8</v>
      </c>
      <c r="H14" s="14">
        <v>0</v>
      </c>
      <c r="I14" s="14">
        <v>1.1834723461685154E-7</v>
      </c>
      <c r="J14" s="14">
        <v>3.118793285411483E-8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3.4027921241979093E-6</v>
      </c>
      <c r="E15" s="14">
        <v>3.0454260586180313E-5</v>
      </c>
      <c r="F15" s="14">
        <v>7.7787467733403934E-7</v>
      </c>
      <c r="G15" s="14">
        <v>2.3724943629512989E-7</v>
      </c>
      <c r="H15" s="14">
        <v>0</v>
      </c>
      <c r="I15" s="14">
        <v>4.2508642667885557E-8</v>
      </c>
      <c r="J15" s="14">
        <v>5.0853145333247231E-6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2.6563952387175812E-8</v>
      </c>
      <c r="E16" s="14">
        <v>1.9497787538690097E-5</v>
      </c>
      <c r="F16" s="14">
        <v>6.3821485423962432E-6</v>
      </c>
      <c r="G16" s="14">
        <v>1.6131043539455061E-6</v>
      </c>
      <c r="H16" s="14">
        <v>0</v>
      </c>
      <c r="I16" s="14">
        <v>1.7841342219211929E-7</v>
      </c>
      <c r="J16" s="14">
        <v>1.2301982190388865E-5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7.9895931505115132E-8</v>
      </c>
      <c r="E17" s="14">
        <v>2.0347792730489271E-5</v>
      </c>
      <c r="F17" s="14">
        <v>5.8775844715064761E-6</v>
      </c>
      <c r="G17" s="14">
        <v>1.4993203471591014E-6</v>
      </c>
      <c r="H17" s="14">
        <v>0</v>
      </c>
      <c r="I17" s="14">
        <v>1.6702858255371862E-7</v>
      </c>
      <c r="J17" s="14">
        <v>1.2028377936786326E-5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1.595046484336644E-12</v>
      </c>
      <c r="E18" s="14">
        <v>2.4780267188210678E-8</v>
      </c>
      <c r="F18" s="14">
        <v>9.1885621903450099E-6</v>
      </c>
      <c r="G18" s="14">
        <v>2.4896776145797724E-5</v>
      </c>
      <c r="H18" s="14">
        <v>0</v>
      </c>
      <c r="I18" s="14">
        <v>2.78492169402515E-6</v>
      </c>
      <c r="J18" s="14">
        <v>3.1049581075974239E-6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4.7054698295690286E-7</v>
      </c>
      <c r="E19" s="14">
        <v>3.6102363424729114E-5</v>
      </c>
      <c r="F19" s="14">
        <v>2.5123330296338904E-7</v>
      </c>
      <c r="G19" s="14">
        <v>8.4328187007718895E-8</v>
      </c>
      <c r="H19" s="14">
        <v>0</v>
      </c>
      <c r="I19" s="14">
        <v>3.0372583948687581E-8</v>
      </c>
      <c r="J19" s="14">
        <v>3.0611555183941941E-6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8.7849545256028038E-7</v>
      </c>
      <c r="E20" s="14">
        <v>3.444864612975424E-5</v>
      </c>
      <c r="F20" s="14">
        <v>4.4793369495840187E-7</v>
      </c>
      <c r="G20" s="14">
        <v>1.4358507124957756E-7</v>
      </c>
      <c r="H20" s="14">
        <v>0</v>
      </c>
      <c r="I20" s="14">
        <v>3.5376542422506591E-8</v>
      </c>
      <c r="J20" s="14">
        <v>4.0459631090550019E-6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7.4225696171672179E-8</v>
      </c>
      <c r="E21" s="14">
        <v>4.2273646736241155E-6</v>
      </c>
      <c r="F21" s="14">
        <v>3.151746565042309E-5</v>
      </c>
      <c r="G21" s="14">
        <v>1.2719512028157203E-6</v>
      </c>
      <c r="H21" s="14">
        <v>0</v>
      </c>
      <c r="I21" s="14">
        <v>1.7508990705015779E-7</v>
      </c>
      <c r="J21" s="14">
        <v>2.7339028699152482E-6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2.6206008981415549E-6</v>
      </c>
      <c r="E22" s="14">
        <v>3.6117154426258049E-5</v>
      </c>
      <c r="F22" s="14">
        <v>4.0501872336841961E-8</v>
      </c>
      <c r="G22" s="14">
        <v>1.5551441671007834E-8</v>
      </c>
      <c r="H22" s="14">
        <v>0</v>
      </c>
      <c r="I22" s="14">
        <v>2.3467697439069919E-8</v>
      </c>
      <c r="J22" s="14">
        <v>1.1827236641534822E-6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2.7540672019236174E-6</v>
      </c>
      <c r="E23" s="14">
        <v>2.8863379117788738E-5</v>
      </c>
      <c r="F23" s="14">
        <v>1.3435342685690453E-6</v>
      </c>
      <c r="G23" s="14">
        <v>3.9205256856762152E-7</v>
      </c>
      <c r="H23" s="14">
        <v>0</v>
      </c>
      <c r="I23" s="14">
        <v>5.7398993424395539E-8</v>
      </c>
      <c r="J23" s="14">
        <v>6.5895678497265842E-6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7.8327125070998991E-8</v>
      </c>
      <c r="E24" s="14">
        <v>1.5069707644701315E-5</v>
      </c>
      <c r="F24" s="14">
        <v>9.2169323804984424E-6</v>
      </c>
      <c r="G24" s="14">
        <v>2.2247537972047671E-6</v>
      </c>
      <c r="H24" s="14">
        <v>0</v>
      </c>
      <c r="I24" s="14">
        <v>2.4001181682590976E-7</v>
      </c>
      <c r="J24" s="14">
        <v>1.3170267235698576E-5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7.3723675512461189E-9</v>
      </c>
      <c r="E25" s="14">
        <v>3.467525148499856E-8</v>
      </c>
      <c r="F25" s="14">
        <v>1.1002242014903373E-5</v>
      </c>
      <c r="G25" s="14">
        <v>2.2960257226705939E-5</v>
      </c>
      <c r="H25" s="14">
        <v>0</v>
      </c>
      <c r="I25" s="14">
        <v>2.5591665298488753E-6</v>
      </c>
      <c r="J25" s="14">
        <v>3.436286609505564E-6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5.280399675632621E-6</v>
      </c>
      <c r="E26" s="14">
        <v>5.4100270462254894E-6</v>
      </c>
      <c r="F26" s="14">
        <v>1.5210413147958922E-5</v>
      </c>
      <c r="G26" s="14">
        <v>3.2812291867090646E-6</v>
      </c>
      <c r="H26" s="14">
        <v>0</v>
      </c>
      <c r="I26" s="14">
        <v>3.4787031531981601E-7</v>
      </c>
      <c r="J26" s="14">
        <v>1.0470060628154093E-5</v>
      </c>
      <c r="K26" s="14">
        <v>0</v>
      </c>
    </row>
    <row r="27" spans="1:13">
      <c r="A27" s="2" t="s">
        <v>397</v>
      </c>
      <c r="B27" s="3" t="s">
        <v>398</v>
      </c>
      <c r="D27" s="14">
        <v>2.4043854580736071E-5</v>
      </c>
      <c r="E27" s="14">
        <v>6.4179559685237842E-7</v>
      </c>
      <c r="F27" s="14">
        <v>1.0131606350699554E-5</v>
      </c>
      <c r="G27" s="14">
        <v>1.9247479374651449E-6</v>
      </c>
      <c r="H27" s="14">
        <v>0</v>
      </c>
      <c r="I27" s="14">
        <v>2.0527889785487885E-7</v>
      </c>
      <c r="J27" s="14">
        <v>3.0527166363919766E-6</v>
      </c>
      <c r="K27" s="14">
        <v>0</v>
      </c>
    </row>
    <row r="28" spans="1:13">
      <c r="A28" s="2" t="s">
        <v>399</v>
      </c>
      <c r="B28" s="3" t="s">
        <v>400</v>
      </c>
      <c r="D28" s="14">
        <v>3.0594515018460989E-5</v>
      </c>
      <c r="E28" s="14">
        <v>1.1625087053530753E-6</v>
      </c>
      <c r="F28" s="14">
        <v>4.5239499140447314E-6</v>
      </c>
      <c r="G28" s="14">
        <v>9.5282543859529874E-7</v>
      </c>
      <c r="H28" s="14">
        <v>0</v>
      </c>
      <c r="I28" s="14">
        <v>1.0102443121124645E-7</v>
      </c>
      <c r="J28" s="14">
        <v>2.6651764923346629E-6</v>
      </c>
      <c r="K28" s="14">
        <v>0</v>
      </c>
    </row>
    <row r="29" spans="1:13">
      <c r="A29" s="2" t="s">
        <v>297</v>
      </c>
      <c r="B29" s="3" t="s">
        <v>298</v>
      </c>
      <c r="D29" s="14">
        <v>3.72622564133639E-5</v>
      </c>
      <c r="E29" s="14">
        <v>2.3664742902875518E-6</v>
      </c>
      <c r="F29" s="14">
        <v>3.9513305741566968E-8</v>
      </c>
      <c r="G29" s="14">
        <v>1.2434803314894039E-8</v>
      </c>
      <c r="H29" s="14">
        <v>0</v>
      </c>
      <c r="I29" s="14">
        <v>2.6915591782705364E-9</v>
      </c>
      <c r="J29" s="14">
        <v>3.1662962811381536E-7</v>
      </c>
      <c r="K29" s="14">
        <v>0</v>
      </c>
    </row>
    <row r="30" spans="1:13">
      <c r="A30" s="2" t="s">
        <v>401</v>
      </c>
      <c r="B30" s="3" t="s">
        <v>402</v>
      </c>
      <c r="D30" s="14">
        <v>3.633155164897026E-5</v>
      </c>
      <c r="E30" s="14">
        <v>4.7886884911684963E-7</v>
      </c>
      <c r="F30" s="14">
        <v>1.7288533707318004E-6</v>
      </c>
      <c r="G30" s="14">
        <v>3.6614551301803122E-7</v>
      </c>
      <c r="H30" s="14">
        <v>0</v>
      </c>
      <c r="I30" s="14">
        <v>3.8817838954327311E-8</v>
      </c>
      <c r="J30" s="14">
        <v>1.0557627792087359E-6</v>
      </c>
      <c r="K30" s="14">
        <v>0</v>
      </c>
    </row>
    <row r="31" spans="1:13">
      <c r="A31" s="2" t="s">
        <v>299</v>
      </c>
      <c r="B31" s="3" t="s">
        <v>300</v>
      </c>
      <c r="D31" s="14">
        <v>3.9921018233377637E-5</v>
      </c>
      <c r="E31" s="14">
        <v>1.7910769734543332E-8</v>
      </c>
      <c r="F31" s="14">
        <v>2.8331908128538546E-8</v>
      </c>
      <c r="G31" s="14">
        <v>6.3763387330748291E-9</v>
      </c>
      <c r="H31" s="14">
        <v>0</v>
      </c>
      <c r="I31" s="14">
        <v>6.7748739275592112E-10</v>
      </c>
      <c r="J31" s="14">
        <v>2.5685262633442147E-8</v>
      </c>
      <c r="K31" s="14">
        <v>0</v>
      </c>
    </row>
    <row r="32" spans="1:13">
      <c r="A32" s="2" t="s">
        <v>343</v>
      </c>
      <c r="B32" s="3" t="s">
        <v>344</v>
      </c>
      <c r="D32" s="14">
        <v>7.8282705492988212E-8</v>
      </c>
      <c r="E32" s="14">
        <v>2.2406729293205462E-5</v>
      </c>
      <c r="F32" s="14">
        <v>4.7944637746130694E-6</v>
      </c>
      <c r="G32" s="14">
        <v>1.2503615119403169E-6</v>
      </c>
      <c r="H32" s="14">
        <v>0</v>
      </c>
      <c r="I32" s="14">
        <v>1.4229346711851051E-7</v>
      </c>
      <c r="J32" s="14">
        <v>1.1327869247629656E-5</v>
      </c>
      <c r="K32" s="14">
        <v>0</v>
      </c>
    </row>
    <row r="33" spans="1:11">
      <c r="A33" s="2" t="s">
        <v>345</v>
      </c>
      <c r="B33" s="3" t="s">
        <v>346</v>
      </c>
      <c r="D33" s="14">
        <v>3.339267436953313E-9</v>
      </c>
      <c r="E33" s="14">
        <v>2.8359844354620653E-5</v>
      </c>
      <c r="F33" s="14">
        <v>2.2883656355799757E-6</v>
      </c>
      <c r="G33" s="14">
        <v>6.4124054226868266E-7</v>
      </c>
      <c r="H33" s="14">
        <v>0</v>
      </c>
      <c r="I33" s="14">
        <v>8.2716619683590972E-8</v>
      </c>
      <c r="J33" s="14">
        <v>8.624493580410153E-6</v>
      </c>
      <c r="K33" s="14">
        <v>0</v>
      </c>
    </row>
    <row r="34" spans="1:11">
      <c r="A34" s="2" t="s">
        <v>347</v>
      </c>
      <c r="B34" s="3" t="s">
        <v>348</v>
      </c>
      <c r="D34" s="14">
        <v>2.8721544608422066E-9</v>
      </c>
      <c r="E34" s="14">
        <v>6.903994433876895E-6</v>
      </c>
      <c r="F34" s="14">
        <v>1.6706366587805954E-5</v>
      </c>
      <c r="G34" s="14">
        <v>3.6439932369030559E-6</v>
      </c>
      <c r="H34" s="14">
        <v>0</v>
      </c>
      <c r="I34" s="14">
        <v>3.864238315674807E-7</v>
      </c>
      <c r="J34" s="14">
        <v>1.2356349755385773E-5</v>
      </c>
      <c r="K34" s="14">
        <v>0</v>
      </c>
    </row>
    <row r="35" spans="1:11">
      <c r="A35" s="2" t="s">
        <v>349</v>
      </c>
      <c r="B35" s="3" t="s">
        <v>350</v>
      </c>
      <c r="D35" s="14">
        <v>5.2420033928120123E-7</v>
      </c>
      <c r="E35" s="14">
        <v>8.2052144894123085E-7</v>
      </c>
      <c r="F35" s="14">
        <v>2.7426570946324701E-5</v>
      </c>
      <c r="G35" s="14">
        <v>4.9302287280466714E-6</v>
      </c>
      <c r="H35" s="14">
        <v>0</v>
      </c>
      <c r="I35" s="14">
        <v>5.2842691660707202E-7</v>
      </c>
      <c r="J35" s="14">
        <v>5.7700516207991276E-6</v>
      </c>
      <c r="K35" s="14">
        <v>0</v>
      </c>
    </row>
    <row r="36" spans="1:11">
      <c r="A36" s="2" t="s">
        <v>351</v>
      </c>
      <c r="B36" s="3" t="s">
        <v>352</v>
      </c>
      <c r="D36" s="14">
        <v>1.4054705933712139E-8</v>
      </c>
      <c r="E36" s="14">
        <v>1.8049883529112659E-7</v>
      </c>
      <c r="F36" s="14">
        <v>2.3275337022214539E-5</v>
      </c>
      <c r="G36" s="14">
        <v>1.0744631701226122E-5</v>
      </c>
      <c r="H36" s="14">
        <v>0</v>
      </c>
      <c r="I36" s="14">
        <v>1.1733198681567141E-6</v>
      </c>
      <c r="J36" s="14">
        <v>4.6121578671777916E-6</v>
      </c>
      <c r="K36" s="14">
        <v>0</v>
      </c>
    </row>
    <row r="37" spans="1:11">
      <c r="A37" s="2" t="s">
        <v>353</v>
      </c>
      <c r="B37" s="3" t="s">
        <v>354</v>
      </c>
      <c r="D37" s="14">
        <v>9.3883758958960335E-8</v>
      </c>
      <c r="E37" s="14">
        <v>2.7178351449982385E-8</v>
      </c>
      <c r="F37" s="14">
        <v>9.6508304238676463E-6</v>
      </c>
      <c r="G37" s="14">
        <v>2.4319813491344771E-5</v>
      </c>
      <c r="H37" s="14">
        <v>0</v>
      </c>
      <c r="I37" s="14">
        <v>2.717690229781497E-6</v>
      </c>
      <c r="J37" s="14">
        <v>3.1906037445971468E-6</v>
      </c>
      <c r="K37" s="14">
        <v>0</v>
      </c>
    </row>
    <row r="38" spans="1:11">
      <c r="A38" s="2" t="s">
        <v>355</v>
      </c>
      <c r="B38" s="3" t="s">
        <v>356</v>
      </c>
      <c r="D38" s="14">
        <v>5.2225778793241228E-9</v>
      </c>
      <c r="E38" s="14">
        <v>9.8631937751941008E-8</v>
      </c>
      <c r="F38" s="14">
        <v>1.8296125888130302E-5</v>
      </c>
      <c r="G38" s="14">
        <v>1.5532976857090247E-5</v>
      </c>
      <c r="H38" s="14">
        <v>0</v>
      </c>
      <c r="I38" s="14">
        <v>1.7102457312773511E-6</v>
      </c>
      <c r="J38" s="14">
        <v>4.3567970078708424E-6</v>
      </c>
      <c r="K38" s="14">
        <v>0</v>
      </c>
    </row>
    <row r="39" spans="1:11">
      <c r="A39" s="2" t="s">
        <v>357</v>
      </c>
      <c r="B39" s="3" t="s">
        <v>358</v>
      </c>
      <c r="D39" s="14">
        <v>1.0606283165768956E-6</v>
      </c>
      <c r="E39" s="14">
        <v>1.4910625355674192E-7</v>
      </c>
      <c r="F39" s="14">
        <v>2.1332287718896253E-5</v>
      </c>
      <c r="G39" s="14">
        <v>1.1720145086775933E-5</v>
      </c>
      <c r="H39" s="14">
        <v>0</v>
      </c>
      <c r="I39" s="14">
        <v>1.2828540619521103E-6</v>
      </c>
      <c r="J39" s="14">
        <v>4.4549785622420673E-6</v>
      </c>
      <c r="K39" s="14">
        <v>0</v>
      </c>
    </row>
    <row r="40" spans="1:11">
      <c r="A40" s="2" t="s">
        <v>359</v>
      </c>
      <c r="B40" s="3" t="s">
        <v>360</v>
      </c>
      <c r="D40" s="14">
        <v>5.2225778793241228E-9</v>
      </c>
      <c r="E40" s="14">
        <v>9.8631937751941008E-8</v>
      </c>
      <c r="F40" s="14">
        <v>1.8296125888130302E-5</v>
      </c>
      <c r="G40" s="14">
        <v>1.5532976857090247E-5</v>
      </c>
      <c r="H40" s="14">
        <v>0</v>
      </c>
      <c r="I40" s="14">
        <v>1.7102457312773511E-6</v>
      </c>
      <c r="J40" s="14">
        <v>4.3567970078708424E-6</v>
      </c>
      <c r="K40" s="14">
        <v>0</v>
      </c>
    </row>
    <row r="41" spans="1:11">
      <c r="A41" s="2" t="s">
        <v>313</v>
      </c>
      <c r="B41" s="3" t="s">
        <v>314</v>
      </c>
      <c r="D41" s="14">
        <v>2.2433933173205106E-12</v>
      </c>
      <c r="E41" s="14">
        <v>3.8144828860192252E-5</v>
      </c>
      <c r="F41" s="14">
        <v>1.8205275063129103E-6</v>
      </c>
      <c r="G41" s="14">
        <v>4.3322927398573387E-10</v>
      </c>
      <c r="H41" s="14">
        <v>0</v>
      </c>
      <c r="I41" s="14">
        <v>2.6999901120949921E-8</v>
      </c>
      <c r="J41" s="14">
        <v>7.208259706583231E-9</v>
      </c>
      <c r="K41" s="14">
        <v>0</v>
      </c>
    </row>
    <row r="42" spans="1:11">
      <c r="A42" s="2" t="s">
        <v>315</v>
      </c>
      <c r="B42" s="3" t="s">
        <v>316</v>
      </c>
      <c r="D42" s="14">
        <v>1.3530126485256998E-7</v>
      </c>
      <c r="E42" s="14">
        <v>2.469644813566151E-8</v>
      </c>
      <c r="F42" s="14">
        <v>9.1574819533469897E-6</v>
      </c>
      <c r="G42" s="14">
        <v>2.4812563002645568E-5</v>
      </c>
      <c r="H42" s="14">
        <v>0</v>
      </c>
      <c r="I42" s="14">
        <v>2.7755017190085825E-6</v>
      </c>
      <c r="J42" s="14">
        <v>3.0944556120106338E-6</v>
      </c>
      <c r="K42" s="14">
        <v>0</v>
      </c>
    </row>
    <row r="43" spans="1:11">
      <c r="A43" s="2" t="s">
        <v>317</v>
      </c>
      <c r="B43" s="3" t="s">
        <v>318</v>
      </c>
      <c r="D43" s="14">
        <v>1.7553666977031575E-16</v>
      </c>
      <c r="E43" s="14">
        <v>1.406696786538866E-5</v>
      </c>
      <c r="F43" s="14">
        <v>9.99636418119094E-6</v>
      </c>
      <c r="G43" s="14">
        <v>2.3863691447522258E-6</v>
      </c>
      <c r="H43" s="14">
        <v>0</v>
      </c>
      <c r="I43" s="14">
        <v>2.5646468095359275E-7</v>
      </c>
      <c r="J43" s="14">
        <v>1.3293834127539048E-5</v>
      </c>
      <c r="K43" s="14">
        <v>0</v>
      </c>
    </row>
    <row r="44" spans="1:11">
      <c r="A44" s="2" t="s">
        <v>307</v>
      </c>
      <c r="B44" s="3" t="s">
        <v>308</v>
      </c>
      <c r="D44" s="14">
        <v>4.7209689147567315E-9</v>
      </c>
      <c r="E44" s="14">
        <v>2.7202184467502558E-7</v>
      </c>
      <c r="F44" s="14">
        <v>2.6589205202972855E-5</v>
      </c>
      <c r="G44" s="14">
        <v>7.7161544321809938E-6</v>
      </c>
      <c r="H44" s="14">
        <v>0</v>
      </c>
      <c r="I44" s="14">
        <v>8.3739065179610349E-7</v>
      </c>
      <c r="J44" s="14">
        <v>4.5805068994602719E-6</v>
      </c>
      <c r="K44" s="14">
        <v>0</v>
      </c>
    </row>
    <row r="45" spans="1:11">
      <c r="A45" s="2" t="s">
        <v>319</v>
      </c>
      <c r="B45" s="3" t="s">
        <v>320</v>
      </c>
      <c r="D45" s="14">
        <v>4.3937926478797522E-10</v>
      </c>
      <c r="E45" s="14">
        <v>1.100809574791142E-8</v>
      </c>
      <c r="F45" s="14">
        <v>5.8212167820559486E-6</v>
      </c>
      <c r="G45" s="14">
        <v>2.8589682217643163E-5</v>
      </c>
      <c r="H45" s="14">
        <v>0</v>
      </c>
      <c r="I45" s="14">
        <v>3.2241114941686122E-6</v>
      </c>
      <c r="J45" s="14">
        <v>2.3535420311195749E-6</v>
      </c>
      <c r="K45" s="14">
        <v>0</v>
      </c>
    </row>
    <row r="46" spans="1:11">
      <c r="A46" s="2" t="s">
        <v>321</v>
      </c>
      <c r="B46" s="3" t="s">
        <v>322</v>
      </c>
      <c r="D46" s="14">
        <v>6.5041971038161033E-10</v>
      </c>
      <c r="E46" s="14">
        <v>2.2088505580743002E-8</v>
      </c>
      <c r="F46" s="14">
        <v>8.6271611125331765E-6</v>
      </c>
      <c r="G46" s="14">
        <v>2.5501367149673902E-5</v>
      </c>
      <c r="H46" s="14">
        <v>0</v>
      </c>
      <c r="I46" s="14">
        <v>2.8559438431093981E-6</v>
      </c>
      <c r="J46" s="14">
        <v>2.9927889693924059E-6</v>
      </c>
      <c r="K46" s="14">
        <v>0</v>
      </c>
    </row>
    <row r="47" spans="1:11">
      <c r="A47" s="2" t="s">
        <v>323</v>
      </c>
      <c r="B47" s="3" t="s">
        <v>324</v>
      </c>
      <c r="D47" s="14">
        <v>6.1866208639590609E-9</v>
      </c>
      <c r="E47" s="14">
        <v>4.955256529146023E-8</v>
      </c>
      <c r="F47" s="14">
        <v>1.3222930545102262E-5</v>
      </c>
      <c r="G47" s="14">
        <v>2.0645398596838698E-5</v>
      </c>
      <c r="H47" s="14">
        <v>0</v>
      </c>
      <c r="I47" s="14">
        <v>2.2920643251109767E-6</v>
      </c>
      <c r="J47" s="14">
        <v>3.7838673467926452E-6</v>
      </c>
      <c r="K47" s="14">
        <v>0</v>
      </c>
    </row>
    <row r="48" spans="1:11">
      <c r="A48" s="2" t="s">
        <v>325</v>
      </c>
      <c r="B48" s="3" t="s">
        <v>326</v>
      </c>
      <c r="D48" s="14">
        <v>4.0156195984045801E-9</v>
      </c>
      <c r="E48" s="14">
        <v>2.3508515514537063E-6</v>
      </c>
      <c r="F48" s="14">
        <v>2.3660655924989098E-5</v>
      </c>
      <c r="G48" s="14">
        <v>4.6464614190020856E-6</v>
      </c>
      <c r="H48" s="14">
        <v>0</v>
      </c>
      <c r="I48" s="14">
        <v>4.9429585158552916E-7</v>
      </c>
      <c r="J48" s="14">
        <v>8.8437196333711801E-6</v>
      </c>
      <c r="K48" s="14">
        <v>0</v>
      </c>
    </row>
    <row r="49" spans="1:11">
      <c r="A49" s="2" t="s">
        <v>275</v>
      </c>
      <c r="B49" s="3" t="s">
        <v>276</v>
      </c>
      <c r="D49" s="14">
        <v>6.0583705261446497E-11</v>
      </c>
      <c r="E49" s="14">
        <v>2.5267860557944325E-7</v>
      </c>
      <c r="F49" s="14">
        <v>2.6015372330759337E-5</v>
      </c>
      <c r="G49" s="14">
        <v>8.236175672003493E-6</v>
      </c>
      <c r="H49" s="14">
        <v>0</v>
      </c>
      <c r="I49" s="14">
        <v>8.9486113977770728E-7</v>
      </c>
      <c r="J49" s="14">
        <v>4.6008516681747606E-6</v>
      </c>
      <c r="K49" s="14">
        <v>0</v>
      </c>
    </row>
    <row r="50" spans="1:11">
      <c r="A50" s="2" t="s">
        <v>327</v>
      </c>
      <c r="B50" s="3" t="s">
        <v>328</v>
      </c>
      <c r="D50" s="14">
        <v>3.1489145466373593E-9</v>
      </c>
      <c r="E50" s="14">
        <v>2.2272733248937802E-7</v>
      </c>
      <c r="F50" s="14">
        <v>2.5005473924025287E-5</v>
      </c>
      <c r="G50" s="14">
        <v>9.1523083909546864E-6</v>
      </c>
      <c r="H50" s="14">
        <v>0</v>
      </c>
      <c r="I50" s="14">
        <v>9.9632760405990563E-7</v>
      </c>
      <c r="J50" s="14">
        <v>4.6200138339241074E-6</v>
      </c>
      <c r="K50" s="14">
        <v>0</v>
      </c>
    </row>
    <row r="51" spans="1:11">
      <c r="A51" s="2" t="s">
        <v>329</v>
      </c>
      <c r="B51" s="3" t="s">
        <v>330</v>
      </c>
      <c r="D51" s="14">
        <v>2.1001384892972532E-9</v>
      </c>
      <c r="E51" s="14">
        <v>1.5082056899281054E-6</v>
      </c>
      <c r="F51" s="14">
        <v>2.5663870149243503E-5</v>
      </c>
      <c r="G51" s="14">
        <v>4.8486150433101963E-6</v>
      </c>
      <c r="H51" s="14">
        <v>0</v>
      </c>
      <c r="I51" s="14">
        <v>5.1735485272395634E-7</v>
      </c>
      <c r="J51" s="14">
        <v>7.4598541263049405E-6</v>
      </c>
      <c r="K51" s="14">
        <v>0</v>
      </c>
    </row>
    <row r="52" spans="1:11">
      <c r="A52" s="2" t="s">
        <v>277</v>
      </c>
      <c r="B52" s="3" t="s">
        <v>278</v>
      </c>
      <c r="D52" s="14">
        <v>6.2497945496168652E-9</v>
      </c>
      <c r="E52" s="14">
        <v>2.2553730234119618E-6</v>
      </c>
      <c r="F52" s="14">
        <v>2.3863819520580898E-5</v>
      </c>
      <c r="G52" s="14">
        <v>4.6691251114579493E-6</v>
      </c>
      <c r="H52" s="14">
        <v>0</v>
      </c>
      <c r="I52" s="14">
        <v>4.9683658846515969E-7</v>
      </c>
      <c r="J52" s="14">
        <v>8.7085959615344236E-6</v>
      </c>
      <c r="K52" s="14">
        <v>0</v>
      </c>
    </row>
    <row r="53" spans="1:11">
      <c r="A53" s="2" t="s">
        <v>331</v>
      </c>
      <c r="B53" s="3" t="s">
        <v>332</v>
      </c>
      <c r="D53" s="14">
        <v>2.0849489690180527E-9</v>
      </c>
      <c r="E53" s="14">
        <v>1.4684124913418099E-7</v>
      </c>
      <c r="F53" s="14">
        <v>2.1561036986839256E-5</v>
      </c>
      <c r="G53" s="14">
        <v>1.2372720432823681E-5</v>
      </c>
      <c r="H53" s="14">
        <v>0</v>
      </c>
      <c r="I53" s="14">
        <v>1.3550795065403331E-6</v>
      </c>
      <c r="J53" s="14">
        <v>4.5622368756935347E-6</v>
      </c>
      <c r="K53" s="14">
        <v>0</v>
      </c>
    </row>
    <row r="54" spans="1:11">
      <c r="A54" s="2" t="s">
        <v>333</v>
      </c>
      <c r="B54" s="3" t="s">
        <v>334</v>
      </c>
      <c r="D54" s="14">
        <v>3.4314778515511816E-12</v>
      </c>
      <c r="E54" s="14">
        <v>2.3735251650985119E-7</v>
      </c>
      <c r="F54" s="14">
        <v>2.5518516005261064E-5</v>
      </c>
      <c r="G54" s="14">
        <v>8.6866229366723377E-6</v>
      </c>
      <c r="H54" s="14">
        <v>0</v>
      </c>
      <c r="I54" s="14">
        <v>9.4471598788023241E-7</v>
      </c>
      <c r="J54" s="14">
        <v>4.6127891221986608E-6</v>
      </c>
      <c r="K54" s="14">
        <v>0</v>
      </c>
    </row>
    <row r="55" spans="1:11">
      <c r="A55" s="2" t="s">
        <v>335</v>
      </c>
      <c r="B55" s="3" t="s">
        <v>336</v>
      </c>
      <c r="D55" s="14">
        <v>1.6080218311777481E-8</v>
      </c>
      <c r="E55" s="14">
        <v>5.1289041289998214E-8</v>
      </c>
      <c r="F55" s="14">
        <v>1.34513587486076E-5</v>
      </c>
      <c r="G55" s="14">
        <v>2.0401481736069086E-5</v>
      </c>
      <c r="H55" s="14">
        <v>0</v>
      </c>
      <c r="I55" s="14">
        <v>2.2640892067769571E-6</v>
      </c>
      <c r="J55" s="14">
        <v>3.8157010489445893E-6</v>
      </c>
      <c r="K55" s="14">
        <v>0</v>
      </c>
    </row>
    <row r="56" spans="1:11">
      <c r="A56" s="2" t="s">
        <v>337</v>
      </c>
      <c r="B56" s="3" t="s">
        <v>338</v>
      </c>
      <c r="D56" s="14">
        <v>1.2121496926653681E-9</v>
      </c>
      <c r="E56" s="14">
        <v>2.6546599405977578E-7</v>
      </c>
      <c r="F56" s="14">
        <v>2.6401613596070767E-5</v>
      </c>
      <c r="G56" s="14">
        <v>7.8872576133604491E-6</v>
      </c>
      <c r="H56" s="14">
        <v>0</v>
      </c>
      <c r="I56" s="14">
        <v>8.5628956761134732E-7</v>
      </c>
      <c r="J56" s="14">
        <v>4.5881610792050001E-6</v>
      </c>
      <c r="K56" s="14">
        <v>0</v>
      </c>
    </row>
    <row r="57" spans="1:11">
      <c r="A57" s="2" t="s">
        <v>279</v>
      </c>
      <c r="B57" s="3" t="s">
        <v>280</v>
      </c>
      <c r="D57" s="14">
        <v>1.2071527521205395E-7</v>
      </c>
      <c r="E57" s="14">
        <v>2.8169223099147113E-6</v>
      </c>
      <c r="F57" s="14">
        <v>2.2637915980931665E-5</v>
      </c>
      <c r="G57" s="14">
        <v>4.519933019691628E-6</v>
      </c>
      <c r="H57" s="14">
        <v>0</v>
      </c>
      <c r="I57" s="14">
        <v>4.8031047311995317E-7</v>
      </c>
      <c r="J57" s="14">
        <v>9.4242029411300042E-6</v>
      </c>
      <c r="K57" s="14">
        <v>0</v>
      </c>
    </row>
    <row r="58" spans="1:11">
      <c r="A58" s="2" t="s">
        <v>339</v>
      </c>
      <c r="B58" s="3" t="s">
        <v>340</v>
      </c>
      <c r="D58" s="14">
        <v>1.2024226576645759E-11</v>
      </c>
      <c r="E58" s="14">
        <v>2.3437419411927131E-7</v>
      </c>
      <c r="F58" s="14">
        <v>2.541741419397233E-5</v>
      </c>
      <c r="G58" s="14">
        <v>8.7786335702734592E-6</v>
      </c>
      <c r="H58" s="14">
        <v>0</v>
      </c>
      <c r="I58" s="14">
        <v>9.549076798893043E-7</v>
      </c>
      <c r="J58" s="14">
        <v>4.6146583375190626E-6</v>
      </c>
      <c r="K58" s="14">
        <v>0</v>
      </c>
    </row>
    <row r="59" spans="1:11">
      <c r="A59" s="2" t="s">
        <v>281</v>
      </c>
      <c r="B59" s="3" t="s">
        <v>282</v>
      </c>
      <c r="D59" s="14">
        <v>9.4607012944701154E-10</v>
      </c>
      <c r="E59" s="14">
        <v>2.2556721170683304E-6</v>
      </c>
      <c r="F59" s="14">
        <v>2.3866984193103468E-5</v>
      </c>
      <c r="G59" s="14">
        <v>4.6697443020251555E-6</v>
      </c>
      <c r="H59" s="14">
        <v>0</v>
      </c>
      <c r="I59" s="14">
        <v>4.969024758684049E-7</v>
      </c>
      <c r="J59" s="14">
        <v>8.7097508418051979E-6</v>
      </c>
      <c r="K59" s="14">
        <v>0</v>
      </c>
    </row>
    <row r="60" spans="1:11">
      <c r="A60" s="2" t="s">
        <v>341</v>
      </c>
      <c r="B60" s="3" t="s">
        <v>342</v>
      </c>
      <c r="D60" s="14">
        <v>1.7488604664836982E-8</v>
      </c>
      <c r="E60" s="14">
        <v>1.6635957456738375E-7</v>
      </c>
      <c r="F60" s="14">
        <v>2.2595886021575339E-5</v>
      </c>
      <c r="G60" s="14">
        <v>1.137954586998901E-5</v>
      </c>
      <c r="H60" s="14">
        <v>0</v>
      </c>
      <c r="I60" s="14">
        <v>1.2441109475934345E-6</v>
      </c>
      <c r="J60" s="14">
        <v>4.5966089816100099E-6</v>
      </c>
      <c r="K60" s="14">
        <v>0</v>
      </c>
    </row>
    <row r="61" spans="1:11">
      <c r="A61" s="2" t="s">
        <v>483</v>
      </c>
      <c r="B61" s="3" t="s">
        <v>484</v>
      </c>
      <c r="D61" s="14">
        <v>2.9884524743737426E-18</v>
      </c>
      <c r="E61" s="14">
        <v>1.0848743902297869E-5</v>
      </c>
      <c r="F61" s="14">
        <v>1.7476053364840287E-5</v>
      </c>
      <c r="G61" s="14">
        <v>2.9117960951704376E-6</v>
      </c>
      <c r="H61" s="14">
        <v>0</v>
      </c>
      <c r="I61" s="14">
        <v>1.0990873299600283E-6</v>
      </c>
      <c r="J61" s="14">
        <v>7.6643193077283885E-6</v>
      </c>
      <c r="K61" s="14">
        <v>0</v>
      </c>
    </row>
    <row r="62" spans="1:11">
      <c r="A62" s="2" t="s">
        <v>485</v>
      </c>
      <c r="B62" s="3" t="s">
        <v>486</v>
      </c>
      <c r="D62" s="14">
        <v>8.1450208650017933E-12</v>
      </c>
      <c r="E62" s="14">
        <v>7.3794643961529126E-6</v>
      </c>
      <c r="F62" s="14">
        <v>1.6157211726081306E-5</v>
      </c>
      <c r="G62" s="14">
        <v>3.5502748132268762E-6</v>
      </c>
      <c r="H62" s="14">
        <v>0</v>
      </c>
      <c r="I62" s="14">
        <v>3.7659007941141442E-7</v>
      </c>
      <c r="J62" s="14">
        <v>1.2536450840106634E-5</v>
      </c>
      <c r="K62" s="14">
        <v>0</v>
      </c>
    </row>
    <row r="63" spans="1:11">
      <c r="A63" s="2" t="s">
        <v>487</v>
      </c>
      <c r="B63" s="3" t="s">
        <v>488</v>
      </c>
      <c r="D63" s="14">
        <v>2.8518693619285989E-17</v>
      </c>
      <c r="E63" s="14">
        <v>3.6771974751740286E-5</v>
      </c>
      <c r="F63" s="14">
        <v>1.271961124790216E-6</v>
      </c>
      <c r="G63" s="14">
        <v>1.6783038491694213E-7</v>
      </c>
      <c r="H63" s="14">
        <v>0</v>
      </c>
      <c r="I63" s="14">
        <v>1.9359165505397548E-7</v>
      </c>
      <c r="J63" s="14">
        <v>1.5946420834700718E-6</v>
      </c>
      <c r="K63" s="14">
        <v>0</v>
      </c>
    </row>
    <row r="64" spans="1:11">
      <c r="A64" s="2" t="s">
        <v>489</v>
      </c>
      <c r="B64" s="3" t="s">
        <v>490</v>
      </c>
      <c r="D64" s="14">
        <v>5.2720702588584239E-19</v>
      </c>
      <c r="E64" s="14">
        <v>3.9308649121822731E-5</v>
      </c>
      <c r="F64" s="14">
        <v>4.8619411021665051E-7</v>
      </c>
      <c r="G64" s="14">
        <v>6.0365257051417786E-9</v>
      </c>
      <c r="H64" s="14">
        <v>0</v>
      </c>
      <c r="I64" s="14">
        <v>2.5540241921266471E-8</v>
      </c>
      <c r="J64" s="14">
        <v>1.7358000033369186E-7</v>
      </c>
      <c r="K64" s="14">
        <v>0</v>
      </c>
    </row>
    <row r="65" spans="1:11">
      <c r="A65" s="2" t="s">
        <v>491</v>
      </c>
      <c r="B65" s="3" t="s">
        <v>492</v>
      </c>
      <c r="D65" s="14">
        <v>8.7899321948493408E-17</v>
      </c>
      <c r="E65" s="14">
        <v>3.9816611150790876E-5</v>
      </c>
      <c r="F65" s="14">
        <v>6.3722348581821014E-8</v>
      </c>
      <c r="G65" s="14">
        <v>2.8342313298081561E-9</v>
      </c>
      <c r="H65" s="14">
        <v>0</v>
      </c>
      <c r="I65" s="14">
        <v>3.9398941239090943E-8</v>
      </c>
      <c r="J65" s="14">
        <v>7.7433327970499485E-8</v>
      </c>
      <c r="K65" s="14">
        <v>0</v>
      </c>
    </row>
    <row r="66" spans="1:11">
      <c r="A66" s="2" t="s">
        <v>493</v>
      </c>
      <c r="B66" s="3" t="s">
        <v>494</v>
      </c>
      <c r="D66" s="14">
        <v>1.1166784850470604E-15</v>
      </c>
      <c r="E66" s="14">
        <v>2.9945536861165663E-5</v>
      </c>
      <c r="F66" s="14">
        <v>7.7993660845700045E-6</v>
      </c>
      <c r="G66" s="14">
        <v>1.954664135260064E-7</v>
      </c>
      <c r="H66" s="14">
        <v>0</v>
      </c>
      <c r="I66" s="14">
        <v>1.3880397826479649E-6</v>
      </c>
      <c r="J66" s="14">
        <v>6.7159085697368579E-7</v>
      </c>
      <c r="K66" s="14">
        <v>0</v>
      </c>
    </row>
    <row r="67" spans="1:11">
      <c r="A67" s="2" t="s">
        <v>495</v>
      </c>
      <c r="B67" s="3" t="s">
        <v>496</v>
      </c>
      <c r="D67" s="14">
        <v>6.8672406337176329E-17</v>
      </c>
      <c r="E67" s="14">
        <v>3.9819417760843625E-5</v>
      </c>
      <c r="F67" s="14">
        <v>5.3736110733412981E-8</v>
      </c>
      <c r="G67" s="14">
        <v>2.9375222462902404E-9</v>
      </c>
      <c r="H67" s="14">
        <v>0</v>
      </c>
      <c r="I67" s="14">
        <v>3.6833543614789841E-8</v>
      </c>
      <c r="J67" s="14">
        <v>8.7075062493209382E-8</v>
      </c>
      <c r="K67" s="14">
        <v>0</v>
      </c>
    </row>
    <row r="68" spans="1:11">
      <c r="A68" s="2" t="s">
        <v>497</v>
      </c>
      <c r="B68" s="3" t="s">
        <v>498</v>
      </c>
      <c r="D68" s="14">
        <v>6.2174425993208868E-16</v>
      </c>
      <c r="E68" s="14">
        <v>3.9931962127245558E-5</v>
      </c>
      <c r="F68" s="14">
        <v>6.3980671384855536E-9</v>
      </c>
      <c r="G68" s="14">
        <v>4.9364514370863771E-10</v>
      </c>
      <c r="H68" s="14">
        <v>0</v>
      </c>
      <c r="I68" s="14">
        <v>2.5924688081121922E-8</v>
      </c>
      <c r="J68" s="14">
        <v>3.5221471769386465E-8</v>
      </c>
      <c r="K68" s="14">
        <v>0</v>
      </c>
    </row>
    <row r="69" spans="1:11">
      <c r="A69" s="2" t="s">
        <v>499</v>
      </c>
      <c r="B69" s="3" t="s">
        <v>500</v>
      </c>
      <c r="D69" s="14">
        <v>3.0204150651280718E-16</v>
      </c>
      <c r="E69" s="14">
        <v>3.0070265893469005E-7</v>
      </c>
      <c r="F69" s="14">
        <v>2.7354629860568696E-5</v>
      </c>
      <c r="G69" s="14">
        <v>7.0377915266176197E-6</v>
      </c>
      <c r="H69" s="14">
        <v>0</v>
      </c>
      <c r="I69" s="14">
        <v>7.6255466831200469E-7</v>
      </c>
      <c r="J69" s="14">
        <v>4.5443212852649552E-6</v>
      </c>
      <c r="K69" s="14">
        <v>0</v>
      </c>
    </row>
    <row r="70" spans="1:11">
      <c r="A70" s="2" t="s">
        <v>501</v>
      </c>
      <c r="B70" s="3" t="s">
        <v>411</v>
      </c>
      <c r="D70" s="14">
        <v>1.1144869921251549E-17</v>
      </c>
      <c r="E70" s="14">
        <v>3.8762130960177279E-5</v>
      </c>
      <c r="F70" s="14">
        <v>1.2093422306068026E-6</v>
      </c>
      <c r="G70" s="14">
        <v>1.1493302650134926E-10</v>
      </c>
      <c r="H70" s="14">
        <v>0</v>
      </c>
      <c r="I70" s="14">
        <v>2.6140142201276585E-8</v>
      </c>
      <c r="J70" s="14">
        <v>2.2717339770009503E-9</v>
      </c>
      <c r="K70" s="14">
        <v>0</v>
      </c>
    </row>
    <row r="71" spans="1:11">
      <c r="A71" s="2" t="s">
        <v>502</v>
      </c>
      <c r="B71" s="3" t="s">
        <v>412</v>
      </c>
      <c r="D71" s="14">
        <v>5.0902481334477641E-13</v>
      </c>
      <c r="E71" s="14">
        <v>3.7714819033625215E-5</v>
      </c>
      <c r="F71" s="14">
        <v>2.2543098181735528E-6</v>
      </c>
      <c r="G71" s="14">
        <v>2.0487073070620856E-10</v>
      </c>
      <c r="H71" s="14">
        <v>0</v>
      </c>
      <c r="I71" s="14">
        <v>2.7554105509000018E-8</v>
      </c>
      <c r="J71" s="14">
        <v>3.1116629367232723E-9</v>
      </c>
      <c r="K71" s="14">
        <v>0</v>
      </c>
    </row>
    <row r="72" spans="1:11">
      <c r="A72" s="2" t="s">
        <v>503</v>
      </c>
      <c r="B72" s="3" t="s">
        <v>413</v>
      </c>
      <c r="D72" s="14">
        <v>6.8200168640774166E-15</v>
      </c>
      <c r="E72" s="14">
        <v>1.5406291502202371E-7</v>
      </c>
      <c r="F72" s="14">
        <v>3.9369480600990295E-5</v>
      </c>
      <c r="G72" s="14">
        <v>1.808106653843566E-8</v>
      </c>
      <c r="H72" s="14">
        <v>0</v>
      </c>
      <c r="I72" s="14">
        <v>4.5488933604189869E-7</v>
      </c>
      <c r="J72" s="14">
        <v>3.4860745873368123E-9</v>
      </c>
      <c r="K72" s="14">
        <v>0</v>
      </c>
    </row>
    <row r="73" spans="1:11">
      <c r="A73" s="2" t="s">
        <v>504</v>
      </c>
      <c r="B73" s="3" t="s">
        <v>414</v>
      </c>
      <c r="D73" s="14">
        <v>8.9942270056551347E-15</v>
      </c>
      <c r="E73" s="14">
        <v>1.4424358472207394E-6</v>
      </c>
      <c r="F73" s="14">
        <v>3.8497992290818755E-5</v>
      </c>
      <c r="G73" s="14">
        <v>2.2253710828343765E-9</v>
      </c>
      <c r="H73" s="14">
        <v>0</v>
      </c>
      <c r="I73" s="14">
        <v>5.4493394515441343E-8</v>
      </c>
      <c r="J73" s="14">
        <v>2.8530873680091125E-9</v>
      </c>
      <c r="K73" s="14">
        <v>0</v>
      </c>
    </row>
    <row r="74" spans="1:11">
      <c r="A74" s="2" t="s">
        <v>505</v>
      </c>
      <c r="B74" s="3" t="s">
        <v>415</v>
      </c>
      <c r="D74" s="14">
        <v>6.2927710245110669E-14</v>
      </c>
      <c r="E74" s="14">
        <v>3.7918800585850101E-5</v>
      </c>
      <c r="F74" s="14">
        <v>2.0507662710632086E-6</v>
      </c>
      <c r="G74" s="14">
        <v>1.8718908661985439E-10</v>
      </c>
      <c r="H74" s="14">
        <v>0</v>
      </c>
      <c r="I74" s="14">
        <v>2.7285199580041703E-8</v>
      </c>
      <c r="J74" s="14">
        <v>2.9606914923148168E-9</v>
      </c>
      <c r="K74" s="14">
        <v>0</v>
      </c>
    </row>
    <row r="75" spans="1:11">
      <c r="A75" s="2" t="s">
        <v>506</v>
      </c>
      <c r="B75" s="3" t="s">
        <v>416</v>
      </c>
      <c r="D75" s="14">
        <v>3.8598182258876444E-14</v>
      </c>
      <c r="E75" s="14">
        <v>1.7065519556857367E-6</v>
      </c>
      <c r="F75" s="14">
        <v>3.8233238781853934E-5</v>
      </c>
      <c r="G75" s="14">
        <v>2.238749224163692E-9</v>
      </c>
      <c r="H75" s="14">
        <v>0</v>
      </c>
      <c r="I75" s="14">
        <v>5.4889287481429061E-8</v>
      </c>
      <c r="J75" s="14">
        <v>3.0811871565578194E-9</v>
      </c>
      <c r="K75" s="14">
        <v>0</v>
      </c>
    </row>
    <row r="76" spans="1:11">
      <c r="A76" s="2" t="s">
        <v>507</v>
      </c>
      <c r="B76" s="3" t="s">
        <v>417</v>
      </c>
      <c r="D76" s="14">
        <v>8.9178449826511381E-13</v>
      </c>
      <c r="E76" s="14">
        <v>1.7896701464407504E-5</v>
      </c>
      <c r="F76" s="14">
        <v>2.2046241882027911E-5</v>
      </c>
      <c r="G76" s="14">
        <v>1.6032486463547116E-9</v>
      </c>
      <c r="H76" s="14">
        <v>0</v>
      </c>
      <c r="I76" s="14">
        <v>4.830568213485599E-8</v>
      </c>
      <c r="J76" s="14">
        <v>7.1468309988825271E-9</v>
      </c>
      <c r="K76" s="14">
        <v>0</v>
      </c>
    </row>
    <row r="77" spans="1:11">
      <c r="A77" s="2" t="s">
        <v>508</v>
      </c>
      <c r="B77" s="3" t="s">
        <v>418</v>
      </c>
      <c r="D77" s="14">
        <v>2.7845667642605797E-13</v>
      </c>
      <c r="E77" s="14">
        <v>1.5135985746530337E-6</v>
      </c>
      <c r="F77" s="14">
        <v>3.8426628737323572E-5</v>
      </c>
      <c r="G77" s="14">
        <v>2.236137981613581E-9</v>
      </c>
      <c r="H77" s="14">
        <v>0</v>
      </c>
      <c r="I77" s="14">
        <v>5.4610696634179001E-8</v>
      </c>
      <c r="J77" s="14">
        <v>2.9255749509413797E-9</v>
      </c>
      <c r="K77" s="14">
        <v>0</v>
      </c>
    </row>
    <row r="78" spans="1:11">
      <c r="A78" s="2" t="s">
        <v>509</v>
      </c>
      <c r="B78" s="3" t="s">
        <v>419</v>
      </c>
      <c r="D78" s="14">
        <v>2.7468588454751507E-14</v>
      </c>
      <c r="E78" s="14">
        <v>1.7118629989027028E-7</v>
      </c>
      <c r="F78" s="14">
        <v>3.9428529415932089E-5</v>
      </c>
      <c r="G78" s="14">
        <v>1.5215104463787981E-8</v>
      </c>
      <c r="H78" s="14">
        <v>0</v>
      </c>
      <c r="I78" s="14">
        <v>3.8175641058724222E-7</v>
      </c>
      <c r="J78" s="14">
        <v>3.3127416580245242E-9</v>
      </c>
      <c r="K78" s="14">
        <v>0</v>
      </c>
    </row>
    <row r="79" spans="1:11">
      <c r="A79" s="2" t="s">
        <v>510</v>
      </c>
      <c r="B79" s="3" t="s">
        <v>420</v>
      </c>
      <c r="D79" s="14">
        <v>6.8997983618761147E-19</v>
      </c>
      <c r="E79" s="14">
        <v>1.7118631361514403E-7</v>
      </c>
      <c r="F79" s="14">
        <v>3.942853257711723E-5</v>
      </c>
      <c r="G79" s="14">
        <v>1.5212697806771742E-8</v>
      </c>
      <c r="H79" s="14">
        <v>0</v>
      </c>
      <c r="I79" s="14">
        <v>3.8175619379676531E-7</v>
      </c>
      <c r="J79" s="14">
        <v>3.3122176633997585E-9</v>
      </c>
      <c r="K79" s="14">
        <v>0</v>
      </c>
    </row>
    <row r="80" spans="1:11">
      <c r="A80" s="2" t="s">
        <v>511</v>
      </c>
      <c r="B80" s="3" t="s">
        <v>421</v>
      </c>
      <c r="D80" s="14">
        <v>7.8392533449337834E-14</v>
      </c>
      <c r="E80" s="14">
        <v>6.6592813252934951E-6</v>
      </c>
      <c r="F80" s="14">
        <v>3.3277365488428564E-5</v>
      </c>
      <c r="G80" s="14">
        <v>2.1762726082385055E-9</v>
      </c>
      <c r="H80" s="14">
        <v>0</v>
      </c>
      <c r="I80" s="14">
        <v>5.5676034373213873E-8</v>
      </c>
      <c r="J80" s="14">
        <v>5.5008009039558061E-9</v>
      </c>
      <c r="K80" s="14">
        <v>0</v>
      </c>
    </row>
    <row r="81" spans="1:11">
      <c r="A81" s="2" t="s">
        <v>512</v>
      </c>
      <c r="B81" s="3" t="s">
        <v>422</v>
      </c>
      <c r="D81" s="14">
        <v>1.025468416715091E-13</v>
      </c>
      <c r="E81" s="14">
        <v>3.2161400439516865E-5</v>
      </c>
      <c r="F81" s="14">
        <v>7.7982387215350177E-6</v>
      </c>
      <c r="G81" s="14">
        <v>6.3732489774850757E-10</v>
      </c>
      <c r="H81" s="14">
        <v>0</v>
      </c>
      <c r="I81" s="14">
        <v>3.4234660676878857E-8</v>
      </c>
      <c r="J81" s="14">
        <v>5.4887508266570206E-9</v>
      </c>
      <c r="K81" s="14">
        <v>0</v>
      </c>
    </row>
    <row r="82" spans="1:11">
      <c r="A82" s="2" t="s">
        <v>513</v>
      </c>
      <c r="B82" s="3" t="s">
        <v>423</v>
      </c>
      <c r="D82" s="14">
        <v>2.5810975606000181E-17</v>
      </c>
      <c r="E82" s="14">
        <v>2.4315156039759581E-5</v>
      </c>
      <c r="F82" s="14">
        <v>1.5634306986773038E-5</v>
      </c>
      <c r="G82" s="14">
        <v>1.1889792063460363E-9</v>
      </c>
      <c r="H82" s="14">
        <v>0</v>
      </c>
      <c r="I82" s="14">
        <v>4.245057077281323E-8</v>
      </c>
      <c r="J82" s="14">
        <v>6.8974234624097927E-9</v>
      </c>
      <c r="K82" s="14">
        <v>0</v>
      </c>
    </row>
    <row r="83" spans="1:11">
      <c r="A83" s="2" t="s">
        <v>514</v>
      </c>
      <c r="B83" s="3" t="s">
        <v>424</v>
      </c>
      <c r="D83" s="14">
        <v>9.7474596466603125E-15</v>
      </c>
      <c r="E83" s="14">
        <v>1.1503344026141311E-7</v>
      </c>
      <c r="F83" s="14">
        <v>3.9117012839129226E-5</v>
      </c>
      <c r="G83" s="14">
        <v>2.8995462587390146E-8</v>
      </c>
      <c r="H83" s="14">
        <v>0</v>
      </c>
      <c r="I83" s="14">
        <v>7.3495656536635196E-7</v>
      </c>
      <c r="J83" s="14">
        <v>4.0016829081560702E-9</v>
      </c>
      <c r="K83" s="14">
        <v>0</v>
      </c>
    </row>
    <row r="84" spans="1:11">
      <c r="A84" s="2" t="s">
        <v>403</v>
      </c>
      <c r="B84" s="3" t="s">
        <v>404</v>
      </c>
      <c r="D84" s="14">
        <v>1.7768503435336527E-48</v>
      </c>
      <c r="E84" s="14">
        <v>1.1284010748103724E-5</v>
      </c>
      <c r="F84" s="14">
        <v>1.2266624342257074E-5</v>
      </c>
      <c r="G84" s="14">
        <v>2.8380537796198694E-6</v>
      </c>
      <c r="H84" s="14">
        <v>0</v>
      </c>
      <c r="I84" s="14">
        <v>3.0268418785060155E-7</v>
      </c>
      <c r="J84" s="14">
        <v>1.3308626942168729E-5</v>
      </c>
      <c r="K84" s="14">
        <v>0</v>
      </c>
    </row>
    <row r="85" spans="1:11">
      <c r="A85" s="2" t="s">
        <v>405</v>
      </c>
      <c r="B85" s="3" t="s">
        <v>406</v>
      </c>
      <c r="D85" s="14">
        <v>4.3178314606925697E-13</v>
      </c>
      <c r="E85" s="14">
        <v>1.5756498074383429E-6</v>
      </c>
      <c r="F85" s="14">
        <v>2.4764672350903314E-5</v>
      </c>
      <c r="G85" s="14">
        <v>1.2946619333948158E-6</v>
      </c>
      <c r="H85" s="14">
        <v>0</v>
      </c>
      <c r="I85" s="14">
        <v>1.1877858406989641E-5</v>
      </c>
      <c r="J85" s="14">
        <v>4.8715706949074398E-7</v>
      </c>
      <c r="K85" s="14">
        <v>0</v>
      </c>
    </row>
    <row r="86" spans="1:11">
      <c r="A86" s="2" t="s">
        <v>407</v>
      </c>
      <c r="B86" s="3" t="s">
        <v>408</v>
      </c>
      <c r="D86" s="14">
        <v>9.7826935787054388E-10</v>
      </c>
      <c r="E86" s="14">
        <v>1.3487488611573298E-8</v>
      </c>
      <c r="F86" s="14">
        <v>6.5408270420877397E-6</v>
      </c>
      <c r="G86" s="14">
        <v>2.7786140071383591E-5</v>
      </c>
      <c r="H86" s="14">
        <v>0</v>
      </c>
      <c r="I86" s="14">
        <v>3.1272832612714731E-6</v>
      </c>
      <c r="J86" s="14">
        <v>2.5312838672877585E-6</v>
      </c>
      <c r="K86" s="14">
        <v>0</v>
      </c>
    </row>
    <row r="87" spans="1:11">
      <c r="A87" s="2" t="s">
        <v>409</v>
      </c>
      <c r="B87" s="3" t="s">
        <v>410</v>
      </c>
      <c r="D87" s="14">
        <v>1.2058811722208095E-10</v>
      </c>
      <c r="E87" s="14">
        <v>4.6528296781767502E-9</v>
      </c>
      <c r="F87" s="14">
        <v>3.5089625191136145E-6</v>
      </c>
      <c r="G87" s="14">
        <v>3.1237357266397902E-5</v>
      </c>
      <c r="H87" s="14">
        <v>0</v>
      </c>
      <c r="I87" s="14">
        <v>3.5514961758801087E-6</v>
      </c>
      <c r="J87" s="14">
        <v>1.6974106208129871E-6</v>
      </c>
      <c r="K87" s="14">
        <v>0</v>
      </c>
    </row>
    <row r="88" spans="1:11">
      <c r="A88" s="2" t="s">
        <v>301</v>
      </c>
      <c r="B88" s="3" t="s">
        <v>302</v>
      </c>
      <c r="D88" s="14">
        <v>1.4852656973077657E-11</v>
      </c>
      <c r="E88" s="14">
        <v>1.3023772206970246E-9</v>
      </c>
      <c r="F88" s="14">
        <v>1.6228499478237545E-6</v>
      </c>
      <c r="G88" s="14">
        <v>3.3509960912662083E-5</v>
      </c>
      <c r="H88" s="14">
        <v>0</v>
      </c>
      <c r="I88" s="14">
        <v>3.8540908346769348E-6</v>
      </c>
      <c r="J88" s="14">
        <v>1.01178107495955E-6</v>
      </c>
      <c r="K88" s="14">
        <v>0</v>
      </c>
    </row>
    <row r="89" spans="1:11">
      <c r="A89" s="2" t="s">
        <v>303</v>
      </c>
      <c r="B89" s="3" t="s">
        <v>304</v>
      </c>
      <c r="D89" s="14">
        <v>3.2129115024540317E-18</v>
      </c>
      <c r="E89" s="14">
        <v>2.4693669396679694E-8</v>
      </c>
      <c r="F89" s="14">
        <v>2.8222518861609018E-6</v>
      </c>
      <c r="G89" s="14">
        <v>7.3400978222231688E-6</v>
      </c>
      <c r="H89" s="14">
        <v>0</v>
      </c>
      <c r="I89" s="14">
        <v>2.9503346979373814E-5</v>
      </c>
      <c r="J89" s="14">
        <v>3.0960964284221736E-7</v>
      </c>
      <c r="K89" s="14">
        <v>0</v>
      </c>
    </row>
    <row r="90" spans="1:11">
      <c r="A90" s="2" t="s">
        <v>425</v>
      </c>
      <c r="B90" s="3" t="s">
        <v>426</v>
      </c>
      <c r="D90" s="14">
        <v>6.4057367864579254E-18</v>
      </c>
      <c r="E90" s="14">
        <v>3.8921875946898968E-5</v>
      </c>
      <c r="F90" s="14">
        <v>3.6638302028326877E-8</v>
      </c>
      <c r="G90" s="14">
        <v>1.2301572355951793E-8</v>
      </c>
      <c r="H90" s="14">
        <v>0</v>
      </c>
      <c r="I90" s="14">
        <v>2.4861531647980215E-8</v>
      </c>
      <c r="J90" s="14">
        <v>1.0043226470623649E-6</v>
      </c>
      <c r="K90" s="14">
        <v>0</v>
      </c>
    </row>
    <row r="91" spans="1:11">
      <c r="A91" s="2" t="s">
        <v>427</v>
      </c>
      <c r="B91" s="3" t="s">
        <v>428</v>
      </c>
      <c r="D91" s="14">
        <v>3.2924497479818208E-9</v>
      </c>
      <c r="E91" s="14">
        <v>2.8621460794318612E-5</v>
      </c>
      <c r="F91" s="14">
        <v>2.1968144169170318E-6</v>
      </c>
      <c r="G91" s="14">
        <v>6.1785835725965062E-7</v>
      </c>
      <c r="H91" s="14">
        <v>0</v>
      </c>
      <c r="I91" s="14">
        <v>8.0462611221484533E-8</v>
      </c>
      <c r="J91" s="14">
        <v>8.480111370535251E-6</v>
      </c>
      <c r="K91" s="14">
        <v>0</v>
      </c>
    </row>
    <row r="92" spans="1:11">
      <c r="A92" s="2" t="s">
        <v>429</v>
      </c>
      <c r="B92" s="3" t="s">
        <v>430</v>
      </c>
      <c r="D92" s="14">
        <v>2.0043954370728159E-8</v>
      </c>
      <c r="E92" s="14">
        <v>5.0326420959855235E-6</v>
      </c>
      <c r="F92" s="14">
        <v>1.9101066664229599E-5</v>
      </c>
      <c r="G92" s="14">
        <v>4.0304466388486825E-6</v>
      </c>
      <c r="H92" s="14">
        <v>0</v>
      </c>
      <c r="I92" s="14">
        <v>4.2731952448086607E-7</v>
      </c>
      <c r="J92" s="14">
        <v>1.1388481122084606E-5</v>
      </c>
      <c r="K92" s="14">
        <v>0</v>
      </c>
    </row>
    <row r="93" spans="1:11">
      <c r="A93" s="2" t="s">
        <v>431</v>
      </c>
      <c r="B93" s="3" t="s">
        <v>432</v>
      </c>
      <c r="D93" s="14">
        <v>4.8185656333989763E-22</v>
      </c>
      <c r="E93" s="14">
        <v>3.9794778112357254E-5</v>
      </c>
      <c r="F93" s="14">
        <v>1.7436433662159932E-7</v>
      </c>
      <c r="G93" s="14">
        <v>1.3969458867986018E-10</v>
      </c>
      <c r="H93" s="14">
        <v>0</v>
      </c>
      <c r="I93" s="14">
        <v>2.460150805992635E-8</v>
      </c>
      <c r="J93" s="14">
        <v>6.1163483725420318E-9</v>
      </c>
      <c r="K93" s="14">
        <v>0</v>
      </c>
    </row>
    <row r="94" spans="1:11">
      <c r="A94" s="2" t="s">
        <v>433</v>
      </c>
      <c r="B94" s="3" t="s">
        <v>434</v>
      </c>
      <c r="D94" s="14">
        <v>1.0184554288407542E-22</v>
      </c>
      <c r="E94" s="14">
        <v>3.9974649830157323E-5</v>
      </c>
      <c r="F94" s="14">
        <v>6.7860373035394209E-10</v>
      </c>
      <c r="G94" s="14">
        <v>9.4691693658799502E-13</v>
      </c>
      <c r="H94" s="14">
        <v>0</v>
      </c>
      <c r="I94" s="14">
        <v>2.4515871384181337E-8</v>
      </c>
      <c r="J94" s="14">
        <v>1.5474781121304323E-10</v>
      </c>
      <c r="K94" s="14">
        <v>0</v>
      </c>
    </row>
    <row r="95" spans="1:11">
      <c r="A95" s="2" t="s">
        <v>435</v>
      </c>
      <c r="B95" s="3" t="s">
        <v>436</v>
      </c>
      <c r="D95" s="14">
        <v>5.4464236267168122E-13</v>
      </c>
      <c r="E95" s="14">
        <v>3.7455229332362345E-5</v>
      </c>
      <c r="F95" s="14">
        <v>1.4940214235811758E-7</v>
      </c>
      <c r="G95" s="14">
        <v>5.1818885887378545E-8</v>
      </c>
      <c r="H95" s="14">
        <v>0</v>
      </c>
      <c r="I95" s="14">
        <v>2.8284119529082443E-8</v>
      </c>
      <c r="J95" s="14">
        <v>2.3152649752207184E-6</v>
      </c>
      <c r="K95" s="14">
        <v>0</v>
      </c>
    </row>
    <row r="96" spans="1:11">
      <c r="A96" s="2" t="s">
        <v>437</v>
      </c>
      <c r="B96" s="163" t="s">
        <v>438</v>
      </c>
      <c r="D96" s="14">
        <v>1.8324404029458527E-12</v>
      </c>
      <c r="E96" s="14">
        <v>1.966267040406727E-8</v>
      </c>
      <c r="F96" s="14">
        <v>8.0891720711270037E-6</v>
      </c>
      <c r="G96" s="14">
        <v>2.6085527841158814E-5</v>
      </c>
      <c r="H96" s="14">
        <v>0</v>
      </c>
      <c r="I96" s="14">
        <v>2.9248412145783826E-6</v>
      </c>
      <c r="J96" s="14">
        <v>2.8807943702913202E-6</v>
      </c>
      <c r="K96" s="14">
        <v>0</v>
      </c>
    </row>
    <row r="97" spans="1:11">
      <c r="A97" s="2" t="s">
        <v>439</v>
      </c>
      <c r="B97" s="3" t="s">
        <v>440</v>
      </c>
      <c r="D97" s="14">
        <v>1.5915068376492654E-9</v>
      </c>
      <c r="E97" s="14">
        <v>2.3936527630514962E-5</v>
      </c>
      <c r="F97" s="14">
        <v>4.0896178124357718E-6</v>
      </c>
      <c r="G97" s="14">
        <v>1.0843719603885993E-6</v>
      </c>
      <c r="H97" s="14">
        <v>0</v>
      </c>
      <c r="I97" s="14">
        <v>1.259425848971889E-7</v>
      </c>
      <c r="J97" s="14">
        <v>1.0761948504925836E-5</v>
      </c>
      <c r="K97" s="14">
        <v>0</v>
      </c>
    </row>
    <row r="98" spans="1:11">
      <c r="A98" s="2" t="s">
        <v>441</v>
      </c>
      <c r="B98" s="3" t="s">
        <v>442</v>
      </c>
      <c r="D98" s="14">
        <v>1.0855159358334215E-21</v>
      </c>
      <c r="E98" s="14">
        <v>2.7825875908325924E-5</v>
      </c>
      <c r="F98" s="14">
        <v>2.4814779378461717E-6</v>
      </c>
      <c r="G98" s="14">
        <v>6.9024929816289182E-7</v>
      </c>
      <c r="H98" s="14">
        <v>0</v>
      </c>
      <c r="I98" s="14">
        <v>8.7453167329882639E-8</v>
      </c>
      <c r="J98" s="14">
        <v>8.9149436883351371E-6</v>
      </c>
      <c r="K98" s="14">
        <v>0</v>
      </c>
    </row>
    <row r="99" spans="1:11">
      <c r="A99" s="2" t="s">
        <v>443</v>
      </c>
      <c r="B99" s="3" t="s">
        <v>444</v>
      </c>
      <c r="D99" s="14">
        <v>1.6793016311536959E-33</v>
      </c>
      <c r="E99" s="14">
        <v>3.4506534914125125E-5</v>
      </c>
      <c r="F99" s="14">
        <v>5.9074890419738108E-7</v>
      </c>
      <c r="G99" s="14">
        <v>1.8556603151141535E-7</v>
      </c>
      <c r="H99" s="14">
        <v>0</v>
      </c>
      <c r="I99" s="14">
        <v>3.9679074183155355E-8</v>
      </c>
      <c r="J99" s="14">
        <v>4.6774710759829308E-6</v>
      </c>
      <c r="K99" s="14">
        <v>0</v>
      </c>
    </row>
    <row r="100" spans="1:11">
      <c r="A100" s="2" t="s">
        <v>445</v>
      </c>
      <c r="B100" s="3" t="s">
        <v>446</v>
      </c>
      <c r="D100" s="14">
        <v>1.949578325729491E-12</v>
      </c>
      <c r="E100" s="14">
        <v>1.3098251604314714E-7</v>
      </c>
      <c r="F100" s="14">
        <v>2.0611751737100448E-5</v>
      </c>
      <c r="G100" s="14">
        <v>1.3283436935307113E-5</v>
      </c>
      <c r="H100" s="14">
        <v>0</v>
      </c>
      <c r="I100" s="14">
        <v>1.4571076926818657E-6</v>
      </c>
      <c r="J100" s="14">
        <v>4.5167191692891041E-6</v>
      </c>
      <c r="K100" s="14">
        <v>0</v>
      </c>
    </row>
    <row r="101" spans="1:11">
      <c r="A101" s="2" t="s">
        <v>447</v>
      </c>
      <c r="B101" s="3" t="s">
        <v>448</v>
      </c>
      <c r="D101" s="14">
        <v>1.7597806299381856E-13</v>
      </c>
      <c r="E101" s="14">
        <v>7.0211972431881727E-6</v>
      </c>
      <c r="F101" s="14">
        <v>1.6570390682479954E-5</v>
      </c>
      <c r="G101" s="14">
        <v>3.6209981533556489E-6</v>
      </c>
      <c r="H101" s="14">
        <v>0</v>
      </c>
      <c r="I101" s="14">
        <v>3.8400848134937267E-7</v>
      </c>
      <c r="J101" s="14">
        <v>1.2403405263648786E-5</v>
      </c>
      <c r="K101" s="14">
        <v>0</v>
      </c>
    </row>
    <row r="102" spans="1:11">
      <c r="A102" s="2" t="s">
        <v>449</v>
      </c>
      <c r="B102" s="3" t="s">
        <v>450</v>
      </c>
      <c r="D102" s="14">
        <v>7.7891820789374914E-9</v>
      </c>
      <c r="E102" s="14">
        <v>1.5408646666582984E-6</v>
      </c>
      <c r="F102" s="14">
        <v>2.5572080968374964E-5</v>
      </c>
      <c r="G102" s="14">
        <v>4.8401812642977402E-6</v>
      </c>
      <c r="H102" s="14">
        <v>0</v>
      </c>
      <c r="I102" s="14">
        <v>5.1637501559460743E-7</v>
      </c>
      <c r="J102" s="14">
        <v>7.5227089029954622E-6</v>
      </c>
      <c r="K102" s="14">
        <v>0</v>
      </c>
    </row>
    <row r="103" spans="1:11">
      <c r="A103" s="2" t="s">
        <v>451</v>
      </c>
      <c r="B103" s="3" t="s">
        <v>452</v>
      </c>
      <c r="D103" s="14">
        <v>1.7591145660969344E-23</v>
      </c>
      <c r="E103" s="14">
        <v>3.5765479715646683E-5</v>
      </c>
      <c r="F103" s="14">
        <v>4.1993843834343557E-6</v>
      </c>
      <c r="G103" s="14">
        <v>4.0753117533525708E-10</v>
      </c>
      <c r="H103" s="14">
        <v>0</v>
      </c>
      <c r="I103" s="14">
        <v>3.001996848011854E-8</v>
      </c>
      <c r="J103" s="14">
        <v>4.708401263510721E-9</v>
      </c>
      <c r="K103" s="14">
        <v>0</v>
      </c>
    </row>
    <row r="104" spans="1:11">
      <c r="A104" s="2" t="s">
        <v>453</v>
      </c>
      <c r="B104" s="3" t="s">
        <v>454</v>
      </c>
      <c r="D104" s="14">
        <v>4.5069202909407485E-25</v>
      </c>
      <c r="E104" s="14">
        <v>4.434432441664646E-7</v>
      </c>
      <c r="F104" s="14">
        <v>3.9407566505555401E-5</v>
      </c>
      <c r="G104" s="14">
        <v>4.1729700476913312E-8</v>
      </c>
      <c r="H104" s="14">
        <v>0</v>
      </c>
      <c r="I104" s="14">
        <v>7.9568321840387234E-8</v>
      </c>
      <c r="J104" s="14">
        <v>2.7692227960838577E-8</v>
      </c>
      <c r="K104" s="14">
        <v>0</v>
      </c>
    </row>
    <row r="105" spans="1:11">
      <c r="A105" s="2" t="s">
        <v>455</v>
      </c>
      <c r="B105" s="163">
        <v>354656</v>
      </c>
      <c r="D105" s="14">
        <v>1.4734981754136917E-14</v>
      </c>
      <c r="E105" s="14">
        <v>3.8717048541191983E-5</v>
      </c>
      <c r="F105" s="14">
        <v>3.9284734041152141E-8</v>
      </c>
      <c r="G105" s="14">
        <v>1.5195653174995532E-8</v>
      </c>
      <c r="H105" s="14">
        <v>0</v>
      </c>
      <c r="I105" s="14">
        <v>2.5010105718465579E-8</v>
      </c>
      <c r="J105" s="14">
        <v>1.2034609511384258E-6</v>
      </c>
      <c r="K105" s="14">
        <v>0</v>
      </c>
    </row>
    <row r="106" spans="1:11">
      <c r="A106" s="2" t="s">
        <v>457</v>
      </c>
      <c r="B106" s="3" t="s">
        <v>458</v>
      </c>
      <c r="D106" s="14">
        <v>2.183353892443397E-14</v>
      </c>
      <c r="E106" s="14">
        <v>3.7330264284413537E-5</v>
      </c>
      <c r="F106" s="14">
        <v>1.619287169196859E-7</v>
      </c>
      <c r="G106" s="14">
        <v>5.5911271960611126E-8</v>
      </c>
      <c r="H106" s="14">
        <v>0</v>
      </c>
      <c r="I106" s="14">
        <v>2.8568806187220566E-8</v>
      </c>
      <c r="J106" s="14">
        <v>2.4233268986854175E-6</v>
      </c>
      <c r="K106" s="14">
        <v>0</v>
      </c>
    </row>
    <row r="107" spans="1:11">
      <c r="A107" s="2" t="s">
        <v>459</v>
      </c>
      <c r="B107" s="3" t="s">
        <v>460</v>
      </c>
      <c r="D107" s="14">
        <v>1.8174321511231619E-24</v>
      </c>
      <c r="E107" s="14">
        <v>8.2714734741276805E-7</v>
      </c>
      <c r="F107" s="14">
        <v>2.8168359177965936E-5</v>
      </c>
      <c r="G107" s="14">
        <v>4.9300320501328641E-6</v>
      </c>
      <c r="H107" s="14">
        <v>0</v>
      </c>
      <c r="I107" s="14">
        <v>6.4492972307986546E-7</v>
      </c>
      <c r="J107" s="14">
        <v>5.4295317014085722E-6</v>
      </c>
      <c r="K107" s="14">
        <v>0</v>
      </c>
    </row>
    <row r="108" spans="1:11">
      <c r="A108" s="2" t="s">
        <v>461</v>
      </c>
      <c r="B108" s="3" t="s">
        <v>462</v>
      </c>
      <c r="D108" s="14">
        <v>4.4003041562596328E-14</v>
      </c>
      <c r="E108" s="14">
        <v>3.997301822425404E-5</v>
      </c>
      <c r="F108" s="14">
        <v>3.5150320329723742E-10</v>
      </c>
      <c r="G108" s="14">
        <v>1.0188045335454063E-11</v>
      </c>
      <c r="H108" s="14">
        <v>0</v>
      </c>
      <c r="I108" s="14">
        <v>2.4397736333441375E-8</v>
      </c>
      <c r="J108" s="14">
        <v>2.2223041608466636E-9</v>
      </c>
      <c r="K108" s="14">
        <v>0</v>
      </c>
    </row>
    <row r="109" spans="1:11">
      <c r="A109" s="2" t="s">
        <v>463</v>
      </c>
      <c r="B109" s="3" t="s">
        <v>464</v>
      </c>
      <c r="D109" s="14">
        <v>1.1125668955424294E-16</v>
      </c>
      <c r="E109" s="14">
        <v>3.6451298137585007E-5</v>
      </c>
      <c r="F109" s="14">
        <v>2.284142223120658E-6</v>
      </c>
      <c r="G109" s="14">
        <v>1.1353485714296705E-7</v>
      </c>
      <c r="H109" s="14">
        <v>0</v>
      </c>
      <c r="I109" s="14">
        <v>4.2951562322136825E-7</v>
      </c>
      <c r="J109" s="14">
        <v>7.2150915881874964E-7</v>
      </c>
      <c r="K109" s="14">
        <v>0</v>
      </c>
    </row>
    <row r="110" spans="1:11">
      <c r="A110" s="2" t="s">
        <v>465</v>
      </c>
      <c r="B110" s="3" t="s">
        <v>466</v>
      </c>
      <c r="D110" s="14">
        <v>8.3540797970513569E-16</v>
      </c>
      <c r="E110" s="14">
        <v>3.9714870510473675E-5</v>
      </c>
      <c r="F110" s="14">
        <v>8.9882413445426933E-9</v>
      </c>
      <c r="G110" s="14">
        <v>1.7196546994544773E-9</v>
      </c>
      <c r="H110" s="14">
        <v>0</v>
      </c>
      <c r="I110" s="14">
        <v>2.4298447273034235E-8</v>
      </c>
      <c r="J110" s="14">
        <v>2.5012314537389521E-7</v>
      </c>
      <c r="K110" s="14">
        <v>0</v>
      </c>
    </row>
    <row r="111" spans="1:11">
      <c r="A111" s="2" t="s">
        <v>467</v>
      </c>
      <c r="B111" s="3" t="s">
        <v>468</v>
      </c>
      <c r="D111" s="14">
        <v>1.4850049802908111E-34</v>
      </c>
      <c r="E111" s="14">
        <v>3.9974859979766836E-5</v>
      </c>
      <c r="F111" s="14">
        <v>6.387759044225571E-10</v>
      </c>
      <c r="G111" s="14">
        <v>5.277405606749371E-13</v>
      </c>
      <c r="H111" s="14">
        <v>0</v>
      </c>
      <c r="I111" s="14">
        <v>2.4276052785944533E-8</v>
      </c>
      <c r="J111" s="14">
        <v>2.246638022468427E-10</v>
      </c>
      <c r="K111" s="14">
        <v>0</v>
      </c>
    </row>
    <row r="112" spans="1:11">
      <c r="A112" s="2" t="s">
        <v>469</v>
      </c>
      <c r="B112" s="3" t="s">
        <v>470</v>
      </c>
      <c r="D112" s="14">
        <v>9.3866342140976641E-18</v>
      </c>
      <c r="E112" s="14">
        <v>3.9647201206847016E-5</v>
      </c>
      <c r="F112" s="14">
        <v>3.1001600049634094E-9</v>
      </c>
      <c r="G112" s="14">
        <v>1.4483704795677288E-9</v>
      </c>
      <c r="H112" s="14">
        <v>0</v>
      </c>
      <c r="I112" s="14">
        <v>2.421498445130916E-8</v>
      </c>
      <c r="J112" s="14">
        <v>3.2403527820775898E-7</v>
      </c>
      <c r="K112" s="14">
        <v>0</v>
      </c>
    </row>
    <row r="113" spans="1:11">
      <c r="A113" s="2" t="s">
        <v>471</v>
      </c>
      <c r="B113" s="3" t="s">
        <v>472</v>
      </c>
      <c r="D113" s="14">
        <v>1.15510538424644E-13</v>
      </c>
      <c r="E113" s="14">
        <v>3.8035948332090039E-5</v>
      </c>
      <c r="F113" s="14">
        <v>8.8083755573765819E-8</v>
      </c>
      <c r="G113" s="14">
        <v>3.2062056749776403E-8</v>
      </c>
      <c r="H113" s="14">
        <v>0</v>
      </c>
      <c r="I113" s="14">
        <v>2.6281905319282931E-8</v>
      </c>
      <c r="J113" s="14">
        <v>1.8176238347565957E-6</v>
      </c>
      <c r="K113" s="14">
        <v>0</v>
      </c>
    </row>
    <row r="114" spans="1:11">
      <c r="A114" s="2" t="s">
        <v>473</v>
      </c>
      <c r="B114" s="3" t="s">
        <v>474</v>
      </c>
      <c r="D114" s="14">
        <v>9.2140660220032917E-21</v>
      </c>
      <c r="E114" s="14">
        <v>3.9806417040805533E-5</v>
      </c>
      <c r="F114" s="14">
        <v>9.0272332268896334E-10</v>
      </c>
      <c r="G114" s="14">
        <v>4.5480294338623696E-10</v>
      </c>
      <c r="H114" s="14">
        <v>0</v>
      </c>
      <c r="I114" s="14">
        <v>2.4215136820446604E-8</v>
      </c>
      <c r="J114" s="14">
        <v>1.6801029610794519E-7</v>
      </c>
      <c r="K114" s="14">
        <v>0</v>
      </c>
    </row>
    <row r="115" spans="1:11">
      <c r="A115" s="2" t="s">
        <v>475</v>
      </c>
      <c r="B115" s="3" t="s">
        <v>476</v>
      </c>
      <c r="D115" s="14">
        <v>4.7648562015368672E-17</v>
      </c>
      <c r="E115" s="14">
        <v>3.8873794547795307E-5</v>
      </c>
      <c r="F115" s="14">
        <v>1.0973837107599097E-6</v>
      </c>
      <c r="G115" s="14">
        <v>1.3144448300152824E-10</v>
      </c>
      <c r="H115" s="14">
        <v>0</v>
      </c>
      <c r="I115" s="14">
        <v>2.5984750472589205E-8</v>
      </c>
      <c r="J115" s="14">
        <v>2.7055464415555883E-9</v>
      </c>
      <c r="K115" s="14">
        <v>0</v>
      </c>
    </row>
    <row r="116" spans="1:11">
      <c r="A116" s="2" t="s">
        <v>477</v>
      </c>
      <c r="B116" s="3" t="s">
        <v>478</v>
      </c>
      <c r="D116" s="14">
        <v>1.2122535850376582E-21</v>
      </c>
      <c r="E116" s="14">
        <v>4.8292006011170644E-6</v>
      </c>
      <c r="F116" s="14">
        <v>2.9604636036696093E-5</v>
      </c>
      <c r="G116" s="14">
        <v>7.1703977417013519E-7</v>
      </c>
      <c r="H116" s="14">
        <v>0</v>
      </c>
      <c r="I116" s="14">
        <v>4.1568848847184124E-6</v>
      </c>
      <c r="J116" s="14">
        <v>6.9223870329830109E-7</v>
      </c>
      <c r="K116" s="14">
        <v>0</v>
      </c>
    </row>
    <row r="117" spans="1:11">
      <c r="A117" s="2" t="s">
        <v>291</v>
      </c>
      <c r="B117" s="3" t="s">
        <v>479</v>
      </c>
      <c r="D117" s="14">
        <v>1.1716425660918039E-14</v>
      </c>
      <c r="E117" s="14">
        <v>1.8803893460845753E-5</v>
      </c>
      <c r="F117" s="14">
        <v>6.8025126210792709E-6</v>
      </c>
      <c r="G117" s="14">
        <v>1.7067303507055648E-6</v>
      </c>
      <c r="H117" s="14">
        <v>0</v>
      </c>
      <c r="I117" s="14">
        <v>1.8779810723459667E-7</v>
      </c>
      <c r="J117" s="14">
        <v>1.2499065448418393E-5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8FD8F-6897-4818-841D-CE5FFD4E96EC}">
  <dimension ref="A1:D117"/>
  <sheetViews>
    <sheetView tabSelected="1" topLeftCell="A94" workbookViewId="0">
      <selection activeCell="D108" sqref="A2:D117"/>
    </sheetView>
  </sheetViews>
  <sheetFormatPr defaultRowHeight="15"/>
  <cols>
    <col min="1" max="1" width="13.5" bestFit="1" customWidth="1"/>
    <col min="2" max="2" width="12.3554687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2.4633627770516892E-8</v>
      </c>
      <c r="B2">
        <f>'Mass Balance'!E2</f>
        <v>3.9007448514113064E-5</v>
      </c>
      <c r="C2">
        <f>SUM('Mass Balance'!E2:H2)</f>
        <v>3.9041084781759895E-5</v>
      </c>
      <c r="D2">
        <f>Concentrations!F2/Concentrations!E2</f>
        <v>1.0030487243621815</v>
      </c>
    </row>
    <row r="3" spans="1:4">
      <c r="A3">
        <f>'Mass Balance'!I3</f>
        <v>2.3750724533917438E-7</v>
      </c>
      <c r="B3">
        <f>'Mass Balance'!E3</f>
        <v>1.8589267211755396E-5</v>
      </c>
      <c r="C3">
        <f>SUM('Mass Balance'!E3:H3)</f>
        <v>2.7768554993356969E-5</v>
      </c>
      <c r="D3">
        <f>Concentrations!F3/Concentrations!E3</f>
        <v>0.67205582832727218</v>
      </c>
    </row>
    <row r="4" spans="1:4">
      <c r="A4">
        <f>'Mass Balance'!I4</f>
        <v>2.9153225396896129E-8</v>
      </c>
      <c r="B4">
        <f>'Mass Balance'!E4</f>
        <v>3.9953141380258136E-5</v>
      </c>
      <c r="C4">
        <f>SUM('Mass Balance'!E4:H4)</f>
        <v>3.997002130558269E-5</v>
      </c>
      <c r="D4">
        <f>Concentrations!F4/Concentrations!E4</f>
        <v>1.0034896895616314</v>
      </c>
    </row>
    <row r="5" spans="1:4">
      <c r="A5">
        <f>'Mass Balance'!I5</f>
        <v>4.4774636278074569E-8</v>
      </c>
      <c r="B5">
        <f>'Mass Balance'!E5</f>
        <v>2.1880449277482476E-5</v>
      </c>
      <c r="C5">
        <f>SUM('Mass Balance'!E5:H5)</f>
        <v>3.994770861160354E-5</v>
      </c>
      <c r="D5">
        <f>Concentrations!F5/Concentrations!E5</f>
        <v>0.54987088407343232</v>
      </c>
    </row>
    <row r="6" spans="1:4">
      <c r="A6">
        <f>'Mass Balance'!I6</f>
        <v>5.2705360970341274E-8</v>
      </c>
      <c r="B6">
        <f>'Mass Balance'!E6</f>
        <v>1.2946967716115621E-5</v>
      </c>
      <c r="C6">
        <f>SUM('Mass Balance'!E6:H6)</f>
        <v>3.9919117635437695E-5</v>
      </c>
      <c r="D6">
        <f>Concentrations!F6/Concentrations!E6</f>
        <v>0.32559932375393774</v>
      </c>
    </row>
    <row r="7" spans="1:4">
      <c r="A7">
        <f>'Mass Balance'!I7</f>
        <v>6.269512704738803E-8</v>
      </c>
      <c r="B7">
        <f>'Mass Balance'!E7</f>
        <v>4.2983604713341677E-6</v>
      </c>
      <c r="C7">
        <f>SUM('Mass Balance'!E7:H7)</f>
        <v>3.9788488392324839E-5</v>
      </c>
      <c r="D7">
        <f>Concentrations!F7/Concentrations!E7</f>
        <v>0.10845304645239194</v>
      </c>
    </row>
    <row r="8" spans="1:4">
      <c r="A8">
        <f>'Mass Balance'!I8</f>
        <v>5.4781087905296999E-8</v>
      </c>
      <c r="B8">
        <f>'Mass Balance'!E8</f>
        <v>9.1798940590170225E-6</v>
      </c>
      <c r="C8">
        <f>SUM('Mass Balance'!E8:H8)</f>
        <v>3.9931321419247461E-5</v>
      </c>
      <c r="D8">
        <f>Concentrations!F8/Concentrations!E8</f>
        <v>0.23079178670061073</v>
      </c>
    </row>
    <row r="9" spans="1:4">
      <c r="A9">
        <f>'Mass Balance'!I9</f>
        <v>4.2633920732245859E-8</v>
      </c>
      <c r="B9">
        <f>'Mass Balance'!E9</f>
        <v>2.4532723030440425E-5</v>
      </c>
      <c r="C9">
        <f>SUM('Mass Balance'!E9:H9)</f>
        <v>3.992319396031417E-5</v>
      </c>
      <c r="D9">
        <f>Concentrations!F9/Concentrations!E9</f>
        <v>0.61690293913234817</v>
      </c>
    </row>
    <row r="10" spans="1:4">
      <c r="A10">
        <f>'Mass Balance'!I10</f>
        <v>5.5577609796125729E-7</v>
      </c>
      <c r="B10">
        <f>'Mass Balance'!E10</f>
        <v>4.0884980138718615E-7</v>
      </c>
      <c r="C10">
        <f>SUM('Mass Balance'!E10:H10)</f>
        <v>3.5080767082615739E-5</v>
      </c>
      <c r="D10">
        <f>Concentrations!F10/Concentrations!E10</f>
        <v>1.1700140373438878E-2</v>
      </c>
    </row>
    <row r="11" spans="1:4">
      <c r="A11">
        <f>'Mass Balance'!I11</f>
        <v>3.6641204839997903E-6</v>
      </c>
      <c r="B11">
        <f>'Mass Balance'!E11</f>
        <v>2.2582972145996113E-8</v>
      </c>
      <c r="C11">
        <f>SUM('Mass Balance'!E11:H11)</f>
        <v>3.5681289049639353E-5</v>
      </c>
      <c r="D11">
        <f>Concentrations!F11/Concentrations!E11</f>
        <v>6.353849526424388E-4</v>
      </c>
    </row>
    <row r="12" spans="1:4">
      <c r="A12">
        <f>'Mass Balance'!I12</f>
        <v>2.2409057999617321E-8</v>
      </c>
      <c r="B12">
        <f>'Mass Balance'!E12</f>
        <v>3.6811592653076134E-5</v>
      </c>
      <c r="C12">
        <f>SUM('Mass Balance'!E12:H12)</f>
        <v>3.6813140290023374E-5</v>
      </c>
      <c r="D12">
        <f>Concentrations!F12/Concentrations!E12</f>
        <v>1.0038714521286254</v>
      </c>
    </row>
    <row r="13" spans="1:4">
      <c r="A13">
        <f>'Mass Balance'!I13</f>
        <v>1.6089250794301146E-7</v>
      </c>
      <c r="B13">
        <f>'Mass Balance'!E13</f>
        <v>2.091082662384905E-5</v>
      </c>
      <c r="C13">
        <f>SUM('Mass Balance'!E13:H13)</f>
        <v>2.7951868699009842E-5</v>
      </c>
      <c r="D13">
        <f>Concentrations!F13/Concentrations!E13</f>
        <v>0.75102901537292632</v>
      </c>
    </row>
    <row r="14" spans="1:4">
      <c r="A14">
        <f>'Mass Balance'!I14</f>
        <v>1.1834723461685154E-7</v>
      </c>
      <c r="B14">
        <f>'Mass Balance'!E14</f>
        <v>3.5127458981722132E-7</v>
      </c>
      <c r="C14">
        <f>SUM('Mass Balance'!E14:H14)</f>
        <v>3.9850461410303946E-5</v>
      </c>
      <c r="D14">
        <f>Concentrations!F14/Concentrations!E14</f>
        <v>8.8493168107598632E-3</v>
      </c>
    </row>
    <row r="15" spans="1:4">
      <c r="A15">
        <f>'Mass Balance'!I15</f>
        <v>4.2508642667885557E-8</v>
      </c>
      <c r="B15">
        <f>'Mass Balance'!E15</f>
        <v>3.0454260586180313E-5</v>
      </c>
      <c r="C15">
        <f>SUM('Mass Balance'!E15:H15)</f>
        <v>3.1469384699809483E-5</v>
      </c>
      <c r="D15">
        <f>Concentrations!F15/Concentrations!E15</f>
        <v>0.97152989827926517</v>
      </c>
    </row>
    <row r="16" spans="1:4">
      <c r="A16">
        <f>'Mass Balance'!I16</f>
        <v>1.7841342219211929E-7</v>
      </c>
      <c r="B16">
        <f>'Mass Balance'!E16</f>
        <v>1.9497787538690097E-5</v>
      </c>
      <c r="C16">
        <f>SUM('Mass Balance'!E16:H16)</f>
        <v>2.7493040435031844E-5</v>
      </c>
      <c r="D16">
        <f>Concentrations!F16/Concentrations!E16</f>
        <v>0.71196546040949049</v>
      </c>
    </row>
    <row r="17" spans="1:4">
      <c r="A17">
        <f>'Mass Balance'!I17</f>
        <v>1.6702858255371862E-7</v>
      </c>
      <c r="B17">
        <f>'Mass Balance'!E17</f>
        <v>2.0347792730489271E-5</v>
      </c>
      <c r="C17">
        <f>SUM('Mass Balance'!E17:H17)</f>
        <v>2.7724697549154849E-5</v>
      </c>
      <c r="D17">
        <f>Concentrations!F17/Concentrations!E17</f>
        <v>0.73679530590858944</v>
      </c>
    </row>
    <row r="18" spans="1:4">
      <c r="A18">
        <f>'Mass Balance'!I18</f>
        <v>2.78492169402515E-6</v>
      </c>
      <c r="B18">
        <f>'Mass Balance'!E18</f>
        <v>2.4780267188210678E-8</v>
      </c>
      <c r="C18">
        <f>SUM('Mass Balance'!E18:H18)</f>
        <v>3.4110118603330943E-5</v>
      </c>
      <c r="D18">
        <f>Concentrations!F18/Concentrations!E18</f>
        <v>7.2932166972692735E-4</v>
      </c>
    </row>
    <row r="19" spans="1:4">
      <c r="A19">
        <f>'Mass Balance'!I19</f>
        <v>3.0372583948687581E-8</v>
      </c>
      <c r="B19">
        <f>'Mass Balance'!E19</f>
        <v>3.6102363424729114E-5</v>
      </c>
      <c r="C19">
        <f>SUM('Mass Balance'!E19:H19)</f>
        <v>3.6437924914700219E-5</v>
      </c>
      <c r="D19">
        <f>Concentrations!F19/Concentrations!E19</f>
        <v>0.99466848831057519</v>
      </c>
    </row>
    <row r="20" spans="1:4">
      <c r="A20">
        <f>'Mass Balance'!I20</f>
        <v>3.5376542422506591E-8</v>
      </c>
      <c r="B20">
        <f>'Mass Balance'!E20</f>
        <v>3.444864612975424E-5</v>
      </c>
      <c r="C20">
        <f>SUM('Mass Balance'!E20:H20)</f>
        <v>3.5040164895962217E-5</v>
      </c>
      <c r="D20">
        <f>Concentrations!F20/Concentrations!E20</f>
        <v>0.98696642602903828</v>
      </c>
    </row>
    <row r="21" spans="1:4">
      <c r="A21">
        <f>'Mass Balance'!I21</f>
        <v>1.7508990705015779E-7</v>
      </c>
      <c r="B21">
        <f>'Mass Balance'!E21</f>
        <v>4.2273646736241155E-6</v>
      </c>
      <c r="C21">
        <f>SUM('Mass Balance'!E21:H21)</f>
        <v>3.7016781526862925E-5</v>
      </c>
      <c r="D21">
        <f>Concentrations!F21/Concentrations!E21</f>
        <v>0.1146482474683196</v>
      </c>
    </row>
    <row r="22" spans="1:4">
      <c r="A22">
        <f>'Mass Balance'!I22</f>
        <v>2.3467697439069919E-8</v>
      </c>
      <c r="B22">
        <f>'Mass Balance'!E22</f>
        <v>3.6117154426258049E-5</v>
      </c>
      <c r="C22">
        <f>SUM('Mass Balance'!E22:H22)</f>
        <v>3.6173207740265895E-5</v>
      </c>
      <c r="D22">
        <f>Concentrations!F22/Concentrations!E22</f>
        <v>1.0023580115112072</v>
      </c>
    </row>
    <row r="23" spans="1:4">
      <c r="A23">
        <f>'Mass Balance'!I23</f>
        <v>5.7398993424395539E-8</v>
      </c>
      <c r="B23">
        <f>'Mass Balance'!E23</f>
        <v>2.8863379117788738E-5</v>
      </c>
      <c r="C23">
        <f>SUM('Mass Balance'!E23:H23)</f>
        <v>3.0598965954925409E-5</v>
      </c>
      <c r="D23">
        <f>Concentrations!F23/Concentrations!E23</f>
        <v>0.94697123184535303</v>
      </c>
    </row>
    <row r="24" spans="1:4">
      <c r="A24">
        <f>'Mass Balance'!I24</f>
        <v>2.4001181682590976E-7</v>
      </c>
      <c r="B24">
        <f>'Mass Balance'!E24</f>
        <v>1.5069707644701315E-5</v>
      </c>
      <c r="C24">
        <f>SUM('Mass Balance'!E24:H24)</f>
        <v>2.6511393822404525E-5</v>
      </c>
      <c r="D24">
        <f>Concentrations!F24/Concentrations!E24</f>
        <v>0.57064843187288905</v>
      </c>
    </row>
    <row r="25" spans="1:4">
      <c r="A25">
        <f>'Mass Balance'!I25</f>
        <v>2.5591665298488753E-6</v>
      </c>
      <c r="B25">
        <f>'Mass Balance'!E25</f>
        <v>3.467525148499856E-8</v>
      </c>
      <c r="C25">
        <f>SUM('Mass Balance'!E25:H25)</f>
        <v>3.399717449309431E-5</v>
      </c>
      <c r="D25">
        <f>Concentrations!F25/Concentrations!E25</f>
        <v>1.0239368137133339E-3</v>
      </c>
    </row>
    <row r="26" spans="1:4">
      <c r="A26">
        <f>'Mass Balance'!I26</f>
        <v>3.4787031531981601E-7</v>
      </c>
      <c r="B26">
        <f>'Mass Balance'!E26</f>
        <v>5.4100270462254894E-6</v>
      </c>
      <c r="C26">
        <f>SUM('Mass Balance'!E26:H26)</f>
        <v>2.3901669380893475E-5</v>
      </c>
      <c r="D26">
        <f>Concentrations!F26/Concentrations!E26</f>
        <v>0.2272309916891902</v>
      </c>
    </row>
    <row r="27" spans="1:4">
      <c r="A27">
        <f>'Mass Balance'!I27</f>
        <v>2.0527889785487885E-7</v>
      </c>
      <c r="B27">
        <f>'Mass Balance'!E27</f>
        <v>6.4179559685237842E-7</v>
      </c>
      <c r="C27">
        <f>SUM('Mass Balance'!E27:H27)</f>
        <v>1.2698149885017078E-5</v>
      </c>
      <c r="D27">
        <f>Concentrations!F27/Concentrations!E27</f>
        <v>5.0740255117251012E-2</v>
      </c>
    </row>
    <row r="28" spans="1:4">
      <c r="A28">
        <f>'Mass Balance'!I28</f>
        <v>1.0102443121124645E-7</v>
      </c>
      <c r="B28">
        <f>'Mass Balance'!E28</f>
        <v>1.1625087053530753E-6</v>
      </c>
      <c r="C28">
        <f>SUM('Mass Balance'!E28:H28)</f>
        <v>6.6392840579931057E-6</v>
      </c>
      <c r="D28">
        <f>Concentrations!F28/Concentrations!E28</f>
        <v>0.17578075519766789</v>
      </c>
    </row>
    <row r="29" spans="1:4">
      <c r="A29">
        <f>'Mass Balance'!I29</f>
        <v>2.6915591782705364E-9</v>
      </c>
      <c r="B29">
        <f>'Mass Balance'!E29</f>
        <v>2.3664742902875518E-6</v>
      </c>
      <c r="C29">
        <f>SUM('Mass Balance'!E29:H29)</f>
        <v>2.4184223993440127E-6</v>
      </c>
      <c r="D29">
        <f>Concentrations!F29/Concentrations!E29</f>
        <v>0.98234942729794861</v>
      </c>
    </row>
    <row r="30" spans="1:4">
      <c r="A30">
        <f>'Mass Balance'!I30</f>
        <v>3.8817838954327311E-8</v>
      </c>
      <c r="B30">
        <f>'Mass Balance'!E30</f>
        <v>4.7886884911684963E-7</v>
      </c>
      <c r="C30">
        <f>SUM('Mass Balance'!E30:H30)</f>
        <v>2.5738677328666814E-6</v>
      </c>
      <c r="D30">
        <f>Concentrations!F30/Concentrations!E30</f>
        <v>0.18677843130853475</v>
      </c>
    </row>
    <row r="31" spans="1:4">
      <c r="A31">
        <f>'Mass Balance'!I31</f>
        <v>6.7748739275592112E-10</v>
      </c>
      <c r="B31">
        <f>'Mass Balance'!E31</f>
        <v>1.7910769734543332E-8</v>
      </c>
      <c r="C31">
        <f>SUM('Mass Balance'!E31:H31)</f>
        <v>5.2619016596156705E-8</v>
      </c>
      <c r="D31">
        <f>Concentrations!F31/Concentrations!E31</f>
        <v>0.34171802338874774</v>
      </c>
    </row>
    <row r="32" spans="1:4">
      <c r="A32">
        <f>'Mass Balance'!I32</f>
        <v>1.4229346711851051E-7</v>
      </c>
      <c r="B32">
        <f>'Mass Balance'!E32</f>
        <v>2.2406729293205462E-5</v>
      </c>
      <c r="C32">
        <f>SUM('Mass Balance'!E32:H32)</f>
        <v>2.8451554579758848E-5</v>
      </c>
      <c r="D32">
        <f>Concentrations!F32/Concentrations!E32</f>
        <v>0.79062187913500204</v>
      </c>
    </row>
    <row r="33" spans="1:4">
      <c r="A33">
        <f>'Mass Balance'!I33</f>
        <v>8.2716619683590972E-8</v>
      </c>
      <c r="B33">
        <f>'Mass Balance'!E33</f>
        <v>2.8359844354620653E-5</v>
      </c>
      <c r="C33">
        <f>SUM('Mass Balance'!E33:H33)</f>
        <v>3.1289450532469314E-5</v>
      </c>
      <c r="D33">
        <f>Concentrations!F33/Concentrations!E33</f>
        <v>0.90991802583642023</v>
      </c>
    </row>
    <row r="34" spans="1:4">
      <c r="A34">
        <f>'Mass Balance'!I34</f>
        <v>3.864238315674807E-7</v>
      </c>
      <c r="B34">
        <f>'Mass Balance'!E34</f>
        <v>6.903994433876895E-6</v>
      </c>
      <c r="C34">
        <f>SUM('Mass Balance'!E34:H34)</f>
        <v>2.7254354258585906E-5</v>
      </c>
      <c r="D34">
        <f>Concentrations!F34/Concentrations!E34</f>
        <v>0.25430851284398492</v>
      </c>
    </row>
    <row r="35" spans="1:4">
      <c r="A35">
        <f>'Mass Balance'!I35</f>
        <v>5.2842691660707202E-7</v>
      </c>
      <c r="B35">
        <f>'Mass Balance'!E35</f>
        <v>8.2052144894123085E-7</v>
      </c>
      <c r="C35">
        <f>SUM('Mass Balance'!E35:H35)</f>
        <v>3.3177321123312604E-5</v>
      </c>
      <c r="D35">
        <f>Concentrations!F35/Concentrations!E35</f>
        <v>2.4828185657071931E-2</v>
      </c>
    </row>
    <row r="36" spans="1:4">
      <c r="A36">
        <f>'Mass Balance'!I36</f>
        <v>1.1733198681567141E-6</v>
      </c>
      <c r="B36">
        <f>'Mass Balance'!E36</f>
        <v>1.8049883529112659E-7</v>
      </c>
      <c r="C36">
        <f>SUM('Mass Balance'!E36:H36)</f>
        <v>3.4200467558731787E-5</v>
      </c>
      <c r="D36">
        <f>Concentrations!F36/Concentrations!E36</f>
        <v>5.2983265655727274E-3</v>
      </c>
    </row>
    <row r="37" spans="1:4">
      <c r="A37">
        <f>'Mass Balance'!I37</f>
        <v>2.717690229781497E-6</v>
      </c>
      <c r="B37">
        <f>'Mass Balance'!E37</f>
        <v>2.7178351449982385E-8</v>
      </c>
      <c r="C37">
        <f>SUM('Mass Balance'!E37:H37)</f>
        <v>3.3997822266662399E-5</v>
      </c>
      <c r="D37">
        <f>Concentrations!F37/Concentrations!E37</f>
        <v>8.0254311530271677E-4</v>
      </c>
    </row>
    <row r="38" spans="1:4">
      <c r="A38">
        <f>'Mass Balance'!I38</f>
        <v>1.7102457312773511E-6</v>
      </c>
      <c r="B38">
        <f>'Mass Balance'!E38</f>
        <v>9.8631937751941008E-8</v>
      </c>
      <c r="C38">
        <f>SUM('Mass Balance'!E38:H38)</f>
        <v>3.3927734682972488E-5</v>
      </c>
      <c r="D38">
        <f>Concentrations!F38/Concentrations!E38</f>
        <v>2.9184957454671035E-3</v>
      </c>
    </row>
    <row r="39" spans="1:4">
      <c r="A39">
        <f>'Mass Balance'!I39</f>
        <v>1.2828540619521103E-6</v>
      </c>
      <c r="B39">
        <f>'Mass Balance'!E39</f>
        <v>1.4910625355674192E-7</v>
      </c>
      <c r="C39">
        <f>SUM('Mass Balance'!E39:H39)</f>
        <v>3.3201539059228932E-5</v>
      </c>
      <c r="D39">
        <f>Concentrations!F39/Concentrations!E39</f>
        <v>4.5085200424820797E-3</v>
      </c>
    </row>
    <row r="40" spans="1:4">
      <c r="A40">
        <f>'Mass Balance'!I40</f>
        <v>1.7102457312773511E-6</v>
      </c>
      <c r="B40">
        <f>'Mass Balance'!E40</f>
        <v>9.8631937751941008E-8</v>
      </c>
      <c r="C40">
        <f>SUM('Mass Balance'!E40:H40)</f>
        <v>3.3927734682972488E-5</v>
      </c>
      <c r="D40">
        <f>Concentrations!F40/Concentrations!E40</f>
        <v>2.9184957454671035E-3</v>
      </c>
    </row>
    <row r="41" spans="1:4">
      <c r="A41">
        <f>'Mass Balance'!I41</f>
        <v>2.6999901120949921E-8</v>
      </c>
      <c r="B41">
        <f>'Mass Balance'!E41</f>
        <v>3.8144828860192252E-5</v>
      </c>
      <c r="C41">
        <f>SUM('Mass Balance'!E41:H41)</f>
        <v>3.9965789595779149E-5</v>
      </c>
      <c r="D41">
        <f>Concentrations!F41/Concentrations!E41</f>
        <v>0.95817235250460908</v>
      </c>
    </row>
    <row r="42" spans="1:4">
      <c r="A42">
        <f>'Mass Balance'!I42</f>
        <v>2.7755017190085825E-6</v>
      </c>
      <c r="B42">
        <f>'Mass Balance'!E42</f>
        <v>2.469644813566151E-8</v>
      </c>
      <c r="C42">
        <f>SUM('Mass Balance'!E42:H42)</f>
        <v>3.3994741404128222E-5</v>
      </c>
      <c r="D42">
        <f>Concentrations!F42/Concentrations!E42</f>
        <v>7.2932166972692746E-4</v>
      </c>
    </row>
    <row r="43" spans="1:4">
      <c r="A43">
        <f>'Mass Balance'!I43</f>
        <v>2.5646468095359275E-7</v>
      </c>
      <c r="B43">
        <f>'Mass Balance'!E43</f>
        <v>1.406696786538866E-5</v>
      </c>
      <c r="C43">
        <f>SUM('Mass Balance'!E43:H43)</f>
        <v>2.6449701191331825E-5</v>
      </c>
      <c r="D43">
        <f>Concentrations!F43/Concentrations!E43</f>
        <v>0.53391987495413618</v>
      </c>
    </row>
    <row r="44" spans="1:4">
      <c r="A44">
        <f>'Mass Balance'!I44</f>
        <v>8.3739065179610349E-7</v>
      </c>
      <c r="B44">
        <f>'Mass Balance'!E44</f>
        <v>2.7202184467502558E-7</v>
      </c>
      <c r="C44">
        <f>SUM('Mass Balance'!E44:H44)</f>
        <v>3.4577381479828877E-5</v>
      </c>
      <c r="D44">
        <f>Concentrations!F44/Concentrations!E44</f>
        <v>7.8978347458445244E-3</v>
      </c>
    </row>
    <row r="45" spans="1:4">
      <c r="A45">
        <f>'Mass Balance'!I45</f>
        <v>3.2241114941686122E-6</v>
      </c>
      <c r="B45">
        <f>'Mass Balance'!E45</f>
        <v>1.100809574791142E-8</v>
      </c>
      <c r="C45">
        <f>SUM('Mass Balance'!E45:H45)</f>
        <v>3.4421907095447022E-5</v>
      </c>
      <c r="D45">
        <f>Concentrations!F45/Concentrations!E45</f>
        <v>3.2105070844138674E-4</v>
      </c>
    </row>
    <row r="46" spans="1:4">
      <c r="A46">
        <f>'Mass Balance'!I46</f>
        <v>2.8559438431093981E-6</v>
      </c>
      <c r="B46">
        <f>'Mass Balance'!E46</f>
        <v>2.2088505580743002E-8</v>
      </c>
      <c r="C46">
        <f>SUM('Mass Balance'!E46:H46)</f>
        <v>3.4150616767787819E-5</v>
      </c>
      <c r="D46">
        <f>Concentrations!F46/Concentrations!E46</f>
        <v>6.4932802139476553E-4</v>
      </c>
    </row>
    <row r="47" spans="1:4">
      <c r="A47">
        <f>'Mass Balance'!I47</f>
        <v>2.2920643251109767E-6</v>
      </c>
      <c r="B47">
        <f>'Mass Balance'!E47</f>
        <v>4.955256529146023E-8</v>
      </c>
      <c r="C47">
        <f>SUM('Mass Balance'!E47:H47)</f>
        <v>3.391788170723242E-5</v>
      </c>
      <c r="D47">
        <f>Concentrations!F47/Concentrations!E47</f>
        <v>1.4666746427414962E-3</v>
      </c>
    </row>
    <row r="48" spans="1:4">
      <c r="A48">
        <f>'Mass Balance'!I48</f>
        <v>4.9429585158552916E-7</v>
      </c>
      <c r="B48">
        <f>'Mass Balance'!E48</f>
        <v>2.3508515514537063E-6</v>
      </c>
      <c r="C48">
        <f>SUM('Mass Balance'!E48:H48)</f>
        <v>3.0657968895444888E-5</v>
      </c>
      <c r="D48">
        <f>Concentrations!F48/Concentrations!E48</f>
        <v>7.6980049987451254E-2</v>
      </c>
    </row>
    <row r="49" spans="1:4">
      <c r="A49">
        <f>'Mass Balance'!I49</f>
        <v>8.9486113977770728E-7</v>
      </c>
      <c r="B49">
        <f>'Mass Balance'!E49</f>
        <v>2.5267860557944325E-7</v>
      </c>
      <c r="C49">
        <f>SUM('Mass Balance'!E49:H49)</f>
        <v>3.4504226608342273E-5</v>
      </c>
      <c r="D49">
        <f>Concentrations!F49/Concentrations!E49</f>
        <v>7.3517805761136165E-3</v>
      </c>
    </row>
    <row r="50" spans="1:4">
      <c r="A50">
        <f>'Mass Balance'!I50</f>
        <v>9.9632760405990563E-7</v>
      </c>
      <c r="B50">
        <f>'Mass Balance'!E50</f>
        <v>2.2272733248937802E-7</v>
      </c>
      <c r="C50">
        <f>SUM('Mass Balance'!E50:H50)</f>
        <v>3.4380509647469347E-5</v>
      </c>
      <c r="D50">
        <f>Concentrations!F50/Concentrations!E50</f>
        <v>6.5036560878853986E-3</v>
      </c>
    </row>
    <row r="51" spans="1:4">
      <c r="A51">
        <f>'Mass Balance'!I51</f>
        <v>5.1735485272395634E-7</v>
      </c>
      <c r="B51">
        <f>'Mass Balance'!E51</f>
        <v>1.5082056899281054E-6</v>
      </c>
      <c r="C51">
        <f>SUM('Mass Balance'!E51:H51)</f>
        <v>3.2020690882481807E-5</v>
      </c>
      <c r="D51">
        <f>Concentrations!F51/Concentrations!E51</f>
        <v>4.7285309840487087E-2</v>
      </c>
    </row>
    <row r="52" spans="1:4">
      <c r="A52">
        <f>'Mass Balance'!I52</f>
        <v>4.9683658846515969E-7</v>
      </c>
      <c r="B52">
        <f>'Mass Balance'!E52</f>
        <v>2.2553730234119618E-6</v>
      </c>
      <c r="C52">
        <f>SUM('Mass Balance'!E52:H52)</f>
        <v>3.0788317655450809E-5</v>
      </c>
      <c r="D52">
        <f>Concentrations!F52/Concentrations!E52</f>
        <v>7.3540873690213088E-2</v>
      </c>
    </row>
    <row r="53" spans="1:4">
      <c r="A53">
        <f>'Mass Balance'!I53</f>
        <v>1.3550795065403331E-6</v>
      </c>
      <c r="B53">
        <f>'Mass Balance'!E53</f>
        <v>1.4684124913418099E-7</v>
      </c>
      <c r="C53">
        <f>SUM('Mass Balance'!E53:H53)</f>
        <v>3.4080598668797118E-5</v>
      </c>
      <c r="D53">
        <f>Concentrations!F53/Concentrations!E53</f>
        <v>4.3255089750456246E-3</v>
      </c>
    </row>
    <row r="54" spans="1:4">
      <c r="A54">
        <f>'Mass Balance'!I54</f>
        <v>9.4471598788023241E-7</v>
      </c>
      <c r="B54">
        <f>'Mass Balance'!E54</f>
        <v>2.3735251650985119E-7</v>
      </c>
      <c r="C54">
        <f>SUM('Mass Balance'!E54:H54)</f>
        <v>3.444249145844325E-5</v>
      </c>
      <c r="D54">
        <f>Concentrations!F54/Concentrations!E54</f>
        <v>6.9182403118300574E-3</v>
      </c>
    </row>
    <row r="55" spans="1:4">
      <c r="A55">
        <f>'Mass Balance'!I55</f>
        <v>2.2640892067769571E-6</v>
      </c>
      <c r="B55">
        <f>'Mass Balance'!E55</f>
        <v>5.1289041289998214E-8</v>
      </c>
      <c r="C55">
        <f>SUM('Mass Balance'!E55:H55)</f>
        <v>3.3904129525966686E-5</v>
      </c>
      <c r="D55">
        <f>Concentrations!F55/Concentrations!E55</f>
        <v>1.5186872432767797E-3</v>
      </c>
    </row>
    <row r="56" spans="1:4">
      <c r="A56">
        <f>'Mass Balance'!I56</f>
        <v>8.5628956761134732E-7</v>
      </c>
      <c r="B56">
        <f>'Mass Balance'!E56</f>
        <v>2.6546599405977578E-7</v>
      </c>
      <c r="C56">
        <f>SUM('Mass Balance'!E56:H56)</f>
        <v>3.4554337203490989E-5</v>
      </c>
      <c r="D56">
        <f>Concentrations!F56/Concentrations!E56</f>
        <v>7.712633448483123E-3</v>
      </c>
    </row>
    <row r="57" spans="1:4">
      <c r="A57">
        <f>'Mass Balance'!I57</f>
        <v>4.8031047311995317E-7</v>
      </c>
      <c r="B57">
        <f>'Mass Balance'!E57</f>
        <v>2.8169223099147113E-6</v>
      </c>
      <c r="C57">
        <f>SUM('Mass Balance'!E57:H57)</f>
        <v>2.9974771310538003E-5</v>
      </c>
      <c r="D57">
        <f>Concentrations!F57/Concentrations!E57</f>
        <v>9.4344231965447375E-2</v>
      </c>
    </row>
    <row r="58" spans="1:4">
      <c r="A58">
        <f>'Mass Balance'!I58</f>
        <v>9.549076798893043E-7</v>
      </c>
      <c r="B58">
        <f>'Mass Balance'!E58</f>
        <v>2.3437419411927131E-7</v>
      </c>
      <c r="C58">
        <f>SUM('Mass Balance'!E58:H58)</f>
        <v>3.4430421958365059E-5</v>
      </c>
      <c r="D58">
        <f>Concentrations!F58/Concentrations!E58</f>
        <v>6.8338243025118017E-3</v>
      </c>
    </row>
    <row r="59" spans="1:4">
      <c r="A59">
        <f>'Mass Balance'!I59</f>
        <v>4.969024758684049E-7</v>
      </c>
      <c r="B59">
        <f>'Mass Balance'!E59</f>
        <v>2.2556721170683304E-6</v>
      </c>
      <c r="C59">
        <f>SUM('Mass Balance'!E59:H59)</f>
        <v>3.0792400612196952E-5</v>
      </c>
      <c r="D59">
        <f>Concentrations!F59/Concentrations!E59</f>
        <v>7.3540873690213088E-2</v>
      </c>
    </row>
    <row r="60" spans="1:4">
      <c r="A60">
        <f>'Mass Balance'!I60</f>
        <v>1.2441109475934345E-6</v>
      </c>
      <c r="B60">
        <f>'Mass Balance'!E60</f>
        <v>1.6635957456738375E-7</v>
      </c>
      <c r="C60">
        <f>SUM('Mass Balance'!E60:H60)</f>
        <v>3.4141791466131732E-5</v>
      </c>
      <c r="D60">
        <f>Concentrations!F60/Concentrations!E60</f>
        <v>4.8916779614992965E-3</v>
      </c>
    </row>
    <row r="61" spans="1:4">
      <c r="A61">
        <f>'Mass Balance'!I61</f>
        <v>1.0990873299600283E-6</v>
      </c>
      <c r="B61">
        <f>'Mass Balance'!E61</f>
        <v>1.0848743902297869E-5</v>
      </c>
      <c r="C61">
        <f>SUM('Mass Balance'!E61:H61)</f>
        <v>3.1236593362308591E-5</v>
      </c>
      <c r="D61">
        <f>Concentrations!F61/Concentrations!E61</f>
        <v>0.34866805219416092</v>
      </c>
    </row>
    <row r="62" spans="1:4">
      <c r="A62">
        <f>'Mass Balance'!I62</f>
        <v>3.7659007941141442E-7</v>
      </c>
      <c r="B62">
        <f>'Mass Balance'!E62</f>
        <v>7.3794643961529126E-6</v>
      </c>
      <c r="C62">
        <f>SUM('Mass Balance'!E62:H62)</f>
        <v>2.7086950935461096E-5</v>
      </c>
      <c r="D62">
        <f>Concentrations!F62/Concentrations!E62</f>
        <v>0.27350236304920528</v>
      </c>
    </row>
    <row r="63" spans="1:4">
      <c r="A63">
        <f>'Mass Balance'!I63</f>
        <v>1.9359165505397548E-7</v>
      </c>
      <c r="B63">
        <f>'Mass Balance'!E63</f>
        <v>3.6771974751740286E-5</v>
      </c>
      <c r="C63">
        <f>SUM('Mass Balance'!E63:H63)</f>
        <v>3.8211766261447445E-5</v>
      </c>
      <c r="D63">
        <f>Concentrations!F63/Concentrations!E63</f>
        <v>0.96608692190690348</v>
      </c>
    </row>
    <row r="64" spans="1:4">
      <c r="A64">
        <f>'Mass Balance'!I64</f>
        <v>2.5540241921266471E-8</v>
      </c>
      <c r="B64">
        <f>'Mass Balance'!E64</f>
        <v>3.9308649121822731E-5</v>
      </c>
      <c r="C64">
        <f>SUM('Mass Balance'!E64:H64)</f>
        <v>3.9800879757744524E-5</v>
      </c>
      <c r="D64">
        <f>Concentrations!F64/Concentrations!E64</f>
        <v>0.99149792496629252</v>
      </c>
    </row>
    <row r="65" spans="1:4">
      <c r="A65">
        <f>'Mass Balance'!I65</f>
        <v>3.9398941239090943E-8</v>
      </c>
      <c r="B65">
        <f>'Mass Balance'!E65</f>
        <v>3.9816611150790876E-5</v>
      </c>
      <c r="C65">
        <f>SUM('Mass Balance'!E65:H65)</f>
        <v>3.98831677307025E-5</v>
      </c>
      <c r="D65">
        <f>Concentrations!F65/Concentrations!E65</f>
        <v>1.0022383372267634</v>
      </c>
    </row>
    <row r="66" spans="1:4">
      <c r="A66">
        <f>'Mass Balance'!I66</f>
        <v>1.3880397826479649E-6</v>
      </c>
      <c r="B66">
        <f>'Mass Balance'!E66</f>
        <v>2.9945536861165663E-5</v>
      </c>
      <c r="C66">
        <f>SUM('Mass Balance'!E66:H66)</f>
        <v>3.7940369359261674E-5</v>
      </c>
      <c r="D66">
        <f>Concentrations!F66/Concentrations!E66</f>
        <v>0.7923679692326443</v>
      </c>
    </row>
    <row r="67" spans="1:4">
      <c r="A67">
        <f>'Mass Balance'!I67</f>
        <v>3.6833543614789841E-8</v>
      </c>
      <c r="B67">
        <f>'Mass Balance'!E67</f>
        <v>3.9819417760843625E-5</v>
      </c>
      <c r="C67">
        <f>SUM('Mass Balance'!E67:H67)</f>
        <v>3.9876091393823325E-5</v>
      </c>
      <c r="D67">
        <f>Concentrations!F67/Concentrations!E67</f>
        <v>1.002486851309335</v>
      </c>
    </row>
    <row r="68" spans="1:4">
      <c r="A68">
        <f>'Mass Balance'!I68</f>
        <v>2.5924688081121922E-8</v>
      </c>
      <c r="B68">
        <f>'Mass Balance'!E68</f>
        <v>3.9931962127245558E-5</v>
      </c>
      <c r="C68">
        <f>SUM('Mass Balance'!E68:H68)</f>
        <v>3.993885383952775E-5</v>
      </c>
      <c r="D68">
        <f>Concentrations!F68/Concentrations!E68</f>
        <v>1.0037404250867854</v>
      </c>
    </row>
    <row r="69" spans="1:4">
      <c r="A69">
        <f>'Mass Balance'!I69</f>
        <v>7.6255466831200469E-7</v>
      </c>
      <c r="B69">
        <f>'Mass Balance'!E69</f>
        <v>3.0070265893469005E-7</v>
      </c>
      <c r="C69">
        <f>SUM('Mass Balance'!E69:H69)</f>
        <v>3.4693124046121006E-5</v>
      </c>
      <c r="D69">
        <f>Concentrations!F69/Concentrations!E69</f>
        <v>8.7014218033396352E-3</v>
      </c>
    </row>
    <row r="70" spans="1:4">
      <c r="A70">
        <f>'Mass Balance'!I70</f>
        <v>2.6140142201276585E-8</v>
      </c>
      <c r="B70">
        <f>'Mass Balance'!E70</f>
        <v>3.8762130960177279E-5</v>
      </c>
      <c r="C70">
        <f>SUM('Mass Balance'!E70:H70)</f>
        <v>3.9971588123810585E-5</v>
      </c>
      <c r="D70">
        <f>Concentrations!F70/Concentrations!E70</f>
        <v>0.97353731667672894</v>
      </c>
    </row>
    <row r="71" spans="1:4">
      <c r="A71">
        <f>'Mass Balance'!I71</f>
        <v>2.7554105509000018E-8</v>
      </c>
      <c r="B71">
        <f>'Mass Balance'!E71</f>
        <v>3.7714819033625215E-5</v>
      </c>
      <c r="C71">
        <f>SUM('Mass Balance'!E71:H71)</f>
        <v>3.9969333722529472E-5</v>
      </c>
      <c r="D71">
        <f>Concentrations!F71/Concentrations!E71</f>
        <v>0.94728679146870576</v>
      </c>
    </row>
    <row r="72" spans="1:4">
      <c r="A72">
        <f>'Mass Balance'!I72</f>
        <v>4.5488933604189869E-7</v>
      </c>
      <c r="B72">
        <f>'Mass Balance'!E72</f>
        <v>1.5406291502202371E-7</v>
      </c>
      <c r="C72">
        <f>SUM('Mass Balance'!E72:H72)</f>
        <v>3.9541624582550752E-5</v>
      </c>
      <c r="D72">
        <f>Concentrations!F72/Concentrations!E72</f>
        <v>3.911469649028069E-3</v>
      </c>
    </row>
    <row r="73" spans="1:4">
      <c r="A73">
        <f>'Mass Balance'!I73</f>
        <v>5.4493394515441343E-8</v>
      </c>
      <c r="B73">
        <f>'Mass Balance'!E73</f>
        <v>1.4424358472207394E-6</v>
      </c>
      <c r="C73">
        <f>SUM('Mass Balance'!E73:H73)</f>
        <v>3.994265350912233E-5</v>
      </c>
      <c r="D73">
        <f>Concentrations!F73/Concentrations!E73</f>
        <v>3.625400215439354E-2</v>
      </c>
    </row>
    <row r="74" spans="1:4">
      <c r="A74">
        <f>'Mass Balance'!I74</f>
        <v>2.7285199580041703E-8</v>
      </c>
      <c r="B74">
        <f>'Mass Balance'!E74</f>
        <v>3.7918800585850101E-5</v>
      </c>
      <c r="C74">
        <f>SUM('Mass Balance'!E74:H74)</f>
        <v>3.9969754045999926E-5</v>
      </c>
      <c r="D74">
        <f>Concentrations!F74/Concentrations!E74</f>
        <v>0.95240020044659923</v>
      </c>
    </row>
    <row r="75" spans="1:4">
      <c r="A75">
        <f>'Mass Balance'!I75</f>
        <v>5.4889287481429061E-8</v>
      </c>
      <c r="B75">
        <f>'Mass Balance'!E75</f>
        <v>1.7065519556857367E-6</v>
      </c>
      <c r="C75">
        <f>SUM('Mass Balance'!E75:H75)</f>
        <v>3.9942029486763832E-5</v>
      </c>
      <c r="D75">
        <f>Concentrations!F75/Concentrations!E75</f>
        <v>4.2892933501575747E-2</v>
      </c>
    </row>
    <row r="76" spans="1:4">
      <c r="A76">
        <f>'Mass Balance'!I76</f>
        <v>4.830568213485599E-8</v>
      </c>
      <c r="B76">
        <f>'Mass Balance'!E76</f>
        <v>1.7896701464407504E-5</v>
      </c>
      <c r="C76">
        <f>SUM('Mass Balance'!E76:H76)</f>
        <v>3.9944546595081773E-5</v>
      </c>
      <c r="D76">
        <f>Concentrations!F76/Concentrations!E76</f>
        <v>0.4497921380234377</v>
      </c>
    </row>
    <row r="77" spans="1:4">
      <c r="A77">
        <f>'Mass Balance'!I77</f>
        <v>5.4610696634179001E-8</v>
      </c>
      <c r="B77">
        <f>'Mass Balance'!E77</f>
        <v>1.5135985746530337E-6</v>
      </c>
      <c r="C77">
        <f>SUM('Mass Balance'!E77:H77)</f>
        <v>3.9942463449958225E-5</v>
      </c>
      <c r="D77">
        <f>Concentrations!F77/Concentrations!E77</f>
        <v>3.8042778263146559E-2</v>
      </c>
    </row>
    <row r="78" spans="1:4">
      <c r="A78">
        <f>'Mass Balance'!I78</f>
        <v>3.8175641058724222E-7</v>
      </c>
      <c r="B78">
        <f>'Mass Balance'!E78</f>
        <v>1.7118629989027028E-7</v>
      </c>
      <c r="C78">
        <f>SUM('Mass Balance'!E78:H78)</f>
        <v>3.9614930820286148E-5</v>
      </c>
      <c r="D78">
        <f>Concentrations!F78/Concentrations!E78</f>
        <v>4.3381689881233461E-3</v>
      </c>
    </row>
    <row r="79" spans="1:4">
      <c r="A79">
        <f>'Mass Balance'!I79</f>
        <v>3.8175619379676531E-7</v>
      </c>
      <c r="B79">
        <f>'Mass Balance'!E79</f>
        <v>1.7118631361514403E-7</v>
      </c>
      <c r="C79">
        <f>SUM('Mass Balance'!E79:H79)</f>
        <v>3.961493158853915E-5</v>
      </c>
      <c r="D79">
        <f>Concentrations!F79/Concentrations!E79</f>
        <v>4.3381692518061647E-3</v>
      </c>
    </row>
    <row r="80" spans="1:4">
      <c r="A80">
        <f>'Mass Balance'!I80</f>
        <v>5.5676034373213873E-8</v>
      </c>
      <c r="B80">
        <f>'Mass Balance'!E80</f>
        <v>6.6592813252934951E-6</v>
      </c>
      <c r="C80">
        <f>SUM('Mass Balance'!E80:H80)</f>
        <v>3.9938823086330297E-5</v>
      </c>
      <c r="D80">
        <f>Concentrations!F80/Concentrations!E80</f>
        <v>0.16738959617862062</v>
      </c>
    </row>
    <row r="81" spans="1:4">
      <c r="A81">
        <f>'Mass Balance'!I81</f>
        <v>3.4234660676878857E-8</v>
      </c>
      <c r="B81">
        <f>'Mass Balance'!E81</f>
        <v>3.2161400439516865E-5</v>
      </c>
      <c r="C81">
        <f>SUM('Mass Balance'!E81:H81)</f>
        <v>3.9960276485949638E-5</v>
      </c>
      <c r="D81">
        <f>Concentrations!F81/Concentrations!E81</f>
        <v>0.80798412745827086</v>
      </c>
    </row>
    <row r="82" spans="1:4">
      <c r="A82">
        <f>'Mass Balance'!I82</f>
        <v>4.245057077281323E-8</v>
      </c>
      <c r="B82">
        <f>'Mass Balance'!E82</f>
        <v>2.4315156039759581E-5</v>
      </c>
      <c r="C82">
        <f>SUM('Mass Balance'!E82:H82)</f>
        <v>3.9950652005738966E-5</v>
      </c>
      <c r="D82">
        <f>Concentrations!F82/Concentrations!E82</f>
        <v>0.61101173560083732</v>
      </c>
    </row>
    <row r="83" spans="1:4">
      <c r="A83">
        <f>'Mass Balance'!I83</f>
        <v>7.3495656536635196E-7</v>
      </c>
      <c r="B83">
        <f>'Mass Balance'!E83</f>
        <v>1.1503344026141311E-7</v>
      </c>
      <c r="C83">
        <f>SUM('Mass Balance'!E83:H83)</f>
        <v>3.9261041741978027E-5</v>
      </c>
      <c r="D83">
        <f>Concentrations!F83/Concentrations!E83</f>
        <v>2.9414309087652819E-3</v>
      </c>
    </row>
    <row r="84" spans="1:4">
      <c r="A84">
        <f>'Mass Balance'!I84</f>
        <v>3.0268418785060155E-7</v>
      </c>
      <c r="B84">
        <f>'Mass Balance'!E84</f>
        <v>1.1284010748103724E-5</v>
      </c>
      <c r="C84">
        <f>SUM('Mass Balance'!E84:H84)</f>
        <v>2.6388688869980666E-5</v>
      </c>
      <c r="D84">
        <f>Concentrations!F84/Concentrations!E84</f>
        <v>0.4292813694373403</v>
      </c>
    </row>
    <row r="85" spans="1:4">
      <c r="A85">
        <f>'Mass Balance'!I85</f>
        <v>1.1877858406989641E-5</v>
      </c>
      <c r="B85">
        <f>'Mass Balance'!E85</f>
        <v>1.5756498074383429E-6</v>
      </c>
      <c r="C85">
        <f>SUM('Mass Balance'!E85:H85)</f>
        <v>2.7634984091736475E-5</v>
      </c>
      <c r="D85">
        <f>Concentrations!F85/Concentrations!E85</f>
        <v>5.7239633469175169E-2</v>
      </c>
    </row>
    <row r="86" spans="1:4">
      <c r="A86">
        <f>'Mass Balance'!I86</f>
        <v>3.1272832612714731E-6</v>
      </c>
      <c r="B86">
        <f>'Mass Balance'!E86</f>
        <v>1.3487488611573298E-8</v>
      </c>
      <c r="C86">
        <f>SUM('Mass Balance'!E86:H86)</f>
        <v>3.4340454602082906E-5</v>
      </c>
      <c r="D86">
        <f>Concentrations!F86/Concentrations!E86</f>
        <v>3.942951301225698E-4</v>
      </c>
    </row>
    <row r="87" spans="1:4">
      <c r="A87">
        <f>'Mass Balance'!I87</f>
        <v>3.5514961758801087E-6</v>
      </c>
      <c r="B87">
        <f>'Mass Balance'!E87</f>
        <v>4.6528296781767502E-9</v>
      </c>
      <c r="C87">
        <f>SUM('Mass Balance'!E87:H87)</f>
        <v>3.4750972615189692E-5</v>
      </c>
      <c r="D87">
        <f>Concentrations!F87/Concentrations!E87</f>
        <v>1.3441463378141346E-4</v>
      </c>
    </row>
    <row r="88" spans="1:4">
      <c r="A88">
        <f>'Mass Balance'!I88</f>
        <v>3.8540908346769348E-6</v>
      </c>
      <c r="B88">
        <f>'Mass Balance'!E88</f>
        <v>1.3023772206970246E-9</v>
      </c>
      <c r="C88">
        <f>SUM('Mass Balance'!E88:H88)</f>
        <v>3.5134113237706537E-5</v>
      </c>
      <c r="D88">
        <f>Concentrations!F88/Concentrations!E88</f>
        <v>3.7213811818105853E-5</v>
      </c>
    </row>
    <row r="89" spans="1:4">
      <c r="A89">
        <f>'Mass Balance'!I89</f>
        <v>2.9503346979373814E-5</v>
      </c>
      <c r="B89">
        <f>'Mass Balance'!E89</f>
        <v>2.4693669396679694E-8</v>
      </c>
      <c r="C89">
        <f>SUM('Mass Balance'!E89:H89)</f>
        <v>1.018704337778075E-5</v>
      </c>
      <c r="D89">
        <f>Concentrations!F89/Concentrations!E89</f>
        <v>2.4335139283741215E-3</v>
      </c>
    </row>
    <row r="90" spans="1:4">
      <c r="A90">
        <f>'Mass Balance'!I90</f>
        <v>2.4861531647980215E-8</v>
      </c>
      <c r="B90">
        <f>'Mass Balance'!E90</f>
        <v>3.8921875946898968E-5</v>
      </c>
      <c r="C90">
        <f>SUM('Mass Balance'!E90:H90)</f>
        <v>3.8970815821283251E-5</v>
      </c>
      <c r="D90">
        <f>Concentrations!F90/Concentrations!E90</f>
        <v>1.0026529338867345</v>
      </c>
    </row>
    <row r="91" spans="1:4">
      <c r="A91">
        <f>'Mass Balance'!I91</f>
        <v>8.0462611221484533E-8</v>
      </c>
      <c r="B91">
        <f>'Mass Balance'!E91</f>
        <v>2.8621460794318612E-5</v>
      </c>
      <c r="C91">
        <f>SUM('Mass Balance'!E91:H91)</f>
        <v>3.1436133568495296E-5</v>
      </c>
      <c r="D91">
        <f>Concentrations!F91/Concentrations!E91</f>
        <v>0.91402701646221429</v>
      </c>
    </row>
    <row r="92" spans="1:4">
      <c r="A92">
        <f>'Mass Balance'!I92</f>
        <v>4.2731952448086607E-7</v>
      </c>
      <c r="B92">
        <f>'Mass Balance'!E92</f>
        <v>5.0326420959855235E-6</v>
      </c>
      <c r="C92">
        <f>SUM('Mass Balance'!E92:H92)</f>
        <v>2.8164155399063805E-5</v>
      </c>
      <c r="D92">
        <f>Concentrations!F92/Concentrations!E92</f>
        <v>0.17938894525213361</v>
      </c>
    </row>
    <row r="93" spans="1:4">
      <c r="A93">
        <f>'Mass Balance'!I93</f>
        <v>2.460150805992635E-8</v>
      </c>
      <c r="B93">
        <f>'Mass Balance'!E93</f>
        <v>3.9794778112357254E-5</v>
      </c>
      <c r="C93">
        <f>SUM('Mass Balance'!E93:H93)</f>
        <v>3.9969282143567532E-5</v>
      </c>
      <c r="D93">
        <f>Concentrations!F93/Concentrations!E93</f>
        <v>0.99953061655693276</v>
      </c>
    </row>
    <row r="94" spans="1:4">
      <c r="A94">
        <f>'Mass Balance'!I94</f>
        <v>2.4515871384181337E-8</v>
      </c>
      <c r="B94">
        <f>'Mass Balance'!E94</f>
        <v>3.9974649830157323E-5</v>
      </c>
      <c r="C94">
        <f>SUM('Mass Balance'!E94:H94)</f>
        <v>3.997532938080461E-5</v>
      </c>
      <c r="D94">
        <f>Concentrations!F94/Concentrations!E94</f>
        <v>1.0038965912204805</v>
      </c>
    </row>
    <row r="95" spans="1:4">
      <c r="A95">
        <f>'Mass Balance'!I95</f>
        <v>2.8284119529082443E-8</v>
      </c>
      <c r="B95">
        <f>'Mass Balance'!E95</f>
        <v>3.7455229332362345E-5</v>
      </c>
      <c r="C95">
        <f>SUM('Mass Balance'!E95:H95)</f>
        <v>3.7656450360607842E-5</v>
      </c>
      <c r="D95">
        <f>Concentrations!F95/Concentrations!E95</f>
        <v>0.99854914344707946</v>
      </c>
    </row>
    <row r="96" spans="1:4">
      <c r="A96">
        <f>'Mass Balance'!I96</f>
        <v>2.9248412145783826E-6</v>
      </c>
      <c r="B96">
        <f>'Mass Balance'!E96</f>
        <v>1.966267040406727E-8</v>
      </c>
      <c r="C96">
        <f>SUM('Mass Balance'!E96:H96)</f>
        <v>3.4194362582689884E-5</v>
      </c>
      <c r="D96">
        <f>Concentrations!F96/Concentrations!E96</f>
        <v>5.7727712584221215E-4</v>
      </c>
    </row>
    <row r="97" spans="1:4">
      <c r="A97">
        <f>'Mass Balance'!I97</f>
        <v>1.259425848971889E-7</v>
      </c>
      <c r="B97">
        <f>'Mass Balance'!E97</f>
        <v>2.3936527630514962E-5</v>
      </c>
      <c r="C97">
        <f>SUM('Mass Balance'!E97:H97)</f>
        <v>2.9110517403339331E-5</v>
      </c>
      <c r="D97">
        <f>Concentrations!F97/Concentrations!E97</f>
        <v>0.82548196091787929</v>
      </c>
    </row>
    <row r="98" spans="1:4">
      <c r="A98">
        <f>'Mass Balance'!I98</f>
        <v>8.7453167329882639E-8</v>
      </c>
      <c r="B98">
        <f>'Mass Balance'!E98</f>
        <v>2.7825875908325924E-5</v>
      </c>
      <c r="C98">
        <f>SUM('Mass Balance'!E98:H98)</f>
        <v>3.0997603144334988E-5</v>
      </c>
      <c r="D98">
        <f>Concentrations!F98/Concentrations!E98</f>
        <v>0.90119151188221702</v>
      </c>
    </row>
    <row r="99" spans="1:4">
      <c r="A99">
        <f>'Mass Balance'!I99</f>
        <v>3.9679074183155355E-8</v>
      </c>
      <c r="B99">
        <f>'Mass Balance'!E99</f>
        <v>3.4506534914125125E-5</v>
      </c>
      <c r="C99">
        <f>SUM('Mass Balance'!E99:H99)</f>
        <v>3.5282849849833924E-5</v>
      </c>
      <c r="D99">
        <f>Concentrations!F99/Concentrations!E99</f>
        <v>0.98182493204176768</v>
      </c>
    </row>
    <row r="100" spans="1:4">
      <c r="A100">
        <f>'Mass Balance'!I100</f>
        <v>1.4571076926818657E-6</v>
      </c>
      <c r="B100">
        <f>'Mass Balance'!E100</f>
        <v>1.3098251604314714E-7</v>
      </c>
      <c r="C100">
        <f>SUM('Mass Balance'!E100:H100)</f>
        <v>3.4026171188450706E-5</v>
      </c>
      <c r="D100">
        <f>Concentrations!F100/Concentrations!E100</f>
        <v>3.8645293340741375E-3</v>
      </c>
    </row>
    <row r="101" spans="1:4">
      <c r="A101">
        <f>'Mass Balance'!I101</f>
        <v>3.8400848134937267E-7</v>
      </c>
      <c r="B101">
        <f>'Mass Balance'!E101</f>
        <v>7.0211972431881727E-6</v>
      </c>
      <c r="C101">
        <f>SUM('Mass Balance'!E101:H101)</f>
        <v>2.7212586079023776E-5</v>
      </c>
      <c r="D101">
        <f>Concentrations!F101/Concentrations!E101</f>
        <v>0.25902263682185789</v>
      </c>
    </row>
    <row r="102" spans="1:4">
      <c r="A102">
        <f>'Mass Balance'!I102</f>
        <v>5.1637501559460743E-7</v>
      </c>
      <c r="B102">
        <f>'Mass Balance'!E102</f>
        <v>1.5408646666582984E-6</v>
      </c>
      <c r="C102">
        <f>SUM('Mass Balance'!E102:H102)</f>
        <v>3.1953126899331006E-5</v>
      </c>
      <c r="D102">
        <f>Concentrations!F102/Concentrations!E102</f>
        <v>4.8411383565722312E-2</v>
      </c>
    </row>
    <row r="103" spans="1:4">
      <c r="A103">
        <f>'Mass Balance'!I103</f>
        <v>3.001996848011854E-8</v>
      </c>
      <c r="B103">
        <f>'Mass Balance'!E103</f>
        <v>3.5765479715646683E-5</v>
      </c>
      <c r="C103">
        <f>SUM('Mass Balance'!E103:H103)</f>
        <v>3.9965271630256375E-5</v>
      </c>
      <c r="D103">
        <f>Concentrations!F103/Concentrations!E103</f>
        <v>0.89841635177396051</v>
      </c>
    </row>
    <row r="104" spans="1:4">
      <c r="A104">
        <f>'Mass Balance'!I104</f>
        <v>7.9568321840387234E-8</v>
      </c>
      <c r="B104">
        <f>'Mass Balance'!E104</f>
        <v>4.434432441664646E-7</v>
      </c>
      <c r="C104">
        <f>SUM('Mass Balance'!E104:H104)</f>
        <v>3.9892739450198776E-5</v>
      </c>
      <c r="D104">
        <f>Concentrations!F104/Concentrations!E104</f>
        <v>1.1159392286885953E-2</v>
      </c>
    </row>
    <row r="105" spans="1:4">
      <c r="A105">
        <f>'Mass Balance'!I105</f>
        <v>2.5010105718465579E-8</v>
      </c>
      <c r="B105">
        <f>'Mass Balance'!E105</f>
        <v>3.8717048541191983E-5</v>
      </c>
      <c r="C105">
        <f>SUM('Mass Balance'!E105:H105)</f>
        <v>3.8771528928408131E-5</v>
      </c>
      <c r="D105">
        <f>Concentrations!F105/Concentrations!E105</f>
        <v>1.0025029928797253</v>
      </c>
    </row>
    <row r="106" spans="1:4">
      <c r="A106">
        <f>'Mass Balance'!I106</f>
        <v>2.8568806187220566E-8</v>
      </c>
      <c r="B106">
        <f>'Mass Balance'!E106</f>
        <v>3.7330264284413537E-5</v>
      </c>
      <c r="C106">
        <f>SUM('Mass Balance'!E106:H106)</f>
        <v>3.7548104273293837E-5</v>
      </c>
      <c r="D106">
        <f>Concentrations!F106/Concentrations!E106</f>
        <v>0.99808932727434774</v>
      </c>
    </row>
    <row r="107" spans="1:4">
      <c r="A107">
        <f>'Mass Balance'!I107</f>
        <v>6.4492972307986546E-7</v>
      </c>
      <c r="B107">
        <f>'Mass Balance'!E107</f>
        <v>8.2714734741276805E-7</v>
      </c>
      <c r="C107">
        <f>SUM('Mass Balance'!E107:H107)</f>
        <v>3.3925538575511565E-5</v>
      </c>
      <c r="D107">
        <f>Concentrations!F107/Concentrations!E107</f>
        <v>2.4476679023712526E-2</v>
      </c>
    </row>
    <row r="108" spans="1:4">
      <c r="A108">
        <f>'Mass Balance'!I108</f>
        <v>2.4397736333441375E-8</v>
      </c>
      <c r="B108">
        <f>'Mass Balance'!E108</f>
        <v>3.997301822425404E-5</v>
      </c>
      <c r="C108">
        <f>SUM('Mass Balance'!E108:H108)</f>
        <v>3.9973379915502674E-5</v>
      </c>
      <c r="D108">
        <f>Concentrations!F108/Concentrations!E108</f>
        <v>1.0039045732856162</v>
      </c>
    </row>
    <row r="109" spans="1:4">
      <c r="A109">
        <f>'Mass Balance'!I109</f>
        <v>4.2951562322136825E-7</v>
      </c>
      <c r="B109">
        <f>'Mass Balance'!E109</f>
        <v>3.6451298137585007E-5</v>
      </c>
      <c r="C109">
        <f>SUM('Mass Balance'!E109:H109)</f>
        <v>3.8848975217848633E-5</v>
      </c>
      <c r="D109">
        <f>Concentrations!F109/Concentrations!E109</f>
        <v>0.94195421656590006</v>
      </c>
    </row>
    <row r="110" spans="1:4">
      <c r="A110">
        <f>'Mass Balance'!I110</f>
        <v>2.4298447273034235E-8</v>
      </c>
      <c r="B110">
        <f>'Mass Balance'!E110</f>
        <v>3.9714870510473675E-5</v>
      </c>
      <c r="C110">
        <f>SUM('Mass Balance'!E110:H110)</f>
        <v>3.9725578406517672E-5</v>
      </c>
      <c r="D110">
        <f>Concentrations!F110/Concentrations!E110</f>
        <v>1.0036430554508315</v>
      </c>
    </row>
    <row r="111" spans="1:4">
      <c r="A111">
        <f>'Mass Balance'!I111</f>
        <v>2.4276052785944533E-8</v>
      </c>
      <c r="B111">
        <f>'Mass Balance'!E111</f>
        <v>3.9974859979766836E-5</v>
      </c>
      <c r="C111">
        <f>SUM('Mass Balance'!E111:H111)</f>
        <v>3.9975499283411818E-5</v>
      </c>
      <c r="D111">
        <f>Concentrations!F111/Concentrations!E111</f>
        <v>1.0038976020249863</v>
      </c>
    </row>
    <row r="112" spans="1:4">
      <c r="A112">
        <f>'Mass Balance'!I112</f>
        <v>2.421498445130916E-8</v>
      </c>
      <c r="B112">
        <f>'Mass Balance'!E112</f>
        <v>3.9647201206847016E-5</v>
      </c>
      <c r="C112">
        <f>SUM('Mass Balance'!E112:H112)</f>
        <v>3.9651749737331548E-5</v>
      </c>
      <c r="D112">
        <f>Concentrations!F112/Concentrations!E112</f>
        <v>1.0037984960831405</v>
      </c>
    </row>
    <row r="113" spans="1:4">
      <c r="A113">
        <f>'Mass Balance'!I113</f>
        <v>2.6281905319282931E-8</v>
      </c>
      <c r="B113">
        <f>'Mass Balance'!E113</f>
        <v>3.8035948332090039E-5</v>
      </c>
      <c r="C113">
        <f>SUM('Mass Balance'!E113:H113)</f>
        <v>3.8156094144413584E-5</v>
      </c>
      <c r="D113">
        <f>Concentrations!F113/Concentrations!E113</f>
        <v>1.0007525362272784</v>
      </c>
    </row>
    <row r="114" spans="1:4">
      <c r="A114">
        <f>'Mass Balance'!I114</f>
        <v>2.4215136820446604E-8</v>
      </c>
      <c r="B114">
        <f>'Mass Balance'!E114</f>
        <v>3.9806417040805533E-5</v>
      </c>
      <c r="C114">
        <f>SUM('Mass Balance'!E114:H114)</f>
        <v>3.9807774567071608E-5</v>
      </c>
      <c r="D114">
        <f>Concentrations!F114/Concentrations!E114</f>
        <v>1.0038794214981379</v>
      </c>
    </row>
    <row r="115" spans="1:4">
      <c r="A115">
        <f>'Mass Balance'!I115</f>
        <v>2.5984750472589205E-8</v>
      </c>
      <c r="B115">
        <f>'Mass Balance'!E115</f>
        <v>3.8873794547795307E-5</v>
      </c>
      <c r="C115">
        <f>SUM('Mass Balance'!E115:H115)</f>
        <v>3.997130970303822E-5</v>
      </c>
      <c r="D115">
        <f>Concentrations!F115/Concentrations!E115</f>
        <v>0.97634862444837522</v>
      </c>
    </row>
    <row r="116" spans="1:4">
      <c r="A116">
        <f>'Mass Balance'!I116</f>
        <v>4.1568848847184124E-6</v>
      </c>
      <c r="B116">
        <f>'Mass Balance'!E116</f>
        <v>4.8292006011170644E-6</v>
      </c>
      <c r="C116">
        <f>SUM('Mass Balance'!E116:H116)</f>
        <v>3.5150876411983297E-5</v>
      </c>
      <c r="D116">
        <f>Concentrations!F116/Concentrations!E116</f>
        <v>0.13792260480320312</v>
      </c>
    </row>
    <row r="117" spans="1:4">
      <c r="A117">
        <f>'Mass Balance'!I117</f>
        <v>1.8779810723459667E-7</v>
      </c>
      <c r="B117">
        <f>'Mass Balance'!E117</f>
        <v>1.8803893460845753E-5</v>
      </c>
      <c r="C117">
        <f>SUM('Mass Balance'!E117:H117)</f>
        <v>2.7313136432630588E-5</v>
      </c>
      <c r="D117">
        <f>Concentrations!F117/Concentrations!E117</f>
        <v>0.69115041023160817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0.97254949913301347</v>
      </c>
      <c r="M2" s="115">
        <v>0.87977242037560333</v>
      </c>
      <c r="N2" s="115">
        <v>1.1396301094084182</v>
      </c>
      <c r="O2" s="115">
        <v>0.81318251065497205</v>
      </c>
      <c r="P2" s="115">
        <v>0.94116428216805992</v>
      </c>
      <c r="Q2" s="111">
        <v>0.81318251065497216</v>
      </c>
      <c r="R2" s="68">
        <v>0.94116428216806003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0.5323309099980581</v>
      </c>
      <c r="M3" s="115">
        <v>8.4824016192562279</v>
      </c>
      <c r="N3" s="115">
        <v>241.00168902494542</v>
      </c>
      <c r="O3" s="115">
        <v>2.3876103076422948</v>
      </c>
      <c r="P3" s="115">
        <v>2.2121759508378092</v>
      </c>
      <c r="Q3" s="111">
        <v>2.3876103076422952</v>
      </c>
      <c r="R3" s="68">
        <v>2.2121759508378096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1.1003200832056041</v>
      </c>
      <c r="M4" s="115">
        <v>1.041186621317719</v>
      </c>
      <c r="N4" s="115">
        <v>3.058253031604433</v>
      </c>
      <c r="O4" s="115">
        <v>0.8275947110602806</v>
      </c>
      <c r="P4" s="115">
        <v>0.96193134360912469</v>
      </c>
      <c r="Q4" s="111">
        <v>0.8275947110602806</v>
      </c>
      <c r="R4" s="68">
        <v>0.96193134360912469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0.54791218766958527</v>
      </c>
      <c r="M5" s="115">
        <v>1.5990941527883775</v>
      </c>
      <c r="N5" s="115">
        <v>44.965943173289837</v>
      </c>
      <c r="O5" s="115">
        <v>2.6243938112665197</v>
      </c>
      <c r="P5" s="115">
        <v>4.2904468278338825</v>
      </c>
      <c r="Q5" s="111">
        <v>2.6243938112665202</v>
      </c>
      <c r="R5" s="68">
        <v>4.2904468278338834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0.32451513335700483</v>
      </c>
      <c r="M6" s="115">
        <v>1.882334320369331</v>
      </c>
      <c r="N6" s="115">
        <v>63.909312313119308</v>
      </c>
      <c r="O6" s="115">
        <v>3.5037796752563382</v>
      </c>
      <c r="P6" s="115">
        <v>5.9281555793877221</v>
      </c>
      <c r="Q6" s="111">
        <v>3.5037796752563386</v>
      </c>
      <c r="R6" s="68">
        <v>5.9281555793877221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0.10780277428399102</v>
      </c>
      <c r="M7" s="115">
        <v>2.2391116802638584</v>
      </c>
      <c r="N7" s="115">
        <v>84.26135636463664</v>
      </c>
      <c r="O7" s="115">
        <v>4.3602186743826907</v>
      </c>
      <c r="P7" s="115">
        <v>7.4831885980352455</v>
      </c>
      <c r="Q7" s="111">
        <v>4.3602186743826907</v>
      </c>
      <c r="R7" s="68">
        <v>7.4831885980352455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0.23016615728128834</v>
      </c>
      <c r="M8" s="115">
        <v>1.9564674251891785</v>
      </c>
      <c r="N8" s="115">
        <v>70.214337543990638</v>
      </c>
      <c r="O8" s="115">
        <v>3.8717532209137624</v>
      </c>
      <c r="P8" s="115">
        <v>6.623247670731697</v>
      </c>
      <c r="Q8" s="111">
        <v>3.8717532209137624</v>
      </c>
      <c r="R8" s="68">
        <v>6.6232476707316978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0.61411121893071885</v>
      </c>
      <c r="M9" s="115">
        <v>1.522640026151638</v>
      </c>
      <c r="N9" s="115">
        <v>39.507560209375164</v>
      </c>
      <c r="O9" s="115">
        <v>2.361248161800678</v>
      </c>
      <c r="P9" s="115">
        <v>3.7963750030094685</v>
      </c>
      <c r="Q9" s="111">
        <v>2.3612481618006784</v>
      </c>
      <c r="R9" s="68">
        <v>3.796375003009469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1.0248252821129828E-2</v>
      </c>
      <c r="M10" s="115">
        <v>19.849146355759189</v>
      </c>
      <c r="N10" s="115">
        <v>679.29772809148972</v>
      </c>
      <c r="O10" s="115">
        <v>7.3603286067795439</v>
      </c>
      <c r="P10" s="115">
        <v>7.5085596298512129</v>
      </c>
      <c r="Q10" s="111">
        <v>7.3603286067795448</v>
      </c>
      <c r="R10" s="68">
        <v>7.5085596298512138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5.6636420529063928E-4</v>
      </c>
      <c r="M11" s="115">
        <v>130.86144585713538</v>
      </c>
      <c r="N11" s="115">
        <v>4901.5783999643882</v>
      </c>
      <c r="O11" s="115">
        <v>19.897222554809904</v>
      </c>
      <c r="P11" s="115">
        <v>9.1332451198400992</v>
      </c>
      <c r="Q11" s="111">
        <v>19.897222554809904</v>
      </c>
      <c r="R11" s="68">
        <v>9.1332451198400992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0.91782681302453317</v>
      </c>
      <c r="M12" s="115">
        <v>0.8003234999863329</v>
      </c>
      <c r="N12" s="115">
        <v>6.1573903512083923E-2</v>
      </c>
      <c r="O12" s="115">
        <v>0.7586023463675261</v>
      </c>
      <c r="P12" s="115">
        <v>0.88152274915682582</v>
      </c>
      <c r="Q12" s="111">
        <v>0.75860234636752621</v>
      </c>
      <c r="R12" s="68">
        <v>0.88152274915682582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0.52390234894307441</v>
      </c>
      <c r="M13" s="115">
        <v>5.7461609979646955</v>
      </c>
      <c r="N13" s="115">
        <v>179.83224757041492</v>
      </c>
      <c r="O13" s="115">
        <v>2.1608325867705962</v>
      </c>
      <c r="P13" s="115">
        <v>2.0425220719826789</v>
      </c>
      <c r="Q13" s="111">
        <v>2.1608325867705962</v>
      </c>
      <c r="R13" s="68">
        <v>2.0425220719826789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8.8128066649742799E-3</v>
      </c>
      <c r="M14" s="115">
        <v>4.2266869506018407</v>
      </c>
      <c r="N14" s="115">
        <v>167.44441919836882</v>
      </c>
      <c r="O14" s="115">
        <v>4.9520568693618694</v>
      </c>
      <c r="P14" s="115">
        <v>8.2964626132248451</v>
      </c>
      <c r="Q14" s="111">
        <v>4.9520568693618694</v>
      </c>
      <c r="R14" s="68">
        <v>8.2964626132248451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0.76149753722687952</v>
      </c>
      <c r="M15" s="115">
        <v>1.5181658095673414</v>
      </c>
      <c r="N15" s="115">
        <v>29.047210400460969</v>
      </c>
      <c r="O15" s="115">
        <v>0.89460793432481767</v>
      </c>
      <c r="P15" s="115">
        <v>0.95265683279375724</v>
      </c>
      <c r="Q15" s="111">
        <v>0.89460793432481767</v>
      </c>
      <c r="R15" s="68">
        <v>0.95265683279375735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0.48853452305496686</v>
      </c>
      <c r="M16" s="115">
        <v>6.3719079354328327</v>
      </c>
      <c r="N16" s="115">
        <v>202.1909462187599</v>
      </c>
      <c r="O16" s="115">
        <v>2.354706538920539</v>
      </c>
      <c r="P16" s="115">
        <v>2.216763543582235</v>
      </c>
      <c r="Q16" s="111">
        <v>2.354706538920539</v>
      </c>
      <c r="R16" s="68">
        <v>2.216763543582235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0.50981024405345587</v>
      </c>
      <c r="M17" s="115">
        <v>5.9653065197756652</v>
      </c>
      <c r="N17" s="115">
        <v>187.71270847032906</v>
      </c>
      <c r="O17" s="115">
        <v>2.2277789749759775</v>
      </c>
      <c r="P17" s="115">
        <v>2.102284583115638</v>
      </c>
      <c r="Q17" s="111">
        <v>2.2277789749759775</v>
      </c>
      <c r="R17" s="68">
        <v>2.1022845831156385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6.2116655267308051E-4</v>
      </c>
      <c r="M18" s="115">
        <v>99.461489072326785</v>
      </c>
      <c r="N18" s="115">
        <v>3426.4338807853428</v>
      </c>
      <c r="O18" s="115">
        <v>20.665072183481492</v>
      </c>
      <c r="P18" s="115">
        <v>8.8519159633249043</v>
      </c>
      <c r="Q18" s="111">
        <v>20.665072183481492</v>
      </c>
      <c r="R18" s="68">
        <v>8.8519159633249043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0.90130230521245636</v>
      </c>
      <c r="M19" s="115">
        <v>1.0847351410245565</v>
      </c>
      <c r="N19" s="115">
        <v>10.201687234544659</v>
      </c>
      <c r="O19" s="115">
        <v>0.83537626403520537</v>
      </c>
      <c r="P19" s="115">
        <v>0.93835246211785883</v>
      </c>
      <c r="Q19" s="111">
        <v>0.83537626403520537</v>
      </c>
      <c r="R19" s="68">
        <v>0.93835246211785883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0.86063415450007097</v>
      </c>
      <c r="M20" s="115">
        <v>1.2634479436609498</v>
      </c>
      <c r="N20" s="115">
        <v>17.470628517745482</v>
      </c>
      <c r="O20" s="115">
        <v>0.86843165413505119</v>
      </c>
      <c r="P20" s="115">
        <v>0.95515292886377989</v>
      </c>
      <c r="Q20" s="111">
        <v>0.86843165413505119</v>
      </c>
      <c r="R20" s="68">
        <v>0.95515292886377989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0.10597514967084258</v>
      </c>
      <c r="M21" s="115">
        <v>6.2532109660770638</v>
      </c>
      <c r="N21" s="115">
        <v>218.27401435304586</v>
      </c>
      <c r="O21" s="115">
        <v>4.6430581613359276</v>
      </c>
      <c r="P21" s="115">
        <v>6.8230831344389138</v>
      </c>
      <c r="Q21" s="111">
        <v>4.6430581613359276</v>
      </c>
      <c r="R21" s="68">
        <v>6.8230831344389138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0.90062050905074176</v>
      </c>
      <c r="M22" s="115">
        <v>0.83813205139535429</v>
      </c>
      <c r="N22" s="115">
        <v>1.8499921989533963</v>
      </c>
      <c r="O22" s="115">
        <v>0.75997385906302428</v>
      </c>
      <c r="P22" s="115">
        <v>0.87695314635876009</v>
      </c>
      <c r="Q22" s="111">
        <v>0.75997385906302439</v>
      </c>
      <c r="R22" s="68">
        <v>0.87695314635876009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0.72223560488034388</v>
      </c>
      <c r="M23" s="115">
        <v>2.0499640508712691</v>
      </c>
      <c r="N23" s="115">
        <v>48.266248529520297</v>
      </c>
      <c r="O23" s="115">
        <v>1.0435599350774687</v>
      </c>
      <c r="P23" s="115">
        <v>1.0727317137663555</v>
      </c>
      <c r="Q23" s="111">
        <v>1.0435599350774687</v>
      </c>
      <c r="R23" s="68">
        <v>1.0727317137663555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0.37764572768541044</v>
      </c>
      <c r="M24" s="115">
        <v>8.5718506009253499</v>
      </c>
      <c r="N24" s="115">
        <v>280.46663115987917</v>
      </c>
      <c r="O24" s="115">
        <v>3.0548256469637325</v>
      </c>
      <c r="P24" s="115">
        <v>2.8611242497388258</v>
      </c>
      <c r="Q24" s="111">
        <v>3.0548256469637329</v>
      </c>
      <c r="R24" s="68">
        <v>2.8611242497388263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8.6920113527146753E-4</v>
      </c>
      <c r="M25" s="115">
        <v>91.398804637459833</v>
      </c>
      <c r="N25" s="115">
        <v>3146.8496266805569</v>
      </c>
      <c r="O25" s="115">
        <v>19.316640489406431</v>
      </c>
      <c r="P25" s="115">
        <v>8.6742219194838164</v>
      </c>
      <c r="Q25" s="111">
        <v>19.316640489406431</v>
      </c>
      <c r="R25" s="68">
        <v>8.6742219194838164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0.13559795727318399</v>
      </c>
      <c r="M26" s="115">
        <v>12.423939832850571</v>
      </c>
      <c r="N26" s="115">
        <v>419.5037112216649</v>
      </c>
      <c r="O26" s="115">
        <v>4.3558555066695073</v>
      </c>
      <c r="P26" s="115">
        <v>4.1550916874835497</v>
      </c>
      <c r="Q26" s="111">
        <v>4.3558555066695073</v>
      </c>
      <c r="R26" s="68">
        <v>4.1550916874835497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1.6086970122777218E-2</v>
      </c>
      <c r="M27" s="115">
        <v>7.3313892091028166</v>
      </c>
      <c r="N27" s="115">
        <v>250.01905204382084</v>
      </c>
      <c r="O27" s="115">
        <v>2.6491323817100767</v>
      </c>
      <c r="P27" s="115">
        <v>2.6290875286144448</v>
      </c>
      <c r="Q27" s="111">
        <v>2.6491323817100767</v>
      </c>
      <c r="R27" s="68">
        <v>2.6290875286144448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2.9137809736632117E-2</v>
      </c>
      <c r="M28" s="115">
        <v>3.6080154004016589</v>
      </c>
      <c r="N28" s="115">
        <v>122.183506528591</v>
      </c>
      <c r="O28" s="115">
        <v>1.2694441591091934</v>
      </c>
      <c r="P28" s="115">
        <v>1.2191562959449043</v>
      </c>
      <c r="Q28" s="111">
        <v>1.2694441591091936</v>
      </c>
      <c r="R28" s="68">
        <v>1.2191562959449043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5.9140570754724314E-2</v>
      </c>
      <c r="M29" s="115">
        <v>9.6127113509662021E-2</v>
      </c>
      <c r="N29" s="115">
        <v>1.5164851488982316</v>
      </c>
      <c r="O29" s="115">
        <v>6.2595035940947896E-2</v>
      </c>
      <c r="P29" s="115">
        <v>6.8104856629688071E-2</v>
      </c>
      <c r="Q29" s="111">
        <v>6.2595035940947896E-2</v>
      </c>
      <c r="R29" s="68">
        <v>6.8104856629688071E-2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1.2002613404113035E-2</v>
      </c>
      <c r="M30" s="115">
        <v>1.3863513912259755</v>
      </c>
      <c r="N30" s="115">
        <v>46.91945487107165</v>
      </c>
      <c r="O30" s="115">
        <v>0.48731517784670625</v>
      </c>
      <c r="P30" s="115">
        <v>0.46725878852295782</v>
      </c>
      <c r="Q30" s="111">
        <v>0.48731517784670625</v>
      </c>
      <c r="R30" s="68">
        <v>0.46725878852295788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4.4890058313416526E-4</v>
      </c>
      <c r="M31" s="115">
        <v>2.4195978312711468E-2</v>
      </c>
      <c r="N31" s="115">
        <v>0.81090620104200029</v>
      </c>
      <c r="O31" s="115">
        <v>8.4681016847274523E-3</v>
      </c>
      <c r="P31" s="115">
        <v>7.995459630603656E-3</v>
      </c>
      <c r="Q31" s="111">
        <v>8.468101684727454E-3</v>
      </c>
      <c r="R31" s="68">
        <v>7.995459630603656E-3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0.56132816876322988</v>
      </c>
      <c r="M32" s="115">
        <v>5.0819095399468042</v>
      </c>
      <c r="N32" s="115">
        <v>156.11147899776691</v>
      </c>
      <c r="O32" s="115">
        <v>1.9567041808133079</v>
      </c>
      <c r="P32" s="115">
        <v>1.860932195501803</v>
      </c>
      <c r="Q32" s="111">
        <v>1.9567041808133081</v>
      </c>
      <c r="R32" s="68">
        <v>1.860932195501803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0.71001825759431725</v>
      </c>
      <c r="M33" s="115">
        <v>2.9541649886996777</v>
      </c>
      <c r="N33" s="115">
        <v>79.345118665502099</v>
      </c>
      <c r="O33" s="115">
        <v>1.3299049362999191</v>
      </c>
      <c r="P33" s="115">
        <v>1.3224389871296649</v>
      </c>
      <c r="Q33" s="111">
        <v>1.3299049362999191</v>
      </c>
      <c r="R33" s="68">
        <v>1.3224389871296649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0.17304149896233378</v>
      </c>
      <c r="M34" s="115">
        <v>13.800851127410027</v>
      </c>
      <c r="N34" s="115">
        <v>465.23973914827303</v>
      </c>
      <c r="O34" s="115">
        <v>4.8333519696810301</v>
      </c>
      <c r="P34" s="115">
        <v>4.5971369606450487</v>
      </c>
      <c r="Q34" s="111">
        <v>4.8333519696810301</v>
      </c>
      <c r="R34" s="68">
        <v>4.5971369606450496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2.0567059207732562E-2</v>
      </c>
      <c r="M35" s="115">
        <v>18.872389878823999</v>
      </c>
      <c r="N35" s="115">
        <v>644.86129228163577</v>
      </c>
      <c r="O35" s="115">
        <v>6.9461804478039042</v>
      </c>
      <c r="P35" s="115">
        <v>7.022072680723527</v>
      </c>
      <c r="Q35" s="111">
        <v>6.9461804478039051</v>
      </c>
      <c r="R35" s="68">
        <v>7.0220726807235279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4.5244590150197855E-3</v>
      </c>
      <c r="M36" s="115">
        <v>41.904281005596935</v>
      </c>
      <c r="N36" s="115">
        <v>1437.7744935213784</v>
      </c>
      <c r="O36" s="115">
        <v>11.027047158491266</v>
      </c>
      <c r="P36" s="115">
        <v>7.7704718234667762</v>
      </c>
      <c r="Q36" s="111">
        <v>11.027047158491266</v>
      </c>
      <c r="R36" s="68">
        <v>7.7704718234667771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6.8127867725953915E-4</v>
      </c>
      <c r="M37" s="115">
        <v>97.060365349339179</v>
      </c>
      <c r="N37" s="115">
        <v>3343.1778541325707</v>
      </c>
      <c r="O37" s="115">
        <v>20.254527248619311</v>
      </c>
      <c r="P37" s="115">
        <v>8.7829027651999443</v>
      </c>
      <c r="Q37" s="111">
        <v>20.254527248619311</v>
      </c>
      <c r="R37" s="68">
        <v>8.7829027651999443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2.4723690132434453E-3</v>
      </c>
      <c r="M38" s="115">
        <v>61.080204688476826</v>
      </c>
      <c r="N38" s="115">
        <v>2098.7172709383358</v>
      </c>
      <c r="O38" s="115">
        <v>14.23702181974455</v>
      </c>
      <c r="P38" s="115">
        <v>8.0822577713362858</v>
      </c>
      <c r="Q38" s="111">
        <v>14.23702181974455</v>
      </c>
      <c r="R38" s="68">
        <v>8.0822577713362858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3.7375681656585634E-3</v>
      </c>
      <c r="M39" s="115">
        <v>45.816216498289648</v>
      </c>
      <c r="N39" s="115">
        <v>1572.6505430565403</v>
      </c>
      <c r="O39" s="115">
        <v>11.575618589784476</v>
      </c>
      <c r="P39" s="115">
        <v>7.6424607370860924</v>
      </c>
      <c r="Q39" s="111">
        <v>11.575618589784478</v>
      </c>
      <c r="R39" s="68">
        <v>7.6424607370860924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2.4723690132434453E-3</v>
      </c>
      <c r="M40" s="115">
        <v>61.080204688476826</v>
      </c>
      <c r="N40" s="115">
        <v>2098.7172709383358</v>
      </c>
      <c r="O40" s="115">
        <v>14.23702181974455</v>
      </c>
      <c r="P40" s="115">
        <v>8.0822577713362858</v>
      </c>
      <c r="Q40" s="111">
        <v>14.23702181974455</v>
      </c>
      <c r="R40" s="68">
        <v>8.0822577713362858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0.95171756460781776</v>
      </c>
      <c r="M41" s="115">
        <v>0.96428218289106871</v>
      </c>
      <c r="N41" s="115">
        <v>5.4741048793859992</v>
      </c>
      <c r="O41" s="115">
        <v>1.0083940075635036</v>
      </c>
      <c r="P41" s="115">
        <v>1.2949546165299937</v>
      </c>
      <c r="Q41" s="111">
        <v>1.0083940075635036</v>
      </c>
      <c r="R41" s="68">
        <v>1.2949546165299937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6.1906546185251578E-4</v>
      </c>
      <c r="M42" s="115">
        <v>99.125061393163662</v>
      </c>
      <c r="N42" s="115">
        <v>3414.8439960061169</v>
      </c>
      <c r="O42" s="115">
        <v>20.595172744620573</v>
      </c>
      <c r="P42" s="115">
        <v>8.8219744294562243</v>
      </c>
      <c r="Q42" s="111">
        <v>20.595172744620573</v>
      </c>
      <c r="R42" s="68">
        <v>8.8219744294562243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0.35252694315823357</v>
      </c>
      <c r="M43" s="115">
        <v>9.1594528911997415</v>
      </c>
      <c r="N43" s="115">
        <v>301.25680534447974</v>
      </c>
      <c r="O43" s="115">
        <v>3.2469547586130831</v>
      </c>
      <c r="P43" s="115">
        <v>3.0417372878860864</v>
      </c>
      <c r="Q43" s="111">
        <v>3.2469547586130831</v>
      </c>
      <c r="R43" s="68">
        <v>3.0417372878860864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6.818568876735734E-3</v>
      </c>
      <c r="M44" s="115">
        <v>29.906808992717981</v>
      </c>
      <c r="N44" s="115">
        <v>1024.9440352524887</v>
      </c>
      <c r="O44" s="115">
        <v>9.0278083820146779</v>
      </c>
      <c r="P44" s="115">
        <v>7.6123170652404388</v>
      </c>
      <c r="Q44" s="111">
        <v>9.0278083820146779</v>
      </c>
      <c r="R44" s="68">
        <v>7.6123170652404397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2.7594178579063463E-4</v>
      </c>
      <c r="M45" s="115">
        <v>115.14683907745044</v>
      </c>
      <c r="N45" s="115">
        <v>3971.9938680684872</v>
      </c>
      <c r="O45" s="115">
        <v>23.274267853749919</v>
      </c>
      <c r="P45" s="115">
        <v>9.2196306541997952</v>
      </c>
      <c r="Q45" s="111">
        <v>23.274267853749919</v>
      </c>
      <c r="R45" s="68">
        <v>9.219630654199797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5.5369280682237144E-4</v>
      </c>
      <c r="M46" s="115">
        <v>101.99799439676421</v>
      </c>
      <c r="N46" s="115">
        <v>3514.4931827838363</v>
      </c>
      <c r="O46" s="115">
        <v>21.088315399066758</v>
      </c>
      <c r="P46" s="115">
        <v>8.9090169138199489</v>
      </c>
      <c r="Q46" s="111">
        <v>21.088315399066758</v>
      </c>
      <c r="R46" s="68">
        <v>8.9090169138199506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1.2421247891714099E-3</v>
      </c>
      <c r="M47" s="115">
        <v>81.859440182534883</v>
      </c>
      <c r="N47" s="115">
        <v>2816.5827387956501</v>
      </c>
      <c r="O47" s="115">
        <v>17.7194829007219</v>
      </c>
      <c r="P47" s="115">
        <v>8.4758894011105443</v>
      </c>
      <c r="Q47" s="111">
        <v>17.7194829007219</v>
      </c>
      <c r="R47" s="68">
        <v>8.4758894011105443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5.892490307939377E-2</v>
      </c>
      <c r="M48" s="115">
        <v>17.653423270911759</v>
      </c>
      <c r="N48" s="115">
        <v>601.0651895481559</v>
      </c>
      <c r="O48" s="115">
        <v>6.3154981532957617</v>
      </c>
      <c r="P48" s="115">
        <v>6.1996007825450281</v>
      </c>
      <c r="Q48" s="111">
        <v>6.3154981532957626</v>
      </c>
      <c r="R48" s="68">
        <v>6.1996007825450281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6.3337142223212741E-3</v>
      </c>
      <c r="M49" s="115">
        <v>31.959326420632404</v>
      </c>
      <c r="N49" s="115">
        <v>1095.5314321828259</v>
      </c>
      <c r="O49" s="115">
        <v>9.3698175857328785</v>
      </c>
      <c r="P49" s="115">
        <v>7.6381565942648848</v>
      </c>
      <c r="Q49" s="111">
        <v>9.3698175857328785</v>
      </c>
      <c r="R49" s="68">
        <v>7.6381565942648848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5.5829584166962052E-3</v>
      </c>
      <c r="M50" s="115">
        <v>35.583128716425193</v>
      </c>
      <c r="N50" s="115">
        <v>1220.196814075555</v>
      </c>
      <c r="O50" s="115">
        <v>9.9732273849393263</v>
      </c>
      <c r="P50" s="115">
        <v>7.6842388021612518</v>
      </c>
      <c r="Q50" s="111">
        <v>9.9732273849393263</v>
      </c>
      <c r="R50" s="68">
        <v>7.6842388021612527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3.7804077955633494E-2</v>
      </c>
      <c r="M51" s="115">
        <v>18.476959025855582</v>
      </c>
      <c r="N51" s="115">
        <v>630.25593767224052</v>
      </c>
      <c r="O51" s="115">
        <v>6.6882069350003359</v>
      </c>
      <c r="P51" s="115">
        <v>6.649804337244289</v>
      </c>
      <c r="Q51" s="111">
        <v>6.6882069350003359</v>
      </c>
      <c r="R51" s="68">
        <v>6.6498043372442899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5.6531763386956965E-2</v>
      </c>
      <c r="M52" s="115">
        <v>17.744163873755706</v>
      </c>
      <c r="N52" s="115">
        <v>604.27517457138151</v>
      </c>
      <c r="O52" s="115">
        <v>6.3546893416307366</v>
      </c>
      <c r="P52" s="115">
        <v>6.2455857837557849</v>
      </c>
      <c r="Q52" s="111">
        <v>6.3546893416307375</v>
      </c>
      <c r="R52" s="68">
        <v>6.2455857837557858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3.6807946057456622E-3</v>
      </c>
      <c r="M53" s="115">
        <v>48.395696662154748</v>
      </c>
      <c r="N53" s="115">
        <v>1661.3626446986746</v>
      </c>
      <c r="O53" s="115">
        <v>12.11342298822656</v>
      </c>
      <c r="P53" s="115">
        <v>7.8710393264167138</v>
      </c>
      <c r="Q53" s="111">
        <v>12.113422988226562</v>
      </c>
      <c r="R53" s="68">
        <v>7.8710393264167147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5.9495521864610023E-3</v>
      </c>
      <c r="M54" s="115">
        <v>33.739856710008304</v>
      </c>
      <c r="N54" s="115">
        <v>1156.7785091792714</v>
      </c>
      <c r="O54" s="115">
        <v>9.6663496266733375</v>
      </c>
      <c r="P54" s="115">
        <v>7.6606979821836259</v>
      </c>
      <c r="Q54" s="111">
        <v>9.6663496266733375</v>
      </c>
      <c r="R54" s="68">
        <v>7.6606979821836267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1.2856522356674027E-3</v>
      </c>
      <c r="M55" s="115">
        <v>80.860328813462772</v>
      </c>
      <c r="N55" s="115">
        <v>2782.0245119107467</v>
      </c>
      <c r="O55" s="115">
        <v>17.551093412683411</v>
      </c>
      <c r="P55" s="115">
        <v>8.454041830885755</v>
      </c>
      <c r="Q55" s="111">
        <v>17.551093412683411</v>
      </c>
      <c r="R55" s="68">
        <v>8.4540418308857568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6.6542410390673188E-3</v>
      </c>
      <c r="M56" s="115">
        <v>30.581770271833836</v>
      </c>
      <c r="N56" s="115">
        <v>1048.1544132164004</v>
      </c>
      <c r="O56" s="115">
        <v>9.1404413479328142</v>
      </c>
      <c r="P56" s="115">
        <v>7.6210532680873087</v>
      </c>
      <c r="Q56" s="111">
        <v>9.1404413479328142</v>
      </c>
      <c r="R56" s="68">
        <v>7.6210532680873087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7.060674383271226E-2</v>
      </c>
      <c r="M57" s="115">
        <v>17.153945468569756</v>
      </c>
      <c r="N57" s="115">
        <v>583.48707512134786</v>
      </c>
      <c r="O57" s="115">
        <v>6.1087496520005455</v>
      </c>
      <c r="P57" s="115">
        <v>5.9645185128947826</v>
      </c>
      <c r="Q57" s="111">
        <v>6.1087496520005455</v>
      </c>
      <c r="R57" s="68">
        <v>5.9645185128947826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5.8748978240559212E-3</v>
      </c>
      <c r="M58" s="115">
        <v>34.103845710332301</v>
      </c>
      <c r="N58" s="115">
        <v>1169.3005737027363</v>
      </c>
      <c r="O58" s="115">
        <v>9.7269932104863646</v>
      </c>
      <c r="P58" s="115">
        <v>7.665395255095091</v>
      </c>
      <c r="Q58" s="111">
        <v>9.7269932104863646</v>
      </c>
      <c r="R58" s="68">
        <v>7.665395255095091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5.6539260280657852E-2</v>
      </c>
      <c r="M59" s="115">
        <v>17.746516995300176</v>
      </c>
      <c r="N59" s="115">
        <v>604.35530981709883</v>
      </c>
      <c r="O59" s="115">
        <v>6.3555320613274553</v>
      </c>
      <c r="P59" s="115">
        <v>6.246414034811747</v>
      </c>
      <c r="Q59" s="111">
        <v>6.3555320613274553</v>
      </c>
      <c r="R59" s="68">
        <v>6.246414034811747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4.1700432799831573E-3</v>
      </c>
      <c r="M60" s="115">
        <v>44.432533842622668</v>
      </c>
      <c r="N60" s="115">
        <v>1524.8396351374979</v>
      </c>
      <c r="O60" s="115">
        <v>11.449161688428767</v>
      </c>
      <c r="P60" s="115">
        <v>7.80731397965301</v>
      </c>
      <c r="Q60" s="111">
        <v>11.449161688428767</v>
      </c>
      <c r="R60" s="68">
        <v>7.8073139796530109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0.50054372863521612</v>
      </c>
      <c r="M61" s="115">
        <v>39.253118927143873</v>
      </c>
      <c r="N61" s="115">
        <v>779.49088507412409</v>
      </c>
      <c r="O61" s="115">
        <v>4.3117719745332961</v>
      </c>
      <c r="P61" s="115">
        <v>4.3357589744907425</v>
      </c>
      <c r="Q61" s="111">
        <v>4.3117719745332961</v>
      </c>
      <c r="R61" s="68">
        <v>4.3357589744907425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0.1849574472383082</v>
      </c>
      <c r="M62" s="115">
        <v>13.449645693264802</v>
      </c>
      <c r="N62" s="115">
        <v>452.85713296733451</v>
      </c>
      <c r="O62" s="115">
        <v>4.7079899559612652</v>
      </c>
      <c r="P62" s="115">
        <v>4.4695798634857047</v>
      </c>
      <c r="Q62" s="111">
        <v>4.7079899559612652</v>
      </c>
      <c r="R62" s="68">
        <v>4.4695798634857056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1.7365394270605603</v>
      </c>
      <c r="M63" s="115">
        <v>6.9139876804991243</v>
      </c>
      <c r="N63" s="115">
        <v>111.10874730879242</v>
      </c>
      <c r="O63" s="115">
        <v>1.0566603905074403</v>
      </c>
      <c r="P63" s="115">
        <v>1.1828053749174052</v>
      </c>
      <c r="Q63" s="111">
        <v>1.0566603905074403</v>
      </c>
      <c r="R63" s="68">
        <v>1.1828053749174052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0.98024573969072626</v>
      </c>
      <c r="M64" s="115">
        <v>0.9121514971880883</v>
      </c>
      <c r="N64" s="115">
        <v>2.2537749975537902</v>
      </c>
      <c r="O64" s="115">
        <v>0.87390359917873028</v>
      </c>
      <c r="P64" s="115">
        <v>1.0448280998844448</v>
      </c>
      <c r="Q64" s="111">
        <v>0.87390359917873039</v>
      </c>
      <c r="R64" s="68">
        <v>1.0448280998844448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1.2664800134683611</v>
      </c>
      <c r="M65" s="115">
        <v>1.4071050442532482</v>
      </c>
      <c r="N65" s="115">
        <v>9.5714046220790756</v>
      </c>
      <c r="O65" s="115">
        <v>0.83501644156819899</v>
      </c>
      <c r="P65" s="115">
        <v>0.96981010624111208</v>
      </c>
      <c r="Q65" s="111">
        <v>0.83501644156819899</v>
      </c>
      <c r="R65" s="68">
        <v>0.96981010624111219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1.6726955691935226</v>
      </c>
      <c r="M66" s="115">
        <v>49.572849380284467</v>
      </c>
      <c r="N66" s="115">
        <v>860.42747431397299</v>
      </c>
      <c r="O66" s="115">
        <v>2.0552628370356896</v>
      </c>
      <c r="P66" s="115">
        <v>2.5059972219976059</v>
      </c>
      <c r="Q66" s="111">
        <v>2.0552628370356896</v>
      </c>
      <c r="R66" s="68">
        <v>2.5059972219976063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1.2282744249621793</v>
      </c>
      <c r="M67" s="115">
        <v>1.3154837005282085</v>
      </c>
      <c r="N67" s="115">
        <v>7.9693772860942422</v>
      </c>
      <c r="O67" s="115">
        <v>0.83317738275869913</v>
      </c>
      <c r="P67" s="115">
        <v>0.96752692793142203</v>
      </c>
      <c r="Q67" s="111">
        <v>0.83317738275869913</v>
      </c>
      <c r="R67" s="68">
        <v>0.96752692793142214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1.0325791681206846</v>
      </c>
      <c r="M68" s="115">
        <v>0.92588171718292578</v>
      </c>
      <c r="N68" s="115">
        <v>1.0580707654801353</v>
      </c>
      <c r="O68" s="115">
        <v>0.8251820221236813</v>
      </c>
      <c r="P68" s="115">
        <v>0.95890108315400668</v>
      </c>
      <c r="Q68" s="111">
        <v>0.82518202212368141</v>
      </c>
      <c r="R68" s="68">
        <v>0.95890108315400668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7.5374761737203493E-3</v>
      </c>
      <c r="M69" s="115">
        <v>27.234095296857312</v>
      </c>
      <c r="N69" s="115">
        <v>933.05155137311147</v>
      </c>
      <c r="O69" s="115">
        <v>8.5840627501788447</v>
      </c>
      <c r="P69" s="115">
        <v>7.5823178509483213</v>
      </c>
      <c r="Q69" s="111">
        <v>8.5840627501788447</v>
      </c>
      <c r="R69" s="68">
        <v>7.5823178509483213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0.96685367092717522</v>
      </c>
      <c r="M70" s="115">
        <v>0.93357650718844942</v>
      </c>
      <c r="N70" s="115">
        <v>3.7168913193336097</v>
      </c>
      <c r="O70" s="115">
        <v>0.94690080814562161</v>
      </c>
      <c r="P70" s="115">
        <v>1.1821196560097178</v>
      </c>
      <c r="Q70" s="111">
        <v>0.94690080814562161</v>
      </c>
      <c r="R70" s="68">
        <v>1.182119656009718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0.9411527145421813</v>
      </c>
      <c r="M71" s="115">
        <v>0.98407519675000077</v>
      </c>
      <c r="N71" s="115">
        <v>6.6442967479970374</v>
      </c>
      <c r="O71" s="115">
        <v>1.051860063840679</v>
      </c>
      <c r="P71" s="115">
        <v>1.3751525223464487</v>
      </c>
      <c r="Q71" s="111">
        <v>1.051860063840679</v>
      </c>
      <c r="R71" s="68">
        <v>1.3751525223464487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3.8653727271792124E-3</v>
      </c>
      <c r="M72" s="115">
        <v>16.246047715782097</v>
      </c>
      <c r="N72" s="115">
        <v>649.51706821603761</v>
      </c>
      <c r="O72" s="115">
        <v>6.1995467559078818</v>
      </c>
      <c r="P72" s="115">
        <v>8.7400017464521333</v>
      </c>
      <c r="Q72" s="111">
        <v>6.1995467559078818</v>
      </c>
      <c r="R72" s="68">
        <v>8.7400017464521351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3.6186351408163314E-2</v>
      </c>
      <c r="M73" s="115">
        <v>1.9461926612657621</v>
      </c>
      <c r="N73" s="115">
        <v>76.571818998777502</v>
      </c>
      <c r="O73" s="115">
        <v>4.6093853590497611</v>
      </c>
      <c r="P73" s="115">
        <v>8.0410146313876592</v>
      </c>
      <c r="Q73" s="111">
        <v>4.6093853590497611</v>
      </c>
      <c r="R73" s="68">
        <v>8.0410146313876592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0.94616490175114742</v>
      </c>
      <c r="M74" s="115">
        <v>0.974471413572918</v>
      </c>
      <c r="N74" s="115">
        <v>6.0834094611141207</v>
      </c>
      <c r="O74" s="115">
        <v>1.0314400263231345</v>
      </c>
      <c r="P74" s="115">
        <v>1.3375614538353791</v>
      </c>
      <c r="Q74" s="111">
        <v>1.0314400263231345</v>
      </c>
      <c r="R74" s="68">
        <v>1.3375614538353793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4.2811442560558147E-2</v>
      </c>
      <c r="M75" s="115">
        <v>1.9603316957653234</v>
      </c>
      <c r="N75" s="115">
        <v>76.908080470547219</v>
      </c>
      <c r="O75" s="115">
        <v>4.5856265910934306</v>
      </c>
      <c r="P75" s="115">
        <v>7.9931154734317422</v>
      </c>
      <c r="Q75" s="111">
        <v>4.5856265910934315</v>
      </c>
      <c r="R75" s="68">
        <v>7.9931154734317431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0.4483638094478386</v>
      </c>
      <c r="M76" s="115">
        <v>1.7252029333877141</v>
      </c>
      <c r="N76" s="115">
        <v>53.465051092560216</v>
      </c>
      <c r="O76" s="115">
        <v>3.0172372396283946</v>
      </c>
      <c r="P76" s="115">
        <v>5.0232974840679088</v>
      </c>
      <c r="Q76" s="111">
        <v>3.0172372396283946</v>
      </c>
      <c r="R76" s="68">
        <v>5.0232974840679097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3.7971421182487836E-2</v>
      </c>
      <c r="M77" s="115">
        <v>1.9503820226492501</v>
      </c>
      <c r="N77" s="115">
        <v>76.677457261855608</v>
      </c>
      <c r="O77" s="115">
        <v>4.6030224885066708</v>
      </c>
      <c r="P77" s="115">
        <v>8.0281173562398589</v>
      </c>
      <c r="Q77" s="111">
        <v>4.6030224885066717</v>
      </c>
      <c r="R77" s="68">
        <v>8.0281173562398607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4.2949892262115034E-3</v>
      </c>
      <c r="M78" s="115">
        <v>13.634157520972936</v>
      </c>
      <c r="N78" s="115">
        <v>545.05642349216703</v>
      </c>
      <c r="O78" s="115">
        <v>5.929919003352353</v>
      </c>
      <c r="P78" s="115">
        <v>8.652248817528843</v>
      </c>
      <c r="Q78" s="111">
        <v>5.9299190033523539</v>
      </c>
      <c r="R78" s="68">
        <v>8.652248817528843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4.2949895732932765E-3</v>
      </c>
      <c r="M79" s="115">
        <v>13.634149778455903</v>
      </c>
      <c r="N79" s="115">
        <v>545.05616716355996</v>
      </c>
      <c r="O79" s="115">
        <v>5.929917943491688</v>
      </c>
      <c r="P79" s="115">
        <v>8.6522491922848737</v>
      </c>
      <c r="Q79" s="111">
        <v>5.929917943491688</v>
      </c>
      <c r="R79" s="68">
        <v>8.6522491922848737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0.16699967519805364</v>
      </c>
      <c r="M80" s="115">
        <v>1.9884297990433526</v>
      </c>
      <c r="N80" s="115">
        <v>73.736041602365106</v>
      </c>
      <c r="O80" s="115">
        <v>4.1159764935192324</v>
      </c>
      <c r="P80" s="115">
        <v>7.0876151947544148</v>
      </c>
      <c r="Q80" s="111">
        <v>4.1159764935192324</v>
      </c>
      <c r="R80" s="68">
        <v>7.0876151947544157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0.80392840937102406</v>
      </c>
      <c r="M81" s="115">
        <v>1.2226664527456736</v>
      </c>
      <c r="N81" s="115">
        <v>21.000392346760332</v>
      </c>
      <c r="O81" s="115">
        <v>1.6056342392332652</v>
      </c>
      <c r="P81" s="115">
        <v>2.3981836808134713</v>
      </c>
      <c r="Q81" s="111">
        <v>1.6056342392332652</v>
      </c>
      <c r="R81" s="68">
        <v>2.3981836808134718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0.60867805505802097</v>
      </c>
      <c r="M82" s="115">
        <v>1.5160918133147583</v>
      </c>
      <c r="N82" s="115">
        <v>39.537506752430822</v>
      </c>
      <c r="O82" s="115">
        <v>2.3837719260751604</v>
      </c>
      <c r="P82" s="115">
        <v>3.8425681802734357</v>
      </c>
      <c r="Q82" s="111">
        <v>2.3837719260751604</v>
      </c>
      <c r="R82" s="68">
        <v>3.8425681802734362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2.8861420458827806E-3</v>
      </c>
      <c r="M83" s="115">
        <v>26.248448763083999</v>
      </c>
      <c r="N83" s="115">
        <v>1049.534128593999</v>
      </c>
      <c r="O83" s="115">
        <v>7.2295773131365815</v>
      </c>
      <c r="P83" s="115">
        <v>9.0712439105083966</v>
      </c>
      <c r="Q83" s="111">
        <v>7.2295773131365815</v>
      </c>
      <c r="R83" s="68">
        <v>9.0712439105083966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0.28280191507324259</v>
      </c>
      <c r="M84" s="115">
        <v>10.810149566092914</v>
      </c>
      <c r="N84" s="115">
        <v>359.682958802092</v>
      </c>
      <c r="O84" s="115">
        <v>3.7954760683755198</v>
      </c>
      <c r="P84" s="115">
        <v>3.5661768573820476</v>
      </c>
      <c r="Q84" s="111">
        <v>3.7954760683755198</v>
      </c>
      <c r="R84" s="68">
        <v>3.5661768573820476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8.9665249814408196E-2</v>
      </c>
      <c r="M85" s="115">
        <v>424.20922882105867</v>
      </c>
      <c r="N85" s="115">
        <v>7453.2892008262788</v>
      </c>
      <c r="O85" s="115">
        <v>7.4011273312371575</v>
      </c>
      <c r="P85" s="115">
        <v>6.6677845805645308</v>
      </c>
      <c r="Q85" s="111">
        <v>7.4011273312371584</v>
      </c>
      <c r="R85" s="68">
        <v>6.6677845805645317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3.38092538866558E-4</v>
      </c>
      <c r="M86" s="115">
        <v>111.6886879025526</v>
      </c>
      <c r="N86" s="115">
        <v>3851.4783591187897</v>
      </c>
      <c r="O86" s="115">
        <v>22.701057128332856</v>
      </c>
      <c r="P86" s="115">
        <v>9.1354636761568191</v>
      </c>
      <c r="Q86" s="111">
        <v>22.701057128332859</v>
      </c>
      <c r="R86" s="68">
        <v>9.1354636761568209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1.1663411403610503E-4</v>
      </c>
      <c r="M87" s="115">
        <v>126.83914913857531</v>
      </c>
      <c r="N87" s="115">
        <v>4381.00275203413</v>
      </c>
      <c r="O87" s="115">
        <v>25.195930814340826</v>
      </c>
      <c r="P87" s="115">
        <v>9.5186621072890247</v>
      </c>
      <c r="Q87" s="111">
        <v>25.195930814340826</v>
      </c>
      <c r="R87" s="68">
        <v>9.5186621072890247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3.2647480597788658E-5</v>
      </c>
      <c r="M88" s="115">
        <v>137.64610123846197</v>
      </c>
      <c r="N88" s="115">
        <v>4762.9186352707557</v>
      </c>
      <c r="O88" s="115">
        <v>26.924485569771171</v>
      </c>
      <c r="P88" s="115">
        <v>9.8203755494364326</v>
      </c>
      <c r="Q88" s="111">
        <v>26.924485569771175</v>
      </c>
      <c r="R88" s="68">
        <v>9.8203755494364326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1.3899911030624155E-3</v>
      </c>
      <c r="M89" s="115">
        <v>1053.6909635490649</v>
      </c>
      <c r="N89" s="115">
        <v>18628.234392895545</v>
      </c>
      <c r="O89" s="115">
        <v>14.230915958054656</v>
      </c>
      <c r="P89" s="115">
        <v>4.9105347967132058</v>
      </c>
      <c r="Q89" s="111">
        <v>14.230915958054657</v>
      </c>
      <c r="R89" s="68">
        <v>4.9105347967132058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0.97047439170359917</v>
      </c>
      <c r="M90" s="115">
        <v>0.88791184457072203</v>
      </c>
      <c r="N90" s="115">
        <v>1.4802644289696543</v>
      </c>
      <c r="O90" s="115">
        <v>0.81365354494358222</v>
      </c>
      <c r="P90" s="115">
        <v>0.94099785845093331</v>
      </c>
      <c r="Q90" s="111">
        <v>0.81365354494358222</v>
      </c>
      <c r="R90" s="68">
        <v>0.94099785845093342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0.71653702812923925</v>
      </c>
      <c r="M91" s="115">
        <v>2.8736646864815905</v>
      </c>
      <c r="N91" s="115">
        <v>76.416680225165507</v>
      </c>
      <c r="O91" s="115">
        <v>1.3070947177817278</v>
      </c>
      <c r="P91" s="115">
        <v>1.3035329759886838</v>
      </c>
      <c r="Q91" s="111">
        <v>1.3070947177817278</v>
      </c>
      <c r="R91" s="68">
        <v>1.3035329759886838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0.12614099680516638</v>
      </c>
      <c r="M92" s="115">
        <v>15.26141158860236</v>
      </c>
      <c r="N92" s="115">
        <v>516.71660366534672</v>
      </c>
      <c r="O92" s="115">
        <v>5.3678495768875356</v>
      </c>
      <c r="P92" s="115">
        <v>5.1524308748919898</v>
      </c>
      <c r="Q92" s="111">
        <v>5.3678495768875356</v>
      </c>
      <c r="R92" s="68">
        <v>5.1524308748919898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0.9920850554580829</v>
      </c>
      <c r="M93" s="115">
        <v>0.87862528785451255</v>
      </c>
      <c r="N93" s="115">
        <v>0.62150325322569488</v>
      </c>
      <c r="O93" s="115">
        <v>0.84235447935941199</v>
      </c>
      <c r="P93" s="115">
        <v>0.99061924593573814</v>
      </c>
      <c r="Q93" s="111">
        <v>0.8423544793594121</v>
      </c>
      <c r="R93" s="68">
        <v>0.99061924593573814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1.0020525769689452</v>
      </c>
      <c r="M94" s="115">
        <v>0.87556683514933353</v>
      </c>
      <c r="N94" s="115">
        <v>0.15140741715316244</v>
      </c>
      <c r="O94" s="115">
        <v>0.82468935863060322</v>
      </c>
      <c r="P94" s="115">
        <v>0.95854630201267288</v>
      </c>
      <c r="Q94" s="111">
        <v>0.82468935863060333</v>
      </c>
      <c r="R94" s="68">
        <v>0.95854630201267299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0.9437529001456173</v>
      </c>
      <c r="M95" s="115">
        <v>1.0101471260386587</v>
      </c>
      <c r="N95" s="115">
        <v>6.374465412923688</v>
      </c>
      <c r="O95" s="115">
        <v>0.82124191092306487</v>
      </c>
      <c r="P95" s="115">
        <v>0.93418612162790293</v>
      </c>
      <c r="Q95" s="111">
        <v>0.82124191092306498</v>
      </c>
      <c r="R95" s="68">
        <v>0.93418612162790304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4.9288490225204951E-4</v>
      </c>
      <c r="M96" s="115">
        <v>104.45861480637082</v>
      </c>
      <c r="N96" s="115">
        <v>3599.9699068046912</v>
      </c>
      <c r="O96" s="115">
        <v>21.498629772316285</v>
      </c>
      <c r="P96" s="115">
        <v>8.9654221449004403</v>
      </c>
      <c r="Q96" s="111">
        <v>21.498629772316285</v>
      </c>
      <c r="R96" s="68">
        <v>8.9654221449004403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0.59958582437517305</v>
      </c>
      <c r="M97" s="115">
        <v>4.4979494606138894</v>
      </c>
      <c r="N97" s="115">
        <v>135.10689722616561</v>
      </c>
      <c r="O97" s="115">
        <v>1.7813137996993054</v>
      </c>
      <c r="P97" s="115">
        <v>1.7073914694943753</v>
      </c>
      <c r="Q97" s="111">
        <v>1.7813137996993054</v>
      </c>
      <c r="R97" s="68">
        <v>1.7073914694943753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0.69670781409964533</v>
      </c>
      <c r="M98" s="115">
        <v>3.1233274046386654</v>
      </c>
      <c r="N98" s="115">
        <v>85.48801145065849</v>
      </c>
      <c r="O98" s="115">
        <v>1.3781606789732319</v>
      </c>
      <c r="P98" s="115">
        <v>1.3626656193396476</v>
      </c>
      <c r="Q98" s="111">
        <v>1.3781606789732319</v>
      </c>
      <c r="R98" s="68">
        <v>1.3626656193396476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0.86238062408102267</v>
      </c>
      <c r="M99" s="115">
        <v>1.4171097922555485</v>
      </c>
      <c r="N99" s="115">
        <v>22.635897639586595</v>
      </c>
      <c r="O99" s="115">
        <v>0.91759601988520223</v>
      </c>
      <c r="P99" s="115">
        <v>0.99720954498349068</v>
      </c>
      <c r="Q99" s="111">
        <v>0.91759601988520223</v>
      </c>
      <c r="R99" s="68">
        <v>0.99720954498349079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3.2832768444221181E-3</v>
      </c>
      <c r="M100" s="115">
        <v>52.03956045292378</v>
      </c>
      <c r="N100" s="115">
        <v>1786.9388851657707</v>
      </c>
      <c r="O100" s="115">
        <v>12.723389518585639</v>
      </c>
      <c r="P100" s="115">
        <v>7.9297601103709061</v>
      </c>
      <c r="Q100" s="111">
        <v>12.723389518585639</v>
      </c>
      <c r="R100" s="68">
        <v>7.9297601103709061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0.17597878595936861</v>
      </c>
      <c r="M101" s="115">
        <v>13.714588619620454</v>
      </c>
      <c r="N101" s="115">
        <v>462.19744949439604</v>
      </c>
      <c r="O101" s="115">
        <v>4.8024546955578504</v>
      </c>
      <c r="P101" s="115">
        <v>4.5655946428211971</v>
      </c>
      <c r="Q101" s="111">
        <v>4.8024546955578504</v>
      </c>
      <c r="R101" s="68">
        <v>4.5655946428211971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3.8622678562896348E-2</v>
      </c>
      <c r="M102" s="115">
        <v>18.44196484266455</v>
      </c>
      <c r="N102" s="115">
        <v>629.01480506726807</v>
      </c>
      <c r="O102" s="115">
        <v>6.6716209499796593</v>
      </c>
      <c r="P102" s="115">
        <v>6.6292506757974605</v>
      </c>
      <c r="Q102" s="111">
        <v>6.6716209499796593</v>
      </c>
      <c r="R102" s="68">
        <v>6.6292506757974605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0.89313127176586227</v>
      </c>
      <c r="M103" s="115">
        <v>1.072141731432805</v>
      </c>
      <c r="N103" s="115">
        <v>11.855129569613009</v>
      </c>
      <c r="O103" s="115">
        <v>1.246608223415818</v>
      </c>
      <c r="P103" s="115">
        <v>1.7342278436929275</v>
      </c>
      <c r="Q103" s="111">
        <v>1.246608223415818</v>
      </c>
      <c r="R103" s="68">
        <v>1.7342278436929275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1.112502423683402E-2</v>
      </c>
      <c r="M104" s="115">
        <v>2.8417257800138298</v>
      </c>
      <c r="N104" s="115">
        <v>112.39370426412947</v>
      </c>
      <c r="O104" s="115">
        <v>4.7990164069512389</v>
      </c>
      <c r="P104" s="115">
        <v>8.2394089010291953</v>
      </c>
      <c r="Q104" s="111">
        <v>4.7990164069512389</v>
      </c>
      <c r="R104" s="68">
        <v>8.2394089010291971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0.96542271099014076</v>
      </c>
      <c r="M105" s="115">
        <v>0.89321806137377069</v>
      </c>
      <c r="N105" s="115">
        <v>1.806003609478779</v>
      </c>
      <c r="O105" s="115">
        <v>0.81310509955674404</v>
      </c>
      <c r="P105" s="115">
        <v>0.93883746745120755</v>
      </c>
      <c r="Q105" s="111">
        <v>0.81310509955674404</v>
      </c>
      <c r="R105" s="68">
        <v>0.93883746745120766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0.93932266795631381</v>
      </c>
      <c r="M106" s="115">
        <v>1.0203145066864487</v>
      </c>
      <c r="N106" s="115">
        <v>6.8526293264968299</v>
      </c>
      <c r="O106" s="115">
        <v>0.82267278898920537</v>
      </c>
      <c r="P106" s="115">
        <v>0.93429795170282903</v>
      </c>
      <c r="Q106" s="111">
        <v>0.82267278898920537</v>
      </c>
      <c r="R106" s="68">
        <v>0.93429795170282914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2.3879533401049195E-2</v>
      </c>
      <c r="M107" s="115">
        <v>23.033204395709483</v>
      </c>
      <c r="N107" s="115">
        <v>689.95489056801603</v>
      </c>
      <c r="O107" s="115">
        <v>6.4789948363663834</v>
      </c>
      <c r="P107" s="115">
        <v>6.5193967179484993</v>
      </c>
      <c r="Q107" s="111">
        <v>6.4789948363663843</v>
      </c>
      <c r="R107" s="68">
        <v>6.5193967179484993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0.99929952749824147</v>
      </c>
      <c r="M108" s="115">
        <v>0.87134772619433476</v>
      </c>
      <c r="N108" s="115">
        <v>7.8366022073036459E-2</v>
      </c>
      <c r="O108" s="115">
        <v>0.82457298157563819</v>
      </c>
      <c r="P108" s="115">
        <v>0.95841148600716075</v>
      </c>
      <c r="Q108" s="111">
        <v>0.82457298157563819</v>
      </c>
      <c r="R108" s="68">
        <v>0.95841148600716075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1.9258818927900627</v>
      </c>
      <c r="M109" s="115">
        <v>15.339843686477439</v>
      </c>
      <c r="N109" s="115">
        <v>257.09821646255966</v>
      </c>
      <c r="O109" s="115">
        <v>1.2080438705367569</v>
      </c>
      <c r="P109" s="115">
        <v>1.4047658714318583</v>
      </c>
      <c r="Q109" s="111">
        <v>1.2080438705367569</v>
      </c>
      <c r="R109" s="68">
        <v>1.4047658714318583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0.99002069370792645</v>
      </c>
      <c r="M110" s="115">
        <v>0.86780168832265137</v>
      </c>
      <c r="N110" s="115">
        <v>0.22264622179206026</v>
      </c>
      <c r="O110" s="115">
        <v>0.82074041850443802</v>
      </c>
      <c r="P110" s="115">
        <v>0.95356183272165329</v>
      </c>
      <c r="Q110" s="111">
        <v>0.82074041850443813</v>
      </c>
      <c r="R110" s="68">
        <v>0.95356183272165329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0.99646097798455757</v>
      </c>
      <c r="M111" s="115">
        <v>0.86700188521230481</v>
      </c>
      <c r="N111" s="115">
        <v>3.2437054170003036E-3</v>
      </c>
      <c r="O111" s="115">
        <v>0.82460140711276164</v>
      </c>
      <c r="P111" s="115">
        <v>0.958496150037357</v>
      </c>
      <c r="Q111" s="111">
        <v>0.82460140711276164</v>
      </c>
      <c r="R111" s="68">
        <v>0.958496150037357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0.98832387241717512</v>
      </c>
      <c r="M112" s="115">
        <v>0.8648208732610414</v>
      </c>
      <c r="N112" s="115">
        <v>0.16812368706460967</v>
      </c>
      <c r="O112" s="115">
        <v>0.81787122893037634</v>
      </c>
      <c r="P112" s="115">
        <v>0.95000655744205398</v>
      </c>
      <c r="Q112" s="111">
        <v>0.81787122893037634</v>
      </c>
      <c r="R112" s="68">
        <v>0.95000655744205409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0.94875711264869367</v>
      </c>
      <c r="M113" s="115">
        <v>0.93863947568867612</v>
      </c>
      <c r="N113" s="115">
        <v>3.839640993858787</v>
      </c>
      <c r="O113" s="115">
        <v>0.81728606129918946</v>
      </c>
      <c r="P113" s="115">
        <v>0.93707387141136844</v>
      </c>
      <c r="Q113" s="111">
        <v>0.81728606129918946</v>
      </c>
      <c r="R113" s="68">
        <v>0.93707387141136855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0.99227127576936947</v>
      </c>
      <c r="M114" s="115">
        <v>0.8648263150159502</v>
      </c>
      <c r="N114" s="115">
        <v>5.2262939326163188E-2</v>
      </c>
      <c r="O114" s="115">
        <v>0.82013063371064909</v>
      </c>
      <c r="P114" s="115">
        <v>0.95306631043451717</v>
      </c>
      <c r="Q114" s="111">
        <v>0.8201306337106492</v>
      </c>
      <c r="R114" s="68">
        <v>0.95306631043451728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0.96958861611569624</v>
      </c>
      <c r="M115" s="115">
        <v>0.92802680259247161</v>
      </c>
      <c r="N115" s="115">
        <v>3.3975684887391577</v>
      </c>
      <c r="O115" s="115">
        <v>0.9356370194657484</v>
      </c>
      <c r="P115" s="115">
        <v>1.1614194308617947</v>
      </c>
      <c r="Q115" s="111">
        <v>0.93563701946574851</v>
      </c>
      <c r="R115" s="68">
        <v>1.1614194308617949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0.2733686189837134</v>
      </c>
      <c r="M116" s="115">
        <v>148.46017445422902</v>
      </c>
      <c r="N116" s="115">
        <v>2612.6343240643168</v>
      </c>
      <c r="O116" s="115">
        <v>5.2146834096269687</v>
      </c>
      <c r="P116" s="115">
        <v>6.7809667788042605</v>
      </c>
      <c r="Q116" s="111">
        <v>5.2146834096269687</v>
      </c>
      <c r="R116" s="68">
        <v>6.7809667788042614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0.47116321351744822</v>
      </c>
      <c r="M117" s="115">
        <v>6.7070752583784525</v>
      </c>
      <c r="N117" s="115">
        <v>214.12341088778771</v>
      </c>
      <c r="O117" s="115">
        <v>2.4598934576497431</v>
      </c>
      <c r="P117" s="115">
        <v>2.3121781409921169</v>
      </c>
      <c r="Q117" s="111">
        <v>2.4598934576497431</v>
      </c>
      <c r="R117" s="68">
        <v>2.3121781409921174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2025-02-02T14:11:58Z</dcterms:modified>
</cp:coreProperties>
</file>