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8813123C-1865-4ACA-BB69-87DE29329424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<sst xmlns="http://schemas.openxmlformats.org/spreadsheetml/2006/main" count="2915" uniqueCount="495">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</sst>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44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4.75</v>
      </c>
      <c r="K5" s="136">
        <v>5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0.95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0.47499999999999998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0.08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2.8000000000000001E-2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1.55E-2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0.01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1.15E-2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6.0000000000000001E-3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0.1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7" ht="13.15">
      <c r="A1" s="74" t="s">
        <v>132</v>
      </c>
      <c r="B1" s="75"/>
      <c r="F1" s="74" t="s">
        <v>131</v>
      </c>
      <c r="I1" s="76"/>
    </row>
    <row r="2" spans="1:17" ht="13.15" thickBot="1">
      <c r="B2" s="75"/>
      <c r="I2" s="76"/>
    </row>
    <row r="3" spans="1:17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7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7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7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7" ht="13.15" thickBot="1">
      <c r="B7" s="87"/>
      <c r="I7" s="76"/>
    </row>
    <row r="8" spans="1:17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7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5.0000000000000001E-3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7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2.4999999999999998E-2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7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7" ht="13.15" thickBot="1">
      <c r="A12" s="76" t="s">
        <v>22</v>
      </c>
      <c r="B12" s="138">
        <f>G13/1000000/G12*1000000</f>
        <v>2.8000000000000001E-2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7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2.8000000000000001E-2</v>
      </c>
      <c r="H13" s="75" t="s">
        <v>16</v>
      </c>
      <c r="K13" s="75"/>
      <c r="L13" s="76"/>
      <c r="M13" s="75"/>
    </row>
    <row r="14" spans="1:17" ht="13.15" thickBot="1">
      <c r="C14" s="76"/>
      <c r="D14" s="76"/>
      <c r="E14" s="76"/>
      <c r="F14" s="102" t="s">
        <v>164</v>
      </c>
      <c r="G14" s="88">
        <v>7.4</v>
      </c>
    </row>
    <row r="15" spans="1:17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7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O16"/>
      <c r="P16"/>
      <c r="Q16"/>
    </row>
    <row r="17" spans="1:17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O17"/>
      <c r="P17"/>
      <c r="Q17"/>
    </row>
    <row r="18" spans="1:17" ht="15">
      <c r="C18" s="76"/>
      <c r="D18" s="76"/>
      <c r="E18" s="76"/>
      <c r="K18" s="75"/>
      <c r="O18"/>
      <c r="P18"/>
      <c r="Q18"/>
    </row>
    <row r="19" spans="1:17" ht="13.15">
      <c r="A19" s="93" t="s">
        <v>15</v>
      </c>
      <c r="C19" s="76"/>
      <c r="D19" s="76"/>
      <c r="E19" s="76"/>
    </row>
    <row r="20" spans="1:17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7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6.9999999999999999E-4</v>
      </c>
      <c r="K21" s="76" t="s">
        <v>125</v>
      </c>
      <c r="M21" s="75"/>
    </row>
    <row r="22" spans="1:17" ht="13.15" thickBot="1">
      <c r="A22" s="75"/>
      <c r="C22" s="76"/>
      <c r="F22" s="102" t="s">
        <v>164</v>
      </c>
      <c r="G22" s="88">
        <v>7.4</v>
      </c>
      <c r="J22" s="95">
        <f>B12*(G9+G10)/B6</f>
        <v>2.1000000000000002E-5</v>
      </c>
      <c r="K22" s="78" t="s">
        <v>126</v>
      </c>
      <c r="L22" s="96"/>
    </row>
    <row r="23" spans="1:17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7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7">
      <c r="C25" s="96"/>
      <c r="F25" s="76" t="s">
        <v>137</v>
      </c>
    </row>
    <row r="26" spans="1:17">
      <c r="B26" s="75"/>
      <c r="F26" s="98" t="s">
        <v>152</v>
      </c>
      <c r="G26" s="76" t="b">
        <v>0</v>
      </c>
    </row>
    <row r="27" spans="1:17" ht="13.15">
      <c r="C27" s="96"/>
      <c r="F27" s="74"/>
      <c r="G27" s="75"/>
      <c r="H27" s="75"/>
      <c r="J27" s="99"/>
    </row>
    <row r="28" spans="1:17" ht="13.15">
      <c r="B28" s="100"/>
      <c r="C28" s="96"/>
      <c r="F28" s="6" t="s">
        <v>269</v>
      </c>
      <c r="G28" s="75"/>
      <c r="H28" s="75"/>
      <c r="J28" s="99"/>
    </row>
    <row r="29" spans="1:17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7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7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7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1.3661691189341708E-5</v>
      </c>
      <c r="J2" s="67" t="s">
        <v>231</v>
      </c>
      <c r="K2" s="68">
        <v>2.2296672906347518E-3</v>
      </c>
      <c r="L2" s="67" t="s">
        <v>231</v>
      </c>
      <c r="M2" s="68">
        <v>5.2871940574330402E-2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9.538420088681485E-4</v>
      </c>
      <c r="J3" s="67" t="s">
        <v>231</v>
      </c>
      <c r="K3" s="68">
        <v>9.9125061393163669E-2</v>
      </c>
      <c r="L3" s="67" t="s">
        <v>231</v>
      </c>
      <c r="M3" s="68">
        <v>3.414843996006117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1.7402526079267533E-3</v>
      </c>
      <c r="J4" s="67" t="s">
        <v>231</v>
      </c>
      <c r="K4" s="68">
        <v>9.1594528911997427E-3</v>
      </c>
      <c r="L4" s="67" t="s">
        <v>231</v>
      </c>
      <c r="M4" s="68">
        <v>0.30125680534447974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1.5209204698950233E-3</v>
      </c>
      <c r="J5" s="67" t="s">
        <v>231</v>
      </c>
      <c r="K5" s="68">
        <v>2.9906808992717981E-2</v>
      </c>
      <c r="L5" s="67" t="s">
        <v>231</v>
      </c>
      <c r="M5" s="68">
        <v>1.0249440352524886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2.5841094233251026E-3</v>
      </c>
      <c r="J6" s="67" t="s">
        <v>231</v>
      </c>
      <c r="K6" s="68">
        <v>0.11514683907745044</v>
      </c>
      <c r="L6" s="67" t="s">
        <v>231</v>
      </c>
      <c r="M6" s="68">
        <v>3.9719938680684872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3.7892209489582852E-4</v>
      </c>
      <c r="J7" s="67" t="s">
        <v>231</v>
      </c>
      <c r="K7" s="68">
        <v>0.10199799439676421</v>
      </c>
      <c r="L7" s="67" t="s">
        <v>231</v>
      </c>
      <c r="M7" s="68">
        <v>3.5144931827838359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7.3808562988119514E-4</v>
      </c>
      <c r="J8" s="67" t="s">
        <v>231</v>
      </c>
      <c r="K8" s="68">
        <v>8.1859440182534882E-2</v>
      </c>
      <c r="L8" s="67" t="s">
        <v>231</v>
      </c>
      <c r="M8" s="68">
        <v>2.8165827387956499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2.1563238630318985E-4</v>
      </c>
      <c r="J9" s="67" t="s">
        <v>231</v>
      </c>
      <c r="K9" s="68">
        <v>1.7653423270911756E-2</v>
      </c>
      <c r="L9" s="67" t="s">
        <v>231</v>
      </c>
      <c r="M9" s="68">
        <v>0.60106518954815591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9.1443449357411939E-4</v>
      </c>
      <c r="J10" s="67" t="s">
        <v>231</v>
      </c>
      <c r="K10" s="68">
        <v>3.19593264206324E-2</v>
      </c>
      <c r="L10" s="67" t="s">
        <v>231</v>
      </c>
      <c r="M10" s="68">
        <v>1.0955314321828258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2.2472923667462319E-4</v>
      </c>
      <c r="J11" s="67" t="s">
        <v>231</v>
      </c>
      <c r="K11" s="68">
        <v>3.5583128716425196E-2</v>
      </c>
      <c r="L11" s="67" t="s">
        <v>231</v>
      </c>
      <c r="M11" s="68">
        <v>1.220196814075555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4.629650674725277E-4</v>
      </c>
      <c r="J12" s="67" t="s">
        <v>231</v>
      </c>
      <c r="K12" s="68">
        <v>1.8476959025855583E-2</v>
      </c>
      <c r="L12" s="67" t="s">
        <v>231</v>
      </c>
      <c r="M12" s="68">
        <v>0.63025593767224053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1.0049270085330292E-2</v>
      </c>
      <c r="J13" s="67" t="s">
        <v>232</v>
      </c>
      <c r="K13" s="68">
        <v>1.7744163873755707E-2</v>
      </c>
      <c r="L13" s="67" t="s">
        <v>231</v>
      </c>
      <c r="M13" s="68">
        <v>0.60427517457138147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2.1327279077465269E-3</v>
      </c>
      <c r="J14" s="67" t="s">
        <v>231</v>
      </c>
      <c r="K14" s="68">
        <v>4.839569666215475E-2</v>
      </c>
      <c r="L14" s="67" t="s">
        <v>231</v>
      </c>
      <c r="M14" s="68">
        <v>1.6613626446986745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1.0785265499070852E-3</v>
      </c>
      <c r="J15" s="67" t="s">
        <v>231</v>
      </c>
      <c r="K15" s="68">
        <v>3.3739856710008301E-2</v>
      </c>
      <c r="L15" s="67" t="s">
        <v>231</v>
      </c>
      <c r="M15" s="68">
        <v>1.1567785091792715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7.7668076020507432E-4</v>
      </c>
      <c r="J16" s="67" t="s">
        <v>231</v>
      </c>
      <c r="K16" s="68">
        <v>8.0860328813462765E-2</v>
      </c>
      <c r="L16" s="67" t="s">
        <v>231</v>
      </c>
      <c r="M16" s="68">
        <v>2.782024511910747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6.405222880272E-4</v>
      </c>
      <c r="J17" s="67" t="s">
        <v>231</v>
      </c>
      <c r="K17" s="68">
        <v>3.0581770271833834E-2</v>
      </c>
      <c r="L17" s="67" t="s">
        <v>231</v>
      </c>
      <c r="M17" s="68">
        <v>1.0481544132164005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1.6036474428611862E-3</v>
      </c>
      <c r="J18" s="67" t="s">
        <v>231</v>
      </c>
      <c r="K18" s="68">
        <v>1.7153945468569756E-2</v>
      </c>
      <c r="L18" s="67" t="s">
        <v>231</v>
      </c>
      <c r="M18" s="68">
        <v>0.5834870751213479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6.5561292281353118E-3</v>
      </c>
      <c r="J19" s="67" t="s">
        <v>231</v>
      </c>
      <c r="K19" s="68">
        <v>3.4103845710332301E-2</v>
      </c>
      <c r="L19" s="67" t="s">
        <v>231</v>
      </c>
      <c r="M19" s="68">
        <v>1.1693005737027362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1.039843726322728E-3</v>
      </c>
      <c r="J20" s="67" t="s">
        <v>231</v>
      </c>
      <c r="K20" s="68">
        <v>1.7746516995300176E-2</v>
      </c>
      <c r="L20" s="67" t="s">
        <v>231</v>
      </c>
      <c r="M20" s="68">
        <v>0.60435530981709884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3.0806242773650785E-3</v>
      </c>
      <c r="J21" s="67" t="s">
        <v>231</v>
      </c>
      <c r="K21" s="68">
        <v>4.4432533842622662E-2</v>
      </c>
      <c r="L21" s="67" t="s">
        <v>231</v>
      </c>
      <c r="M21" s="68">
        <v>1.524839635137498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8.6282366476862323E-5</v>
      </c>
      <c r="J22" s="67" t="s">
        <v>231</v>
      </c>
      <c r="K22" s="68">
        <v>5.0819095399468042E-3</v>
      </c>
      <c r="L22" s="67" t="s">
        <v>231</v>
      </c>
      <c r="M22" s="68">
        <v>0.15611147899776689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2.9270071533284449E-5</v>
      </c>
      <c r="J23" s="67" t="s">
        <v>231</v>
      </c>
      <c r="K23" s="68">
        <v>2.9541649886996777E-3</v>
      </c>
      <c r="L23" s="67" t="s">
        <v>231</v>
      </c>
      <c r="M23" s="68">
        <v>7.9345118665502104E-2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8.0919088096593079E-5</v>
      </c>
      <c r="J24" s="67" t="s">
        <v>231</v>
      </c>
      <c r="K24" s="68">
        <v>1.3800851127410026E-2</v>
      </c>
      <c r="L24" s="67" t="s">
        <v>231</v>
      </c>
      <c r="M24" s="68">
        <v>0.46523973914827305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4.0084399633164209E-4</v>
      </c>
      <c r="J25" s="67" t="s">
        <v>231</v>
      </c>
      <c r="K25" s="68">
        <v>1.8872389878824E-2</v>
      </c>
      <c r="L25" s="67" t="s">
        <v>231</v>
      </c>
      <c r="M25" s="68">
        <v>0.64486129228163569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8.1598683520627035E-4</v>
      </c>
      <c r="J26" s="67" t="s">
        <v>231</v>
      </c>
      <c r="K26" s="68">
        <v>4.1904281005596934E-2</v>
      </c>
      <c r="L26" s="67" t="s">
        <v>231</v>
      </c>
      <c r="M26" s="68">
        <v>1.4377744935213783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5.2446429372246398E-4</v>
      </c>
      <c r="J27" s="67" t="s">
        <v>231</v>
      </c>
      <c r="K27" s="68">
        <v>9.7060365349339178E-2</v>
      </c>
      <c r="L27" s="67" t="s">
        <v>231</v>
      </c>
      <c r="M27" s="68">
        <v>3.3431778541325707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2.8710868845112131E-4</v>
      </c>
      <c r="J28" s="67" t="s">
        <v>231</v>
      </c>
      <c r="K28" s="68">
        <v>6.1080204688476823E-2</v>
      </c>
      <c r="L28" s="67" t="s">
        <v>231</v>
      </c>
      <c r="M28" s="68">
        <v>2.0987172709383355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1.7731166859266502E-4</v>
      </c>
      <c r="J29" s="67" t="s">
        <v>231</v>
      </c>
      <c r="K29" s="68">
        <v>4.5816216498289652E-2</v>
      </c>
      <c r="L29" s="67" t="s">
        <v>231</v>
      </c>
      <c r="M29" s="68">
        <v>1.5726505430565403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2.8710868845112131E-4</v>
      </c>
      <c r="J30" s="67" t="s">
        <v>231</v>
      </c>
      <c r="K30" s="68">
        <v>6.1080204688476823E-2</v>
      </c>
      <c r="L30" s="67" t="s">
        <v>231</v>
      </c>
      <c r="M30" s="68">
        <v>2.0987172709383355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8.1303397266483481E-8</v>
      </c>
      <c r="J31" s="67" t="s">
        <v>231</v>
      </c>
      <c r="K31" s="68">
        <v>8.7977242037560338E-4</v>
      </c>
      <c r="L31" s="67" t="s">
        <v>231</v>
      </c>
      <c r="M31" s="68">
        <v>1.1396301094084183E-3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8.3859885759972504E-6</v>
      </c>
      <c r="J32" s="67" t="s">
        <v>231</v>
      </c>
      <c r="K32" s="68">
        <v>7.5499946631780151E-3</v>
      </c>
      <c r="L32" s="67" t="s">
        <v>231</v>
      </c>
      <c r="M32" s="68">
        <v>0.241822618893898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8.129000156170115E-8</v>
      </c>
      <c r="J33" s="67" t="s">
        <v>231</v>
      </c>
      <c r="K33" s="68">
        <v>8.7803750550132095E-4</v>
      </c>
      <c r="L33" s="67" t="s">
        <v>231</v>
      </c>
      <c r="M33" s="68">
        <v>5.9099805347745979E-4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1.9338999904541565E-10</v>
      </c>
      <c r="J34" s="67" t="s">
        <v>231</v>
      </c>
      <c r="K34" s="68">
        <v>1.5992533227363217E-3</v>
      </c>
      <c r="L34" s="67" t="s">
        <v>231</v>
      </c>
      <c r="M34" s="68">
        <v>4.4971356196948954E-2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1.9729508248920883E-7</v>
      </c>
      <c r="J35" s="67" t="s">
        <v>231</v>
      </c>
      <c r="K35" s="68">
        <v>1.8738737181835765E-3</v>
      </c>
      <c r="L35" s="67" t="s">
        <v>231</v>
      </c>
      <c r="M35" s="68">
        <v>6.3625044362875971E-2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1.7977271999916246E-7</v>
      </c>
      <c r="J36" s="67" t="s">
        <v>231</v>
      </c>
      <c r="K36" s="68">
        <v>2.0313282209943563E-3</v>
      </c>
      <c r="L36" s="67" t="s">
        <v>231</v>
      </c>
      <c r="M36" s="68">
        <v>7.7304749928397851E-2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1.9293169958658013E-6</v>
      </c>
      <c r="J37" s="67" t="s">
        <v>231</v>
      </c>
      <c r="K37" s="68">
        <v>5.0649076874008979E-3</v>
      </c>
      <c r="L37" s="67" t="s">
        <v>231</v>
      </c>
      <c r="M37" s="68">
        <v>0.17437578904157175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1.0512422684267809E-6</v>
      </c>
      <c r="J38" s="67" t="s">
        <v>231</v>
      </c>
      <c r="K38" s="68">
        <v>1.5449429417240788E-3</v>
      </c>
      <c r="L38" s="67" t="s">
        <v>231</v>
      </c>
      <c r="M38" s="68">
        <v>4.02702313355668E-2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2.0710533184802835E-4</v>
      </c>
      <c r="J39" s="67" t="s">
        <v>231</v>
      </c>
      <c r="K39" s="68">
        <v>1.9849146355759191E-2</v>
      </c>
      <c r="L39" s="67" t="s">
        <v>231</v>
      </c>
      <c r="M39" s="68">
        <v>0.67929772809148981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7.5114975717851009E-10</v>
      </c>
      <c r="J40" s="67" t="s">
        <v>231</v>
      </c>
      <c r="K40" s="68">
        <v>0.13030505882952415</v>
      </c>
      <c r="L40" s="67" t="s">
        <v>231</v>
      </c>
      <c r="M40" s="68">
        <v>5.1595718174090255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2.6229016214229645E-8</v>
      </c>
      <c r="J41" s="67" t="s">
        <v>231</v>
      </c>
      <c r="K41" s="68">
        <v>7.9397186592813419E-4</v>
      </c>
      <c r="L41" s="67" t="s">
        <v>231</v>
      </c>
      <c r="M41" s="68">
        <v>6.441355621005281E-5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9.424333203014129E-4</v>
      </c>
      <c r="J42" s="67" t="s">
        <v>231</v>
      </c>
      <c r="K42" s="68">
        <v>5.7461609979646954E-3</v>
      </c>
      <c r="L42" s="67" t="s">
        <v>231</v>
      </c>
      <c r="M42" s="68">
        <v>0.17983224757041491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4.6961166674400877E-9</v>
      </c>
      <c r="J43" s="67" t="s">
        <v>231</v>
      </c>
      <c r="K43" s="68">
        <v>4.1285635370417349E-3</v>
      </c>
      <c r="L43" s="67" t="s">
        <v>231</v>
      </c>
      <c r="M43" s="68">
        <v>0.16415004599166602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1.0653845785982104E-6</v>
      </c>
      <c r="J44" s="67" t="s">
        <v>231</v>
      </c>
      <c r="K44" s="68">
        <v>1.5181658095673413E-3</v>
      </c>
      <c r="L44" s="67" t="s">
        <v>231</v>
      </c>
      <c r="M44" s="68">
        <v>2.904721040046097E-2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8.2509127545885738E-5</v>
      </c>
      <c r="J45" s="67" t="s">
        <v>231</v>
      </c>
      <c r="K45" s="68">
        <v>6.3719079354328323E-3</v>
      </c>
      <c r="L45" s="67" t="s">
        <v>231</v>
      </c>
      <c r="M45" s="68">
        <v>0.20219094621875991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1.8568624283603067E-6</v>
      </c>
      <c r="J46" s="67" t="s">
        <v>231</v>
      </c>
      <c r="K46" s="68">
        <v>5.9653065197756653E-3</v>
      </c>
      <c r="L46" s="67" t="s">
        <v>231</v>
      </c>
      <c r="M46" s="68">
        <v>0.18771270847032906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2.4203922471737922E-3</v>
      </c>
      <c r="J47" s="142" t="s">
        <v>231</v>
      </c>
      <c r="K47" s="143">
        <v>9.9461489072326784E-2</v>
      </c>
      <c r="L47" s="142" t="s">
        <v>231</v>
      </c>
      <c r="M47" s="143">
        <v>3.4264338807853432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1.8047548203887533E-6</v>
      </c>
      <c r="J48" s="142" t="s">
        <v>231</v>
      </c>
      <c r="K48" s="143">
        <v>1.0847351410245565E-3</v>
      </c>
      <c r="L48" s="142" t="s">
        <v>231</v>
      </c>
      <c r="M48" s="143">
        <v>1.0201687234544659E-2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5.0282175450947017E-6</v>
      </c>
      <c r="J49" s="142" t="s">
        <v>231</v>
      </c>
      <c r="K49" s="143">
        <v>1.2634479436609497E-3</v>
      </c>
      <c r="L49" s="142" t="s">
        <v>231</v>
      </c>
      <c r="M49" s="143">
        <v>1.747062851774548E-2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7.046272410812376E-6</v>
      </c>
      <c r="J50" s="142" t="s">
        <v>231</v>
      </c>
      <c r="K50" s="143">
        <v>1.6931540262030805E-2</v>
      </c>
      <c r="L50" s="142" t="s">
        <v>231</v>
      </c>
      <c r="M50" s="143">
        <v>0.57571473537133122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4.0215976731065785E-8</v>
      </c>
      <c r="J51" s="142" t="s">
        <v>231</v>
      </c>
      <c r="K51" s="143">
        <v>8.3813205139535434E-4</v>
      </c>
      <c r="L51" s="142" t="s">
        <v>231</v>
      </c>
      <c r="M51" s="143">
        <v>1.8499921989533962E-3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1.0748340402043775E-5</v>
      </c>
      <c r="J52" s="142" t="s">
        <v>231</v>
      </c>
      <c r="K52" s="143">
        <v>2.049964050871269E-3</v>
      </c>
      <c r="L52" s="142" t="s">
        <v>231</v>
      </c>
      <c r="M52" s="143">
        <v>4.82662485295203E-2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1.5439735509013879E-4</v>
      </c>
      <c r="J53" s="142" t="s">
        <v>231</v>
      </c>
      <c r="K53" s="143">
        <v>8.5718506009253483E-3</v>
      </c>
      <c r="L53" s="142" t="s">
        <v>231</v>
      </c>
      <c r="M53" s="143">
        <v>0.28046663115987919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8.2816890005499527E-4</v>
      </c>
      <c r="J54" s="67" t="s">
        <v>231</v>
      </c>
      <c r="K54" s="68">
        <v>9.1398804637459835E-2</v>
      </c>
      <c r="L54" s="67" t="s">
        <v>231</v>
      </c>
      <c r="M54" s="68">
        <v>3.1468496266805568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1.6999297175240635E-4</v>
      </c>
      <c r="J55" s="67" t="s">
        <v>231</v>
      </c>
      <c r="K55" s="68">
        <v>1.2423939832850572E-2</v>
      </c>
      <c r="L55" s="67" t="s">
        <v>231</v>
      </c>
      <c r="M55" s="68">
        <v>0.41950371122166491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5.0616289995757515E-5</v>
      </c>
      <c r="J56" s="67" t="s">
        <v>231</v>
      </c>
      <c r="K56" s="68">
        <v>7.3313892091028164E-3</v>
      </c>
      <c r="L56" s="67" t="s">
        <v>231</v>
      </c>
      <c r="M56" s="68">
        <v>0.25001905204382086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2.3887194171263019E-5</v>
      </c>
      <c r="J57" s="67" t="s">
        <v>231</v>
      </c>
      <c r="K57" s="68">
        <v>3.6080154004016589E-3</v>
      </c>
      <c r="L57" s="67" t="s">
        <v>231</v>
      </c>
      <c r="M57" s="68">
        <v>0.122183506528591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2.5844928202908254E-7</v>
      </c>
      <c r="J58" s="67" t="s">
        <v>231</v>
      </c>
      <c r="K58" s="68">
        <v>9.612711350966202E-5</v>
      </c>
      <c r="L58" s="67" t="s">
        <v>231</v>
      </c>
      <c r="M58" s="68">
        <v>1.5164851488982318E-3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5.7424028600089413E-6</v>
      </c>
      <c r="J59" s="67" t="s">
        <v>231</v>
      </c>
      <c r="K59" s="68">
        <v>1.3863513912259753E-3</v>
      </c>
      <c r="L59" s="67" t="s">
        <v>231</v>
      </c>
      <c r="M59" s="68">
        <v>4.6919454871071652E-2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8.9710798072321086E-8</v>
      </c>
      <c r="J60" s="67" t="s">
        <v>231</v>
      </c>
      <c r="K60" s="68">
        <v>2.4195978312711469E-5</v>
      </c>
      <c r="L60" s="67" t="s">
        <v>231</v>
      </c>
      <c r="M60" s="68">
        <v>8.1090620104200023E-4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3.3529649770634648E-2</v>
      </c>
      <c r="J61" s="67" t="s">
        <v>232</v>
      </c>
      <c r="K61" s="68">
        <v>1.0810149566092914E-2</v>
      </c>
      <c r="L61" s="67" t="s">
        <v>231</v>
      </c>
      <c r="M61" s="68">
        <v>0.359682958802092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3.6866055769163006E-5</v>
      </c>
      <c r="J62" s="67" t="s">
        <v>231</v>
      </c>
      <c r="K62" s="68">
        <v>4.7506831867612037E-2</v>
      </c>
      <c r="L62" s="67" t="s">
        <v>231</v>
      </c>
      <c r="M62" s="68">
        <v>1.6307372485035239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2.5042220180236636E-4</v>
      </c>
      <c r="J63" s="67" t="s">
        <v>231</v>
      </c>
      <c r="K63" s="68">
        <v>0.11168868790255261</v>
      </c>
      <c r="L63" s="67" t="s">
        <v>231</v>
      </c>
      <c r="M63" s="68">
        <v>3.85147835911879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1.8023606518089401E-4</v>
      </c>
      <c r="J64" s="67" t="s">
        <v>231</v>
      </c>
      <c r="K64" s="68">
        <v>0.1268391491385753</v>
      </c>
      <c r="L64" s="67" t="s">
        <v>231</v>
      </c>
      <c r="M64" s="68">
        <v>4.3810027520341297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2.7505815444468307E-4</v>
      </c>
      <c r="J65" s="67" t="s">
        <v>231</v>
      </c>
      <c r="K65" s="68">
        <v>0.13764610123846199</v>
      </c>
      <c r="L65" s="67" t="s">
        <v>231</v>
      </c>
      <c r="M65" s="68">
        <v>4.7629186352707551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1.0861891760904252E-6</v>
      </c>
      <c r="J66" s="67" t="s">
        <v>231</v>
      </c>
      <c r="K66" s="68">
        <v>0.13220275824695615</v>
      </c>
      <c r="L66" s="67" t="s">
        <v>231</v>
      </c>
      <c r="M66" s="68">
        <v>4.5698504210021813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3.7219492845252234E-4</v>
      </c>
      <c r="J67" s="67" t="s">
        <v>231</v>
      </c>
      <c r="K67" s="68">
        <v>1.8046555889658588E-3</v>
      </c>
      <c r="L67" s="67" t="s">
        <v>231</v>
      </c>
      <c r="M67" s="68">
        <v>3.7304584032741492E-2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1.4804529413169092E-4</v>
      </c>
      <c r="J68" s="67" t="s">
        <v>231</v>
      </c>
      <c r="K68" s="68">
        <v>2.483829465851981E-3</v>
      </c>
      <c r="L68" s="67" t="s">
        <v>231</v>
      </c>
      <c r="M68" s="68">
        <v>6.2476140627578648E-2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2.0039940326192776E-7</v>
      </c>
      <c r="J69" s="67" t="s">
        <v>231</v>
      </c>
      <c r="K69" s="68">
        <v>7.9323304855272808E-2</v>
      </c>
      <c r="L69" s="67" t="s">
        <v>231</v>
      </c>
      <c r="M69" s="68">
        <v>2.7288757538691648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2.1971688683666238E-4</v>
      </c>
      <c r="J70" s="67" t="s">
        <v>231</v>
      </c>
      <c r="K70" s="68">
        <v>1.8894715620527261E-2</v>
      </c>
      <c r="L70" s="67" t="s">
        <v>231</v>
      </c>
      <c r="M70" s="68">
        <v>0.64528733650664516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2.7700781782192602E-4</v>
      </c>
      <c r="J71" s="67" t="s">
        <v>231</v>
      </c>
      <c r="K71" s="68">
        <v>2.3211014768390694E-3</v>
      </c>
      <c r="L71" s="67" t="s">
        <v>231</v>
      </c>
      <c r="M71" s="68">
        <v>5.6935238128747255E-2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1.3292457263232585E-6</v>
      </c>
      <c r="J72" s="67" t="s">
        <v>231</v>
      </c>
      <c r="K72" s="68">
        <v>1.8543987848483819E-2</v>
      </c>
      <c r="L72" s="67" t="s">
        <v>231</v>
      </c>
      <c r="M72" s="68">
        <v>0.6330299587943059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4.8513817317111041E-3</v>
      </c>
      <c r="J73" s="67" t="s">
        <v>231</v>
      </c>
      <c r="K73" s="68">
        <v>1.1149876093751655E-2</v>
      </c>
      <c r="L73" s="67" t="s">
        <v>231</v>
      </c>
      <c r="M73" s="68">
        <v>0.37197853256994184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4.60426682877529E-2</v>
      </c>
      <c r="J74" s="67" t="s">
        <v>232</v>
      </c>
      <c r="K74" s="68">
        <v>1.8819008997804601E-2</v>
      </c>
      <c r="L74" s="67" t="s">
        <v>231</v>
      </c>
      <c r="M74" s="68">
        <v>0.64262300149523033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2.2541257870434237E-13</v>
      </c>
      <c r="J75" s="67" t="s">
        <v>231</v>
      </c>
      <c r="K75" s="68">
        <v>1.3634155926960068E-2</v>
      </c>
      <c r="L75" s="67" t="s">
        <v>231</v>
      </c>
      <c r="M75" s="68">
        <v>0.54505637071976809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1.2401027926043358E-13</v>
      </c>
      <c r="J76" s="67" t="s">
        <v>231</v>
      </c>
      <c r="K76" s="68">
        <v>1.3634155934210371E-2</v>
      </c>
      <c r="L76" s="67" t="s">
        <v>231</v>
      </c>
      <c r="M76" s="68">
        <v>0.54505637100961535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2.4800976174889554E-7</v>
      </c>
      <c r="J77" s="67" t="s">
        <v>231</v>
      </c>
      <c r="K77" s="68">
        <v>1.5679499853002592E-2</v>
      </c>
      <c r="L77" s="67" t="s">
        <v>231</v>
      </c>
      <c r="M77" s="68">
        <v>0.53193260892496386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9.0752152053204227E-4</v>
      </c>
      <c r="J78" s="67" t="s">
        <v>231</v>
      </c>
      <c r="K78" s="68">
        <v>5.2670835675741714E-3</v>
      </c>
      <c r="L78" s="67" t="s">
        <v>231</v>
      </c>
      <c r="M78" s="68">
        <v>0.16355190784525189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1.6718432005922512E-5</v>
      </c>
      <c r="J79" s="67" t="s">
        <v>231</v>
      </c>
      <c r="K79" s="68">
        <v>8.7097231299348363E-3</v>
      </c>
      <c r="L79" s="67" t="s">
        <v>231</v>
      </c>
      <c r="M79" s="68">
        <v>0.28549425131058137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1.3302069082642976E-14</v>
      </c>
      <c r="J80" s="67" t="s">
        <v>231</v>
      </c>
      <c r="K80" s="68">
        <v>2.6248446036915341E-2</v>
      </c>
      <c r="L80" s="67" t="s">
        <v>231</v>
      </c>
      <c r="M80" s="68">
        <v>1.0495340404848201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2.2031608244300022E-5</v>
      </c>
      <c r="J81" s="67" t="s">
        <v>231</v>
      </c>
      <c r="K81" s="68">
        <v>8.9070808965011289E-4</v>
      </c>
      <c r="L81" s="67" t="s">
        <v>231</v>
      </c>
      <c r="M81" s="68">
        <v>1.6857104185577325E-3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3.3297163692723272E-5</v>
      </c>
      <c r="J82" s="67" t="s">
        <v>231</v>
      </c>
      <c r="K82" s="68">
        <v>2.8736646864815905E-3</v>
      </c>
      <c r="L82" s="67" t="s">
        <v>231</v>
      </c>
      <c r="M82" s="68">
        <v>7.6416680225165498E-2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2.7490142702479115E-5</v>
      </c>
      <c r="J83" s="67" t="s">
        <v>231</v>
      </c>
      <c r="K83" s="68">
        <v>1.526141158860236E-2</v>
      </c>
      <c r="L83" s="67" t="s">
        <v>231</v>
      </c>
      <c r="M83" s="68">
        <v>0.51671660366534677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6.0625978547498023E-6</v>
      </c>
      <c r="J84" s="67" t="s">
        <v>231</v>
      </c>
      <c r="K84" s="68">
        <v>1.0104638994614882E-3</v>
      </c>
      <c r="L84" s="67" t="s">
        <v>231</v>
      </c>
      <c r="M84" s="68">
        <v>6.8315642272884017E-3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3.3082123710194279E-8</v>
      </c>
      <c r="J85" s="67" t="s">
        <v>231</v>
      </c>
      <c r="K85" s="68">
        <v>8.6653216433310305E-4</v>
      </c>
      <c r="L85" s="67" t="s">
        <v>231</v>
      </c>
      <c r="M85" s="68">
        <v>3.4576710512195988E-4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2.3791313979735383E-6</v>
      </c>
      <c r="J86" s="67" t="s">
        <v>231</v>
      </c>
      <c r="K86" s="68">
        <v>1.0031062664653998E-3</v>
      </c>
      <c r="L86" s="67" t="s">
        <v>231</v>
      </c>
      <c r="M86" s="68">
        <v>6.5314814622577594E-3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2.7914317968098972E-3</v>
      </c>
      <c r="J87" s="67" t="s">
        <v>231</v>
      </c>
      <c r="K87" s="68">
        <v>0.10445861480637082</v>
      </c>
      <c r="L87" s="67" t="s">
        <v>231</v>
      </c>
      <c r="M87" s="68">
        <v>3.5999699068046915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9.8400924270945376E-5</v>
      </c>
      <c r="J88" s="67" t="s">
        <v>231</v>
      </c>
      <c r="K88" s="68">
        <v>4.4979494606138893E-3</v>
      </c>
      <c r="L88" s="67" t="s">
        <v>231</v>
      </c>
      <c r="M88" s="68">
        <v>0.13510689722616562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2.6815387138061832E-5</v>
      </c>
      <c r="J89" s="67" t="s">
        <v>231</v>
      </c>
      <c r="K89" s="68">
        <v>3.1233274046386654E-3</v>
      </c>
      <c r="L89" s="67" t="s">
        <v>231</v>
      </c>
      <c r="M89" s="68">
        <v>8.5488011450658499E-2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1.7599368300286891E-6</v>
      </c>
      <c r="J90" s="67" t="s">
        <v>231</v>
      </c>
      <c r="K90" s="68">
        <v>1.4171097922555484E-3</v>
      </c>
      <c r="L90" s="67" t="s">
        <v>231</v>
      </c>
      <c r="M90" s="68">
        <v>2.2635897639586594E-2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2.2292468464010459E-3</v>
      </c>
      <c r="J91" s="67" t="s">
        <v>231</v>
      </c>
      <c r="K91" s="68">
        <v>5.203956045292378E-2</v>
      </c>
      <c r="L91" s="67" t="s">
        <v>231</v>
      </c>
      <c r="M91" s="68">
        <v>1.7869388851657706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1.8378369868004427E-2</v>
      </c>
      <c r="J92" s="67" t="s">
        <v>232</v>
      </c>
      <c r="K92" s="68">
        <v>1.3714588619620454E-2</v>
      </c>
      <c r="L92" s="67" t="s">
        <v>231</v>
      </c>
      <c r="M92" s="68">
        <v>0.46219744949439606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5.6060727417122707E-3</v>
      </c>
      <c r="J93" s="67" t="s">
        <v>231</v>
      </c>
      <c r="K93" s="68">
        <v>1.8441964842664551E-2</v>
      </c>
      <c r="L93" s="67" t="s">
        <v>231</v>
      </c>
      <c r="M93" s="68">
        <v>0.62901480506726803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6.4780696722006285E-9</v>
      </c>
      <c r="J94" s="67" t="s">
        <v>231</v>
      </c>
      <c r="K94" s="68">
        <v>1.0725835805151707E-3</v>
      </c>
      <c r="L94" s="67" t="s">
        <v>231</v>
      </c>
      <c r="M94" s="68">
        <v>1.1871018771714342E-2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4.3381588492526998E-5</v>
      </c>
      <c r="J95" s="67" t="s">
        <v>231</v>
      </c>
      <c r="K95" s="68">
        <v>2.6403050938813583E-2</v>
      </c>
      <c r="L95" s="67" t="s">
        <v>231</v>
      </c>
      <c r="M95" s="68">
        <v>0.90448476790682364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9.7148702109458596E-8</v>
      </c>
      <c r="J96" s="67" t="s">
        <v>231</v>
      </c>
      <c r="K96" s="68">
        <v>8.9321806137377074E-4</v>
      </c>
      <c r="L96" s="67" t="s">
        <v>231</v>
      </c>
      <c r="M96" s="68">
        <v>1.8060036094787789E-3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3.4431775072159734E-8</v>
      </c>
      <c r="J97" s="67" t="s">
        <v>231</v>
      </c>
      <c r="K97" s="68">
        <v>1.0142754397070195E-3</v>
      </c>
      <c r="L97" s="67" t="s">
        <v>231</v>
      </c>
      <c r="M97" s="68">
        <v>6.9866007697215963E-3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8.5600409647356381E-6</v>
      </c>
      <c r="J98" s="67" t="s">
        <v>231</v>
      </c>
      <c r="K98" s="68">
        <v>1.9212051651428242E-2</v>
      </c>
      <c r="L98" s="67" t="s">
        <v>231</v>
      </c>
      <c r="M98" s="68">
        <v>0.65668001687880284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4.1992075493019323E-8</v>
      </c>
      <c r="J99" s="67" t="s">
        <v>231</v>
      </c>
      <c r="K99" s="68">
        <v>8.6488334220753053E-4</v>
      </c>
      <c r="L99" s="67" t="s">
        <v>231</v>
      </c>
      <c r="M99" s="68">
        <v>1.782005872873235E-4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4.981846844871114E-5</v>
      </c>
      <c r="J100" s="67" t="s">
        <v>231</v>
      </c>
      <c r="K100" s="68">
        <v>7.9382562881579258E-3</v>
      </c>
      <c r="L100" s="67" t="s">
        <v>231</v>
      </c>
      <c r="M100" s="68">
        <v>0.25792604119285806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1.3092953913583445E-5</v>
      </c>
      <c r="J101" s="67" t="s">
        <v>231</v>
      </c>
      <c r="K101" s="68">
        <v>8.6793549442165099E-4</v>
      </c>
      <c r="L101" s="67" t="s">
        <v>231</v>
      </c>
      <c r="M101" s="68">
        <v>4.5158663005485423E-4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6.4537579867135099E-11</v>
      </c>
      <c r="J102" s="67" t="s">
        <v>231</v>
      </c>
      <c r="K102" s="68">
        <v>8.6497470604332408E-4</v>
      </c>
      <c r="L102" s="67" t="s">
        <v>231</v>
      </c>
      <c r="M102" s="68">
        <v>3.8237900180059427E-5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9.1865065897610902E-9</v>
      </c>
      <c r="J103" s="67" t="s">
        <v>231</v>
      </c>
      <c r="K103" s="68">
        <v>8.6482087326104147E-4</v>
      </c>
      <c r="L103" s="67" t="s">
        <v>231</v>
      </c>
      <c r="M103" s="68">
        <v>1.6812368706460966E-4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4.2170684328810631E-7</v>
      </c>
      <c r="J104" s="67" t="s">
        <v>231</v>
      </c>
      <c r="K104" s="68">
        <v>9.3863947568867618E-4</v>
      </c>
      <c r="L104" s="67" t="s">
        <v>231</v>
      </c>
      <c r="M104" s="68">
        <v>3.839640993858787E-3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5.8053379083839747E-8</v>
      </c>
      <c r="J105" s="67" t="s">
        <v>231</v>
      </c>
      <c r="K105" s="68">
        <v>8.6479154726655256E-4</v>
      </c>
      <c r="L105" s="67" t="s">
        <v>231</v>
      </c>
      <c r="M105" s="68">
        <v>5.3017650013526888E-5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5.064037603153652E-7</v>
      </c>
      <c r="J106" s="67" t="s">
        <v>231</v>
      </c>
      <c r="K106" s="68">
        <v>1.7331742318437658E-3</v>
      </c>
      <c r="L106" s="67" t="s">
        <v>231</v>
      </c>
      <c r="M106" s="68">
        <v>3.450467673510562E-2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6.1098219895320543E-5</v>
      </c>
      <c r="J107" s="67" t="s">
        <v>231</v>
      </c>
      <c r="K107" s="68">
        <v>1.9346860159446897E-2</v>
      </c>
      <c r="L107" s="67" t="s">
        <v>231</v>
      </c>
      <c r="M107" s="68">
        <v>0.66171675190083046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6.7211649013097866E-5</v>
      </c>
      <c r="J108" s="67" t="s">
        <v>231</v>
      </c>
      <c r="K108" s="68">
        <v>6.7070752583784522E-3</v>
      </c>
      <c r="L108" s="67" t="s">
        <v>231</v>
      </c>
      <c r="M108" s="68">
        <v>0.21412341088778772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0.81974973085015346</v>
      </c>
      <c r="F2" s="14">
        <v>0.77518480420199043</v>
      </c>
      <c r="G2" s="14">
        <v>1.0072881815300534E-6</v>
      </c>
      <c r="H2" s="14">
        <v>10.474305839741255</v>
      </c>
      <c r="I2" s="14">
        <v>28.247656374522094</v>
      </c>
      <c r="J2" s="14">
        <v>0</v>
      </c>
      <c r="K2" s="14">
        <v>1.2900149675011294</v>
      </c>
      <c r="L2" s="14">
        <v>0.77518480420199043</v>
      </c>
      <c r="M2" s="14">
        <v>0.6360391318477332</v>
      </c>
      <c r="N2" s="14">
        <v>2.2296672906347519</v>
      </c>
      <c r="O2" s="14">
        <v>410.5040448787642</v>
      </c>
      <c r="P2" s="8">
        <v>2.2296672906347519</v>
      </c>
      <c r="Q2" s="54">
        <v>0.12055422112429366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0.84986853510320548</v>
      </c>
      <c r="F3" s="14">
        <v>6.1982753906984767E-4</v>
      </c>
      <c r="G3" s="14">
        <v>3.758368468126944E-5</v>
      </c>
      <c r="H3" s="14">
        <v>65.068510923622895</v>
      </c>
      <c r="I3" s="14">
        <v>1632.4054607003663</v>
      </c>
      <c r="J3" s="14">
        <v>0</v>
      </c>
      <c r="K3" s="14">
        <v>1613.3520003010242</v>
      </c>
      <c r="L3" s="14">
        <v>6.1982753906984767E-4</v>
      </c>
      <c r="M3" s="14">
        <v>5.0856849580681004E-4</v>
      </c>
      <c r="N3" s="14">
        <v>99.125061393163662</v>
      </c>
      <c r="O3" s="14">
        <v>36171.726152979354</v>
      </c>
      <c r="P3" s="8">
        <v>99.125061393163662</v>
      </c>
      <c r="Q3" s="54">
        <v>5.2218938452679442E-2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0.66124252978329556</v>
      </c>
      <c r="F4" s="14">
        <v>0.35305052881625382</v>
      </c>
      <c r="G4" s="14">
        <v>4.8760186047309929E-14</v>
      </c>
      <c r="H4" s="14">
        <v>71.029190691727337</v>
      </c>
      <c r="I4" s="14">
        <v>156.99797004948854</v>
      </c>
      <c r="J4" s="14">
        <v>0</v>
      </c>
      <c r="K4" s="14">
        <v>2.8324557489062787</v>
      </c>
      <c r="L4" s="14">
        <v>0.35305052881625382</v>
      </c>
      <c r="M4" s="14">
        <v>0.28967795889373626</v>
      </c>
      <c r="N4" s="14">
        <v>9.1594528911997415</v>
      </c>
      <c r="O4" s="14">
        <v>2906.4775914355018</v>
      </c>
      <c r="P4" s="8">
        <v>9.1594528911997415</v>
      </c>
      <c r="Q4" s="54">
        <v>0.2243334509022214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0.86443453699572181</v>
      </c>
      <c r="F5" s="14">
        <v>6.8271611217928362E-3</v>
      </c>
      <c r="G5" s="14">
        <v>1.3113802540990921E-6</v>
      </c>
      <c r="H5" s="14">
        <v>188.92966407296538</v>
      </c>
      <c r="I5" s="14">
        <v>507.64173895927593</v>
      </c>
      <c r="J5" s="14">
        <v>0</v>
      </c>
      <c r="K5" s="14">
        <v>146.47376591244068</v>
      </c>
      <c r="L5" s="14">
        <v>6.8271611217928371E-3</v>
      </c>
      <c r="M5" s="14">
        <v>5.6016857004310226E-3</v>
      </c>
      <c r="N5" s="14">
        <v>29.906808992717981</v>
      </c>
      <c r="O5" s="14">
        <v>10485.028164756995</v>
      </c>
      <c r="P5" s="8">
        <v>29.906808992717981</v>
      </c>
      <c r="Q5" s="54">
        <v>7.7296053928392075E-2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0.86054767738617555</v>
      </c>
      <c r="F6" s="14">
        <v>2.762794414724216E-4</v>
      </c>
      <c r="G6" s="14">
        <v>1.2204979577443757E-7</v>
      </c>
      <c r="H6" s="14">
        <v>41.362670404558529</v>
      </c>
      <c r="I6" s="14">
        <v>1880.9001458975765</v>
      </c>
      <c r="J6" s="14">
        <v>0</v>
      </c>
      <c r="K6" s="14">
        <v>3619.5237498329047</v>
      </c>
      <c r="L6" s="14">
        <v>2.762794414724216E-4</v>
      </c>
      <c r="M6" s="14">
        <v>2.2668728172812194E-4</v>
      </c>
      <c r="N6" s="14">
        <v>115.14683907745044</v>
      </c>
      <c r="O6" s="14">
        <v>40818.402984565408</v>
      </c>
      <c r="P6" s="8">
        <v>115.14683907745044</v>
      </c>
      <c r="Q6" s="54">
        <v>3.9716021775142822E-2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0.85376541919469551</v>
      </c>
      <c r="F7" s="14">
        <v>5.543738103809642E-4</v>
      </c>
      <c r="G7" s="14">
        <v>1.8067214177266954E-7</v>
      </c>
      <c r="H7" s="14">
        <v>61.30031486281532</v>
      </c>
      <c r="I7" s="14">
        <v>1677.7215230048619</v>
      </c>
      <c r="J7" s="14">
        <v>0</v>
      </c>
      <c r="K7" s="14">
        <v>1803.8370162414467</v>
      </c>
      <c r="L7" s="14">
        <v>5.543738103809642E-4</v>
      </c>
      <c r="M7" s="14">
        <v>4.5486371141758111E-4</v>
      </c>
      <c r="N7" s="14">
        <v>101.99799439676421</v>
      </c>
      <c r="O7" s="14">
        <v>36157.269033708944</v>
      </c>
      <c r="P7" s="8">
        <v>101.99799439676421</v>
      </c>
      <c r="Q7" s="54">
        <v>5.0503313858496837E-2</v>
      </c>
    </row>
    <row r="8" spans="1:20">
      <c r="A8" s="2" t="s">
        <v>323</v>
      </c>
      <c r="B8" s="16" t="s">
        <v>324</v>
      </c>
      <c r="D8" s="14">
        <v>1</v>
      </c>
      <c r="E8" s="14">
        <v>0.84794704268081045</v>
      </c>
      <c r="F8" s="14">
        <v>1.2436624258875858E-3</v>
      </c>
      <c r="G8" s="14">
        <v>1.7185057955441838E-6</v>
      </c>
      <c r="H8" s="14">
        <v>93.955566060583365</v>
      </c>
      <c r="I8" s="14">
        <v>1358.2499076867564</v>
      </c>
      <c r="J8" s="14">
        <v>0</v>
      </c>
      <c r="K8" s="14">
        <v>804.07671662695202</v>
      </c>
      <c r="L8" s="14">
        <v>1.2436624258875858E-3</v>
      </c>
      <c r="M8" s="14">
        <v>1.0204250204407643E-3</v>
      </c>
      <c r="N8" s="14">
        <v>81.859440182534883</v>
      </c>
      <c r="O8" s="14">
        <v>26198.295236018464</v>
      </c>
      <c r="P8" s="8">
        <v>81.859440182534883</v>
      </c>
      <c r="Q8" s="54">
        <v>6.3852761477125874E-2</v>
      </c>
    </row>
    <row r="9" spans="1:20">
      <c r="A9" s="2" t="s">
        <v>325</v>
      </c>
      <c r="B9" s="16" t="s">
        <v>326</v>
      </c>
      <c r="D9" s="14">
        <v>1</v>
      </c>
      <c r="E9" s="14">
        <v>0.76644922238612223</v>
      </c>
      <c r="F9" s="14">
        <v>5.9001299452126829E-2</v>
      </c>
      <c r="G9" s="14">
        <v>1.1154498884457166E-6</v>
      </c>
      <c r="H9" s="14">
        <v>168.12084985354917</v>
      </c>
      <c r="I9" s="14">
        <v>305.68825125013723</v>
      </c>
      <c r="J9" s="14">
        <v>0</v>
      </c>
      <c r="K9" s="14">
        <v>16.94877925208057</v>
      </c>
      <c r="L9" s="14">
        <v>5.9001299452126836E-2</v>
      </c>
      <c r="M9" s="14">
        <v>4.8410566200470066E-2</v>
      </c>
      <c r="N9" s="14">
        <v>17.653423270911759</v>
      </c>
      <c r="O9" s="14">
        <v>5372.8193725019937</v>
      </c>
      <c r="P9" s="8">
        <v>17.653423270911759</v>
      </c>
      <c r="Q9" s="54">
        <v>0.14923776881313863</v>
      </c>
    </row>
    <row r="10" spans="1:20">
      <c r="A10" s="2" t="s">
        <v>275</v>
      </c>
      <c r="B10" s="16" t="s">
        <v>276</v>
      </c>
      <c r="D10" s="14">
        <v>1</v>
      </c>
      <c r="E10" s="14">
        <v>0.86260566520855675</v>
      </c>
      <c r="F10" s="14">
        <v>6.3416875743258329E-3</v>
      </c>
      <c r="G10" s="14">
        <v>1.6828807017068471E-8</v>
      </c>
      <c r="H10" s="14">
        <v>184.85229316421768</v>
      </c>
      <c r="I10" s="14">
        <v>541.85366263180879</v>
      </c>
      <c r="J10" s="14">
        <v>0</v>
      </c>
      <c r="K10" s="14">
        <v>157.68673374079094</v>
      </c>
      <c r="L10" s="14">
        <v>6.3416875743258329E-3</v>
      </c>
      <c r="M10" s="14">
        <v>5.203354654734346E-3</v>
      </c>
      <c r="N10" s="14">
        <v>31.959326420632404</v>
      </c>
      <c r="O10" s="14">
        <v>11840.610845580099</v>
      </c>
      <c r="P10" s="8">
        <v>31.959326420632404</v>
      </c>
      <c r="Q10" s="54">
        <v>7.7639371900449061E-2</v>
      </c>
    </row>
    <row r="11" spans="1:20">
      <c r="A11" s="2" t="s">
        <v>327</v>
      </c>
      <c r="B11" s="16" t="s">
        <v>328</v>
      </c>
      <c r="D11" s="14">
        <v>1</v>
      </c>
      <c r="E11" s="14">
        <v>0.85951274118673371</v>
      </c>
      <c r="F11" s="14">
        <v>5.5899752718341677E-3</v>
      </c>
      <c r="G11" s="14">
        <v>8.7469848517704437E-7</v>
      </c>
      <c r="H11" s="14">
        <v>177.67645750927471</v>
      </c>
      <c r="I11" s="14">
        <v>602.12555203649254</v>
      </c>
      <c r="J11" s="14">
        <v>0</v>
      </c>
      <c r="K11" s="14">
        <v>178.89166791821648</v>
      </c>
      <c r="L11" s="14">
        <v>5.5899752718341685E-3</v>
      </c>
      <c r="M11" s="14">
        <v>4.5865747105399354E-3</v>
      </c>
      <c r="N11" s="14">
        <v>35.583128716425193</v>
      </c>
      <c r="O11" s="14">
        <v>13553.969559373521</v>
      </c>
      <c r="P11" s="8">
        <v>35.583128716425193</v>
      </c>
      <c r="Q11" s="54">
        <v>7.7962733447469304E-2</v>
      </c>
    </row>
    <row r="12" spans="1:20">
      <c r="A12" s="2" t="s">
        <v>329</v>
      </c>
      <c r="B12" s="16" t="s">
        <v>330</v>
      </c>
      <c r="D12" s="14">
        <v>1</v>
      </c>
      <c r="E12" s="14">
        <v>0.80051727206204504</v>
      </c>
      <c r="F12" s="14">
        <v>3.7852707242115299E-2</v>
      </c>
      <c r="G12" s="14">
        <v>5.833718025825704E-7</v>
      </c>
      <c r="H12" s="14">
        <v>182.35469353430184</v>
      </c>
      <c r="I12" s="14">
        <v>318.98783179672341</v>
      </c>
      <c r="J12" s="14">
        <v>0</v>
      </c>
      <c r="K12" s="14">
        <v>26.418189684657218</v>
      </c>
      <c r="L12" s="14">
        <v>3.7852707242115299E-2</v>
      </c>
      <c r="M12" s="14">
        <v>3.1058146292155604E-2</v>
      </c>
      <c r="N12" s="14">
        <v>18.476959025855582</v>
      </c>
      <c r="O12" s="14">
        <v>5070.0775566947714</v>
      </c>
      <c r="P12" s="8">
        <v>18.476959025855585</v>
      </c>
      <c r="Q12" s="54">
        <v>0.12588503838139586</v>
      </c>
    </row>
    <row r="13" spans="1:20">
      <c r="A13" s="2" t="s">
        <v>277</v>
      </c>
      <c r="B13" s="16" t="s">
        <v>278</v>
      </c>
      <c r="D13" s="14">
        <v>1</v>
      </c>
      <c r="E13" s="14">
        <v>0.76970794138627019</v>
      </c>
      <c r="F13" s="14">
        <v>5.660499449584163E-2</v>
      </c>
      <c r="G13" s="14">
        <v>1.7360540415602405E-6</v>
      </c>
      <c r="H13" s="14">
        <v>169.56442929016671</v>
      </c>
      <c r="I13" s="14">
        <v>307.1792836485493</v>
      </c>
      <c r="J13" s="14">
        <v>0</v>
      </c>
      <c r="K13" s="14">
        <v>17.666285615016935</v>
      </c>
      <c r="L13" s="14">
        <v>5.6604994495841637E-2</v>
      </c>
      <c r="M13" s="14">
        <v>4.6444397983838065E-2</v>
      </c>
      <c r="N13" s="14">
        <v>17.744163873755706</v>
      </c>
      <c r="O13" s="14">
        <v>7220.6326051474098</v>
      </c>
      <c r="P13" s="8">
        <v>17.744163873755706</v>
      </c>
      <c r="Q13" s="54">
        <v>0.14695755685089337</v>
      </c>
    </row>
    <row r="14" spans="1:20">
      <c r="A14" s="2" t="s">
        <v>331</v>
      </c>
      <c r="B14" s="16" t="s">
        <v>332</v>
      </c>
      <c r="D14" s="14">
        <v>1</v>
      </c>
      <c r="E14" s="14">
        <v>0.85201496671992794</v>
      </c>
      <c r="F14" s="14">
        <v>3.6853983854202473E-3</v>
      </c>
      <c r="G14" s="14">
        <v>5.7915249139390349E-7</v>
      </c>
      <c r="H14" s="14">
        <v>153.20200223709114</v>
      </c>
      <c r="I14" s="14">
        <v>813.99476531734729</v>
      </c>
      <c r="J14" s="14">
        <v>0</v>
      </c>
      <c r="K14" s="14">
        <v>271.34108593417903</v>
      </c>
      <c r="L14" s="14">
        <v>3.6853983854202477E-3</v>
      </c>
      <c r="M14" s="14">
        <v>3.0238693752373132E-3</v>
      </c>
      <c r="N14" s="14">
        <v>48.395696662154748</v>
      </c>
      <c r="O14" s="14">
        <v>18434.404815581365</v>
      </c>
      <c r="P14" s="8">
        <v>48.395696662154748</v>
      </c>
      <c r="Q14" s="54">
        <v>7.6987747277328392E-2</v>
      </c>
    </row>
    <row r="15" spans="1:20">
      <c r="A15" s="2" t="s">
        <v>333</v>
      </c>
      <c r="B15" s="16" t="s">
        <v>334</v>
      </c>
      <c r="D15" s="14">
        <v>1</v>
      </c>
      <c r="E15" s="14">
        <v>0.86106228646108129</v>
      </c>
      <c r="F15" s="14">
        <v>5.9570358211916133E-3</v>
      </c>
      <c r="G15" s="14">
        <v>9.5318829209755046E-10</v>
      </c>
      <c r="H15" s="14">
        <v>181.321879300684</v>
      </c>
      <c r="I15" s="14">
        <v>571.48835109686433</v>
      </c>
      <c r="J15" s="14">
        <v>0</v>
      </c>
      <c r="K15" s="14">
        <v>167.86872364315667</v>
      </c>
      <c r="L15" s="14">
        <v>5.9570358211916141E-3</v>
      </c>
      <c r="M15" s="14">
        <v>4.8877478912877194E-3</v>
      </c>
      <c r="N15" s="14">
        <v>33.739856710008304</v>
      </c>
      <c r="O15" s="14">
        <v>12972.300107863994</v>
      </c>
      <c r="P15" s="8">
        <v>33.739856710008304</v>
      </c>
      <c r="Q15" s="54">
        <v>7.7840816437102389E-2</v>
      </c>
    </row>
    <row r="16" spans="1:20">
      <c r="A16" s="2" t="s">
        <v>335</v>
      </c>
      <c r="B16" s="16" t="s">
        <v>336</v>
      </c>
      <c r="D16" s="14">
        <v>1</v>
      </c>
      <c r="E16" s="14">
        <v>0.84760323814916705</v>
      </c>
      <c r="F16" s="14">
        <v>1.2872442251372304E-3</v>
      </c>
      <c r="G16" s="14">
        <v>4.466727308827078E-6</v>
      </c>
      <c r="H16" s="14">
        <v>95.578663231920757</v>
      </c>
      <c r="I16" s="14">
        <v>1342.2027457940187</v>
      </c>
      <c r="J16" s="14">
        <v>0</v>
      </c>
      <c r="K16" s="14">
        <v>776.85335888253223</v>
      </c>
      <c r="L16" s="14">
        <v>1.2872442251372304E-3</v>
      </c>
      <c r="M16" s="14">
        <v>1.0561838867250977E-3</v>
      </c>
      <c r="N16" s="14">
        <v>80.860328813462772</v>
      </c>
      <c r="O16" s="14">
        <v>30186.777952641918</v>
      </c>
      <c r="P16" s="8">
        <v>80.860328813462772</v>
      </c>
      <c r="Q16" s="54">
        <v>6.4389955200939944E-2</v>
      </c>
    </row>
    <row r="17" spans="1:21">
      <c r="A17" s="2" t="s">
        <v>337</v>
      </c>
      <c r="B17" s="16" t="s">
        <v>338</v>
      </c>
      <c r="D17" s="14">
        <v>1</v>
      </c>
      <c r="E17" s="14">
        <v>0.8638584300872747</v>
      </c>
      <c r="F17" s="14">
        <v>6.6626234226452342E-3</v>
      </c>
      <c r="G17" s="14">
        <v>3.3670824796260228E-7</v>
      </c>
      <c r="H17" s="14">
        <v>187.59673144093031</v>
      </c>
      <c r="I17" s="14">
        <v>518.8985271947663</v>
      </c>
      <c r="J17" s="14">
        <v>0</v>
      </c>
      <c r="K17" s="14">
        <v>150.09102819786472</v>
      </c>
      <c r="L17" s="14">
        <v>6.6626234226452351E-3</v>
      </c>
      <c r="M17" s="14">
        <v>5.4666825182804156E-3</v>
      </c>
      <c r="N17" s="14">
        <v>30.581770271833836</v>
      </c>
      <c r="O17" s="14">
        <v>11906.094802230349</v>
      </c>
      <c r="P17" s="8">
        <v>30.581770271833836</v>
      </c>
      <c r="Q17" s="54">
        <v>7.7425218211584379E-2</v>
      </c>
    </row>
    <row r="18" spans="1:21">
      <c r="A18" s="2" t="s">
        <v>279</v>
      </c>
      <c r="B18" s="16" t="s">
        <v>280</v>
      </c>
      <c r="D18" s="14">
        <v>1</v>
      </c>
      <c r="E18" s="14">
        <v>0.74936928276345005</v>
      </c>
      <c r="F18" s="14">
        <v>7.0698669440815862E-2</v>
      </c>
      <c r="G18" s="14">
        <v>3.353202089223721E-5</v>
      </c>
      <c r="H18" s="14">
        <v>160.8537686230365</v>
      </c>
      <c r="I18" s="14">
        <v>297.36401445339652</v>
      </c>
      <c r="J18" s="14">
        <v>0</v>
      </c>
      <c r="K18" s="14">
        <v>14.144537767250801</v>
      </c>
      <c r="L18" s="14">
        <v>7.0698669440815862E-2</v>
      </c>
      <c r="M18" s="14">
        <v>5.8008258276189412E-2</v>
      </c>
      <c r="N18" s="14">
        <v>17.153945468569756</v>
      </c>
      <c r="O18" s="14">
        <v>4988.8819606241414</v>
      </c>
      <c r="P18" s="8">
        <v>17.153945468569756</v>
      </c>
      <c r="Q18" s="54">
        <v>0.1590334246315688</v>
      </c>
    </row>
    <row r="19" spans="1:21">
      <c r="A19" s="2" t="s">
        <v>339</v>
      </c>
      <c r="B19" s="16" t="s">
        <v>340</v>
      </c>
      <c r="D19" s="14">
        <v>1</v>
      </c>
      <c r="E19" s="14">
        <v>0.86076054895912646</v>
      </c>
      <c r="F19" s="14">
        <v>5.8822863581202778E-3</v>
      </c>
      <c r="G19" s="14">
        <v>3.3400629379571555E-9</v>
      </c>
      <c r="H19" s="14">
        <v>180.60350012770243</v>
      </c>
      <c r="I19" s="14">
        <v>577.54168225483284</v>
      </c>
      <c r="J19" s="14">
        <v>0</v>
      </c>
      <c r="K19" s="14">
        <v>170.00192427210504</v>
      </c>
      <c r="L19" s="14">
        <v>5.8822863581202778E-3</v>
      </c>
      <c r="M19" s="14">
        <v>4.8264159568376886E-3</v>
      </c>
      <c r="N19" s="14">
        <v>34.103845710332301</v>
      </c>
      <c r="O19" s="14">
        <v>11787.994269776358</v>
      </c>
      <c r="P19" s="8">
        <v>34.103845710332301</v>
      </c>
      <c r="Q19" s="54">
        <v>7.7872359445634171E-2</v>
      </c>
    </row>
    <row r="20" spans="1:21">
      <c r="A20" s="2" t="s">
        <v>281</v>
      </c>
      <c r="B20" s="16" t="s">
        <v>282</v>
      </c>
      <c r="D20" s="14">
        <v>1</v>
      </c>
      <c r="E20" s="14">
        <v>0.76981001530492377</v>
      </c>
      <c r="F20" s="14">
        <v>5.6612501101000405E-2</v>
      </c>
      <c r="G20" s="14">
        <v>2.6279725817972541E-7</v>
      </c>
      <c r="H20" s="14">
        <v>169.58691587869109</v>
      </c>
      <c r="I20" s="14">
        <v>307.22001987007604</v>
      </c>
      <c r="J20" s="14">
        <v>0</v>
      </c>
      <c r="K20" s="14">
        <v>17.663943131852356</v>
      </c>
      <c r="L20" s="14">
        <v>5.6612501101000405E-2</v>
      </c>
      <c r="M20" s="14">
        <v>4.6450557153370833E-2</v>
      </c>
      <c r="N20" s="14">
        <v>17.746516995300176</v>
      </c>
      <c r="O20" s="14">
        <v>5168.8505400511294</v>
      </c>
      <c r="P20" s="8">
        <v>17.746516995300176</v>
      </c>
      <c r="Q20" s="54">
        <v>0.14697704545546267</v>
      </c>
    </row>
    <row r="21" spans="1:21">
      <c r="A21" s="2" t="s">
        <v>341</v>
      </c>
      <c r="B21" s="16" t="s">
        <v>342</v>
      </c>
      <c r="D21" s="14">
        <v>1</v>
      </c>
      <c r="E21" s="14">
        <v>0.85354478665329325</v>
      </c>
      <c r="F21" s="14">
        <v>4.1752662220245337E-3</v>
      </c>
      <c r="G21" s="14">
        <v>4.8579457402324945E-6</v>
      </c>
      <c r="H21" s="14">
        <v>160.55512464170744</v>
      </c>
      <c r="I21" s="14">
        <v>748.65433355190851</v>
      </c>
      <c r="J21" s="14">
        <v>0</v>
      </c>
      <c r="K21" s="14">
        <v>239.50568582309765</v>
      </c>
      <c r="L21" s="14">
        <v>4.1752662220245346E-3</v>
      </c>
      <c r="M21" s="14">
        <v>3.4258059351711303E-3</v>
      </c>
      <c r="N21" s="14">
        <v>44.432533842622668</v>
      </c>
      <c r="O21" s="14">
        <v>14897.339946754526</v>
      </c>
      <c r="P21" s="8">
        <v>44.432533842622668</v>
      </c>
      <c r="Q21" s="54">
        <v>7.7567776564668914E-2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0.71128886449397122</v>
      </c>
      <c r="F22" s="14">
        <v>0.56236053865402535</v>
      </c>
      <c r="G22" s="14">
        <v>2.1745195970274502E-5</v>
      </c>
      <c r="H22" s="14">
        <v>34.067074342123334</v>
      </c>
      <c r="I22" s="14">
        <v>82.260625785547148</v>
      </c>
      <c r="J22" s="14">
        <v>0</v>
      </c>
      <c r="K22" s="14">
        <v>1.7782186538078173</v>
      </c>
      <c r="L22" s="14">
        <v>0.56236053865402535</v>
      </c>
      <c r="M22" s="14">
        <v>0.46141682196562783</v>
      </c>
      <c r="N22" s="14">
        <v>5.0819095399468042</v>
      </c>
      <c r="O22" s="14">
        <v>834.44954645926521</v>
      </c>
      <c r="P22" s="8">
        <v>5.0819095399468051</v>
      </c>
      <c r="Q22" s="54">
        <v>0.19115779355375043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0.78223626331173268</v>
      </c>
      <c r="F23" s="14">
        <v>0.71177087645027004</v>
      </c>
      <c r="G23" s="14">
        <v>9.2757428804258694E-7</v>
      </c>
      <c r="H23" s="14">
        <v>16.259987747129205</v>
      </c>
      <c r="I23" s="14">
        <v>42.186877780834379</v>
      </c>
      <c r="J23" s="14">
        <v>0</v>
      </c>
      <c r="K23" s="14">
        <v>1.4049464976527006</v>
      </c>
      <c r="L23" s="14">
        <v>0.71177087645027004</v>
      </c>
      <c r="M23" s="14">
        <v>0.58400800412744658</v>
      </c>
      <c r="N23" s="14">
        <v>2.9541649886996777</v>
      </c>
      <c r="O23" s="14">
        <v>446.55157969184324</v>
      </c>
      <c r="P23" s="8">
        <v>2.9541649886996777</v>
      </c>
      <c r="Q23" s="54">
        <v>0.1455383291694213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0.68135885646464756</v>
      </c>
      <c r="F24" s="14">
        <v>0.17327535750060272</v>
      </c>
      <c r="G24" s="14">
        <v>7.9782068356727964E-7</v>
      </c>
      <c r="H24" s="14">
        <v>118.70712957456482</v>
      </c>
      <c r="I24" s="14">
        <v>239.73639716467474</v>
      </c>
      <c r="J24" s="14">
        <v>0</v>
      </c>
      <c r="K24" s="14">
        <v>5.7711610838634204</v>
      </c>
      <c r="L24" s="14">
        <v>0.17327535750060272</v>
      </c>
      <c r="M24" s="14">
        <v>0.14217243082924452</v>
      </c>
      <c r="N24" s="14">
        <v>13.800851127410027</v>
      </c>
      <c r="O24" s="14">
        <v>2432.4000112060171</v>
      </c>
      <c r="P24" s="8">
        <v>13.800851127410027</v>
      </c>
      <c r="Q24" s="54">
        <v>0.20851340212213487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0.82943302808281505</v>
      </c>
      <c r="F25" s="14">
        <v>2.0593317211347488E-2</v>
      </c>
      <c r="G25" s="14">
        <v>1.4561120535588922E-4</v>
      </c>
      <c r="H25" s="14">
        <v>194.87956845671826</v>
      </c>
      <c r="I25" s="14">
        <v>324.35715316096525</v>
      </c>
      <c r="J25" s="14">
        <v>0</v>
      </c>
      <c r="K25" s="14">
        <v>48.559442353899755</v>
      </c>
      <c r="L25" s="14">
        <v>2.0593317211347488E-2</v>
      </c>
      <c r="M25" s="14">
        <v>1.6896816771910614E-2</v>
      </c>
      <c r="N25" s="14">
        <v>18.872389878823999</v>
      </c>
      <c r="O25" s="14">
        <v>3629.1605736978554</v>
      </c>
      <c r="P25" s="8">
        <v>18.872389878824002</v>
      </c>
      <c r="Q25" s="54">
        <v>9.7369621100985265E-2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0.8550116889682946</v>
      </c>
      <c r="F26" s="14">
        <v>4.5301311455359216E-3</v>
      </c>
      <c r="G26" s="14">
        <v>3.9040849815867051E-6</v>
      </c>
      <c r="H26" s="14">
        <v>165.38296542614924</v>
      </c>
      <c r="I26" s="14">
        <v>706.88366455435005</v>
      </c>
      <c r="J26" s="14">
        <v>0</v>
      </c>
      <c r="K26" s="14">
        <v>220.74416123370275</v>
      </c>
      <c r="L26" s="14">
        <v>4.5301311455359216E-3</v>
      </c>
      <c r="M26" s="14">
        <v>3.7169726049122239E-3</v>
      </c>
      <c r="N26" s="14">
        <v>41.904281005596935</v>
      </c>
      <c r="O26" s="14">
        <v>9318.2549672145906</v>
      </c>
      <c r="P26" s="8">
        <v>41.904281005596935</v>
      </c>
      <c r="Q26" s="54">
        <v>7.7830164008625219E-2</v>
      </c>
    </row>
    <row r="27" spans="1:21">
      <c r="A27" s="2" t="s">
        <v>353</v>
      </c>
      <c r="B27" s="16" t="s">
        <v>354</v>
      </c>
      <c r="D27" s="14">
        <v>1</v>
      </c>
      <c r="E27" s="14">
        <v>0.84994555666656002</v>
      </c>
      <c r="F27" s="14">
        <v>6.8211795488488285E-4</v>
      </c>
      <c r="G27" s="14">
        <v>2.6078821933044538E-5</v>
      </c>
      <c r="H27" s="14">
        <v>68.573999714839474</v>
      </c>
      <c r="I27" s="14">
        <v>1599.987729693735</v>
      </c>
      <c r="J27" s="14">
        <v>0</v>
      </c>
      <c r="K27" s="14">
        <v>1466.0221048847252</v>
      </c>
      <c r="L27" s="14">
        <v>6.8211795488488285E-4</v>
      </c>
      <c r="M27" s="14">
        <v>5.5967778198304642E-4</v>
      </c>
      <c r="N27" s="14">
        <v>97.060365349339179</v>
      </c>
      <c r="O27" s="14">
        <v>22944.099764930288</v>
      </c>
      <c r="P27" s="8">
        <v>97.060365349339193</v>
      </c>
      <c r="Q27" s="54">
        <v>5.3841438190076849E-2</v>
      </c>
    </row>
    <row r="28" spans="1:21">
      <c r="A28" s="2" t="s">
        <v>355</v>
      </c>
      <c r="B28" s="16" t="s">
        <v>356</v>
      </c>
      <c r="D28" s="14">
        <v>1</v>
      </c>
      <c r="E28" s="14">
        <v>0.84819336707431225</v>
      </c>
      <c r="F28" s="14">
        <v>2.4754487331397975E-3</v>
      </c>
      <c r="G28" s="14">
        <v>1.4507160775900342E-6</v>
      </c>
      <c r="H28" s="14">
        <v>130.00316825922508</v>
      </c>
      <c r="I28" s="14">
        <v>1021.9063721769899</v>
      </c>
      <c r="J28" s="14">
        <v>0</v>
      </c>
      <c r="K28" s="14">
        <v>403.96716224117677</v>
      </c>
      <c r="L28" s="14">
        <v>2.4754487331397975E-3</v>
      </c>
      <c r="M28" s="14">
        <v>2.0311056855412037E-3</v>
      </c>
      <c r="N28" s="14">
        <v>61.080204688476826</v>
      </c>
      <c r="O28" s="14">
        <v>15783.12489150241</v>
      </c>
      <c r="P28" s="8">
        <v>61.080204688476826</v>
      </c>
      <c r="Q28" s="54">
        <v>7.3520949507820454E-2</v>
      </c>
    </row>
    <row r="29" spans="1:21">
      <c r="A29" s="2" t="s">
        <v>357</v>
      </c>
      <c r="B29" s="16" t="s">
        <v>358</v>
      </c>
      <c r="D29" s="14">
        <v>1</v>
      </c>
      <c r="E29" s="14">
        <v>0.83003847648072315</v>
      </c>
      <c r="F29" s="14">
        <v>3.7422451072446307E-3</v>
      </c>
      <c r="G29" s="14">
        <v>2.9461897682691543E-4</v>
      </c>
      <c r="H29" s="14">
        <v>151.57662374158889</v>
      </c>
      <c r="I29" s="14">
        <v>771.06217676157451</v>
      </c>
      <c r="J29" s="14">
        <v>0</v>
      </c>
      <c r="K29" s="14">
        <v>267.21926847177781</v>
      </c>
      <c r="L29" s="14">
        <v>3.7422451072446307E-3</v>
      </c>
      <c r="M29" s="14">
        <v>3.0705121104942197E-3</v>
      </c>
      <c r="N29" s="14">
        <v>45.816216498289648</v>
      </c>
      <c r="O29" s="14">
        <v>10830.49541803069</v>
      </c>
      <c r="P29" s="8">
        <v>45.816216498289648</v>
      </c>
      <c r="Q29" s="54">
        <v>7.5177763237834871E-2</v>
      </c>
    </row>
    <row r="30" spans="1:21">
      <c r="A30" s="2" t="s">
        <v>359</v>
      </c>
      <c r="B30" s="16" t="s">
        <v>360</v>
      </c>
      <c r="D30" s="14">
        <v>1</v>
      </c>
      <c r="E30" s="14">
        <v>0.84819336707431225</v>
      </c>
      <c r="F30" s="14">
        <v>2.4754487331397975E-3</v>
      </c>
      <c r="G30" s="14">
        <v>1.4507160775900342E-6</v>
      </c>
      <c r="H30" s="14">
        <v>130.00316825922508</v>
      </c>
      <c r="I30" s="14">
        <v>1021.9063721769899</v>
      </c>
      <c r="J30" s="14">
        <v>0</v>
      </c>
      <c r="K30" s="14">
        <v>403.96716224117677</v>
      </c>
      <c r="L30" s="14">
        <v>2.4754487331397975E-3</v>
      </c>
      <c r="M30" s="14">
        <v>2.0311056855412037E-3</v>
      </c>
      <c r="N30" s="14">
        <v>61.080204688476826</v>
      </c>
      <c r="O30" s="14">
        <v>15783.12489150241</v>
      </c>
      <c r="P30" s="8">
        <v>61.080204688476826</v>
      </c>
      <c r="Q30" s="54">
        <v>7.3520949507820454E-2</v>
      </c>
    </row>
    <row r="31" spans="1:21">
      <c r="A31" s="2" t="s">
        <v>283</v>
      </c>
      <c r="B31" s="16" t="s">
        <v>284</v>
      </c>
      <c r="D31" s="14">
        <v>1</v>
      </c>
      <c r="E31" s="14">
        <v>0.97602711954399735</v>
      </c>
      <c r="F31" s="14">
        <v>0.97900275720150087</v>
      </c>
      <c r="G31" s="14">
        <v>2.9113364823160369E-10</v>
      </c>
      <c r="H31" s="14">
        <v>0.17055478761574436</v>
      </c>
      <c r="I31" s="14">
        <v>0.63375454321975522</v>
      </c>
      <c r="J31" s="14">
        <v>0</v>
      </c>
      <c r="K31" s="14">
        <v>1.0214475829041789</v>
      </c>
      <c r="L31" s="14">
        <v>0.97900275720150098</v>
      </c>
      <c r="M31" s="14">
        <v>0.80327176228383157</v>
      </c>
      <c r="N31" s="14">
        <v>0.87977242037560333</v>
      </c>
      <c r="O31" s="14">
        <v>170.84300631273842</v>
      </c>
      <c r="P31" s="8">
        <v>0.87977242037560344</v>
      </c>
      <c r="Q31" s="54">
        <v>1.5765984152805189E-2</v>
      </c>
    </row>
    <row r="32" spans="1:21">
      <c r="A32" s="2" t="s">
        <v>361</v>
      </c>
      <c r="B32" s="16" t="s">
        <v>362</v>
      </c>
      <c r="D32" s="14">
        <v>1</v>
      </c>
      <c r="E32" s="14">
        <v>0.67444322993396411</v>
      </c>
      <c r="F32" s="14">
        <v>0.43392054343485481</v>
      </c>
      <c r="G32" s="14">
        <v>2.3593508606300023E-10</v>
      </c>
      <c r="H32" s="14">
        <v>55.225814814897262</v>
      </c>
      <c r="I32" s="14">
        <v>126.0730934234242</v>
      </c>
      <c r="J32" s="14">
        <v>0</v>
      </c>
      <c r="K32" s="14">
        <v>2.3045693851785365</v>
      </c>
      <c r="L32" s="14">
        <v>0.43392054343485487</v>
      </c>
      <c r="M32" s="14">
        <v>0.35603180588829841</v>
      </c>
      <c r="N32" s="14">
        <v>7.5499946631780155</v>
      </c>
      <c r="O32" s="14">
        <v>1933.4781332932578</v>
      </c>
      <c r="P32" s="8">
        <v>7.5499946631780155</v>
      </c>
      <c r="Q32" s="54">
        <v>0.21618343298316614</v>
      </c>
    </row>
    <row r="33" spans="1:17">
      <c r="A33" s="2" t="s">
        <v>364</v>
      </c>
      <c r="B33" s="16" t="s">
        <v>365</v>
      </c>
      <c r="D33" s="14">
        <v>1</v>
      </c>
      <c r="E33" s="14">
        <v>0.99932828361015913</v>
      </c>
      <c r="F33" s="14">
        <v>0.99902186747051869</v>
      </c>
      <c r="G33" s="14">
        <v>1.3404768839987783E-12</v>
      </c>
      <c r="H33" s="14">
        <v>1.1936444815357377</v>
      </c>
      <c r="I33" s="14">
        <v>3.3795893478441724E-3</v>
      </c>
      <c r="J33" s="14">
        <v>0</v>
      </c>
      <c r="K33" s="14">
        <v>1.0009790902094644</v>
      </c>
      <c r="L33" s="14">
        <v>0.99902186747051869</v>
      </c>
      <c r="M33" s="14">
        <v>0.81969744225956065</v>
      </c>
      <c r="N33" s="14">
        <v>0.87803750550132098</v>
      </c>
      <c r="O33" s="14">
        <v>260.0308072542162</v>
      </c>
      <c r="P33" s="8">
        <v>0.87803750550132109</v>
      </c>
      <c r="Q33" s="54">
        <v>3.8535760359233078E-5</v>
      </c>
    </row>
    <row r="34" spans="1:17">
      <c r="A34" s="2" t="s">
        <v>285</v>
      </c>
      <c r="B34" s="16" t="s">
        <v>286</v>
      </c>
      <c r="D34" s="14">
        <v>1</v>
      </c>
      <c r="E34" s="14">
        <v>0.99868608414271354</v>
      </c>
      <c r="F34" s="14">
        <v>0.54914771598146173</v>
      </c>
      <c r="G34" s="14">
        <v>3.9834918772102677E-12</v>
      </c>
      <c r="H34" s="14">
        <v>128.36575562375623</v>
      </c>
      <c r="I34" s="14">
        <v>9.7607975289481688E-2</v>
      </c>
      <c r="J34" s="14">
        <v>0</v>
      </c>
      <c r="K34" s="14">
        <v>1.8210036587564684</v>
      </c>
      <c r="L34" s="14">
        <v>0.54914771598146184</v>
      </c>
      <c r="M34" s="14">
        <v>0.45057570096278943</v>
      </c>
      <c r="N34" s="14">
        <v>1.5992533227363217</v>
      </c>
      <c r="O34" s="14">
        <v>353.49895445763656</v>
      </c>
      <c r="P34" s="8">
        <v>1.5992533227363217</v>
      </c>
      <c r="Q34" s="54">
        <v>1.3124576667820827E-4</v>
      </c>
    </row>
    <row r="35" spans="1:17">
      <c r="A35" s="2" t="s">
        <v>287</v>
      </c>
      <c r="B35" s="16" t="s">
        <v>288</v>
      </c>
      <c r="D35" s="14">
        <v>1</v>
      </c>
      <c r="E35" s="14">
        <v>0.99821774225519355</v>
      </c>
      <c r="F35" s="14">
        <v>0.32504017431569565</v>
      </c>
      <c r="G35" s="14">
        <v>1.1601158939951088E-13</v>
      </c>
      <c r="H35" s="14">
        <v>191.65362683962542</v>
      </c>
      <c r="I35" s="14">
        <v>0.34364179608477613</v>
      </c>
      <c r="J35" s="14">
        <v>0</v>
      </c>
      <c r="K35" s="14">
        <v>3.0765427753824328</v>
      </c>
      <c r="L35" s="14">
        <v>0.32504017431569565</v>
      </c>
      <c r="M35" s="14">
        <v>0.26669546302602831</v>
      </c>
      <c r="N35" s="14">
        <v>1.8738737181835765</v>
      </c>
      <c r="O35" s="14">
        <v>431.47816234895032</v>
      </c>
      <c r="P35" s="8">
        <v>1.8738737181835765</v>
      </c>
      <c r="Q35" s="54">
        <v>3.1761863885502279E-4</v>
      </c>
    </row>
    <row r="36" spans="1:17">
      <c r="A36" s="2" t="s">
        <v>366</v>
      </c>
      <c r="B36" s="16" t="s">
        <v>305</v>
      </c>
      <c r="D36" s="14">
        <v>1</v>
      </c>
      <c r="E36" s="14">
        <v>0.99805221448602688</v>
      </c>
      <c r="F36" s="14">
        <v>0.10841061498884831</v>
      </c>
      <c r="G36" s="14">
        <v>2.0449998595369163E-10</v>
      </c>
      <c r="H36" s="14">
        <v>252.90173459580549</v>
      </c>
      <c r="I36" s="14">
        <v>0.67043272833959655</v>
      </c>
      <c r="J36" s="14">
        <v>0</v>
      </c>
      <c r="K36" s="14">
        <v>9.2241889791222498</v>
      </c>
      <c r="L36" s="14">
        <v>0.10841061498884831</v>
      </c>
      <c r="M36" s="14">
        <v>8.8950909598350045E-2</v>
      </c>
      <c r="N36" s="14">
        <v>2.0313282209943564</v>
      </c>
      <c r="O36" s="14">
        <v>419.02238542671586</v>
      </c>
      <c r="P36" s="8">
        <v>2.0313282209943564</v>
      </c>
      <c r="Q36" s="54">
        <v>3.5494021413792038E-4</v>
      </c>
    </row>
    <row r="37" spans="1:17">
      <c r="A37" s="2" t="s">
        <v>289</v>
      </c>
      <c r="B37" s="16" t="s">
        <v>290</v>
      </c>
      <c r="D37" s="14">
        <v>1</v>
      </c>
      <c r="E37" s="14">
        <v>0.92594723064255069</v>
      </c>
      <c r="F37" s="14">
        <v>0.20825093016652374</v>
      </c>
      <c r="G37" s="14">
        <v>4.642898945325075E-17</v>
      </c>
      <c r="H37" s="14">
        <v>197.47264801292874</v>
      </c>
      <c r="I37" s="14">
        <v>62.422055614472896</v>
      </c>
      <c r="J37" s="14">
        <v>0</v>
      </c>
      <c r="K37" s="14">
        <v>4.8018993202112936</v>
      </c>
      <c r="L37" s="14">
        <v>0.20825093016652377</v>
      </c>
      <c r="M37" s="14">
        <v>0.17086988820163274</v>
      </c>
      <c r="N37" s="14">
        <v>5.0649076874008978</v>
      </c>
      <c r="O37" s="14">
        <v>1764.7151364442211</v>
      </c>
      <c r="P37" s="8">
        <v>5.0649076874008987</v>
      </c>
      <c r="Q37" s="54">
        <v>4.7592450433978577E-2</v>
      </c>
    </row>
    <row r="38" spans="1:17">
      <c r="A38" s="2" t="s">
        <v>291</v>
      </c>
      <c r="B38" s="16" t="s">
        <v>292</v>
      </c>
      <c r="D38" s="14">
        <v>1</v>
      </c>
      <c r="E38" s="14">
        <v>0.99703780765909078</v>
      </c>
      <c r="F38" s="14">
        <v>0.6149673921690666</v>
      </c>
      <c r="G38" s="14">
        <v>1.3409401156440668E-14</v>
      </c>
      <c r="H38" s="14">
        <v>109.18226221920497</v>
      </c>
      <c r="I38" s="14">
        <v>0.8445604726456527</v>
      </c>
      <c r="J38" s="14">
        <v>0</v>
      </c>
      <c r="K38" s="14">
        <v>1.6261024775197841</v>
      </c>
      <c r="L38" s="14">
        <v>0.61496739216906671</v>
      </c>
      <c r="M38" s="14">
        <v>0.50458074527471919</v>
      </c>
      <c r="N38" s="14">
        <v>1.5449429417240788</v>
      </c>
      <c r="O38" s="14">
        <v>476.35225722178518</v>
      </c>
      <c r="P38" s="8">
        <v>1.5449429417240788</v>
      </c>
      <c r="Q38" s="54">
        <v>1.2694942893345064E-3</v>
      </c>
    </row>
    <row r="39" spans="1:17">
      <c r="A39" s="2" t="s">
        <v>367</v>
      </c>
      <c r="B39" s="16" t="s">
        <v>368</v>
      </c>
      <c r="D39" s="14">
        <v>1</v>
      </c>
      <c r="E39" s="14">
        <v>0.87701917706539334</v>
      </c>
      <c r="F39" s="14">
        <v>1.0261247481862948E-2</v>
      </c>
      <c r="G39" s="14">
        <v>1.5943682958066545E-7</v>
      </c>
      <c r="H39" s="14">
        <v>209.72980936615389</v>
      </c>
      <c r="I39" s="14">
        <v>339.16992304431039</v>
      </c>
      <c r="J39" s="14">
        <v>0</v>
      </c>
      <c r="K39" s="14">
        <v>97.454037802667656</v>
      </c>
      <c r="L39" s="14">
        <v>1.0261247481862948E-2</v>
      </c>
      <c r="M39" s="14">
        <v>8.4193535588685496E-3</v>
      </c>
      <c r="N39" s="14">
        <v>19.849146355759189</v>
      </c>
      <c r="O39" s="14">
        <v>5524.8113966620122</v>
      </c>
      <c r="P39" s="8">
        <v>19.849146355759192</v>
      </c>
      <c r="Q39" s="54">
        <v>7.362364804036628E-2</v>
      </c>
    </row>
    <row r="40" spans="1:17">
      <c r="A40" s="2" t="s">
        <v>369</v>
      </c>
      <c r="B40" s="16" t="s">
        <v>370</v>
      </c>
      <c r="D40" s="14">
        <v>1</v>
      </c>
      <c r="E40" s="14">
        <v>0.90613096684005945</v>
      </c>
      <c r="F40" s="14">
        <v>9.2880976859143784E-4</v>
      </c>
      <c r="G40" s="14">
        <v>9.4288751651320431E-15</v>
      </c>
      <c r="H40" s="14">
        <v>239.92017767348938</v>
      </c>
      <c r="I40" s="14">
        <v>160.71217057122314</v>
      </c>
      <c r="J40" s="14">
        <v>0</v>
      </c>
      <c r="K40" s="14">
        <v>1076.6467298427792</v>
      </c>
      <c r="L40" s="14">
        <v>9.2880976859143784E-4</v>
      </c>
      <c r="M40" s="14">
        <v>7.6208841512927477E-4</v>
      </c>
      <c r="N40" s="14">
        <v>130.30505882952414</v>
      </c>
      <c r="O40" s="14">
        <v>53021.128437733372</v>
      </c>
      <c r="P40" s="8">
        <v>130.30505882952414</v>
      </c>
      <c r="Q40" s="54">
        <v>1.7924570854370358E-3</v>
      </c>
    </row>
    <row r="41" spans="1:17">
      <c r="A41" s="2" t="s">
        <v>371</v>
      </c>
      <c r="B41" s="16" t="s">
        <v>372</v>
      </c>
      <c r="D41" s="14">
        <v>1</v>
      </c>
      <c r="E41" s="14">
        <v>0.9131053037608553</v>
      </c>
      <c r="F41" s="14">
        <v>0.91663677471313054</v>
      </c>
      <c r="G41" s="14">
        <v>9.0845990512628493E-4</v>
      </c>
      <c r="H41" s="14">
        <v>7.9446958720424676E-3</v>
      </c>
      <c r="I41" s="14">
        <v>3.6824295553430045E-2</v>
      </c>
      <c r="J41" s="14">
        <v>0</v>
      </c>
      <c r="K41" s="14">
        <v>1.0909446659642896</v>
      </c>
      <c r="L41" s="14">
        <v>0.91663677471313054</v>
      </c>
      <c r="M41" s="14">
        <v>0.75210047365212362</v>
      </c>
      <c r="N41" s="14">
        <v>0.79397186592813418</v>
      </c>
      <c r="O41" s="14">
        <v>111.30691588446513</v>
      </c>
      <c r="P41" s="8">
        <v>0.79397186592813418</v>
      </c>
      <c r="Q41" s="54">
        <v>3.0898290183498859E-3</v>
      </c>
    </row>
    <row r="42" spans="1:17">
      <c r="A42" s="2" t="s">
        <v>293</v>
      </c>
      <c r="B42" s="16" t="s">
        <v>294</v>
      </c>
      <c r="D42" s="14">
        <v>1</v>
      </c>
      <c r="E42" s="14">
        <v>0.69879671747524608</v>
      </c>
      <c r="F42" s="14">
        <v>0.52481661067126706</v>
      </c>
      <c r="G42" s="14">
        <v>1.9404214190672284E-10</v>
      </c>
      <c r="H42" s="14">
        <v>39.816911715474532</v>
      </c>
      <c r="I42" s="14">
        <v>94.563762366563822</v>
      </c>
      <c r="J42" s="14">
        <v>0</v>
      </c>
      <c r="K42" s="14">
        <v>1.9054274953701429</v>
      </c>
      <c r="L42" s="14">
        <v>0.52481661067126717</v>
      </c>
      <c r="M42" s="14">
        <v>0.43061202905577467</v>
      </c>
      <c r="N42" s="14">
        <v>5.7461609979646955</v>
      </c>
      <c r="O42" s="14">
        <v>1898.3017472876168</v>
      </c>
      <c r="P42" s="8">
        <v>5.7461609979646955</v>
      </c>
      <c r="Q42" s="54">
        <v>0.20059714284461047</v>
      </c>
    </row>
    <row r="43" spans="1:17">
      <c r="A43" s="2" t="s">
        <v>373</v>
      </c>
      <c r="B43" s="16" t="s">
        <v>374</v>
      </c>
      <c r="D43" s="14">
        <v>1</v>
      </c>
      <c r="E43" s="14">
        <v>0.99668925542642006</v>
      </c>
      <c r="F43" s="14">
        <v>8.8263279694002321E-3</v>
      </c>
      <c r="G43" s="14">
        <v>4.7792844637392975E-10</v>
      </c>
      <c r="H43" s="14">
        <v>280.54340317385692</v>
      </c>
      <c r="I43" s="14">
        <v>2.1932270712567687</v>
      </c>
      <c r="J43" s="14">
        <v>0</v>
      </c>
      <c r="K43" s="14">
        <v>113.29739881260632</v>
      </c>
      <c r="L43" s="14">
        <v>8.8263279694002338E-3</v>
      </c>
      <c r="M43" s="14">
        <v>7.2420020988928913E-3</v>
      </c>
      <c r="N43" s="14">
        <v>4.1285635370417353</v>
      </c>
      <c r="O43" s="14">
        <v>1099.6016124556957</v>
      </c>
      <c r="P43" s="8">
        <v>4.1285635370417353</v>
      </c>
      <c r="Q43" s="54">
        <v>2.839772817610008E-4</v>
      </c>
    </row>
    <row r="44" spans="1:17">
      <c r="A44" s="2" t="s">
        <v>375</v>
      </c>
      <c r="B44" s="16" t="s">
        <v>376</v>
      </c>
      <c r="D44" s="14">
        <v>1</v>
      </c>
      <c r="E44" s="14">
        <v>0.78673461749523699</v>
      </c>
      <c r="F44" s="14">
        <v>0.76433620290792414</v>
      </c>
      <c r="G44" s="14">
        <v>9.4522003449941925E-4</v>
      </c>
      <c r="H44" s="14">
        <v>5.5271904653680606</v>
      </c>
      <c r="I44" s="14">
        <v>15.608515545732232</v>
      </c>
      <c r="J44" s="14">
        <v>0</v>
      </c>
      <c r="K44" s="14">
        <v>1.3083247871754482</v>
      </c>
      <c r="L44" s="14">
        <v>0.76433620290792414</v>
      </c>
      <c r="M44" s="14">
        <v>0.62713785448595172</v>
      </c>
      <c r="N44" s="14">
        <v>1.5181658095673414</v>
      </c>
      <c r="O44" s="14">
        <v>226.81397194936079</v>
      </c>
      <c r="P44" s="8">
        <v>1.5181658095673414</v>
      </c>
      <c r="Q44" s="54">
        <v>8.5814682749854682E-2</v>
      </c>
    </row>
    <row r="45" spans="1:17">
      <c r="A45" s="2" t="s">
        <v>377</v>
      </c>
      <c r="B45" s="16" t="s">
        <v>378</v>
      </c>
      <c r="D45" s="14">
        <v>1</v>
      </c>
      <c r="E45" s="14">
        <v>0.68732601087579615</v>
      </c>
      <c r="F45" s="14">
        <v>0.48935237978460466</v>
      </c>
      <c r="G45" s="14">
        <v>7.3788756631043927E-6</v>
      </c>
      <c r="H45" s="14">
        <v>45.348372430623606</v>
      </c>
      <c r="I45" s="14">
        <v>106.1252864437833</v>
      </c>
      <c r="J45" s="14">
        <v>0</v>
      </c>
      <c r="K45" s="14">
        <v>2.0435171898830125</v>
      </c>
      <c r="L45" s="14">
        <v>0.48935237978460472</v>
      </c>
      <c r="M45" s="14">
        <v>0.40151362761326814</v>
      </c>
      <c r="N45" s="14">
        <v>6.3719079354328327</v>
      </c>
      <c r="O45" s="14">
        <v>1416.0928195705928</v>
      </c>
      <c r="P45" s="8">
        <v>6.3719079354328327</v>
      </c>
      <c r="Q45" s="54">
        <v>0.20759594946281207</v>
      </c>
    </row>
    <row r="46" spans="1:17">
      <c r="A46" s="2" t="s">
        <v>379</v>
      </c>
      <c r="B46" s="16" t="s">
        <v>380</v>
      </c>
      <c r="D46" s="14">
        <v>1</v>
      </c>
      <c r="E46" s="14">
        <v>0.69311743872887122</v>
      </c>
      <c r="F46" s="14">
        <v>0.5106856752988167</v>
      </c>
      <c r="G46" s="14">
        <v>2.2193314306976424E-5</v>
      </c>
      <c r="H46" s="14">
        <v>41.763191162932557</v>
      </c>
      <c r="I46" s="14">
        <v>98.639496523625084</v>
      </c>
      <c r="J46" s="14">
        <v>0</v>
      </c>
      <c r="K46" s="14">
        <v>1.958151654469007</v>
      </c>
      <c r="L46" s="14">
        <v>0.5106856752988167</v>
      </c>
      <c r="M46" s="14">
        <v>0.41901759658267912</v>
      </c>
      <c r="N46" s="14">
        <v>5.9653065197756652</v>
      </c>
      <c r="O46" s="14">
        <v>766.8998061823595</v>
      </c>
      <c r="P46" s="8">
        <v>5.9653065197756652</v>
      </c>
      <c r="Q46" s="54">
        <v>0.20297887768326922</v>
      </c>
    </row>
    <row r="47" spans="1:17">
      <c r="A47" s="2" t="s">
        <v>381</v>
      </c>
      <c r="B47" s="16" t="s">
        <v>382</v>
      </c>
      <c r="D47" s="14">
        <v>1</v>
      </c>
      <c r="E47" s="14">
        <v>0.85275296508327358</v>
      </c>
      <c r="F47" s="14">
        <v>6.2193121635912131E-4</v>
      </c>
      <c r="G47" s="14">
        <v>4.4306846787128999E-10</v>
      </c>
      <c r="H47" s="14">
        <v>65.289351625348246</v>
      </c>
      <c r="I47" s="14">
        <v>1637.9457990656397</v>
      </c>
      <c r="J47" s="14">
        <v>0</v>
      </c>
      <c r="K47" s="14">
        <v>1607.8948502603714</v>
      </c>
      <c r="L47" s="14">
        <v>6.2193121635912131E-4</v>
      </c>
      <c r="M47" s="14">
        <v>5.102945630226591E-4</v>
      </c>
      <c r="N47" s="14">
        <v>99.461489072326785</v>
      </c>
      <c r="O47" s="14">
        <v>38918.286059110753</v>
      </c>
      <c r="P47" s="8">
        <v>99.461489072326799</v>
      </c>
      <c r="Q47" s="54">
        <v>5.2396168065706523E-2</v>
      </c>
    </row>
    <row r="48" spans="1:17">
      <c r="A48" s="2" t="s">
        <v>383</v>
      </c>
      <c r="B48" s="16" t="s">
        <v>384</v>
      </c>
      <c r="D48" s="14">
        <v>1</v>
      </c>
      <c r="E48" s="14">
        <v>0.91094812286750548</v>
      </c>
      <c r="F48" s="14">
        <v>0.90609139230197777</v>
      </c>
      <c r="G48" s="14">
        <v>1.3070749526580637E-4</v>
      </c>
      <c r="H48" s="14">
        <v>1.7851388625752407</v>
      </c>
      <c r="I48" s="14">
        <v>5.5479070399815056</v>
      </c>
      <c r="J48" s="14">
        <v>0</v>
      </c>
      <c r="K48" s="14">
        <v>1.1036414300983943</v>
      </c>
      <c r="L48" s="14">
        <v>0.90609139230197777</v>
      </c>
      <c r="M48" s="14">
        <v>0.74344798738377271</v>
      </c>
      <c r="N48" s="14">
        <v>1.0847351410245565</v>
      </c>
      <c r="O48" s="14">
        <v>101.02138368361693</v>
      </c>
      <c r="P48" s="8">
        <v>1.0847351410245565</v>
      </c>
      <c r="Q48" s="54">
        <v>5.1656999372902017E-2</v>
      </c>
    </row>
    <row r="49" spans="1:17">
      <c r="A49" s="2" t="s">
        <v>385</v>
      </c>
      <c r="B49" s="16" t="s">
        <v>386</v>
      </c>
      <c r="D49" s="14">
        <v>1</v>
      </c>
      <c r="E49" s="14">
        <v>0.87600412239905545</v>
      </c>
      <c r="F49" s="14">
        <v>0.86458665787089994</v>
      </c>
      <c r="G49" s="14">
        <v>2.4402651460007788E-4</v>
      </c>
      <c r="H49" s="14">
        <v>3.182793989870409</v>
      </c>
      <c r="I49" s="14">
        <v>9.4463862664195748</v>
      </c>
      <c r="J49" s="14">
        <v>0</v>
      </c>
      <c r="K49" s="14">
        <v>1.156622058525127</v>
      </c>
      <c r="L49" s="14">
        <v>0.86458665787089994</v>
      </c>
      <c r="M49" s="14">
        <v>0.70939335278307347</v>
      </c>
      <c r="N49" s="14">
        <v>1.2634479436609498</v>
      </c>
      <c r="O49" s="14">
        <v>140.39433549960475</v>
      </c>
      <c r="P49" s="8">
        <v>1.2634479436609498</v>
      </c>
      <c r="Q49" s="54">
        <v>6.8275627465303149E-2</v>
      </c>
    </row>
    <row r="50" spans="1:17">
      <c r="A50" s="2" t="s">
        <v>387</v>
      </c>
      <c r="B50" s="16" t="s">
        <v>388</v>
      </c>
      <c r="D50" s="14">
        <v>1</v>
      </c>
      <c r="E50" s="14">
        <v>0.74182257588138378</v>
      </c>
      <c r="F50" s="14">
        <v>7.4828552691730235E-2</v>
      </c>
      <c r="G50" s="14">
        <v>7.2432893261076137E-5</v>
      </c>
      <c r="H50" s="14">
        <v>157.94553212274027</v>
      </c>
      <c r="I50" s="14">
        <v>293.60572262846756</v>
      </c>
      <c r="J50" s="14">
        <v>0</v>
      </c>
      <c r="K50" s="14">
        <v>13.36388268953538</v>
      </c>
      <c r="L50" s="14">
        <v>7.4828552691730249E-2</v>
      </c>
      <c r="M50" s="14">
        <v>6.1396827483564669E-2</v>
      </c>
      <c r="N50" s="14">
        <v>16.931540262030804</v>
      </c>
      <c r="O50" s="14">
        <v>3343.1326247379825</v>
      </c>
      <c r="P50" s="8">
        <v>16.931540262030808</v>
      </c>
      <c r="Q50" s="54">
        <v>0.16186931024064602</v>
      </c>
    </row>
    <row r="51" spans="1:17">
      <c r="A51" s="2" t="s">
        <v>295</v>
      </c>
      <c r="B51" s="16" t="s">
        <v>296</v>
      </c>
      <c r="D51" s="14">
        <v>1</v>
      </c>
      <c r="E51" s="14">
        <v>0.90433019350664734</v>
      </c>
      <c r="F51" s="14">
        <v>0.90646261451286814</v>
      </c>
      <c r="G51" s="14">
        <v>7.2794469392820982E-4</v>
      </c>
      <c r="H51" s="14">
        <v>0.28778615519015721</v>
      </c>
      <c r="I51" s="14">
        <v>1.023121162566305</v>
      </c>
      <c r="J51" s="14">
        <v>0</v>
      </c>
      <c r="K51" s="14">
        <v>1.1031894575568335</v>
      </c>
      <c r="L51" s="14">
        <v>0.90646261451286814</v>
      </c>
      <c r="M51" s="14">
        <v>0.74375257520780835</v>
      </c>
      <c r="N51" s="14">
        <v>0.83813205139535429</v>
      </c>
      <c r="O51" s="14">
        <v>48.678709545042175</v>
      </c>
      <c r="P51" s="8">
        <v>0.83813205139535429</v>
      </c>
      <c r="Q51" s="54">
        <v>1.9958461832590008E-2</v>
      </c>
    </row>
    <row r="52" spans="1:17">
      <c r="A52" s="2" t="s">
        <v>389</v>
      </c>
      <c r="B52" s="16" t="s">
        <v>390</v>
      </c>
      <c r="D52" s="14">
        <v>1</v>
      </c>
      <c r="E52" s="14">
        <v>0.76497414887313508</v>
      </c>
      <c r="F52" s="14">
        <v>0.72440851208824319</v>
      </c>
      <c r="G52" s="14">
        <v>7.6501866720100485E-4</v>
      </c>
      <c r="H52" s="14">
        <v>9.5464861056804615</v>
      </c>
      <c r="I52" s="14">
        <v>25.792932142606681</v>
      </c>
      <c r="J52" s="14">
        <v>0</v>
      </c>
      <c r="K52" s="14">
        <v>1.3804365676451158</v>
      </c>
      <c r="L52" s="14">
        <v>0.72440851208824331</v>
      </c>
      <c r="M52" s="14">
        <v>0.59437718416840357</v>
      </c>
      <c r="N52" s="14">
        <v>2.0499640508712691</v>
      </c>
      <c r="O52" s="14">
        <v>219.6536480508565</v>
      </c>
      <c r="P52" s="8">
        <v>2.0499640508712691</v>
      </c>
      <c r="Q52" s="54">
        <v>0.11119895746413609</v>
      </c>
    </row>
    <row r="53" spans="1:17">
      <c r="A53" s="2" t="s">
        <v>391</v>
      </c>
      <c r="B53" s="16" t="s">
        <v>392</v>
      </c>
      <c r="D53" s="14">
        <v>1</v>
      </c>
      <c r="E53" s="14">
        <v>0.66278484556011308</v>
      </c>
      <c r="F53" s="14">
        <v>0.37821713278799352</v>
      </c>
      <c r="G53" s="14">
        <v>2.1757534741944167E-5</v>
      </c>
      <c r="H53" s="14">
        <v>65.490936082441181</v>
      </c>
      <c r="I53" s="14">
        <v>146.36538139505046</v>
      </c>
      <c r="J53" s="14">
        <v>0</v>
      </c>
      <c r="K53" s="14">
        <v>2.6439838741005466</v>
      </c>
      <c r="L53" s="14">
        <v>0.37821713278799352</v>
      </c>
      <c r="M53" s="14">
        <v>0.31032715745254869</v>
      </c>
      <c r="N53" s="14">
        <v>8.5718506009253499</v>
      </c>
      <c r="O53" s="14">
        <v>1388.8112343619252</v>
      </c>
      <c r="P53" s="8">
        <v>8.5718506009253499</v>
      </c>
      <c r="Q53" s="54">
        <v>0.22224825960241343</v>
      </c>
    </row>
    <row r="54" spans="1:17">
      <c r="A54" s="2" t="s">
        <v>393</v>
      </c>
      <c r="B54" s="16" t="s">
        <v>394</v>
      </c>
      <c r="D54" s="14">
        <v>1</v>
      </c>
      <c r="E54" s="14">
        <v>0.84992936232735772</v>
      </c>
      <c r="F54" s="14">
        <v>8.702739631428803E-4</v>
      </c>
      <c r="G54" s="14">
        <v>2.0478798753461441E-6</v>
      </c>
      <c r="H54" s="14">
        <v>78.176458155009186</v>
      </c>
      <c r="I54" s="14">
        <v>1510.543238599075</v>
      </c>
      <c r="J54" s="14">
        <v>0</v>
      </c>
      <c r="K54" s="14">
        <v>1149.0634470881228</v>
      </c>
      <c r="L54" s="14">
        <v>8.702739631428803E-4</v>
      </c>
      <c r="M54" s="14">
        <v>7.1405978675873332E-4</v>
      </c>
      <c r="N54" s="14">
        <v>91.398804637459833</v>
      </c>
      <c r="O54" s="14">
        <v>21331.56701433675</v>
      </c>
      <c r="P54" s="8">
        <v>91.398804637459833</v>
      </c>
      <c r="Q54" s="54">
        <v>5.7987336535406386E-2</v>
      </c>
    </row>
    <row r="55" spans="1:17">
      <c r="A55" s="2" t="s">
        <v>395</v>
      </c>
      <c r="B55" s="16" t="s">
        <v>396</v>
      </c>
      <c r="D55" s="14">
        <v>1</v>
      </c>
      <c r="E55" s="14">
        <v>0.59754173452233683</v>
      </c>
      <c r="F55" s="14">
        <v>0.13578000091118941</v>
      </c>
      <c r="G55" s="14">
        <v>1.4667776876757283E-3</v>
      </c>
      <c r="H55" s="14">
        <v>108.0776286661474</v>
      </c>
      <c r="I55" s="14">
        <v>215.87034123085951</v>
      </c>
      <c r="J55" s="14">
        <v>0</v>
      </c>
      <c r="K55" s="14">
        <v>7.3648548629343216</v>
      </c>
      <c r="L55" s="14">
        <v>0.13578000091118941</v>
      </c>
      <c r="M55" s="14">
        <v>0.11140749074763091</v>
      </c>
      <c r="N55" s="14">
        <v>12.423939832850571</v>
      </c>
      <c r="O55" s="14">
        <v>1592.3763683764575</v>
      </c>
      <c r="P55" s="8">
        <v>12.423939832850571</v>
      </c>
      <c r="Q55" s="54">
        <v>0.17668227310010032</v>
      </c>
    </row>
    <row r="56" spans="1:17">
      <c r="A56" s="2" t="s">
        <v>397</v>
      </c>
      <c r="B56" s="16" t="s">
        <v>398</v>
      </c>
      <c r="D56" s="14">
        <v>1</v>
      </c>
      <c r="E56" s="14">
        <v>0.3174537471254269</v>
      </c>
      <c r="F56" s="14">
        <v>1.610768411707145E-2</v>
      </c>
      <c r="G56" s="14">
        <v>6.6788484946489098E-3</v>
      </c>
      <c r="H56" s="14">
        <v>71.990154265429993</v>
      </c>
      <c r="I56" s="14">
        <v>126.62815378060164</v>
      </c>
      <c r="J56" s="14">
        <v>0</v>
      </c>
      <c r="K56" s="14">
        <v>62.082171014278046</v>
      </c>
      <c r="L56" s="14">
        <v>1.610768411707145E-2</v>
      </c>
      <c r="M56" s="14">
        <v>1.3216354818057127E-2</v>
      </c>
      <c r="N56" s="14">
        <v>7.3313892091028166</v>
      </c>
      <c r="O56" s="14">
        <v>1330.280571991706</v>
      </c>
      <c r="P56" s="8">
        <v>7.3313892091028166</v>
      </c>
      <c r="Q56" s="54">
        <v>5.1514593239114601E-2</v>
      </c>
    </row>
    <row r="57" spans="1:17">
      <c r="A57" s="2" t="s">
        <v>399</v>
      </c>
      <c r="B57" s="16" t="s">
        <v>400</v>
      </c>
      <c r="D57" s="14">
        <v>1</v>
      </c>
      <c r="E57" s="14">
        <v>0.16598210144982761</v>
      </c>
      <c r="F57" s="14">
        <v>2.9176459142146626E-2</v>
      </c>
      <c r="G57" s="14">
        <v>8.4984763940169419E-3</v>
      </c>
      <c r="H57" s="14">
        <v>32.144937429262811</v>
      </c>
      <c r="I57" s="14">
        <v>62.685884118111758</v>
      </c>
      <c r="J57" s="14">
        <v>0</v>
      </c>
      <c r="K57" s="14">
        <v>34.274206994345576</v>
      </c>
      <c r="L57" s="14">
        <v>2.917645914214663E-2</v>
      </c>
      <c r="M57" s="14">
        <v>2.393928472613131E-2</v>
      </c>
      <c r="N57" s="14">
        <v>3.6080154004016589</v>
      </c>
      <c r="O57" s="14">
        <v>530.37826385904384</v>
      </c>
      <c r="P57" s="8">
        <v>3.6080154004016589</v>
      </c>
      <c r="Q57" s="54">
        <v>4.4974853308147433E-2</v>
      </c>
    </row>
    <row r="58" spans="1:17">
      <c r="A58" s="2" t="s">
        <v>297</v>
      </c>
      <c r="B58" s="16" t="s">
        <v>298</v>
      </c>
      <c r="D58" s="14">
        <v>1</v>
      </c>
      <c r="E58" s="14">
        <v>6.0460559983600323E-2</v>
      </c>
      <c r="F58" s="14">
        <v>5.9393396474003046E-2</v>
      </c>
      <c r="G58" s="14">
        <v>1.0350626781489972E-2</v>
      </c>
      <c r="H58" s="14">
        <v>0.28076189277489039</v>
      </c>
      <c r="I58" s="14">
        <v>0.81807916545355519</v>
      </c>
      <c r="J58" s="14">
        <v>0</v>
      </c>
      <c r="K58" s="14">
        <v>16.836888599858199</v>
      </c>
      <c r="L58" s="14">
        <v>5.9393396474003046E-2</v>
      </c>
      <c r="M58" s="14">
        <v>4.8732281806919506E-2</v>
      </c>
      <c r="N58" s="14">
        <v>9.6127113509662021E-2</v>
      </c>
      <c r="O58" s="14">
        <v>8.1640757503755967</v>
      </c>
      <c r="P58" s="8">
        <v>9.6127113509662035E-2</v>
      </c>
      <c r="Q58" s="54">
        <v>5.3431249744206339E-3</v>
      </c>
    </row>
    <row r="59" spans="1:17">
      <c r="A59" s="2" t="s">
        <v>401</v>
      </c>
      <c r="B59" s="16" t="s">
        <v>402</v>
      </c>
      <c r="D59" s="14">
        <v>1</v>
      </c>
      <c r="E59" s="14">
        <v>6.4346693321667023E-2</v>
      </c>
      <c r="F59" s="14">
        <v>1.2018574438512336E-2</v>
      </c>
      <c r="G59" s="14">
        <v>1.0092097680269517E-2</v>
      </c>
      <c r="H59" s="14">
        <v>12.284371949833734</v>
      </c>
      <c r="I59" s="14">
        <v>24.088520593291531</v>
      </c>
      <c r="J59" s="14">
        <v>0</v>
      </c>
      <c r="K59" s="14">
        <v>83.204543526859439</v>
      </c>
      <c r="L59" s="14">
        <v>1.2018574438512336E-2</v>
      </c>
      <c r="M59" s="14">
        <v>9.8612403267993726E-3</v>
      </c>
      <c r="N59" s="14">
        <v>1.3863513912259755</v>
      </c>
      <c r="O59" s="14">
        <v>229.89865120700352</v>
      </c>
      <c r="P59" s="8">
        <v>1.3863513912259755</v>
      </c>
      <c r="Q59" s="54">
        <v>1.7815996899147413E-2</v>
      </c>
    </row>
    <row r="60" spans="1:17">
      <c r="A60" s="2" t="s">
        <v>299</v>
      </c>
      <c r="B60" s="16" t="s">
        <v>300</v>
      </c>
      <c r="D60" s="14">
        <v>1</v>
      </c>
      <c r="E60" s="14">
        <v>1.3154754149039176E-3</v>
      </c>
      <c r="F60" s="14">
        <v>4.4952165859745959E-4</v>
      </c>
      <c r="G60" s="14">
        <v>1.1089171731493789E-2</v>
      </c>
      <c r="H60" s="14">
        <v>0.20131244406931095</v>
      </c>
      <c r="I60" s="14">
        <v>0.41949596928123878</v>
      </c>
      <c r="J60" s="14">
        <v>0</v>
      </c>
      <c r="K60" s="14">
        <v>2224.5869156117483</v>
      </c>
      <c r="L60" s="14">
        <v>4.4952165859745964E-4</v>
      </c>
      <c r="M60" s="14">
        <v>3.6883252087921561E-4</v>
      </c>
      <c r="N60" s="14">
        <v>2.4195978312711468E-2</v>
      </c>
      <c r="O60" s="14">
        <v>1.9874576586061201</v>
      </c>
      <c r="P60" s="8">
        <v>2.4195978312711468E-2</v>
      </c>
      <c r="Q60" s="54">
        <v>4.3343880693933617E-4</v>
      </c>
    </row>
    <row r="61" spans="1:17">
      <c r="A61" s="2" t="s">
        <v>403</v>
      </c>
      <c r="B61" s="16" t="s">
        <v>404</v>
      </c>
      <c r="D61" s="14">
        <v>1</v>
      </c>
      <c r="E61" s="14">
        <v>0.65971722174951664</v>
      </c>
      <c r="F61" s="14">
        <v>0.28320431239402999</v>
      </c>
      <c r="G61" s="14">
        <v>4.9356953987045909E-46</v>
      </c>
      <c r="H61" s="14">
        <v>87.160529944414179</v>
      </c>
      <c r="I61" s="14">
        <v>186.7140644486756</v>
      </c>
      <c r="J61" s="14">
        <v>0</v>
      </c>
      <c r="K61" s="14">
        <v>3.5310196781490819</v>
      </c>
      <c r="L61" s="14">
        <v>0.28320431239403004</v>
      </c>
      <c r="M61" s="14">
        <v>0.23236913831930164</v>
      </c>
      <c r="N61" s="14">
        <v>10.810149566092914</v>
      </c>
      <c r="O61" s="14">
        <v>13000.393969678998</v>
      </c>
      <c r="P61" s="8">
        <v>10.810149566092914</v>
      </c>
      <c r="Q61" s="54">
        <v>0.22458307964909729</v>
      </c>
    </row>
    <row r="62" spans="1:17">
      <c r="A62" s="2" t="s">
        <v>405</v>
      </c>
      <c r="B62" s="16" t="s">
        <v>406</v>
      </c>
      <c r="D62" s="14">
        <v>1</v>
      </c>
      <c r="E62" s="14">
        <v>0.85244744003479578</v>
      </c>
      <c r="F62" s="14">
        <v>3.790739941356537E-3</v>
      </c>
      <c r="G62" s="14">
        <v>1.1612145768612966E-9</v>
      </c>
      <c r="H62" s="14">
        <v>154.87595282693908</v>
      </c>
      <c r="I62" s="14">
        <v>799.35769865190571</v>
      </c>
      <c r="J62" s="14">
        <v>0</v>
      </c>
      <c r="K62" s="14">
        <v>263.80073955749771</v>
      </c>
      <c r="L62" s="14">
        <v>3.7907399413565374E-3</v>
      </c>
      <c r="M62" s="14">
        <v>3.1103021218830389E-3</v>
      </c>
      <c r="N62" s="14">
        <v>47.506831867612036</v>
      </c>
      <c r="O62" s="14">
        <v>15148.028409306775</v>
      </c>
      <c r="P62" s="8">
        <v>47.506831867612036</v>
      </c>
      <c r="Q62" s="54">
        <v>7.7150929375280675E-2</v>
      </c>
    </row>
    <row r="63" spans="1:17">
      <c r="A63" s="2" t="s">
        <v>407</v>
      </c>
      <c r="B63" s="16" t="s">
        <v>408</v>
      </c>
      <c r="D63" s="14">
        <v>1</v>
      </c>
      <c r="E63" s="14">
        <v>0.85851136505207248</v>
      </c>
      <c r="F63" s="14">
        <v>3.3850685039491196E-4</v>
      </c>
      <c r="G63" s="14">
        <v>2.7174148829737328E-7</v>
      </c>
      <c r="H63" s="14">
        <v>46.475862907058179</v>
      </c>
      <c r="I63" s="14">
        <v>1828.0355310120783</v>
      </c>
      <c r="J63" s="14">
        <v>0</v>
      </c>
      <c r="K63" s="14">
        <v>2954.1499642721283</v>
      </c>
      <c r="L63" s="14">
        <v>3.3850685039491201E-4</v>
      </c>
      <c r="M63" s="14">
        <v>2.7774487074902531E-4</v>
      </c>
      <c r="N63" s="14">
        <v>111.6886879025526</v>
      </c>
      <c r="O63" s="14">
        <v>54257.247696181032</v>
      </c>
      <c r="P63" s="8">
        <v>111.68868790255262</v>
      </c>
      <c r="Q63" s="54">
        <v>4.2715415260480921E-2</v>
      </c>
    </row>
    <row r="64" spans="1:17">
      <c r="A64" s="2" t="s">
        <v>409</v>
      </c>
      <c r="B64" s="16" t="s">
        <v>410</v>
      </c>
      <c r="D64" s="14">
        <v>1</v>
      </c>
      <c r="E64" s="14">
        <v>0.86877431537974237</v>
      </c>
      <c r="F64" s="14">
        <v>1.1677598144046627E-4</v>
      </c>
      <c r="G64" s="14">
        <v>3.349669922835582E-8</v>
      </c>
      <c r="H64" s="14">
        <v>24.932941955957357</v>
      </c>
      <c r="I64" s="14">
        <v>2055.089293841967</v>
      </c>
      <c r="J64" s="14">
        <v>0</v>
      </c>
      <c r="K64" s="14">
        <v>8563.4048000685088</v>
      </c>
      <c r="L64" s="14">
        <v>1.1677598144046627E-4</v>
      </c>
      <c r="M64" s="14">
        <v>9.5814692771902576E-5</v>
      </c>
      <c r="N64" s="14">
        <v>126.83914913857531</v>
      </c>
      <c r="O64" s="14">
        <v>71624.799127062099</v>
      </c>
      <c r="P64" s="8">
        <v>126.83914913857531</v>
      </c>
      <c r="Q64" s="54">
        <v>2.8643804226219156E-2</v>
      </c>
    </row>
    <row r="65" spans="1:17">
      <c r="A65" s="2" t="s">
        <v>301</v>
      </c>
      <c r="B65" s="16" t="s">
        <v>302</v>
      </c>
      <c r="D65" s="14">
        <v>1</v>
      </c>
      <c r="E65" s="14">
        <v>0.87835283094266337</v>
      </c>
      <c r="F65" s="14">
        <v>3.2686856960600821E-5</v>
      </c>
      <c r="G65" s="14">
        <v>4.1257380480771269E-9</v>
      </c>
      <c r="H65" s="14">
        <v>11.531164363231543</v>
      </c>
      <c r="I65" s="14">
        <v>2204.6026916225055</v>
      </c>
      <c r="J65" s="14">
        <v>0</v>
      </c>
      <c r="K65" s="14">
        <v>30593.336067929453</v>
      </c>
      <c r="L65" s="14">
        <v>3.2686856960600821E-5</v>
      </c>
      <c r="M65" s="14">
        <v>2.6819566136172974E-5</v>
      </c>
      <c r="N65" s="14">
        <v>137.64610123846197</v>
      </c>
      <c r="O65" s="14">
        <v>88586.277835049361</v>
      </c>
      <c r="P65" s="8">
        <v>137.64610123846199</v>
      </c>
      <c r="Q65" s="54">
        <v>1.7073805639942402E-2</v>
      </c>
    </row>
    <row r="66" spans="1:17">
      <c r="A66" s="2" t="s">
        <v>303</v>
      </c>
      <c r="B66" s="16" t="s">
        <v>304</v>
      </c>
      <c r="D66" s="14">
        <v>1</v>
      </c>
      <c r="E66" s="14">
        <v>0.87329511783390135</v>
      </c>
      <c r="F66" s="14">
        <v>6.7870646348719256E-5</v>
      </c>
      <c r="G66" s="14">
        <v>3.9886917305815603E-15</v>
      </c>
      <c r="H66" s="14">
        <v>17.992933924715871</v>
      </c>
      <c r="I66" s="14">
        <v>2131.3715080362108</v>
      </c>
      <c r="J66" s="14">
        <v>0</v>
      </c>
      <c r="K66" s="14">
        <v>14733.91007449674</v>
      </c>
      <c r="L66" s="14">
        <v>6.7870646348719256E-5</v>
      </c>
      <c r="M66" s="14">
        <v>5.5687865329124149E-5</v>
      </c>
      <c r="N66" s="14">
        <v>132.20275824695617</v>
      </c>
      <c r="O66" s="14">
        <v>85311.761924343271</v>
      </c>
      <c r="P66" s="8">
        <v>132.20275824695617</v>
      </c>
      <c r="Q66" s="54">
        <v>2.3059992190187558E-2</v>
      </c>
    </row>
    <row r="67" spans="1:17">
      <c r="A67" s="2" t="s">
        <v>411</v>
      </c>
      <c r="B67" s="16" t="s">
        <v>412</v>
      </c>
      <c r="D67" s="14">
        <v>1</v>
      </c>
      <c r="E67" s="14">
        <v>0.84379982324693503</v>
      </c>
      <c r="F67" s="14">
        <v>0.81407084584956735</v>
      </c>
      <c r="G67" s="14">
        <v>5.1688114419434658E-5</v>
      </c>
      <c r="H67" s="14">
        <v>7.1905515099334032</v>
      </c>
      <c r="I67" s="14">
        <v>20.008723027047463</v>
      </c>
      <c r="J67" s="14">
        <v>0</v>
      </c>
      <c r="K67" s="14">
        <v>1.2283943161683875</v>
      </c>
      <c r="L67" s="14">
        <v>0.81407084584956735</v>
      </c>
      <c r="M67" s="14">
        <v>0.66794512901957004</v>
      </c>
      <c r="N67" s="14">
        <v>1.8046555889658589</v>
      </c>
      <c r="O67" s="14">
        <v>541.57714224865424</v>
      </c>
      <c r="P67" s="8">
        <v>1.8046555889658589</v>
      </c>
      <c r="Q67" s="54">
        <v>0.10144236659155183</v>
      </c>
    </row>
    <row r="68" spans="1:17">
      <c r="A68" s="2" t="s">
        <v>413</v>
      </c>
      <c r="B68" s="16" t="s">
        <v>414</v>
      </c>
      <c r="D68" s="14">
        <v>1</v>
      </c>
      <c r="E68" s="14">
        <v>0.79603410858172674</v>
      </c>
      <c r="F68" s="14">
        <v>0.74208592380770355</v>
      </c>
      <c r="G68" s="14">
        <v>1.1085178262800121E-4</v>
      </c>
      <c r="H68" s="14">
        <v>12.557818267067427</v>
      </c>
      <c r="I68" s="14">
        <v>33.309749338276674</v>
      </c>
      <c r="J68" s="14">
        <v>0</v>
      </c>
      <c r="K68" s="14">
        <v>1.3475528478817091</v>
      </c>
      <c r="L68" s="14">
        <v>0.74208592380770355</v>
      </c>
      <c r="M68" s="14">
        <v>0.60888150048422074</v>
      </c>
      <c r="N68" s="14">
        <v>2.4838294658519811</v>
      </c>
      <c r="O68" s="14">
        <v>815.06863921932757</v>
      </c>
      <c r="P68" s="8">
        <v>2.4838294658519815</v>
      </c>
      <c r="Q68" s="54">
        <v>0.12976912149006831</v>
      </c>
    </row>
    <row r="69" spans="1:17">
      <c r="A69" s="2" t="s">
        <v>415</v>
      </c>
      <c r="B69" s="16" t="s">
        <v>416</v>
      </c>
      <c r="D69" s="14">
        <v>1</v>
      </c>
      <c r="E69" s="14">
        <v>0.84675760894088292</v>
      </c>
      <c r="F69" s="14">
        <v>1.3544524485060269E-3</v>
      </c>
      <c r="G69" s="14">
        <v>1.3240739775316153E-5</v>
      </c>
      <c r="H69" s="14">
        <v>97.990452380325095</v>
      </c>
      <c r="I69" s="14">
        <v>1317.4706027233326</v>
      </c>
      <c r="J69" s="14">
        <v>0</v>
      </c>
      <c r="K69" s="14">
        <v>738.30572723539217</v>
      </c>
      <c r="L69" s="14">
        <v>1.3544524485060272E-3</v>
      </c>
      <c r="M69" s="14">
        <v>1.1113282339991952E-3</v>
      </c>
      <c r="N69" s="14">
        <v>79.323304855272809</v>
      </c>
      <c r="O69" s="14">
        <v>36812.359317235001</v>
      </c>
      <c r="P69" s="8">
        <v>79.323304855272809</v>
      </c>
      <c r="Q69" s="54">
        <v>6.5153977479437297E-2</v>
      </c>
    </row>
    <row r="70" spans="1:17">
      <c r="A70" s="2" t="s">
        <v>417</v>
      </c>
      <c r="B70" s="16" t="s">
        <v>418</v>
      </c>
      <c r="D70" s="14">
        <v>1</v>
      </c>
      <c r="E70" s="14">
        <v>0.8251662075817473</v>
      </c>
      <c r="F70" s="14">
        <v>2.5436253370708768E-2</v>
      </c>
      <c r="G70" s="14">
        <v>3.5025281146045244E-5</v>
      </c>
      <c r="H70" s="14">
        <v>192.19989334876479</v>
      </c>
      <c r="I70" s="14">
        <v>325.24476353390781</v>
      </c>
      <c r="J70" s="14">
        <v>0</v>
      </c>
      <c r="K70" s="14">
        <v>39.313965992788646</v>
      </c>
      <c r="L70" s="14">
        <v>2.5436253370708768E-2</v>
      </c>
      <c r="M70" s="14">
        <v>2.0870445890666545E-2</v>
      </c>
      <c r="N70" s="14">
        <v>18.894715620527261</v>
      </c>
      <c r="O70" s="14">
        <v>5933.8854406265864</v>
      </c>
      <c r="P70" s="8">
        <v>18.894715620527261</v>
      </c>
      <c r="Q70" s="54">
        <v>0.10695727092199922</v>
      </c>
    </row>
    <row r="71" spans="1:17">
      <c r="A71" s="2" t="s">
        <v>419</v>
      </c>
      <c r="B71" s="16" t="s">
        <v>420</v>
      </c>
      <c r="D71" s="14">
        <v>1</v>
      </c>
      <c r="E71" s="14">
        <v>0.79126745859059511</v>
      </c>
      <c r="F71" s="14">
        <v>0.74261059549338382</v>
      </c>
      <c r="G71" s="14">
        <v>2.7215080865217677E-4</v>
      </c>
      <c r="H71" s="14">
        <v>11.370541337444214</v>
      </c>
      <c r="I71" s="14">
        <v>30.383535792155449</v>
      </c>
      <c r="J71" s="14">
        <v>0</v>
      </c>
      <c r="K71" s="14">
        <v>1.3466007704018941</v>
      </c>
      <c r="L71" s="14">
        <v>0.74261059549338382</v>
      </c>
      <c r="M71" s="14">
        <v>0.60931199360232147</v>
      </c>
      <c r="N71" s="14">
        <v>2.3211014768390696</v>
      </c>
      <c r="O71" s="14">
        <v>496.80856010263443</v>
      </c>
      <c r="P71" s="8">
        <v>2.3211014768390696</v>
      </c>
      <c r="Q71" s="54">
        <v>0.1232645833779222</v>
      </c>
    </row>
    <row r="72" spans="1:17">
      <c r="A72" s="2" t="s">
        <v>421</v>
      </c>
      <c r="B72" s="16" t="s">
        <v>422</v>
      </c>
      <c r="D72" s="14">
        <v>1</v>
      </c>
      <c r="E72" s="14">
        <v>0.80666744928033529</v>
      </c>
      <c r="F72" s="14">
        <v>2.9393023639567955E-2</v>
      </c>
      <c r="G72" s="14">
        <v>1.4680902406041685E-4</v>
      </c>
      <c r="H72" s="14">
        <v>186.43363354033036</v>
      </c>
      <c r="I72" s="14">
        <v>319.58135567322489</v>
      </c>
      <c r="J72" s="14">
        <v>0</v>
      </c>
      <c r="K72" s="14">
        <v>34.0216784861096</v>
      </c>
      <c r="L72" s="14">
        <v>2.9393023639567955E-2</v>
      </c>
      <c r="M72" s="14">
        <v>2.4116975896265509E-2</v>
      </c>
      <c r="N72" s="14">
        <v>18.54398784848382</v>
      </c>
      <c r="O72" s="14">
        <v>7678.5090484216944</v>
      </c>
      <c r="P72" s="8">
        <v>18.54398784848382</v>
      </c>
      <c r="Q72" s="54">
        <v>0.1128187892656948</v>
      </c>
    </row>
    <row r="73" spans="1:17">
      <c r="A73" s="2" t="s">
        <v>423</v>
      </c>
      <c r="B73" s="16" t="s">
        <v>424</v>
      </c>
      <c r="D73" s="14">
        <v>1</v>
      </c>
      <c r="E73" s="14">
        <v>0.65254574098177076</v>
      </c>
      <c r="F73" s="14">
        <v>0.26055407921020618</v>
      </c>
      <c r="G73" s="14">
        <v>1.4369655767671775E-4</v>
      </c>
      <c r="H73" s="14">
        <v>90.869445270670099</v>
      </c>
      <c r="I73" s="14">
        <v>192.87460408850524</v>
      </c>
      <c r="J73" s="14">
        <v>0</v>
      </c>
      <c r="K73" s="14">
        <v>3.8379748382032965</v>
      </c>
      <c r="L73" s="14">
        <v>0.26055407921020618</v>
      </c>
      <c r="M73" s="14">
        <v>0.21378462199197418</v>
      </c>
      <c r="N73" s="14">
        <v>11.149876093751656</v>
      </c>
      <c r="O73" s="14">
        <v>4774.0424470616463</v>
      </c>
      <c r="P73" s="8">
        <v>11.149876093751656</v>
      </c>
      <c r="Q73" s="54">
        <v>0.22053374250414659</v>
      </c>
    </row>
    <row r="74" spans="1:17">
      <c r="A74" s="2" t="s">
        <v>425</v>
      </c>
      <c r="B74" s="16" t="s">
        <v>426</v>
      </c>
      <c r="D74" s="14">
        <v>1</v>
      </c>
      <c r="E74" s="14">
        <v>0.8208570770361967</v>
      </c>
      <c r="F74" s="14">
        <v>2.6544604944988445E-2</v>
      </c>
      <c r="G74" s="14">
        <v>5.4048637941625498E-5</v>
      </c>
      <c r="H74" s="14">
        <v>190.79028917648847</v>
      </c>
      <c r="I74" s="14">
        <v>324.05105300149671</v>
      </c>
      <c r="J74" s="14">
        <v>0</v>
      </c>
      <c r="K74" s="14">
        <v>37.672438601833385</v>
      </c>
      <c r="L74" s="14">
        <v>2.6544604944988445E-2</v>
      </c>
      <c r="M74" s="14">
        <v>2.1779848357363019E-2</v>
      </c>
      <c r="N74" s="14">
        <v>18.819008997804602</v>
      </c>
      <c r="O74" s="14">
        <v>9939.8241724604341</v>
      </c>
      <c r="P74" s="8">
        <v>18.819008997804602</v>
      </c>
      <c r="Q74" s="54">
        <v>0.10874603649415089</v>
      </c>
    </row>
    <row r="75" spans="1:17">
      <c r="A75" s="2" t="s">
        <v>427</v>
      </c>
      <c r="B75" s="16" t="s">
        <v>428</v>
      </c>
      <c r="D75" s="14">
        <v>1</v>
      </c>
      <c r="E75" s="14">
        <v>0.99037327446116974</v>
      </c>
      <c r="F75" s="14">
        <v>4.2964066796974095E-3</v>
      </c>
      <c r="G75" s="14">
        <v>6.0608544340805271E-12</v>
      </c>
      <c r="H75" s="14">
        <v>280.15951900539972</v>
      </c>
      <c r="I75" s="14">
        <v>1.0009611175633759</v>
      </c>
      <c r="J75" s="14">
        <v>0</v>
      </c>
      <c r="K75" s="14">
        <v>232.75264064863356</v>
      </c>
      <c r="L75" s="14">
        <v>4.2964066796974095E-3</v>
      </c>
      <c r="M75" s="14">
        <v>3.5252016806917243E-3</v>
      </c>
      <c r="N75" s="14">
        <v>13.634155926960068</v>
      </c>
      <c r="O75" s="14">
        <v>7690.8910168389057</v>
      </c>
      <c r="P75" s="8">
        <v>13.634155926960069</v>
      </c>
      <c r="Q75" s="54">
        <v>5.590069502496149E-5</v>
      </c>
    </row>
    <row r="76" spans="1:17">
      <c r="A76" s="2" t="s">
        <v>429</v>
      </c>
      <c r="B76" s="16" t="s">
        <v>430</v>
      </c>
      <c r="D76" s="14">
        <v>1</v>
      </c>
      <c r="E76" s="14">
        <v>0.99037327498782546</v>
      </c>
      <c r="F76" s="14">
        <v>4.2964066819821305E-3</v>
      </c>
      <c r="G76" s="14">
        <v>1.5224178024417388E-13</v>
      </c>
      <c r="H76" s="14">
        <v>280.1595191543816</v>
      </c>
      <c r="I76" s="14">
        <v>1.0009611180956619</v>
      </c>
      <c r="J76" s="14">
        <v>0</v>
      </c>
      <c r="K76" s="14">
        <v>232.7526405248615</v>
      </c>
      <c r="L76" s="14">
        <v>4.2964066819821314E-3</v>
      </c>
      <c r="M76" s="14">
        <v>3.5252016825663385E-3</v>
      </c>
      <c r="N76" s="14">
        <v>13.634155934210371</v>
      </c>
      <c r="O76" s="14">
        <v>6818.8504073766326</v>
      </c>
      <c r="P76" s="8">
        <v>13.634155934210371</v>
      </c>
      <c r="Q76" s="54">
        <v>5.5900695054688077E-5</v>
      </c>
    </row>
    <row r="77" spans="1:17">
      <c r="A77" s="2" t="s">
        <v>431</v>
      </c>
      <c r="B77" s="16" t="s">
        <v>432</v>
      </c>
      <c r="D77" s="14">
        <v>1</v>
      </c>
      <c r="E77" s="14">
        <v>0.70398180165347302</v>
      </c>
      <c r="F77" s="14">
        <v>0.10052558626277075</v>
      </c>
      <c r="G77" s="14">
        <v>2.6132749306831692E-4</v>
      </c>
      <c r="H77" s="14">
        <v>142.21867055256322</v>
      </c>
      <c r="I77" s="14">
        <v>272.27877332644897</v>
      </c>
      <c r="J77" s="14">
        <v>0</v>
      </c>
      <c r="K77" s="14">
        <v>9.9477161703492207</v>
      </c>
      <c r="L77" s="14">
        <v>0.10052558626277075</v>
      </c>
      <c r="M77" s="14">
        <v>8.2481243528603407E-2</v>
      </c>
      <c r="N77" s="14">
        <v>15.679499853002589</v>
      </c>
      <c r="O77" s="14">
        <v>5708.2787164841229</v>
      </c>
      <c r="P77" s="8">
        <v>15.679499853002591</v>
      </c>
      <c r="Q77" s="54">
        <v>0.17652807499946169</v>
      </c>
    </row>
    <row r="78" spans="1:17">
      <c r="A78" s="2" t="s">
        <v>433</v>
      </c>
      <c r="B78" s="16" t="s">
        <v>434</v>
      </c>
      <c r="D78" s="14">
        <v>1</v>
      </c>
      <c r="E78" s="14">
        <v>0.68138424842430478</v>
      </c>
      <c r="F78" s="14">
        <v>0.5241258920462637</v>
      </c>
      <c r="G78" s="14">
        <v>3.6904905895975498E-4</v>
      </c>
      <c r="H78" s="14">
        <v>35.979540662536465</v>
      </c>
      <c r="I78" s="14">
        <v>86.082086548752471</v>
      </c>
      <c r="J78" s="14">
        <v>0</v>
      </c>
      <c r="K78" s="14">
        <v>1.9079385605161665</v>
      </c>
      <c r="L78" s="14">
        <v>0.5241258920462637</v>
      </c>
      <c r="M78" s="14">
        <v>0.43004529442395933</v>
      </c>
      <c r="N78" s="14">
        <v>5.2670835675741712</v>
      </c>
      <c r="O78" s="14">
        <v>1390.77341601796</v>
      </c>
      <c r="P78" s="8">
        <v>5.2670835675741721</v>
      </c>
      <c r="Q78" s="54">
        <v>0.19015720499611044</v>
      </c>
    </row>
    <row r="79" spans="1:17">
      <c r="A79" s="2" t="s">
        <v>435</v>
      </c>
      <c r="B79" s="16" t="s">
        <v>436</v>
      </c>
      <c r="D79" s="14">
        <v>1</v>
      </c>
      <c r="E79" s="14">
        <v>0.65786721102071255</v>
      </c>
      <c r="F79" s="14">
        <v>0.36739849060790658</v>
      </c>
      <c r="G79" s="14">
        <v>8.6124329817808282E-5</v>
      </c>
      <c r="H79" s="14">
        <v>66.880169908063252</v>
      </c>
      <c r="I79" s="14">
        <v>148.92051811595277</v>
      </c>
      <c r="J79" s="14">
        <v>0</v>
      </c>
      <c r="K79" s="14">
        <v>2.7218402512905682</v>
      </c>
      <c r="L79" s="14">
        <v>0.36739849060790664</v>
      </c>
      <c r="M79" s="14">
        <v>0.30145046154378735</v>
      </c>
      <c r="N79" s="14">
        <v>8.7097231299348365</v>
      </c>
      <c r="O79" s="14">
        <v>3484.8473215182271</v>
      </c>
      <c r="P79" s="8">
        <v>8.7097231299348365</v>
      </c>
      <c r="Q79" s="54">
        <v>0.221592235345693</v>
      </c>
    </row>
    <row r="80" spans="1:17">
      <c r="A80" s="2" t="s">
        <v>437</v>
      </c>
      <c r="B80" s="16" t="s">
        <v>438</v>
      </c>
      <c r="D80" s="14">
        <v>1</v>
      </c>
      <c r="E80" s="14">
        <v>0.98152604876445082</v>
      </c>
      <c r="F80" s="14">
        <v>2.8870911270639978E-3</v>
      </c>
      <c r="G80" s="14">
        <v>2.1507452003983658E-12</v>
      </c>
      <c r="H80" s="14">
        <v>277.94604073022083</v>
      </c>
      <c r="I80" s="14">
        <v>1.9075341269149466</v>
      </c>
      <c r="J80" s="14">
        <v>0</v>
      </c>
      <c r="K80" s="14">
        <v>346.36939257852288</v>
      </c>
      <c r="L80" s="14">
        <v>2.8870911270639978E-3</v>
      </c>
      <c r="M80" s="14">
        <v>2.3688582697560102E-3</v>
      </c>
      <c r="N80" s="14">
        <v>26.24844603691534</v>
      </c>
      <c r="O80" s="14">
        <v>13493.801138657438</v>
      </c>
      <c r="P80" s="8">
        <v>26.24844603691534</v>
      </c>
      <c r="Q80" s="54">
        <v>6.752620089538021E-5</v>
      </c>
    </row>
    <row r="81" spans="1:17">
      <c r="A81" s="2" t="s">
        <v>440</v>
      </c>
      <c r="B81" s="16" t="s">
        <v>441</v>
      </c>
      <c r="D81" s="14">
        <v>1</v>
      </c>
      <c r="E81" s="14">
        <v>0.97040731321989693</v>
      </c>
      <c r="F81" s="14">
        <v>0.97293308270462597</v>
      </c>
      <c r="G81" s="14">
        <v>2.0531064088926698E-15</v>
      </c>
      <c r="H81" s="14">
        <v>0.25928833025117476</v>
      </c>
      <c r="I81" s="14">
        <v>0.93377048350251435</v>
      </c>
      <c r="J81" s="14">
        <v>0</v>
      </c>
      <c r="K81" s="14">
        <v>1.0278199166792967</v>
      </c>
      <c r="L81" s="14">
        <v>0.97293308270462597</v>
      </c>
      <c r="M81" s="14">
        <v>0.79829159435914565</v>
      </c>
      <c r="N81" s="14">
        <v>0.89070808965011283</v>
      </c>
      <c r="O81" s="14">
        <v>246.95772493639026</v>
      </c>
      <c r="P81" s="8">
        <v>0.89070808965011283</v>
      </c>
      <c r="Q81" s="54">
        <v>1.9554204004085255E-2</v>
      </c>
    </row>
    <row r="82" spans="1:17">
      <c r="A82" s="2" t="s">
        <v>442</v>
      </c>
      <c r="B82" s="16" t="s">
        <v>443</v>
      </c>
      <c r="D82" s="14">
        <v>1</v>
      </c>
      <c r="E82" s="14">
        <v>0.78590333921238231</v>
      </c>
      <c r="F82" s="14">
        <v>0.71833688436798537</v>
      </c>
      <c r="G82" s="14">
        <v>9.1456937443939471E-7</v>
      </c>
      <c r="H82" s="14">
        <v>15.609470333937526</v>
      </c>
      <c r="I82" s="14">
        <v>40.648576135503326</v>
      </c>
      <c r="J82" s="14">
        <v>0</v>
      </c>
      <c r="K82" s="14">
        <v>1.3921044871304784</v>
      </c>
      <c r="L82" s="14">
        <v>0.71833688436798537</v>
      </c>
      <c r="M82" s="14">
        <v>0.589395413623932</v>
      </c>
      <c r="N82" s="14">
        <v>2.8736646864815905</v>
      </c>
      <c r="O82" s="14">
        <v>474.70066955989392</v>
      </c>
      <c r="P82" s="8">
        <v>2.8736646864815905</v>
      </c>
      <c r="Q82" s="54">
        <v>0.14310187937778232</v>
      </c>
    </row>
    <row r="83" spans="1:17">
      <c r="A83" s="2" t="s">
        <v>444</v>
      </c>
      <c r="B83" s="16" t="s">
        <v>445</v>
      </c>
      <c r="D83" s="14">
        <v>1</v>
      </c>
      <c r="E83" s="14">
        <v>0.70410388497659504</v>
      </c>
      <c r="F83" s="14">
        <v>0.12630845327388099</v>
      </c>
      <c r="G83" s="14">
        <v>5.5677651029800443E-6</v>
      </c>
      <c r="H83" s="14">
        <v>135.72267695706569</v>
      </c>
      <c r="I83" s="14">
        <v>265.1609630821502</v>
      </c>
      <c r="J83" s="14">
        <v>0</v>
      </c>
      <c r="K83" s="14">
        <v>7.9171264795052911</v>
      </c>
      <c r="L83" s="14">
        <v>0.12630845327388099</v>
      </c>
      <c r="M83" s="14">
        <v>0.10363608591121935</v>
      </c>
      <c r="N83" s="14">
        <v>15.26141158860236</v>
      </c>
      <c r="O83" s="14">
        <v>2750.7168247296895</v>
      </c>
      <c r="P83" s="8">
        <v>15.261411588602362</v>
      </c>
      <c r="Q83" s="54">
        <v>0.19218061893517768</v>
      </c>
    </row>
    <row r="84" spans="1:17">
      <c r="A84" s="2" t="s">
        <v>446</v>
      </c>
      <c r="B84" s="16" t="s">
        <v>447</v>
      </c>
      <c r="D84" s="14">
        <v>1</v>
      </c>
      <c r="E84" s="14">
        <v>0.9372166996816057</v>
      </c>
      <c r="F84" s="14">
        <v>0.93536293352286792</v>
      </c>
      <c r="G84" s="14">
        <v>6.2950421650588957E-17</v>
      </c>
      <c r="H84" s="14">
        <v>1.1602996352804624</v>
      </c>
      <c r="I84" s="14">
        <v>3.7310178474012741</v>
      </c>
      <c r="J84" s="14">
        <v>0</v>
      </c>
      <c r="K84" s="14">
        <v>1.0691037287886627</v>
      </c>
      <c r="L84" s="14">
        <v>0.93536293352286792</v>
      </c>
      <c r="M84" s="14">
        <v>0.76746528695551319</v>
      </c>
      <c r="N84" s="14">
        <v>1.0104638994614883</v>
      </c>
      <c r="O84" s="14">
        <v>392.95930586157817</v>
      </c>
      <c r="P84" s="8">
        <v>1.0104638994614883</v>
      </c>
      <c r="Q84" s="54">
        <v>4.1901283522416823E-2</v>
      </c>
    </row>
    <row r="85" spans="1:17">
      <c r="A85" s="2" t="s">
        <v>448</v>
      </c>
      <c r="B85" s="16" t="s">
        <v>449</v>
      </c>
      <c r="D85" s="14">
        <v>1</v>
      </c>
      <c r="E85" s="14">
        <v>0.98731004551252499</v>
      </c>
      <c r="F85" s="14">
        <v>0.99093159078543391</v>
      </c>
      <c r="G85" s="14">
        <v>4.4285562119485918E-10</v>
      </c>
      <c r="H85" s="14">
        <v>4.7624855819138896E-2</v>
      </c>
      <c r="I85" s="14">
        <v>0.19457670498658078</v>
      </c>
      <c r="J85" s="14">
        <v>0</v>
      </c>
      <c r="K85" s="14">
        <v>1.0091513978350193</v>
      </c>
      <c r="L85" s="14">
        <v>0.99093159078543391</v>
      </c>
      <c r="M85" s="14">
        <v>0.81305937023944852</v>
      </c>
      <c r="N85" s="14">
        <v>0.86653216433310309</v>
      </c>
      <c r="O85" s="14">
        <v>155.3172251350654</v>
      </c>
      <c r="P85" s="8">
        <v>0.86653216433310309</v>
      </c>
      <c r="Q85" s="54">
        <v>8.156255927919286E-3</v>
      </c>
    </row>
    <row r="86" spans="1:17">
      <c r="A86" s="2" t="s">
        <v>450</v>
      </c>
      <c r="B86" s="16" t="s">
        <v>451</v>
      </c>
      <c r="D86" s="14">
        <v>1</v>
      </c>
      <c r="E86" s="14">
        <v>0.93870583804530094</v>
      </c>
      <c r="F86" s="14">
        <v>0.9371124302195365</v>
      </c>
      <c r="G86" s="14">
        <v>1.5837629763975224E-10</v>
      </c>
      <c r="H86" s="14">
        <v>1.1057620952984122</v>
      </c>
      <c r="I86" s="14">
        <v>3.56877254640641</v>
      </c>
      <c r="J86" s="14">
        <v>0</v>
      </c>
      <c r="K86" s="14">
        <v>1.0671078173253243</v>
      </c>
      <c r="L86" s="14">
        <v>0.93711243021953661</v>
      </c>
      <c r="M86" s="14">
        <v>0.76890074899512972</v>
      </c>
      <c r="N86" s="14">
        <v>1.0031062664653998</v>
      </c>
      <c r="O86" s="14">
        <v>261.90101511145122</v>
      </c>
      <c r="P86" s="8">
        <v>1.0031062664653998</v>
      </c>
      <c r="Q86" s="54">
        <v>4.089958198715677E-2</v>
      </c>
    </row>
    <row r="87" spans="1:17">
      <c r="A87" s="2" t="s">
        <v>452</v>
      </c>
      <c r="B87" s="16" t="s">
        <v>453</v>
      </c>
      <c r="D87" s="14">
        <v>1</v>
      </c>
      <c r="E87" s="14">
        <v>0.85485906456724714</v>
      </c>
      <c r="F87" s="14">
        <v>4.9349058379354245E-4</v>
      </c>
      <c r="G87" s="14">
        <v>5.0901122304051466E-10</v>
      </c>
      <c r="H87" s="14">
        <v>57.477632383519534</v>
      </c>
      <c r="I87" s="14">
        <v>1716.153147444659</v>
      </c>
      <c r="J87" s="14">
        <v>0</v>
      </c>
      <c r="K87" s="14">
        <v>2026.3811161559299</v>
      </c>
      <c r="L87" s="14">
        <v>4.9349058379354245E-4</v>
      </c>
      <c r="M87" s="14">
        <v>4.0490902400260156E-4</v>
      </c>
      <c r="N87" s="14">
        <v>104.45861480637082</v>
      </c>
      <c r="O87" s="14">
        <v>43486.121343892177</v>
      </c>
      <c r="P87" s="8">
        <v>104.45861480637082</v>
      </c>
      <c r="Q87" s="54">
        <v>4.8613404998666017E-2</v>
      </c>
    </row>
    <row r="88" spans="1:17">
      <c r="A88" s="2" t="s">
        <v>454</v>
      </c>
      <c r="B88" s="16" t="s">
        <v>455</v>
      </c>
      <c r="D88" s="14">
        <v>1</v>
      </c>
      <c r="E88" s="14">
        <v>0.72776293508348333</v>
      </c>
      <c r="F88" s="14">
        <v>0.6007551747360651</v>
      </c>
      <c r="G88" s="14">
        <v>4.420852326803515E-7</v>
      </c>
      <c r="H88" s="14">
        <v>29.058789594956316</v>
      </c>
      <c r="I88" s="14">
        <v>71.340260551881528</v>
      </c>
      <c r="J88" s="14">
        <v>0</v>
      </c>
      <c r="K88" s="14">
        <v>1.6645715959739149</v>
      </c>
      <c r="L88" s="14">
        <v>0.6007551747360651</v>
      </c>
      <c r="M88" s="14">
        <v>0.49291962087094149</v>
      </c>
      <c r="N88" s="14">
        <v>4.4979494606138894</v>
      </c>
      <c r="O88" s="14">
        <v>860.32279333161875</v>
      </c>
      <c r="P88" s="8">
        <v>4.4979494606138894</v>
      </c>
      <c r="Q88" s="54">
        <v>0.18160788102062345</v>
      </c>
    </row>
    <row r="89" spans="1:17">
      <c r="A89" s="2" t="s">
        <v>456</v>
      </c>
      <c r="B89" s="16" t="s">
        <v>457</v>
      </c>
      <c r="D89" s="14">
        <v>1</v>
      </c>
      <c r="E89" s="14">
        <v>0.77494007860837466</v>
      </c>
      <c r="F89" s="14">
        <v>0.6983694210592053</v>
      </c>
      <c r="G89" s="14">
        <v>3.0153220439817267E-19</v>
      </c>
      <c r="H89" s="14">
        <v>17.632147693881958</v>
      </c>
      <c r="I89" s="14">
        <v>45.411138037032359</v>
      </c>
      <c r="J89" s="14">
        <v>0</v>
      </c>
      <c r="K89" s="14">
        <v>1.4319069103617346</v>
      </c>
      <c r="L89" s="14">
        <v>0.6983694210592053</v>
      </c>
      <c r="M89" s="14">
        <v>0.57301210997907792</v>
      </c>
      <c r="N89" s="14">
        <v>3.1233274046386654</v>
      </c>
      <c r="O89" s="14">
        <v>1225.7810732244907</v>
      </c>
      <c r="P89" s="8">
        <v>3.1233274046386654</v>
      </c>
      <c r="Q89" s="54">
        <v>0.15043967474065539</v>
      </c>
    </row>
    <row r="90" spans="1:17">
      <c r="A90" s="2" t="s">
        <v>458</v>
      </c>
      <c r="B90" s="16" t="s">
        <v>459</v>
      </c>
      <c r="D90" s="14">
        <v>1</v>
      </c>
      <c r="E90" s="14">
        <v>0.88207124624584798</v>
      </c>
      <c r="F90" s="14">
        <v>0.866039541401327</v>
      </c>
      <c r="G90" s="14">
        <v>4.6647267532047102E-31</v>
      </c>
      <c r="H90" s="14">
        <v>4.1975678163183625</v>
      </c>
      <c r="I90" s="14">
        <v>12.20829154680364</v>
      </c>
      <c r="J90" s="14">
        <v>0</v>
      </c>
      <c r="K90" s="14">
        <v>1.1546816885311189</v>
      </c>
      <c r="L90" s="14">
        <v>0.866039541401327</v>
      </c>
      <c r="M90" s="14">
        <v>0.71058544371978882</v>
      </c>
      <c r="N90" s="14">
        <v>1.4171097922555485</v>
      </c>
      <c r="O90" s="14">
        <v>1106.6777211640481</v>
      </c>
      <c r="P90" s="8">
        <v>1.4171097922555485</v>
      </c>
      <c r="Q90" s="54">
        <v>7.8932324407211943E-2</v>
      </c>
    </row>
    <row r="91" spans="1:17">
      <c r="A91" s="2" t="s">
        <v>460</v>
      </c>
      <c r="B91" s="16" t="s">
        <v>461</v>
      </c>
      <c r="D91" s="14">
        <v>1</v>
      </c>
      <c r="E91" s="14">
        <v>0.85065427971126772</v>
      </c>
      <c r="F91" s="14">
        <v>3.2873784170999007E-3</v>
      </c>
      <c r="G91" s="14">
        <v>5.4154953492485876E-10</v>
      </c>
      <c r="H91" s="14">
        <v>146.45685352077967</v>
      </c>
      <c r="I91" s="14">
        <v>873.91032469125753</v>
      </c>
      <c r="J91" s="14">
        <v>0</v>
      </c>
      <c r="K91" s="14">
        <v>304.19375962265764</v>
      </c>
      <c r="L91" s="14">
        <v>3.2873784170999007E-3</v>
      </c>
      <c r="M91" s="14">
        <v>2.6972939912304687E-3</v>
      </c>
      <c r="N91" s="14">
        <v>52.03956045292378</v>
      </c>
      <c r="O91" s="14">
        <v>15944.921322775846</v>
      </c>
      <c r="P91" s="8">
        <v>52.039560452923787</v>
      </c>
      <c r="Q91" s="54">
        <v>7.6219635981753631E-2</v>
      </c>
    </row>
    <row r="92" spans="1:17">
      <c r="A92" s="2" t="s">
        <v>462</v>
      </c>
      <c r="B92" s="16" t="s">
        <v>463</v>
      </c>
      <c r="D92" s="14">
        <v>1</v>
      </c>
      <c r="E92" s="14">
        <v>0.68031465197559438</v>
      </c>
      <c r="F92" s="14">
        <v>0.17621689502326301</v>
      </c>
      <c r="G92" s="14">
        <v>4.8882795276060719E-11</v>
      </c>
      <c r="H92" s="14">
        <v>117.74095243917657</v>
      </c>
      <c r="I92" s="14">
        <v>238.22356272076635</v>
      </c>
      <c r="J92" s="14">
        <v>0</v>
      </c>
      <c r="K92" s="14">
        <v>5.6748247656275321</v>
      </c>
      <c r="L92" s="14">
        <v>0.17621689502326301</v>
      </c>
      <c r="M92" s="14">
        <v>0.1445859623665873</v>
      </c>
      <c r="N92" s="14">
        <v>13.714588619620454</v>
      </c>
      <c r="O92" s="14">
        <v>4619.3477388605606</v>
      </c>
      <c r="P92" s="8">
        <v>13.714588619620454</v>
      </c>
      <c r="Q92" s="54">
        <v>0.20930746382407325</v>
      </c>
    </row>
    <row r="93" spans="1:17">
      <c r="A93" s="2" t="s">
        <v>464</v>
      </c>
      <c r="B93" s="16" t="s">
        <v>465</v>
      </c>
      <c r="D93" s="14">
        <v>1</v>
      </c>
      <c r="E93" s="14">
        <v>0.79882817248327498</v>
      </c>
      <c r="F93" s="14">
        <v>3.8672377061192809E-2</v>
      </c>
      <c r="G93" s="14">
        <v>2.1636616885937473E-6</v>
      </c>
      <c r="H93" s="14">
        <v>181.70248528006312</v>
      </c>
      <c r="I93" s="14">
        <v>318.43297791432497</v>
      </c>
      <c r="J93" s="14">
        <v>0</v>
      </c>
      <c r="K93" s="14">
        <v>25.858250151462396</v>
      </c>
      <c r="L93" s="14">
        <v>3.8672377061192816E-2</v>
      </c>
      <c r="M93" s="14">
        <v>3.1730685378708705E-2</v>
      </c>
      <c r="N93" s="14">
        <v>18.44196484266455</v>
      </c>
      <c r="O93" s="14">
        <v>8577.1734286748542</v>
      </c>
      <c r="P93" s="8">
        <v>18.44196484266455</v>
      </c>
      <c r="Q93" s="54">
        <v>0.12694571273804842</v>
      </c>
    </row>
    <row r="94" spans="1:17">
      <c r="A94" s="2" t="s">
        <v>466</v>
      </c>
      <c r="B94" s="16" t="s">
        <v>467</v>
      </c>
      <c r="D94" s="14">
        <v>1</v>
      </c>
      <c r="E94" s="14">
        <v>0.99908980300850547</v>
      </c>
      <c r="F94" s="14">
        <v>0.8975953745137929</v>
      </c>
      <c r="G94" s="14">
        <v>2.0366529220290663E-20</v>
      </c>
      <c r="H94" s="14">
        <v>29.837374540866755</v>
      </c>
      <c r="I94" s="14">
        <v>3.6304521398787155E-2</v>
      </c>
      <c r="J94" s="14">
        <v>0</v>
      </c>
      <c r="K94" s="14">
        <v>1.1140877375194556</v>
      </c>
      <c r="L94" s="14">
        <v>0.8975953745137929</v>
      </c>
      <c r="M94" s="14">
        <v>0.73647700478856704</v>
      </c>
      <c r="N94" s="14">
        <v>1.0725835805151707</v>
      </c>
      <c r="O94" s="14">
        <v>354.74629341958752</v>
      </c>
      <c r="P94" s="8">
        <v>1.0725835805151707</v>
      </c>
      <c r="Q94" s="54">
        <v>1.0758722746546885E-4</v>
      </c>
    </row>
    <row r="95" spans="1:17">
      <c r="A95" s="2" t="s">
        <v>468</v>
      </c>
      <c r="B95" s="16" t="s">
        <v>469</v>
      </c>
      <c r="D95" s="14">
        <v>1</v>
      </c>
      <c r="E95" s="14">
        <v>0.868263576008797</v>
      </c>
      <c r="F95" s="14">
        <v>7.7929386535980022E-3</v>
      </c>
      <c r="G95" s="14">
        <v>2.2106996635747835E-20</v>
      </c>
      <c r="H95" s="14">
        <v>196.0655344138512</v>
      </c>
      <c r="I95" s="14">
        <v>449.11589754092699</v>
      </c>
      <c r="J95" s="14">
        <v>0</v>
      </c>
      <c r="K95" s="14">
        <v>128.32129758115053</v>
      </c>
      <c r="L95" s="14">
        <v>7.7929386535980031E-3</v>
      </c>
      <c r="M95" s="14">
        <v>6.3941061652771618E-3</v>
      </c>
      <c r="N95" s="14">
        <v>26.403050938813582</v>
      </c>
      <c r="O95" s="14">
        <v>13043.10716377391</v>
      </c>
      <c r="P95" s="8">
        <v>26.403050938813585</v>
      </c>
      <c r="Q95" s="54">
        <v>7.6446644625472501E-2</v>
      </c>
    </row>
    <row r="96" spans="1:17">
      <c r="A96" s="2" t="s">
        <v>470</v>
      </c>
      <c r="B96" s="164">
        <v>354656</v>
      </c>
      <c r="D96" s="14">
        <v>1</v>
      </c>
      <c r="E96" s="14">
        <v>0.96928822321020314</v>
      </c>
      <c r="F96" s="14">
        <v>0.97171434473129992</v>
      </c>
      <c r="G96" s="14">
        <v>4.093050487260255E-12</v>
      </c>
      <c r="H96" s="14">
        <v>0.27913777598590367</v>
      </c>
      <c r="I96" s="14">
        <v>0.99971402467075876</v>
      </c>
      <c r="J96" s="14">
        <v>0</v>
      </c>
      <c r="K96" s="14">
        <v>1.0291090230601891</v>
      </c>
      <c r="L96" s="14">
        <v>0.97171434473130003</v>
      </c>
      <c r="M96" s="14">
        <v>0.79729161985203167</v>
      </c>
      <c r="N96" s="14">
        <v>0.89321806137377069</v>
      </c>
      <c r="O96" s="14">
        <v>176.13366952229384</v>
      </c>
      <c r="P96" s="8">
        <v>0.8932180613737708</v>
      </c>
      <c r="Q96" s="54">
        <v>2.0308403550460933E-2</v>
      </c>
    </row>
    <row r="97" spans="1:17">
      <c r="A97" s="2" t="s">
        <v>472</v>
      </c>
      <c r="B97" s="16" t="s">
        <v>473</v>
      </c>
      <c r="D97" s="14">
        <v>1</v>
      </c>
      <c r="E97" s="14">
        <v>0.93645967885597325</v>
      </c>
      <c r="F97" s="14">
        <v>0.9344712134168599</v>
      </c>
      <c r="G97" s="14">
        <v>6.2899097645615014E-12</v>
      </c>
      <c r="H97" s="14">
        <v>1.1885458155635267</v>
      </c>
      <c r="I97" s="14">
        <v>3.814811631628682</v>
      </c>
      <c r="J97" s="14">
        <v>0</v>
      </c>
      <c r="K97" s="14">
        <v>1.070123922109421</v>
      </c>
      <c r="L97" s="14">
        <v>0.93447121341686001</v>
      </c>
      <c r="M97" s="14">
        <v>0.76673363060853361</v>
      </c>
      <c r="N97" s="14">
        <v>1.0142754397070195</v>
      </c>
      <c r="O97" s="14">
        <v>162.4666399322704</v>
      </c>
      <c r="P97" s="8">
        <v>1.0142754397070197</v>
      </c>
      <c r="Q97" s="54">
        <v>4.2410471244844566E-2</v>
      </c>
    </row>
    <row r="98" spans="1:17">
      <c r="A98" s="2" t="s">
        <v>474</v>
      </c>
      <c r="B98" s="16" t="s">
        <v>475</v>
      </c>
      <c r="D98" s="14">
        <v>1</v>
      </c>
      <c r="E98" s="14">
        <v>0.84851084931860188</v>
      </c>
      <c r="F98" s="14">
        <v>1.8224423570062556E-2</v>
      </c>
      <c r="G98" s="14">
        <v>5.1343123804109894E-22</v>
      </c>
      <c r="H98" s="14">
        <v>200.37973627204207</v>
      </c>
      <c r="I98" s="14">
        <v>329.84580984692644</v>
      </c>
      <c r="J98" s="14">
        <v>0</v>
      </c>
      <c r="K98" s="14">
        <v>54.871420001602139</v>
      </c>
      <c r="L98" s="14">
        <v>1.8224423570062556E-2</v>
      </c>
      <c r="M98" s="14">
        <v>1.4953139539236326E-2</v>
      </c>
      <c r="N98" s="14">
        <v>19.212051651428244</v>
      </c>
      <c r="O98" s="14">
        <v>10209.86060911851</v>
      </c>
      <c r="P98" s="8">
        <v>19.212051651428244</v>
      </c>
      <c r="Q98" s="54">
        <v>9.3177482304643858E-2</v>
      </c>
    </row>
    <row r="99" spans="1:17">
      <c r="A99" s="2" t="s">
        <v>476</v>
      </c>
      <c r="B99" s="16" t="s">
        <v>477</v>
      </c>
      <c r="D99" s="14">
        <v>1</v>
      </c>
      <c r="E99" s="14">
        <v>0.99102754717198949</v>
      </c>
      <c r="F99" s="14">
        <v>0.99478477760313988</v>
      </c>
      <c r="G99" s="14">
        <v>1.9330256580120741E-9</v>
      </c>
      <c r="H99" s="14">
        <v>2.344278102955806E-2</v>
      </c>
      <c r="I99" s="14">
        <v>0.10094069758747959</v>
      </c>
      <c r="J99" s="14">
        <v>0</v>
      </c>
      <c r="K99" s="14">
        <v>1.0052425635316069</v>
      </c>
      <c r="L99" s="14">
        <v>0.99478477760313999</v>
      </c>
      <c r="M99" s="14">
        <v>0.81622091002337638</v>
      </c>
      <c r="N99" s="14">
        <v>0.86488334220753049</v>
      </c>
      <c r="O99" s="14">
        <v>111.70833247952463</v>
      </c>
      <c r="P99" s="8">
        <v>0.86488334220753049</v>
      </c>
      <c r="Q99" s="54">
        <v>5.6476308484054247E-3</v>
      </c>
    </row>
    <row r="100" spans="1:17">
      <c r="A100" s="2" t="s">
        <v>478</v>
      </c>
      <c r="B100" s="16" t="s">
        <v>479</v>
      </c>
      <c r="D100" s="14">
        <v>1</v>
      </c>
      <c r="E100" s="14">
        <v>0.66887006390494685</v>
      </c>
      <c r="F100" s="14">
        <v>0.40970870589798464</v>
      </c>
      <c r="G100" s="14">
        <v>5.648377053757611E-13</v>
      </c>
      <c r="H100" s="14">
        <v>59.551841063258841</v>
      </c>
      <c r="I100" s="14">
        <v>134.81939165543452</v>
      </c>
      <c r="J100" s="14">
        <v>0</v>
      </c>
      <c r="K100" s="14">
        <v>2.4407584842705168</v>
      </c>
      <c r="L100" s="14">
        <v>0.40970870589798464</v>
      </c>
      <c r="M100" s="14">
        <v>0.33616599318929641</v>
      </c>
      <c r="N100" s="14">
        <v>7.9382562881579268</v>
      </c>
      <c r="O100" s="14">
        <v>2379.8892351897466</v>
      </c>
      <c r="P100" s="8">
        <v>7.9382562881579268</v>
      </c>
      <c r="Q100" s="54">
        <v>0.21976188073369232</v>
      </c>
    </row>
    <row r="101" spans="1:17">
      <c r="A101" s="2" t="s">
        <v>480</v>
      </c>
      <c r="B101" s="16" t="s">
        <v>481</v>
      </c>
      <c r="D101" s="14">
        <v>1</v>
      </c>
      <c r="E101" s="14">
        <v>0.98538385353455349</v>
      </c>
      <c r="F101" s="14">
        <v>0.98891980706822846</v>
      </c>
      <c r="G101" s="14">
        <v>5.2007929359636366E-13</v>
      </c>
      <c r="H101" s="14">
        <v>6.3363779713637894E-2</v>
      </c>
      <c r="I101" s="14">
        <v>0.25345347277736369</v>
      </c>
      <c r="J101" s="14">
        <v>0</v>
      </c>
      <c r="K101" s="14">
        <v>1.0112043391714645</v>
      </c>
      <c r="L101" s="14">
        <v>0.98891980706822846</v>
      </c>
      <c r="M101" s="14">
        <v>0.81140870169948143</v>
      </c>
      <c r="N101" s="14">
        <v>0.86793549442165097</v>
      </c>
      <c r="O101" s="14">
        <v>206.70751735146038</v>
      </c>
      <c r="P101" s="8">
        <v>0.86793549442165097</v>
      </c>
      <c r="Q101" s="54">
        <v>9.4557993114674152E-3</v>
      </c>
    </row>
    <row r="102" spans="1:17">
      <c r="A102" s="2" t="s">
        <v>482</v>
      </c>
      <c r="B102" s="16" t="s">
        <v>483</v>
      </c>
      <c r="D102" s="14">
        <v>1</v>
      </c>
      <c r="E102" s="14">
        <v>0.99583699702784345</v>
      </c>
      <c r="F102" s="14">
        <v>0.99970999725087073</v>
      </c>
      <c r="G102" s="14">
        <v>3.2690572237558536E-29</v>
      </c>
      <c r="H102" s="14">
        <v>4.5226609905877034E-3</v>
      </c>
      <c r="I102" s="14">
        <v>2.1991315332010552E-2</v>
      </c>
      <c r="J102" s="14">
        <v>0</v>
      </c>
      <c r="K102" s="14">
        <v>1.0002900868751206</v>
      </c>
      <c r="L102" s="14">
        <v>0.99970999725087073</v>
      </c>
      <c r="M102" s="14">
        <v>0.8202620527443395</v>
      </c>
      <c r="N102" s="14">
        <v>0.86497470604332405</v>
      </c>
      <c r="O102" s="14">
        <v>398.2603039035277</v>
      </c>
      <c r="P102" s="8">
        <v>0.86497470604332405</v>
      </c>
      <c r="Q102" s="54">
        <v>2.4013264576002863E-3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0.99129374343328858</v>
      </c>
      <c r="F103" s="14">
        <v>0.99505916883496159</v>
      </c>
      <c r="G103" s="14">
        <v>2.6073983928049066E-15</v>
      </c>
      <c r="H103" s="14">
        <v>2.2028194669192029E-2</v>
      </c>
      <c r="I103" s="14">
        <v>9.5287531550508467E-2</v>
      </c>
      <c r="J103" s="14">
        <v>0</v>
      </c>
      <c r="K103" s="14">
        <v>1.00496536419118</v>
      </c>
      <c r="L103" s="14">
        <v>0.99505916883496159</v>
      </c>
      <c r="M103" s="14">
        <v>0.81644604802908605</v>
      </c>
      <c r="N103" s="14">
        <v>0.8648208732610414</v>
      </c>
      <c r="O103" s="14">
        <v>177.50448423682874</v>
      </c>
      <c r="P103" s="8">
        <v>0.86482087326104151</v>
      </c>
      <c r="Q103" s="54">
        <v>5.4680953197559319E-3</v>
      </c>
    </row>
    <row r="104" spans="1:17">
      <c r="A104" s="2" t="s">
        <v>486</v>
      </c>
      <c r="B104" s="16" t="s">
        <v>487</v>
      </c>
      <c r="D104" s="14">
        <v>1</v>
      </c>
      <c r="E104" s="14">
        <v>0.95390235361033959</v>
      </c>
      <c r="F104" s="14">
        <v>0.95462019968871747</v>
      </c>
      <c r="G104" s="14">
        <v>3.2086260673512215E-11</v>
      </c>
      <c r="H104" s="14">
        <v>0.62587934553892277</v>
      </c>
      <c r="I104" s="14">
        <v>2.1093458388010786</v>
      </c>
      <c r="J104" s="14">
        <v>0</v>
      </c>
      <c r="K104" s="14">
        <v>1.0475370208236532</v>
      </c>
      <c r="L104" s="14">
        <v>0.95462019968871747</v>
      </c>
      <c r="M104" s="14">
        <v>0.78326587384459267</v>
      </c>
      <c r="N104" s="14">
        <v>0.93863947568867612</v>
      </c>
      <c r="O104" s="14">
        <v>141.88474314510029</v>
      </c>
      <c r="P104" s="8">
        <v>0.93863947568867623</v>
      </c>
      <c r="Q104" s="54">
        <v>3.0672402211517548E-2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0.99512812507172277</v>
      </c>
      <c r="F105" s="14">
        <v>0.99898846568110244</v>
      </c>
      <c r="G105" s="14">
        <v>2.5998540095642452E-18</v>
      </c>
      <c r="H105" s="14">
        <v>6.4138747368442332E-3</v>
      </c>
      <c r="I105" s="14">
        <v>3.0393285151071814E-2</v>
      </c>
      <c r="J105" s="14">
        <v>0</v>
      </c>
      <c r="K105" s="14">
        <v>1.0010125585566274</v>
      </c>
      <c r="L105" s="14">
        <v>0.99898846568110244</v>
      </c>
      <c r="M105" s="14">
        <v>0.81967003609134459</v>
      </c>
      <c r="N105" s="14">
        <v>0.86479154726655261</v>
      </c>
      <c r="O105" s="14">
        <v>293.47565948037732</v>
      </c>
      <c r="P105" s="8">
        <v>0.86479154726655261</v>
      </c>
      <c r="Q105" s="54">
        <v>2.8799015705036532E-3</v>
      </c>
    </row>
    <row r="106" spans="1:17">
      <c r="A106" s="2" t="s">
        <v>490</v>
      </c>
      <c r="B106" s="16" t="s">
        <v>491</v>
      </c>
      <c r="D106" s="14">
        <v>1</v>
      </c>
      <c r="E106" s="14">
        <v>0.85389911784362427</v>
      </c>
      <c r="F106" s="14">
        <v>0.82683330729265292</v>
      </c>
      <c r="G106" s="14">
        <v>1.4122333092989954E-10</v>
      </c>
      <c r="H106" s="14">
        <v>6.6081206395226735</v>
      </c>
      <c r="I106" s="14">
        <v>18.524015415853963</v>
      </c>
      <c r="J106" s="14">
        <v>0</v>
      </c>
      <c r="K106" s="14">
        <v>1.2094336200296001</v>
      </c>
      <c r="L106" s="14">
        <v>0.82683330729265292</v>
      </c>
      <c r="M106" s="14">
        <v>0.67841672863362179</v>
      </c>
      <c r="N106" s="14">
        <v>1.733174231843766</v>
      </c>
      <c r="O106" s="14">
        <v>332.99476516414273</v>
      </c>
      <c r="P106" s="8">
        <v>1.733174231843766</v>
      </c>
      <c r="Q106" s="54">
        <v>9.7799162051690078E-2</v>
      </c>
    </row>
    <row r="107" spans="1:17">
      <c r="A107" s="2" t="s">
        <v>492</v>
      </c>
      <c r="B107" s="16" t="s">
        <v>493</v>
      </c>
      <c r="D107" s="14">
        <v>1</v>
      </c>
      <c r="E107" s="14">
        <v>0.86488744686892094</v>
      </c>
      <c r="F107" s="14">
        <v>1.3548528502267647E-2</v>
      </c>
      <c r="G107" s="14">
        <v>2.4126849602194774E-18</v>
      </c>
      <c r="H107" s="14">
        <v>206.19215103944879</v>
      </c>
      <c r="I107" s="14">
        <v>331.38229403413175</v>
      </c>
      <c r="J107" s="14">
        <v>0</v>
      </c>
      <c r="K107" s="14">
        <v>73.808753462239665</v>
      </c>
      <c r="L107" s="14">
        <v>1.3548528502267647E-2</v>
      </c>
      <c r="M107" s="14">
        <v>1.1116567636110604E-2</v>
      </c>
      <c r="N107" s="14">
        <v>19.346860159446898</v>
      </c>
      <c r="O107" s="14">
        <v>8795.0826284845607</v>
      </c>
      <c r="P107" s="8">
        <v>19.346860159446898</v>
      </c>
      <c r="Q107" s="54">
        <v>8.2059581938139503E-2</v>
      </c>
    </row>
    <row r="108" spans="1:17">
      <c r="A108" s="2" t="s">
        <v>291</v>
      </c>
      <c r="B108" s="16" t="s">
        <v>494</v>
      </c>
      <c r="D108" s="14">
        <v>1</v>
      </c>
      <c r="E108" s="14">
        <v>0.68282841081576473</v>
      </c>
      <c r="F108" s="14">
        <v>0.4719371362531129</v>
      </c>
      <c r="G108" s="14">
        <v>3.2545626835883442E-12</v>
      </c>
      <c r="H108" s="14">
        <v>48.335270443093954</v>
      </c>
      <c r="I108" s="14">
        <v>112.28489149378716</v>
      </c>
      <c r="J108" s="14">
        <v>0</v>
      </c>
      <c r="K108" s="14">
        <v>2.1189262789094698</v>
      </c>
      <c r="L108" s="14">
        <v>0.4719371362531129</v>
      </c>
      <c r="M108" s="14">
        <v>0.38722442029567916</v>
      </c>
      <c r="N108" s="14">
        <v>6.7070752583784525</v>
      </c>
      <c r="O108" s="14">
        <v>2067.9925144158278</v>
      </c>
      <c r="P108" s="8">
        <v>6.7070752583784525</v>
      </c>
      <c r="Q108" s="54">
        <v>0.21092172944206034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9.0655936337704791E-5</v>
      </c>
      <c r="E2" s="20">
        <v>0.81974973085015335</v>
      </c>
      <c r="F2" s="20">
        <v>3.6852797666545624E-2</v>
      </c>
      <c r="G2" s="20">
        <v>1.0734109422318394E-2</v>
      </c>
      <c r="H2" s="20">
        <v>0</v>
      </c>
      <c r="I2" s="20">
        <v>0.77216282376128931</v>
      </c>
      <c r="J2" s="20">
        <v>1.560767103444326E-3</v>
      </c>
      <c r="K2" s="20">
        <v>0.17859884611006469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3.382531621314249E-3</v>
      </c>
      <c r="E3" s="20">
        <v>0.84986853510320537</v>
      </c>
      <c r="F3" s="20">
        <v>0.22893704883367474</v>
      </c>
      <c r="G3" s="20">
        <v>0.62031407506613911</v>
      </c>
      <c r="H3" s="20">
        <v>0</v>
      </c>
      <c r="I3" s="20">
        <v>6.1741120339153777E-4</v>
      </c>
      <c r="J3" s="20">
        <v>6.9387542975214558E-2</v>
      </c>
      <c r="K3" s="20">
        <v>7.7361390300265842E-2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4.3884167442578933E-12</v>
      </c>
      <c r="E4" s="20">
        <v>0.66124252978329556</v>
      </c>
      <c r="F4" s="20">
        <v>0.24990910452977347</v>
      </c>
      <c r="G4" s="20">
        <v>5.9659228618805647E-2</v>
      </c>
      <c r="H4" s="20">
        <v>0</v>
      </c>
      <c r="I4" s="20">
        <v>0.3516741966347165</v>
      </c>
      <c r="J4" s="20">
        <v>6.4116170238398178E-3</v>
      </c>
      <c r="K4" s="20">
        <v>0.33234585318847615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1.1802422286891826E-4</v>
      </c>
      <c r="E5" s="20">
        <v>0.8644345369957217</v>
      </c>
      <c r="F5" s="20">
        <v>0.66473013007432125</v>
      </c>
      <c r="G5" s="20">
        <v>0.19290386080452482</v>
      </c>
      <c r="H5" s="20">
        <v>0</v>
      </c>
      <c r="I5" s="20">
        <v>6.8005461168756396E-3</v>
      </c>
      <c r="J5" s="20">
        <v>2.0934766294902585E-2</v>
      </c>
      <c r="K5" s="20">
        <v>0.11451267248650678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1.098448161969938E-5</v>
      </c>
      <c r="E6" s="20">
        <v>0.86054767738617555</v>
      </c>
      <c r="F6" s="20">
        <v>0.1455304195513987</v>
      </c>
      <c r="G6" s="20">
        <v>0.71474205544107905</v>
      </c>
      <c r="H6" s="20">
        <v>0</v>
      </c>
      <c r="I6" s="20">
        <v>2.7520239369778547E-4</v>
      </c>
      <c r="J6" s="20">
        <v>8.0602787354215305E-2</v>
      </c>
      <c r="K6" s="20">
        <v>5.8838550777989364E-2</v>
      </c>
      <c r="L6" s="20">
        <v>0</v>
      </c>
    </row>
    <row r="7" spans="1:14">
      <c r="A7" s="2" t="s">
        <v>321</v>
      </c>
      <c r="B7" s="3" t="s">
        <v>322</v>
      </c>
      <c r="D7" s="20">
        <v>1.6260492759540257E-5</v>
      </c>
      <c r="E7" s="20">
        <v>0.85376541919469551</v>
      </c>
      <c r="F7" s="20">
        <v>0.2156790278133294</v>
      </c>
      <c r="G7" s="20">
        <v>0.63753417874184748</v>
      </c>
      <c r="H7" s="20">
        <v>0</v>
      </c>
      <c r="I7" s="20">
        <v>5.5221263951857498E-4</v>
      </c>
      <c r="J7" s="20">
        <v>7.1398596077734938E-2</v>
      </c>
      <c r="K7" s="20">
        <v>7.4819724234810134E-2</v>
      </c>
      <c r="L7" s="20">
        <v>0</v>
      </c>
    </row>
    <row r="8" spans="1:14">
      <c r="A8" s="2" t="s">
        <v>323</v>
      </c>
      <c r="B8" s="3" t="s">
        <v>324</v>
      </c>
      <c r="D8" s="20">
        <v>1.5466552159897651E-4</v>
      </c>
      <c r="E8" s="20">
        <v>0.84794704268081034</v>
      </c>
      <c r="F8" s="20">
        <v>0.33057326362755651</v>
      </c>
      <c r="G8" s="20">
        <v>0.51613496492096733</v>
      </c>
      <c r="H8" s="20">
        <v>0</v>
      </c>
      <c r="I8" s="20">
        <v>1.2388141322865057E-3</v>
      </c>
      <c r="J8" s="20">
        <v>5.7301608127774406E-2</v>
      </c>
      <c r="K8" s="20">
        <v>9.459668366981612E-2</v>
      </c>
      <c r="L8" s="20">
        <v>0</v>
      </c>
    </row>
    <row r="9" spans="1:14">
      <c r="A9" s="2" t="s">
        <v>325</v>
      </c>
      <c r="B9" s="3" t="s">
        <v>326</v>
      </c>
      <c r="D9" s="20">
        <v>1.0039048996011448E-4</v>
      </c>
      <c r="E9" s="20">
        <v>0.76644922238612212</v>
      </c>
      <c r="F9" s="20">
        <v>0.59151639812472734</v>
      </c>
      <c r="G9" s="20">
        <v>0.11616153547505213</v>
      </c>
      <c r="H9" s="20">
        <v>0</v>
      </c>
      <c r="I9" s="20">
        <v>5.8771288786342656E-2</v>
      </c>
      <c r="J9" s="20">
        <v>1.2357396289638228E-2</v>
      </c>
      <c r="K9" s="20">
        <v>0.2210929908342795</v>
      </c>
      <c r="L9" s="20">
        <v>0</v>
      </c>
    </row>
    <row r="10" spans="1:14">
      <c r="A10" s="2" t="s">
        <v>275</v>
      </c>
      <c r="B10" s="3" t="s">
        <v>276</v>
      </c>
      <c r="D10" s="20">
        <v>1.5145926315361625E-6</v>
      </c>
      <c r="E10" s="20">
        <v>0.86260566520855675</v>
      </c>
      <c r="F10" s="20">
        <v>0.6503843082689833</v>
      </c>
      <c r="G10" s="20">
        <v>0.20590439180008732</v>
      </c>
      <c r="H10" s="20">
        <v>0</v>
      </c>
      <c r="I10" s="20">
        <v>6.3169651394860806E-3</v>
      </c>
      <c r="J10" s="20">
        <v>2.2371528494442679E-2</v>
      </c>
      <c r="K10" s="20">
        <v>0.11502129170436899</v>
      </c>
      <c r="L10" s="20">
        <v>0</v>
      </c>
    </row>
    <row r="11" spans="1:14">
      <c r="A11" s="2" t="s">
        <v>327</v>
      </c>
      <c r="B11" s="3" t="s">
        <v>328</v>
      </c>
      <c r="D11" s="20">
        <v>7.8722863665933973E-5</v>
      </c>
      <c r="E11" s="20">
        <v>0.85951274118673371</v>
      </c>
      <c r="F11" s="20">
        <v>0.62513684810063208</v>
      </c>
      <c r="G11" s="20">
        <v>0.22880770977386714</v>
      </c>
      <c r="H11" s="20">
        <v>0</v>
      </c>
      <c r="I11" s="20">
        <v>5.5681833122344492E-3</v>
      </c>
      <c r="J11" s="20">
        <v>2.4908190101497637E-2</v>
      </c>
      <c r="K11" s="20">
        <v>0.11550034584810268</v>
      </c>
      <c r="L11" s="20">
        <v>0</v>
      </c>
    </row>
    <row r="12" spans="1:14">
      <c r="A12" s="2" t="s">
        <v>329</v>
      </c>
      <c r="B12" s="3" t="s">
        <v>330</v>
      </c>
      <c r="D12" s="20">
        <v>5.2503462232431329E-5</v>
      </c>
      <c r="E12" s="20">
        <v>0.80051727206204504</v>
      </c>
      <c r="F12" s="20">
        <v>0.64159675373108749</v>
      </c>
      <c r="G12" s="20">
        <v>0.12121537608275489</v>
      </c>
      <c r="H12" s="20">
        <v>0</v>
      </c>
      <c r="I12" s="20">
        <v>3.7705142248202636E-2</v>
      </c>
      <c r="J12" s="20">
        <v>1.2933871318098906E-2</v>
      </c>
      <c r="K12" s="20">
        <v>0.1864963531576235</v>
      </c>
      <c r="L12" s="20">
        <v>0</v>
      </c>
    </row>
    <row r="13" spans="1:14">
      <c r="A13" s="2" t="s">
        <v>277</v>
      </c>
      <c r="B13" s="3" t="s">
        <v>278</v>
      </c>
      <c r="D13" s="20">
        <v>1.5624486374042162E-4</v>
      </c>
      <c r="E13" s="20">
        <v>0.76970794138627019</v>
      </c>
      <c r="F13" s="20">
        <v>0.59659548801452245</v>
      </c>
      <c r="G13" s="20">
        <v>0.11672812778644871</v>
      </c>
      <c r="H13" s="20">
        <v>0</v>
      </c>
      <c r="I13" s="20">
        <v>5.6384325585299044E-2</v>
      </c>
      <c r="J13" s="20">
        <v>1.2420914711628992E-2</v>
      </c>
      <c r="K13" s="20">
        <v>0.21771489903836055</v>
      </c>
      <c r="L13" s="20">
        <v>0</v>
      </c>
    </row>
    <row r="14" spans="1:14">
      <c r="A14" s="2" t="s">
        <v>331</v>
      </c>
      <c r="B14" s="3" t="s">
        <v>332</v>
      </c>
      <c r="D14" s="20">
        <v>5.2123724225451313E-5</v>
      </c>
      <c r="E14" s="20">
        <v>0.85201496671992794</v>
      </c>
      <c r="F14" s="20">
        <v>0.53902592467098143</v>
      </c>
      <c r="G14" s="20">
        <v>0.30931801082059196</v>
      </c>
      <c r="H14" s="20">
        <v>0</v>
      </c>
      <c r="I14" s="20">
        <v>3.6710312283545249E-3</v>
      </c>
      <c r="J14" s="20">
        <v>3.3876987663508322E-2</v>
      </c>
      <c r="K14" s="20">
        <v>0.11405592189233836</v>
      </c>
      <c r="L14" s="20">
        <v>0</v>
      </c>
    </row>
    <row r="15" spans="1:14">
      <c r="A15" s="2" t="s">
        <v>333</v>
      </c>
      <c r="B15" s="3" t="s">
        <v>334</v>
      </c>
      <c r="D15" s="20">
        <v>8.5786946288779527E-8</v>
      </c>
      <c r="E15" s="20">
        <v>0.86106228646108129</v>
      </c>
      <c r="F15" s="20">
        <v>0.63796290013152657</v>
      </c>
      <c r="G15" s="20">
        <v>0.21716557341680845</v>
      </c>
      <c r="H15" s="20">
        <v>0</v>
      </c>
      <c r="I15" s="20">
        <v>5.9338129127462797E-3</v>
      </c>
      <c r="J15" s="20">
        <v>2.3617899697005808E-2</v>
      </c>
      <c r="K15" s="20">
        <v>0.11531972805496651</v>
      </c>
      <c r="L15" s="20">
        <v>0</v>
      </c>
    </row>
    <row r="16" spans="1:14">
      <c r="A16" s="2" t="s">
        <v>335</v>
      </c>
      <c r="B16" s="3" t="s">
        <v>336</v>
      </c>
      <c r="D16" s="20">
        <v>4.0200545779443695E-4</v>
      </c>
      <c r="E16" s="20">
        <v>0.84760323814916694</v>
      </c>
      <c r="F16" s="20">
        <v>0.33628396871518995</v>
      </c>
      <c r="G16" s="20">
        <v>0.51003704340172706</v>
      </c>
      <c r="H16" s="20">
        <v>0</v>
      </c>
      <c r="I16" s="20">
        <v>1.2822260322499553E-3</v>
      </c>
      <c r="J16" s="20">
        <v>5.660223016942393E-2</v>
      </c>
      <c r="K16" s="20">
        <v>9.5392526223614729E-2</v>
      </c>
      <c r="L16" s="20">
        <v>0</v>
      </c>
    </row>
    <row r="17" spans="1:12">
      <c r="A17" s="2" t="s">
        <v>337</v>
      </c>
      <c r="B17" s="3" t="s">
        <v>338</v>
      </c>
      <c r="D17" s="20">
        <v>3.0303742316634201E-5</v>
      </c>
      <c r="E17" s="20">
        <v>0.8638584300872747</v>
      </c>
      <c r="F17" s="20">
        <v>0.66004033990176914</v>
      </c>
      <c r="G17" s="20">
        <v>0.19718144033401119</v>
      </c>
      <c r="H17" s="20">
        <v>0</v>
      </c>
      <c r="I17" s="20">
        <v>6.6366498514943946E-3</v>
      </c>
      <c r="J17" s="20">
        <v>2.1407239190283683E-2</v>
      </c>
      <c r="K17" s="20">
        <v>0.114704026980125</v>
      </c>
      <c r="L17" s="20">
        <v>0</v>
      </c>
    </row>
    <row r="18" spans="1:12">
      <c r="A18" s="2" t="s">
        <v>279</v>
      </c>
      <c r="B18" s="3" t="s">
        <v>280</v>
      </c>
      <c r="D18" s="20">
        <v>3.0178818803013483E-3</v>
      </c>
      <c r="E18" s="20">
        <v>0.74936928276345005</v>
      </c>
      <c r="F18" s="20">
        <v>0.56594789952329161</v>
      </c>
      <c r="G18" s="20">
        <v>0.11299832549229068</v>
      </c>
      <c r="H18" s="20">
        <v>0</v>
      </c>
      <c r="I18" s="20">
        <v>7.0423057747867779E-2</v>
      </c>
      <c r="J18" s="20">
        <v>1.2007761827998828E-2</v>
      </c>
      <c r="K18" s="20">
        <v>0.23560507352825008</v>
      </c>
      <c r="L18" s="20">
        <v>0</v>
      </c>
    </row>
    <row r="19" spans="1:12">
      <c r="A19" s="2" t="s">
        <v>339</v>
      </c>
      <c r="B19" s="3" t="s">
        <v>340</v>
      </c>
      <c r="D19" s="20">
        <v>3.0060566441614394E-7</v>
      </c>
      <c r="E19" s="20">
        <v>0.86076054895912635</v>
      </c>
      <c r="F19" s="20">
        <v>0.63543535484930813</v>
      </c>
      <c r="G19" s="20">
        <v>0.21946583925683646</v>
      </c>
      <c r="H19" s="20">
        <v>0</v>
      </c>
      <c r="I19" s="20">
        <v>5.8593548529817822E-3</v>
      </c>
      <c r="J19" s="20">
        <v>2.3872691997232607E-2</v>
      </c>
      <c r="K19" s="20">
        <v>0.11536645843797655</v>
      </c>
      <c r="L19" s="20">
        <v>0</v>
      </c>
    </row>
    <row r="20" spans="1:12">
      <c r="A20" s="2" t="s">
        <v>281</v>
      </c>
      <c r="B20" s="3" t="s">
        <v>282</v>
      </c>
      <c r="D20" s="20">
        <v>2.3651753236175284E-5</v>
      </c>
      <c r="E20" s="20">
        <v>0.76981001530492377</v>
      </c>
      <c r="F20" s="20">
        <v>0.59667460482758661</v>
      </c>
      <c r="G20" s="20">
        <v>0.11674360755062888</v>
      </c>
      <c r="H20" s="20">
        <v>0</v>
      </c>
      <c r="I20" s="20">
        <v>5.6391802926708257E-2</v>
      </c>
      <c r="J20" s="20">
        <v>1.2422561896710121E-2</v>
      </c>
      <c r="K20" s="20">
        <v>0.2177437710451299</v>
      </c>
      <c r="L20" s="20">
        <v>0</v>
      </c>
    </row>
    <row r="21" spans="1:12">
      <c r="A21" s="2" t="s">
        <v>341</v>
      </c>
      <c r="B21" s="3" t="s">
        <v>342</v>
      </c>
      <c r="D21" s="20">
        <v>4.3721511662092447E-4</v>
      </c>
      <c r="E21" s="20">
        <v>0.85354478665329325</v>
      </c>
      <c r="F21" s="20">
        <v>0.56489715053938339</v>
      </c>
      <c r="G21" s="20">
        <v>0.28448864674972524</v>
      </c>
      <c r="H21" s="20">
        <v>0</v>
      </c>
      <c r="I21" s="20">
        <v>4.1589893641845932E-3</v>
      </c>
      <c r="J21" s="20">
        <v>3.1102773689835859E-2</v>
      </c>
      <c r="K21" s="20">
        <v>0.11491522454025023</v>
      </c>
      <c r="L21" s="20">
        <v>0</v>
      </c>
    </row>
    <row r="22" spans="1:12">
      <c r="A22" s="2" t="s">
        <v>343</v>
      </c>
      <c r="B22" s="3" t="s">
        <v>344</v>
      </c>
      <c r="D22" s="20">
        <v>1.9570676373247054E-3</v>
      </c>
      <c r="E22" s="20">
        <v>0.71128886449397122</v>
      </c>
      <c r="F22" s="20">
        <v>0.11986159436532673</v>
      </c>
      <c r="G22" s="20">
        <v>3.1259037798507916E-2</v>
      </c>
      <c r="H22" s="20">
        <v>0</v>
      </c>
      <c r="I22" s="20">
        <v>0.56016823233013657</v>
      </c>
      <c r="J22" s="20">
        <v>3.5573366779627627E-3</v>
      </c>
      <c r="K22" s="20">
        <v>0.2831967311907414</v>
      </c>
      <c r="L22" s="20">
        <v>0</v>
      </c>
    </row>
    <row r="23" spans="1:12">
      <c r="A23" s="2" t="s">
        <v>345</v>
      </c>
      <c r="B23" s="3" t="s">
        <v>346</v>
      </c>
      <c r="D23" s="20">
        <v>8.3481685923832825E-5</v>
      </c>
      <c r="E23" s="20">
        <v>0.78223626331173268</v>
      </c>
      <c r="F23" s="20">
        <v>5.7209140889499389E-2</v>
      </c>
      <c r="G23" s="20">
        <v>1.6031013556717065E-2</v>
      </c>
      <c r="H23" s="20">
        <v>0</v>
      </c>
      <c r="I23" s="20">
        <v>0.70899610886551623</v>
      </c>
      <c r="J23" s="20">
        <v>2.0679154920897739E-3</v>
      </c>
      <c r="K23" s="20">
        <v>0.2156123395102538</v>
      </c>
      <c r="L23" s="20">
        <v>0</v>
      </c>
    </row>
    <row r="24" spans="1:12">
      <c r="A24" s="2" t="s">
        <v>347</v>
      </c>
      <c r="B24" s="3" t="s">
        <v>348</v>
      </c>
      <c r="D24" s="20">
        <v>7.1803861521055155E-5</v>
      </c>
      <c r="E24" s="20">
        <v>0.68135885646464756</v>
      </c>
      <c r="F24" s="20">
        <v>0.4176591646951488</v>
      </c>
      <c r="G24" s="20">
        <v>9.1099830922576383E-2</v>
      </c>
      <c r="H24" s="20">
        <v>0</v>
      </c>
      <c r="I24" s="20">
        <v>0.17259986084692236</v>
      </c>
      <c r="J24" s="20">
        <v>9.6605957891870171E-3</v>
      </c>
      <c r="K24" s="20">
        <v>0.30890874388464429</v>
      </c>
      <c r="L24" s="20">
        <v>0</v>
      </c>
    </row>
    <row r="25" spans="1:12">
      <c r="A25" s="2" t="s">
        <v>349</v>
      </c>
      <c r="B25" s="3" t="s">
        <v>350</v>
      </c>
      <c r="D25" s="20">
        <v>1.3105008482030028E-2</v>
      </c>
      <c r="E25" s="20">
        <v>0.82943302808281494</v>
      </c>
      <c r="F25" s="20">
        <v>0.68566427365811744</v>
      </c>
      <c r="G25" s="20">
        <v>0.12325571820116678</v>
      </c>
      <c r="H25" s="20">
        <v>0</v>
      </c>
      <c r="I25" s="20">
        <v>2.0513036223530769E-2</v>
      </c>
      <c r="J25" s="20">
        <v>1.32106729151768E-2</v>
      </c>
      <c r="K25" s="20">
        <v>0.14425129051997818</v>
      </c>
      <c r="L25" s="20">
        <v>0</v>
      </c>
    </row>
    <row r="26" spans="1:12">
      <c r="A26" s="2" t="s">
        <v>351</v>
      </c>
      <c r="B26" s="3" t="s">
        <v>352</v>
      </c>
      <c r="D26" s="20">
        <v>3.5136764834280343E-4</v>
      </c>
      <c r="E26" s="20">
        <v>0.8550116889682946</v>
      </c>
      <c r="F26" s="20">
        <v>0.58188342555536343</v>
      </c>
      <c r="G26" s="20">
        <v>0.26861579253065304</v>
      </c>
      <c r="H26" s="20">
        <v>0</v>
      </c>
      <c r="I26" s="20">
        <v>4.5124708822781639E-3</v>
      </c>
      <c r="J26" s="20">
        <v>2.9332996703917851E-2</v>
      </c>
      <c r="K26" s="20">
        <v>0.11530394667944478</v>
      </c>
      <c r="L26" s="20">
        <v>0</v>
      </c>
    </row>
    <row r="27" spans="1:12">
      <c r="A27" s="2" t="s">
        <v>353</v>
      </c>
      <c r="B27" s="3" t="s">
        <v>354</v>
      </c>
      <c r="D27" s="20">
        <v>2.347093973974008E-3</v>
      </c>
      <c r="E27" s="20">
        <v>0.84994555666655991</v>
      </c>
      <c r="F27" s="20">
        <v>0.24127076059669114</v>
      </c>
      <c r="G27" s="20">
        <v>0.60799533728361921</v>
      </c>
      <c r="H27" s="20">
        <v>0</v>
      </c>
      <c r="I27" s="20">
        <v>6.7945878624955957E-4</v>
      </c>
      <c r="J27" s="20">
        <v>6.7942255744537411E-2</v>
      </c>
      <c r="K27" s="20">
        <v>7.9765093614928659E-2</v>
      </c>
      <c r="L27" s="20">
        <v>0</v>
      </c>
    </row>
    <row r="28" spans="1:12">
      <c r="A28" s="2" t="s">
        <v>355</v>
      </c>
      <c r="B28" s="3" t="s">
        <v>356</v>
      </c>
      <c r="D28" s="20">
        <v>1.3056444698310307E-4</v>
      </c>
      <c r="E28" s="20">
        <v>0.84819336707431214</v>
      </c>
      <c r="F28" s="20">
        <v>0.45740314720325748</v>
      </c>
      <c r="G28" s="20">
        <v>0.38832442142725615</v>
      </c>
      <c r="H28" s="20">
        <v>0</v>
      </c>
      <c r="I28" s="20">
        <v>2.4657984437985248E-3</v>
      </c>
      <c r="J28" s="20">
        <v>4.2756143281933771E-2</v>
      </c>
      <c r="K28" s="20">
        <v>0.10891992519677104</v>
      </c>
      <c r="L28" s="20">
        <v>0</v>
      </c>
    </row>
    <row r="29" spans="1:12">
      <c r="A29" s="2" t="s">
        <v>357</v>
      </c>
      <c r="B29" s="3" t="s">
        <v>358</v>
      </c>
      <c r="D29" s="20">
        <v>2.6515707914422385E-2</v>
      </c>
      <c r="E29" s="20">
        <v>0.83003847648072315</v>
      </c>
      <c r="F29" s="20">
        <v>0.53330719297240625</v>
      </c>
      <c r="G29" s="20">
        <v>0.29300362716939832</v>
      </c>
      <c r="H29" s="20">
        <v>0</v>
      </c>
      <c r="I29" s="20">
        <v>3.7276563389185475E-3</v>
      </c>
      <c r="J29" s="20">
        <v>3.2071351548802751E-2</v>
      </c>
      <c r="K29" s="20">
        <v>0.11137446405605168</v>
      </c>
      <c r="L29" s="20">
        <v>0</v>
      </c>
    </row>
    <row r="30" spans="1:12">
      <c r="A30" s="2" t="s">
        <v>359</v>
      </c>
      <c r="B30" s="3" t="s">
        <v>360</v>
      </c>
      <c r="D30" s="20">
        <v>1.3056444698310307E-4</v>
      </c>
      <c r="E30" s="20">
        <v>0.84819336707431214</v>
      </c>
      <c r="F30" s="20">
        <v>0.45740314720325748</v>
      </c>
      <c r="G30" s="20">
        <v>0.38832442142725615</v>
      </c>
      <c r="H30" s="20">
        <v>0</v>
      </c>
      <c r="I30" s="20">
        <v>2.4657984437985248E-3</v>
      </c>
      <c r="J30" s="20">
        <v>4.2756143281933771E-2</v>
      </c>
      <c r="K30" s="20">
        <v>0.10891992519677104</v>
      </c>
      <c r="L30" s="20">
        <v>0</v>
      </c>
    </row>
    <row r="31" spans="1:12">
      <c r="A31" s="2" t="s">
        <v>283</v>
      </c>
      <c r="B31" s="3" t="s">
        <v>284</v>
      </c>
      <c r="D31" s="20">
        <v>2.6202028340844328E-8</v>
      </c>
      <c r="E31" s="20">
        <v>0.97602711954399723</v>
      </c>
      <c r="F31" s="20">
        <v>6.000799647472349E-4</v>
      </c>
      <c r="G31" s="20">
        <v>2.4082672642350699E-4</v>
      </c>
      <c r="H31" s="20">
        <v>0</v>
      </c>
      <c r="I31" s="20">
        <v>0.97518621285282647</v>
      </c>
      <c r="J31" s="20">
        <v>6.1584069426292231E-4</v>
      </c>
      <c r="K31" s="20">
        <v>2.3357013559711391E-2</v>
      </c>
      <c r="L31" s="20">
        <v>0</v>
      </c>
    </row>
    <row r="32" spans="1:12">
      <c r="A32" s="2" t="s">
        <v>361</v>
      </c>
      <c r="B32" s="3" t="s">
        <v>362</v>
      </c>
      <c r="D32" s="20">
        <v>2.1234157745670017E-8</v>
      </c>
      <c r="E32" s="20">
        <v>0.67444322993396399</v>
      </c>
      <c r="F32" s="20">
        <v>0.19430650684473449</v>
      </c>
      <c r="G32" s="20">
        <v>4.7907775500901195E-2</v>
      </c>
      <c r="H32" s="20">
        <v>0</v>
      </c>
      <c r="I32" s="20">
        <v>0.4322289475883283</v>
      </c>
      <c r="J32" s="20">
        <v>5.2849962642246102E-3</v>
      </c>
      <c r="K32" s="20">
        <v>0.32027175256765356</v>
      </c>
      <c r="L32" s="20">
        <v>0</v>
      </c>
    </row>
    <row r="33" spans="1:12">
      <c r="A33" s="2" t="s">
        <v>364</v>
      </c>
      <c r="B33" s="3" t="s">
        <v>365</v>
      </c>
      <c r="D33" s="20">
        <v>1.2064291955989004E-10</v>
      </c>
      <c r="E33" s="20">
        <v>0.99932828361015902</v>
      </c>
      <c r="F33" s="20">
        <v>4.1997187438353387E-3</v>
      </c>
      <c r="G33" s="20">
        <v>1.2842439521807855E-6</v>
      </c>
      <c r="H33" s="20">
        <v>0</v>
      </c>
      <c r="I33" s="20">
        <v>0.99512728062237155</v>
      </c>
      <c r="J33" s="20">
        <v>6.1462625385092461E-4</v>
      </c>
      <c r="K33" s="20">
        <v>5.7090015347011975E-5</v>
      </c>
      <c r="L33" s="20">
        <v>0</v>
      </c>
    </row>
    <row r="34" spans="1:12">
      <c r="A34" s="2" t="s">
        <v>285</v>
      </c>
      <c r="B34" s="3" t="s">
        <v>286</v>
      </c>
      <c r="D34" s="20">
        <v>3.5851426894892401E-10</v>
      </c>
      <c r="E34" s="20">
        <v>0.99868608414271343</v>
      </c>
      <c r="F34" s="20">
        <v>0.45164207458662392</v>
      </c>
      <c r="G34" s="20">
        <v>3.7091030610003038E-5</v>
      </c>
      <c r="H34" s="20">
        <v>0</v>
      </c>
      <c r="I34" s="20">
        <v>0.54700691852547956</v>
      </c>
      <c r="J34" s="20">
        <v>1.1194773259154249E-3</v>
      </c>
      <c r="K34" s="20">
        <v>1.9443817285660483E-4</v>
      </c>
      <c r="L34" s="20">
        <v>0</v>
      </c>
    </row>
    <row r="35" spans="1:12">
      <c r="A35" s="2" t="s">
        <v>287</v>
      </c>
      <c r="B35" s="3" t="s">
        <v>288</v>
      </c>
      <c r="D35" s="20">
        <v>1.0441043045955978E-11</v>
      </c>
      <c r="E35" s="20">
        <v>0.99821774225519344</v>
      </c>
      <c r="F35" s="20">
        <v>0.67431412067253793</v>
      </c>
      <c r="G35" s="20">
        <v>1.3058388251221492E-4</v>
      </c>
      <c r="H35" s="20">
        <v>0</v>
      </c>
      <c r="I35" s="20">
        <v>0.32377303770014332</v>
      </c>
      <c r="J35" s="20">
        <v>1.3117116027285033E-3</v>
      </c>
      <c r="K35" s="20">
        <v>4.7054613163707078E-4</v>
      </c>
      <c r="L35" s="20">
        <v>0</v>
      </c>
    </row>
    <row r="36" spans="1:12">
      <c r="A36" s="2" t="s">
        <v>366</v>
      </c>
      <c r="B36" s="3" t="s">
        <v>305</v>
      </c>
      <c r="D36" s="20">
        <v>1.8404998735832246E-8</v>
      </c>
      <c r="E36" s="20">
        <v>0.99805221448602688</v>
      </c>
      <c r="F36" s="20">
        <v>0.88980946300188202</v>
      </c>
      <c r="G36" s="20">
        <v>2.547644367690467E-4</v>
      </c>
      <c r="H36" s="20">
        <v>0</v>
      </c>
      <c r="I36" s="20">
        <v>0.10798798704737578</v>
      </c>
      <c r="J36" s="20">
        <v>1.4219297546960493E-3</v>
      </c>
      <c r="K36" s="20">
        <v>5.2583735427840059E-4</v>
      </c>
      <c r="L36" s="20">
        <v>0</v>
      </c>
    </row>
    <row r="37" spans="1:12">
      <c r="A37" s="2" t="s">
        <v>289</v>
      </c>
      <c r="B37" s="3" t="s">
        <v>290</v>
      </c>
      <c r="D37" s="20">
        <v>4.1786090507925666E-15</v>
      </c>
      <c r="E37" s="20">
        <v>0.92594723064255058</v>
      </c>
      <c r="F37" s="20">
        <v>0.69478776476868831</v>
      </c>
      <c r="G37" s="20">
        <v>2.37203811334997E-2</v>
      </c>
      <c r="H37" s="20">
        <v>0</v>
      </c>
      <c r="I37" s="20">
        <v>0.20743908474036257</v>
      </c>
      <c r="J37" s="20">
        <v>3.5454353811806279E-3</v>
      </c>
      <c r="K37" s="20">
        <v>7.0507333976264561E-2</v>
      </c>
      <c r="L37" s="20">
        <v>0</v>
      </c>
    </row>
    <row r="38" spans="1:12">
      <c r="A38" s="2" t="s">
        <v>291</v>
      </c>
      <c r="B38" s="3" t="s">
        <v>292</v>
      </c>
      <c r="D38" s="20">
        <v>1.2068461040796601E-12</v>
      </c>
      <c r="E38" s="20">
        <v>0.99703780765909078</v>
      </c>
      <c r="F38" s="20">
        <v>0.38414687139205067</v>
      </c>
      <c r="G38" s="20">
        <v>3.2093297960534802E-4</v>
      </c>
      <c r="H38" s="20">
        <v>0</v>
      </c>
      <c r="I38" s="20">
        <v>0.61257000328743472</v>
      </c>
      <c r="J38" s="20">
        <v>1.0814600592068549E-3</v>
      </c>
      <c r="K38" s="20">
        <v>1.8807322804955651E-3</v>
      </c>
      <c r="L38" s="20">
        <v>0</v>
      </c>
    </row>
    <row r="39" spans="1:12">
      <c r="A39" s="2" t="s">
        <v>367</v>
      </c>
      <c r="B39" s="3" t="s">
        <v>368</v>
      </c>
      <c r="D39" s="20">
        <v>1.4349314662259888E-5</v>
      </c>
      <c r="E39" s="20">
        <v>0.87701917706539334</v>
      </c>
      <c r="F39" s="20">
        <v>0.73791336127387575</v>
      </c>
      <c r="G39" s="20">
        <v>0.12888457075683793</v>
      </c>
      <c r="H39" s="20">
        <v>0</v>
      </c>
      <c r="I39" s="20">
        <v>1.0221245034679652E-2</v>
      </c>
      <c r="J39" s="20">
        <v>1.3894402449031432E-2</v>
      </c>
      <c r="K39" s="20">
        <v>0.109072071170913</v>
      </c>
      <c r="L39" s="20">
        <v>0</v>
      </c>
    </row>
    <row r="40" spans="1:12">
      <c r="A40" s="2" t="s">
        <v>369</v>
      </c>
      <c r="B40" s="3" t="s">
        <v>370</v>
      </c>
      <c r="D40" s="20">
        <v>8.4859876486188381E-13</v>
      </c>
      <c r="E40" s="20">
        <v>0.90613096684005934</v>
      </c>
      <c r="F40" s="20">
        <v>0.84413515312640497</v>
      </c>
      <c r="G40" s="20">
        <v>6.1070624817064788E-2</v>
      </c>
      <c r="H40" s="20">
        <v>0</v>
      </c>
      <c r="I40" s="20">
        <v>9.2518889658956081E-4</v>
      </c>
      <c r="J40" s="20">
        <v>9.1213541180666879E-2</v>
      </c>
      <c r="K40" s="20">
        <v>2.6554919784252387E-3</v>
      </c>
      <c r="L40" s="20">
        <v>0</v>
      </c>
    </row>
    <row r="41" spans="1:12">
      <c r="A41" s="2" t="s">
        <v>371</v>
      </c>
      <c r="B41" s="3" t="s">
        <v>372</v>
      </c>
      <c r="D41" s="20">
        <v>8.1761391461365629E-2</v>
      </c>
      <c r="E41" s="20">
        <v>0.9131053037608553</v>
      </c>
      <c r="F41" s="20">
        <v>2.7952617956194217E-5</v>
      </c>
      <c r="G41" s="20">
        <v>1.3993232310303416E-5</v>
      </c>
      <c r="H41" s="20">
        <v>0</v>
      </c>
      <c r="I41" s="20">
        <v>0.91306335791058879</v>
      </c>
      <c r="J41" s="20">
        <v>5.5578030614969389E-4</v>
      </c>
      <c r="K41" s="20">
        <v>4.5775244716294607E-3</v>
      </c>
      <c r="L41" s="20">
        <v>0</v>
      </c>
    </row>
    <row r="42" spans="1:12">
      <c r="A42" s="2" t="s">
        <v>293</v>
      </c>
      <c r="B42" s="3" t="s">
        <v>294</v>
      </c>
      <c r="D42" s="20">
        <v>1.746379277160505E-8</v>
      </c>
      <c r="E42" s="20">
        <v>0.69879671747524608</v>
      </c>
      <c r="F42" s="20">
        <v>0.14009182217972557</v>
      </c>
      <c r="G42" s="20">
        <v>3.5934229699294253E-2</v>
      </c>
      <c r="H42" s="20">
        <v>0</v>
      </c>
      <c r="I42" s="20">
        <v>0.5227706655962262</v>
      </c>
      <c r="J42" s="20">
        <v>4.0223126985752863E-3</v>
      </c>
      <c r="K42" s="20">
        <v>0.2971809523623859</v>
      </c>
      <c r="L42" s="20">
        <v>0</v>
      </c>
    </row>
    <row r="43" spans="1:12">
      <c r="A43" s="2" t="s">
        <v>373</v>
      </c>
      <c r="B43" s="3" t="s">
        <v>374</v>
      </c>
      <c r="D43" s="20">
        <v>4.3013560173653675E-8</v>
      </c>
      <c r="E43" s="20">
        <v>0.99668925542641995</v>
      </c>
      <c r="F43" s="20">
        <v>0.98706390972689806</v>
      </c>
      <c r="G43" s="20">
        <v>8.3342628707757207E-4</v>
      </c>
      <c r="H43" s="20">
        <v>0</v>
      </c>
      <c r="I43" s="20">
        <v>8.7919194124443222E-3</v>
      </c>
      <c r="J43" s="20">
        <v>2.8899944759292143E-3</v>
      </c>
      <c r="K43" s="20">
        <v>4.2070708409037153E-4</v>
      </c>
      <c r="L43" s="20">
        <v>0</v>
      </c>
    </row>
    <row r="44" spans="1:12">
      <c r="A44" s="2" t="s">
        <v>375</v>
      </c>
      <c r="B44" s="3" t="s">
        <v>376</v>
      </c>
      <c r="D44" s="20">
        <v>8.506980310494773E-2</v>
      </c>
      <c r="E44" s="20">
        <v>0.78673461749523699</v>
      </c>
      <c r="F44" s="20">
        <v>1.944686693335098E-2</v>
      </c>
      <c r="G44" s="20">
        <v>5.9312359073782472E-3</v>
      </c>
      <c r="H44" s="20">
        <v>0</v>
      </c>
      <c r="I44" s="20">
        <v>0.76135651465450771</v>
      </c>
      <c r="J44" s="20">
        <v>1.0627160666971387E-3</v>
      </c>
      <c r="K44" s="20">
        <v>0.12713286333311807</v>
      </c>
      <c r="L44" s="20">
        <v>0</v>
      </c>
    </row>
    <row r="45" spans="1:12">
      <c r="A45" s="2" t="s">
        <v>377</v>
      </c>
      <c r="B45" s="3" t="s">
        <v>378</v>
      </c>
      <c r="D45" s="20">
        <v>6.6409880967939516E-4</v>
      </c>
      <c r="E45" s="20">
        <v>0.68732601087579615</v>
      </c>
      <c r="F45" s="20">
        <v>0.15955371355990608</v>
      </c>
      <c r="G45" s="20">
        <v>4.0327608848637647E-2</v>
      </c>
      <c r="H45" s="20">
        <v>0</v>
      </c>
      <c r="I45" s="20">
        <v>0.48744468846725236</v>
      </c>
      <c r="J45" s="20">
        <v>4.4603355548029824E-3</v>
      </c>
      <c r="K45" s="20">
        <v>0.30754955475972157</v>
      </c>
      <c r="L45" s="20">
        <v>0</v>
      </c>
    </row>
    <row r="46" spans="1:12">
      <c r="A46" s="2" t="s">
        <v>379</v>
      </c>
      <c r="B46" s="3" t="s">
        <v>380</v>
      </c>
      <c r="D46" s="20">
        <v>1.9973982876278782E-3</v>
      </c>
      <c r="E46" s="20">
        <v>0.6931174387288711</v>
      </c>
      <c r="F46" s="20">
        <v>0.14693961178766188</v>
      </c>
      <c r="G46" s="20">
        <v>3.7483008678977532E-2</v>
      </c>
      <c r="H46" s="20">
        <v>0</v>
      </c>
      <c r="I46" s="20">
        <v>0.50869481826223173</v>
      </c>
      <c r="J46" s="20">
        <v>4.175714563842965E-3</v>
      </c>
      <c r="K46" s="20">
        <v>0.30070944841965813</v>
      </c>
      <c r="L46" s="20">
        <v>0</v>
      </c>
    </row>
    <row r="47" spans="1:12">
      <c r="A47" s="2" t="s">
        <v>381</v>
      </c>
      <c r="B47" s="3" t="s">
        <v>382</v>
      </c>
      <c r="D47" s="20">
        <v>3.9876162108416099E-8</v>
      </c>
      <c r="E47" s="20">
        <v>0.85275296508327347</v>
      </c>
      <c r="F47" s="20">
        <v>0.22971405475862525</v>
      </c>
      <c r="G47" s="20">
        <v>0.62241940364494297</v>
      </c>
      <c r="H47" s="20">
        <v>0</v>
      </c>
      <c r="I47" s="20">
        <v>6.1950667970526692E-4</v>
      </c>
      <c r="J47" s="20">
        <v>6.9623042350628744E-2</v>
      </c>
      <c r="K47" s="20">
        <v>7.7623952689935591E-2</v>
      </c>
      <c r="L47" s="20">
        <v>0</v>
      </c>
    </row>
    <row r="48" spans="1:12">
      <c r="A48" s="2" t="s">
        <v>383</v>
      </c>
      <c r="B48" s="3" t="s">
        <v>384</v>
      </c>
      <c r="D48" s="20">
        <v>1.1763674573922571E-2</v>
      </c>
      <c r="E48" s="20">
        <v>0.91094812286750548</v>
      </c>
      <c r="F48" s="20">
        <v>6.280832574084726E-3</v>
      </c>
      <c r="G48" s="20">
        <v>2.1082046751929721E-3</v>
      </c>
      <c r="H48" s="20">
        <v>0</v>
      </c>
      <c r="I48" s="20">
        <v>0.90255908561822773</v>
      </c>
      <c r="J48" s="20">
        <v>7.5931459871718941E-4</v>
      </c>
      <c r="K48" s="20">
        <v>7.6528887959854852E-2</v>
      </c>
      <c r="L48" s="20">
        <v>0</v>
      </c>
    </row>
    <row r="49" spans="1:12">
      <c r="A49" s="2" t="s">
        <v>385</v>
      </c>
      <c r="B49" s="3" t="s">
        <v>386</v>
      </c>
      <c r="D49" s="20">
        <v>2.1962386314007005E-2</v>
      </c>
      <c r="E49" s="20">
        <v>0.87600412239905545</v>
      </c>
      <c r="F49" s="20">
        <v>1.1198342373960045E-2</v>
      </c>
      <c r="G49" s="20">
        <v>3.5896267812394384E-3</v>
      </c>
      <c r="H49" s="20">
        <v>0</v>
      </c>
      <c r="I49" s="20">
        <v>0.86121615324385592</v>
      </c>
      <c r="J49" s="20">
        <v>8.8441356056266477E-4</v>
      </c>
      <c r="K49" s="20">
        <v>0.10114907772637503</v>
      </c>
      <c r="L49" s="20">
        <v>0</v>
      </c>
    </row>
    <row r="50" spans="1:12">
      <c r="A50" s="2" t="s">
        <v>387</v>
      </c>
      <c r="B50" s="3" t="s">
        <v>388</v>
      </c>
      <c r="D50" s="20">
        <v>6.5189603934968513E-3</v>
      </c>
      <c r="E50" s="20">
        <v>0.74182257588138367</v>
      </c>
      <c r="F50" s="20">
        <v>0.55571556022064927</v>
      </c>
      <c r="G50" s="20">
        <v>0.11157017459881766</v>
      </c>
      <c r="H50" s="20">
        <v>0</v>
      </c>
      <c r="I50" s="20">
        <v>7.4536841061916798E-2</v>
      </c>
      <c r="J50" s="20">
        <v>1.1852078183421563E-2</v>
      </c>
      <c r="K50" s="20">
        <v>0.23980638554169781</v>
      </c>
      <c r="L50" s="20">
        <v>0</v>
      </c>
    </row>
    <row r="51" spans="1:12">
      <c r="A51" s="2" t="s">
        <v>295</v>
      </c>
      <c r="B51" s="3" t="s">
        <v>296</v>
      </c>
      <c r="D51" s="20">
        <v>6.5515022453538865E-2</v>
      </c>
      <c r="E51" s="20">
        <v>0.90433019350664734</v>
      </c>
      <c r="F51" s="20">
        <v>1.0125468084210489E-3</v>
      </c>
      <c r="G51" s="20">
        <v>3.8878604177519584E-4</v>
      </c>
      <c r="H51" s="20">
        <v>0</v>
      </c>
      <c r="I51" s="20">
        <v>0.90292886065645106</v>
      </c>
      <c r="J51" s="20">
        <v>5.8669243597674785E-4</v>
      </c>
      <c r="K51" s="20">
        <v>2.9568091603837048E-2</v>
      </c>
      <c r="L51" s="20">
        <v>0</v>
      </c>
    </row>
    <row r="52" spans="1:12">
      <c r="A52" s="2" t="s">
        <v>389</v>
      </c>
      <c r="B52" s="3" t="s">
        <v>390</v>
      </c>
      <c r="D52" s="20">
        <v>6.8851680048090419E-2</v>
      </c>
      <c r="E52" s="20">
        <v>0.76497414887313497</v>
      </c>
      <c r="F52" s="20">
        <v>3.3588356714226129E-2</v>
      </c>
      <c r="G52" s="20">
        <v>9.801314214190537E-3</v>
      </c>
      <c r="H52" s="20">
        <v>0</v>
      </c>
      <c r="I52" s="20">
        <v>0.72158447794471836</v>
      </c>
      <c r="J52" s="20">
        <v>1.4349748356098885E-3</v>
      </c>
      <c r="K52" s="20">
        <v>0.16473919624316458</v>
      </c>
      <c r="L52" s="20">
        <v>0</v>
      </c>
    </row>
    <row r="53" spans="1:12">
      <c r="A53" s="2" t="s">
        <v>391</v>
      </c>
      <c r="B53" s="3" t="s">
        <v>392</v>
      </c>
      <c r="D53" s="20">
        <v>1.9581781267749747E-3</v>
      </c>
      <c r="E53" s="20">
        <v>0.66278484556011308</v>
      </c>
      <c r="F53" s="20">
        <v>0.23042330951246104</v>
      </c>
      <c r="G53" s="20">
        <v>5.5618844930119177E-2</v>
      </c>
      <c r="H53" s="20">
        <v>0</v>
      </c>
      <c r="I53" s="20">
        <v>0.37674269111753284</v>
      </c>
      <c r="J53" s="20">
        <v>6.0002954206477442E-3</v>
      </c>
      <c r="K53" s="20">
        <v>0.32925668089246435</v>
      </c>
      <c r="L53" s="20">
        <v>0</v>
      </c>
    </row>
    <row r="54" spans="1:12">
      <c r="A54" s="2" t="s">
        <v>393</v>
      </c>
      <c r="B54" s="3" t="s">
        <v>394</v>
      </c>
      <c r="D54" s="20">
        <v>1.8430918878115294E-4</v>
      </c>
      <c r="E54" s="20">
        <v>0.84992936232735772</v>
      </c>
      <c r="F54" s="20">
        <v>0.27505605037258429</v>
      </c>
      <c r="G54" s="20">
        <v>0.57400643066764845</v>
      </c>
      <c r="H54" s="20">
        <v>0</v>
      </c>
      <c r="I54" s="20">
        <v>8.6688128712496401E-4</v>
      </c>
      <c r="J54" s="20">
        <v>6.3979163246221882E-2</v>
      </c>
      <c r="K54" s="20">
        <v>8.5907165237639097E-2</v>
      </c>
      <c r="L54" s="20">
        <v>0</v>
      </c>
    </row>
    <row r="55" spans="1:12">
      <c r="A55" s="2" t="s">
        <v>395</v>
      </c>
      <c r="B55" s="3" t="s">
        <v>396</v>
      </c>
      <c r="D55" s="20">
        <v>0.1320099918908155</v>
      </c>
      <c r="E55" s="20">
        <v>0.59754173452233683</v>
      </c>
      <c r="F55" s="20">
        <v>0.38026032869897303</v>
      </c>
      <c r="G55" s="20">
        <v>8.2030729667726607E-2</v>
      </c>
      <c r="H55" s="20">
        <v>0</v>
      </c>
      <c r="I55" s="20">
        <v>0.13525067615563721</v>
      </c>
      <c r="J55" s="20">
        <v>8.6967578829953984E-3</v>
      </c>
      <c r="K55" s="20">
        <v>0.2617515157038523</v>
      </c>
      <c r="L55" s="20">
        <v>0</v>
      </c>
    </row>
    <row r="56" spans="1:12">
      <c r="A56" s="2" t="s">
        <v>397</v>
      </c>
      <c r="B56" s="3" t="s">
        <v>398</v>
      </c>
      <c r="D56" s="20">
        <v>0.60109636451840176</v>
      </c>
      <c r="E56" s="20">
        <v>0.3174537471254269</v>
      </c>
      <c r="F56" s="20">
        <v>0.25329015876748884</v>
      </c>
      <c r="G56" s="20">
        <v>4.8118698436628617E-2</v>
      </c>
      <c r="H56" s="20">
        <v>0</v>
      </c>
      <c r="I56" s="20">
        <v>1.6044889921309459E-2</v>
      </c>
      <c r="J56" s="20">
        <v>5.1319724463719709E-3</v>
      </c>
      <c r="K56" s="20">
        <v>7.6317915909799403E-2</v>
      </c>
      <c r="L56" s="20">
        <v>0</v>
      </c>
    </row>
    <row r="57" spans="1:12">
      <c r="A57" s="2" t="s">
        <v>399</v>
      </c>
      <c r="B57" s="3" t="s">
        <v>400</v>
      </c>
      <c r="D57" s="20">
        <v>0.76486287546152465</v>
      </c>
      <c r="E57" s="20">
        <v>0.16598210144982761</v>
      </c>
      <c r="F57" s="20">
        <v>0.11309874785111826</v>
      </c>
      <c r="G57" s="20">
        <v>2.3820635964882465E-2</v>
      </c>
      <c r="H57" s="20">
        <v>0</v>
      </c>
      <c r="I57" s="20">
        <v>2.9062717633826882E-2</v>
      </c>
      <c r="J57" s="20">
        <v>2.525610780281161E-3</v>
      </c>
      <c r="K57" s="20">
        <v>6.6629412308366567E-2</v>
      </c>
      <c r="L57" s="20">
        <v>0</v>
      </c>
    </row>
    <row r="58" spans="1:12">
      <c r="A58" s="2" t="s">
        <v>297</v>
      </c>
      <c r="B58" s="3" t="s">
        <v>298</v>
      </c>
      <c r="D58" s="20">
        <v>0.93155641033409731</v>
      </c>
      <c r="E58" s="20">
        <v>6.0460559983600323E-2</v>
      </c>
      <c r="F58" s="20">
        <v>9.8783264353917411E-4</v>
      </c>
      <c r="G58" s="20">
        <v>3.1087008287235095E-4</v>
      </c>
      <c r="H58" s="20">
        <v>0</v>
      </c>
      <c r="I58" s="20">
        <v>5.9161857257188796E-2</v>
      </c>
      <c r="J58" s="20">
        <v>6.7288979456763399E-5</v>
      </c>
      <c r="K58" s="20">
        <v>7.9157407028453836E-3</v>
      </c>
      <c r="L58" s="20">
        <v>0</v>
      </c>
    </row>
    <row r="59" spans="1:12">
      <c r="A59" s="2" t="s">
        <v>401</v>
      </c>
      <c r="B59" s="3" t="s">
        <v>402</v>
      </c>
      <c r="D59" s="20">
        <v>0.90828879122425632</v>
      </c>
      <c r="E59" s="20">
        <v>6.4346693321667023E-2</v>
      </c>
      <c r="F59" s="20">
        <v>4.3221334268295004E-2</v>
      </c>
      <c r="G59" s="20">
        <v>9.1536378254507798E-3</v>
      </c>
      <c r="H59" s="20">
        <v>0</v>
      </c>
      <c r="I59" s="20">
        <v>1.1971721227921239E-2</v>
      </c>
      <c r="J59" s="20">
        <v>9.7044597385818269E-4</v>
      </c>
      <c r="K59" s="20">
        <v>2.6394069480218395E-2</v>
      </c>
      <c r="L59" s="20">
        <v>0</v>
      </c>
    </row>
    <row r="60" spans="1:12">
      <c r="A60" s="2" t="s">
        <v>299</v>
      </c>
      <c r="B60" s="3" t="s">
        <v>300</v>
      </c>
      <c r="D60" s="20">
        <v>0.99802545583444091</v>
      </c>
      <c r="E60" s="20">
        <v>1.3154754149039176E-3</v>
      </c>
      <c r="F60" s="20">
        <v>7.0829770321346357E-4</v>
      </c>
      <c r="G60" s="20">
        <v>1.5940846832687071E-4</v>
      </c>
      <c r="H60" s="20">
        <v>0</v>
      </c>
      <c r="I60" s="20">
        <v>4.4776924336358323E-4</v>
      </c>
      <c r="J60" s="20">
        <v>1.6937184818898027E-5</v>
      </c>
      <c r="K60" s="20">
        <v>6.4213156583605357E-4</v>
      </c>
      <c r="L60" s="20">
        <v>0</v>
      </c>
    </row>
    <row r="61" spans="1:12">
      <c r="A61" s="2" t="s">
        <v>403</v>
      </c>
      <c r="B61" s="3" t="s">
        <v>404</v>
      </c>
      <c r="D61" s="20">
        <v>4.4421258588341313E-44</v>
      </c>
      <c r="E61" s="20">
        <v>0.65971722174951664</v>
      </c>
      <c r="F61" s="20">
        <v>0.30666560855642683</v>
      </c>
      <c r="G61" s="20">
        <v>7.0951344490496726E-2</v>
      </c>
      <c r="H61" s="20">
        <v>0</v>
      </c>
      <c r="I61" s="20">
        <v>0.28210026870259308</v>
      </c>
      <c r="J61" s="20">
        <v>7.5671046962650385E-3</v>
      </c>
      <c r="K61" s="20">
        <v>0.33271567355421822</v>
      </c>
      <c r="L61" s="20">
        <v>0</v>
      </c>
    </row>
    <row r="62" spans="1:12">
      <c r="A62" s="2" t="s">
        <v>405</v>
      </c>
      <c r="B62" s="3" t="s">
        <v>406</v>
      </c>
      <c r="D62" s="20">
        <v>1.0450931191751668E-7</v>
      </c>
      <c r="E62" s="20">
        <v>0.85244744003479578</v>
      </c>
      <c r="F62" s="20">
        <v>0.54491555242630241</v>
      </c>
      <c r="G62" s="20">
        <v>0.30375592548772418</v>
      </c>
      <c r="H62" s="20">
        <v>0</v>
      </c>
      <c r="I62" s="20">
        <v>3.7759621207691528E-3</v>
      </c>
      <c r="J62" s="20">
        <v>3.3254782307328423E-2</v>
      </c>
      <c r="K62" s="20">
        <v>0.11429767314856396</v>
      </c>
      <c r="L62" s="20">
        <v>0</v>
      </c>
    </row>
    <row r="63" spans="1:12">
      <c r="A63" s="2" t="s">
        <v>407</v>
      </c>
      <c r="B63" s="3" t="s">
        <v>408</v>
      </c>
      <c r="D63" s="20">
        <v>2.4456733946763595E-5</v>
      </c>
      <c r="E63" s="20">
        <v>0.85851136505207248</v>
      </c>
      <c r="F63" s="20">
        <v>0.16352067605219348</v>
      </c>
      <c r="G63" s="20">
        <v>0.69465350178458962</v>
      </c>
      <c r="H63" s="20">
        <v>0</v>
      </c>
      <c r="I63" s="20">
        <v>3.3718721528933245E-4</v>
      </c>
      <c r="J63" s="20">
        <v>7.8182081531786823E-2</v>
      </c>
      <c r="K63" s="20">
        <v>6.328209668219395E-2</v>
      </c>
      <c r="L63" s="20">
        <v>0</v>
      </c>
    </row>
    <row r="64" spans="1:12">
      <c r="A64" s="2" t="s">
        <v>409</v>
      </c>
      <c r="B64" s="3" t="s">
        <v>410</v>
      </c>
      <c r="D64" s="20">
        <v>3.0147029305520232E-6</v>
      </c>
      <c r="E64" s="20">
        <v>0.86877431537974226</v>
      </c>
      <c r="F64" s="20">
        <v>8.7724062977840356E-2</v>
      </c>
      <c r="G64" s="20">
        <v>0.78093393165994751</v>
      </c>
      <c r="H64" s="20">
        <v>0</v>
      </c>
      <c r="I64" s="20">
        <v>1.1632074195441875E-4</v>
      </c>
      <c r="J64" s="20">
        <v>8.8787404397002709E-2</v>
      </c>
      <c r="K64" s="20">
        <v>4.2435265520324672E-2</v>
      </c>
      <c r="L64" s="20">
        <v>0</v>
      </c>
    </row>
    <row r="65" spans="1:12">
      <c r="A65" s="2" t="s">
        <v>301</v>
      </c>
      <c r="B65" s="3" t="s">
        <v>302</v>
      </c>
      <c r="D65" s="20">
        <v>3.7131642432694145E-7</v>
      </c>
      <c r="E65" s="20">
        <v>0.87835283094266325</v>
      </c>
      <c r="F65" s="20">
        <v>4.0571248695593858E-2</v>
      </c>
      <c r="G65" s="20">
        <v>0.83774902281655195</v>
      </c>
      <c r="H65" s="20">
        <v>0</v>
      </c>
      <c r="I65" s="20">
        <v>3.2559430517425615E-5</v>
      </c>
      <c r="J65" s="20">
        <v>9.635227086692337E-2</v>
      </c>
      <c r="K65" s="20">
        <v>2.5294526873988744E-2</v>
      </c>
      <c r="L65" s="20">
        <v>0</v>
      </c>
    </row>
    <row r="66" spans="1:12">
      <c r="A66" s="2" t="s">
        <v>303</v>
      </c>
      <c r="B66" s="3" t="s">
        <v>304</v>
      </c>
      <c r="D66" s="20">
        <v>3.5898225575234039E-13</v>
      </c>
      <c r="E66" s="20">
        <v>0.87329511783390135</v>
      </c>
      <c r="F66" s="20">
        <v>6.330633872072032E-2</v>
      </c>
      <c r="G66" s="20">
        <v>0.80992117305375999</v>
      </c>
      <c r="H66" s="20">
        <v>0</v>
      </c>
      <c r="I66" s="20">
        <v>6.7606059420993397E-5</v>
      </c>
      <c r="J66" s="20">
        <v>9.2541930772869305E-2</v>
      </c>
      <c r="K66" s="20">
        <v>3.4162951392870455E-2</v>
      </c>
      <c r="L66" s="20">
        <v>0</v>
      </c>
    </row>
    <row r="67" spans="1:12">
      <c r="A67" s="2" t="s">
        <v>411</v>
      </c>
      <c r="B67" s="3" t="s">
        <v>412</v>
      </c>
      <c r="D67" s="20">
        <v>4.6519302977491191E-3</v>
      </c>
      <c r="E67" s="20">
        <v>0.84379982324693503</v>
      </c>
      <c r="F67" s="20">
        <v>2.5299236432549683E-2</v>
      </c>
      <c r="G67" s="20">
        <v>7.6033147502780349E-3</v>
      </c>
      <c r="H67" s="20">
        <v>0</v>
      </c>
      <c r="I67" s="20">
        <v>0.81089727206410733</v>
      </c>
      <c r="J67" s="20">
        <v>1.263258912276101E-3</v>
      </c>
      <c r="K67" s="20">
        <v>0.15028498754303973</v>
      </c>
      <c r="L67" s="20">
        <v>0</v>
      </c>
    </row>
    <row r="68" spans="1:12">
      <c r="A68" s="2" t="s">
        <v>413</v>
      </c>
      <c r="B68" s="3" t="s">
        <v>414</v>
      </c>
      <c r="D68" s="20">
        <v>9.9766604365201083E-3</v>
      </c>
      <c r="E68" s="20">
        <v>0.79603410858172674</v>
      </c>
      <c r="F68" s="20">
        <v>4.4183427790850029E-2</v>
      </c>
      <c r="G68" s="20">
        <v>1.2657704748545134E-2</v>
      </c>
      <c r="H68" s="20">
        <v>0</v>
      </c>
      <c r="I68" s="20">
        <v>0.73919297604233158</v>
      </c>
      <c r="J68" s="20">
        <v>1.7386806260963866E-3</v>
      </c>
      <c r="K68" s="20">
        <v>0.19225055035565675</v>
      </c>
      <c r="L68" s="20">
        <v>0</v>
      </c>
    </row>
    <row r="69" spans="1:12">
      <c r="A69" s="2" t="s">
        <v>415</v>
      </c>
      <c r="B69" s="3" t="s">
        <v>416</v>
      </c>
      <c r="D69" s="20">
        <v>1.1916665797784536E-3</v>
      </c>
      <c r="E69" s="20">
        <v>0.84675760894088292</v>
      </c>
      <c r="F69" s="20">
        <v>0.34476960765493581</v>
      </c>
      <c r="G69" s="20">
        <v>0.50063882903486634</v>
      </c>
      <c r="H69" s="20">
        <v>0</v>
      </c>
      <c r="I69" s="20">
        <v>1.349172251080771E-3</v>
      </c>
      <c r="J69" s="20">
        <v>5.5526313398690956E-2</v>
      </c>
      <c r="K69" s="20">
        <v>9.652441108064784E-2</v>
      </c>
      <c r="L69" s="20">
        <v>0</v>
      </c>
    </row>
    <row r="70" spans="1:12">
      <c r="A70" s="2" t="s">
        <v>417</v>
      </c>
      <c r="B70" s="3" t="s">
        <v>418</v>
      </c>
      <c r="D70" s="20">
        <v>3.1522753031440714E-3</v>
      </c>
      <c r="E70" s="20">
        <v>0.82516620758174719</v>
      </c>
      <c r="F70" s="20">
        <v>0.67623610475829388</v>
      </c>
      <c r="G70" s="20">
        <v>0.12359301014288496</v>
      </c>
      <c r="H70" s="20">
        <v>0</v>
      </c>
      <c r="I70" s="20">
        <v>2.5337092680568395E-2</v>
      </c>
      <c r="J70" s="20">
        <v>1.3226300934369082E-2</v>
      </c>
      <c r="K70" s="20">
        <v>0.1584552161807396</v>
      </c>
      <c r="L70" s="20">
        <v>0</v>
      </c>
    </row>
    <row r="71" spans="1:12">
      <c r="A71" s="2" t="s">
        <v>419</v>
      </c>
      <c r="B71" s="3" t="s">
        <v>420</v>
      </c>
      <c r="D71" s="20">
        <v>2.4493572778695908E-2</v>
      </c>
      <c r="E71" s="20">
        <v>0.79126745859059511</v>
      </c>
      <c r="F71" s="20">
        <v>4.0006112641663719E-2</v>
      </c>
      <c r="G71" s="20">
        <v>1.1545743601019069E-2</v>
      </c>
      <c r="H71" s="20">
        <v>0</v>
      </c>
      <c r="I71" s="20">
        <v>0.73971560234791234</v>
      </c>
      <c r="J71" s="20">
        <v>1.6247710337873485E-3</v>
      </c>
      <c r="K71" s="20">
        <v>0.1826141975969218</v>
      </c>
      <c r="L71" s="20">
        <v>0</v>
      </c>
    </row>
    <row r="72" spans="1:12">
      <c r="A72" s="2" t="s">
        <v>421</v>
      </c>
      <c r="B72" s="3" t="s">
        <v>422</v>
      </c>
      <c r="D72" s="20">
        <v>1.3212812165437515E-2</v>
      </c>
      <c r="E72" s="20">
        <v>0.80666744928033518</v>
      </c>
      <c r="F72" s="20">
        <v>0.65594809624829831</v>
      </c>
      <c r="G72" s="20">
        <v>0.12144091515582546</v>
      </c>
      <c r="H72" s="20">
        <v>0</v>
      </c>
      <c r="I72" s="20">
        <v>2.9278437876211462E-2</v>
      </c>
      <c r="J72" s="20">
        <v>1.298079149393867E-2</v>
      </c>
      <c r="K72" s="20">
        <v>0.16713894706028862</v>
      </c>
      <c r="L72" s="20">
        <v>0</v>
      </c>
    </row>
    <row r="73" spans="1:12">
      <c r="A73" s="2" t="s">
        <v>423</v>
      </c>
      <c r="B73" s="3" t="s">
        <v>424</v>
      </c>
      <c r="D73" s="20">
        <v>1.2932690190904598E-2</v>
      </c>
      <c r="E73" s="20">
        <v>0.65254574098177076</v>
      </c>
      <c r="F73" s="20">
        <v>0.31971505624032565</v>
      </c>
      <c r="G73" s="20">
        <v>7.329234955363198E-2</v>
      </c>
      <c r="H73" s="20">
        <v>0</v>
      </c>
      <c r="I73" s="20">
        <v>0.25953833518781311</v>
      </c>
      <c r="J73" s="20">
        <v>7.8049132656261584E-3</v>
      </c>
      <c r="K73" s="20">
        <v>0.32671665556169865</v>
      </c>
      <c r="L73" s="20">
        <v>0</v>
      </c>
    </row>
    <row r="74" spans="1:12">
      <c r="A74" s="2" t="s">
        <v>425</v>
      </c>
      <c r="B74" s="3" t="s">
        <v>426</v>
      </c>
      <c r="D74" s="20">
        <v>4.8643774147462942E-3</v>
      </c>
      <c r="E74" s="20">
        <v>0.82085707703619659</v>
      </c>
      <c r="F74" s="20">
        <v>0.67127655343855697</v>
      </c>
      <c r="G74" s="20">
        <v>0.12313940014056875</v>
      </c>
      <c r="H74" s="20">
        <v>0</v>
      </c>
      <c r="I74" s="20">
        <v>2.6441123457070899E-2</v>
      </c>
      <c r="J74" s="20">
        <v>1.3173306298463219E-2</v>
      </c>
      <c r="K74" s="20">
        <v>0.16110523925059392</v>
      </c>
      <c r="L74" s="20">
        <v>0</v>
      </c>
    </row>
    <row r="75" spans="1:12">
      <c r="A75" s="2" t="s">
        <v>427</v>
      </c>
      <c r="B75" s="3" t="s">
        <v>428</v>
      </c>
      <c r="D75" s="20">
        <v>5.4547689906724737E-10</v>
      </c>
      <c r="E75" s="20">
        <v>0.99037327446116963</v>
      </c>
      <c r="F75" s="20">
        <v>0.98571325166859824</v>
      </c>
      <c r="G75" s="20">
        <v>3.8036522467408285E-4</v>
      </c>
      <c r="H75" s="20">
        <v>0</v>
      </c>
      <c r="I75" s="20">
        <v>4.279657567897277E-3</v>
      </c>
      <c r="J75" s="20">
        <v>9.5439091488720464E-3</v>
      </c>
      <c r="K75" s="20">
        <v>8.2815844481424431E-5</v>
      </c>
      <c r="L75" s="20">
        <v>0</v>
      </c>
    </row>
    <row r="76" spans="1:12">
      <c r="A76" s="2" t="s">
        <v>429</v>
      </c>
      <c r="B76" s="3" t="s">
        <v>430</v>
      </c>
      <c r="D76" s="20">
        <v>1.3701760221975648E-11</v>
      </c>
      <c r="E76" s="20">
        <v>0.99037327498782535</v>
      </c>
      <c r="F76" s="20">
        <v>0.98571325219277595</v>
      </c>
      <c r="G76" s="20">
        <v>3.803652248763515E-4</v>
      </c>
      <c r="H76" s="20">
        <v>0</v>
      </c>
      <c r="I76" s="20">
        <v>4.2796575701730911E-3</v>
      </c>
      <c r="J76" s="20">
        <v>9.5439091539472574E-3</v>
      </c>
      <c r="K76" s="20">
        <v>8.2815844525463815E-5</v>
      </c>
      <c r="L76" s="20">
        <v>0</v>
      </c>
    </row>
    <row r="77" spans="1:12">
      <c r="A77" s="2" t="s">
        <v>431</v>
      </c>
      <c r="B77" s="3" t="s">
        <v>432</v>
      </c>
      <c r="D77" s="20">
        <v>2.3519474376148524E-2</v>
      </c>
      <c r="E77" s="20">
        <v>0.70398180165347313</v>
      </c>
      <c r="F77" s="20">
        <v>0.50038217047213851</v>
      </c>
      <c r="G77" s="20">
        <v>0.1034659338640506</v>
      </c>
      <c r="H77" s="20">
        <v>0</v>
      </c>
      <c r="I77" s="20">
        <v>0.10013369731728397</v>
      </c>
      <c r="J77" s="20">
        <v>1.0975649897101812E-2</v>
      </c>
      <c r="K77" s="20">
        <v>0.26152307407327657</v>
      </c>
      <c r="L77" s="20">
        <v>0</v>
      </c>
    </row>
    <row r="78" spans="1:12">
      <c r="A78" s="2" t="s">
        <v>433</v>
      </c>
      <c r="B78" s="3" t="s">
        <v>434</v>
      </c>
      <c r="D78" s="20">
        <v>3.3214415306377941E-2</v>
      </c>
      <c r="E78" s="20">
        <v>0.68138424842430467</v>
      </c>
      <c r="F78" s="20">
        <v>0.12659041586706829</v>
      </c>
      <c r="G78" s="20">
        <v>3.2711192888525933E-2</v>
      </c>
      <c r="H78" s="20">
        <v>0</v>
      </c>
      <c r="I78" s="20">
        <v>0.52208263966871049</v>
      </c>
      <c r="J78" s="20">
        <v>3.6869584973019194E-3</v>
      </c>
      <c r="K78" s="20">
        <v>0.28171437777201547</v>
      </c>
      <c r="L78" s="20">
        <v>0</v>
      </c>
    </row>
    <row r="79" spans="1:12">
      <c r="A79" s="2" t="s">
        <v>435</v>
      </c>
      <c r="B79" s="3" t="s">
        <v>436</v>
      </c>
      <c r="D79" s="20">
        <v>7.7511896836027451E-3</v>
      </c>
      <c r="E79" s="20">
        <v>0.65786721102071255</v>
      </c>
      <c r="F79" s="20">
        <v>0.23531118980452975</v>
      </c>
      <c r="G79" s="20">
        <v>5.658979688406205E-2</v>
      </c>
      <c r="H79" s="20">
        <v>0</v>
      </c>
      <c r="I79" s="20">
        <v>0.36596622433212073</v>
      </c>
      <c r="J79" s="20">
        <v>6.096806190954384E-3</v>
      </c>
      <c r="K79" s="20">
        <v>0.32828479310473035</v>
      </c>
      <c r="L79" s="20">
        <v>0</v>
      </c>
    </row>
    <row r="80" spans="1:12">
      <c r="A80" s="2" t="s">
        <v>437</v>
      </c>
      <c r="B80" s="3" t="s">
        <v>438</v>
      </c>
      <c r="D80" s="20">
        <v>1.9356706803585287E-10</v>
      </c>
      <c r="E80" s="20">
        <v>0.98152604876445082</v>
      </c>
      <c r="F80" s="20">
        <v>0.97792534970520884</v>
      </c>
      <c r="G80" s="20">
        <v>7.2486296822767962E-4</v>
      </c>
      <c r="H80" s="20">
        <v>0</v>
      </c>
      <c r="I80" s="20">
        <v>2.8758360910142514E-3</v>
      </c>
      <c r="J80" s="20">
        <v>1.8373912225840734E-2</v>
      </c>
      <c r="K80" s="20">
        <v>1.0003881614130401E-4</v>
      </c>
      <c r="L80" s="20">
        <v>0</v>
      </c>
    </row>
    <row r="81" spans="1:12">
      <c r="A81" s="2" t="s">
        <v>440</v>
      </c>
      <c r="B81" s="3" t="s">
        <v>441</v>
      </c>
      <c r="D81" s="20">
        <v>1.8477957680034028E-13</v>
      </c>
      <c r="E81" s="20">
        <v>0.97040731321989693</v>
      </c>
      <c r="F81" s="20">
        <v>9.1228006115573327E-4</v>
      </c>
      <c r="G81" s="20">
        <v>3.5483278373095548E-4</v>
      </c>
      <c r="H81" s="20">
        <v>0</v>
      </c>
      <c r="I81" s="20">
        <v>0.96914020037501025</v>
      </c>
      <c r="J81" s="20">
        <v>6.2349566275507896E-4</v>
      </c>
      <c r="K81" s="20">
        <v>2.8969191117163343E-2</v>
      </c>
      <c r="L81" s="20">
        <v>0</v>
      </c>
    </row>
    <row r="82" spans="1:12">
      <c r="A82" s="2" t="s">
        <v>442</v>
      </c>
      <c r="B82" s="3" t="s">
        <v>443</v>
      </c>
      <c r="D82" s="20">
        <v>8.2311243699545521E-5</v>
      </c>
      <c r="E82" s="20">
        <v>0.7859033392123822</v>
      </c>
      <c r="F82" s="20">
        <v>5.4920360422925786E-2</v>
      </c>
      <c r="G82" s="20">
        <v>1.5446458931491264E-2</v>
      </c>
      <c r="H82" s="20">
        <v>0</v>
      </c>
      <c r="I82" s="20">
        <v>0.71553651985796518</v>
      </c>
      <c r="J82" s="20">
        <v>2.011565280537113E-3</v>
      </c>
      <c r="K82" s="20">
        <v>0.21200278426338123</v>
      </c>
      <c r="L82" s="20">
        <v>0</v>
      </c>
    </row>
    <row r="83" spans="1:12">
      <c r="A83" s="2" t="s">
        <v>444</v>
      </c>
      <c r="B83" s="3" t="s">
        <v>445</v>
      </c>
      <c r="D83" s="20">
        <v>5.0109885926820396E-4</v>
      </c>
      <c r="E83" s="20">
        <v>0.70410388497659504</v>
      </c>
      <c r="F83" s="20">
        <v>0.47752666660573989</v>
      </c>
      <c r="G83" s="20">
        <v>0.10076116597121705</v>
      </c>
      <c r="H83" s="20">
        <v>0</v>
      </c>
      <c r="I83" s="20">
        <v>0.12581605239963808</v>
      </c>
      <c r="J83" s="20">
        <v>1.0682988112021652E-2</v>
      </c>
      <c r="K83" s="20">
        <v>0.2847120280521151</v>
      </c>
      <c r="L83" s="20">
        <v>0</v>
      </c>
    </row>
    <row r="84" spans="1:12">
      <c r="A84" s="2" t="s">
        <v>446</v>
      </c>
      <c r="B84" s="3" t="s">
        <v>447</v>
      </c>
      <c r="D84" s="20">
        <v>5.6655379485530048E-15</v>
      </c>
      <c r="E84" s="20">
        <v>0.93721669968160559</v>
      </c>
      <c r="F84" s="20">
        <v>4.0823982367707784E-3</v>
      </c>
      <c r="G84" s="20">
        <v>1.4177867820124839E-3</v>
      </c>
      <c r="H84" s="20">
        <v>0</v>
      </c>
      <c r="I84" s="20">
        <v>0.93171651466282235</v>
      </c>
      <c r="J84" s="20">
        <v>7.0732472962304162E-4</v>
      </c>
      <c r="K84" s="20">
        <v>6.207597558876566E-2</v>
      </c>
      <c r="L84" s="20">
        <v>0</v>
      </c>
    </row>
    <row r="85" spans="1:12">
      <c r="A85" s="2" t="s">
        <v>448</v>
      </c>
      <c r="B85" s="3" t="s">
        <v>449</v>
      </c>
      <c r="D85" s="20">
        <v>3.985700590753732E-8</v>
      </c>
      <c r="E85" s="20">
        <v>0.98731004551252488</v>
      </c>
      <c r="F85" s="20">
        <v>1.6756329271405828E-4</v>
      </c>
      <c r="G85" s="20">
        <v>7.3939147894900683E-5</v>
      </c>
      <c r="H85" s="20">
        <v>0</v>
      </c>
      <c r="I85" s="20">
        <v>0.98706854307191594</v>
      </c>
      <c r="J85" s="20">
        <v>6.0657251503317214E-4</v>
      </c>
      <c r="K85" s="20">
        <v>1.2083342115435979E-2</v>
      </c>
      <c r="L85" s="20">
        <v>0</v>
      </c>
    </row>
    <row r="86" spans="1:12">
      <c r="A86" s="2" t="s">
        <v>450</v>
      </c>
      <c r="B86" s="3" t="s">
        <v>451</v>
      </c>
      <c r="D86" s="20">
        <v>1.42538667875777E-8</v>
      </c>
      <c r="E86" s="20">
        <v>0.93870583804530094</v>
      </c>
      <c r="F86" s="20">
        <v>3.8905133560979328E-3</v>
      </c>
      <c r="G86" s="20">
        <v>1.3561335676344358E-3</v>
      </c>
      <c r="H86" s="20">
        <v>0</v>
      </c>
      <c r="I86" s="20">
        <v>0.93345919112156861</v>
      </c>
      <c r="J86" s="20">
        <v>7.0217438652577966E-4</v>
      </c>
      <c r="K86" s="20">
        <v>6.0591973314306331E-2</v>
      </c>
      <c r="L86" s="20">
        <v>0</v>
      </c>
    </row>
    <row r="87" spans="1:12">
      <c r="A87" s="2" t="s">
        <v>452</v>
      </c>
      <c r="B87" s="3" t="s">
        <v>453</v>
      </c>
      <c r="D87" s="20">
        <v>4.5811010073646308E-8</v>
      </c>
      <c r="E87" s="20">
        <v>0.85485906456724703</v>
      </c>
      <c r="F87" s="20">
        <v>0.20222930177817508</v>
      </c>
      <c r="G87" s="20">
        <v>0.65213819602897027</v>
      </c>
      <c r="H87" s="20">
        <v>0</v>
      </c>
      <c r="I87" s="20">
        <v>4.9156676010168171E-4</v>
      </c>
      <c r="J87" s="20">
        <v>7.3121030364459563E-2</v>
      </c>
      <c r="K87" s="20">
        <v>7.2019859257282992E-2</v>
      </c>
      <c r="L87" s="20">
        <v>0</v>
      </c>
    </row>
    <row r="88" spans="1:12">
      <c r="A88" s="2" t="s">
        <v>454</v>
      </c>
      <c r="B88" s="3" t="s">
        <v>455</v>
      </c>
      <c r="D88" s="20">
        <v>3.9787670941231634E-5</v>
      </c>
      <c r="E88" s="20">
        <v>0.72776293508348333</v>
      </c>
      <c r="F88" s="20">
        <v>0.10224044531089428</v>
      </c>
      <c r="G88" s="20">
        <v>2.7109299009714982E-2</v>
      </c>
      <c r="H88" s="20">
        <v>0</v>
      </c>
      <c r="I88" s="20">
        <v>0.59841319076287403</v>
      </c>
      <c r="J88" s="20">
        <v>3.1485646224297223E-3</v>
      </c>
      <c r="K88" s="20">
        <v>0.26904871262314584</v>
      </c>
      <c r="L88" s="20">
        <v>0</v>
      </c>
    </row>
    <row r="89" spans="1:12">
      <c r="A89" s="2" t="s">
        <v>456</v>
      </c>
      <c r="B89" s="3" t="s">
        <v>457</v>
      </c>
      <c r="D89" s="20">
        <v>2.7137898395835536E-17</v>
      </c>
      <c r="E89" s="20">
        <v>0.77494007860837455</v>
      </c>
      <c r="F89" s="20">
        <v>6.2036948446154282E-2</v>
      </c>
      <c r="G89" s="20">
        <v>1.7256232454072293E-2</v>
      </c>
      <c r="H89" s="20">
        <v>0</v>
      </c>
      <c r="I89" s="20">
        <v>0.69564689770814803</v>
      </c>
      <c r="J89" s="20">
        <v>2.1863291832470658E-3</v>
      </c>
      <c r="K89" s="20">
        <v>0.22287359220837841</v>
      </c>
      <c r="L89" s="20">
        <v>0</v>
      </c>
    </row>
    <row r="90" spans="1:12">
      <c r="A90" s="2" t="s">
        <v>458</v>
      </c>
      <c r="B90" s="3" t="s">
        <v>459</v>
      </c>
      <c r="D90" s="20">
        <v>4.1982540778842389E-29</v>
      </c>
      <c r="E90" s="20">
        <v>0.88207124624584787</v>
      </c>
      <c r="F90" s="20">
        <v>1.4768722604934524E-2</v>
      </c>
      <c r="G90" s="20">
        <v>4.6391507877853828E-3</v>
      </c>
      <c r="H90" s="20">
        <v>0</v>
      </c>
      <c r="I90" s="20">
        <v>0.862663372853128</v>
      </c>
      <c r="J90" s="20">
        <v>9.9197685457888389E-4</v>
      </c>
      <c r="K90" s="20">
        <v>0.11693677689957326</v>
      </c>
      <c r="L90" s="20">
        <v>0</v>
      </c>
    </row>
    <row r="91" spans="1:12">
      <c r="A91" s="2" t="s">
        <v>460</v>
      </c>
      <c r="B91" s="3" t="s">
        <v>461</v>
      </c>
      <c r="D91" s="20">
        <v>4.8739458143237273E-8</v>
      </c>
      <c r="E91" s="20">
        <v>0.85065427971126772</v>
      </c>
      <c r="F91" s="20">
        <v>0.51529379342751125</v>
      </c>
      <c r="G91" s="20">
        <v>0.33208592338267784</v>
      </c>
      <c r="H91" s="20">
        <v>0</v>
      </c>
      <c r="I91" s="20">
        <v>3.2745629010786782E-3</v>
      </c>
      <c r="J91" s="20">
        <v>3.6427692317046644E-2</v>
      </c>
      <c r="K91" s="20">
        <v>0.1129179792322276</v>
      </c>
      <c r="L91" s="20">
        <v>0</v>
      </c>
    </row>
    <row r="92" spans="1:12">
      <c r="A92" s="2" t="s">
        <v>462</v>
      </c>
      <c r="B92" s="3" t="s">
        <v>463</v>
      </c>
      <c r="D92" s="20">
        <v>4.3994515748454635E-9</v>
      </c>
      <c r="E92" s="20">
        <v>0.68031465197559426</v>
      </c>
      <c r="F92" s="20">
        <v>0.4142597670619988</v>
      </c>
      <c r="G92" s="20">
        <v>9.0524953833891211E-2</v>
      </c>
      <c r="H92" s="20">
        <v>0</v>
      </c>
      <c r="I92" s="20">
        <v>0.1755299310797043</v>
      </c>
      <c r="J92" s="20">
        <v>9.600212033734316E-3</v>
      </c>
      <c r="K92" s="20">
        <v>0.31008513159121959</v>
      </c>
      <c r="L92" s="20">
        <v>0</v>
      </c>
    </row>
    <row r="93" spans="1:12">
      <c r="A93" s="2" t="s">
        <v>464</v>
      </c>
      <c r="B93" s="3" t="s">
        <v>465</v>
      </c>
      <c r="D93" s="20">
        <v>1.9472955197343724E-4</v>
      </c>
      <c r="E93" s="20">
        <v>0.79882817248327498</v>
      </c>
      <c r="F93" s="20">
        <v>0.63930202420937399</v>
      </c>
      <c r="G93" s="20">
        <v>0.1210045316074435</v>
      </c>
      <c r="H93" s="20">
        <v>0</v>
      </c>
      <c r="I93" s="20">
        <v>3.8521616666457453E-2</v>
      </c>
      <c r="J93" s="20">
        <v>1.2909375389865184E-2</v>
      </c>
      <c r="K93" s="20">
        <v>0.18806772257488652</v>
      </c>
      <c r="L93" s="20">
        <v>0</v>
      </c>
    </row>
    <row r="94" spans="1:12">
      <c r="A94" s="2" t="s">
        <v>466</v>
      </c>
      <c r="B94" s="3" t="s">
        <v>467</v>
      </c>
      <c r="D94" s="20">
        <v>1.8329876298261596E-18</v>
      </c>
      <c r="E94" s="20">
        <v>0.99908980300850536</v>
      </c>
      <c r="F94" s="20">
        <v>0.10497981858458558</v>
      </c>
      <c r="G94" s="20">
        <v>1.3795718131539119E-5</v>
      </c>
      <c r="H94" s="20">
        <v>0</v>
      </c>
      <c r="I94" s="20">
        <v>0.89409618870578822</v>
      </c>
      <c r="J94" s="20">
        <v>7.5080850636061939E-4</v>
      </c>
      <c r="K94" s="20">
        <v>1.5938848513402795E-4</v>
      </c>
      <c r="L94" s="20">
        <v>0</v>
      </c>
    </row>
    <row r="95" spans="1:12">
      <c r="A95" s="2" t="s">
        <v>468</v>
      </c>
      <c r="B95" s="3" t="s">
        <v>469</v>
      </c>
      <c r="D95" s="20">
        <v>1.9896296972173048E-18</v>
      </c>
      <c r="E95" s="20">
        <v>0.868263576008797</v>
      </c>
      <c r="F95" s="20">
        <v>0.68983697628169394</v>
      </c>
      <c r="G95" s="20">
        <v>0.17066404106555225</v>
      </c>
      <c r="H95" s="20">
        <v>0</v>
      </c>
      <c r="I95" s="20">
        <v>7.7625586615508151E-3</v>
      </c>
      <c r="J95" s="20">
        <v>1.8482135657169507E-2</v>
      </c>
      <c r="K95" s="20">
        <v>0.11325428833403334</v>
      </c>
      <c r="L95" s="20">
        <v>0</v>
      </c>
    </row>
    <row r="96" spans="1:12">
      <c r="A96" s="2" t="s">
        <v>470</v>
      </c>
      <c r="B96" s="163">
        <v>354656</v>
      </c>
      <c r="D96" s="20">
        <v>3.683745438534229E-10</v>
      </c>
      <c r="E96" s="20">
        <v>0.96928822321020314</v>
      </c>
      <c r="F96" s="20">
        <v>9.8211835102880339E-4</v>
      </c>
      <c r="G96" s="20">
        <v>3.798913293748883E-4</v>
      </c>
      <c r="H96" s="20">
        <v>0</v>
      </c>
      <c r="I96" s="20">
        <v>0.96792621352979946</v>
      </c>
      <c r="J96" s="20">
        <v>6.2525264296163941E-4</v>
      </c>
      <c r="K96" s="20">
        <v>3.0086523778460644E-2</v>
      </c>
      <c r="L96" s="20">
        <v>0</v>
      </c>
    </row>
    <row r="97" spans="1:12">
      <c r="A97" s="2" t="s">
        <v>472</v>
      </c>
      <c r="B97" s="3" t="s">
        <v>473</v>
      </c>
      <c r="D97" s="20">
        <v>5.6609187881053502E-10</v>
      </c>
      <c r="E97" s="20">
        <v>0.93645967885597325</v>
      </c>
      <c r="F97" s="20">
        <v>4.1817795974787115E-3</v>
      </c>
      <c r="G97" s="20">
        <v>1.4496284200188991E-3</v>
      </c>
      <c r="H97" s="20">
        <v>0</v>
      </c>
      <c r="I97" s="20">
        <v>0.93082827083847564</v>
      </c>
      <c r="J97" s="20">
        <v>7.0999280779491364E-4</v>
      </c>
      <c r="K97" s="20">
        <v>6.2830327770140096E-2</v>
      </c>
      <c r="L97" s="20">
        <v>0</v>
      </c>
    </row>
    <row r="98" spans="1:12">
      <c r="A98" s="2" t="s">
        <v>474</v>
      </c>
      <c r="B98" s="3" t="s">
        <v>475</v>
      </c>
      <c r="D98" s="20">
        <v>4.6208811423698902E-20</v>
      </c>
      <c r="E98" s="20">
        <v>0.84851084931860177</v>
      </c>
      <c r="F98" s="20">
        <v>0.70501606409955275</v>
      </c>
      <c r="G98" s="20">
        <v>0.12534140774183203</v>
      </c>
      <c r="H98" s="20">
        <v>0</v>
      </c>
      <c r="I98" s="20">
        <v>1.8153377477217021E-2</v>
      </c>
      <c r="J98" s="20">
        <v>1.344843615599977E-2</v>
      </c>
      <c r="K98" s="20">
        <v>0.13804071452539832</v>
      </c>
      <c r="L98" s="20">
        <v>0</v>
      </c>
    </row>
    <row r="99" spans="1:12">
      <c r="A99" s="2" t="s">
        <v>476</v>
      </c>
      <c r="B99" s="3" t="s">
        <v>477</v>
      </c>
      <c r="D99" s="20">
        <v>1.7397230922108666E-7</v>
      </c>
      <c r="E99" s="20">
        <v>0.99102754717198949</v>
      </c>
      <c r="F99" s="20">
        <v>8.2481080774397071E-5</v>
      </c>
      <c r="G99" s="20">
        <v>3.8357465083242242E-5</v>
      </c>
      <c r="H99" s="20">
        <v>0</v>
      </c>
      <c r="I99" s="20">
        <v>0.99090670862613184</v>
      </c>
      <c r="J99" s="20">
        <v>6.0541833954527128E-4</v>
      </c>
      <c r="K99" s="20">
        <v>8.3668605161561858E-3</v>
      </c>
      <c r="L99" s="20">
        <v>0</v>
      </c>
    </row>
    <row r="100" spans="1:12">
      <c r="A100" s="2" t="s">
        <v>478</v>
      </c>
      <c r="B100" s="3" t="s">
        <v>479</v>
      </c>
      <c r="D100" s="20">
        <v>5.0835393483818495E-11</v>
      </c>
      <c r="E100" s="20">
        <v>0.66887006390494685</v>
      </c>
      <c r="F100" s="20">
        <v>0.20952719759696989</v>
      </c>
      <c r="G100" s="20">
        <v>5.1231368829065108E-2</v>
      </c>
      <c r="H100" s="20">
        <v>0</v>
      </c>
      <c r="I100" s="20">
        <v>0.4081114974789119</v>
      </c>
      <c r="J100" s="20">
        <v>5.556779401710548E-3</v>
      </c>
      <c r="K100" s="20">
        <v>0.32557315664250713</v>
      </c>
      <c r="L100" s="20">
        <v>0</v>
      </c>
    </row>
    <row r="101" spans="1:12">
      <c r="A101" s="2" t="s">
        <v>480</v>
      </c>
      <c r="B101" s="3" t="s">
        <v>481</v>
      </c>
      <c r="D101" s="20">
        <v>4.6807136423672726E-11</v>
      </c>
      <c r="E101" s="20">
        <v>0.98538385353455349</v>
      </c>
      <c r="F101" s="20">
        <v>2.2293912254446352E-4</v>
      </c>
      <c r="G101" s="20">
        <v>9.6312319655398189E-5</v>
      </c>
      <c r="H101" s="20">
        <v>0</v>
      </c>
      <c r="I101" s="20">
        <v>0.98506460209235358</v>
      </c>
      <c r="J101" s="20">
        <v>6.0755484609515558E-4</v>
      </c>
      <c r="K101" s="20">
        <v>1.4008591572544322E-2</v>
      </c>
      <c r="L101" s="20">
        <v>0</v>
      </c>
    </row>
    <row r="102" spans="1:12">
      <c r="A102" s="2" t="s">
        <v>482</v>
      </c>
      <c r="B102" s="3" t="s">
        <v>483</v>
      </c>
      <c r="D102" s="20">
        <v>2.9421515013802678E-27</v>
      </c>
      <c r="E102" s="20">
        <v>0.99583699702784334</v>
      </c>
      <c r="F102" s="20">
        <v>1.5912530429283775E-5</v>
      </c>
      <c r="G102" s="20">
        <v>8.3566998261640084E-6</v>
      </c>
      <c r="H102" s="20">
        <v>0</v>
      </c>
      <c r="I102" s="20">
        <v>0.99581272779758789</v>
      </c>
      <c r="J102" s="20">
        <v>6.054822942303268E-4</v>
      </c>
      <c r="K102" s="20">
        <v>3.5575206779263498E-3</v>
      </c>
      <c r="L102" s="20">
        <v>0</v>
      </c>
    </row>
    <row r="103" spans="1:12">
      <c r="A103" s="2" t="s">
        <v>484</v>
      </c>
      <c r="B103" s="3" t="s">
        <v>485</v>
      </c>
      <c r="D103" s="20">
        <v>2.3466585535244156E-13</v>
      </c>
      <c r="E103" s="20">
        <v>0.99129374343328858</v>
      </c>
      <c r="F103" s="20">
        <v>7.7504000124085226E-5</v>
      </c>
      <c r="G103" s="20">
        <v>3.6209261989193217E-5</v>
      </c>
      <c r="H103" s="20">
        <v>0</v>
      </c>
      <c r="I103" s="20">
        <v>0.99118003017117529</v>
      </c>
      <c r="J103" s="20">
        <v>6.0537461128272897E-4</v>
      </c>
      <c r="K103" s="20">
        <v>8.1008819551939733E-3</v>
      </c>
      <c r="L103" s="20">
        <v>0</v>
      </c>
    </row>
    <row r="104" spans="1:12">
      <c r="A104" s="2" t="s">
        <v>486</v>
      </c>
      <c r="B104" s="3" t="s">
        <v>487</v>
      </c>
      <c r="D104" s="20">
        <v>2.8877634606160995E-9</v>
      </c>
      <c r="E104" s="20">
        <v>0.95390235361033959</v>
      </c>
      <c r="F104" s="20">
        <v>2.2020938893441452E-3</v>
      </c>
      <c r="G104" s="20">
        <v>8.0155141874440998E-4</v>
      </c>
      <c r="H104" s="20">
        <v>0</v>
      </c>
      <c r="I104" s="20">
        <v>0.95089870830225098</v>
      </c>
      <c r="J104" s="20">
        <v>6.5704763298207324E-4</v>
      </c>
      <c r="K104" s="20">
        <v>4.5440595868914885E-2</v>
      </c>
      <c r="L104" s="20">
        <v>0</v>
      </c>
    </row>
    <row r="105" spans="1:12">
      <c r="A105" s="2" t="s">
        <v>488</v>
      </c>
      <c r="B105" s="3" t="s">
        <v>489</v>
      </c>
      <c r="D105" s="20">
        <v>2.3398686086078205E-16</v>
      </c>
      <c r="E105" s="20">
        <v>0.99512812507172277</v>
      </c>
      <c r="F105" s="20">
        <v>2.2566576874112746E-5</v>
      </c>
      <c r="G105" s="20">
        <v>1.154944835740729E-5</v>
      </c>
      <c r="H105" s="20">
        <v>0</v>
      </c>
      <c r="I105" s="20">
        <v>0.99509400904649126</v>
      </c>
      <c r="J105" s="20">
        <v>6.0535408308658677E-4</v>
      </c>
      <c r="K105" s="20">
        <v>4.2665208451905974E-3</v>
      </c>
      <c r="L105" s="20">
        <v>0</v>
      </c>
    </row>
    <row r="106" spans="1:12">
      <c r="A106" s="2" t="s">
        <v>490</v>
      </c>
      <c r="B106" s="3" t="s">
        <v>491</v>
      </c>
      <c r="D106" s="20">
        <v>1.2710099783690958E-8</v>
      </c>
      <c r="E106" s="20">
        <v>0.85389911784362416</v>
      </c>
      <c r="F106" s="20">
        <v>2.3250011658096575E-2</v>
      </c>
      <c r="G106" s="20">
        <v>7.0391258580245059E-3</v>
      </c>
      <c r="H106" s="20">
        <v>0</v>
      </c>
      <c r="I106" s="20">
        <v>0.8236099803275031</v>
      </c>
      <c r="J106" s="20">
        <v>1.2132219622906361E-3</v>
      </c>
      <c r="K106" s="20">
        <v>0.1448876474839853</v>
      </c>
      <c r="L106" s="20">
        <v>0</v>
      </c>
    </row>
    <row r="107" spans="1:12">
      <c r="A107" s="2" t="s">
        <v>492</v>
      </c>
      <c r="B107" s="3" t="s">
        <v>493</v>
      </c>
      <c r="D107" s="20">
        <v>2.1714164641975295E-16</v>
      </c>
      <c r="E107" s="20">
        <v>0.86488744686892083</v>
      </c>
      <c r="F107" s="20">
        <v>0.72546646421719641</v>
      </c>
      <c r="G107" s="20">
        <v>0.12592527173297005</v>
      </c>
      <c r="H107" s="20">
        <v>0</v>
      </c>
      <c r="I107" s="20">
        <v>1.3495710918754405E-2</v>
      </c>
      <c r="J107" s="20">
        <v>1.3542802111612826E-2</v>
      </c>
      <c r="K107" s="20">
        <v>0.12156975101946593</v>
      </c>
      <c r="L107" s="20">
        <v>0</v>
      </c>
    </row>
    <row r="108" spans="1:12">
      <c r="A108" s="2" t="s">
        <v>291</v>
      </c>
      <c r="B108" s="3" t="s">
        <v>494</v>
      </c>
      <c r="D108" s="20">
        <v>2.9291064152295095E-10</v>
      </c>
      <c r="E108" s="20">
        <v>0.68282841081576462</v>
      </c>
      <c r="F108" s="20">
        <v>0.17006281552698177</v>
      </c>
      <c r="G108" s="20">
        <v>4.2668258767639113E-2</v>
      </c>
      <c r="H108" s="20">
        <v>0</v>
      </c>
      <c r="I108" s="20">
        <v>0.47009733652114377</v>
      </c>
      <c r="J108" s="20">
        <v>4.6949526808649162E-3</v>
      </c>
      <c r="K108" s="20">
        <v>0.31247663621045979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3.6262374535081922E-9</v>
      </c>
      <c r="E2" s="14">
        <v>3.088651295045158E-5</v>
      </c>
      <c r="F2" s="14">
        <v>1.4741119066618252E-6</v>
      </c>
      <c r="G2" s="14">
        <v>4.2936437689273579E-7</v>
      </c>
      <c r="H2" s="14">
        <v>0</v>
      </c>
      <c r="I2" s="14">
        <v>6.2430684137773049E-8</v>
      </c>
      <c r="J2" s="14">
        <v>7.1439538444025875E-6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1.3530126485256998E-7</v>
      </c>
      <c r="E3" s="14">
        <v>2.469644813566151E-8</v>
      </c>
      <c r="F3" s="14">
        <v>9.1574819533469897E-6</v>
      </c>
      <c r="G3" s="14">
        <v>2.4812563002645568E-5</v>
      </c>
      <c r="H3" s="14">
        <v>0</v>
      </c>
      <c r="I3" s="14">
        <v>2.7755017190085825E-6</v>
      </c>
      <c r="J3" s="14">
        <v>3.0944556120106338E-6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1.7553666977031575E-16</v>
      </c>
      <c r="E4" s="14">
        <v>1.406696786538866E-5</v>
      </c>
      <c r="F4" s="14">
        <v>9.99636418119094E-6</v>
      </c>
      <c r="G4" s="14">
        <v>2.3863691447522258E-6</v>
      </c>
      <c r="H4" s="14">
        <v>0</v>
      </c>
      <c r="I4" s="14">
        <v>2.5646468095359275E-7</v>
      </c>
      <c r="J4" s="14">
        <v>1.3293834127539048E-5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4.7209689147567315E-9</v>
      </c>
      <c r="E5" s="14">
        <v>2.7202184467502558E-7</v>
      </c>
      <c r="F5" s="14">
        <v>2.6589205202972855E-5</v>
      </c>
      <c r="G5" s="14">
        <v>7.7161544321809938E-6</v>
      </c>
      <c r="H5" s="14">
        <v>0</v>
      </c>
      <c r="I5" s="14">
        <v>8.3739065179610349E-7</v>
      </c>
      <c r="J5" s="14">
        <v>4.5805068994602719E-6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4.3937926478797522E-10</v>
      </c>
      <c r="E6" s="14">
        <v>1.100809574791142E-8</v>
      </c>
      <c r="F6" s="14">
        <v>5.8212167820559486E-6</v>
      </c>
      <c r="G6" s="14">
        <v>2.8589682217643163E-5</v>
      </c>
      <c r="H6" s="14">
        <v>0</v>
      </c>
      <c r="I6" s="14">
        <v>3.2241114941686122E-6</v>
      </c>
      <c r="J6" s="14">
        <v>2.3535420311195749E-6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6.5041971038161033E-10</v>
      </c>
      <c r="E7" s="14">
        <v>2.2088505580743002E-8</v>
      </c>
      <c r="F7" s="14">
        <v>8.6271611125331765E-6</v>
      </c>
      <c r="G7" s="14">
        <v>2.5501367149673902E-5</v>
      </c>
      <c r="H7" s="14">
        <v>0</v>
      </c>
      <c r="I7" s="14">
        <v>2.8559438431093981E-6</v>
      </c>
      <c r="J7" s="14">
        <v>2.9927889693924059E-6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6.1866208639590609E-9</v>
      </c>
      <c r="E8" s="14">
        <v>4.955256529146023E-8</v>
      </c>
      <c r="F8" s="14">
        <v>1.3222930545102262E-5</v>
      </c>
      <c r="G8" s="14">
        <v>2.0645398596838698E-5</v>
      </c>
      <c r="H8" s="14">
        <v>0</v>
      </c>
      <c r="I8" s="14">
        <v>2.2920643251109767E-6</v>
      </c>
      <c r="J8" s="14">
        <v>3.7838673467926452E-6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4.0156195984045801E-9</v>
      </c>
      <c r="E9" s="14">
        <v>2.3508515514537063E-6</v>
      </c>
      <c r="F9" s="14">
        <v>2.3660655924989098E-5</v>
      </c>
      <c r="G9" s="14">
        <v>4.6464614190020856E-6</v>
      </c>
      <c r="H9" s="14">
        <v>0</v>
      </c>
      <c r="I9" s="14">
        <v>4.9429585158552916E-7</v>
      </c>
      <c r="J9" s="14">
        <v>8.8437196333711801E-6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6.0583705261446497E-11</v>
      </c>
      <c r="E10" s="14">
        <v>2.5267860557944325E-7</v>
      </c>
      <c r="F10" s="14">
        <v>2.6015372330759337E-5</v>
      </c>
      <c r="G10" s="14">
        <v>8.236175672003493E-6</v>
      </c>
      <c r="H10" s="14">
        <v>0</v>
      </c>
      <c r="I10" s="14">
        <v>8.9486113977770728E-7</v>
      </c>
      <c r="J10" s="14">
        <v>4.6008516681747606E-6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3.1489145466373593E-9</v>
      </c>
      <c r="E11" s="14">
        <v>2.2272733248937802E-7</v>
      </c>
      <c r="F11" s="14">
        <v>2.5005473924025287E-5</v>
      </c>
      <c r="G11" s="14">
        <v>9.1523083909546864E-6</v>
      </c>
      <c r="H11" s="14">
        <v>0</v>
      </c>
      <c r="I11" s="14">
        <v>9.9632760405990563E-7</v>
      </c>
      <c r="J11" s="14">
        <v>4.6200138339241074E-6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2.1001384892972532E-9</v>
      </c>
      <c r="E12" s="14">
        <v>1.5082056899281054E-6</v>
      </c>
      <c r="F12" s="14">
        <v>2.5663870149243503E-5</v>
      </c>
      <c r="G12" s="14">
        <v>4.8486150433101963E-6</v>
      </c>
      <c r="H12" s="14">
        <v>0</v>
      </c>
      <c r="I12" s="14">
        <v>5.1735485272395634E-7</v>
      </c>
      <c r="J12" s="14">
        <v>7.4598541263049405E-6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6.2497945496168652E-9</v>
      </c>
      <c r="E13" s="14">
        <v>2.2553730234119618E-6</v>
      </c>
      <c r="F13" s="14">
        <v>2.3863819520580898E-5</v>
      </c>
      <c r="G13" s="14">
        <v>4.6691251114579493E-6</v>
      </c>
      <c r="H13" s="14">
        <v>0</v>
      </c>
      <c r="I13" s="14">
        <v>4.9683658846515969E-7</v>
      </c>
      <c r="J13" s="14">
        <v>8.7085959615344236E-6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2.0849489690180527E-9</v>
      </c>
      <c r="E14" s="14">
        <v>1.4684124913418099E-7</v>
      </c>
      <c r="F14" s="14">
        <v>2.1561036986839256E-5</v>
      </c>
      <c r="G14" s="14">
        <v>1.2372720432823681E-5</v>
      </c>
      <c r="H14" s="14">
        <v>0</v>
      </c>
      <c r="I14" s="14">
        <v>1.3550795065403331E-6</v>
      </c>
      <c r="J14" s="14">
        <v>4.5622368756935347E-6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3.4314778515511816E-12</v>
      </c>
      <c r="E15" s="14">
        <v>2.3735251650985119E-7</v>
      </c>
      <c r="F15" s="14">
        <v>2.5518516005261064E-5</v>
      </c>
      <c r="G15" s="14">
        <v>8.6866229366723377E-6</v>
      </c>
      <c r="H15" s="14">
        <v>0</v>
      </c>
      <c r="I15" s="14">
        <v>9.4471598788023241E-7</v>
      </c>
      <c r="J15" s="14">
        <v>4.6127891221986608E-6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1.6080218311777481E-8</v>
      </c>
      <c r="E16" s="14">
        <v>5.1289041289998214E-8</v>
      </c>
      <c r="F16" s="14">
        <v>1.34513587486076E-5</v>
      </c>
      <c r="G16" s="14">
        <v>2.0401481736069086E-5</v>
      </c>
      <c r="H16" s="14">
        <v>0</v>
      </c>
      <c r="I16" s="14">
        <v>2.2640892067769571E-6</v>
      </c>
      <c r="J16" s="14">
        <v>3.8157010489445893E-6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1.2121496926653681E-9</v>
      </c>
      <c r="E17" s="14">
        <v>2.6546599405977578E-7</v>
      </c>
      <c r="F17" s="14">
        <v>2.6401613596070767E-5</v>
      </c>
      <c r="G17" s="14">
        <v>7.8872576133604491E-6</v>
      </c>
      <c r="H17" s="14">
        <v>0</v>
      </c>
      <c r="I17" s="14">
        <v>8.5628956761134732E-7</v>
      </c>
      <c r="J17" s="14">
        <v>4.5881610792050001E-6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1.2071527521205395E-7</v>
      </c>
      <c r="E18" s="14">
        <v>2.8169223099147113E-6</v>
      </c>
      <c r="F18" s="14">
        <v>2.2637915980931665E-5</v>
      </c>
      <c r="G18" s="14">
        <v>4.519933019691628E-6</v>
      </c>
      <c r="H18" s="14">
        <v>0</v>
      </c>
      <c r="I18" s="14">
        <v>4.8031047311995317E-7</v>
      </c>
      <c r="J18" s="14">
        <v>9.4242029411300042E-6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1.2024226576645759E-11</v>
      </c>
      <c r="E19" s="14">
        <v>2.3437419411927131E-7</v>
      </c>
      <c r="F19" s="14">
        <v>2.541741419397233E-5</v>
      </c>
      <c r="G19" s="14">
        <v>8.7786335702734592E-6</v>
      </c>
      <c r="H19" s="14">
        <v>0</v>
      </c>
      <c r="I19" s="14">
        <v>9.549076798893043E-7</v>
      </c>
      <c r="J19" s="14">
        <v>4.6146583375190626E-6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9.4607012944701154E-10</v>
      </c>
      <c r="E20" s="14">
        <v>2.2556721170683304E-6</v>
      </c>
      <c r="F20" s="14">
        <v>2.3866984193103468E-5</v>
      </c>
      <c r="G20" s="14">
        <v>4.6697443020251555E-6</v>
      </c>
      <c r="H20" s="14">
        <v>0</v>
      </c>
      <c r="I20" s="14">
        <v>4.969024758684049E-7</v>
      </c>
      <c r="J20" s="14">
        <v>8.7097508418051979E-6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1.7488604664836982E-8</v>
      </c>
      <c r="E21" s="14">
        <v>1.6635957456738375E-7</v>
      </c>
      <c r="F21" s="14">
        <v>2.2595886021575339E-5</v>
      </c>
      <c r="G21" s="14">
        <v>1.137954586998901E-5</v>
      </c>
      <c r="H21" s="14">
        <v>0</v>
      </c>
      <c r="I21" s="14">
        <v>1.2441109475934345E-6</v>
      </c>
      <c r="J21" s="14">
        <v>4.5966089816100099E-6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7.8282705492988212E-8</v>
      </c>
      <c r="E22" s="14">
        <v>2.2406729293205462E-5</v>
      </c>
      <c r="F22" s="14">
        <v>4.7944637746130694E-6</v>
      </c>
      <c r="G22" s="14">
        <v>1.2503615119403169E-6</v>
      </c>
      <c r="H22" s="14">
        <v>0</v>
      </c>
      <c r="I22" s="14">
        <v>1.4229346711851051E-7</v>
      </c>
      <c r="J22" s="14">
        <v>1.1327869247629656E-5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3.339267436953313E-9</v>
      </c>
      <c r="E23" s="14">
        <v>2.8359844354620653E-5</v>
      </c>
      <c r="F23" s="14">
        <v>2.2883656355799757E-6</v>
      </c>
      <c r="G23" s="14">
        <v>6.4124054226868266E-7</v>
      </c>
      <c r="H23" s="14">
        <v>0</v>
      </c>
      <c r="I23" s="14">
        <v>8.2716619683590972E-8</v>
      </c>
      <c r="J23" s="14">
        <v>8.624493580410153E-6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2.8721544608422066E-9</v>
      </c>
      <c r="E24" s="14">
        <v>6.903994433876895E-6</v>
      </c>
      <c r="F24" s="14">
        <v>1.6706366587805954E-5</v>
      </c>
      <c r="G24" s="14">
        <v>3.6439932369030559E-6</v>
      </c>
      <c r="H24" s="14">
        <v>0</v>
      </c>
      <c r="I24" s="14">
        <v>3.864238315674807E-7</v>
      </c>
      <c r="J24" s="14">
        <v>1.2356349755385773E-5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5.2420033928120123E-7</v>
      </c>
      <c r="E25" s="14">
        <v>8.2052144894123085E-7</v>
      </c>
      <c r="F25" s="14">
        <v>2.7426570946324701E-5</v>
      </c>
      <c r="G25" s="14">
        <v>4.9302287280466714E-6</v>
      </c>
      <c r="H25" s="14">
        <v>0</v>
      </c>
      <c r="I25" s="14">
        <v>5.2842691660707202E-7</v>
      </c>
      <c r="J25" s="14">
        <v>5.7700516207991276E-6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1.4054705933712139E-8</v>
      </c>
      <c r="E26" s="14">
        <v>1.8049883529112659E-7</v>
      </c>
      <c r="F26" s="14">
        <v>2.3275337022214539E-5</v>
      </c>
      <c r="G26" s="14">
        <v>1.0744631701226122E-5</v>
      </c>
      <c r="H26" s="14">
        <v>0</v>
      </c>
      <c r="I26" s="14">
        <v>1.1733198681567141E-6</v>
      </c>
      <c r="J26" s="14">
        <v>4.6121578671777916E-6</v>
      </c>
      <c r="K26" s="14">
        <v>0</v>
      </c>
    </row>
    <row r="27" spans="1:13">
      <c r="A27" s="2" t="s">
        <v>353</v>
      </c>
      <c r="B27" s="3" t="s">
        <v>354</v>
      </c>
      <c r="D27" s="14">
        <v>9.3883758958960335E-8</v>
      </c>
      <c r="E27" s="14">
        <v>2.7178351449982385E-8</v>
      </c>
      <c r="F27" s="14">
        <v>9.6508304238676463E-6</v>
      </c>
      <c r="G27" s="14">
        <v>2.4319813491344771E-5</v>
      </c>
      <c r="H27" s="14">
        <v>0</v>
      </c>
      <c r="I27" s="14">
        <v>2.717690229781497E-6</v>
      </c>
      <c r="J27" s="14">
        <v>3.1906037445971468E-6</v>
      </c>
      <c r="K27" s="14">
        <v>0</v>
      </c>
    </row>
    <row r="28" spans="1:13">
      <c r="A28" s="2" t="s">
        <v>355</v>
      </c>
      <c r="B28" s="3" t="s">
        <v>356</v>
      </c>
      <c r="D28" s="14">
        <v>5.2225778793241228E-9</v>
      </c>
      <c r="E28" s="14">
        <v>9.8631937751941008E-8</v>
      </c>
      <c r="F28" s="14">
        <v>1.8296125888130302E-5</v>
      </c>
      <c r="G28" s="14">
        <v>1.5532976857090247E-5</v>
      </c>
      <c r="H28" s="14">
        <v>0</v>
      </c>
      <c r="I28" s="14">
        <v>1.7102457312773511E-6</v>
      </c>
      <c r="J28" s="14">
        <v>4.3567970078708424E-6</v>
      </c>
      <c r="K28" s="14">
        <v>0</v>
      </c>
    </row>
    <row r="29" spans="1:13">
      <c r="A29" s="2" t="s">
        <v>357</v>
      </c>
      <c r="B29" s="3" t="s">
        <v>358</v>
      </c>
      <c r="D29" s="14">
        <v>1.0606283165768956E-6</v>
      </c>
      <c r="E29" s="14">
        <v>1.4910625355674192E-7</v>
      </c>
      <c r="F29" s="14">
        <v>2.1332287718896253E-5</v>
      </c>
      <c r="G29" s="14">
        <v>1.1720145086775933E-5</v>
      </c>
      <c r="H29" s="14">
        <v>0</v>
      </c>
      <c r="I29" s="14">
        <v>1.2828540619521103E-6</v>
      </c>
      <c r="J29" s="14">
        <v>4.4549785622420673E-6</v>
      </c>
      <c r="K29" s="14">
        <v>0</v>
      </c>
    </row>
    <row r="30" spans="1:13">
      <c r="A30" s="2" t="s">
        <v>359</v>
      </c>
      <c r="B30" s="3" t="s">
        <v>360</v>
      </c>
      <c r="D30" s="14">
        <v>5.2225778793241228E-9</v>
      </c>
      <c r="E30" s="14">
        <v>9.8631937751941008E-8</v>
      </c>
      <c r="F30" s="14">
        <v>1.8296125888130302E-5</v>
      </c>
      <c r="G30" s="14">
        <v>1.5532976857090247E-5</v>
      </c>
      <c r="H30" s="14">
        <v>0</v>
      </c>
      <c r="I30" s="14">
        <v>1.7102457312773511E-6</v>
      </c>
      <c r="J30" s="14">
        <v>4.3567970078708424E-6</v>
      </c>
      <c r="K30" s="14">
        <v>0</v>
      </c>
    </row>
    <row r="31" spans="1:13">
      <c r="A31" s="2" t="s">
        <v>283</v>
      </c>
      <c r="B31" s="3" t="s">
        <v>284</v>
      </c>
      <c r="D31" s="14">
        <v>1.0480811336337733E-12</v>
      </c>
      <c r="E31" s="14">
        <v>3.9007448514113064E-5</v>
      </c>
      <c r="F31" s="14">
        <v>2.4003198589889398E-8</v>
      </c>
      <c r="G31" s="14">
        <v>9.6330690569402809E-9</v>
      </c>
      <c r="H31" s="14">
        <v>0</v>
      </c>
      <c r="I31" s="14">
        <v>2.4633627770516892E-8</v>
      </c>
      <c r="J31" s="14">
        <v>9.342805423884557E-7</v>
      </c>
      <c r="K31" s="14">
        <v>0</v>
      </c>
    </row>
    <row r="32" spans="1:13">
      <c r="A32" s="2" t="s">
        <v>361</v>
      </c>
      <c r="B32" s="3" t="s">
        <v>362</v>
      </c>
      <c r="D32" s="14">
        <v>8.4936630982680069E-13</v>
      </c>
      <c r="E32" s="14">
        <v>1.7289157903533134E-5</v>
      </c>
      <c r="F32" s="14">
        <v>7.7722602737893808E-6</v>
      </c>
      <c r="G32" s="14">
        <v>1.916311020036048E-6</v>
      </c>
      <c r="H32" s="14">
        <v>0</v>
      </c>
      <c r="I32" s="14">
        <v>2.1139985056898442E-7</v>
      </c>
      <c r="J32" s="14">
        <v>1.2810870102706144E-5</v>
      </c>
      <c r="K32" s="14">
        <v>0</v>
      </c>
    </row>
    <row r="33" spans="1:11">
      <c r="A33" s="2" t="s">
        <v>364</v>
      </c>
      <c r="B33" s="3" t="s">
        <v>365</v>
      </c>
      <c r="D33" s="14">
        <v>4.8257167823956022E-15</v>
      </c>
      <c r="E33" s="14">
        <v>3.9805091224894869E-5</v>
      </c>
      <c r="F33" s="14">
        <v>1.6798874975341357E-7</v>
      </c>
      <c r="G33" s="14">
        <v>5.1369758087231426E-11</v>
      </c>
      <c r="H33" s="14">
        <v>0</v>
      </c>
      <c r="I33" s="14">
        <v>2.4585050154036989E-8</v>
      </c>
      <c r="J33" s="14">
        <v>2.2836006138804791E-9</v>
      </c>
      <c r="K33" s="14">
        <v>0</v>
      </c>
    </row>
    <row r="34" spans="1:11">
      <c r="A34" s="2" t="s">
        <v>285</v>
      </c>
      <c r="B34" s="3" t="s">
        <v>286</v>
      </c>
      <c r="D34" s="14">
        <v>1.4340570757956961E-14</v>
      </c>
      <c r="E34" s="14">
        <v>2.1880276741019187E-5</v>
      </c>
      <c r="F34" s="14">
        <v>1.8065682983464957E-5</v>
      </c>
      <c r="G34" s="14">
        <v>1.4836412244001218E-9</v>
      </c>
      <c r="H34" s="14">
        <v>0</v>
      </c>
      <c r="I34" s="14">
        <v>4.4779093036617003E-8</v>
      </c>
      <c r="J34" s="14">
        <v>7.7775269142641936E-9</v>
      </c>
      <c r="K34" s="14">
        <v>0</v>
      </c>
    </row>
    <row r="35" spans="1:11">
      <c r="A35" s="2" t="s">
        <v>287</v>
      </c>
      <c r="B35" s="3" t="s">
        <v>288</v>
      </c>
      <c r="D35" s="14">
        <v>4.1764172183823913E-16</v>
      </c>
      <c r="E35" s="14">
        <v>1.2950921508005734E-5</v>
      </c>
      <c r="F35" s="14">
        <v>2.697256482690152E-5</v>
      </c>
      <c r="G35" s="14">
        <v>5.2233553004885972E-9</v>
      </c>
      <c r="H35" s="14">
        <v>0</v>
      </c>
      <c r="I35" s="14">
        <v>5.2468464109140135E-8</v>
      </c>
      <c r="J35" s="14">
        <v>1.8821845265482835E-8</v>
      </c>
      <c r="K35" s="14">
        <v>0</v>
      </c>
    </row>
    <row r="36" spans="1:11">
      <c r="A36" s="2" t="s">
        <v>366</v>
      </c>
      <c r="B36" s="3" t="s">
        <v>305</v>
      </c>
      <c r="D36" s="14">
        <v>7.361999494332899E-13</v>
      </c>
      <c r="E36" s="14">
        <v>4.3195194818950315E-6</v>
      </c>
      <c r="F36" s="14">
        <v>3.5592378520075283E-5</v>
      </c>
      <c r="G36" s="14">
        <v>1.0190577470761868E-8</v>
      </c>
      <c r="H36" s="14">
        <v>0</v>
      </c>
      <c r="I36" s="14">
        <v>5.6877190187841978E-8</v>
      </c>
      <c r="J36" s="14">
        <v>2.1033494171136025E-8</v>
      </c>
      <c r="K36" s="14">
        <v>0</v>
      </c>
    </row>
    <row r="37" spans="1:11">
      <c r="A37" s="2" t="s">
        <v>289</v>
      </c>
      <c r="B37" s="3" t="s">
        <v>290</v>
      </c>
      <c r="D37" s="14">
        <v>1.6714436203170268E-19</v>
      </c>
      <c r="E37" s="14">
        <v>8.2975633896145038E-6</v>
      </c>
      <c r="F37" s="14">
        <v>2.7791510590747537E-5</v>
      </c>
      <c r="G37" s="14">
        <v>9.4881524533998807E-7</v>
      </c>
      <c r="H37" s="14">
        <v>0</v>
      </c>
      <c r="I37" s="14">
        <v>1.4181741524722512E-7</v>
      </c>
      <c r="J37" s="14">
        <v>2.8202933590505828E-6</v>
      </c>
      <c r="K37" s="14">
        <v>0</v>
      </c>
    </row>
    <row r="38" spans="1:11">
      <c r="A38" s="2" t="s">
        <v>291</v>
      </c>
      <c r="B38" s="3" t="s">
        <v>292</v>
      </c>
      <c r="D38" s="14">
        <v>4.8273844163186407E-17</v>
      </c>
      <c r="E38" s="14">
        <v>2.4502800131497391E-5</v>
      </c>
      <c r="F38" s="14">
        <v>1.5365874855682028E-5</v>
      </c>
      <c r="G38" s="14">
        <v>1.2837319184213922E-8</v>
      </c>
      <c r="H38" s="14">
        <v>0</v>
      </c>
      <c r="I38" s="14">
        <v>4.3258402368274207E-8</v>
      </c>
      <c r="J38" s="14">
        <v>7.5229291219822614E-8</v>
      </c>
      <c r="K38" s="14">
        <v>0</v>
      </c>
    </row>
    <row r="39" spans="1:11">
      <c r="A39" s="2" t="s">
        <v>367</v>
      </c>
      <c r="B39" s="3" t="s">
        <v>368</v>
      </c>
      <c r="D39" s="14">
        <v>5.7397258649039559E-10</v>
      </c>
      <c r="E39" s="14">
        <v>4.0884980138718615E-7</v>
      </c>
      <c r="F39" s="14">
        <v>2.9516534450955033E-5</v>
      </c>
      <c r="G39" s="14">
        <v>5.1553828302735184E-6</v>
      </c>
      <c r="H39" s="14">
        <v>0</v>
      </c>
      <c r="I39" s="14">
        <v>5.5577609796125729E-7</v>
      </c>
      <c r="J39" s="14">
        <v>4.3628828468365204E-6</v>
      </c>
      <c r="K39" s="14">
        <v>0</v>
      </c>
    </row>
    <row r="40" spans="1:11">
      <c r="A40" s="2" t="s">
        <v>369</v>
      </c>
      <c r="B40" s="3" t="s">
        <v>370</v>
      </c>
      <c r="D40" s="14">
        <v>3.3943950594475354E-17</v>
      </c>
      <c r="E40" s="14">
        <v>3.7007555863582439E-8</v>
      </c>
      <c r="F40" s="14">
        <v>3.3765406125056205E-5</v>
      </c>
      <c r="G40" s="14">
        <v>2.4428249926825918E-6</v>
      </c>
      <c r="H40" s="14">
        <v>0</v>
      </c>
      <c r="I40" s="14">
        <v>3.6485416472266756E-6</v>
      </c>
      <c r="J40" s="14">
        <v>1.0621967913700956E-7</v>
      </c>
      <c r="K40" s="14">
        <v>0</v>
      </c>
    </row>
    <row r="41" spans="1:11">
      <c r="A41" s="2" t="s">
        <v>371</v>
      </c>
      <c r="B41" s="3" t="s">
        <v>372</v>
      </c>
      <c r="D41" s="14">
        <v>3.2704556584546256E-6</v>
      </c>
      <c r="E41" s="14">
        <v>3.6522534316423551E-5</v>
      </c>
      <c r="F41" s="14">
        <v>1.1181047182477689E-9</v>
      </c>
      <c r="G41" s="14">
        <v>5.5972929241213676E-10</v>
      </c>
      <c r="H41" s="14">
        <v>0</v>
      </c>
      <c r="I41" s="14">
        <v>2.2231212245987758E-8</v>
      </c>
      <c r="J41" s="14">
        <v>1.8310097886517845E-7</v>
      </c>
      <c r="K41" s="14">
        <v>0</v>
      </c>
    </row>
    <row r="42" spans="1:11">
      <c r="A42" s="2" t="s">
        <v>293</v>
      </c>
      <c r="B42" s="3" t="s">
        <v>294</v>
      </c>
      <c r="D42" s="14">
        <v>6.9855171086420214E-13</v>
      </c>
      <c r="E42" s="14">
        <v>2.091082662384905E-5</v>
      </c>
      <c r="F42" s="14">
        <v>5.6036728871890237E-6</v>
      </c>
      <c r="G42" s="14">
        <v>1.4373691879717701E-6</v>
      </c>
      <c r="H42" s="14">
        <v>0</v>
      </c>
      <c r="I42" s="14">
        <v>1.6089250794301146E-7</v>
      </c>
      <c r="J42" s="14">
        <v>1.1887238094495437E-5</v>
      </c>
      <c r="K42" s="14">
        <v>0</v>
      </c>
    </row>
    <row r="43" spans="1:11">
      <c r="A43" s="2" t="s">
        <v>373</v>
      </c>
      <c r="B43" s="3" t="s">
        <v>374</v>
      </c>
      <c r="D43" s="14">
        <v>1.7205424069461472E-12</v>
      </c>
      <c r="E43" s="14">
        <v>3.5167677649777293E-7</v>
      </c>
      <c r="F43" s="14">
        <v>3.9482556389075931E-5</v>
      </c>
      <c r="G43" s="14">
        <v>3.3337051483102888E-8</v>
      </c>
      <c r="H43" s="14">
        <v>0</v>
      </c>
      <c r="I43" s="14">
        <v>1.1559977903716858E-7</v>
      </c>
      <c r="J43" s="14">
        <v>1.6828283363614864E-8</v>
      </c>
      <c r="K43" s="14">
        <v>0</v>
      </c>
    </row>
    <row r="44" spans="1:11">
      <c r="A44" s="2" t="s">
        <v>375</v>
      </c>
      <c r="B44" s="3" t="s">
        <v>376</v>
      </c>
      <c r="D44" s="14">
        <v>3.4027921241979093E-6</v>
      </c>
      <c r="E44" s="14">
        <v>3.0454260586180313E-5</v>
      </c>
      <c r="F44" s="14">
        <v>7.7787467733403934E-7</v>
      </c>
      <c r="G44" s="14">
        <v>2.3724943629512989E-7</v>
      </c>
      <c r="H44" s="14">
        <v>0</v>
      </c>
      <c r="I44" s="14">
        <v>4.2508642667885557E-8</v>
      </c>
      <c r="J44" s="14">
        <v>5.0853145333247231E-6</v>
      </c>
      <c r="K44" s="14">
        <v>0</v>
      </c>
    </row>
    <row r="45" spans="1:11">
      <c r="A45" s="2" t="s">
        <v>377</v>
      </c>
      <c r="B45" s="3" t="s">
        <v>378</v>
      </c>
      <c r="D45" s="14">
        <v>2.6563952387175812E-8</v>
      </c>
      <c r="E45" s="14">
        <v>1.9497787538690097E-5</v>
      </c>
      <c r="F45" s="14">
        <v>6.3821485423962432E-6</v>
      </c>
      <c r="G45" s="14">
        <v>1.6131043539455061E-6</v>
      </c>
      <c r="H45" s="14">
        <v>0</v>
      </c>
      <c r="I45" s="14">
        <v>1.7841342219211929E-7</v>
      </c>
      <c r="J45" s="14">
        <v>1.2301982190388865E-5</v>
      </c>
      <c r="K45" s="14">
        <v>0</v>
      </c>
    </row>
    <row r="46" spans="1:11">
      <c r="A46" s="2" t="s">
        <v>379</v>
      </c>
      <c r="B46" s="3" t="s">
        <v>380</v>
      </c>
      <c r="D46" s="14">
        <v>7.9895931505115132E-8</v>
      </c>
      <c r="E46" s="14">
        <v>2.0347792730489271E-5</v>
      </c>
      <c r="F46" s="14">
        <v>5.8775844715064761E-6</v>
      </c>
      <c r="G46" s="14">
        <v>1.4993203471591014E-6</v>
      </c>
      <c r="H46" s="14">
        <v>0</v>
      </c>
      <c r="I46" s="14">
        <v>1.6702858255371862E-7</v>
      </c>
      <c r="J46" s="14">
        <v>1.2028377936786326E-5</v>
      </c>
      <c r="K46" s="14">
        <v>0</v>
      </c>
    </row>
    <row r="47" spans="1:11">
      <c r="A47" s="2" t="s">
        <v>381</v>
      </c>
      <c r="B47" s="3" t="s">
        <v>382</v>
      </c>
      <c r="D47" s="14">
        <v>1.595046484336644E-12</v>
      </c>
      <c r="E47" s="14">
        <v>2.4780267188210678E-8</v>
      </c>
      <c r="F47" s="14">
        <v>9.1885621903450099E-6</v>
      </c>
      <c r="G47" s="14">
        <v>2.4896776145797724E-5</v>
      </c>
      <c r="H47" s="14">
        <v>0</v>
      </c>
      <c r="I47" s="14">
        <v>2.78492169402515E-6</v>
      </c>
      <c r="J47" s="14">
        <v>3.1049581075974239E-6</v>
      </c>
      <c r="K47" s="14">
        <v>0</v>
      </c>
    </row>
    <row r="48" spans="1:11">
      <c r="A48" s="2" t="s">
        <v>383</v>
      </c>
      <c r="B48" s="3" t="s">
        <v>384</v>
      </c>
      <c r="D48" s="14">
        <v>4.7054698295690286E-7</v>
      </c>
      <c r="E48" s="14">
        <v>3.6102363424729114E-5</v>
      </c>
      <c r="F48" s="14">
        <v>2.5123330296338904E-7</v>
      </c>
      <c r="G48" s="14">
        <v>8.4328187007718895E-8</v>
      </c>
      <c r="H48" s="14">
        <v>0</v>
      </c>
      <c r="I48" s="14">
        <v>3.0372583948687581E-8</v>
      </c>
      <c r="J48" s="14">
        <v>3.0611555183941941E-6</v>
      </c>
      <c r="K48" s="14">
        <v>0</v>
      </c>
    </row>
    <row r="49" spans="1:11">
      <c r="A49" s="2" t="s">
        <v>385</v>
      </c>
      <c r="B49" s="3" t="s">
        <v>386</v>
      </c>
      <c r="D49" s="14">
        <v>8.7849545256028038E-7</v>
      </c>
      <c r="E49" s="14">
        <v>3.444864612975424E-5</v>
      </c>
      <c r="F49" s="14">
        <v>4.4793369495840187E-7</v>
      </c>
      <c r="G49" s="14">
        <v>1.4358507124957756E-7</v>
      </c>
      <c r="H49" s="14">
        <v>0</v>
      </c>
      <c r="I49" s="14">
        <v>3.5376542422506591E-8</v>
      </c>
      <c r="J49" s="14">
        <v>4.0459631090550019E-6</v>
      </c>
      <c r="K49" s="14">
        <v>0</v>
      </c>
    </row>
    <row r="50" spans="1:11">
      <c r="A50" s="2" t="s">
        <v>387</v>
      </c>
      <c r="B50" s="3" t="s">
        <v>388</v>
      </c>
      <c r="D50" s="14">
        <v>2.607584157398741E-7</v>
      </c>
      <c r="E50" s="14">
        <v>2.9814736424766721E-6</v>
      </c>
      <c r="F50" s="14">
        <v>2.2228622408825974E-5</v>
      </c>
      <c r="G50" s="14">
        <v>4.4628069839527065E-6</v>
      </c>
      <c r="H50" s="14">
        <v>0</v>
      </c>
      <c r="I50" s="14">
        <v>4.740831273368626E-7</v>
      </c>
      <c r="J50" s="14">
        <v>9.5922554216679122E-6</v>
      </c>
      <c r="K50" s="14">
        <v>0</v>
      </c>
    </row>
    <row r="51" spans="1:11">
      <c r="A51" s="2" t="s">
        <v>295</v>
      </c>
      <c r="B51" s="3" t="s">
        <v>296</v>
      </c>
      <c r="D51" s="14">
        <v>2.6206008981415549E-6</v>
      </c>
      <c r="E51" s="14">
        <v>3.6117154426258049E-5</v>
      </c>
      <c r="F51" s="14">
        <v>4.0501872336841961E-8</v>
      </c>
      <c r="G51" s="14">
        <v>1.5551441671007834E-8</v>
      </c>
      <c r="H51" s="14">
        <v>0</v>
      </c>
      <c r="I51" s="14">
        <v>2.3467697439069919E-8</v>
      </c>
      <c r="J51" s="14">
        <v>1.1827236641534822E-6</v>
      </c>
      <c r="K51" s="14">
        <v>0</v>
      </c>
    </row>
    <row r="52" spans="1:11">
      <c r="A52" s="2" t="s">
        <v>389</v>
      </c>
      <c r="B52" s="3" t="s">
        <v>390</v>
      </c>
      <c r="D52" s="14">
        <v>2.7540672019236174E-6</v>
      </c>
      <c r="E52" s="14">
        <v>2.8863379117788738E-5</v>
      </c>
      <c r="F52" s="14">
        <v>1.3435342685690453E-6</v>
      </c>
      <c r="G52" s="14">
        <v>3.9205256856762152E-7</v>
      </c>
      <c r="H52" s="14">
        <v>0</v>
      </c>
      <c r="I52" s="14">
        <v>5.7398993424395539E-8</v>
      </c>
      <c r="J52" s="14">
        <v>6.5895678497265842E-6</v>
      </c>
      <c r="K52" s="14">
        <v>0</v>
      </c>
    </row>
    <row r="53" spans="1:11">
      <c r="A53" s="2" t="s">
        <v>391</v>
      </c>
      <c r="B53" s="3" t="s">
        <v>392</v>
      </c>
      <c r="D53" s="14">
        <v>7.8327125070998991E-8</v>
      </c>
      <c r="E53" s="14">
        <v>1.5069707644701315E-5</v>
      </c>
      <c r="F53" s="14">
        <v>9.2169323804984424E-6</v>
      </c>
      <c r="G53" s="14">
        <v>2.2247537972047671E-6</v>
      </c>
      <c r="H53" s="14">
        <v>0</v>
      </c>
      <c r="I53" s="14">
        <v>2.4001181682590976E-7</v>
      </c>
      <c r="J53" s="14">
        <v>1.3170267235698576E-5</v>
      </c>
      <c r="K53" s="14">
        <v>0</v>
      </c>
    </row>
    <row r="54" spans="1:11">
      <c r="A54" s="2" t="s">
        <v>393</v>
      </c>
      <c r="B54" s="3" t="s">
        <v>394</v>
      </c>
      <c r="D54" s="14">
        <v>7.3723675512461189E-9</v>
      </c>
      <c r="E54" s="14">
        <v>3.467525148499856E-8</v>
      </c>
      <c r="F54" s="14">
        <v>1.1002242014903373E-5</v>
      </c>
      <c r="G54" s="14">
        <v>2.2960257226705939E-5</v>
      </c>
      <c r="H54" s="14">
        <v>0</v>
      </c>
      <c r="I54" s="14">
        <v>2.5591665298488753E-6</v>
      </c>
      <c r="J54" s="14">
        <v>3.436286609505564E-6</v>
      </c>
      <c r="K54" s="14">
        <v>0</v>
      </c>
    </row>
    <row r="55" spans="1:11">
      <c r="A55" s="2" t="s">
        <v>395</v>
      </c>
      <c r="B55" s="3" t="s">
        <v>396</v>
      </c>
      <c r="D55" s="14">
        <v>5.280399675632621E-6</v>
      </c>
      <c r="E55" s="14">
        <v>5.4100270462254894E-6</v>
      </c>
      <c r="F55" s="14">
        <v>1.5210413147958922E-5</v>
      </c>
      <c r="G55" s="14">
        <v>3.2812291867090646E-6</v>
      </c>
      <c r="H55" s="14">
        <v>0</v>
      </c>
      <c r="I55" s="14">
        <v>3.4787031531981601E-7</v>
      </c>
      <c r="J55" s="14">
        <v>1.0470060628154093E-5</v>
      </c>
      <c r="K55" s="14">
        <v>0</v>
      </c>
    </row>
    <row r="56" spans="1:11">
      <c r="A56" s="2" t="s">
        <v>397</v>
      </c>
      <c r="B56" s="3" t="s">
        <v>398</v>
      </c>
      <c r="D56" s="14">
        <v>2.4043854580736071E-5</v>
      </c>
      <c r="E56" s="14">
        <v>6.4179559685237842E-7</v>
      </c>
      <c r="F56" s="14">
        <v>1.0131606350699554E-5</v>
      </c>
      <c r="G56" s="14">
        <v>1.9247479374651449E-6</v>
      </c>
      <c r="H56" s="14">
        <v>0</v>
      </c>
      <c r="I56" s="14">
        <v>2.0527889785487885E-7</v>
      </c>
      <c r="J56" s="14">
        <v>3.0527166363919766E-6</v>
      </c>
      <c r="K56" s="14">
        <v>0</v>
      </c>
    </row>
    <row r="57" spans="1:11">
      <c r="A57" s="2" t="s">
        <v>399</v>
      </c>
      <c r="B57" s="3" t="s">
        <v>400</v>
      </c>
      <c r="D57" s="14">
        <v>3.0594515018460989E-5</v>
      </c>
      <c r="E57" s="14">
        <v>1.1625087053530753E-6</v>
      </c>
      <c r="F57" s="14">
        <v>4.5239499140447314E-6</v>
      </c>
      <c r="G57" s="14">
        <v>9.5282543859529874E-7</v>
      </c>
      <c r="H57" s="14">
        <v>0</v>
      </c>
      <c r="I57" s="14">
        <v>1.0102443121124645E-7</v>
      </c>
      <c r="J57" s="14">
        <v>2.6651764923346629E-6</v>
      </c>
      <c r="K57" s="14">
        <v>0</v>
      </c>
    </row>
    <row r="58" spans="1:11">
      <c r="A58" s="2" t="s">
        <v>297</v>
      </c>
      <c r="B58" s="3" t="s">
        <v>298</v>
      </c>
      <c r="D58" s="14">
        <v>3.72622564133639E-5</v>
      </c>
      <c r="E58" s="14">
        <v>2.3664742902875518E-6</v>
      </c>
      <c r="F58" s="14">
        <v>3.9513305741566968E-8</v>
      </c>
      <c r="G58" s="14">
        <v>1.2434803314894039E-8</v>
      </c>
      <c r="H58" s="14">
        <v>0</v>
      </c>
      <c r="I58" s="14">
        <v>2.6915591782705364E-9</v>
      </c>
      <c r="J58" s="14">
        <v>3.1662962811381536E-7</v>
      </c>
      <c r="K58" s="14">
        <v>0</v>
      </c>
    </row>
    <row r="59" spans="1:11">
      <c r="A59" s="2" t="s">
        <v>401</v>
      </c>
      <c r="B59" s="3" t="s">
        <v>402</v>
      </c>
      <c r="D59" s="14">
        <v>3.633155164897026E-5</v>
      </c>
      <c r="E59" s="14">
        <v>4.7886884911684963E-7</v>
      </c>
      <c r="F59" s="14">
        <v>1.7288533707318004E-6</v>
      </c>
      <c r="G59" s="14">
        <v>3.6614551301803122E-7</v>
      </c>
      <c r="H59" s="14">
        <v>0</v>
      </c>
      <c r="I59" s="14">
        <v>3.8817838954327311E-8</v>
      </c>
      <c r="J59" s="14">
        <v>1.0557627792087359E-6</v>
      </c>
      <c r="K59" s="14">
        <v>0</v>
      </c>
    </row>
    <row r="60" spans="1:11">
      <c r="A60" s="2" t="s">
        <v>299</v>
      </c>
      <c r="B60" s="3" t="s">
        <v>300</v>
      </c>
      <c r="D60" s="14">
        <v>3.9921018233377637E-5</v>
      </c>
      <c r="E60" s="14">
        <v>1.7910769734543332E-8</v>
      </c>
      <c r="F60" s="14">
        <v>2.8331908128538546E-8</v>
      </c>
      <c r="G60" s="14">
        <v>6.3763387330748291E-9</v>
      </c>
      <c r="H60" s="14">
        <v>0</v>
      </c>
      <c r="I60" s="14">
        <v>6.7748739275592112E-10</v>
      </c>
      <c r="J60" s="14">
        <v>2.5685262633442147E-8</v>
      </c>
      <c r="K60" s="14">
        <v>0</v>
      </c>
    </row>
    <row r="61" spans="1:11">
      <c r="A61" s="2" t="s">
        <v>403</v>
      </c>
      <c r="B61" s="3" t="s">
        <v>404</v>
      </c>
      <c r="D61" s="14">
        <v>1.7768503435336527E-48</v>
      </c>
      <c r="E61" s="14">
        <v>1.1284010748103724E-5</v>
      </c>
      <c r="F61" s="14">
        <v>1.2266624342257074E-5</v>
      </c>
      <c r="G61" s="14">
        <v>2.8380537796198694E-6</v>
      </c>
      <c r="H61" s="14">
        <v>0</v>
      </c>
      <c r="I61" s="14">
        <v>3.0268418785060155E-7</v>
      </c>
      <c r="J61" s="14">
        <v>1.3308626942168729E-5</v>
      </c>
      <c r="K61" s="14">
        <v>0</v>
      </c>
    </row>
    <row r="62" spans="1:11">
      <c r="A62" s="2" t="s">
        <v>405</v>
      </c>
      <c r="B62" s="3" t="s">
        <v>406</v>
      </c>
      <c r="D62" s="14">
        <v>4.1803724767006677E-12</v>
      </c>
      <c r="E62" s="14">
        <v>1.5103848483076614E-7</v>
      </c>
      <c r="F62" s="14">
        <v>2.1796622097052097E-5</v>
      </c>
      <c r="G62" s="14">
        <v>1.2150237019508968E-5</v>
      </c>
      <c r="H62" s="14">
        <v>0</v>
      </c>
      <c r="I62" s="14">
        <v>1.3301912922931369E-6</v>
      </c>
      <c r="J62" s="14">
        <v>4.5719069259425586E-6</v>
      </c>
      <c r="K62" s="14">
        <v>0</v>
      </c>
    </row>
    <row r="63" spans="1:11">
      <c r="A63" s="2" t="s">
        <v>407</v>
      </c>
      <c r="B63" s="3" t="s">
        <v>408</v>
      </c>
      <c r="D63" s="14">
        <v>9.7826935787054388E-10</v>
      </c>
      <c r="E63" s="14">
        <v>1.3487488611573298E-8</v>
      </c>
      <c r="F63" s="14">
        <v>6.5408270420877397E-6</v>
      </c>
      <c r="G63" s="14">
        <v>2.7786140071383591E-5</v>
      </c>
      <c r="H63" s="14">
        <v>0</v>
      </c>
      <c r="I63" s="14">
        <v>3.1272832612714731E-6</v>
      </c>
      <c r="J63" s="14">
        <v>2.5312838672877585E-6</v>
      </c>
      <c r="K63" s="14">
        <v>0</v>
      </c>
    </row>
    <row r="64" spans="1:11">
      <c r="A64" s="2" t="s">
        <v>409</v>
      </c>
      <c r="B64" s="3" t="s">
        <v>410</v>
      </c>
      <c r="D64" s="14">
        <v>1.2058811722208095E-10</v>
      </c>
      <c r="E64" s="14">
        <v>4.6528296781767502E-9</v>
      </c>
      <c r="F64" s="14">
        <v>3.5089625191136145E-6</v>
      </c>
      <c r="G64" s="14">
        <v>3.1237357266397902E-5</v>
      </c>
      <c r="H64" s="14">
        <v>0</v>
      </c>
      <c r="I64" s="14">
        <v>3.5514961758801087E-6</v>
      </c>
      <c r="J64" s="14">
        <v>1.6974106208129871E-6</v>
      </c>
      <c r="K64" s="14">
        <v>0</v>
      </c>
    </row>
    <row r="65" spans="1:11">
      <c r="A65" s="2" t="s">
        <v>301</v>
      </c>
      <c r="B65" s="3" t="s">
        <v>302</v>
      </c>
      <c r="D65" s="14">
        <v>1.4852656973077657E-11</v>
      </c>
      <c r="E65" s="14">
        <v>1.3023772206970246E-9</v>
      </c>
      <c r="F65" s="14">
        <v>1.6228499478237545E-6</v>
      </c>
      <c r="G65" s="14">
        <v>3.3509960912662083E-5</v>
      </c>
      <c r="H65" s="14">
        <v>0</v>
      </c>
      <c r="I65" s="14">
        <v>3.8540908346769348E-6</v>
      </c>
      <c r="J65" s="14">
        <v>1.01178107495955E-6</v>
      </c>
      <c r="K65" s="14">
        <v>0</v>
      </c>
    </row>
    <row r="66" spans="1:11">
      <c r="A66" s="2" t="s">
        <v>303</v>
      </c>
      <c r="B66" s="3" t="s">
        <v>304</v>
      </c>
      <c r="D66" s="14">
        <v>1.4359290230093617E-17</v>
      </c>
      <c r="E66" s="14">
        <v>2.7042423768397362E-9</v>
      </c>
      <c r="F66" s="14">
        <v>2.5322535488288132E-6</v>
      </c>
      <c r="G66" s="14">
        <v>3.2396846922150404E-5</v>
      </c>
      <c r="H66" s="14">
        <v>0</v>
      </c>
      <c r="I66" s="14">
        <v>3.7016772309147726E-6</v>
      </c>
      <c r="J66" s="14">
        <v>1.3665180557148184E-6</v>
      </c>
      <c r="K66" s="14">
        <v>0</v>
      </c>
    </row>
    <row r="67" spans="1:11">
      <c r="A67" s="2" t="s">
        <v>411</v>
      </c>
      <c r="B67" s="3" t="s">
        <v>412</v>
      </c>
      <c r="D67" s="14">
        <v>1.8607721190996477E-7</v>
      </c>
      <c r="E67" s="14">
        <v>3.2435890882564297E-5</v>
      </c>
      <c r="F67" s="14">
        <v>1.0119694573019874E-6</v>
      </c>
      <c r="G67" s="14">
        <v>3.0413259001112142E-7</v>
      </c>
      <c r="H67" s="14">
        <v>0</v>
      </c>
      <c r="I67" s="14">
        <v>5.0530356491044049E-8</v>
      </c>
      <c r="J67" s="14">
        <v>6.0113995017215903E-6</v>
      </c>
      <c r="K67" s="14">
        <v>0</v>
      </c>
    </row>
    <row r="68" spans="1:11">
      <c r="A68" s="2" t="s">
        <v>413</v>
      </c>
      <c r="B68" s="3" t="s">
        <v>414</v>
      </c>
      <c r="D68" s="14">
        <v>3.9906641746080436E-7</v>
      </c>
      <c r="E68" s="14">
        <v>2.9567719041693266E-5</v>
      </c>
      <c r="F68" s="14">
        <v>1.7673371116340012E-6</v>
      </c>
      <c r="G68" s="14">
        <v>5.0630818994180543E-7</v>
      </c>
      <c r="H68" s="14">
        <v>0</v>
      </c>
      <c r="I68" s="14">
        <v>6.9547225043855478E-8</v>
      </c>
      <c r="J68" s="14">
        <v>7.6900220142262701E-6</v>
      </c>
      <c r="K68" s="14">
        <v>0</v>
      </c>
    </row>
    <row r="69" spans="1:11">
      <c r="A69" s="2" t="s">
        <v>415</v>
      </c>
      <c r="B69" s="3" t="s">
        <v>416</v>
      </c>
      <c r="D69" s="14">
        <v>4.7666663191138154E-8</v>
      </c>
      <c r="E69" s="14">
        <v>5.3966890043230848E-8</v>
      </c>
      <c r="F69" s="14">
        <v>1.3790784306197433E-5</v>
      </c>
      <c r="G69" s="14">
        <v>2.0025553161394656E-5</v>
      </c>
      <c r="H69" s="14">
        <v>0</v>
      </c>
      <c r="I69" s="14">
        <v>2.2210525359476385E-6</v>
      </c>
      <c r="J69" s="14">
        <v>3.860976443225914E-6</v>
      </c>
      <c r="K69" s="14">
        <v>0</v>
      </c>
    </row>
    <row r="70" spans="1:11">
      <c r="A70" s="2" t="s">
        <v>417</v>
      </c>
      <c r="B70" s="3" t="s">
        <v>418</v>
      </c>
      <c r="D70" s="14">
        <v>1.2609101212576288E-7</v>
      </c>
      <c r="E70" s="14">
        <v>1.0134837072227358E-6</v>
      </c>
      <c r="F70" s="14">
        <v>2.7049444190331758E-5</v>
      </c>
      <c r="G70" s="14">
        <v>4.9437204057153989E-6</v>
      </c>
      <c r="H70" s="14">
        <v>0</v>
      </c>
      <c r="I70" s="14">
        <v>5.2905203737476329E-7</v>
      </c>
      <c r="J70" s="14">
        <v>6.3382086472295843E-6</v>
      </c>
      <c r="K70" s="14">
        <v>0</v>
      </c>
    </row>
    <row r="71" spans="1:11">
      <c r="A71" s="2" t="s">
        <v>419</v>
      </c>
      <c r="B71" s="3" t="s">
        <v>420</v>
      </c>
      <c r="D71" s="14">
        <v>9.7974291114783651E-7</v>
      </c>
      <c r="E71" s="14">
        <v>2.9588624093916495E-5</v>
      </c>
      <c r="F71" s="14">
        <v>1.600244505666549E-6</v>
      </c>
      <c r="G71" s="14">
        <v>4.618297440407628E-7</v>
      </c>
      <c r="H71" s="14">
        <v>0</v>
      </c>
      <c r="I71" s="14">
        <v>6.4990841351493945E-8</v>
      </c>
      <c r="J71" s="14">
        <v>7.3045679038768727E-6</v>
      </c>
      <c r="K71" s="14">
        <v>0</v>
      </c>
    </row>
    <row r="72" spans="1:11">
      <c r="A72" s="2" t="s">
        <v>421</v>
      </c>
      <c r="B72" s="3" t="s">
        <v>422</v>
      </c>
      <c r="D72" s="14">
        <v>5.2851248661750065E-7</v>
      </c>
      <c r="E72" s="14">
        <v>1.1711375150484587E-6</v>
      </c>
      <c r="F72" s="14">
        <v>2.6237923849931936E-5</v>
      </c>
      <c r="G72" s="14">
        <v>4.8576366062330195E-6</v>
      </c>
      <c r="H72" s="14">
        <v>0</v>
      </c>
      <c r="I72" s="14">
        <v>5.1923165975754689E-7</v>
      </c>
      <c r="J72" s="14">
        <v>6.6855578824115448E-6</v>
      </c>
      <c r="K72" s="14">
        <v>0</v>
      </c>
    </row>
    <row r="73" spans="1:11">
      <c r="A73" s="2" t="s">
        <v>423</v>
      </c>
      <c r="B73" s="3" t="s">
        <v>424</v>
      </c>
      <c r="D73" s="14">
        <v>5.1730760763618397E-7</v>
      </c>
      <c r="E73" s="14">
        <v>1.0381533407512524E-5</v>
      </c>
      <c r="F73" s="14">
        <v>1.2788602249613026E-5</v>
      </c>
      <c r="G73" s="14">
        <v>2.9316939821452795E-6</v>
      </c>
      <c r="H73" s="14">
        <v>0</v>
      </c>
      <c r="I73" s="14">
        <v>3.1219653062504638E-7</v>
      </c>
      <c r="J73" s="14">
        <v>1.3068666222467948E-5</v>
      </c>
      <c r="K73" s="14">
        <v>0</v>
      </c>
    </row>
    <row r="74" spans="1:11">
      <c r="A74" s="2" t="s">
        <v>425</v>
      </c>
      <c r="B74" s="3" t="s">
        <v>426</v>
      </c>
      <c r="D74" s="14">
        <v>1.9457509658985179E-7</v>
      </c>
      <c r="E74" s="14">
        <v>1.0576449382828362E-6</v>
      </c>
      <c r="F74" s="14">
        <v>2.6851062137542281E-5</v>
      </c>
      <c r="G74" s="14">
        <v>4.9255760056227505E-6</v>
      </c>
      <c r="H74" s="14">
        <v>0</v>
      </c>
      <c r="I74" s="14">
        <v>5.2693225193852879E-7</v>
      </c>
      <c r="J74" s="14">
        <v>6.4442095700237574E-6</v>
      </c>
      <c r="K74" s="14">
        <v>0</v>
      </c>
    </row>
    <row r="75" spans="1:11">
      <c r="A75" s="2" t="s">
        <v>427</v>
      </c>
      <c r="B75" s="3" t="s">
        <v>428</v>
      </c>
      <c r="D75" s="14">
        <v>2.1819075962689897E-14</v>
      </c>
      <c r="E75" s="14">
        <v>1.7118630271589109E-7</v>
      </c>
      <c r="F75" s="14">
        <v>3.9428530066743932E-5</v>
      </c>
      <c r="G75" s="14">
        <v>1.5214608986963315E-8</v>
      </c>
      <c r="H75" s="14">
        <v>0</v>
      </c>
      <c r="I75" s="14">
        <v>3.8175636595488189E-7</v>
      </c>
      <c r="J75" s="14">
        <v>3.3126337792569774E-9</v>
      </c>
      <c r="K75" s="14">
        <v>0</v>
      </c>
    </row>
    <row r="76" spans="1:11">
      <c r="A76" s="2" t="s">
        <v>429</v>
      </c>
      <c r="B76" s="3" t="s">
        <v>430</v>
      </c>
      <c r="D76" s="14">
        <v>5.4807040887902597E-16</v>
      </c>
      <c r="E76" s="14">
        <v>1.7118630280692368E-7</v>
      </c>
      <c r="F76" s="14">
        <v>3.9428530087711047E-5</v>
      </c>
      <c r="G76" s="14">
        <v>1.5214608995054061E-8</v>
      </c>
      <c r="H76" s="14">
        <v>0</v>
      </c>
      <c r="I76" s="14">
        <v>3.8175636615789038E-7</v>
      </c>
      <c r="J76" s="14">
        <v>3.3126337810185532E-9</v>
      </c>
      <c r="K76" s="14">
        <v>0</v>
      </c>
    </row>
    <row r="77" spans="1:11">
      <c r="A77" s="2" t="s">
        <v>431</v>
      </c>
      <c r="B77" s="3" t="s">
        <v>432</v>
      </c>
      <c r="D77" s="14">
        <v>9.4077897504594097E-7</v>
      </c>
      <c r="E77" s="14">
        <v>4.0053478926913585E-6</v>
      </c>
      <c r="F77" s="14">
        <v>2.0015286818885541E-5</v>
      </c>
      <c r="G77" s="14">
        <v>4.1386373545620244E-6</v>
      </c>
      <c r="H77" s="14">
        <v>0</v>
      </c>
      <c r="I77" s="14">
        <v>4.3902599588407254E-7</v>
      </c>
      <c r="J77" s="14">
        <v>1.0460922962931065E-5</v>
      </c>
      <c r="K77" s="14">
        <v>0</v>
      </c>
    </row>
    <row r="78" spans="1:11">
      <c r="A78" s="2" t="s">
        <v>433</v>
      </c>
      <c r="B78" s="3" t="s">
        <v>434</v>
      </c>
      <c r="D78" s="14">
        <v>1.3285766122551178E-6</v>
      </c>
      <c r="E78" s="14">
        <v>2.0883305586748424E-5</v>
      </c>
      <c r="F78" s="14">
        <v>5.0636166346827315E-6</v>
      </c>
      <c r="G78" s="14">
        <v>1.3084477155410374E-6</v>
      </c>
      <c r="H78" s="14">
        <v>0</v>
      </c>
      <c r="I78" s="14">
        <v>1.4747833989207679E-7</v>
      </c>
      <c r="J78" s="14">
        <v>1.1268575110880618E-5</v>
      </c>
      <c r="K78" s="14">
        <v>0</v>
      </c>
    </row>
    <row r="79" spans="1:11">
      <c r="A79" s="2" t="s">
        <v>435</v>
      </c>
      <c r="B79" s="3" t="s">
        <v>436</v>
      </c>
      <c r="D79" s="14">
        <v>3.1004758734410982E-7</v>
      </c>
      <c r="E79" s="14">
        <v>1.4638648973284831E-5</v>
      </c>
      <c r="F79" s="14">
        <v>9.4124475921811911E-6</v>
      </c>
      <c r="G79" s="14">
        <v>2.2635918753624823E-6</v>
      </c>
      <c r="H79" s="14">
        <v>0</v>
      </c>
      <c r="I79" s="14">
        <v>2.438722476381754E-7</v>
      </c>
      <c r="J79" s="14">
        <v>1.3131391724189217E-5</v>
      </c>
      <c r="K79" s="14">
        <v>0</v>
      </c>
    </row>
    <row r="80" spans="1:11">
      <c r="A80" s="2" t="s">
        <v>437</v>
      </c>
      <c r="B80" s="3" t="s">
        <v>438</v>
      </c>
      <c r="D80" s="14">
        <v>7.7426827214341161E-15</v>
      </c>
      <c r="E80" s="14">
        <v>1.1503344364057006E-7</v>
      </c>
      <c r="F80" s="14">
        <v>3.9117013988208356E-5</v>
      </c>
      <c r="G80" s="14">
        <v>2.8994518729107188E-8</v>
      </c>
      <c r="H80" s="14">
        <v>0</v>
      </c>
      <c r="I80" s="14">
        <v>7.3495648903362941E-7</v>
      </c>
      <c r="J80" s="14">
        <v>4.0015526456521606E-9</v>
      </c>
      <c r="K80" s="14">
        <v>0</v>
      </c>
    </row>
    <row r="81" spans="1:11">
      <c r="A81" s="2" t="s">
        <v>440</v>
      </c>
      <c r="B81" s="3" t="s">
        <v>441</v>
      </c>
      <c r="D81" s="14">
        <v>7.3911830720136116E-18</v>
      </c>
      <c r="E81" s="14">
        <v>3.8765608015000414E-5</v>
      </c>
      <c r="F81" s="14">
        <v>3.6491202446229335E-8</v>
      </c>
      <c r="G81" s="14">
        <v>1.4193311349238221E-8</v>
      </c>
      <c r="H81" s="14">
        <v>0</v>
      </c>
      <c r="I81" s="14">
        <v>2.493982651020316E-8</v>
      </c>
      <c r="J81" s="14">
        <v>1.1587676446865337E-6</v>
      </c>
      <c r="K81" s="14">
        <v>0</v>
      </c>
    </row>
    <row r="82" spans="1:11">
      <c r="A82" s="2" t="s">
        <v>442</v>
      </c>
      <c r="B82" s="3" t="s">
        <v>443</v>
      </c>
      <c r="D82" s="14">
        <v>3.2924497479818208E-9</v>
      </c>
      <c r="E82" s="14">
        <v>2.8621460794318612E-5</v>
      </c>
      <c r="F82" s="14">
        <v>2.1968144169170318E-6</v>
      </c>
      <c r="G82" s="14">
        <v>6.1785835725965062E-7</v>
      </c>
      <c r="H82" s="14">
        <v>0</v>
      </c>
      <c r="I82" s="14">
        <v>8.0462611221484533E-8</v>
      </c>
      <c r="J82" s="14">
        <v>8.480111370535251E-6</v>
      </c>
      <c r="K82" s="14">
        <v>0</v>
      </c>
    </row>
    <row r="83" spans="1:11">
      <c r="A83" s="2" t="s">
        <v>444</v>
      </c>
      <c r="B83" s="3" t="s">
        <v>445</v>
      </c>
      <c r="D83" s="14">
        <v>2.0043954370728159E-8</v>
      </c>
      <c r="E83" s="14">
        <v>5.0326420959855235E-6</v>
      </c>
      <c r="F83" s="14">
        <v>1.9101066664229599E-5</v>
      </c>
      <c r="G83" s="14">
        <v>4.0304466388486825E-6</v>
      </c>
      <c r="H83" s="14">
        <v>0</v>
      </c>
      <c r="I83" s="14">
        <v>4.2731952448086607E-7</v>
      </c>
      <c r="J83" s="14">
        <v>1.1388481122084606E-5</v>
      </c>
      <c r="K83" s="14">
        <v>0</v>
      </c>
    </row>
    <row r="84" spans="1:11">
      <c r="A84" s="2" t="s">
        <v>446</v>
      </c>
      <c r="B84" s="3" t="s">
        <v>447</v>
      </c>
      <c r="D84" s="14">
        <v>2.2662151794212024E-19</v>
      </c>
      <c r="E84" s="14">
        <v>3.7268660586512896E-5</v>
      </c>
      <c r="F84" s="14">
        <v>1.6329592947083117E-7</v>
      </c>
      <c r="G84" s="14">
        <v>5.6711471280499366E-8</v>
      </c>
      <c r="H84" s="14">
        <v>0</v>
      </c>
      <c r="I84" s="14">
        <v>2.8292989184921669E-8</v>
      </c>
      <c r="J84" s="14">
        <v>2.4830390235506265E-6</v>
      </c>
      <c r="K84" s="14">
        <v>0</v>
      </c>
    </row>
    <row r="85" spans="1:11">
      <c r="A85" s="2" t="s">
        <v>448</v>
      </c>
      <c r="B85" s="3" t="s">
        <v>449</v>
      </c>
      <c r="D85" s="14">
        <v>1.5942802363014931E-12</v>
      </c>
      <c r="E85" s="14">
        <v>3.9482741722876639E-5</v>
      </c>
      <c r="F85" s="14">
        <v>6.702531708562332E-9</v>
      </c>
      <c r="G85" s="14">
        <v>2.9575659157960276E-9</v>
      </c>
      <c r="H85" s="14">
        <v>0</v>
      </c>
      <c r="I85" s="14">
        <v>2.4262900601326885E-8</v>
      </c>
      <c r="J85" s="14">
        <v>4.8333368461743916E-7</v>
      </c>
      <c r="K85" s="14">
        <v>0</v>
      </c>
    </row>
    <row r="86" spans="1:11">
      <c r="A86" s="2" t="s">
        <v>450</v>
      </c>
      <c r="B86" s="3" t="s">
        <v>451</v>
      </c>
      <c r="D86" s="14">
        <v>5.7015467150310802E-13</v>
      </c>
      <c r="E86" s="14">
        <v>3.7338367644862749E-5</v>
      </c>
      <c r="F86" s="14">
        <v>1.5562053424391732E-7</v>
      </c>
      <c r="G86" s="14">
        <v>5.4245342705377437E-8</v>
      </c>
      <c r="H86" s="14">
        <v>0</v>
      </c>
      <c r="I86" s="14">
        <v>2.8086975461031193E-8</v>
      </c>
      <c r="J86" s="14">
        <v>2.4236789325722533E-6</v>
      </c>
      <c r="K86" s="14">
        <v>0</v>
      </c>
    </row>
    <row r="87" spans="1:11">
      <c r="A87" s="2" t="s">
        <v>452</v>
      </c>
      <c r="B87" s="3" t="s">
        <v>453</v>
      </c>
      <c r="D87" s="14">
        <v>1.8324404029458527E-12</v>
      </c>
      <c r="E87" s="14">
        <v>1.966267040406727E-8</v>
      </c>
      <c r="F87" s="14">
        <v>8.0891720711270037E-6</v>
      </c>
      <c r="G87" s="14">
        <v>2.6085527841158814E-5</v>
      </c>
      <c r="H87" s="14">
        <v>0</v>
      </c>
      <c r="I87" s="14">
        <v>2.9248412145783826E-6</v>
      </c>
      <c r="J87" s="14">
        <v>2.8807943702913202E-6</v>
      </c>
      <c r="K87" s="14">
        <v>0</v>
      </c>
    </row>
    <row r="88" spans="1:11">
      <c r="A88" s="2" t="s">
        <v>454</v>
      </c>
      <c r="B88" s="3" t="s">
        <v>455</v>
      </c>
      <c r="D88" s="14">
        <v>1.5915068376492654E-9</v>
      </c>
      <c r="E88" s="14">
        <v>2.3936527630514962E-5</v>
      </c>
      <c r="F88" s="14">
        <v>4.0896178124357718E-6</v>
      </c>
      <c r="G88" s="14">
        <v>1.0843719603885993E-6</v>
      </c>
      <c r="H88" s="14">
        <v>0</v>
      </c>
      <c r="I88" s="14">
        <v>1.259425848971889E-7</v>
      </c>
      <c r="J88" s="14">
        <v>1.0761948504925836E-5</v>
      </c>
      <c r="K88" s="14">
        <v>0</v>
      </c>
    </row>
    <row r="89" spans="1:11">
      <c r="A89" s="2" t="s">
        <v>456</v>
      </c>
      <c r="B89" s="3" t="s">
        <v>457</v>
      </c>
      <c r="D89" s="14">
        <v>1.0855159358334215E-21</v>
      </c>
      <c r="E89" s="14">
        <v>2.7825875908325924E-5</v>
      </c>
      <c r="F89" s="14">
        <v>2.4814779378461717E-6</v>
      </c>
      <c r="G89" s="14">
        <v>6.9024929816289182E-7</v>
      </c>
      <c r="H89" s="14">
        <v>0</v>
      </c>
      <c r="I89" s="14">
        <v>8.7453167329882639E-8</v>
      </c>
      <c r="J89" s="14">
        <v>8.9149436883351371E-6</v>
      </c>
      <c r="K89" s="14">
        <v>0</v>
      </c>
    </row>
    <row r="90" spans="1:11">
      <c r="A90" s="2" t="s">
        <v>458</v>
      </c>
      <c r="B90" s="3" t="s">
        <v>459</v>
      </c>
      <c r="D90" s="14">
        <v>1.6793016311536959E-33</v>
      </c>
      <c r="E90" s="14">
        <v>3.4506534914125125E-5</v>
      </c>
      <c r="F90" s="14">
        <v>5.9074890419738108E-7</v>
      </c>
      <c r="G90" s="14">
        <v>1.8556603151141535E-7</v>
      </c>
      <c r="H90" s="14">
        <v>0</v>
      </c>
      <c r="I90" s="14">
        <v>3.9679074183155355E-8</v>
      </c>
      <c r="J90" s="14">
        <v>4.6774710759829308E-6</v>
      </c>
      <c r="K90" s="14">
        <v>0</v>
      </c>
    </row>
    <row r="91" spans="1:11">
      <c r="A91" s="2" t="s">
        <v>460</v>
      </c>
      <c r="B91" s="3" t="s">
        <v>461</v>
      </c>
      <c r="D91" s="14">
        <v>1.949578325729491E-12</v>
      </c>
      <c r="E91" s="14">
        <v>1.3098251604314714E-7</v>
      </c>
      <c r="F91" s="14">
        <v>2.0611751737100448E-5</v>
      </c>
      <c r="G91" s="14">
        <v>1.3283436935307113E-5</v>
      </c>
      <c r="H91" s="14">
        <v>0</v>
      </c>
      <c r="I91" s="14">
        <v>1.4571076926818657E-6</v>
      </c>
      <c r="J91" s="14">
        <v>4.5167191692891041E-6</v>
      </c>
      <c r="K91" s="14">
        <v>0</v>
      </c>
    </row>
    <row r="92" spans="1:11">
      <c r="A92" s="2" t="s">
        <v>462</v>
      </c>
      <c r="B92" s="3" t="s">
        <v>463</v>
      </c>
      <c r="D92" s="14">
        <v>1.7597806299381856E-13</v>
      </c>
      <c r="E92" s="14">
        <v>7.0211972431881727E-6</v>
      </c>
      <c r="F92" s="14">
        <v>1.6570390682479954E-5</v>
      </c>
      <c r="G92" s="14">
        <v>3.6209981533556489E-6</v>
      </c>
      <c r="H92" s="14">
        <v>0</v>
      </c>
      <c r="I92" s="14">
        <v>3.8400848134937267E-7</v>
      </c>
      <c r="J92" s="14">
        <v>1.2403405263648786E-5</v>
      </c>
      <c r="K92" s="14">
        <v>0</v>
      </c>
    </row>
    <row r="93" spans="1:11">
      <c r="A93" s="2" t="s">
        <v>464</v>
      </c>
      <c r="B93" s="3" t="s">
        <v>465</v>
      </c>
      <c r="D93" s="14">
        <v>7.7891820789374914E-9</v>
      </c>
      <c r="E93" s="14">
        <v>1.5408646666582984E-6</v>
      </c>
      <c r="F93" s="14">
        <v>2.5572080968374964E-5</v>
      </c>
      <c r="G93" s="14">
        <v>4.8401812642977402E-6</v>
      </c>
      <c r="H93" s="14">
        <v>0</v>
      </c>
      <c r="I93" s="14">
        <v>5.1637501559460743E-7</v>
      </c>
      <c r="J93" s="14">
        <v>7.5227089029954622E-6</v>
      </c>
      <c r="K93" s="14">
        <v>0</v>
      </c>
    </row>
    <row r="94" spans="1:11">
      <c r="A94" s="2" t="s">
        <v>466</v>
      </c>
      <c r="B94" s="3" t="s">
        <v>467</v>
      </c>
      <c r="D94" s="14">
        <v>7.3319505193046388E-23</v>
      </c>
      <c r="E94" s="14">
        <v>3.5763847548231531E-5</v>
      </c>
      <c r="F94" s="14">
        <v>4.1991927433834239E-6</v>
      </c>
      <c r="G94" s="14">
        <v>5.518287252615648E-10</v>
      </c>
      <c r="H94" s="14">
        <v>0</v>
      </c>
      <c r="I94" s="14">
        <v>3.0032340254424778E-8</v>
      </c>
      <c r="J94" s="14">
        <v>6.3755394053611179E-9</v>
      </c>
      <c r="K94" s="14">
        <v>0</v>
      </c>
    </row>
    <row r="95" spans="1:11">
      <c r="A95" s="2" t="s">
        <v>468</v>
      </c>
      <c r="B95" s="3" t="s">
        <v>469</v>
      </c>
      <c r="D95" s="14">
        <v>7.9585187888692203E-23</v>
      </c>
      <c r="E95" s="14">
        <v>3.1050234646203262E-7</v>
      </c>
      <c r="F95" s="14">
        <v>2.7593479051267759E-5</v>
      </c>
      <c r="G95" s="14">
        <v>6.826561642622091E-6</v>
      </c>
      <c r="H95" s="14">
        <v>0</v>
      </c>
      <c r="I95" s="14">
        <v>7.3928542628678029E-7</v>
      </c>
      <c r="J95" s="14">
        <v>4.5301715333613335E-6</v>
      </c>
      <c r="K95" s="14">
        <v>0</v>
      </c>
    </row>
    <row r="96" spans="1:11">
      <c r="A96" s="2" t="s">
        <v>470</v>
      </c>
      <c r="B96" s="163">
        <v>354656</v>
      </c>
      <c r="D96" s="14">
        <v>1.4734981754136917E-14</v>
      </c>
      <c r="E96" s="14">
        <v>3.8717048541191983E-5</v>
      </c>
      <c r="F96" s="14">
        <v>3.9284734041152141E-8</v>
      </c>
      <c r="G96" s="14">
        <v>1.5195653174995532E-8</v>
      </c>
      <c r="H96" s="14">
        <v>0</v>
      </c>
      <c r="I96" s="14">
        <v>2.5010105718465579E-8</v>
      </c>
      <c r="J96" s="14">
        <v>1.2034609511384258E-6</v>
      </c>
      <c r="K96" s="14">
        <v>0</v>
      </c>
    </row>
    <row r="97" spans="1:11">
      <c r="A97" s="2" t="s">
        <v>472</v>
      </c>
      <c r="B97" s="3" t="s">
        <v>473</v>
      </c>
      <c r="D97" s="14">
        <v>2.2643675152421403E-14</v>
      </c>
      <c r="E97" s="14">
        <v>3.7233130833539031E-5</v>
      </c>
      <c r="F97" s="14">
        <v>1.6727118389914847E-7</v>
      </c>
      <c r="G97" s="14">
        <v>5.7985136800755974E-8</v>
      </c>
      <c r="H97" s="14">
        <v>0</v>
      </c>
      <c r="I97" s="14">
        <v>2.8399712311796551E-8</v>
      </c>
      <c r="J97" s="14">
        <v>2.5132131108056044E-6</v>
      </c>
      <c r="K97" s="14">
        <v>0</v>
      </c>
    </row>
    <row r="98" spans="1:11">
      <c r="A98" s="2" t="s">
        <v>474</v>
      </c>
      <c r="B98" s="3" t="s">
        <v>475</v>
      </c>
      <c r="D98" s="14">
        <v>1.8483524569479561E-24</v>
      </c>
      <c r="E98" s="14">
        <v>7.2613509908868093E-7</v>
      </c>
      <c r="F98" s="14">
        <v>2.8200642563982113E-5</v>
      </c>
      <c r="G98" s="14">
        <v>5.0136563096732817E-6</v>
      </c>
      <c r="H98" s="14">
        <v>0</v>
      </c>
      <c r="I98" s="14">
        <v>5.3793744623999086E-7</v>
      </c>
      <c r="J98" s="14">
        <v>5.5216285810159336E-6</v>
      </c>
      <c r="K98" s="14">
        <v>0</v>
      </c>
    </row>
    <row r="99" spans="1:11">
      <c r="A99" s="2" t="s">
        <v>476</v>
      </c>
      <c r="B99" s="3" t="s">
        <v>477</v>
      </c>
      <c r="D99" s="14">
        <v>6.9588923688434674E-12</v>
      </c>
      <c r="E99" s="14">
        <v>3.9636268345045279E-5</v>
      </c>
      <c r="F99" s="14">
        <v>3.2992432309758833E-9</v>
      </c>
      <c r="G99" s="14">
        <v>1.5342986033296898E-9</v>
      </c>
      <c r="H99" s="14">
        <v>0</v>
      </c>
      <c r="I99" s="14">
        <v>2.4216733581810853E-8</v>
      </c>
      <c r="J99" s="14">
        <v>3.3467442064624745E-7</v>
      </c>
      <c r="K99" s="14">
        <v>0</v>
      </c>
    </row>
    <row r="100" spans="1:11">
      <c r="A100" s="2" t="s">
        <v>478</v>
      </c>
      <c r="B100" s="3" t="s">
        <v>479</v>
      </c>
      <c r="D100" s="14">
        <v>2.0334157393527402E-15</v>
      </c>
      <c r="E100" s="14">
        <v>1.6324459899156475E-5</v>
      </c>
      <c r="F100" s="14">
        <v>8.3810879038787966E-6</v>
      </c>
      <c r="G100" s="14">
        <v>2.0492547531626046E-6</v>
      </c>
      <c r="H100" s="14">
        <v>0</v>
      </c>
      <c r="I100" s="14">
        <v>2.2227117606842194E-7</v>
      </c>
      <c r="J100" s="14">
        <v>1.3022926265700286E-5</v>
      </c>
      <c r="K100" s="14">
        <v>0</v>
      </c>
    </row>
    <row r="101" spans="1:11">
      <c r="A101" s="2" t="s">
        <v>480</v>
      </c>
      <c r="B101" s="3" t="s">
        <v>481</v>
      </c>
      <c r="D101" s="14">
        <v>1.872285456946909E-15</v>
      </c>
      <c r="E101" s="14">
        <v>3.9402584083694144E-5</v>
      </c>
      <c r="F101" s="14">
        <v>8.917564901778542E-9</v>
      </c>
      <c r="G101" s="14">
        <v>3.8524927862159279E-9</v>
      </c>
      <c r="H101" s="14">
        <v>0</v>
      </c>
      <c r="I101" s="14">
        <v>2.4302193843806225E-8</v>
      </c>
      <c r="J101" s="14">
        <v>5.6034366290177292E-7</v>
      </c>
      <c r="K101" s="14">
        <v>0</v>
      </c>
    </row>
    <row r="102" spans="1:11">
      <c r="A102" s="2" t="s">
        <v>482</v>
      </c>
      <c r="B102" s="3" t="s">
        <v>483</v>
      </c>
      <c r="D102" s="14">
        <v>1.1768606005521072E-31</v>
      </c>
      <c r="E102" s="14">
        <v>3.9832509111903521E-5</v>
      </c>
      <c r="F102" s="14">
        <v>6.3650121717135103E-10</v>
      </c>
      <c r="G102" s="14">
        <v>3.3426799304656039E-10</v>
      </c>
      <c r="H102" s="14">
        <v>0</v>
      </c>
      <c r="I102" s="14">
        <v>2.4219291769213073E-8</v>
      </c>
      <c r="J102" s="14">
        <v>1.42300827117054E-7</v>
      </c>
      <c r="K102" s="14">
        <v>0</v>
      </c>
    </row>
    <row r="103" spans="1:11">
      <c r="A103" s="2" t="s">
        <v>484</v>
      </c>
      <c r="B103" s="3" t="s">
        <v>485</v>
      </c>
      <c r="D103" s="14">
        <v>9.3866342140976641E-18</v>
      </c>
      <c r="E103" s="14">
        <v>3.9647201206847016E-5</v>
      </c>
      <c r="F103" s="14">
        <v>3.1001600049634094E-9</v>
      </c>
      <c r="G103" s="14">
        <v>1.4483704795677288E-9</v>
      </c>
      <c r="H103" s="14">
        <v>0</v>
      </c>
      <c r="I103" s="14">
        <v>2.421498445130916E-8</v>
      </c>
      <c r="J103" s="14">
        <v>3.2403527820775898E-7</v>
      </c>
      <c r="K103" s="14">
        <v>0</v>
      </c>
    </row>
    <row r="104" spans="1:11">
      <c r="A104" s="2" t="s">
        <v>486</v>
      </c>
      <c r="B104" s="3" t="s">
        <v>487</v>
      </c>
      <c r="D104" s="14">
        <v>1.15510538424644E-13</v>
      </c>
      <c r="E104" s="14">
        <v>3.8035948332090039E-5</v>
      </c>
      <c r="F104" s="14">
        <v>8.8083755573765819E-8</v>
      </c>
      <c r="G104" s="14">
        <v>3.2062056749776403E-8</v>
      </c>
      <c r="H104" s="14">
        <v>0</v>
      </c>
      <c r="I104" s="14">
        <v>2.6281905319282931E-8</v>
      </c>
      <c r="J104" s="14">
        <v>1.8176238347565957E-6</v>
      </c>
      <c r="K104" s="14">
        <v>0</v>
      </c>
    </row>
    <row r="105" spans="1:11">
      <c r="A105" s="2" t="s">
        <v>488</v>
      </c>
      <c r="B105" s="3" t="s">
        <v>489</v>
      </c>
      <c r="D105" s="14">
        <v>9.359474434431282E-21</v>
      </c>
      <c r="E105" s="14">
        <v>3.9803760361859655E-5</v>
      </c>
      <c r="F105" s="14">
        <v>9.0266307496450993E-10</v>
      </c>
      <c r="G105" s="14">
        <v>4.6197793429629165E-10</v>
      </c>
      <c r="H105" s="14">
        <v>0</v>
      </c>
      <c r="I105" s="14">
        <v>2.4214163323463473E-8</v>
      </c>
      <c r="J105" s="14">
        <v>1.7066083380762392E-7</v>
      </c>
      <c r="K105" s="14">
        <v>0</v>
      </c>
    </row>
    <row r="106" spans="1:11">
      <c r="A106" s="2" t="s">
        <v>490</v>
      </c>
      <c r="B106" s="3" t="s">
        <v>491</v>
      </c>
      <c r="D106" s="14">
        <v>5.0840399134763841E-13</v>
      </c>
      <c r="E106" s="14">
        <v>3.2944399213100127E-5</v>
      </c>
      <c r="F106" s="14">
        <v>9.3000046632386303E-7</v>
      </c>
      <c r="G106" s="14">
        <v>2.8156503432098026E-7</v>
      </c>
      <c r="H106" s="14">
        <v>0</v>
      </c>
      <c r="I106" s="14">
        <v>4.8528878491625445E-8</v>
      </c>
      <c r="J106" s="14">
        <v>5.7955058993594123E-6</v>
      </c>
      <c r="K106" s="14">
        <v>0</v>
      </c>
    </row>
    <row r="107" spans="1:11">
      <c r="A107" s="2" t="s">
        <v>492</v>
      </c>
      <c r="B107" s="3" t="s">
        <v>493</v>
      </c>
      <c r="D107" s="14">
        <v>8.6856658567901175E-21</v>
      </c>
      <c r="E107" s="14">
        <v>5.3982843675017624E-7</v>
      </c>
      <c r="F107" s="14">
        <v>2.901865856868786E-5</v>
      </c>
      <c r="G107" s="14">
        <v>5.0370108693188026E-6</v>
      </c>
      <c r="H107" s="14">
        <v>0</v>
      </c>
      <c r="I107" s="14">
        <v>5.4171208446451312E-7</v>
      </c>
      <c r="J107" s="14">
        <v>4.8627900407786381E-6</v>
      </c>
      <c r="K107" s="14">
        <v>0</v>
      </c>
    </row>
    <row r="108" spans="1:11">
      <c r="A108" s="2" t="s">
        <v>291</v>
      </c>
      <c r="B108" s="3" t="s">
        <v>494</v>
      </c>
      <c r="D108" s="14">
        <v>1.1716425660918039E-14</v>
      </c>
      <c r="E108" s="14">
        <v>1.8803893460845753E-5</v>
      </c>
      <c r="F108" s="14">
        <v>6.8025126210792709E-6</v>
      </c>
      <c r="G108" s="14">
        <v>1.7067303507055648E-6</v>
      </c>
      <c r="H108" s="14">
        <v>0</v>
      </c>
      <c r="I108" s="14">
        <v>1.8779810723459667E-7</v>
      </c>
      <c r="J108" s="14">
        <v>1.2499065448418393E-5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8FD8F-6897-4818-841D-CE5FFD4E96EC}">
  <dimension ref="A1:D108"/>
  <sheetViews>
    <sheetView tabSelected="1" topLeftCell="A76" workbookViewId="0">
      <selection activeCell="A84" sqref="A84:D108"/>
    </sheetView>
  </sheetViews>
  <sheetFormatPr defaultRowHeight="15"/>
  <cols>
    <col min="1" max="1" width="13.5" bestFit="1" customWidth="1"/>
    <col min="2" max="2" width="12.3554687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6.2430684137773049E-8</v>
      </c>
      <c r="B2">
        <f>'Mass Balance'!E2</f>
        <v>3.088651295045158E-5</v>
      </c>
      <c r="C2">
        <f>SUM('Mass Balance'!E2:H2)</f>
        <v>3.2789989234006146E-5</v>
      </c>
      <c r="D2">
        <f>Concentrations!F2/Concentrations!E2</f>
        <v>0.94563593622416287</v>
      </c>
    </row>
    <row r="3" spans="1:4">
      <c r="A3">
        <f>'Mass Balance'!I3</f>
        <v>2.7755017190085825E-6</v>
      </c>
      <c r="B3">
        <f>'Mass Balance'!E3</f>
        <v>2.469644813566151E-8</v>
      </c>
      <c r="C3">
        <f>SUM('Mass Balance'!E3:H3)</f>
        <v>3.3994741404128222E-5</v>
      </c>
      <c r="D3">
        <f>Concentrations!F3/Concentrations!E3</f>
        <v>7.2932166972692746E-4</v>
      </c>
    </row>
    <row r="4" spans="1:4">
      <c r="A4">
        <f>'Mass Balance'!I4</f>
        <v>2.5646468095359275E-7</v>
      </c>
      <c r="B4">
        <f>'Mass Balance'!E4</f>
        <v>1.406696786538866E-5</v>
      </c>
      <c r="C4">
        <f>SUM('Mass Balance'!E4:H4)</f>
        <v>2.6449701191331825E-5</v>
      </c>
      <c r="D4">
        <f>Concentrations!F4/Concentrations!E4</f>
        <v>0.53391987495413618</v>
      </c>
    </row>
    <row r="5" spans="1:4">
      <c r="A5">
        <f>'Mass Balance'!I5</f>
        <v>8.3739065179610349E-7</v>
      </c>
      <c r="B5">
        <f>'Mass Balance'!E5</f>
        <v>2.7202184467502558E-7</v>
      </c>
      <c r="C5">
        <f>SUM('Mass Balance'!E5:H5)</f>
        <v>3.4577381479828877E-5</v>
      </c>
      <c r="D5">
        <f>Concentrations!F5/Concentrations!E5</f>
        <v>7.8978347458445244E-3</v>
      </c>
    </row>
    <row r="6" spans="1:4">
      <c r="A6">
        <f>'Mass Balance'!I6</f>
        <v>3.2241114941686122E-6</v>
      </c>
      <c r="B6">
        <f>'Mass Balance'!E6</f>
        <v>1.100809574791142E-8</v>
      </c>
      <c r="C6">
        <f>SUM('Mass Balance'!E6:H6)</f>
        <v>3.4421907095447022E-5</v>
      </c>
      <c r="D6">
        <f>Concentrations!F6/Concentrations!E6</f>
        <v>3.2105070844138674E-4</v>
      </c>
    </row>
    <row r="7" spans="1:4">
      <c r="A7">
        <f>'Mass Balance'!I7</f>
        <v>2.8559438431093981E-6</v>
      </c>
      <c r="B7">
        <f>'Mass Balance'!E7</f>
        <v>2.2088505580743002E-8</v>
      </c>
      <c r="C7">
        <f>SUM('Mass Balance'!E7:H7)</f>
        <v>3.4150616767787819E-5</v>
      </c>
      <c r="D7">
        <f>Concentrations!F7/Concentrations!E7</f>
        <v>6.4932802139476553E-4</v>
      </c>
    </row>
    <row r="8" spans="1:4">
      <c r="A8">
        <f>'Mass Balance'!I8</f>
        <v>2.2920643251109767E-6</v>
      </c>
      <c r="B8">
        <f>'Mass Balance'!E8</f>
        <v>4.955256529146023E-8</v>
      </c>
      <c r="C8">
        <f>SUM('Mass Balance'!E8:H8)</f>
        <v>3.391788170723242E-5</v>
      </c>
      <c r="D8">
        <f>Concentrations!F8/Concentrations!E8</f>
        <v>1.4666746427414962E-3</v>
      </c>
    </row>
    <row r="9" spans="1:4">
      <c r="A9">
        <f>'Mass Balance'!I9</f>
        <v>4.9429585158552916E-7</v>
      </c>
      <c r="B9">
        <f>'Mass Balance'!E9</f>
        <v>2.3508515514537063E-6</v>
      </c>
      <c r="C9">
        <f>SUM('Mass Balance'!E9:H9)</f>
        <v>3.0657968895444888E-5</v>
      </c>
      <c r="D9">
        <f>Concentrations!F9/Concentrations!E9</f>
        <v>7.6980049987451254E-2</v>
      </c>
    </row>
    <row r="10" spans="1:4">
      <c r="A10">
        <f>'Mass Balance'!I10</f>
        <v>8.9486113977770728E-7</v>
      </c>
      <c r="B10">
        <f>'Mass Balance'!E10</f>
        <v>2.5267860557944325E-7</v>
      </c>
      <c r="C10">
        <f>SUM('Mass Balance'!E10:H10)</f>
        <v>3.4504226608342273E-5</v>
      </c>
      <c r="D10">
        <f>Concentrations!F10/Concentrations!E10</f>
        <v>7.3517805761136165E-3</v>
      </c>
    </row>
    <row r="11" spans="1:4">
      <c r="A11">
        <f>'Mass Balance'!I11</f>
        <v>9.9632760405990563E-7</v>
      </c>
      <c r="B11">
        <f>'Mass Balance'!E11</f>
        <v>2.2272733248937802E-7</v>
      </c>
      <c r="C11">
        <f>SUM('Mass Balance'!E11:H11)</f>
        <v>3.4380509647469347E-5</v>
      </c>
      <c r="D11">
        <f>Concentrations!F11/Concentrations!E11</f>
        <v>6.5036560878853986E-3</v>
      </c>
    </row>
    <row r="12" spans="1:4">
      <c r="A12">
        <f>'Mass Balance'!I12</f>
        <v>5.1735485272395634E-7</v>
      </c>
      <c r="B12">
        <f>'Mass Balance'!E12</f>
        <v>1.5082056899281054E-6</v>
      </c>
      <c r="C12">
        <f>SUM('Mass Balance'!E12:H12)</f>
        <v>3.2020690882481807E-5</v>
      </c>
      <c r="D12">
        <f>Concentrations!F12/Concentrations!E12</f>
        <v>4.7285309840487087E-2</v>
      </c>
    </row>
    <row r="13" spans="1:4">
      <c r="A13">
        <f>'Mass Balance'!I13</f>
        <v>4.9683658846515969E-7</v>
      </c>
      <c r="B13">
        <f>'Mass Balance'!E13</f>
        <v>2.2553730234119618E-6</v>
      </c>
      <c r="C13">
        <f>SUM('Mass Balance'!E13:H13)</f>
        <v>3.0788317655450809E-5</v>
      </c>
      <c r="D13">
        <f>Concentrations!F13/Concentrations!E13</f>
        <v>7.3540873690213088E-2</v>
      </c>
    </row>
    <row r="14" spans="1:4">
      <c r="A14">
        <f>'Mass Balance'!I14</f>
        <v>1.3550795065403331E-6</v>
      </c>
      <c r="B14">
        <f>'Mass Balance'!E14</f>
        <v>1.4684124913418099E-7</v>
      </c>
      <c r="C14">
        <f>SUM('Mass Balance'!E14:H14)</f>
        <v>3.4080598668797118E-5</v>
      </c>
      <c r="D14">
        <f>Concentrations!F14/Concentrations!E14</f>
        <v>4.3255089750456246E-3</v>
      </c>
    </row>
    <row r="15" spans="1:4">
      <c r="A15">
        <f>'Mass Balance'!I15</f>
        <v>9.4471598788023241E-7</v>
      </c>
      <c r="B15">
        <f>'Mass Balance'!E15</f>
        <v>2.3735251650985119E-7</v>
      </c>
      <c r="C15">
        <f>SUM('Mass Balance'!E15:H15)</f>
        <v>3.444249145844325E-5</v>
      </c>
      <c r="D15">
        <f>Concentrations!F15/Concentrations!E15</f>
        <v>6.9182403118300574E-3</v>
      </c>
    </row>
    <row r="16" spans="1:4">
      <c r="A16">
        <f>'Mass Balance'!I16</f>
        <v>2.2640892067769571E-6</v>
      </c>
      <c r="B16">
        <f>'Mass Balance'!E16</f>
        <v>5.1289041289998214E-8</v>
      </c>
      <c r="C16">
        <f>SUM('Mass Balance'!E16:H16)</f>
        <v>3.3904129525966686E-5</v>
      </c>
      <c r="D16">
        <f>Concentrations!F16/Concentrations!E16</f>
        <v>1.5186872432767797E-3</v>
      </c>
    </row>
    <row r="17" spans="1:4">
      <c r="A17">
        <f>'Mass Balance'!I17</f>
        <v>8.5628956761134732E-7</v>
      </c>
      <c r="B17">
        <f>'Mass Balance'!E17</f>
        <v>2.6546599405977578E-7</v>
      </c>
      <c r="C17">
        <f>SUM('Mass Balance'!E17:H17)</f>
        <v>3.4554337203490989E-5</v>
      </c>
      <c r="D17">
        <f>Concentrations!F17/Concentrations!E17</f>
        <v>7.712633448483123E-3</v>
      </c>
    </row>
    <row r="18" spans="1:4">
      <c r="A18">
        <f>'Mass Balance'!I18</f>
        <v>4.8031047311995317E-7</v>
      </c>
      <c r="B18">
        <f>'Mass Balance'!E18</f>
        <v>2.8169223099147113E-6</v>
      </c>
      <c r="C18">
        <f>SUM('Mass Balance'!E18:H18)</f>
        <v>2.9974771310538003E-5</v>
      </c>
      <c r="D18">
        <f>Concentrations!F18/Concentrations!E18</f>
        <v>9.4344231965447375E-2</v>
      </c>
    </row>
    <row r="19" spans="1:4">
      <c r="A19">
        <f>'Mass Balance'!I19</f>
        <v>9.549076798893043E-7</v>
      </c>
      <c r="B19">
        <f>'Mass Balance'!E19</f>
        <v>2.3437419411927131E-7</v>
      </c>
      <c r="C19">
        <f>SUM('Mass Balance'!E19:H19)</f>
        <v>3.4430421958365059E-5</v>
      </c>
      <c r="D19">
        <f>Concentrations!F19/Concentrations!E19</f>
        <v>6.8338243025118017E-3</v>
      </c>
    </row>
    <row r="20" spans="1:4">
      <c r="A20">
        <f>'Mass Balance'!I20</f>
        <v>4.969024758684049E-7</v>
      </c>
      <c r="B20">
        <f>'Mass Balance'!E20</f>
        <v>2.2556721170683304E-6</v>
      </c>
      <c r="C20">
        <f>SUM('Mass Balance'!E20:H20)</f>
        <v>3.0792400612196952E-5</v>
      </c>
      <c r="D20">
        <f>Concentrations!F20/Concentrations!E20</f>
        <v>7.3540873690213088E-2</v>
      </c>
    </row>
    <row r="21" spans="1:4">
      <c r="A21">
        <f>'Mass Balance'!I21</f>
        <v>1.2441109475934345E-6</v>
      </c>
      <c r="B21">
        <f>'Mass Balance'!E21</f>
        <v>1.6635957456738375E-7</v>
      </c>
      <c r="C21">
        <f>SUM('Mass Balance'!E21:H21)</f>
        <v>3.4141791466131732E-5</v>
      </c>
      <c r="D21">
        <f>Concentrations!F21/Concentrations!E21</f>
        <v>4.8916779614992965E-3</v>
      </c>
    </row>
    <row r="22" spans="1:4">
      <c r="A22">
        <f>'Mass Balance'!I22</f>
        <v>1.4229346711851051E-7</v>
      </c>
      <c r="B22">
        <f>'Mass Balance'!E22</f>
        <v>2.2406729293205462E-5</v>
      </c>
      <c r="C22">
        <f>SUM('Mass Balance'!E22:H22)</f>
        <v>2.8451554579758848E-5</v>
      </c>
      <c r="D22">
        <f>Concentrations!F22/Concentrations!E22</f>
        <v>0.79062187913500204</v>
      </c>
    </row>
    <row r="23" spans="1:4">
      <c r="A23">
        <f>'Mass Balance'!I23</f>
        <v>8.2716619683590972E-8</v>
      </c>
      <c r="B23">
        <f>'Mass Balance'!E23</f>
        <v>2.8359844354620653E-5</v>
      </c>
      <c r="C23">
        <f>SUM('Mass Balance'!E23:H23)</f>
        <v>3.1289450532469314E-5</v>
      </c>
      <c r="D23">
        <f>Concentrations!F23/Concentrations!E23</f>
        <v>0.90991802583642023</v>
      </c>
    </row>
    <row r="24" spans="1:4">
      <c r="A24">
        <f>'Mass Balance'!I24</f>
        <v>3.864238315674807E-7</v>
      </c>
      <c r="B24">
        <f>'Mass Balance'!E24</f>
        <v>6.903994433876895E-6</v>
      </c>
      <c r="C24">
        <f>SUM('Mass Balance'!E24:H24)</f>
        <v>2.7254354258585906E-5</v>
      </c>
      <c r="D24">
        <f>Concentrations!F24/Concentrations!E24</f>
        <v>0.25430851284398492</v>
      </c>
    </row>
    <row r="25" spans="1:4">
      <c r="A25">
        <f>'Mass Balance'!I25</f>
        <v>5.2842691660707202E-7</v>
      </c>
      <c r="B25">
        <f>'Mass Balance'!E25</f>
        <v>8.2052144894123085E-7</v>
      </c>
      <c r="C25">
        <f>SUM('Mass Balance'!E25:H25)</f>
        <v>3.3177321123312604E-5</v>
      </c>
      <c r="D25">
        <f>Concentrations!F25/Concentrations!E25</f>
        <v>2.4828185657071931E-2</v>
      </c>
    </row>
    <row r="26" spans="1:4">
      <c r="A26">
        <f>'Mass Balance'!I26</f>
        <v>1.1733198681567141E-6</v>
      </c>
      <c r="B26">
        <f>'Mass Balance'!E26</f>
        <v>1.8049883529112659E-7</v>
      </c>
      <c r="C26">
        <f>SUM('Mass Balance'!E26:H26)</f>
        <v>3.4200467558731787E-5</v>
      </c>
      <c r="D26">
        <f>Concentrations!F26/Concentrations!E26</f>
        <v>5.2983265655727274E-3</v>
      </c>
    </row>
    <row r="27" spans="1:4">
      <c r="A27">
        <f>'Mass Balance'!I27</f>
        <v>2.717690229781497E-6</v>
      </c>
      <c r="B27">
        <f>'Mass Balance'!E27</f>
        <v>2.7178351449982385E-8</v>
      </c>
      <c r="C27">
        <f>SUM('Mass Balance'!E27:H27)</f>
        <v>3.3997822266662399E-5</v>
      </c>
      <c r="D27">
        <f>Concentrations!F27/Concentrations!E27</f>
        <v>8.0254311530271677E-4</v>
      </c>
    </row>
    <row r="28" spans="1:4">
      <c r="A28">
        <f>'Mass Balance'!I28</f>
        <v>1.7102457312773511E-6</v>
      </c>
      <c r="B28">
        <f>'Mass Balance'!E28</f>
        <v>9.8631937751941008E-8</v>
      </c>
      <c r="C28">
        <f>SUM('Mass Balance'!E28:H28)</f>
        <v>3.3927734682972488E-5</v>
      </c>
      <c r="D28">
        <f>Concentrations!F28/Concentrations!E28</f>
        <v>2.9184957454671035E-3</v>
      </c>
    </row>
    <row r="29" spans="1:4">
      <c r="A29">
        <f>'Mass Balance'!I29</f>
        <v>1.2828540619521103E-6</v>
      </c>
      <c r="B29">
        <f>'Mass Balance'!E29</f>
        <v>1.4910625355674192E-7</v>
      </c>
      <c r="C29">
        <f>SUM('Mass Balance'!E29:H29)</f>
        <v>3.3201539059228932E-5</v>
      </c>
      <c r="D29">
        <f>Concentrations!F29/Concentrations!E29</f>
        <v>4.5085200424820797E-3</v>
      </c>
    </row>
    <row r="30" spans="1:4">
      <c r="A30">
        <f>'Mass Balance'!I30</f>
        <v>1.7102457312773511E-6</v>
      </c>
      <c r="B30">
        <f>'Mass Balance'!E30</f>
        <v>9.8631937751941008E-8</v>
      </c>
      <c r="C30">
        <f>SUM('Mass Balance'!E30:H30)</f>
        <v>3.3927734682972488E-5</v>
      </c>
      <c r="D30">
        <f>Concentrations!F30/Concentrations!E30</f>
        <v>2.9184957454671035E-3</v>
      </c>
    </row>
    <row r="31" spans="1:4">
      <c r="A31">
        <f>'Mass Balance'!I31</f>
        <v>2.4633627770516892E-8</v>
      </c>
      <c r="B31">
        <f>'Mass Balance'!E31</f>
        <v>3.9007448514113064E-5</v>
      </c>
      <c r="C31">
        <f>SUM('Mass Balance'!E31:H31)</f>
        <v>3.9041084781759895E-5</v>
      </c>
      <c r="D31">
        <f>Concentrations!F31/Concentrations!E31</f>
        <v>1.0030487243621815</v>
      </c>
    </row>
    <row r="32" spans="1:4">
      <c r="A32">
        <f>'Mass Balance'!I32</f>
        <v>2.1139985056898442E-7</v>
      </c>
      <c r="B32">
        <f>'Mass Balance'!E32</f>
        <v>1.7289157903533134E-5</v>
      </c>
      <c r="C32">
        <f>SUM('Mass Balance'!E32:H32)</f>
        <v>2.6977729197358562E-5</v>
      </c>
      <c r="D32">
        <f>Concentrations!F32/Concentrations!E32</f>
        <v>0.64337593466145504</v>
      </c>
    </row>
    <row r="33" spans="1:4">
      <c r="A33">
        <f>'Mass Balance'!I33</f>
        <v>2.4585050154036989E-8</v>
      </c>
      <c r="B33">
        <f>'Mass Balance'!E33</f>
        <v>3.9805091224894869E-5</v>
      </c>
      <c r="C33">
        <f>SUM('Mass Balance'!E33:H33)</f>
        <v>3.9973131344406371E-5</v>
      </c>
      <c r="D33">
        <f>Concentrations!F33/Concentrations!E33</f>
        <v>0.99969337789726764</v>
      </c>
    </row>
    <row r="34" spans="1:4">
      <c r="A34">
        <f>'Mass Balance'!I34</f>
        <v>4.4779093036617003E-8</v>
      </c>
      <c r="B34">
        <f>'Mass Balance'!E34</f>
        <v>2.1880276741019187E-5</v>
      </c>
      <c r="C34">
        <f>SUM('Mass Balance'!E34:H34)</f>
        <v>3.9947443365708542E-5</v>
      </c>
      <c r="D34">
        <f>Concentrations!F34/Concentrations!E34</f>
        <v>0.54987019915558155</v>
      </c>
    </row>
    <row r="35" spans="1:4">
      <c r="A35">
        <f>'Mass Balance'!I35</f>
        <v>5.2468464109140135E-8</v>
      </c>
      <c r="B35">
        <f>'Mass Balance'!E35</f>
        <v>1.2950921508005734E-5</v>
      </c>
      <c r="C35">
        <f>SUM('Mass Balance'!E35:H35)</f>
        <v>3.9928709690207739E-5</v>
      </c>
      <c r="D35">
        <f>Concentrations!F35/Concentrations!E35</f>
        <v>0.32562051399863756</v>
      </c>
    </row>
    <row r="36" spans="1:4">
      <c r="A36">
        <f>'Mass Balance'!I36</f>
        <v>5.6877190187841978E-8</v>
      </c>
      <c r="B36">
        <f>'Mass Balance'!E36</f>
        <v>4.3195194818950315E-6</v>
      </c>
      <c r="C36">
        <f>SUM('Mass Balance'!E36:H36)</f>
        <v>3.9922088579441079E-5</v>
      </c>
      <c r="D36">
        <f>Concentrations!F36/Concentrations!E36</f>
        <v>0.10862218771257093</v>
      </c>
    </row>
    <row r="37" spans="1:4">
      <c r="A37">
        <f>'Mass Balance'!I37</f>
        <v>1.4181741524722512E-7</v>
      </c>
      <c r="B37">
        <f>'Mass Balance'!E37</f>
        <v>8.2975633896145038E-6</v>
      </c>
      <c r="C37">
        <f>SUM('Mass Balance'!E37:H37)</f>
        <v>3.7037889225702029E-5</v>
      </c>
      <c r="D37">
        <f>Concentrations!F37/Concentrations!E37</f>
        <v>0.22490582970047909</v>
      </c>
    </row>
    <row r="38" spans="1:4">
      <c r="A38">
        <f>'Mass Balance'!I38</f>
        <v>4.3258402368274207E-8</v>
      </c>
      <c r="B38">
        <f>'Mass Balance'!E38</f>
        <v>2.4502800131497391E-5</v>
      </c>
      <c r="C38">
        <f>SUM('Mass Balance'!E38:H38)</f>
        <v>3.9881512306363638E-5</v>
      </c>
      <c r="D38">
        <f>Concentrations!F38/Concentrations!E38</f>
        <v>0.61679445598249316</v>
      </c>
    </row>
    <row r="39" spans="1:4">
      <c r="A39">
        <f>'Mass Balance'!I39</f>
        <v>5.5577609796125729E-7</v>
      </c>
      <c r="B39">
        <f>'Mass Balance'!E39</f>
        <v>4.0884980138718615E-7</v>
      </c>
      <c r="C39">
        <f>SUM('Mass Balance'!E39:H39)</f>
        <v>3.5080767082615739E-5</v>
      </c>
      <c r="D39">
        <f>Concentrations!F39/Concentrations!E39</f>
        <v>1.1700140373438878E-2</v>
      </c>
    </row>
    <row r="40" spans="1:4">
      <c r="A40">
        <f>'Mass Balance'!I40</f>
        <v>3.6485416472266756E-6</v>
      </c>
      <c r="B40">
        <f>'Mass Balance'!E40</f>
        <v>3.7007555863582439E-8</v>
      </c>
      <c r="C40">
        <f>SUM('Mass Balance'!E40:H40)</f>
        <v>3.6245238673602376E-5</v>
      </c>
      <c r="D40">
        <f>Concentrations!F40/Concentrations!E40</f>
        <v>1.0250281720648683E-3</v>
      </c>
    </row>
    <row r="41" spans="1:4">
      <c r="A41">
        <f>'Mass Balance'!I41</f>
        <v>2.2231212245987758E-8</v>
      </c>
      <c r="B41">
        <f>'Mass Balance'!E41</f>
        <v>3.6522534316423551E-5</v>
      </c>
      <c r="C41">
        <f>SUM('Mass Balance'!E41:H41)</f>
        <v>3.6524212150434208E-5</v>
      </c>
      <c r="D41">
        <f>Concentrations!F41/Concentrations!E41</f>
        <v>1.0038675396339611</v>
      </c>
    </row>
    <row r="42" spans="1:4">
      <c r="A42">
        <f>'Mass Balance'!I42</f>
        <v>1.6089250794301146E-7</v>
      </c>
      <c r="B42">
        <f>'Mass Balance'!E42</f>
        <v>2.091082662384905E-5</v>
      </c>
      <c r="C42">
        <f>SUM('Mass Balance'!E42:H42)</f>
        <v>2.7951868699009842E-5</v>
      </c>
      <c r="D42">
        <f>Concentrations!F42/Concentrations!E42</f>
        <v>0.75102901537292632</v>
      </c>
    </row>
    <row r="43" spans="1:4">
      <c r="A43">
        <f>'Mass Balance'!I43</f>
        <v>1.1559977903716858E-7</v>
      </c>
      <c r="B43">
        <f>'Mass Balance'!E43</f>
        <v>3.5167677649777293E-7</v>
      </c>
      <c r="C43">
        <f>SUM('Mass Balance'!E43:H43)</f>
        <v>3.986757021705681E-5</v>
      </c>
      <c r="D43">
        <f>Concentrations!F43/Concentrations!E43</f>
        <v>8.8556467538360353E-3</v>
      </c>
    </row>
    <row r="44" spans="1:4">
      <c r="A44">
        <f>'Mass Balance'!I44</f>
        <v>4.2508642667885557E-8</v>
      </c>
      <c r="B44">
        <f>'Mass Balance'!E44</f>
        <v>3.0454260586180313E-5</v>
      </c>
      <c r="C44">
        <f>SUM('Mass Balance'!E44:H44)</f>
        <v>3.1469384699809483E-5</v>
      </c>
      <c r="D44">
        <f>Concentrations!F44/Concentrations!E44</f>
        <v>0.97152989827926517</v>
      </c>
    </row>
    <row r="45" spans="1:4">
      <c r="A45">
        <f>'Mass Balance'!I45</f>
        <v>1.7841342219211929E-7</v>
      </c>
      <c r="B45">
        <f>'Mass Balance'!E45</f>
        <v>1.9497787538690097E-5</v>
      </c>
      <c r="C45">
        <f>SUM('Mass Balance'!E45:H45)</f>
        <v>2.7493040435031844E-5</v>
      </c>
      <c r="D45">
        <f>Concentrations!F45/Concentrations!E45</f>
        <v>0.71196546040949049</v>
      </c>
    </row>
    <row r="46" spans="1:4">
      <c r="A46">
        <f>'Mass Balance'!I46</f>
        <v>1.6702858255371862E-7</v>
      </c>
      <c r="B46">
        <f>'Mass Balance'!E46</f>
        <v>2.0347792730489271E-5</v>
      </c>
      <c r="C46">
        <f>SUM('Mass Balance'!E46:H46)</f>
        <v>2.7724697549154849E-5</v>
      </c>
      <c r="D46">
        <f>Concentrations!F46/Concentrations!E46</f>
        <v>0.73679530590858944</v>
      </c>
    </row>
    <row r="47" spans="1:4">
      <c r="A47">
        <f>'Mass Balance'!I47</f>
        <v>2.78492169402515E-6</v>
      </c>
      <c r="B47">
        <f>'Mass Balance'!E47</f>
        <v>2.4780267188210678E-8</v>
      </c>
      <c r="C47">
        <f>SUM('Mass Balance'!E47:H47)</f>
        <v>3.4110118603330943E-5</v>
      </c>
      <c r="D47">
        <f>Concentrations!F47/Concentrations!E47</f>
        <v>7.2932166972692735E-4</v>
      </c>
    </row>
    <row r="48" spans="1:4">
      <c r="A48">
        <f>'Mass Balance'!I48</f>
        <v>3.0372583948687581E-8</v>
      </c>
      <c r="B48">
        <f>'Mass Balance'!E48</f>
        <v>3.6102363424729114E-5</v>
      </c>
      <c r="C48">
        <f>SUM('Mass Balance'!E48:H48)</f>
        <v>3.6437924914700219E-5</v>
      </c>
      <c r="D48">
        <f>Concentrations!F48/Concentrations!E48</f>
        <v>0.99466848831057519</v>
      </c>
    </row>
    <row r="49" spans="1:4">
      <c r="A49">
        <f>'Mass Balance'!I49</f>
        <v>3.5376542422506591E-8</v>
      </c>
      <c r="B49">
        <f>'Mass Balance'!E49</f>
        <v>3.444864612975424E-5</v>
      </c>
      <c r="C49">
        <f>SUM('Mass Balance'!E49:H49)</f>
        <v>3.5040164895962217E-5</v>
      </c>
      <c r="D49">
        <f>Concentrations!F49/Concentrations!E49</f>
        <v>0.98696642602903828</v>
      </c>
    </row>
    <row r="50" spans="1:4">
      <c r="A50">
        <f>'Mass Balance'!I50</f>
        <v>4.740831273368626E-7</v>
      </c>
      <c r="B50">
        <f>'Mass Balance'!E50</f>
        <v>2.9814736424766721E-6</v>
      </c>
      <c r="C50">
        <f>SUM('Mass Balance'!E50:H50)</f>
        <v>2.9672903035255351E-5</v>
      </c>
      <c r="D50">
        <f>Concentrations!F50/Concentrations!E50</f>
        <v>0.10087122598395441</v>
      </c>
    </row>
    <row r="51" spans="1:4">
      <c r="A51">
        <f>'Mass Balance'!I51</f>
        <v>2.3467697439069919E-8</v>
      </c>
      <c r="B51">
        <f>'Mass Balance'!E51</f>
        <v>3.6117154426258049E-5</v>
      </c>
      <c r="C51">
        <f>SUM('Mass Balance'!E51:H51)</f>
        <v>3.6173207740265895E-5</v>
      </c>
      <c r="D51">
        <f>Concentrations!F51/Concentrations!E51</f>
        <v>1.0023580115112072</v>
      </c>
    </row>
    <row r="52" spans="1:4">
      <c r="A52">
        <f>'Mass Balance'!I52</f>
        <v>5.7398993424395539E-8</v>
      </c>
      <c r="B52">
        <f>'Mass Balance'!E52</f>
        <v>2.8863379117788738E-5</v>
      </c>
      <c r="C52">
        <f>SUM('Mass Balance'!E52:H52)</f>
        <v>3.0598965954925409E-5</v>
      </c>
      <c r="D52">
        <f>Concentrations!F52/Concentrations!E52</f>
        <v>0.94697123184535303</v>
      </c>
    </row>
    <row r="53" spans="1:4">
      <c r="A53">
        <f>'Mass Balance'!I53</f>
        <v>2.4001181682590976E-7</v>
      </c>
      <c r="B53">
        <f>'Mass Balance'!E53</f>
        <v>1.5069707644701315E-5</v>
      </c>
      <c r="C53">
        <f>SUM('Mass Balance'!E53:H53)</f>
        <v>2.6511393822404525E-5</v>
      </c>
      <c r="D53">
        <f>Concentrations!F53/Concentrations!E53</f>
        <v>0.57064843187288905</v>
      </c>
    </row>
    <row r="54" spans="1:4">
      <c r="A54">
        <f>'Mass Balance'!I54</f>
        <v>2.5591665298488753E-6</v>
      </c>
      <c r="B54">
        <f>'Mass Balance'!E54</f>
        <v>3.467525148499856E-8</v>
      </c>
      <c r="C54">
        <f>SUM('Mass Balance'!E54:H54)</f>
        <v>3.399717449309431E-5</v>
      </c>
      <c r="D54">
        <f>Concentrations!F54/Concentrations!E54</f>
        <v>1.0239368137133339E-3</v>
      </c>
    </row>
    <row r="55" spans="1:4">
      <c r="A55">
        <f>'Mass Balance'!I55</f>
        <v>3.4787031531981601E-7</v>
      </c>
      <c r="B55">
        <f>'Mass Balance'!E55</f>
        <v>5.4100270462254894E-6</v>
      </c>
      <c r="C55">
        <f>SUM('Mass Balance'!E55:H55)</f>
        <v>2.3901669380893475E-5</v>
      </c>
      <c r="D55">
        <f>Concentrations!F55/Concentrations!E55</f>
        <v>0.2272309916891902</v>
      </c>
    </row>
    <row r="56" spans="1:4">
      <c r="A56">
        <f>'Mass Balance'!I56</f>
        <v>2.0527889785487885E-7</v>
      </c>
      <c r="B56">
        <f>'Mass Balance'!E56</f>
        <v>6.4179559685237842E-7</v>
      </c>
      <c r="C56">
        <f>SUM('Mass Balance'!E56:H56)</f>
        <v>1.2698149885017078E-5</v>
      </c>
      <c r="D56">
        <f>Concentrations!F56/Concentrations!E56</f>
        <v>5.0740255117251012E-2</v>
      </c>
    </row>
    <row r="57" spans="1:4">
      <c r="A57">
        <f>'Mass Balance'!I57</f>
        <v>1.0102443121124645E-7</v>
      </c>
      <c r="B57">
        <f>'Mass Balance'!E57</f>
        <v>1.1625087053530753E-6</v>
      </c>
      <c r="C57">
        <f>SUM('Mass Balance'!E57:H57)</f>
        <v>6.6392840579931057E-6</v>
      </c>
      <c r="D57">
        <f>Concentrations!F57/Concentrations!E57</f>
        <v>0.17578075519766789</v>
      </c>
    </row>
    <row r="58" spans="1:4">
      <c r="A58">
        <f>'Mass Balance'!I58</f>
        <v>2.6915591782705364E-9</v>
      </c>
      <c r="B58">
        <f>'Mass Balance'!E58</f>
        <v>2.3664742902875518E-6</v>
      </c>
      <c r="C58">
        <f>SUM('Mass Balance'!E58:H58)</f>
        <v>2.4184223993440127E-6</v>
      </c>
      <c r="D58">
        <f>Concentrations!F58/Concentrations!E58</f>
        <v>0.98234942729794861</v>
      </c>
    </row>
    <row r="59" spans="1:4">
      <c r="A59">
        <f>'Mass Balance'!I59</f>
        <v>3.8817838954327311E-8</v>
      </c>
      <c r="B59">
        <f>'Mass Balance'!E59</f>
        <v>4.7886884911684963E-7</v>
      </c>
      <c r="C59">
        <f>SUM('Mass Balance'!E59:H59)</f>
        <v>2.5738677328666814E-6</v>
      </c>
      <c r="D59">
        <f>Concentrations!F59/Concentrations!E59</f>
        <v>0.18677843130853475</v>
      </c>
    </row>
    <row r="60" spans="1:4">
      <c r="A60">
        <f>'Mass Balance'!I60</f>
        <v>6.7748739275592112E-10</v>
      </c>
      <c r="B60">
        <f>'Mass Balance'!E60</f>
        <v>1.7910769734543332E-8</v>
      </c>
      <c r="C60">
        <f>SUM('Mass Balance'!E60:H60)</f>
        <v>5.2619016596156705E-8</v>
      </c>
      <c r="D60">
        <f>Concentrations!F60/Concentrations!E60</f>
        <v>0.34171802338874774</v>
      </c>
    </row>
    <row r="61" spans="1:4">
      <c r="A61">
        <f>'Mass Balance'!I61</f>
        <v>3.0268418785060155E-7</v>
      </c>
      <c r="B61">
        <f>'Mass Balance'!E61</f>
        <v>1.1284010748103724E-5</v>
      </c>
      <c r="C61">
        <f>SUM('Mass Balance'!E61:H61)</f>
        <v>2.6388688869980666E-5</v>
      </c>
      <c r="D61">
        <f>Concentrations!F61/Concentrations!E61</f>
        <v>0.4292813694373403</v>
      </c>
    </row>
    <row r="62" spans="1:4">
      <c r="A62">
        <f>'Mass Balance'!I62</f>
        <v>1.3301912922931369E-6</v>
      </c>
      <c r="B62">
        <f>'Mass Balance'!E62</f>
        <v>1.5103848483076614E-7</v>
      </c>
      <c r="C62">
        <f>SUM('Mass Balance'!E62:H62)</f>
        <v>3.409789760139183E-5</v>
      </c>
      <c r="D62">
        <f>Concentrations!F62/Concentrations!E62</f>
        <v>4.4468899351751282E-3</v>
      </c>
    </row>
    <row r="63" spans="1:4">
      <c r="A63">
        <f>'Mass Balance'!I63</f>
        <v>3.1272832612714731E-6</v>
      </c>
      <c r="B63">
        <f>'Mass Balance'!E63</f>
        <v>1.3487488611573298E-8</v>
      </c>
      <c r="C63">
        <f>SUM('Mass Balance'!E63:H63)</f>
        <v>3.4340454602082906E-5</v>
      </c>
      <c r="D63">
        <f>Concentrations!F63/Concentrations!E63</f>
        <v>3.942951301225698E-4</v>
      </c>
    </row>
    <row r="64" spans="1:4">
      <c r="A64">
        <f>'Mass Balance'!I64</f>
        <v>3.5514961758801087E-6</v>
      </c>
      <c r="B64">
        <f>'Mass Balance'!E64</f>
        <v>4.6528296781767502E-9</v>
      </c>
      <c r="C64">
        <f>SUM('Mass Balance'!E64:H64)</f>
        <v>3.4750972615189692E-5</v>
      </c>
      <c r="D64">
        <f>Concentrations!F64/Concentrations!E64</f>
        <v>1.3441463378141346E-4</v>
      </c>
    </row>
    <row r="65" spans="1:4">
      <c r="A65">
        <f>'Mass Balance'!I65</f>
        <v>3.8540908346769348E-6</v>
      </c>
      <c r="B65">
        <f>'Mass Balance'!E65</f>
        <v>1.3023772206970246E-9</v>
      </c>
      <c r="C65">
        <f>SUM('Mass Balance'!E65:H65)</f>
        <v>3.5134113237706537E-5</v>
      </c>
      <c r="D65">
        <f>Concentrations!F65/Concentrations!E65</f>
        <v>3.7213811818105853E-5</v>
      </c>
    </row>
    <row r="66" spans="1:4">
      <c r="A66">
        <f>'Mass Balance'!I66</f>
        <v>3.7016772309147726E-6</v>
      </c>
      <c r="B66">
        <f>'Mass Balance'!E66</f>
        <v>2.7042423768397362E-9</v>
      </c>
      <c r="C66">
        <f>SUM('Mass Balance'!E66:H66)</f>
        <v>3.4931804713356058E-5</v>
      </c>
      <c r="D66">
        <f>Concentrations!F66/Concentrations!E66</f>
        <v>7.7717881346988231E-5</v>
      </c>
    </row>
    <row r="67" spans="1:4">
      <c r="A67">
        <f>'Mass Balance'!I67</f>
        <v>5.0530356491044049E-8</v>
      </c>
      <c r="B67">
        <f>'Mass Balance'!E67</f>
        <v>3.2435890882564297E-5</v>
      </c>
      <c r="C67">
        <f>SUM('Mass Balance'!E67:H67)</f>
        <v>3.3751992929877407E-5</v>
      </c>
      <c r="D67">
        <f>Concentrations!F67/Concentrations!E67</f>
        <v>0.96476773687511475</v>
      </c>
    </row>
    <row r="68" spans="1:4">
      <c r="A68">
        <f>'Mass Balance'!I68</f>
        <v>6.9547225043855478E-8</v>
      </c>
      <c r="B68">
        <f>'Mass Balance'!E68</f>
        <v>2.9567719041693266E-5</v>
      </c>
      <c r="C68">
        <f>SUM('Mass Balance'!E68:H68)</f>
        <v>3.1841364343269072E-5</v>
      </c>
      <c r="D68">
        <f>Concentrations!F68/Concentrations!E68</f>
        <v>0.93222880251935281</v>
      </c>
    </row>
    <row r="69" spans="1:4">
      <c r="A69">
        <f>'Mass Balance'!I69</f>
        <v>2.2210525359476385E-6</v>
      </c>
      <c r="B69">
        <f>'Mass Balance'!E69</f>
        <v>5.3966890043230848E-8</v>
      </c>
      <c r="C69">
        <f>SUM('Mass Balance'!E69:H69)</f>
        <v>3.3870304357635319E-5</v>
      </c>
      <c r="D69">
        <f>Concentrations!F69/Concentrations!E69</f>
        <v>1.5995751726402131E-3</v>
      </c>
    </row>
    <row r="70" spans="1:4">
      <c r="A70">
        <f>'Mass Balance'!I70</f>
        <v>5.2905203737476329E-7</v>
      </c>
      <c r="B70">
        <f>'Mass Balance'!E70</f>
        <v>1.0134837072227358E-6</v>
      </c>
      <c r="C70">
        <f>SUM('Mass Balance'!E70:H70)</f>
        <v>3.3006648303269896E-5</v>
      </c>
      <c r="D70">
        <f>Concentrations!F70/Concentrations!E70</f>
        <v>3.0825612024579736E-2</v>
      </c>
    </row>
    <row r="71" spans="1:4">
      <c r="A71">
        <f>'Mass Balance'!I71</f>
        <v>6.4990841351493945E-8</v>
      </c>
      <c r="B71">
        <f>'Mass Balance'!E71</f>
        <v>2.9588624093916495E-5</v>
      </c>
      <c r="C71">
        <f>SUM('Mass Balance'!E71:H71)</f>
        <v>3.1650698343623804E-5</v>
      </c>
      <c r="D71">
        <f>Concentrations!F71/Concentrations!E71</f>
        <v>0.93850769095966757</v>
      </c>
    </row>
    <row r="72" spans="1:4">
      <c r="A72">
        <f>'Mass Balance'!I72</f>
        <v>5.1923165975754689E-7</v>
      </c>
      <c r="B72">
        <f>'Mass Balance'!E72</f>
        <v>1.1711375150484587E-6</v>
      </c>
      <c r="C72">
        <f>SUM('Mass Balance'!E72:H72)</f>
        <v>3.2266697971213411E-5</v>
      </c>
      <c r="D72">
        <f>Concentrations!F72/Concentrations!E72</f>
        <v>3.6437597259925153E-2</v>
      </c>
    </row>
    <row r="73" spans="1:4">
      <c r="A73">
        <f>'Mass Balance'!I73</f>
        <v>3.1219653062504638E-7</v>
      </c>
      <c r="B73">
        <f>'Mass Balance'!E73</f>
        <v>1.0381533407512524E-5</v>
      </c>
      <c r="C73">
        <f>SUM('Mass Balance'!E73:H73)</f>
        <v>2.610182963927083E-5</v>
      </c>
      <c r="D73">
        <f>Concentrations!F73/Concentrations!E73</f>
        <v>0.39928860591166576</v>
      </c>
    </row>
    <row r="74" spans="1:4">
      <c r="A74">
        <f>'Mass Balance'!I74</f>
        <v>5.2693225193852879E-7</v>
      </c>
      <c r="B74">
        <f>'Mass Balance'!E74</f>
        <v>1.0576449382828362E-6</v>
      </c>
      <c r="C74">
        <f>SUM('Mass Balance'!E74:H74)</f>
        <v>3.2834283081447868E-5</v>
      </c>
      <c r="D74">
        <f>Concentrations!F74/Concentrations!E74</f>
        <v>3.2337669598745421E-2</v>
      </c>
    </row>
    <row r="75" spans="1:4">
      <c r="A75">
        <f>'Mass Balance'!I75</f>
        <v>3.8175636595488189E-7</v>
      </c>
      <c r="B75">
        <f>'Mass Balance'!E75</f>
        <v>1.7118630271589109E-7</v>
      </c>
      <c r="C75">
        <f>SUM('Mass Balance'!E75:H75)</f>
        <v>3.961493097844679E-5</v>
      </c>
      <c r="D75">
        <f>Concentrations!F75/Concentrations!E75</f>
        <v>4.3381690424097383E-3</v>
      </c>
    </row>
    <row r="76" spans="1:4">
      <c r="A76">
        <f>'Mass Balance'!I76</f>
        <v>3.8175636615789038E-7</v>
      </c>
      <c r="B76">
        <f>'Mass Balance'!E76</f>
        <v>1.7118630280692368E-7</v>
      </c>
      <c r="C76">
        <f>SUM('Mass Balance'!E76:H76)</f>
        <v>3.9614930999513028E-5</v>
      </c>
      <c r="D76">
        <f>Concentrations!F76/Concentrations!E76</f>
        <v>4.3381690424097374E-3</v>
      </c>
    </row>
    <row r="77" spans="1:4">
      <c r="A77">
        <f>'Mass Balance'!I77</f>
        <v>4.3902599588407254E-7</v>
      </c>
      <c r="B77">
        <f>'Mass Balance'!E77</f>
        <v>4.0053478926913585E-6</v>
      </c>
      <c r="C77">
        <f>SUM('Mass Balance'!E77:H77)</f>
        <v>2.8159272066138924E-5</v>
      </c>
      <c r="D77">
        <f>Concentrations!F77/Concentrations!E77</f>
        <v>0.14279571719987916</v>
      </c>
    </row>
    <row r="78" spans="1:4">
      <c r="A78">
        <f>'Mass Balance'!I78</f>
        <v>1.4747833989207679E-7</v>
      </c>
      <c r="B78">
        <f>'Mass Balance'!E78</f>
        <v>2.0883305586748424E-5</v>
      </c>
      <c r="C78">
        <f>SUM('Mass Balance'!E78:H78)</f>
        <v>2.7255369936972195E-5</v>
      </c>
      <c r="D78">
        <f>Concentrations!F78/Concentrations!E78</f>
        <v>0.76920752608869414</v>
      </c>
    </row>
    <row r="79" spans="1:4">
      <c r="A79">
        <f>'Mass Balance'!I79</f>
        <v>2.438722476381754E-7</v>
      </c>
      <c r="B79">
        <f>'Mass Balance'!E79</f>
        <v>1.4638648973284831E-5</v>
      </c>
      <c r="C79">
        <f>SUM('Mass Balance'!E79:H79)</f>
        <v>2.6314688440828503E-5</v>
      </c>
      <c r="D79">
        <f>Concentrations!F79/Concentrations!E79</f>
        <v>0.5584690716502958</v>
      </c>
    </row>
    <row r="80" spans="1:4">
      <c r="A80">
        <f>'Mass Balance'!I80</f>
        <v>7.3495648903362941E-7</v>
      </c>
      <c r="B80">
        <f>'Mass Balance'!E80</f>
        <v>1.1503344364057006E-7</v>
      </c>
      <c r="C80">
        <f>SUM('Mass Balance'!E80:H80)</f>
        <v>3.9261041950578037E-5</v>
      </c>
      <c r="D80">
        <f>Concentrations!F80/Concentrations!E80</f>
        <v>2.9414309795428055E-3</v>
      </c>
    </row>
    <row r="81" spans="1:4">
      <c r="A81">
        <f>'Mass Balance'!I81</f>
        <v>2.493982651020316E-8</v>
      </c>
      <c r="B81">
        <f>'Mass Balance'!E81</f>
        <v>3.8765608015000414E-5</v>
      </c>
      <c r="C81">
        <f>SUM('Mass Balance'!E81:H81)</f>
        <v>3.881629252879588E-5</v>
      </c>
      <c r="D81">
        <f>Concentrations!F81/Concentrations!E81</f>
        <v>1.0026027931264743</v>
      </c>
    </row>
    <row r="82" spans="1:4">
      <c r="A82">
        <f>'Mass Balance'!I82</f>
        <v>8.0462611221484533E-8</v>
      </c>
      <c r="B82">
        <f>'Mass Balance'!E82</f>
        <v>2.8621460794318612E-5</v>
      </c>
      <c r="C82">
        <f>SUM('Mass Balance'!E82:H82)</f>
        <v>3.1436133568495296E-5</v>
      </c>
      <c r="D82">
        <f>Concentrations!F82/Concentrations!E82</f>
        <v>0.91402701646221429</v>
      </c>
    </row>
    <row r="83" spans="1:4">
      <c r="A83">
        <f>'Mass Balance'!I83</f>
        <v>4.2731952448086607E-7</v>
      </c>
      <c r="B83">
        <f>'Mass Balance'!E83</f>
        <v>5.0326420959855235E-6</v>
      </c>
      <c r="C83">
        <f>SUM('Mass Balance'!E83:H83)</f>
        <v>2.8164155399063805E-5</v>
      </c>
      <c r="D83">
        <f>Concentrations!F83/Concentrations!E83</f>
        <v>0.17938894525213361</v>
      </c>
    </row>
    <row r="84" spans="1:4">
      <c r="A84">
        <f>'Mass Balance'!I84</f>
        <v>2.8292989184921669E-8</v>
      </c>
      <c r="B84">
        <f>'Mass Balance'!E84</f>
        <v>3.7268660586512896E-5</v>
      </c>
      <c r="C84">
        <f>SUM('Mass Balance'!E84:H84)</f>
        <v>3.7488667987264228E-5</v>
      </c>
      <c r="D84">
        <f>Concentrations!F84/Concentrations!E84</f>
        <v>0.99802205172041047</v>
      </c>
    </row>
    <row r="85" spans="1:4">
      <c r="A85">
        <f>'Mass Balance'!I85</f>
        <v>2.4262900601326885E-8</v>
      </c>
      <c r="B85">
        <f>'Mass Balance'!E85</f>
        <v>3.9482741722876639E-5</v>
      </c>
      <c r="C85">
        <f>SUM('Mass Balance'!E85:H85)</f>
        <v>3.9492401820501E-5</v>
      </c>
      <c r="D85">
        <f>Concentrations!F85/Concentrations!E85</f>
        <v>1.0036680932087843</v>
      </c>
    </row>
    <row r="86" spans="1:4">
      <c r="A86">
        <f>'Mass Balance'!I86</f>
        <v>2.8086975461031193E-8</v>
      </c>
      <c r="B86">
        <f>'Mass Balance'!E86</f>
        <v>3.7338367644862749E-5</v>
      </c>
      <c r="C86">
        <f>SUM('Mass Balance'!E86:H86)</f>
        <v>3.7548233521812043E-5</v>
      </c>
      <c r="D86">
        <f>Concentrations!F86/Concentrations!E86</f>
        <v>0.99830254829448761</v>
      </c>
    </row>
    <row r="87" spans="1:4">
      <c r="A87">
        <f>'Mass Balance'!I87</f>
        <v>2.9248412145783826E-6</v>
      </c>
      <c r="B87">
        <f>'Mass Balance'!E87</f>
        <v>1.966267040406727E-8</v>
      </c>
      <c r="C87">
        <f>SUM('Mass Balance'!E87:H87)</f>
        <v>3.4194362582689884E-5</v>
      </c>
      <c r="D87">
        <f>Concentrations!F87/Concentrations!E87</f>
        <v>5.7727712584221215E-4</v>
      </c>
    </row>
    <row r="88" spans="1:4">
      <c r="A88">
        <f>'Mass Balance'!I88</f>
        <v>1.259425848971889E-7</v>
      </c>
      <c r="B88">
        <f>'Mass Balance'!E88</f>
        <v>2.3936527630514962E-5</v>
      </c>
      <c r="C88">
        <f>SUM('Mass Balance'!E88:H88)</f>
        <v>2.9110517403339331E-5</v>
      </c>
      <c r="D88">
        <f>Concentrations!F88/Concentrations!E88</f>
        <v>0.82548196091787929</v>
      </c>
    </row>
    <row r="89" spans="1:4">
      <c r="A89">
        <f>'Mass Balance'!I89</f>
        <v>8.7453167329882639E-8</v>
      </c>
      <c r="B89">
        <f>'Mass Balance'!E89</f>
        <v>2.7825875908325924E-5</v>
      </c>
      <c r="C89">
        <f>SUM('Mass Balance'!E89:H89)</f>
        <v>3.0997603144334988E-5</v>
      </c>
      <c r="D89">
        <f>Concentrations!F89/Concentrations!E89</f>
        <v>0.90119151188221702</v>
      </c>
    </row>
    <row r="90" spans="1:4">
      <c r="A90">
        <f>'Mass Balance'!I90</f>
        <v>3.9679074183155355E-8</v>
      </c>
      <c r="B90">
        <f>'Mass Balance'!E90</f>
        <v>3.4506534914125125E-5</v>
      </c>
      <c r="C90">
        <f>SUM('Mass Balance'!E90:H90)</f>
        <v>3.5282849849833924E-5</v>
      </c>
      <c r="D90">
        <f>Concentrations!F90/Concentrations!E90</f>
        <v>0.98182493204176768</v>
      </c>
    </row>
    <row r="91" spans="1:4">
      <c r="A91">
        <f>'Mass Balance'!I91</f>
        <v>1.4571076926818657E-6</v>
      </c>
      <c r="B91">
        <f>'Mass Balance'!E91</f>
        <v>1.3098251604314714E-7</v>
      </c>
      <c r="C91">
        <f>SUM('Mass Balance'!E91:H91)</f>
        <v>3.4026171188450706E-5</v>
      </c>
      <c r="D91">
        <f>Concentrations!F91/Concentrations!E91</f>
        <v>3.8645293340741375E-3</v>
      </c>
    </row>
    <row r="92" spans="1:4">
      <c r="A92">
        <f>'Mass Balance'!I92</f>
        <v>3.8400848134937267E-7</v>
      </c>
      <c r="B92">
        <f>'Mass Balance'!E92</f>
        <v>7.0211972431881727E-6</v>
      </c>
      <c r="C92">
        <f>SUM('Mass Balance'!E92:H92)</f>
        <v>2.7212586079023776E-5</v>
      </c>
      <c r="D92">
        <f>Concentrations!F92/Concentrations!E92</f>
        <v>0.25902263682185789</v>
      </c>
    </row>
    <row r="93" spans="1:4">
      <c r="A93">
        <f>'Mass Balance'!I93</f>
        <v>5.1637501559460743E-7</v>
      </c>
      <c r="B93">
        <f>'Mass Balance'!E93</f>
        <v>1.5408646666582984E-6</v>
      </c>
      <c r="C93">
        <f>SUM('Mass Balance'!E93:H93)</f>
        <v>3.1953126899331006E-5</v>
      </c>
      <c r="D93">
        <f>Concentrations!F93/Concentrations!E93</f>
        <v>4.8411383565722312E-2</v>
      </c>
    </row>
    <row r="94" spans="1:4">
      <c r="A94">
        <f>'Mass Balance'!I94</f>
        <v>3.0032340254424778E-8</v>
      </c>
      <c r="B94">
        <f>'Mass Balance'!E94</f>
        <v>3.5763847548231531E-5</v>
      </c>
      <c r="C94">
        <f>SUM('Mass Balance'!E94:H94)</f>
        <v>3.9963592120340217E-5</v>
      </c>
      <c r="D94">
        <f>Concentrations!F94/Concentrations!E94</f>
        <v>0.89841310742128699</v>
      </c>
    </row>
    <row r="95" spans="1:4">
      <c r="A95">
        <f>'Mass Balance'!I95</f>
        <v>7.3928542628678029E-7</v>
      </c>
      <c r="B95">
        <f>'Mass Balance'!E95</f>
        <v>3.1050234646203262E-7</v>
      </c>
      <c r="C95">
        <f>SUM('Mass Balance'!E95:H95)</f>
        <v>3.4730543040351884E-5</v>
      </c>
      <c r="D95">
        <f>Concentrations!F95/Concentrations!E95</f>
        <v>8.9753144885108549E-3</v>
      </c>
    </row>
    <row r="96" spans="1:4">
      <c r="A96">
        <f>'Mass Balance'!I96</f>
        <v>2.5010105718465579E-8</v>
      </c>
      <c r="B96">
        <f>'Mass Balance'!E96</f>
        <v>3.8717048541191983E-5</v>
      </c>
      <c r="C96">
        <f>SUM('Mass Balance'!E96:H96)</f>
        <v>3.8771528928408131E-5</v>
      </c>
      <c r="D96">
        <f>Concentrations!F96/Concentrations!E96</f>
        <v>1.0025029928797253</v>
      </c>
    </row>
    <row r="97" spans="1:4">
      <c r="A97">
        <f>'Mass Balance'!I97</f>
        <v>2.8399712311796551E-8</v>
      </c>
      <c r="B97">
        <f>'Mass Balance'!E97</f>
        <v>3.7233130833539031E-5</v>
      </c>
      <c r="C97">
        <f>SUM('Mass Balance'!E97:H97)</f>
        <v>3.7458387154238938E-5</v>
      </c>
      <c r="D97">
        <f>Concentrations!F97/Concentrations!E97</f>
        <v>0.99787661392795624</v>
      </c>
    </row>
    <row r="98" spans="1:4">
      <c r="A98">
        <f>'Mass Balance'!I98</f>
        <v>5.3793744623999086E-7</v>
      </c>
      <c r="B98">
        <f>'Mass Balance'!E98</f>
        <v>7.2613509908868093E-7</v>
      </c>
      <c r="C98">
        <f>SUM('Mass Balance'!E98:H98)</f>
        <v>3.3940433972744076E-5</v>
      </c>
      <c r="D98">
        <f>Concentrations!F98/Concentrations!E98</f>
        <v>2.1478126749584537E-2</v>
      </c>
    </row>
    <row r="99" spans="1:4">
      <c r="A99">
        <f>'Mass Balance'!I99</f>
        <v>2.4216733581810853E-8</v>
      </c>
      <c r="B99">
        <f>'Mass Balance'!E99</f>
        <v>3.9636268345045279E-5</v>
      </c>
      <c r="C99">
        <f>SUM('Mass Balance'!E99:H99)</f>
        <v>3.9641101886879585E-5</v>
      </c>
      <c r="D99">
        <f>Concentrations!F99/Concentrations!E99</f>
        <v>1.0037912472179731</v>
      </c>
    </row>
    <row r="100" spans="1:4">
      <c r="A100">
        <f>'Mass Balance'!I100</f>
        <v>2.2227117606842194E-7</v>
      </c>
      <c r="B100">
        <f>'Mass Balance'!E100</f>
        <v>1.6324459899156475E-5</v>
      </c>
      <c r="C100">
        <f>SUM('Mass Balance'!E100:H100)</f>
        <v>2.6754802556197878E-5</v>
      </c>
      <c r="D100">
        <f>Concentrations!F100/Concentrations!E100</f>
        <v>0.61253856018918551</v>
      </c>
    </row>
    <row r="101" spans="1:4">
      <c r="A101">
        <f>'Mass Balance'!I101</f>
        <v>2.4302193843806225E-8</v>
      </c>
      <c r="B101">
        <f>'Mass Balance'!E101</f>
        <v>3.9402584083694144E-5</v>
      </c>
      <c r="C101">
        <f>SUM('Mass Balance'!E101:H101)</f>
        <v>3.9415354141382135E-5</v>
      </c>
      <c r="D101">
        <f>Concentrations!F101/Concentrations!E101</f>
        <v>1.0035884021450032</v>
      </c>
    </row>
    <row r="102" spans="1:4">
      <c r="A102">
        <f>'Mass Balance'!I102</f>
        <v>2.4219291769213073E-8</v>
      </c>
      <c r="B102">
        <f>'Mass Balance'!E102</f>
        <v>3.9832509111903521E-5</v>
      </c>
      <c r="C102">
        <f>SUM('Mass Balance'!E102:H102)</f>
        <v>3.9833479881113738E-5</v>
      </c>
      <c r="D102">
        <f>Concentrations!F102/Concentrations!E102</f>
        <v>1.0038891909364551</v>
      </c>
    </row>
    <row r="103" spans="1:4">
      <c r="A103">
        <f>'Mass Balance'!I103</f>
        <v>2.421498445130916E-8</v>
      </c>
      <c r="B103">
        <f>'Mass Balance'!E103</f>
        <v>3.9647201206847016E-5</v>
      </c>
      <c r="C103">
        <f>SUM('Mass Balance'!E103:H103)</f>
        <v>3.9651749737331548E-5</v>
      </c>
      <c r="D103">
        <f>Concentrations!F103/Concentrations!E103</f>
        <v>1.0037984960831405</v>
      </c>
    </row>
    <row r="104" spans="1:4">
      <c r="A104">
        <f>'Mass Balance'!I104</f>
        <v>2.6281905319282931E-8</v>
      </c>
      <c r="B104">
        <f>'Mass Balance'!E104</f>
        <v>3.8035948332090039E-5</v>
      </c>
      <c r="C104">
        <f>SUM('Mass Balance'!E104:H104)</f>
        <v>3.8156094144413584E-5</v>
      </c>
      <c r="D104">
        <f>Concentrations!F104/Concentrations!E104</f>
        <v>1.0007525362272784</v>
      </c>
    </row>
    <row r="105" spans="1:4">
      <c r="A105">
        <f>'Mass Balance'!I105</f>
        <v>2.4214163323463473E-8</v>
      </c>
      <c r="B105">
        <f>'Mass Balance'!E105</f>
        <v>3.9803760361859655E-5</v>
      </c>
      <c r="C105">
        <f>SUM('Mass Balance'!E105:H105)</f>
        <v>3.9805125002868912E-5</v>
      </c>
      <c r="D105">
        <f>Concentrations!F105/Concentrations!E105</f>
        <v>1.0038792397804066</v>
      </c>
    </row>
    <row r="106" spans="1:4">
      <c r="A106">
        <f>'Mass Balance'!I106</f>
        <v>4.8528878491625445E-8</v>
      </c>
      <c r="B106">
        <f>'Mass Balance'!E106</f>
        <v>3.2944399213100127E-5</v>
      </c>
      <c r="C106">
        <f>SUM('Mass Balance'!E106:H106)</f>
        <v>3.4155964713744972E-5</v>
      </c>
      <c r="D106">
        <f>Concentrations!F106/Concentrations!E106</f>
        <v>0.96830326910358988</v>
      </c>
    </row>
    <row r="107" spans="1:4">
      <c r="A107">
        <f>'Mass Balance'!I107</f>
        <v>5.4171208446451312E-7</v>
      </c>
      <c r="B107">
        <f>'Mass Balance'!E107</f>
        <v>5.3982843675017624E-7</v>
      </c>
      <c r="C107">
        <f>SUM('Mass Balance'!E107:H107)</f>
        <v>3.459549787475684E-5</v>
      </c>
      <c r="D107">
        <f>Concentrations!F107/Concentrations!E107</f>
        <v>1.5665077058658026E-2</v>
      </c>
    </row>
    <row r="108" spans="1:4">
      <c r="A108">
        <f>'Mass Balance'!I108</f>
        <v>1.8779810723459667E-7</v>
      </c>
      <c r="B108">
        <f>'Mass Balance'!E108</f>
        <v>1.8803893460845753E-5</v>
      </c>
      <c r="C108">
        <f>SUM('Mass Balance'!E108:H108)</f>
        <v>2.7313136432630588E-5</v>
      </c>
      <c r="D108">
        <f>Concentrations!F108/Concentrations!E108</f>
        <v>0.69115041023160817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0.77288069282274086</v>
      </c>
      <c r="M2" s="115">
        <v>2.2296672906347519</v>
      </c>
      <c r="N2" s="115">
        <v>52.871940574330402</v>
      </c>
      <c r="O2" s="115">
        <v>1.1283060008139989</v>
      </c>
      <c r="P2" s="115">
        <v>1.1580679167562791</v>
      </c>
      <c r="Q2" s="111">
        <v>1.1283060008139989</v>
      </c>
      <c r="R2" s="68">
        <v>1.1580679167562791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6.1906546185251578E-4</v>
      </c>
      <c r="M3" s="115">
        <v>99.125061393163662</v>
      </c>
      <c r="N3" s="115">
        <v>3414.8439960061169</v>
      </c>
      <c r="O3" s="115">
        <v>20.595172744620573</v>
      </c>
      <c r="P3" s="115">
        <v>8.8219744294562243</v>
      </c>
      <c r="Q3" s="111">
        <v>20.595172744620573</v>
      </c>
      <c r="R3" s="68">
        <v>8.8219744294562243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0.35252694315823357</v>
      </c>
      <c r="M4" s="115">
        <v>9.1594528911997415</v>
      </c>
      <c r="N4" s="115">
        <v>301.25680534447974</v>
      </c>
      <c r="O4" s="115">
        <v>3.2469547586130831</v>
      </c>
      <c r="P4" s="115">
        <v>3.0417372878860864</v>
      </c>
      <c r="Q4" s="111">
        <v>3.2469547586130831</v>
      </c>
      <c r="R4" s="68">
        <v>3.0417372878860864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6.818568876735734E-3</v>
      </c>
      <c r="M5" s="115">
        <v>29.906808992717981</v>
      </c>
      <c r="N5" s="115">
        <v>1024.9440352524887</v>
      </c>
      <c r="O5" s="115">
        <v>9.0278083820146779</v>
      </c>
      <c r="P5" s="115">
        <v>7.6123170652404388</v>
      </c>
      <c r="Q5" s="111">
        <v>9.0278083820146779</v>
      </c>
      <c r="R5" s="68">
        <v>7.6123170652404397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2.7594178579063463E-4</v>
      </c>
      <c r="M6" s="115">
        <v>115.14683907745044</v>
      </c>
      <c r="N6" s="115">
        <v>3971.9938680684872</v>
      </c>
      <c r="O6" s="115">
        <v>23.274267853749919</v>
      </c>
      <c r="P6" s="115">
        <v>9.2196306541997952</v>
      </c>
      <c r="Q6" s="111">
        <v>23.274267853749919</v>
      </c>
      <c r="R6" s="68">
        <v>9.219630654199797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5.5369280682237144E-4</v>
      </c>
      <c r="M7" s="115">
        <v>101.99799439676421</v>
      </c>
      <c r="N7" s="115">
        <v>3514.4931827838363</v>
      </c>
      <c r="O7" s="115">
        <v>21.088315399066758</v>
      </c>
      <c r="P7" s="115">
        <v>8.9090169138199489</v>
      </c>
      <c r="Q7" s="111">
        <v>21.088315399066758</v>
      </c>
      <c r="R7" s="68">
        <v>8.9090169138199506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1.2421247891714099E-3</v>
      </c>
      <c r="M8" s="115">
        <v>81.859440182534883</v>
      </c>
      <c r="N8" s="115">
        <v>2816.5827387956501</v>
      </c>
      <c r="O8" s="115">
        <v>17.7194829007219</v>
      </c>
      <c r="P8" s="115">
        <v>8.4758894011105443</v>
      </c>
      <c r="Q8" s="111">
        <v>17.7194829007219</v>
      </c>
      <c r="R8" s="68">
        <v>8.4758894011105443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5.892490307939377E-2</v>
      </c>
      <c r="M9" s="115">
        <v>17.653423270911759</v>
      </c>
      <c r="N9" s="115">
        <v>601.0651895481559</v>
      </c>
      <c r="O9" s="115">
        <v>6.3154981532957617</v>
      </c>
      <c r="P9" s="115">
        <v>6.1996007825450281</v>
      </c>
      <c r="Q9" s="111">
        <v>6.3154981532957626</v>
      </c>
      <c r="R9" s="68">
        <v>6.1996007825450281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6.3337142223212741E-3</v>
      </c>
      <c r="M10" s="115">
        <v>31.959326420632404</v>
      </c>
      <c r="N10" s="115">
        <v>1095.5314321828259</v>
      </c>
      <c r="O10" s="115">
        <v>9.3698175857328785</v>
      </c>
      <c r="P10" s="115">
        <v>7.6381565942648848</v>
      </c>
      <c r="Q10" s="111">
        <v>9.3698175857328785</v>
      </c>
      <c r="R10" s="68">
        <v>7.6381565942648848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5.5829584166962052E-3</v>
      </c>
      <c r="M11" s="115">
        <v>35.583128716425193</v>
      </c>
      <c r="N11" s="115">
        <v>1220.196814075555</v>
      </c>
      <c r="O11" s="115">
        <v>9.9732273849393263</v>
      </c>
      <c r="P11" s="115">
        <v>7.6842388021612518</v>
      </c>
      <c r="Q11" s="111">
        <v>9.9732273849393263</v>
      </c>
      <c r="R11" s="68">
        <v>7.6842388021612527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3.7804077955633494E-2</v>
      </c>
      <c r="M12" s="115">
        <v>18.476959025855582</v>
      </c>
      <c r="N12" s="115">
        <v>630.25593767224052</v>
      </c>
      <c r="O12" s="115">
        <v>6.6882069350003359</v>
      </c>
      <c r="P12" s="115">
        <v>6.649804337244289</v>
      </c>
      <c r="Q12" s="111">
        <v>6.6882069350003359</v>
      </c>
      <c r="R12" s="68">
        <v>6.6498043372442899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5.6531763386956965E-2</v>
      </c>
      <c r="M13" s="115">
        <v>17.744163873755706</v>
      </c>
      <c r="N13" s="115">
        <v>604.27517457138151</v>
      </c>
      <c r="O13" s="115">
        <v>6.3546893416307366</v>
      </c>
      <c r="P13" s="115">
        <v>6.2455857837557849</v>
      </c>
      <c r="Q13" s="111">
        <v>6.3546893416307375</v>
      </c>
      <c r="R13" s="68">
        <v>6.2455857837557858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3.6807946057456622E-3</v>
      </c>
      <c r="M14" s="115">
        <v>48.395696662154748</v>
      </c>
      <c r="N14" s="115">
        <v>1661.3626446986746</v>
      </c>
      <c r="O14" s="115">
        <v>12.11342298822656</v>
      </c>
      <c r="P14" s="115">
        <v>7.8710393264167138</v>
      </c>
      <c r="Q14" s="111">
        <v>12.113422988226562</v>
      </c>
      <c r="R14" s="68">
        <v>7.8710393264167147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5.9495521864610023E-3</v>
      </c>
      <c r="M15" s="115">
        <v>33.739856710008304</v>
      </c>
      <c r="N15" s="115">
        <v>1156.7785091792714</v>
      </c>
      <c r="O15" s="115">
        <v>9.6663496266733375</v>
      </c>
      <c r="P15" s="115">
        <v>7.6606979821836259</v>
      </c>
      <c r="Q15" s="111">
        <v>9.6663496266733375</v>
      </c>
      <c r="R15" s="68">
        <v>7.6606979821836267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1.2856522356674027E-3</v>
      </c>
      <c r="M16" s="115">
        <v>80.860328813462772</v>
      </c>
      <c r="N16" s="115">
        <v>2782.0245119107467</v>
      </c>
      <c r="O16" s="115">
        <v>17.551093412683411</v>
      </c>
      <c r="P16" s="115">
        <v>8.454041830885755</v>
      </c>
      <c r="Q16" s="111">
        <v>17.551093412683411</v>
      </c>
      <c r="R16" s="68">
        <v>8.4540418308857568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6.6542410390673188E-3</v>
      </c>
      <c r="M17" s="115">
        <v>30.581770271833836</v>
      </c>
      <c r="N17" s="115">
        <v>1048.1544132164004</v>
      </c>
      <c r="O17" s="115">
        <v>9.1404413479328142</v>
      </c>
      <c r="P17" s="115">
        <v>7.6210532680873087</v>
      </c>
      <c r="Q17" s="111">
        <v>9.1404413479328142</v>
      </c>
      <c r="R17" s="68">
        <v>7.6210532680873087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7.060674383271226E-2</v>
      </c>
      <c r="M18" s="115">
        <v>17.153945468569756</v>
      </c>
      <c r="N18" s="115">
        <v>583.48707512134786</v>
      </c>
      <c r="O18" s="115">
        <v>6.1087496520005455</v>
      </c>
      <c r="P18" s="115">
        <v>5.9645185128947826</v>
      </c>
      <c r="Q18" s="111">
        <v>6.1087496520005455</v>
      </c>
      <c r="R18" s="68">
        <v>5.9645185128947826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5.8748978240559212E-3</v>
      </c>
      <c r="M19" s="115">
        <v>34.103845710332301</v>
      </c>
      <c r="N19" s="115">
        <v>1169.3005737027363</v>
      </c>
      <c r="O19" s="115">
        <v>9.7269932104863646</v>
      </c>
      <c r="P19" s="115">
        <v>7.665395255095091</v>
      </c>
      <c r="Q19" s="111">
        <v>9.7269932104863646</v>
      </c>
      <c r="R19" s="68">
        <v>7.665395255095091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5.6539260280657852E-2</v>
      </c>
      <c r="M20" s="115">
        <v>17.746516995300176</v>
      </c>
      <c r="N20" s="115">
        <v>604.35530981709883</v>
      </c>
      <c r="O20" s="115">
        <v>6.3555320613274553</v>
      </c>
      <c r="P20" s="115">
        <v>6.246414034811747</v>
      </c>
      <c r="Q20" s="111">
        <v>6.3555320613274553</v>
      </c>
      <c r="R20" s="68">
        <v>6.246414034811747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4.1700432799831573E-3</v>
      </c>
      <c r="M21" s="115">
        <v>44.432533842622668</v>
      </c>
      <c r="N21" s="115">
        <v>1524.8396351374979</v>
      </c>
      <c r="O21" s="115">
        <v>11.449161688428767</v>
      </c>
      <c r="P21" s="115">
        <v>7.80731397965301</v>
      </c>
      <c r="Q21" s="111">
        <v>11.449161688428767</v>
      </c>
      <c r="R21" s="68">
        <v>7.8073139796530109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0.56132816876322988</v>
      </c>
      <c r="M22" s="115">
        <v>5.0819095399468042</v>
      </c>
      <c r="N22" s="115">
        <v>156.11147899776691</v>
      </c>
      <c r="O22" s="115">
        <v>1.9567041808133079</v>
      </c>
      <c r="P22" s="115">
        <v>1.860932195501803</v>
      </c>
      <c r="Q22" s="111">
        <v>1.9567041808133081</v>
      </c>
      <c r="R22" s="68">
        <v>1.860932195501803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0.71001825759431725</v>
      </c>
      <c r="M23" s="115">
        <v>2.9541649886996777</v>
      </c>
      <c r="N23" s="115">
        <v>79.345118665502099</v>
      </c>
      <c r="O23" s="115">
        <v>1.3299049362999191</v>
      </c>
      <c r="P23" s="115">
        <v>1.3224389871296649</v>
      </c>
      <c r="Q23" s="111">
        <v>1.3299049362999191</v>
      </c>
      <c r="R23" s="68">
        <v>1.3224389871296649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0.17304149896233378</v>
      </c>
      <c r="M24" s="115">
        <v>13.800851127410027</v>
      </c>
      <c r="N24" s="115">
        <v>465.23973914827303</v>
      </c>
      <c r="O24" s="115">
        <v>4.8333519696810301</v>
      </c>
      <c r="P24" s="115">
        <v>4.5971369606450487</v>
      </c>
      <c r="Q24" s="111">
        <v>4.8333519696810301</v>
      </c>
      <c r="R24" s="68">
        <v>4.5971369606450496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2.0567059207732562E-2</v>
      </c>
      <c r="M25" s="115">
        <v>18.872389878823999</v>
      </c>
      <c r="N25" s="115">
        <v>644.86129228163577</v>
      </c>
      <c r="O25" s="115">
        <v>6.9461804478039042</v>
      </c>
      <c r="P25" s="115">
        <v>7.022072680723527</v>
      </c>
      <c r="Q25" s="111">
        <v>6.9461804478039051</v>
      </c>
      <c r="R25" s="68">
        <v>7.0220726807235279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4.5244590150197855E-3</v>
      </c>
      <c r="M26" s="115">
        <v>41.904281005596935</v>
      </c>
      <c r="N26" s="115">
        <v>1437.7744935213784</v>
      </c>
      <c r="O26" s="115">
        <v>11.027047158491266</v>
      </c>
      <c r="P26" s="115">
        <v>7.7704718234667762</v>
      </c>
      <c r="Q26" s="111">
        <v>11.027047158491266</v>
      </c>
      <c r="R26" s="68">
        <v>7.7704718234667771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6.8127867725953915E-4</v>
      </c>
      <c r="M27" s="115">
        <v>97.060365349339179</v>
      </c>
      <c r="N27" s="115">
        <v>3343.1778541325707</v>
      </c>
      <c r="O27" s="115">
        <v>20.254527248619311</v>
      </c>
      <c r="P27" s="115">
        <v>8.7829027651999443</v>
      </c>
      <c r="Q27" s="111">
        <v>20.254527248619311</v>
      </c>
      <c r="R27" s="68">
        <v>8.7829027651999443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2.4723690132434453E-3</v>
      </c>
      <c r="M28" s="115">
        <v>61.080204688476826</v>
      </c>
      <c r="N28" s="115">
        <v>2098.7172709383358</v>
      </c>
      <c r="O28" s="115">
        <v>14.23702181974455</v>
      </c>
      <c r="P28" s="115">
        <v>8.0822577713362858</v>
      </c>
      <c r="Q28" s="111">
        <v>14.23702181974455</v>
      </c>
      <c r="R28" s="68">
        <v>8.0822577713362858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3.7375681656585634E-3</v>
      </c>
      <c r="M29" s="115">
        <v>45.816216498289648</v>
      </c>
      <c r="N29" s="115">
        <v>1572.6505430565403</v>
      </c>
      <c r="O29" s="115">
        <v>11.575618589784476</v>
      </c>
      <c r="P29" s="115">
        <v>7.6424607370860924</v>
      </c>
      <c r="Q29" s="111">
        <v>11.575618589784478</v>
      </c>
      <c r="R29" s="68">
        <v>7.6424607370860924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2.4723690132434453E-3</v>
      </c>
      <c r="M30" s="115">
        <v>61.080204688476826</v>
      </c>
      <c r="N30" s="115">
        <v>2098.7172709383358</v>
      </c>
      <c r="O30" s="115">
        <v>14.23702181974455</v>
      </c>
      <c r="P30" s="115">
        <v>8.0822577713362858</v>
      </c>
      <c r="Q30" s="111">
        <v>14.23702181974455</v>
      </c>
      <c r="R30" s="68">
        <v>8.0822577713362858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0.97254949913301347</v>
      </c>
      <c r="M31" s="115">
        <v>0.87977242037560333</v>
      </c>
      <c r="N31" s="115">
        <v>1.1396301094084182</v>
      </c>
      <c r="O31" s="115">
        <v>0.81318251065497205</v>
      </c>
      <c r="P31" s="115">
        <v>0.94116428216805992</v>
      </c>
      <c r="Q31" s="111">
        <v>0.81318251065497216</v>
      </c>
      <c r="R31" s="68">
        <v>0.94116428216806003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0.43712207548254206</v>
      </c>
      <c r="M32" s="115">
        <v>7.5499946631780155</v>
      </c>
      <c r="N32" s="115">
        <v>241.82261889389801</v>
      </c>
      <c r="O32" s="115">
        <v>2.4762050951795627</v>
      </c>
      <c r="P32" s="115">
        <v>2.27455474103833</v>
      </c>
      <c r="Q32" s="111">
        <v>2.4762050951795631</v>
      </c>
      <c r="R32" s="68">
        <v>2.27455474103833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0.9923366554894284</v>
      </c>
      <c r="M33" s="115">
        <v>0.87803750550132098</v>
      </c>
      <c r="N33" s="115">
        <v>0.59099805347745982</v>
      </c>
      <c r="O33" s="115">
        <v>0.84173564497480868</v>
      </c>
      <c r="P33" s="115">
        <v>0.98952403966009472</v>
      </c>
      <c r="Q33" s="111">
        <v>0.84173564497480868</v>
      </c>
      <c r="R33" s="68">
        <v>0.98952403966009472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0.54790791937589378</v>
      </c>
      <c r="M34" s="115">
        <v>1.5992533227363217</v>
      </c>
      <c r="N34" s="115">
        <v>44.971356196948953</v>
      </c>
      <c r="O34" s="115">
        <v>2.6244039002947099</v>
      </c>
      <c r="P34" s="115">
        <v>4.2904192366231326</v>
      </c>
      <c r="Q34" s="111">
        <v>2.6244039002947099</v>
      </c>
      <c r="R34" s="68">
        <v>4.2904192366231326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0.32461431922087586</v>
      </c>
      <c r="M35" s="115">
        <v>1.8738737181835765</v>
      </c>
      <c r="N35" s="115">
        <v>63.625044362875975</v>
      </c>
      <c r="O35" s="115">
        <v>3.5032361965600449</v>
      </c>
      <c r="P35" s="115">
        <v>5.9296376878037815</v>
      </c>
      <c r="Q35" s="111">
        <v>3.5032361965600454</v>
      </c>
      <c r="R35" s="68">
        <v>5.9296376878037824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0.10834093595849041</v>
      </c>
      <c r="M36" s="115">
        <v>2.0313282209943564</v>
      </c>
      <c r="N36" s="115">
        <v>77.30474992839784</v>
      </c>
      <c r="O36" s="115">
        <v>4.3428197899009309</v>
      </c>
      <c r="P36" s="115">
        <v>7.5120834372590268</v>
      </c>
      <c r="Q36" s="111">
        <v>4.3428197899009309</v>
      </c>
      <c r="R36" s="68">
        <v>7.5120834372590268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0.20799415349669276</v>
      </c>
      <c r="M37" s="115">
        <v>5.0649076874008978</v>
      </c>
      <c r="N37" s="115">
        <v>174.37578904157175</v>
      </c>
      <c r="O37" s="115">
        <v>4.0871886374213986</v>
      </c>
      <c r="P37" s="115">
        <v>6.1063808929463992</v>
      </c>
      <c r="Q37" s="111">
        <v>4.0871886374213986</v>
      </c>
      <c r="R37" s="68">
        <v>6.1063808929463992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0.61337405476804574</v>
      </c>
      <c r="M38" s="115">
        <v>1.5449429417240788</v>
      </c>
      <c r="N38" s="115">
        <v>40.270231335566798</v>
      </c>
      <c r="O38" s="115">
        <v>2.3627020892498365</v>
      </c>
      <c r="P38" s="115">
        <v>3.7926220786984617</v>
      </c>
      <c r="Q38" s="111">
        <v>2.3627020892498365</v>
      </c>
      <c r="R38" s="68">
        <v>3.7926220786984617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1.0248252821129828E-2</v>
      </c>
      <c r="M39" s="115">
        <v>19.849146355759189</v>
      </c>
      <c r="N39" s="115">
        <v>679.29772809148972</v>
      </c>
      <c r="O39" s="115">
        <v>7.3603286067795439</v>
      </c>
      <c r="P39" s="115">
        <v>7.5085596298512129</v>
      </c>
      <c r="Q39" s="111">
        <v>7.3603286067795448</v>
      </c>
      <c r="R39" s="68">
        <v>7.5085596298512138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9.2844568580336805E-4</v>
      </c>
      <c r="M40" s="115">
        <v>130.30505882952414</v>
      </c>
      <c r="N40" s="115">
        <v>5159.5718174090252</v>
      </c>
      <c r="O40" s="115">
        <v>18.211007862795714</v>
      </c>
      <c r="P40" s="115">
        <v>11.941753395083468</v>
      </c>
      <c r="Q40" s="111">
        <v>18.211007862795714</v>
      </c>
      <c r="R40" s="68">
        <v>11.941753395083468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0.91041560249287679</v>
      </c>
      <c r="M41" s="115">
        <v>0.79397186592813418</v>
      </c>
      <c r="N41" s="115">
        <v>6.4413556210052805E-2</v>
      </c>
      <c r="O41" s="115">
        <v>0.75264092112253267</v>
      </c>
      <c r="P41" s="115">
        <v>0.87457322081398359</v>
      </c>
      <c r="Q41" s="111">
        <v>0.75264092112253278</v>
      </c>
      <c r="R41" s="68">
        <v>0.8745732208139837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0.52390234894307441</v>
      </c>
      <c r="M42" s="115">
        <v>5.7461609979646955</v>
      </c>
      <c r="N42" s="115">
        <v>179.83224757041492</v>
      </c>
      <c r="O42" s="115">
        <v>2.1608325867705962</v>
      </c>
      <c r="P42" s="115">
        <v>2.0425220719826789</v>
      </c>
      <c r="Q42" s="111">
        <v>2.1608325867705962</v>
      </c>
      <c r="R42" s="68">
        <v>2.0425220719826789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8.8231032144710266E-3</v>
      </c>
      <c r="M43" s="115">
        <v>4.1285635370417353</v>
      </c>
      <c r="N43" s="115">
        <v>164.15004599166602</v>
      </c>
      <c r="O43" s="115">
        <v>4.9396889285856274</v>
      </c>
      <c r="P43" s="115">
        <v>8.3022370765744338</v>
      </c>
      <c r="Q43" s="111">
        <v>4.9396889285856274</v>
      </c>
      <c r="R43" s="68">
        <v>8.3022370765744338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0.76149753722687952</v>
      </c>
      <c r="M44" s="115">
        <v>1.5181658095673414</v>
      </c>
      <c r="N44" s="115">
        <v>29.047210400460969</v>
      </c>
      <c r="O44" s="115">
        <v>0.89460793432481767</v>
      </c>
      <c r="P44" s="115">
        <v>0.95265683279375724</v>
      </c>
      <c r="Q44" s="111">
        <v>0.89460793432481767</v>
      </c>
      <c r="R44" s="68">
        <v>0.95265683279375735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0.48853452305496686</v>
      </c>
      <c r="M45" s="115">
        <v>6.3719079354328327</v>
      </c>
      <c r="N45" s="115">
        <v>202.1909462187599</v>
      </c>
      <c r="O45" s="115">
        <v>2.354706538920539</v>
      </c>
      <c r="P45" s="115">
        <v>2.216763543582235</v>
      </c>
      <c r="Q45" s="111">
        <v>2.354706538920539</v>
      </c>
      <c r="R45" s="68">
        <v>2.216763543582235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0.50981024405345587</v>
      </c>
      <c r="M46" s="115">
        <v>5.9653065197756652</v>
      </c>
      <c r="N46" s="115">
        <v>187.71270847032906</v>
      </c>
      <c r="O46" s="115">
        <v>2.2277789749759775</v>
      </c>
      <c r="P46" s="115">
        <v>2.102284583115638</v>
      </c>
      <c r="Q46" s="111">
        <v>2.2277789749759775</v>
      </c>
      <c r="R46" s="68">
        <v>2.1022845831156385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6.2116655267308051E-4</v>
      </c>
      <c r="M47" s="115">
        <v>99.461489072326785</v>
      </c>
      <c r="N47" s="115">
        <v>3426.4338807853428</v>
      </c>
      <c r="O47" s="115">
        <v>20.665072183481492</v>
      </c>
      <c r="P47" s="115">
        <v>8.8519159633249043</v>
      </c>
      <c r="Q47" s="111">
        <v>20.665072183481492</v>
      </c>
      <c r="R47" s="68">
        <v>8.8519159633249043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0.90130230521245636</v>
      </c>
      <c r="M48" s="115">
        <v>1.0847351410245565</v>
      </c>
      <c r="N48" s="115">
        <v>10.201687234544659</v>
      </c>
      <c r="O48" s="115">
        <v>0.83537626403520537</v>
      </c>
      <c r="P48" s="115">
        <v>0.93835246211785883</v>
      </c>
      <c r="Q48" s="111">
        <v>0.83537626403520537</v>
      </c>
      <c r="R48" s="68">
        <v>0.93835246211785883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0.86063415450007097</v>
      </c>
      <c r="M49" s="115">
        <v>1.2634479436609498</v>
      </c>
      <c r="N49" s="115">
        <v>17.470628517745482</v>
      </c>
      <c r="O49" s="115">
        <v>0.86843165413505119</v>
      </c>
      <c r="P49" s="115">
        <v>0.95515292886377989</v>
      </c>
      <c r="Q49" s="111">
        <v>0.86843165413505119</v>
      </c>
      <c r="R49" s="68">
        <v>0.95515292886377989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7.4731108283427036E-2</v>
      </c>
      <c r="M50" s="115">
        <v>16.931540262030804</v>
      </c>
      <c r="N50" s="115">
        <v>575.71473537133124</v>
      </c>
      <c r="O50" s="115">
        <v>6.0207854649643906</v>
      </c>
      <c r="P50" s="115">
        <v>5.8682249753008522</v>
      </c>
      <c r="Q50" s="111">
        <v>6.0207854649643915</v>
      </c>
      <c r="R50" s="68">
        <v>5.8682249753008531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0.90062050905074176</v>
      </c>
      <c r="M51" s="115">
        <v>0.83813205139535429</v>
      </c>
      <c r="N51" s="115">
        <v>1.8499921989533963</v>
      </c>
      <c r="O51" s="115">
        <v>0.75997385906302428</v>
      </c>
      <c r="P51" s="115">
        <v>0.87695314635876009</v>
      </c>
      <c r="Q51" s="111">
        <v>0.75997385906302439</v>
      </c>
      <c r="R51" s="68">
        <v>0.87695314635876009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0.72223560488034388</v>
      </c>
      <c r="M52" s="115">
        <v>2.0499640508712691</v>
      </c>
      <c r="N52" s="115">
        <v>48.266248529520297</v>
      </c>
      <c r="O52" s="115">
        <v>1.0435599350774687</v>
      </c>
      <c r="P52" s="115">
        <v>1.0727317137663555</v>
      </c>
      <c r="Q52" s="111">
        <v>1.0435599350774687</v>
      </c>
      <c r="R52" s="68">
        <v>1.0727317137663555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0.37764572768541044</v>
      </c>
      <c r="M53" s="115">
        <v>8.5718506009253499</v>
      </c>
      <c r="N53" s="115">
        <v>280.46663115987917</v>
      </c>
      <c r="O53" s="115">
        <v>3.0548256469637325</v>
      </c>
      <c r="P53" s="115">
        <v>2.8611242497388258</v>
      </c>
      <c r="Q53" s="111">
        <v>3.0548256469637329</v>
      </c>
      <c r="R53" s="68">
        <v>2.8611242497388263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8.6920113527146753E-4</v>
      </c>
      <c r="M54" s="115">
        <v>91.398804637459833</v>
      </c>
      <c r="N54" s="115">
        <v>3146.8496266805569</v>
      </c>
      <c r="O54" s="115">
        <v>19.316640489406431</v>
      </c>
      <c r="P54" s="115">
        <v>8.6742219194838164</v>
      </c>
      <c r="Q54" s="111">
        <v>19.316640489406431</v>
      </c>
      <c r="R54" s="68">
        <v>8.6742219194838164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0.13559795727318399</v>
      </c>
      <c r="M55" s="115">
        <v>12.423939832850571</v>
      </c>
      <c r="N55" s="115">
        <v>419.5037112216649</v>
      </c>
      <c r="O55" s="115">
        <v>4.3558555066695073</v>
      </c>
      <c r="P55" s="115">
        <v>4.1550916874835497</v>
      </c>
      <c r="Q55" s="111">
        <v>4.3558555066695073</v>
      </c>
      <c r="R55" s="68">
        <v>4.1550916874835497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1.6086970122777218E-2</v>
      </c>
      <c r="M56" s="115">
        <v>7.3313892091028166</v>
      </c>
      <c r="N56" s="115">
        <v>250.01905204382084</v>
      </c>
      <c r="O56" s="115">
        <v>2.6491323817100767</v>
      </c>
      <c r="P56" s="115">
        <v>2.6290875286144448</v>
      </c>
      <c r="Q56" s="111">
        <v>2.6491323817100767</v>
      </c>
      <c r="R56" s="68">
        <v>2.6290875286144448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2.9137809736632117E-2</v>
      </c>
      <c r="M57" s="115">
        <v>3.6080154004016589</v>
      </c>
      <c r="N57" s="115">
        <v>122.183506528591</v>
      </c>
      <c r="O57" s="115">
        <v>1.2694441591091934</v>
      </c>
      <c r="P57" s="115">
        <v>1.2191562959449043</v>
      </c>
      <c r="Q57" s="111">
        <v>1.2694441591091936</v>
      </c>
      <c r="R57" s="68">
        <v>1.2191562959449043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5.9140570754724314E-2</v>
      </c>
      <c r="M58" s="115">
        <v>9.6127113509662021E-2</v>
      </c>
      <c r="N58" s="115">
        <v>1.5164851488982316</v>
      </c>
      <c r="O58" s="115">
        <v>6.2595035940947896E-2</v>
      </c>
      <c r="P58" s="115">
        <v>6.8104856629688071E-2</v>
      </c>
      <c r="Q58" s="111">
        <v>6.2595035940947896E-2</v>
      </c>
      <c r="R58" s="68">
        <v>6.8104856629688071E-2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1.2002613404113035E-2</v>
      </c>
      <c r="M59" s="115">
        <v>1.3863513912259755</v>
      </c>
      <c r="N59" s="115">
        <v>46.91945487107165</v>
      </c>
      <c r="O59" s="115">
        <v>0.48731517784670625</v>
      </c>
      <c r="P59" s="115">
        <v>0.46725878852295782</v>
      </c>
      <c r="Q59" s="111">
        <v>0.48731517784670625</v>
      </c>
      <c r="R59" s="68">
        <v>0.46725878852295788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4.4890058313416526E-4</v>
      </c>
      <c r="M60" s="115">
        <v>2.4195978312711468E-2</v>
      </c>
      <c r="N60" s="115">
        <v>0.81090620104200029</v>
      </c>
      <c r="O60" s="115">
        <v>8.4681016847274523E-3</v>
      </c>
      <c r="P60" s="115">
        <v>7.995459630603656E-3</v>
      </c>
      <c r="Q60" s="111">
        <v>8.468101684727454E-3</v>
      </c>
      <c r="R60" s="68">
        <v>7.995459630603656E-3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0.28280191507324259</v>
      </c>
      <c r="M61" s="115">
        <v>10.810149566092914</v>
      </c>
      <c r="N61" s="115">
        <v>359.682958802092</v>
      </c>
      <c r="O61" s="115">
        <v>3.7954760683755198</v>
      </c>
      <c r="P61" s="115">
        <v>3.5661768573820476</v>
      </c>
      <c r="Q61" s="111">
        <v>3.7954760683755198</v>
      </c>
      <c r="R61" s="68">
        <v>3.5661768573820476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3.7860031190517702E-3</v>
      </c>
      <c r="M62" s="115">
        <v>47.506831867612036</v>
      </c>
      <c r="N62" s="115">
        <v>1630.7372485035239</v>
      </c>
      <c r="O62" s="115">
        <v>11.964951167916677</v>
      </c>
      <c r="P62" s="115">
        <v>7.8575018682645394</v>
      </c>
      <c r="Q62" s="111">
        <v>11.964951167916677</v>
      </c>
      <c r="R62" s="68">
        <v>7.8575018682645394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3.38092538866558E-4</v>
      </c>
      <c r="M63" s="115">
        <v>111.6886879025526</v>
      </c>
      <c r="N63" s="115">
        <v>3851.4783591187897</v>
      </c>
      <c r="O63" s="115">
        <v>22.701057128332856</v>
      </c>
      <c r="P63" s="115">
        <v>9.1354636761568191</v>
      </c>
      <c r="Q63" s="111">
        <v>22.701057128332859</v>
      </c>
      <c r="R63" s="68">
        <v>9.1354636761568209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1.1663411403610503E-4</v>
      </c>
      <c r="M64" s="115">
        <v>126.83914913857531</v>
      </c>
      <c r="N64" s="115">
        <v>4381.00275203413</v>
      </c>
      <c r="O64" s="115">
        <v>25.195930814340826</v>
      </c>
      <c r="P64" s="115">
        <v>9.5186621072890247</v>
      </c>
      <c r="Q64" s="111">
        <v>25.195930814340826</v>
      </c>
      <c r="R64" s="68">
        <v>9.5186621072890247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3.2647480597788658E-5</v>
      </c>
      <c r="M65" s="115">
        <v>137.64610123846197</v>
      </c>
      <c r="N65" s="115">
        <v>4762.9186352707557</v>
      </c>
      <c r="O65" s="115">
        <v>26.924485569771171</v>
      </c>
      <c r="P65" s="115">
        <v>9.8203755494364326</v>
      </c>
      <c r="Q65" s="111">
        <v>26.924485569771175</v>
      </c>
      <c r="R65" s="68">
        <v>9.8203755494364326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6.7788492131081162E-5</v>
      </c>
      <c r="M66" s="115">
        <v>132.20275824695617</v>
      </c>
      <c r="N66" s="115">
        <v>4569.8504210021811</v>
      </c>
      <c r="O66" s="115">
        <v>26.062986525724245</v>
      </c>
      <c r="P66" s="115">
        <v>9.6648169488681894</v>
      </c>
      <c r="Q66" s="111">
        <v>26.062986525724245</v>
      </c>
      <c r="R66" s="68">
        <v>9.6648169488681894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0.81125012646765127</v>
      </c>
      <c r="M67" s="115">
        <v>1.8046555889658589</v>
      </c>
      <c r="N67" s="115">
        <v>37.304584032741488</v>
      </c>
      <c r="O67" s="115">
        <v>1.0126519156930569</v>
      </c>
      <c r="P67" s="115">
        <v>1.0662601778567964</v>
      </c>
      <c r="Q67" s="111">
        <v>1.0126519156930569</v>
      </c>
      <c r="R67" s="68">
        <v>1.0662601778567966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0.74005341617303455</v>
      </c>
      <c r="M68" s="115">
        <v>2.4838294658519811</v>
      </c>
      <c r="N68" s="115">
        <v>62.476140627578644</v>
      </c>
      <c r="O68" s="115">
        <v>1.1929527008439023</v>
      </c>
      <c r="P68" s="115">
        <v>1.2076387628137668</v>
      </c>
      <c r="Q68" s="111">
        <v>1.1929527008439023</v>
      </c>
      <c r="R68" s="68">
        <v>1.2076387628137668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1.3527765985307516E-3</v>
      </c>
      <c r="M69" s="115">
        <v>79.323304855272809</v>
      </c>
      <c r="N69" s="115">
        <v>2728.8757538691648</v>
      </c>
      <c r="O69" s="115">
        <v>17.290381256952216</v>
      </c>
      <c r="P69" s="115">
        <v>8.4178575185510223</v>
      </c>
      <c r="Q69" s="111">
        <v>17.290381256952216</v>
      </c>
      <c r="R69" s="68">
        <v>8.4178575185510223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2.5403746542352331E-2</v>
      </c>
      <c r="M70" s="115">
        <v>18.894715620527261</v>
      </c>
      <c r="N70" s="115">
        <v>645.28733650664515</v>
      </c>
      <c r="O70" s="115">
        <v>6.9147637434887432</v>
      </c>
      <c r="P70" s="115">
        <v>6.9516067411452154</v>
      </c>
      <c r="Q70" s="111">
        <v>6.9147637434887441</v>
      </c>
      <c r="R70" s="68">
        <v>6.9516067411452154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0.74050156673583012</v>
      </c>
      <c r="M71" s="115">
        <v>2.3211014768390696</v>
      </c>
      <c r="N71" s="115">
        <v>56.935238128747251</v>
      </c>
      <c r="O71" s="115">
        <v>1.1406125092583841</v>
      </c>
      <c r="P71" s="115">
        <v>1.1617420435067716</v>
      </c>
      <c r="Q71" s="111">
        <v>1.1406125092583841</v>
      </c>
      <c r="R71" s="68">
        <v>1.1617420435067718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2.9355388159652135E-2</v>
      </c>
      <c r="M72" s="115">
        <v>18.54398784848382</v>
      </c>
      <c r="N72" s="115">
        <v>633.02995879430591</v>
      </c>
      <c r="O72" s="115">
        <v>6.7570095881894447</v>
      </c>
      <c r="P72" s="115">
        <v>6.763772802536633</v>
      </c>
      <c r="Q72" s="111">
        <v>6.7570095881894456</v>
      </c>
      <c r="R72" s="68">
        <v>6.7637728025366339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0.2601876328459421</v>
      </c>
      <c r="M73" s="115">
        <v>11.149876093751656</v>
      </c>
      <c r="N73" s="115">
        <v>371.97853256994182</v>
      </c>
      <c r="O73" s="115">
        <v>3.9087256888327082</v>
      </c>
      <c r="P73" s="115">
        <v>3.6778302405798304</v>
      </c>
      <c r="Q73" s="111">
        <v>3.9087256888327087</v>
      </c>
      <c r="R73" s="68">
        <v>3.6778302405798304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2.6510663597121807E-2</v>
      </c>
      <c r="M74" s="115">
        <v>18.819008997804602</v>
      </c>
      <c r="N74" s="115">
        <v>642.62300149523026</v>
      </c>
      <c r="O74" s="115">
        <v>6.8784529222953301</v>
      </c>
      <c r="P74" s="115">
        <v>6.9065806572026291</v>
      </c>
      <c r="Q74" s="111">
        <v>6.8784529222953301</v>
      </c>
      <c r="R74" s="68">
        <v>6.90658065720263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4.2949892976672822E-3</v>
      </c>
      <c r="M75" s="115">
        <v>13.634155926960068</v>
      </c>
      <c r="N75" s="115">
        <v>545.0563707197681</v>
      </c>
      <c r="O75" s="115">
        <v>5.9299187851499449</v>
      </c>
      <c r="P75" s="115">
        <v>8.6522488946815308</v>
      </c>
      <c r="Q75" s="111">
        <v>5.9299187851499449</v>
      </c>
      <c r="R75" s="68">
        <v>8.6522488946815308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4.2949892999512504E-3</v>
      </c>
      <c r="M76" s="115">
        <v>13.634155934210371</v>
      </c>
      <c r="N76" s="115">
        <v>545.0563710096153</v>
      </c>
      <c r="O76" s="115">
        <v>5.9299187883033264</v>
      </c>
      <c r="P76" s="115">
        <v>8.6522488992825792</v>
      </c>
      <c r="Q76" s="111">
        <v>5.9299187883033264</v>
      </c>
      <c r="R76" s="68">
        <v>8.652248899282581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0.10039341742024713</v>
      </c>
      <c r="M77" s="115">
        <v>15.679499853002589</v>
      </c>
      <c r="N77" s="115">
        <v>531.9326089249638</v>
      </c>
      <c r="O77" s="115">
        <v>5.5366080700578797</v>
      </c>
      <c r="P77" s="115">
        <v>5.3467227108855306</v>
      </c>
      <c r="Q77" s="111">
        <v>5.5366080700578806</v>
      </c>
      <c r="R77" s="68">
        <v>5.3467227108855306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0.5231920294241339</v>
      </c>
      <c r="M78" s="115">
        <v>5.2670835675741712</v>
      </c>
      <c r="N78" s="115">
        <v>163.55190784525189</v>
      </c>
      <c r="O78" s="115">
        <v>2.0004888279054742</v>
      </c>
      <c r="P78" s="115">
        <v>1.8957197806512565</v>
      </c>
      <c r="Q78" s="111">
        <v>2.0004888279054742</v>
      </c>
      <c r="R78" s="68">
        <v>1.8957197806512565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0.36684697093891816</v>
      </c>
      <c r="M79" s="115">
        <v>8.7097231299348365</v>
      </c>
      <c r="N79" s="115">
        <v>285.49425131058138</v>
      </c>
      <c r="O79" s="115">
        <v>3.0980845966770567</v>
      </c>
      <c r="P79" s="115">
        <v>2.9016944204301387</v>
      </c>
      <c r="Q79" s="111">
        <v>3.0980845966770572</v>
      </c>
      <c r="R79" s="68">
        <v>2.9016944204301387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2.8861421310388442E-3</v>
      </c>
      <c r="M80" s="115">
        <v>26.24844603691534</v>
      </c>
      <c r="N80" s="115">
        <v>1049.53404048482</v>
      </c>
      <c r="O80" s="115">
        <v>7.2295769205011684</v>
      </c>
      <c r="P80" s="115">
        <v>9.0712440508840988</v>
      </c>
      <c r="Q80" s="111">
        <v>7.2295769205011693</v>
      </c>
      <c r="R80" s="68">
        <v>9.0712440508840988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0.96661330804580603</v>
      </c>
      <c r="M81" s="115">
        <v>0.89070808965011283</v>
      </c>
      <c r="N81" s="115">
        <v>1.6857104185577325</v>
      </c>
      <c r="O81" s="115">
        <v>0.81303642669672271</v>
      </c>
      <c r="P81" s="115">
        <v>0.93915814203573689</v>
      </c>
      <c r="Q81" s="111">
        <v>0.81303642669672271</v>
      </c>
      <c r="R81" s="68">
        <v>0.93915814203573689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0.71653702812923925</v>
      </c>
      <c r="M82" s="115">
        <v>2.8736646864815905</v>
      </c>
      <c r="N82" s="115">
        <v>76.416680225165507</v>
      </c>
      <c r="O82" s="115">
        <v>1.3070947177817278</v>
      </c>
      <c r="P82" s="115">
        <v>1.3035329759886838</v>
      </c>
      <c r="Q82" s="111">
        <v>1.3070947177817278</v>
      </c>
      <c r="R82" s="68">
        <v>1.3035329759886838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0.12614099680516638</v>
      </c>
      <c r="M83" s="115">
        <v>15.26141158860236</v>
      </c>
      <c r="N83" s="115">
        <v>516.71660366534672</v>
      </c>
      <c r="O83" s="115">
        <v>5.3678495768875356</v>
      </c>
      <c r="P83" s="115">
        <v>5.1524308748919898</v>
      </c>
      <c r="Q83" s="111">
        <v>5.3678495768875356</v>
      </c>
      <c r="R83" s="68">
        <v>5.1524308748919898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0.93002043095652775</v>
      </c>
      <c r="M84" s="115">
        <v>1.0104638994614883</v>
      </c>
      <c r="N84" s="115">
        <v>6.8315642272884016</v>
      </c>
      <c r="O84" s="115">
        <v>0.82858016952979596</v>
      </c>
      <c r="P84" s="115">
        <v>0.94077483237289417</v>
      </c>
      <c r="Q84" s="111">
        <v>0.82858016952979607</v>
      </c>
      <c r="R84" s="68">
        <v>0.94077483237289417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0.98425684007768011</v>
      </c>
      <c r="M85" s="115">
        <v>0.86653216433310309</v>
      </c>
      <c r="N85" s="115">
        <v>0.34576710512195991</v>
      </c>
      <c r="O85" s="115">
        <v>0.81601728773175419</v>
      </c>
      <c r="P85" s="115">
        <v>0.9472101176588924</v>
      </c>
      <c r="Q85" s="111">
        <v>0.81601728773175419</v>
      </c>
      <c r="R85" s="68">
        <v>0.9472101176588924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0.93172224863624897</v>
      </c>
      <c r="M86" s="115">
        <v>1.0031062664653998</v>
      </c>
      <c r="N86" s="115">
        <v>6.5314814622577595</v>
      </c>
      <c r="O86" s="115">
        <v>0.82728609882920567</v>
      </c>
      <c r="P86" s="115">
        <v>0.94020398256583981</v>
      </c>
      <c r="Q86" s="111">
        <v>0.82728609882920578</v>
      </c>
      <c r="R86" s="68">
        <v>0.94020398256583981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4.9288490225204951E-4</v>
      </c>
      <c r="M87" s="115">
        <v>104.45861480637082</v>
      </c>
      <c r="N87" s="115">
        <v>3599.9699068046912</v>
      </c>
      <c r="O87" s="115">
        <v>21.498629772316285</v>
      </c>
      <c r="P87" s="115">
        <v>8.9654221449004403</v>
      </c>
      <c r="Q87" s="111">
        <v>21.498629772316285</v>
      </c>
      <c r="R87" s="68">
        <v>8.9654221449004403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0.59958582437517305</v>
      </c>
      <c r="M88" s="115">
        <v>4.4979494606138894</v>
      </c>
      <c r="N88" s="115">
        <v>135.10689722616561</v>
      </c>
      <c r="O88" s="115">
        <v>1.7813137996993054</v>
      </c>
      <c r="P88" s="115">
        <v>1.7073914694943753</v>
      </c>
      <c r="Q88" s="111">
        <v>1.7813137996993054</v>
      </c>
      <c r="R88" s="68">
        <v>1.7073914694943753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0.69670781409964533</v>
      </c>
      <c r="M89" s="115">
        <v>3.1233274046386654</v>
      </c>
      <c r="N89" s="115">
        <v>85.48801145065849</v>
      </c>
      <c r="O89" s="115">
        <v>1.3781606789732319</v>
      </c>
      <c r="P89" s="115">
        <v>1.3626656193396476</v>
      </c>
      <c r="Q89" s="111">
        <v>1.3781606789732319</v>
      </c>
      <c r="R89" s="68">
        <v>1.3626656193396476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0.86238062408102267</v>
      </c>
      <c r="M90" s="115">
        <v>1.4171097922555485</v>
      </c>
      <c r="N90" s="115">
        <v>22.635897639586595</v>
      </c>
      <c r="O90" s="115">
        <v>0.91759601988520223</v>
      </c>
      <c r="P90" s="115">
        <v>0.99720954498349068</v>
      </c>
      <c r="Q90" s="111">
        <v>0.91759601988520223</v>
      </c>
      <c r="R90" s="68">
        <v>0.99720954498349079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3.2832768444221181E-3</v>
      </c>
      <c r="M91" s="115">
        <v>52.03956045292378</v>
      </c>
      <c r="N91" s="115">
        <v>1786.9388851657707</v>
      </c>
      <c r="O91" s="115">
        <v>12.723389518585639</v>
      </c>
      <c r="P91" s="115">
        <v>7.9297601103709061</v>
      </c>
      <c r="Q91" s="111">
        <v>12.723389518585639</v>
      </c>
      <c r="R91" s="68">
        <v>7.9297601103709061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0.17597878595936861</v>
      </c>
      <c r="M92" s="115">
        <v>13.714588619620454</v>
      </c>
      <c r="N92" s="115">
        <v>462.19744949439604</v>
      </c>
      <c r="O92" s="115">
        <v>4.8024546955578504</v>
      </c>
      <c r="P92" s="115">
        <v>4.5655946428211971</v>
      </c>
      <c r="Q92" s="111">
        <v>4.8024546955578504</v>
      </c>
      <c r="R92" s="68">
        <v>4.5655946428211971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3.8622678562896348E-2</v>
      </c>
      <c r="M93" s="115">
        <v>18.44196484266455</v>
      </c>
      <c r="N93" s="115">
        <v>629.01480506726807</v>
      </c>
      <c r="O93" s="115">
        <v>6.6716209499796593</v>
      </c>
      <c r="P93" s="115">
        <v>6.6292506757974605</v>
      </c>
      <c r="Q93" s="111">
        <v>6.6716209499796593</v>
      </c>
      <c r="R93" s="68">
        <v>6.6292506757974605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0.89309199946294771</v>
      </c>
      <c r="M94" s="115">
        <v>1.0725835805151707</v>
      </c>
      <c r="N94" s="115">
        <v>11.871018771714342</v>
      </c>
      <c r="O94" s="115">
        <v>1.2466398419944871</v>
      </c>
      <c r="P94" s="115">
        <v>1.7341664166115311</v>
      </c>
      <c r="Q94" s="111">
        <v>1.2466398419944871</v>
      </c>
      <c r="R94" s="68">
        <v>1.7341664166115311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7.7831126528725382E-3</v>
      </c>
      <c r="M95" s="115">
        <v>26.403050938813582</v>
      </c>
      <c r="N95" s="115">
        <v>904.48476790682366</v>
      </c>
      <c r="O95" s="115">
        <v>8.4460673888733417</v>
      </c>
      <c r="P95" s="115">
        <v>7.573139995432653</v>
      </c>
      <c r="Q95" s="111">
        <v>8.4460673888733417</v>
      </c>
      <c r="R95" s="68">
        <v>7.573139995432653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0.96542271099014076</v>
      </c>
      <c r="M96" s="115">
        <v>0.89321806137377069</v>
      </c>
      <c r="N96" s="115">
        <v>1.806003609478779</v>
      </c>
      <c r="O96" s="115">
        <v>0.81310509955674404</v>
      </c>
      <c r="P96" s="115">
        <v>0.93883746745120755</v>
      </c>
      <c r="Q96" s="111">
        <v>0.81310509955674404</v>
      </c>
      <c r="R96" s="68">
        <v>0.93883746745120766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0.92915299682613417</v>
      </c>
      <c r="M97" s="115">
        <v>1.0142754397070195</v>
      </c>
      <c r="N97" s="115">
        <v>6.9866007697215959</v>
      </c>
      <c r="O97" s="115">
        <v>0.82925961022393413</v>
      </c>
      <c r="P97" s="115">
        <v>0.94108328899693316</v>
      </c>
      <c r="Q97" s="111">
        <v>0.82925961022393413</v>
      </c>
      <c r="R97" s="68">
        <v>0.94108328899693328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1.8201218875816778E-2</v>
      </c>
      <c r="M98" s="115">
        <v>19.212051651428244</v>
      </c>
      <c r="N98" s="115">
        <v>656.6800168788028</v>
      </c>
      <c r="O98" s="115">
        <v>7.0987259515804979</v>
      </c>
      <c r="P98" s="115">
        <v>7.2029035014888603</v>
      </c>
      <c r="Q98" s="111">
        <v>7.0987259515804979</v>
      </c>
      <c r="R98" s="68">
        <v>7.2029035014888603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0.98805320004464514</v>
      </c>
      <c r="M99" s="115">
        <v>0.86488334220753049</v>
      </c>
      <c r="N99" s="115">
        <v>0.17820058728732352</v>
      </c>
      <c r="O99" s="115">
        <v>0.81773259223882333</v>
      </c>
      <c r="P99" s="115">
        <v>0.94980850875578748</v>
      </c>
      <c r="Q99" s="111">
        <v>0.81773259223882333</v>
      </c>
      <c r="R99" s="68">
        <v>0.94980850875578748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0.40907454514142177</v>
      </c>
      <c r="M100" s="115">
        <v>7.9382562881579268</v>
      </c>
      <c r="N100" s="115">
        <v>257.92604119285807</v>
      </c>
      <c r="O100" s="115">
        <v>2.85088440336231</v>
      </c>
      <c r="P100" s="115">
        <v>2.6711671386837477</v>
      </c>
      <c r="Q100" s="111">
        <v>2.85088440336231</v>
      </c>
      <c r="R100" s="68">
        <v>2.6711671386837477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0.98227789498009965</v>
      </c>
      <c r="M101" s="115">
        <v>0.86793549442165097</v>
      </c>
      <c r="N101" s="115">
        <v>0.45158663005485422</v>
      </c>
      <c r="O101" s="115">
        <v>0.81528553037480167</v>
      </c>
      <c r="P101" s="115">
        <v>0.94598413833556472</v>
      </c>
      <c r="Q101" s="111">
        <v>0.81528553037480178</v>
      </c>
      <c r="R101" s="68">
        <v>0.94598413833556472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0.99291907560409043</v>
      </c>
      <c r="M102" s="115">
        <v>0.86497470604332405</v>
      </c>
      <c r="N102" s="115">
        <v>3.8237900180059424E-2</v>
      </c>
      <c r="O102" s="115">
        <v>0.8205807505294973</v>
      </c>
      <c r="P102" s="115">
        <v>0.95364178707263714</v>
      </c>
      <c r="Q102" s="111">
        <v>0.82058075052949742</v>
      </c>
      <c r="R102" s="68">
        <v>0.95364178707263714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0.98832387241717512</v>
      </c>
      <c r="M103" s="115">
        <v>0.8648208732610414</v>
      </c>
      <c r="N103" s="115">
        <v>0.16812368706460967</v>
      </c>
      <c r="O103" s="115">
        <v>0.81787122893037634</v>
      </c>
      <c r="P103" s="115">
        <v>0.95000655744205398</v>
      </c>
      <c r="Q103" s="111">
        <v>0.81787122893037634</v>
      </c>
      <c r="R103" s="68">
        <v>0.95000655744205409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0.94875711264869367</v>
      </c>
      <c r="M104" s="115">
        <v>0.93863947568867612</v>
      </c>
      <c r="N104" s="115">
        <v>3.839640993858787</v>
      </c>
      <c r="O104" s="115">
        <v>0.81728606129918946</v>
      </c>
      <c r="P104" s="115">
        <v>0.93707387141136844</v>
      </c>
      <c r="Q104" s="111">
        <v>0.81728606129918946</v>
      </c>
      <c r="R104" s="68">
        <v>0.93707387141136855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0.99220519219745229</v>
      </c>
      <c r="M105" s="115">
        <v>0.86479154726655261</v>
      </c>
      <c r="N105" s="115">
        <v>5.3017650013526887E-2</v>
      </c>
      <c r="O105" s="115">
        <v>0.82011348316053223</v>
      </c>
      <c r="P105" s="115">
        <v>0.95304196173583067</v>
      </c>
      <c r="Q105" s="111">
        <v>0.82011348316053223</v>
      </c>
      <c r="R105" s="68">
        <v>0.95304196173583067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0.82386626326628531</v>
      </c>
      <c r="M106" s="115">
        <v>1.733174231843766</v>
      </c>
      <c r="N106" s="115">
        <v>34.504676735105619</v>
      </c>
      <c r="O106" s="115">
        <v>0.99669335955955507</v>
      </c>
      <c r="P106" s="115">
        <v>1.0554790334397484</v>
      </c>
      <c r="Q106" s="111">
        <v>0.99669335955955518</v>
      </c>
      <c r="R106" s="68">
        <v>1.0554790334397484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1.3531326341220276E-2</v>
      </c>
      <c r="M107" s="115">
        <v>19.346860159446898</v>
      </c>
      <c r="N107" s="115">
        <v>661.71675190083056</v>
      </c>
      <c r="O107" s="115">
        <v>7.2103022119468339</v>
      </c>
      <c r="P107" s="115">
        <v>7.3749890948651089</v>
      </c>
      <c r="Q107" s="111">
        <v>7.2103022119468339</v>
      </c>
      <c r="R107" s="68">
        <v>7.3749890948651089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0.47116321351744822</v>
      </c>
      <c r="M108" s="115">
        <v>6.7070752583784525</v>
      </c>
      <c r="N108" s="115">
        <v>214.12341088778771</v>
      </c>
      <c r="O108" s="115">
        <v>2.4598934576497431</v>
      </c>
      <c r="P108" s="115">
        <v>2.3121781409921169</v>
      </c>
      <c r="Q108" s="111">
        <v>2.4598934576497431</v>
      </c>
      <c r="R108" s="68">
        <v>2.3121781409921174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2024-10-28T23:33:08Z</dcterms:modified>
</cp:coreProperties>
</file>