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2CD916AC-C09D-482F-AF55-487311AF427B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<sst xmlns="http://schemas.openxmlformats.org/spreadsheetml/2006/main" count="3131" uniqueCount="515">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</sst>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42863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6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1.0500000000000001E-2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6" ht="13.15">
      <c r="A1" s="74" t="s">
        <v>132</v>
      </c>
      <c r="B1" s="75"/>
      <c r="F1" s="74" t="s">
        <v>131</v>
      </c>
      <c r="I1" s="76"/>
    </row>
    <row r="2" spans="1:16" ht="13.15" thickBot="1">
      <c r="B2" s="75"/>
      <c r="I2" s="76"/>
    </row>
    <row r="3" spans="1:16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6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6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6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6" ht="13.15" thickBot="1">
      <c r="B7" s="87"/>
      <c r="I7" s="76"/>
    </row>
    <row r="8" spans="1:16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6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6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6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6" ht="13.15" thickBot="1">
      <c r="A12" s="76" t="s">
        <v>22</v>
      </c>
      <c r="B12" s="138">
        <f>G13/1000000/G12*1000000</f>
        <v>2.9399999999999999E-3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6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2.9399999999999999E-3</v>
      </c>
      <c r="H13" s="75" t="s">
        <v>16</v>
      </c>
      <c r="K13" s="75"/>
      <c r="L13" s="76"/>
      <c r="M13" s="75"/>
    </row>
    <row r="14" spans="1:16" ht="13.15" thickBot="1">
      <c r="C14" s="76"/>
      <c r="D14" s="76"/>
      <c r="E14" s="76"/>
      <c r="F14" s="102" t="s">
        <v>164</v>
      </c>
      <c r="G14" s="88">
        <v>7.4</v>
      </c>
    </row>
    <row r="15" spans="1:16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P15" s="163">
        <v>0.04</v>
      </c>
    </row>
    <row r="16" spans="1:16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P16" s="163">
        <v>0.01</v>
      </c>
    </row>
    <row r="17" spans="1:16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P17" s="163">
        <v>0.06</v>
      </c>
    </row>
    <row r="18" spans="1:16">
      <c r="C18" s="76"/>
      <c r="D18" s="76"/>
      <c r="E18" s="76"/>
      <c r="K18" s="75"/>
    </row>
    <row r="19" spans="1:16" ht="13.15">
      <c r="A19" s="93" t="s">
        <v>15</v>
      </c>
      <c r="C19" s="76"/>
      <c r="D19" s="76"/>
      <c r="E19" s="76"/>
    </row>
    <row r="20" spans="1:16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6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7.3499999999999998E-5</v>
      </c>
      <c r="K21" s="76" t="s">
        <v>125</v>
      </c>
      <c r="M21" s="75"/>
    </row>
    <row r="22" spans="1:16" ht="13.15" thickBot="1">
      <c r="A22" s="75"/>
      <c r="C22" s="76"/>
      <c r="F22" s="102" t="s">
        <v>164</v>
      </c>
      <c r="G22" s="88">
        <v>7.4</v>
      </c>
      <c r="J22" s="95">
        <f>B12*(G9+G10)/B6</f>
        <v>3.675E-6</v>
      </c>
      <c r="K22" s="78" t="s">
        <v>126</v>
      </c>
      <c r="L22" s="96"/>
    </row>
    <row r="23" spans="1:16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6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6">
      <c r="C25" s="96"/>
      <c r="F25" s="76" t="s">
        <v>137</v>
      </c>
    </row>
    <row r="26" spans="1:16">
      <c r="B26" s="75"/>
      <c r="F26" s="98" t="s">
        <v>152</v>
      </c>
      <c r="G26" s="76" t="b">
        <v>0</v>
      </c>
    </row>
    <row r="27" spans="1:16" ht="13.15">
      <c r="C27" s="96"/>
      <c r="F27" s="74"/>
      <c r="G27" s="75"/>
      <c r="H27" s="75"/>
      <c r="J27" s="99"/>
    </row>
    <row r="28" spans="1:16" ht="13.15">
      <c r="B28" s="100"/>
      <c r="C28" s="96"/>
      <c r="F28" s="6" t="s">
        <v>269</v>
      </c>
      <c r="G28" s="75"/>
      <c r="H28" s="75"/>
      <c r="J28" s="99"/>
    </row>
    <row r="29" spans="1:16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6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6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6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8.1348093284425089E-8</v>
      </c>
      <c r="J2" s="67" t="s">
        <v>231</v>
      </c>
      <c r="K2" s="68">
        <v>9.0388710727183381E-4</v>
      </c>
      <c r="L2" s="67" t="s">
        <v>231</v>
      </c>
      <c r="M2" s="68">
        <v>1.1402566137062643E-3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7.8925881740518877E-6</v>
      </c>
      <c r="J3" s="67" t="s">
        <v>231</v>
      </c>
      <c r="K3" s="68">
        <v>8.887180429332911E-3</v>
      </c>
      <c r="L3" s="67" t="s">
        <v>231</v>
      </c>
      <c r="M3" s="68">
        <v>0.24228286323713469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9.165956577290046E-15</v>
      </c>
      <c r="J4" s="67" t="s">
        <v>231</v>
      </c>
      <c r="K4" s="68">
        <v>1.0162487304778531E-3</v>
      </c>
      <c r="L4" s="67" t="s">
        <v>231</v>
      </c>
      <c r="M4" s="68">
        <v>3.0602550051894682E-3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1.2215149003029046E-10</v>
      </c>
      <c r="J5" s="67" t="s">
        <v>231</v>
      </c>
      <c r="K5" s="68">
        <v>9.4423948113319821E-4</v>
      </c>
      <c r="L5" s="67" t="s">
        <v>231</v>
      </c>
      <c r="M5" s="68">
        <v>4.5013208716003526E-2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3.5102323356779176E-7</v>
      </c>
      <c r="J6" s="67" t="s">
        <v>231</v>
      </c>
      <c r="K6" s="68">
        <v>9.5502723161392899E-4</v>
      </c>
      <c r="L6" s="67" t="s">
        <v>231</v>
      </c>
      <c r="M6" s="68">
        <v>6.398914049950398E-2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1.5827104988761153E-6</v>
      </c>
      <c r="J7" s="67" t="s">
        <v>231</v>
      </c>
      <c r="K7" s="68">
        <v>1.145918056957618E-3</v>
      </c>
      <c r="L7" s="67" t="s">
        <v>231</v>
      </c>
      <c r="M7" s="68">
        <v>8.4386525051549019E-2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5.314098952476466E-9</v>
      </c>
      <c r="J8" s="67" t="s">
        <v>231</v>
      </c>
      <c r="K8" s="68">
        <v>9.2646154583912949E-4</v>
      </c>
      <c r="L8" s="67" t="s">
        <v>231</v>
      </c>
      <c r="M8" s="68">
        <v>7.0305842066901686E-2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4.2023298462857989E-7</v>
      </c>
      <c r="J9" s="67" t="s">
        <v>231</v>
      </c>
      <c r="K9" s="68">
        <v>9.6004501830807237E-4</v>
      </c>
      <c r="L9" s="67" t="s">
        <v>231</v>
      </c>
      <c r="M9" s="68">
        <v>3.9546923435175858E-2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2.0969451176440778E-4</v>
      </c>
      <c r="J10" s="67" t="s">
        <v>231</v>
      </c>
      <c r="K10" s="68">
        <v>2.1310922777005855E-2</v>
      </c>
      <c r="L10" s="67" t="s">
        <v>231</v>
      </c>
      <c r="M10" s="68">
        <v>0.68779014119897686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5.3164584902512058E-9</v>
      </c>
      <c r="J11" s="67" t="s">
        <v>231</v>
      </c>
      <c r="K11" s="68">
        <v>9.9323966210086448E-2</v>
      </c>
      <c r="L11" s="67" t="s">
        <v>231</v>
      </c>
      <c r="M11" s="68">
        <v>5.3564635457135683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2.4045302024239325E-8</v>
      </c>
      <c r="J12" s="67" t="s">
        <v>231</v>
      </c>
      <c r="K12" s="68">
        <v>8.1929407510905128E-4</v>
      </c>
      <c r="L12" s="67" t="s">
        <v>231</v>
      </c>
      <c r="M12" s="68">
        <v>6.160470823470778E-5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9.4580433136616244E-4</v>
      </c>
      <c r="J13" s="67" t="s">
        <v>231</v>
      </c>
      <c r="K13" s="68">
        <v>6.2554772262530091E-3</v>
      </c>
      <c r="L13" s="67" t="s">
        <v>231</v>
      </c>
      <c r="M13" s="68">
        <v>0.18047549360522699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9.3671853001424388E-9</v>
      </c>
      <c r="J14" s="67" t="s">
        <v>231</v>
      </c>
      <c r="K14" s="68">
        <v>1.8732059639846677E-3</v>
      </c>
      <c r="L14" s="67" t="s">
        <v>231</v>
      </c>
      <c r="M14" s="68">
        <v>0.16791818165486361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1.0663907577948891E-6</v>
      </c>
      <c r="J15" s="67" t="s">
        <v>231</v>
      </c>
      <c r="K15" s="68">
        <v>1.6230145063905524E-3</v>
      </c>
      <c r="L15" s="67" t="s">
        <v>231</v>
      </c>
      <c r="M15" s="68">
        <v>2.9074643403916817E-2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8.2836529048033278E-5</v>
      </c>
      <c r="J16" s="67" t="s">
        <v>231</v>
      </c>
      <c r="K16" s="68">
        <v>6.9383729249318793E-3</v>
      </c>
      <c r="L16" s="67" t="s">
        <v>231</v>
      </c>
      <c r="M16" s="68">
        <v>0.20299325284205852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1.8637585610925443E-6</v>
      </c>
      <c r="J17" s="67" t="s">
        <v>231</v>
      </c>
      <c r="K17" s="68">
        <v>6.4946879132899982E-3</v>
      </c>
      <c r="L17" s="67" t="s">
        <v>231</v>
      </c>
      <c r="M17" s="68">
        <v>0.18840984775936209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2.5805048659072048E-3</v>
      </c>
      <c r="J18" s="67" t="s">
        <v>231</v>
      </c>
      <c r="K18" s="68">
        <v>0.10989381331662594</v>
      </c>
      <c r="L18" s="67" t="s">
        <v>231</v>
      </c>
      <c r="M18" s="68">
        <v>3.6530976796840662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1.8059753465727847E-6</v>
      </c>
      <c r="J19" s="67" t="s">
        <v>231</v>
      </c>
      <c r="K19" s="68">
        <v>1.1366592793436942E-3</v>
      </c>
      <c r="L19" s="67" t="s">
        <v>231</v>
      </c>
      <c r="M19" s="68">
        <v>1.0208586468861917E-2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5.0321740822429414E-6</v>
      </c>
      <c r="J20" s="67" t="s">
        <v>231</v>
      </c>
      <c r="K20" s="68">
        <v>1.3366358649590463E-3</v>
      </c>
      <c r="L20" s="67" t="s">
        <v>231</v>
      </c>
      <c r="M20" s="68">
        <v>1.7484375574254796E-2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2.0137000247248145E-6</v>
      </c>
      <c r="J21" s="67" t="s">
        <v>231</v>
      </c>
      <c r="K21" s="68">
        <v>5.8190267631711467E-3</v>
      </c>
      <c r="L21" s="67" t="s">
        <v>231</v>
      </c>
      <c r="M21" s="68">
        <v>0.21913988845923354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4.023703206659088E-8</v>
      </c>
      <c r="J22" s="67" t="s">
        <v>231</v>
      </c>
      <c r="K22" s="68">
        <v>8.6317163195553904E-4</v>
      </c>
      <c r="L22" s="67" t="s">
        <v>231</v>
      </c>
      <c r="M22" s="68">
        <v>1.8509607743712772E-3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1.0762038663301128E-5</v>
      </c>
      <c r="J23" s="67" t="s">
        <v>231</v>
      </c>
      <c r="K23" s="68">
        <v>2.2088439678847206E-3</v>
      </c>
      <c r="L23" s="67" t="s">
        <v>231</v>
      </c>
      <c r="M23" s="68">
        <v>4.8327761624336697E-2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1.5522280170127326E-4</v>
      </c>
      <c r="J24" s="67" t="s">
        <v>231</v>
      </c>
      <c r="K24" s="68">
        <v>9.3350489791906802E-3</v>
      </c>
      <c r="L24" s="67" t="s">
        <v>231</v>
      </c>
      <c r="M24" s="68">
        <v>0.2819660754352819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8.7822983529792264E-4</v>
      </c>
      <c r="J25" s="67" t="s">
        <v>231</v>
      </c>
      <c r="K25" s="68">
        <v>0.10066425278123406</v>
      </c>
      <c r="L25" s="67" t="s">
        <v>231</v>
      </c>
      <c r="M25" s="68">
        <v>3.3370695629399654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1.7131436565210356E-4</v>
      </c>
      <c r="J26" s="67" t="s">
        <v>231</v>
      </c>
      <c r="K26" s="68">
        <v>1.3484804016554936E-2</v>
      </c>
      <c r="L26" s="67" t="s">
        <v>231</v>
      </c>
      <c r="M26" s="68">
        <v>0.42276460865286003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5.0847967014003442E-5</v>
      </c>
      <c r="J27" s="67" t="s">
        <v>231</v>
      </c>
      <c r="K27" s="68">
        <v>7.86855053449452E-3</v>
      </c>
      <c r="L27" s="67" t="s">
        <v>231</v>
      </c>
      <c r="M27" s="68">
        <v>0.25116342016102267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2.3940831545404804E-5</v>
      </c>
      <c r="J28" s="67" t="s">
        <v>231</v>
      </c>
      <c r="K28" s="68">
        <v>3.8889411550934784E-3</v>
      </c>
      <c r="L28" s="67" t="s">
        <v>231</v>
      </c>
      <c r="M28" s="68">
        <v>0.12245786283878139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2.5846473586508695E-7</v>
      </c>
      <c r="J29" s="67" t="s">
        <v>231</v>
      </c>
      <c r="K29" s="68">
        <v>1.0202095334381995E-4</v>
      </c>
      <c r="L29" s="67" t="s">
        <v>231</v>
      </c>
      <c r="M29" s="68">
        <v>1.5165758263131976E-3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5.7473503174324725E-6</v>
      </c>
      <c r="J30" s="67" t="s">
        <v>231</v>
      </c>
      <c r="K30" s="68">
        <v>1.492739622448308E-3</v>
      </c>
      <c r="L30" s="67" t="s">
        <v>231</v>
      </c>
      <c r="M30" s="68">
        <v>4.6959879064735685E-2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8.9712145290937553E-8</v>
      </c>
      <c r="J31" s="67" t="s">
        <v>231</v>
      </c>
      <c r="K31" s="68">
        <v>2.6123637458565504E-5</v>
      </c>
      <c r="L31" s="67" t="s">
        <v>231</v>
      </c>
      <c r="M31" s="68">
        <v>8.1091837870571218E-4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8.6555203052803427E-5</v>
      </c>
      <c r="J32" s="67" t="s">
        <v>231</v>
      </c>
      <c r="K32" s="68">
        <v>5.5299248284929872E-3</v>
      </c>
      <c r="L32" s="67" t="s">
        <v>231</v>
      </c>
      <c r="M32" s="68">
        <v>0.15660512472323823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2.9323826566442479E-5</v>
      </c>
      <c r="J33" s="67" t="s">
        <v>231</v>
      </c>
      <c r="K33" s="68">
        <v>3.1999262144521796E-3</v>
      </c>
      <c r="L33" s="67" t="s">
        <v>231</v>
      </c>
      <c r="M33" s="68">
        <v>7.9490837458158339E-2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8.1618344457146864E-5</v>
      </c>
      <c r="J34" s="67" t="s">
        <v>231</v>
      </c>
      <c r="K34" s="68">
        <v>1.5002047834279083E-2</v>
      </c>
      <c r="L34" s="67" t="s">
        <v>231</v>
      </c>
      <c r="M34" s="68">
        <v>0.46926007420683757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4.0560337137280337E-4</v>
      </c>
      <c r="J35" s="67" t="s">
        <v>231</v>
      </c>
      <c r="K35" s="68">
        <v>2.0328482304339854E-2</v>
      </c>
      <c r="L35" s="67" t="s">
        <v>231</v>
      </c>
      <c r="M35" s="68">
        <v>0.65251797859247906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8.3784929243038622E-4</v>
      </c>
      <c r="J36" s="67" t="s">
        <v>231</v>
      </c>
      <c r="K36" s="68">
        <v>4.5255053662679331E-2</v>
      </c>
      <c r="L36" s="67" t="s">
        <v>231</v>
      </c>
      <c r="M36" s="68">
        <v>1.476296295597499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5.5826420282647474E-4</v>
      </c>
      <c r="J37" s="67" t="s">
        <v>231</v>
      </c>
      <c r="K37" s="68">
        <v>0.10713413620991007</v>
      </c>
      <c r="L37" s="67" t="s">
        <v>231</v>
      </c>
      <c r="M37" s="68">
        <v>3.5586340995638741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2.9846787044770097E-4</v>
      </c>
      <c r="J38" s="67" t="s">
        <v>231</v>
      </c>
      <c r="K38" s="68">
        <v>6.6444913860015928E-2</v>
      </c>
      <c r="L38" s="67" t="s">
        <v>231</v>
      </c>
      <c r="M38" s="68">
        <v>2.1817510222628349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1.8251980642827493E-4</v>
      </c>
      <c r="J39" s="67" t="s">
        <v>231</v>
      </c>
      <c r="K39" s="68">
        <v>4.9531833159681307E-2</v>
      </c>
      <c r="L39" s="67" t="s">
        <v>231</v>
      </c>
      <c r="M39" s="68">
        <v>1.6188436721410187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2.9846787044770097E-4</v>
      </c>
      <c r="J40" s="67" t="s">
        <v>231</v>
      </c>
      <c r="K40" s="68">
        <v>6.6444913860015928E-2</v>
      </c>
      <c r="L40" s="67" t="s">
        <v>231</v>
      </c>
      <c r="M40" s="68">
        <v>2.1817510222628349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8.457033685175954E-9</v>
      </c>
      <c r="J41" s="67" t="s">
        <v>231</v>
      </c>
      <c r="K41" s="68">
        <v>9.0324673881285087E-4</v>
      </c>
      <c r="L41" s="67" t="s">
        <v>231</v>
      </c>
      <c r="M41" s="68">
        <v>5.4774387186285285E-3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1.0167126081417029E-3</v>
      </c>
      <c r="J42" s="67" t="s">
        <v>231</v>
      </c>
      <c r="K42" s="68">
        <v>0.10949759753489129</v>
      </c>
      <c r="L42" s="67" t="s">
        <v>231</v>
      </c>
      <c r="M42" s="68">
        <v>3.6399266474919374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1.7501984135651241E-3</v>
      </c>
      <c r="J43" s="67" t="s">
        <v>231</v>
      </c>
      <c r="K43" s="68">
        <v>9.9742834919447094E-3</v>
      </c>
      <c r="L43" s="67" t="s">
        <v>231</v>
      </c>
      <c r="M43" s="68">
        <v>0.30297853333933811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1.5497674942512691E-3</v>
      </c>
      <c r="J44" s="67" t="s">
        <v>231</v>
      </c>
      <c r="K44" s="68">
        <v>3.2177041035792373E-2</v>
      </c>
      <c r="L44" s="67" t="s">
        <v>231</v>
      </c>
      <c r="M44" s="68">
        <v>1.0443839639890373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2.7842267061243156E-3</v>
      </c>
      <c r="J45" s="67" t="s">
        <v>231</v>
      </c>
      <c r="K45" s="68">
        <v>0.12793602388505501</v>
      </c>
      <c r="L45" s="67" t="s">
        <v>231</v>
      </c>
      <c r="M45" s="68">
        <v>4.2795909895364357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4.0467349114207762E-4</v>
      </c>
      <c r="J46" s="67" t="s">
        <v>231</v>
      </c>
      <c r="K46" s="68">
        <v>0.11280558644469972</v>
      </c>
      <c r="L46" s="67" t="s">
        <v>231</v>
      </c>
      <c r="M46" s="68">
        <v>3.7533367545198373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7.7778172659062877E-4</v>
      </c>
      <c r="J47" s="142" t="s">
        <v>231</v>
      </c>
      <c r="K47" s="143">
        <v>8.9808486998987802E-2</v>
      </c>
      <c r="L47" s="142" t="s">
        <v>231</v>
      </c>
      <c r="M47" s="143">
        <v>2.968065624063787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2.1802370464007396E-4</v>
      </c>
      <c r="J48" s="142" t="s">
        <v>231</v>
      </c>
      <c r="K48" s="143">
        <v>1.9110818132926397E-2</v>
      </c>
      <c r="L48" s="142" t="s">
        <v>231</v>
      </c>
      <c r="M48" s="143">
        <v>0.60773087754647104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9.3299460816238463E-4</v>
      </c>
      <c r="J49" s="142" t="s">
        <v>231</v>
      </c>
      <c r="K49" s="143">
        <v>3.4405128627458641E-2</v>
      </c>
      <c r="L49" s="142" t="s">
        <v>231</v>
      </c>
      <c r="M49" s="143">
        <v>1.1177672391862188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2.2982022429207359E-4</v>
      </c>
      <c r="J50" s="142" t="s">
        <v>231</v>
      </c>
      <c r="K50" s="143">
        <v>3.834808087964163E-2</v>
      </c>
      <c r="L50" s="142" t="s">
        <v>231</v>
      </c>
      <c r="M50" s="143">
        <v>1.2478389979018865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4.6834327634439428E-4</v>
      </c>
      <c r="J51" s="142" t="s">
        <v>231</v>
      </c>
      <c r="K51" s="143">
        <v>1.9962505740913666E-2</v>
      </c>
      <c r="L51" s="142" t="s">
        <v>231</v>
      </c>
      <c r="M51" s="143">
        <v>0.6375775442332724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1.016129704128948E-2</v>
      </c>
      <c r="J52" s="142" t="s">
        <v>232</v>
      </c>
      <c r="K52" s="143">
        <v>1.9205575259595729E-2</v>
      </c>
      <c r="L52" s="142" t="s">
        <v>231</v>
      </c>
      <c r="M52" s="143">
        <v>0.61101149549759071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2.1990116693885974E-3</v>
      </c>
      <c r="J53" s="142" t="s">
        <v>231</v>
      </c>
      <c r="K53" s="143">
        <v>5.2388142615964452E-2</v>
      </c>
      <c r="L53" s="142" t="s">
        <v>231</v>
      </c>
      <c r="M53" s="143">
        <v>1.7129966881892962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1.1016647451460948E-3</v>
      </c>
      <c r="J54" s="67" t="s">
        <v>231</v>
      </c>
      <c r="K54" s="68">
        <v>3.6340991300056025E-2</v>
      </c>
      <c r="L54" s="67" t="s">
        <v>231</v>
      </c>
      <c r="M54" s="68">
        <v>1.1815954847057306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8.1791440626754401E-4</v>
      </c>
      <c r="J55" s="67" t="s">
        <v>231</v>
      </c>
      <c r="K55" s="68">
        <v>8.8675511311582925E-2</v>
      </c>
      <c r="L55" s="67" t="s">
        <v>231</v>
      </c>
      <c r="M55" s="68">
        <v>2.9297209915183453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6.5295084416168241E-4</v>
      </c>
      <c r="J56" s="67" t="s">
        <v>231</v>
      </c>
      <c r="K56" s="68">
        <v>3.2909341763990997E-2</v>
      </c>
      <c r="L56" s="67" t="s">
        <v>231</v>
      </c>
      <c r="M56" s="68">
        <v>1.0684925750661445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1.6209206004986225E-3</v>
      </c>
      <c r="J57" s="67" t="s">
        <v>231</v>
      </c>
      <c r="K57" s="68">
        <v>1.8584087773592023E-2</v>
      </c>
      <c r="L57" s="67" t="s">
        <v>231</v>
      </c>
      <c r="M57" s="68">
        <v>0.58977191302187504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6.6983337844280962E-3</v>
      </c>
      <c r="J58" s="67" t="s">
        <v>231</v>
      </c>
      <c r="K58" s="68">
        <v>3.67370889392701E-2</v>
      </c>
      <c r="L58" s="67" t="s">
        <v>231</v>
      </c>
      <c r="M58" s="68">
        <v>1.1946630800643732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1.0514372198636209E-3</v>
      </c>
      <c r="J59" s="67" t="s">
        <v>231</v>
      </c>
      <c r="K59" s="68">
        <v>1.9208150580843755E-2</v>
      </c>
      <c r="L59" s="67" t="s">
        <v>231</v>
      </c>
      <c r="M59" s="68">
        <v>0.61109342748170858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3.168292111205348E-3</v>
      </c>
      <c r="J60" s="67" t="s">
        <v>231</v>
      </c>
      <c r="K60" s="68">
        <v>4.8028248657682369E-2</v>
      </c>
      <c r="L60" s="67" t="s">
        <v>231</v>
      </c>
      <c r="M60" s="68">
        <v>1.568233238423852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2.538473211038724E-5</v>
      </c>
      <c r="J61" s="67" t="s">
        <v>231</v>
      </c>
      <c r="K61" s="68">
        <v>3.491040498573679E-2</v>
      </c>
      <c r="L61" s="67" t="s">
        <v>231</v>
      </c>
      <c r="M61" s="68">
        <v>0.79945762146664712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1.2552427938245035E-4</v>
      </c>
      <c r="J62" s="67" t="s">
        <v>231</v>
      </c>
      <c r="K62" s="68">
        <v>1.4623357857350593E-2</v>
      </c>
      <c r="L62" s="67" t="s">
        <v>231</v>
      </c>
      <c r="M62" s="68">
        <v>0.45666982767843772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1.6858195066658287E-6</v>
      </c>
      <c r="J63" s="67" t="s">
        <v>231</v>
      </c>
      <c r="K63" s="68">
        <v>5.6705841908621501E-3</v>
      </c>
      <c r="L63" s="67" t="s">
        <v>231</v>
      </c>
      <c r="M63" s="68">
        <v>0.11160257168713444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1.0530446552677104E-7</v>
      </c>
      <c r="J64" s="67" t="s">
        <v>231</v>
      </c>
      <c r="K64" s="68">
        <v>9.119461821879627E-4</v>
      </c>
      <c r="L64" s="67" t="s">
        <v>231</v>
      </c>
      <c r="M64" s="68">
        <v>2.2550638033003115E-3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2.0148168635563261E-8</v>
      </c>
      <c r="J65" s="67" t="s">
        <v>231</v>
      </c>
      <c r="K65" s="68">
        <v>1.291732903422684E-3</v>
      </c>
      <c r="L65" s="67" t="s">
        <v>231</v>
      </c>
      <c r="M65" s="68">
        <v>9.5799318695754254E-3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1.4589148087998315E-7</v>
      </c>
      <c r="J66" s="67" t="s">
        <v>231</v>
      </c>
      <c r="K66" s="68">
        <v>3.842665743829092E-2</v>
      </c>
      <c r="L66" s="67" t="s">
        <v>231</v>
      </c>
      <c r="M66" s="68">
        <v>0.888840984116269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1.9849402079487954E-8</v>
      </c>
      <c r="J67" s="67" t="s">
        <v>231</v>
      </c>
      <c r="K67" s="68">
        <v>1.2240740820257977E-3</v>
      </c>
      <c r="L67" s="67" t="s">
        <v>231</v>
      </c>
      <c r="M67" s="68">
        <v>7.9760048987503347E-3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6.4498369278779826E-9</v>
      </c>
      <c r="J68" s="67" t="s">
        <v>231</v>
      </c>
      <c r="K68" s="68">
        <v>9.3165025485684083E-4</v>
      </c>
      <c r="L68" s="67" t="s">
        <v>231</v>
      </c>
      <c r="M68" s="68">
        <v>1.0586844643284603E-3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3.6454283415161938E-5</v>
      </c>
      <c r="J69" s="67" t="s">
        <v>231</v>
      </c>
      <c r="K69" s="68">
        <v>2.9281342433037122E-2</v>
      </c>
      <c r="L69" s="67" t="s">
        <v>231</v>
      </c>
      <c r="M69" s="68">
        <v>0.94913769217836652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2.2305270539365842E-14</v>
      </c>
      <c r="J70" s="67" t="s">
        <v>231</v>
      </c>
      <c r="K70" s="68">
        <v>8.9830697488396021E-4</v>
      </c>
      <c r="L70" s="67" t="s">
        <v>231</v>
      </c>
      <c r="M70" s="68">
        <v>3.7190763391019652E-3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1.8895516174241983E-10</v>
      </c>
      <c r="J71" s="67" t="s">
        <v>231</v>
      </c>
      <c r="K71" s="68">
        <v>9.0490393248590846E-4</v>
      </c>
      <c r="L71" s="67" t="s">
        <v>231</v>
      </c>
      <c r="M71" s="68">
        <v>6.6484346246311506E-3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2.8988181343560433E-14</v>
      </c>
      <c r="J72" s="67" t="s">
        <v>231</v>
      </c>
      <c r="K72" s="68">
        <v>6.6820600304926493E-3</v>
      </c>
      <c r="L72" s="67" t="s">
        <v>231</v>
      </c>
      <c r="M72" s="68">
        <v>0.65666582703255594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1.5693119627902787E-11</v>
      </c>
      <c r="J73" s="67" t="s">
        <v>231</v>
      </c>
      <c r="K73" s="68">
        <v>8.1208853668820026E-4</v>
      </c>
      <c r="L73" s="67" t="s">
        <v>231</v>
      </c>
      <c r="M73" s="68">
        <v>7.6671701072556914E-2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1.7802841441442784E-11</v>
      </c>
      <c r="J74" s="67" t="s">
        <v>231</v>
      </c>
      <c r="K74" s="68">
        <v>9.037123835913388E-4</v>
      </c>
      <c r="L74" s="67" t="s">
        <v>231</v>
      </c>
      <c r="M74" s="68">
        <v>6.087157616418962E-3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9.7204644114197993E-14</v>
      </c>
      <c r="J75" s="67" t="s">
        <v>231</v>
      </c>
      <c r="K75" s="68">
        <v>8.2139869011473693E-4</v>
      </c>
      <c r="L75" s="67" t="s">
        <v>231</v>
      </c>
      <c r="M75" s="68">
        <v>7.7009111695864316E-2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8.3728095880181056E-9</v>
      </c>
      <c r="J76" s="67" t="s">
        <v>231</v>
      </c>
      <c r="K76" s="68">
        <v>9.4219547158978572E-4</v>
      </c>
      <c r="L76" s="67" t="s">
        <v>231</v>
      </c>
      <c r="M76" s="68">
        <v>5.352598879969947E-2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6.5977854547589737E-8</v>
      </c>
      <c r="J77" s="67" t="s">
        <v>231</v>
      </c>
      <c r="K77" s="68">
        <v>8.1476893661487767E-4</v>
      </c>
      <c r="L77" s="67" t="s">
        <v>231</v>
      </c>
      <c r="M77" s="68">
        <v>7.6777687467661671E-2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2.8639416351157422E-13</v>
      </c>
      <c r="J78" s="67" t="s">
        <v>231</v>
      </c>
      <c r="K78" s="68">
        <v>5.5985462566198723E-3</v>
      </c>
      <c r="L78" s="67" t="s">
        <v>231</v>
      </c>
      <c r="M78" s="68">
        <v>0.55008207042596746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1.5755919583809826E-16</v>
      </c>
      <c r="J79" s="67" t="s">
        <v>231</v>
      </c>
      <c r="K79" s="68">
        <v>5.5985369373944618E-3</v>
      </c>
      <c r="L79" s="67" t="s">
        <v>231</v>
      </c>
      <c r="M79" s="68">
        <v>0.55008180910080484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2.0693411024010912E-14</v>
      </c>
      <c r="J80" s="67" t="s">
        <v>231</v>
      </c>
      <c r="K80" s="68">
        <v>8.9920043526606295E-4</v>
      </c>
      <c r="L80" s="67" t="s">
        <v>231</v>
      </c>
      <c r="M80" s="68">
        <v>7.3833937818030035E-2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7.0102717502693343E-11</v>
      </c>
      <c r="J81" s="67" t="s">
        <v>231</v>
      </c>
      <c r="K81" s="68">
        <v>9.2796668186129454E-4</v>
      </c>
      <c r="L81" s="67" t="s">
        <v>231</v>
      </c>
      <c r="M81" s="68">
        <v>2.1016947705255484E-2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1.3931653351864252E-15</v>
      </c>
      <c r="J82" s="67" t="s">
        <v>231</v>
      </c>
      <c r="K82" s="68">
        <v>9.4272982676658023E-4</v>
      </c>
      <c r="L82" s="67" t="s">
        <v>231</v>
      </c>
      <c r="M82" s="68">
        <v>3.9576768583587225E-2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1.7046140325869912E-14</v>
      </c>
      <c r="J83" s="67" t="s">
        <v>231</v>
      </c>
      <c r="K83" s="68">
        <v>1.0867354258657716E-2</v>
      </c>
      <c r="L83" s="67" t="s">
        <v>231</v>
      </c>
      <c r="M83" s="68">
        <v>1.0683251267911482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3.3756086463825004E-2</v>
      </c>
      <c r="J84" s="67" t="s">
        <v>232</v>
      </c>
      <c r="K84" s="68">
        <v>1.1767084456483327E-2</v>
      </c>
      <c r="L84" s="67" t="s">
        <v>231</v>
      </c>
      <c r="M84" s="68">
        <v>0.36211201548312538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5.2429170490187403E-6</v>
      </c>
      <c r="J85" s="67" t="s">
        <v>231</v>
      </c>
      <c r="K85" s="68">
        <v>0.43511195276325826</v>
      </c>
      <c r="L85" s="67" t="s">
        <v>231</v>
      </c>
      <c r="M85" s="68">
        <v>10.262273317116755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2.6918623910829928E-4</v>
      </c>
      <c r="J86" s="67" t="s">
        <v>231</v>
      </c>
      <c r="K86" s="68">
        <v>0.12395410417806409</v>
      </c>
      <c r="L86" s="67" t="s">
        <v>231</v>
      </c>
      <c r="M86" s="68">
        <v>4.1400681211021677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1.9574306597250471E-4</v>
      </c>
      <c r="J87" s="67" t="s">
        <v>231</v>
      </c>
      <c r="K87" s="68">
        <v>0.14135037218915106</v>
      </c>
      <c r="L87" s="67" t="s">
        <v>231</v>
      </c>
      <c r="M87" s="68">
        <v>4.7579318259997523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3.0095313362110357E-4</v>
      </c>
      <c r="J88" s="67" t="s">
        <v>231</v>
      </c>
      <c r="K88" s="68">
        <v>0.15346358516540456</v>
      </c>
      <c r="L88" s="67" t="s">
        <v>231</v>
      </c>
      <c r="M88" s="68">
        <v>5.2113171898539656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7.5795117625124068E-7</v>
      </c>
      <c r="J89" s="67" t="s">
        <v>231</v>
      </c>
      <c r="K89" s="68">
        <v>2.4708713629729462</v>
      </c>
      <c r="L89" s="67" t="s">
        <v>232</v>
      </c>
      <c r="M89" s="68">
        <v>58.095389078721098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1.9104787334384072E-5</v>
      </c>
      <c r="J90" s="67" t="s">
        <v>231</v>
      </c>
      <c r="K90" s="68">
        <v>9.1277727413995643E-4</v>
      </c>
      <c r="L90" s="67" t="s">
        <v>231</v>
      </c>
      <c r="M90" s="68">
        <v>1.4810856707743974E-3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3.3356647786976604E-5</v>
      </c>
      <c r="J91" s="67" t="s">
        <v>231</v>
      </c>
      <c r="K91" s="68">
        <v>3.1115315178982172E-3</v>
      </c>
      <c r="L91" s="67" t="s">
        <v>231</v>
      </c>
      <c r="M91" s="68">
        <v>7.6553195666870633E-2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2.7753145597335515E-5</v>
      </c>
      <c r="J92" s="67" t="s">
        <v>231</v>
      </c>
      <c r="K92" s="68">
        <v>1.6571743251705663E-2</v>
      </c>
      <c r="L92" s="67" t="s">
        <v>231</v>
      </c>
      <c r="M92" s="68">
        <v>0.52166011974873538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1.2897756557984809E-8</v>
      </c>
      <c r="J93" s="67" t="s">
        <v>231</v>
      </c>
      <c r="K93" s="68">
        <v>8.9000145687278512E-4</v>
      </c>
      <c r="L93" s="67" t="s">
        <v>231</v>
      </c>
      <c r="M93" s="68">
        <v>6.2184505567756639E-4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2.1145038313319537E-18</v>
      </c>
      <c r="J94" s="67" t="s">
        <v>231</v>
      </c>
      <c r="K94" s="68">
        <v>8.937314378144501E-4</v>
      </c>
      <c r="L94" s="67" t="s">
        <v>231</v>
      </c>
      <c r="M94" s="68">
        <v>1.5149031924143006E-4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2.2741070050387889E-6</v>
      </c>
      <c r="J95" s="67" t="s">
        <v>231</v>
      </c>
      <c r="K95" s="68">
        <v>1.0482820189470356E-3</v>
      </c>
      <c r="L95" s="67" t="s">
        <v>231</v>
      </c>
      <c r="M95" s="68">
        <v>6.3784845139295988E-3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2.986050336849992E-3</v>
      </c>
      <c r="J96" s="67" t="s">
        <v>231</v>
      </c>
      <c r="K96" s="68">
        <v>0.11563342544143548</v>
      </c>
      <c r="L96" s="67" t="s">
        <v>231</v>
      </c>
      <c r="M96" s="68">
        <v>3.850959699301606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9.8676235588199748E-5</v>
      </c>
      <c r="J97" s="67" t="s">
        <v>231</v>
      </c>
      <c r="K97" s="68">
        <v>4.8914405865927218E-3</v>
      </c>
      <c r="L97" s="67" t="s">
        <v>231</v>
      </c>
      <c r="M97" s="68">
        <v>0.13548490645850847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2.6867455457526229E-5</v>
      </c>
      <c r="J98" s="67" t="s">
        <v>231</v>
      </c>
      <c r="K98" s="68">
        <v>3.3855993109470949E-3</v>
      </c>
      <c r="L98" s="67" t="s">
        <v>231</v>
      </c>
      <c r="M98" s="68">
        <v>8.5654006335150426E-2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1.7614894009031485E-6</v>
      </c>
      <c r="J99" s="67" t="s">
        <v>231</v>
      </c>
      <c r="K99" s="68">
        <v>1.5058196686177495E-3</v>
      </c>
      <c r="L99" s="67" t="s">
        <v>231</v>
      </c>
      <c r="M99" s="68">
        <v>2.2655866444598702E-2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2.3039309574605965E-3</v>
      </c>
      <c r="J100" s="67" t="s">
        <v>231</v>
      </c>
      <c r="K100" s="68">
        <v>5.6410113549465138E-2</v>
      </c>
      <c r="L100" s="67" t="s">
        <v>231</v>
      </c>
      <c r="M100" s="68">
        <v>1.846804818080201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1.8536181798869549E-2</v>
      </c>
      <c r="J101" s="67" t="s">
        <v>232</v>
      </c>
      <c r="K101" s="68">
        <v>1.4909085613257669E-2</v>
      </c>
      <c r="L101" s="67" t="s">
        <v>231</v>
      </c>
      <c r="M101" s="68">
        <v>0.46616626024690078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5.671072034760501E-3</v>
      </c>
      <c r="J102" s="67" t="s">
        <v>231</v>
      </c>
      <c r="K102" s="68">
        <v>1.9926653350737282E-2</v>
      </c>
      <c r="L102" s="67" t="s">
        <v>231</v>
      </c>
      <c r="M102" s="68">
        <v>0.63630788161656637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1.5553103768689023E-9</v>
      </c>
      <c r="J103" s="67" t="s">
        <v>231</v>
      </c>
      <c r="K103" s="68">
        <v>9.1487452736716067E-4</v>
      </c>
      <c r="L103" s="67" t="s">
        <v>231</v>
      </c>
      <c r="M103" s="68">
        <v>1.1863235740917825E-2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2.4613738027808762E-7</v>
      </c>
      <c r="J104" s="67" t="s">
        <v>231</v>
      </c>
      <c r="K104" s="68">
        <v>1.2615154564968431E-3</v>
      </c>
      <c r="L104" s="67" t="s">
        <v>231</v>
      </c>
      <c r="M104" s="68">
        <v>0.1126072822760293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9.7202912940228037E-8</v>
      </c>
      <c r="J105" s="67" t="s">
        <v>231</v>
      </c>
      <c r="K105" s="68">
        <v>9.194891362514357E-4</v>
      </c>
      <c r="L105" s="67" t="s">
        <v>231</v>
      </c>
      <c r="M105" s="68">
        <v>1.8070113939773526E-3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3.3221028869864303E-8</v>
      </c>
      <c r="J106" s="67" t="s">
        <v>231</v>
      </c>
      <c r="K106" s="68">
        <v>1.0602623875901049E-3</v>
      </c>
      <c r="L106" s="67" t="s">
        <v>231</v>
      </c>
      <c r="M106" s="68">
        <v>6.8569927083825272E-3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8.5397323002320917E-6</v>
      </c>
      <c r="J107" s="67" t="s">
        <v>231</v>
      </c>
      <c r="K107" s="68">
        <v>2.3922782354567903E-2</v>
      </c>
      <c r="L107" s="67" t="s">
        <v>231</v>
      </c>
      <c r="M107" s="68">
        <v>0.70002845491737076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2.6567241506251674E-10</v>
      </c>
      <c r="J108" s="67" t="s">
        <v>231</v>
      </c>
      <c r="K108" s="68">
        <v>8.9061584335031578E-4</v>
      </c>
      <c r="L108" s="67" t="s">
        <v>231</v>
      </c>
      <c r="M108" s="68">
        <v>7.8408717092651574E-5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2.7529549506084382E-6</v>
      </c>
      <c r="J109" s="67" t="s">
        <v>231</v>
      </c>
      <c r="K109" s="68">
        <v>1.1894457598041079E-2</v>
      </c>
      <c r="L109" s="67" t="s">
        <v>231</v>
      </c>
      <c r="M109" s="68">
        <v>0.25966166882858277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5.8452047427674407E-6</v>
      </c>
      <c r="J110" s="67" t="s">
        <v>231</v>
      </c>
      <c r="K110" s="68">
        <v>8.8854154643848318E-4</v>
      </c>
      <c r="L110" s="67" t="s">
        <v>231</v>
      </c>
      <c r="M110" s="68">
        <v>2.2276700356357765E-4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8.1479975511962544E-14</v>
      </c>
      <c r="J111" s="67" t="s">
        <v>231</v>
      </c>
      <c r="K111" s="68">
        <v>8.8736462566874627E-4</v>
      </c>
      <c r="L111" s="67" t="s">
        <v>231</v>
      </c>
      <c r="M111" s="68">
        <v>3.2454635344181418E-6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9.1914728147750153E-9</v>
      </c>
      <c r="J112" s="67" t="s">
        <v>231</v>
      </c>
      <c r="K112" s="68">
        <v>8.8574048421200566E-4</v>
      </c>
      <c r="L112" s="67" t="s">
        <v>231</v>
      </c>
      <c r="M112" s="68">
        <v>1.6821457472162874E-4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4.2195397940591065E-7</v>
      </c>
      <c r="J113" s="67" t="s">
        <v>231</v>
      </c>
      <c r="K113" s="68">
        <v>9.7136007689326313E-4</v>
      </c>
      <c r="L113" s="67" t="s">
        <v>231</v>
      </c>
      <c r="M113" s="68">
        <v>3.841891168320235E-3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5.7182362012715002E-8</v>
      </c>
      <c r="J114" s="67" t="s">
        <v>231</v>
      </c>
      <c r="K114" s="68">
        <v>8.8536985033678731E-4</v>
      </c>
      <c r="L114" s="67" t="s">
        <v>231</v>
      </c>
      <c r="M114" s="68">
        <v>5.2291194292509081E-5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4.7488815101726248E-11</v>
      </c>
      <c r="J115" s="67" t="s">
        <v>231</v>
      </c>
      <c r="K115" s="68">
        <v>8.9760260717941629E-4</v>
      </c>
      <c r="L115" s="67" t="s">
        <v>231</v>
      </c>
      <c r="M115" s="68">
        <v>3.3995527515128018E-3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9.4304610123089851E-6</v>
      </c>
      <c r="J116" s="67" t="s">
        <v>231</v>
      </c>
      <c r="K116" s="68">
        <v>0.12288024205322089</v>
      </c>
      <c r="L116" s="67" t="s">
        <v>231</v>
      </c>
      <c r="M116" s="68">
        <v>2.8892999864371469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6.7492440937339887E-5</v>
      </c>
      <c r="J117" s="67" t="s">
        <v>231</v>
      </c>
      <c r="K117" s="68">
        <v>7.3039436791995718E-3</v>
      </c>
      <c r="L117" s="67" t="s">
        <v>231</v>
      </c>
      <c r="M117" s="68">
        <v>0.21501796005376236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0.97656368415400552</v>
      </c>
      <c r="F2" s="14">
        <v>0.97954095764910754</v>
      </c>
      <c r="G2" s="14">
        <v>2.9129369707583725E-10</v>
      </c>
      <c r="H2" s="14">
        <v>0.17064854900953105</v>
      </c>
      <c r="I2" s="14">
        <v>0.63410294568984493</v>
      </c>
      <c r="J2" s="14">
        <v>0</v>
      </c>
      <c r="K2" s="14">
        <v>1.0208863572177667</v>
      </c>
      <c r="L2" s="14">
        <v>0.97954095764910754</v>
      </c>
      <c r="M2" s="14">
        <v>0.80371335575109282</v>
      </c>
      <c r="N2" s="14">
        <v>0.90388710727183386</v>
      </c>
      <c r="O2" s="14">
        <v>175.5258373611174</v>
      </c>
      <c r="P2" s="8">
        <v>0.90388710727183386</v>
      </c>
      <c r="Q2" s="54">
        <v>1.5774651400844671E-2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0.69790434238948218</v>
      </c>
      <c r="F3" s="14">
        <v>0.46903068091776362</v>
      </c>
      <c r="G3" s="14">
        <v>2.2205354243322542E-10</v>
      </c>
      <c r="H3" s="14">
        <v>52.7543585230909</v>
      </c>
      <c r="I3" s="14">
        <v>118.66104118569828</v>
      </c>
      <c r="J3" s="14">
        <v>0</v>
      </c>
      <c r="K3" s="14">
        <v>2.1320566877272844</v>
      </c>
      <c r="L3" s="14">
        <v>0.46903068091776368</v>
      </c>
      <c r="M3" s="14">
        <v>0.38483967369302507</v>
      </c>
      <c r="N3" s="14">
        <v>8.8871804293329113</v>
      </c>
      <c r="O3" s="14">
        <v>2275.9180361478648</v>
      </c>
      <c r="P3" s="8">
        <v>8.8871804293329113</v>
      </c>
      <c r="Q3" s="54">
        <v>0.20347364015829658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0.99990465548372132</v>
      </c>
      <c r="F4" s="14">
        <v>1.0033940123225897</v>
      </c>
      <c r="G4" s="14">
        <v>1.5114716048157429E-19</v>
      </c>
      <c r="H4" s="14">
        <v>0.11988683784545197</v>
      </c>
      <c r="I4" s="14">
        <v>1.2224434066421112E-3</v>
      </c>
      <c r="J4" s="14">
        <v>0</v>
      </c>
      <c r="K4" s="14">
        <v>0.99661746803258899</v>
      </c>
      <c r="L4" s="14">
        <v>1.00339401232259</v>
      </c>
      <c r="M4" s="14">
        <v>0.82328478711068498</v>
      </c>
      <c r="N4" s="14">
        <v>1.0162487304778531</v>
      </c>
      <c r="O4" s="14">
        <v>300.96206153101616</v>
      </c>
      <c r="P4" s="8">
        <v>1.0162487304778531</v>
      </c>
      <c r="Q4" s="54">
        <v>1.3938908347292189E-5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0.99974248206603433</v>
      </c>
      <c r="F5" s="14">
        <v>0.54972928245941777</v>
      </c>
      <c r="G5" s="14">
        <v>2.5161046110275979E-12</v>
      </c>
      <c r="H5" s="14">
        <v>128.50169941122124</v>
      </c>
      <c r="I5" s="14">
        <v>9.4434297146345547E-2</v>
      </c>
      <c r="J5" s="14">
        <v>0</v>
      </c>
      <c r="K5" s="14">
        <v>1.8190771929159917</v>
      </c>
      <c r="L5" s="14">
        <v>0.54972928245941777</v>
      </c>
      <c r="M5" s="14">
        <v>0.45105287625795232</v>
      </c>
      <c r="N5" s="14">
        <v>0.94423948113319822</v>
      </c>
      <c r="O5" s="14">
        <v>208.71469490968212</v>
      </c>
      <c r="P5" s="8">
        <v>0.94423948113319822</v>
      </c>
      <c r="Q5" s="54">
        <v>1.2697837131578585E-4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0.99922450052161027</v>
      </c>
      <c r="F6" s="14">
        <v>0.32534682164820256</v>
      </c>
      <c r="G6" s="14">
        <v>2.0640536362371128E-13</v>
      </c>
      <c r="H6" s="14">
        <v>191.83443548446255</v>
      </c>
      <c r="I6" s="14">
        <v>0.51508714312659953</v>
      </c>
      <c r="J6" s="14">
        <v>0</v>
      </c>
      <c r="K6" s="14">
        <v>3.0736430586105428</v>
      </c>
      <c r="L6" s="14">
        <v>0.32534682164820256</v>
      </c>
      <c r="M6" s="14">
        <v>0.26694706716235023</v>
      </c>
      <c r="N6" s="14">
        <v>0.955027231613929</v>
      </c>
      <c r="O6" s="14">
        <v>219.90457035142327</v>
      </c>
      <c r="P6" s="8">
        <v>0.95502723161392911</v>
      </c>
      <c r="Q6" s="54">
        <v>4.7608084684562827E-4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0.99618983640385927</v>
      </c>
      <c r="F7" s="14">
        <v>0.10803982260290851</v>
      </c>
      <c r="G7" s="14">
        <v>1.8004081753362452E-9</v>
      </c>
      <c r="H7" s="14">
        <v>252.03674515184065</v>
      </c>
      <c r="I7" s="14">
        <v>4.7502950082892932</v>
      </c>
      <c r="J7" s="14">
        <v>0</v>
      </c>
      <c r="K7" s="14">
        <v>9.2558463713460348</v>
      </c>
      <c r="L7" s="14">
        <v>0.10803982260290851</v>
      </c>
      <c r="M7" s="14">
        <v>8.8646674445686427E-2</v>
      </c>
      <c r="N7" s="14">
        <v>1.1459180569576179</v>
      </c>
      <c r="O7" s="14">
        <v>236.37997678921744</v>
      </c>
      <c r="P7" s="8">
        <v>1.1459180569576179</v>
      </c>
      <c r="Q7" s="54">
        <v>2.5148991929976969E-3</v>
      </c>
    </row>
    <row r="8" spans="1:20">
      <c r="A8" s="2" t="s">
        <v>289</v>
      </c>
      <c r="B8" s="16" t="s">
        <v>290</v>
      </c>
      <c r="D8" s="14">
        <v>1</v>
      </c>
      <c r="E8" s="14">
        <v>0.99958401496895344</v>
      </c>
      <c r="F8" s="14">
        <v>0.23069578077205483</v>
      </c>
      <c r="G8" s="14">
        <v>1.2788372504194874E-19</v>
      </c>
      <c r="H8" s="14">
        <v>218.75583786367588</v>
      </c>
      <c r="I8" s="14">
        <v>0.30799655027178124</v>
      </c>
      <c r="J8" s="14">
        <v>0</v>
      </c>
      <c r="K8" s="14">
        <v>4.3347130001830285</v>
      </c>
      <c r="L8" s="14">
        <v>0.23069578077205483</v>
      </c>
      <c r="M8" s="14">
        <v>0.189285888123471</v>
      </c>
      <c r="N8" s="14">
        <v>0.92646154583912954</v>
      </c>
      <c r="O8" s="14">
        <v>322.79773180126949</v>
      </c>
      <c r="P8" s="8">
        <v>0.92646154583912954</v>
      </c>
      <c r="Q8" s="54">
        <v>2.3482582251340529E-4</v>
      </c>
    </row>
    <row r="9" spans="1:20">
      <c r="A9" s="2" t="s">
        <v>291</v>
      </c>
      <c r="B9" s="16" t="s">
        <v>292</v>
      </c>
      <c r="D9" s="14">
        <v>1</v>
      </c>
      <c r="E9" s="14">
        <v>0.99907428253539721</v>
      </c>
      <c r="F9" s="14">
        <v>0.61633186130762851</v>
      </c>
      <c r="G9" s="14">
        <v>5.360393925641962E-15</v>
      </c>
      <c r="H9" s="14">
        <v>109.4245121810298</v>
      </c>
      <c r="I9" s="14">
        <v>0.38401499514508058</v>
      </c>
      <c r="J9" s="14">
        <v>0</v>
      </c>
      <c r="K9" s="14">
        <v>1.6225025230374581</v>
      </c>
      <c r="L9" s="14">
        <v>0.61633186130762851</v>
      </c>
      <c r="M9" s="14">
        <v>0.50570029220290924</v>
      </c>
      <c r="N9" s="14">
        <v>0.96004501830807243</v>
      </c>
      <c r="O9" s="14">
        <v>296.01068049492795</v>
      </c>
      <c r="P9" s="8">
        <v>0.96004501830807243</v>
      </c>
      <c r="Q9" s="54">
        <v>5.7722905481042731E-4</v>
      </c>
    </row>
    <row r="10" spans="1:20">
      <c r="A10" s="2" t="s">
        <v>367</v>
      </c>
      <c r="B10" s="16" t="s">
        <v>368</v>
      </c>
      <c r="D10" s="14">
        <v>1</v>
      </c>
      <c r="E10" s="14">
        <v>0.88798345509375221</v>
      </c>
      <c r="F10" s="14">
        <v>1.038953107388816E-2</v>
      </c>
      <c r="G10" s="14">
        <v>1.6143006960687774E-7</v>
      </c>
      <c r="H10" s="14">
        <v>212.35179985491348</v>
      </c>
      <c r="I10" s="14">
        <v>343.41014199546066</v>
      </c>
      <c r="J10" s="14">
        <v>0</v>
      </c>
      <c r="K10" s="14">
        <v>96.250734791417472</v>
      </c>
      <c r="L10" s="14">
        <v>1.038953107388816E-2</v>
      </c>
      <c r="M10" s="14">
        <v>8.5246102461252349E-3</v>
      </c>
      <c r="N10" s="14">
        <v>21.310922777005853</v>
      </c>
      <c r="O10" s="14">
        <v>5931.6822457518083</v>
      </c>
      <c r="P10" s="8">
        <v>21.310922777005853</v>
      </c>
      <c r="Q10" s="54">
        <v>7.4544072778714304E-2</v>
      </c>
    </row>
    <row r="11" spans="1:20">
      <c r="A11" s="2" t="s">
        <v>369</v>
      </c>
      <c r="B11" s="16" t="s">
        <v>370</v>
      </c>
      <c r="D11" s="14">
        <v>1</v>
      </c>
      <c r="E11" s="14">
        <v>0.97481621460880108</v>
      </c>
      <c r="F11" s="14">
        <v>6.1938355435429439E-4</v>
      </c>
      <c r="G11" s="14">
        <v>6.6735325341085183E-14</v>
      </c>
      <c r="H11" s="14">
        <v>159.99251669594207</v>
      </c>
      <c r="I11" s="14">
        <v>1082.3199339902435</v>
      </c>
      <c r="J11" s="14">
        <v>0</v>
      </c>
      <c r="K11" s="14">
        <v>1614.5084785831891</v>
      </c>
      <c r="L11" s="14">
        <v>6.193835543542945E-4</v>
      </c>
      <c r="M11" s="14">
        <v>5.0820420634769864E-4</v>
      </c>
      <c r="N11" s="14">
        <v>99.323966210086454</v>
      </c>
      <c r="O11" s="14">
        <v>40414.921850884173</v>
      </c>
      <c r="P11" s="8">
        <v>99.323966210086454</v>
      </c>
      <c r="Q11" s="54">
        <v>1.2071344861407356E-2</v>
      </c>
    </row>
    <row r="12" spans="1:20">
      <c r="A12" s="2" t="s">
        <v>371</v>
      </c>
      <c r="B12" s="16" t="s">
        <v>372</v>
      </c>
      <c r="D12" s="14">
        <v>1</v>
      </c>
      <c r="E12" s="14">
        <v>0.92078893712057164</v>
      </c>
      <c r="F12" s="14">
        <v>0.92435372741120203</v>
      </c>
      <c r="G12" s="14">
        <v>8.3282547150291184E-4</v>
      </c>
      <c r="H12" s="14">
        <v>7.3560874824826249E-3</v>
      </c>
      <c r="I12" s="14">
        <v>3.3759531871447403E-2</v>
      </c>
      <c r="J12" s="14">
        <v>0</v>
      </c>
      <c r="K12" s="14">
        <v>1.0818369314100751</v>
      </c>
      <c r="L12" s="14">
        <v>0.92435372741120214</v>
      </c>
      <c r="M12" s="14">
        <v>0.75843223334089127</v>
      </c>
      <c r="N12" s="14">
        <v>0.81929407510905128</v>
      </c>
      <c r="O12" s="14">
        <v>114.8568363895379</v>
      </c>
      <c r="P12" s="8">
        <v>0.81929407510905128</v>
      </c>
      <c r="Q12" s="54">
        <v>2.8326728225107839E-3</v>
      </c>
    </row>
    <row r="13" spans="1:20">
      <c r="A13" s="2" t="s">
        <v>293</v>
      </c>
      <c r="B13" s="16" t="s">
        <v>294</v>
      </c>
      <c r="D13" s="14">
        <v>1</v>
      </c>
      <c r="E13" s="14">
        <v>0.70129625926337635</v>
      </c>
      <c r="F13" s="14">
        <v>0.52669383907929013</v>
      </c>
      <c r="G13" s="14">
        <v>1.9473621563406737E-10</v>
      </c>
      <c r="H13" s="14">
        <v>39.959333727796945</v>
      </c>
      <c r="I13" s="14">
        <v>94.902009627558471</v>
      </c>
      <c r="J13" s="14">
        <v>0</v>
      </c>
      <c r="K13" s="14">
        <v>1.8986362205187233</v>
      </c>
      <c r="L13" s="14">
        <v>0.52669383907929013</v>
      </c>
      <c r="M13" s="14">
        <v>0.43215229496455754</v>
      </c>
      <c r="N13" s="14">
        <v>6.2554772262530092</v>
      </c>
      <c r="O13" s="14">
        <v>2066.5594564649441</v>
      </c>
      <c r="P13" s="8">
        <v>6.2554772262530101</v>
      </c>
      <c r="Q13" s="54">
        <v>0.20131466330310835</v>
      </c>
    </row>
    <row r="14" spans="1:20">
      <c r="A14" s="2" t="s">
        <v>373</v>
      </c>
      <c r="B14" s="16" t="s">
        <v>374</v>
      </c>
      <c r="D14" s="14">
        <v>1</v>
      </c>
      <c r="E14" s="14">
        <v>0.99908032918644096</v>
      </c>
      <c r="F14" s="14">
        <v>8.8411783523690696E-3</v>
      </c>
      <c r="G14" s="14">
        <v>9.5330772943385433E-10</v>
      </c>
      <c r="H14" s="14">
        <v>281.01542018828883</v>
      </c>
      <c r="I14" s="14">
        <v>4.0762181402251665</v>
      </c>
      <c r="J14" s="14">
        <v>0</v>
      </c>
      <c r="K14" s="14">
        <v>113.10709502111123</v>
      </c>
      <c r="L14" s="14">
        <v>8.8411783523690696E-3</v>
      </c>
      <c r="M14" s="14">
        <v>7.2541868381188219E-3</v>
      </c>
      <c r="N14" s="14">
        <v>1.8732059639846677</v>
      </c>
      <c r="O14" s="14">
        <v>498.9096764476763</v>
      </c>
      <c r="P14" s="8">
        <v>1.8732059639846677</v>
      </c>
      <c r="Q14" s="54">
        <v>5.2778545481965092E-4</v>
      </c>
    </row>
    <row r="15" spans="1:20">
      <c r="A15" s="2" t="s">
        <v>375</v>
      </c>
      <c r="B15" s="16" t="s">
        <v>376</v>
      </c>
      <c r="D15" s="14">
        <v>1</v>
      </c>
      <c r="E15" s="14">
        <v>0.78747763182201869</v>
      </c>
      <c r="F15" s="14">
        <v>0.76505806354124217</v>
      </c>
      <c r="G15" s="14">
        <v>9.4611272691688274E-4</v>
      </c>
      <c r="H15" s="14">
        <v>5.5324104996862316</v>
      </c>
      <c r="I15" s="14">
        <v>15.623256667340931</v>
      </c>
      <c r="J15" s="14">
        <v>0</v>
      </c>
      <c r="K15" s="14">
        <v>1.3070903342568228</v>
      </c>
      <c r="L15" s="14">
        <v>0.76505806354124228</v>
      </c>
      <c r="M15" s="14">
        <v>0.62773014113558923</v>
      </c>
      <c r="N15" s="14">
        <v>1.6230145063905523</v>
      </c>
      <c r="O15" s="14">
        <v>242.47836725474852</v>
      </c>
      <c r="P15" s="8">
        <v>1.6230145063905523</v>
      </c>
      <c r="Q15" s="54">
        <v>8.5895728552738457E-2</v>
      </c>
    </row>
    <row r="16" spans="1:20">
      <c r="A16" s="2" t="s">
        <v>377</v>
      </c>
      <c r="B16" s="16" t="s">
        <v>378</v>
      </c>
      <c r="D16" s="14">
        <v>1</v>
      </c>
      <c r="E16" s="14">
        <v>0.69005336450464971</v>
      </c>
      <c r="F16" s="14">
        <v>0.49129416136667087</v>
      </c>
      <c r="G16" s="14">
        <v>7.40815551429318E-6</v>
      </c>
      <c r="H16" s="14">
        <v>45.528317676626543</v>
      </c>
      <c r="I16" s="14">
        <v>106.54639837686256</v>
      </c>
      <c r="J16" s="14">
        <v>0</v>
      </c>
      <c r="K16" s="14">
        <v>2.0354404318956747</v>
      </c>
      <c r="L16" s="14">
        <v>0.49129416136667092</v>
      </c>
      <c r="M16" s="14">
        <v>0.40310685940135349</v>
      </c>
      <c r="N16" s="14">
        <v>6.9383729249318797</v>
      </c>
      <c r="O16" s="14">
        <v>1541.983998836861</v>
      </c>
      <c r="P16" s="8">
        <v>6.9383729249318797</v>
      </c>
      <c r="Q16" s="54">
        <v>0.20841970348513003</v>
      </c>
    </row>
    <row r="17" spans="1:21">
      <c r="A17" s="2" t="s">
        <v>379</v>
      </c>
      <c r="B17" s="16" t="s">
        <v>380</v>
      </c>
      <c r="D17" s="14">
        <v>1</v>
      </c>
      <c r="E17" s="14">
        <v>0.69569158196290903</v>
      </c>
      <c r="F17" s="14">
        <v>0.51258229195039218</v>
      </c>
      <c r="G17" s="14">
        <v>2.2275737236586957E-5</v>
      </c>
      <c r="H17" s="14">
        <v>41.918293934781794</v>
      </c>
      <c r="I17" s="14">
        <v>99.005830103473912</v>
      </c>
      <c r="J17" s="14">
        <v>0</v>
      </c>
      <c r="K17" s="14">
        <v>1.9509062558422916</v>
      </c>
      <c r="L17" s="14">
        <v>0.51258229195039218</v>
      </c>
      <c r="M17" s="14">
        <v>0.42057377054529677</v>
      </c>
      <c r="N17" s="14">
        <v>6.4946879132899982</v>
      </c>
      <c r="O17" s="14">
        <v>834.95707813256217</v>
      </c>
      <c r="P17" s="8">
        <v>6.4946879132899982</v>
      </c>
      <c r="Q17" s="54">
        <v>0.20373271343381566</v>
      </c>
    </row>
    <row r="18" spans="1:21">
      <c r="A18" s="2" t="s">
        <v>381</v>
      </c>
      <c r="B18" s="16" t="s">
        <v>382</v>
      </c>
      <c r="D18" s="14">
        <v>1</v>
      </c>
      <c r="E18" s="14">
        <v>0.90916386729616649</v>
      </c>
      <c r="F18" s="14">
        <v>6.6307290975183085E-4</v>
      </c>
      <c r="G18" s="14">
        <v>4.7237811912798535E-10</v>
      </c>
      <c r="H18" s="14">
        <v>69.608341275206627</v>
      </c>
      <c r="I18" s="14">
        <v>1746.2983983346292</v>
      </c>
      <c r="J18" s="14">
        <v>0</v>
      </c>
      <c r="K18" s="14">
        <v>1508.1297777257575</v>
      </c>
      <c r="L18" s="14">
        <v>6.6307290975183085E-4</v>
      </c>
      <c r="M18" s="14">
        <v>5.4405132245137727E-4</v>
      </c>
      <c r="N18" s="14">
        <v>109.89381331662595</v>
      </c>
      <c r="O18" s="14">
        <v>43000.350212662568</v>
      </c>
      <c r="P18" s="8">
        <v>109.89381331662595</v>
      </c>
      <c r="Q18" s="54">
        <v>5.5862254064945757E-2</v>
      </c>
    </row>
    <row r="19" spans="1:21">
      <c r="A19" s="2" t="s">
        <v>383</v>
      </c>
      <c r="B19" s="16" t="s">
        <v>384</v>
      </c>
      <c r="D19" s="14">
        <v>1</v>
      </c>
      <c r="E19" s="14">
        <v>0.91156418219240276</v>
      </c>
      <c r="F19" s="14">
        <v>0.90670416709938306</v>
      </c>
      <c r="G19" s="14">
        <v>1.3079589060827548E-4</v>
      </c>
      <c r="H19" s="14">
        <v>1.7863461228076503</v>
      </c>
      <c r="I19" s="14">
        <v>5.5516589988250962</v>
      </c>
      <c r="J19" s="14">
        <v>0</v>
      </c>
      <c r="K19" s="14">
        <v>1.1028955598594827</v>
      </c>
      <c r="L19" s="14">
        <v>0.90670416709938306</v>
      </c>
      <c r="M19" s="14">
        <v>0.74395076910504376</v>
      </c>
      <c r="N19" s="14">
        <v>1.1366592793436943</v>
      </c>
      <c r="O19" s="14">
        <v>105.85707868527824</v>
      </c>
      <c r="P19" s="8">
        <v>1.1366592793436943</v>
      </c>
      <c r="Q19" s="54">
        <v>5.1691934157178994E-2</v>
      </c>
    </row>
    <row r="20" spans="1:21">
      <c r="A20" s="2" t="s">
        <v>385</v>
      </c>
      <c r="B20" s="16" t="s">
        <v>386</v>
      </c>
      <c r="D20" s="14">
        <v>1</v>
      </c>
      <c r="E20" s="14">
        <v>0.87669342090716484</v>
      </c>
      <c r="F20" s="14">
        <v>0.86526697235591565</v>
      </c>
      <c r="G20" s="14">
        <v>2.4421853094812004E-4</v>
      </c>
      <c r="H20" s="14">
        <v>3.1852984246016387</v>
      </c>
      <c r="I20" s="14">
        <v>9.4538193135867896</v>
      </c>
      <c r="J20" s="14">
        <v>0</v>
      </c>
      <c r="K20" s="14">
        <v>1.1557126666666109</v>
      </c>
      <c r="L20" s="14">
        <v>0.86526697235591565</v>
      </c>
      <c r="M20" s="14">
        <v>0.70995155081802885</v>
      </c>
      <c r="N20" s="14">
        <v>1.3366358649590464</v>
      </c>
      <c r="O20" s="14">
        <v>148.52697731424925</v>
      </c>
      <c r="P20" s="8">
        <v>1.3366358649590464</v>
      </c>
      <c r="Q20" s="54">
        <v>6.8329351285715267E-2</v>
      </c>
    </row>
    <row r="21" spans="1:21">
      <c r="A21" s="2" t="s">
        <v>387</v>
      </c>
      <c r="B21" s="16" t="s">
        <v>388</v>
      </c>
      <c r="D21" s="14">
        <v>1</v>
      </c>
      <c r="E21" s="14">
        <v>0.92909059731179156</v>
      </c>
      <c r="F21" s="14">
        <v>0.10651860872109115</v>
      </c>
      <c r="G21" s="14">
        <v>2.0700039743978987E-5</v>
      </c>
      <c r="H21" s="14">
        <v>224.83581106715758</v>
      </c>
      <c r="I21" s="14">
        <v>84.012955463819935</v>
      </c>
      <c r="J21" s="14">
        <v>0</v>
      </c>
      <c r="K21" s="14">
        <v>9.3880309929545245</v>
      </c>
      <c r="L21" s="14">
        <v>0.10651860872109116</v>
      </c>
      <c r="M21" s="14">
        <v>8.7398518455655286E-2</v>
      </c>
      <c r="N21" s="14">
        <v>5.8190267631711468</v>
      </c>
      <c r="O21" s="14">
        <v>1148.9668343881428</v>
      </c>
      <c r="P21" s="8">
        <v>5.8190267631711468</v>
      </c>
      <c r="Q21" s="54">
        <v>4.6317622934806187E-2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0.90480366144644386</v>
      </c>
      <c r="F22" s="14">
        <v>0.90693719889551683</v>
      </c>
      <c r="G22" s="14">
        <v>7.2832581409537297E-4</v>
      </c>
      <c r="H22" s="14">
        <v>0.28793682749876542</v>
      </c>
      <c r="I22" s="14">
        <v>1.0236568242886279</v>
      </c>
      <c r="J22" s="14">
        <v>0</v>
      </c>
      <c r="K22" s="14">
        <v>1.1026121777977753</v>
      </c>
      <c r="L22" s="14">
        <v>0.90693719889551683</v>
      </c>
      <c r="M22" s="14">
        <v>0.74414197169377161</v>
      </c>
      <c r="N22" s="14">
        <v>0.86317163195553914</v>
      </c>
      <c r="O22" s="14">
        <v>50.13300838397771</v>
      </c>
      <c r="P22" s="8">
        <v>0.86317163195553914</v>
      </c>
      <c r="Q22" s="54">
        <v>1.9968911214766155E-2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0.7659490729408911</v>
      </c>
      <c r="F23" s="14">
        <v>0.72533173713364174</v>
      </c>
      <c r="G23" s="14">
        <v>7.6599364800530455E-4</v>
      </c>
      <c r="H23" s="14">
        <v>9.5586526593877164</v>
      </c>
      <c r="I23" s="14">
        <v>25.825804038161404</v>
      </c>
      <c r="J23" s="14">
        <v>0</v>
      </c>
      <c r="K23" s="14">
        <v>1.378679504569577</v>
      </c>
      <c r="L23" s="14">
        <v>0.72533173713364185</v>
      </c>
      <c r="M23" s="14">
        <v>0.59513469031815314</v>
      </c>
      <c r="N23" s="14">
        <v>2.2088439678847207</v>
      </c>
      <c r="O23" s="14">
        <v>236.67763115884784</v>
      </c>
      <c r="P23" s="8">
        <v>2.2088439678847207</v>
      </c>
      <c r="Q23" s="54">
        <v>0.11134067537721963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0.66632825797387807</v>
      </c>
      <c r="F24" s="14">
        <v>0.3802391755253875</v>
      </c>
      <c r="G24" s="14">
        <v>2.1873855927037612E-5</v>
      </c>
      <c r="H24" s="14">
        <v>65.8410668940585</v>
      </c>
      <c r="I24" s="14">
        <v>147.14788707974577</v>
      </c>
      <c r="J24" s="14">
        <v>0</v>
      </c>
      <c r="K24" s="14">
        <v>2.6299236490250406</v>
      </c>
      <c r="L24" s="14">
        <v>0.3802391755253875</v>
      </c>
      <c r="M24" s="14">
        <v>0.31198624351858045</v>
      </c>
      <c r="N24" s="14">
        <v>9.335048979190681</v>
      </c>
      <c r="O24" s="14">
        <v>1512.4646356084743</v>
      </c>
      <c r="P24" s="8">
        <v>9.335048979190681</v>
      </c>
      <c r="Q24" s="54">
        <v>0.22343645400258466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0.90130566825445435</v>
      </c>
      <c r="F25" s="14">
        <v>9.2288005413423296E-4</v>
      </c>
      <c r="G25" s="14">
        <v>2.1716695779275735E-6</v>
      </c>
      <c r="H25" s="14">
        <v>82.902048078706457</v>
      </c>
      <c r="I25" s="14">
        <v>1601.8521578836903</v>
      </c>
      <c r="J25" s="14">
        <v>0</v>
      </c>
      <c r="K25" s="14">
        <v>1083.5644301990192</v>
      </c>
      <c r="L25" s="14">
        <v>9.2288005413423296E-4</v>
      </c>
      <c r="M25" s="14">
        <v>7.5722308441713811E-4</v>
      </c>
      <c r="N25" s="14">
        <v>100.66425278123407</v>
      </c>
      <c r="O25" s="14">
        <v>23494.029956612216</v>
      </c>
      <c r="P25" s="8">
        <v>100.66425278123407</v>
      </c>
      <c r="Q25" s="54">
        <v>6.1492539760275189E-2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0.60218656186238906</v>
      </c>
      <c r="F26" s="14">
        <v>0.13683544963389452</v>
      </c>
      <c r="G26" s="14">
        <v>1.478179283098918E-3</v>
      </c>
      <c r="H26" s="14">
        <v>108.91774057042774</v>
      </c>
      <c r="I26" s="14">
        <v>217.5483503219852</v>
      </c>
      <c r="J26" s="14">
        <v>0</v>
      </c>
      <c r="K26" s="14">
        <v>7.3080477513357547</v>
      </c>
      <c r="L26" s="14">
        <v>0.13683544963389455</v>
      </c>
      <c r="M26" s="14">
        <v>0.11227348642461046</v>
      </c>
      <c r="N26" s="14">
        <v>13.484804016554936</v>
      </c>
      <c r="O26" s="14">
        <v>1728.3473308018461</v>
      </c>
      <c r="P26" s="8">
        <v>13.484804016554937</v>
      </c>
      <c r="Q26" s="54">
        <v>0.17805566445535678</v>
      </c>
    </row>
    <row r="27" spans="1:21">
      <c r="A27" s="2" t="s">
        <v>397</v>
      </c>
      <c r="B27" s="16" t="s">
        <v>398</v>
      </c>
      <c r="D27" s="14">
        <v>1</v>
      </c>
      <c r="E27" s="14">
        <v>0.31890677218062513</v>
      </c>
      <c r="F27" s="14">
        <v>1.6181410979063966E-2</v>
      </c>
      <c r="G27" s="14">
        <v>6.7094184100790254E-3</v>
      </c>
      <c r="H27" s="14">
        <v>72.319662103414103</v>
      </c>
      <c r="I27" s="14">
        <v>127.20774649860476</v>
      </c>
      <c r="J27" s="14">
        <v>0</v>
      </c>
      <c r="K27" s="14">
        <v>61.799307940069781</v>
      </c>
      <c r="L27" s="14">
        <v>1.6181410979063966E-2</v>
      </c>
      <c r="M27" s="14">
        <v>1.3276847708321984E-2</v>
      </c>
      <c r="N27" s="14">
        <v>7.8685505344945197</v>
      </c>
      <c r="O27" s="14">
        <v>1427.7484944840305</v>
      </c>
      <c r="P27" s="8">
        <v>7.8685505344945197</v>
      </c>
      <c r="Q27" s="54">
        <v>5.1750381902384672E-2</v>
      </c>
    </row>
    <row r="28" spans="1:21">
      <c r="A28" s="2" t="s">
        <v>399</v>
      </c>
      <c r="B28" s="16" t="s">
        <v>400</v>
      </c>
      <c r="D28" s="14">
        <v>1</v>
      </c>
      <c r="E28" s="14">
        <v>0.16635480508393694</v>
      </c>
      <c r="F28" s="14">
        <v>2.9241973268415274E-2</v>
      </c>
      <c r="G28" s="14">
        <v>8.5175592530045991E-3</v>
      </c>
      <c r="H28" s="14">
        <v>32.217117109441908</v>
      </c>
      <c r="I28" s="14">
        <v>62.826641805923281</v>
      </c>
      <c r="J28" s="14">
        <v>0</v>
      </c>
      <c r="K28" s="14">
        <v>34.197418581191165</v>
      </c>
      <c r="L28" s="14">
        <v>2.9241973268415277E-2</v>
      </c>
      <c r="M28" s="14">
        <v>2.3993039066734733E-2</v>
      </c>
      <c r="N28" s="14">
        <v>3.888941155093478</v>
      </c>
      <c r="O28" s="14">
        <v>571.67434979874133</v>
      </c>
      <c r="P28" s="8">
        <v>3.8889411550934785</v>
      </c>
      <c r="Q28" s="54">
        <v>4.5075841855256205E-2</v>
      </c>
    </row>
    <row r="29" spans="1:21">
      <c r="A29" s="2" t="s">
        <v>297</v>
      </c>
      <c r="B29" s="16" t="s">
        <v>298</v>
      </c>
      <c r="D29" s="14">
        <v>1</v>
      </c>
      <c r="E29" s="14">
        <v>6.0464175190310845E-2</v>
      </c>
      <c r="F29" s="14">
        <v>5.9396947870244694E-2</v>
      </c>
      <c r="G29" s="14">
        <v>1.0351245691658994E-2</v>
      </c>
      <c r="H29" s="14">
        <v>0.28077868078147011</v>
      </c>
      <c r="I29" s="14">
        <v>0.81812808205785881</v>
      </c>
      <c r="J29" s="14">
        <v>0</v>
      </c>
      <c r="K29" s="14">
        <v>16.835881907342191</v>
      </c>
      <c r="L29" s="14">
        <v>5.9396947870244694E-2</v>
      </c>
      <c r="M29" s="14">
        <v>4.873519572753577E-2</v>
      </c>
      <c r="N29" s="14">
        <v>0.10202095334381996</v>
      </c>
      <c r="O29" s="14">
        <v>8.6646395674906298</v>
      </c>
      <c r="P29" s="8">
        <v>0.10202095334381996</v>
      </c>
      <c r="Q29" s="54">
        <v>5.3434444637086584E-3</v>
      </c>
    </row>
    <row r="30" spans="1:21">
      <c r="A30" s="2" t="s">
        <v>401</v>
      </c>
      <c r="B30" s="16" t="s">
        <v>402</v>
      </c>
      <c r="D30" s="14">
        <v>1</v>
      </c>
      <c r="E30" s="14">
        <v>6.440213222648003E-2</v>
      </c>
      <c r="F30" s="14">
        <v>1.2028929230186771E-2</v>
      </c>
      <c r="G30" s="14">
        <v>1.0100792685619102E-2</v>
      </c>
      <c r="H30" s="14">
        <v>12.294955743530947</v>
      </c>
      <c r="I30" s="14">
        <v>24.109274436749836</v>
      </c>
      <c r="J30" s="14">
        <v>0</v>
      </c>
      <c r="K30" s="14">
        <v>83.132919054048926</v>
      </c>
      <c r="L30" s="14">
        <v>1.2028929230186773E-2</v>
      </c>
      <c r="M30" s="14">
        <v>9.869736433368248E-3</v>
      </c>
      <c r="N30" s="14">
        <v>1.492739622448308</v>
      </c>
      <c r="O30" s="14">
        <v>247.54101159060295</v>
      </c>
      <c r="P30" s="8">
        <v>1.4927396224483083</v>
      </c>
      <c r="Q30" s="54">
        <v>1.7831346551246911E-2</v>
      </c>
    </row>
    <row r="31" spans="1:21">
      <c r="A31" s="2" t="s">
        <v>299</v>
      </c>
      <c r="B31" s="16" t="s">
        <v>300</v>
      </c>
      <c r="D31" s="14">
        <v>1</v>
      </c>
      <c r="E31" s="14">
        <v>1.3154951698610303E-3</v>
      </c>
      <c r="F31" s="14">
        <v>4.4952840922235629E-4</v>
      </c>
      <c r="G31" s="14">
        <v>1.1089338261487044E-2</v>
      </c>
      <c r="H31" s="14">
        <v>0.20131546724910873</v>
      </c>
      <c r="I31" s="14">
        <v>0.41950226899979542</v>
      </c>
      <c r="J31" s="14">
        <v>0</v>
      </c>
      <c r="K31" s="14">
        <v>2224.5535087090716</v>
      </c>
      <c r="L31" s="14">
        <v>4.4952840922235629E-4</v>
      </c>
      <c r="M31" s="14">
        <v>3.6883805976694337E-4</v>
      </c>
      <c r="N31" s="14">
        <v>2.6123637458565507E-2</v>
      </c>
      <c r="O31" s="14">
        <v>2.1457955808465705</v>
      </c>
      <c r="P31" s="8">
        <v>2.6123637458565507E-2</v>
      </c>
      <c r="Q31" s="54">
        <v>4.3344531604239123E-4</v>
      </c>
    </row>
    <row r="32" spans="1:21">
      <c r="A32" s="2" t="s">
        <v>343</v>
      </c>
      <c r="B32" s="16" t="s">
        <v>344</v>
      </c>
      <c r="D32" s="14">
        <v>1</v>
      </c>
      <c r="E32" s="14">
        <v>0.71353805660839487</v>
      </c>
      <c r="F32" s="14">
        <v>0.56413879915006671</v>
      </c>
      <c r="G32" s="14">
        <v>2.1813957236961466E-5</v>
      </c>
      <c r="H32" s="14">
        <v>34.174799063817524</v>
      </c>
      <c r="I32" s="14">
        <v>82.520745070524356</v>
      </c>
      <c r="J32" s="14">
        <v>0</v>
      </c>
      <c r="K32" s="14">
        <v>1.7726134091585317</v>
      </c>
      <c r="L32" s="14">
        <v>0.56413879915006671</v>
      </c>
      <c r="M32" s="14">
        <v>0.46287588470262975</v>
      </c>
      <c r="N32" s="14">
        <v>5.5299248284929865</v>
      </c>
      <c r="O32" s="14">
        <v>908.0136568385484</v>
      </c>
      <c r="P32" s="8">
        <v>5.5299248284929874</v>
      </c>
      <c r="Q32" s="54">
        <v>0.19176226049163453</v>
      </c>
    </row>
    <row r="33" spans="1:17">
      <c r="A33" s="2" t="s">
        <v>345</v>
      </c>
      <c r="B33" s="16" t="s">
        <v>346</v>
      </c>
      <c r="D33" s="14">
        <v>1</v>
      </c>
      <c r="E33" s="14">
        <v>0.78367285482207183</v>
      </c>
      <c r="F33" s="14">
        <v>0.71307805696129112</v>
      </c>
      <c r="G33" s="14">
        <v>9.2927779555036894E-7</v>
      </c>
      <c r="H33" s="14">
        <v>16.289849518375721</v>
      </c>
      <c r="I33" s="14">
        <v>42.264354769961777</v>
      </c>
      <c r="J33" s="14">
        <v>0</v>
      </c>
      <c r="K33" s="14">
        <v>1.4023710170824735</v>
      </c>
      <c r="L33" s="14">
        <v>0.71307805696129123</v>
      </c>
      <c r="M33" s="14">
        <v>0.5850805457367394</v>
      </c>
      <c r="N33" s="14">
        <v>3.1999262144521796</v>
      </c>
      <c r="O33" s="14">
        <v>483.70084657659146</v>
      </c>
      <c r="P33" s="8">
        <v>3.1999262144521801</v>
      </c>
      <c r="Q33" s="54">
        <v>0.14580561302970738</v>
      </c>
    </row>
    <row r="34" spans="1:17">
      <c r="A34" s="2" t="s">
        <v>347</v>
      </c>
      <c r="B34" s="16" t="s">
        <v>348</v>
      </c>
      <c r="D34" s="14">
        <v>1</v>
      </c>
      <c r="E34" s="14">
        <v>0.68724676901296777</v>
      </c>
      <c r="F34" s="14">
        <v>0.17477270378452145</v>
      </c>
      <c r="G34" s="14">
        <v>8.0471499244653752E-7</v>
      </c>
      <c r="H34" s="14">
        <v>119.73292852201479</v>
      </c>
      <c r="I34" s="14">
        <v>241.80806164479759</v>
      </c>
      <c r="J34" s="14">
        <v>0</v>
      </c>
      <c r="K34" s="14">
        <v>5.7217172839124082</v>
      </c>
      <c r="L34" s="14">
        <v>0.17477270378452145</v>
      </c>
      <c r="M34" s="14">
        <v>0.14340100345519985</v>
      </c>
      <c r="N34" s="14">
        <v>15.002047834279082</v>
      </c>
      <c r="O34" s="14">
        <v>2644.1109307916881</v>
      </c>
      <c r="P34" s="8">
        <v>15.002047834279082</v>
      </c>
      <c r="Q34" s="54">
        <v>0.21031525538227747</v>
      </c>
    </row>
    <row r="35" spans="1:17">
      <c r="A35" s="2" t="s">
        <v>349</v>
      </c>
      <c r="B35" s="16" t="s">
        <v>350</v>
      </c>
      <c r="D35" s="14">
        <v>1</v>
      </c>
      <c r="E35" s="14">
        <v>0.83928120564889752</v>
      </c>
      <c r="F35" s="14">
        <v>2.0837829592341997E-2</v>
      </c>
      <c r="G35" s="14">
        <v>1.4734010323842316E-4</v>
      </c>
      <c r="H35" s="14">
        <v>197.19344857624935</v>
      </c>
      <c r="I35" s="14">
        <v>328.20837047569131</v>
      </c>
      <c r="J35" s="14">
        <v>0</v>
      </c>
      <c r="K35" s="14">
        <v>47.989642854527645</v>
      </c>
      <c r="L35" s="14">
        <v>2.0837829592342001E-2</v>
      </c>
      <c r="M35" s="14">
        <v>1.7097439180516611E-2</v>
      </c>
      <c r="N35" s="14">
        <v>20.328482304339854</v>
      </c>
      <c r="O35" s="14">
        <v>3909.167147124554</v>
      </c>
      <c r="P35" s="8">
        <v>20.328482304339854</v>
      </c>
      <c r="Q35" s="54">
        <v>9.8525728086935827E-2</v>
      </c>
    </row>
    <row r="36" spans="1:17">
      <c r="A36" s="2" t="s">
        <v>351</v>
      </c>
      <c r="B36" s="16" t="s">
        <v>352</v>
      </c>
      <c r="D36" s="14">
        <v>1</v>
      </c>
      <c r="E36" s="14">
        <v>0.8779197258013437</v>
      </c>
      <c r="F36" s="14">
        <v>4.6515054056535839E-3</v>
      </c>
      <c r="G36" s="14">
        <v>4.008685800162015E-6</v>
      </c>
      <c r="H36" s="14">
        <v>169.8140148637454</v>
      </c>
      <c r="I36" s="14">
        <v>725.82295770463611</v>
      </c>
      <c r="J36" s="14">
        <v>0</v>
      </c>
      <c r="K36" s="14">
        <v>214.98416379019338</v>
      </c>
      <c r="L36" s="14">
        <v>4.6515054056535839E-3</v>
      </c>
      <c r="M36" s="14">
        <v>3.8165601853387657E-3</v>
      </c>
      <c r="N36" s="14">
        <v>45.255053662679337</v>
      </c>
      <c r="O36" s="14">
        <v>10063.366282970004</v>
      </c>
      <c r="P36" s="8">
        <v>45.255053662679337</v>
      </c>
      <c r="Q36" s="54">
        <v>7.9915441071893481E-2</v>
      </c>
    </row>
    <row r="37" spans="1:17">
      <c r="A37" s="2" t="s">
        <v>353</v>
      </c>
      <c r="B37" s="16" t="s">
        <v>354</v>
      </c>
      <c r="D37" s="14">
        <v>1</v>
      </c>
      <c r="E37" s="14">
        <v>0.90472160701459337</v>
      </c>
      <c r="F37" s="14">
        <v>7.2607809697517204E-4</v>
      </c>
      <c r="G37" s="14">
        <v>2.7759511774902556E-5</v>
      </c>
      <c r="H37" s="14">
        <v>72.993356733043953</v>
      </c>
      <c r="I37" s="14">
        <v>1703.1014029761309</v>
      </c>
      <c r="J37" s="14">
        <v>0</v>
      </c>
      <c r="K37" s="14">
        <v>1377.2623140210142</v>
      </c>
      <c r="L37" s="14">
        <v>7.2607809697517215E-4</v>
      </c>
      <c r="M37" s="14">
        <v>5.9574707856812877E-4</v>
      </c>
      <c r="N37" s="14">
        <v>107.13413620991007</v>
      </c>
      <c r="O37" s="14">
        <v>25325.438458660639</v>
      </c>
      <c r="P37" s="8">
        <v>107.13413620991008</v>
      </c>
      <c r="Q37" s="54">
        <v>5.731133259210993E-2</v>
      </c>
    </row>
    <row r="38" spans="1:17">
      <c r="A38" s="2" t="s">
        <v>355</v>
      </c>
      <c r="B38" s="16" t="s">
        <v>356</v>
      </c>
      <c r="D38" s="14">
        <v>1</v>
      </c>
      <c r="E38" s="14">
        <v>0.88175133035597408</v>
      </c>
      <c r="F38" s="14">
        <v>2.5733875062038686E-3</v>
      </c>
      <c r="G38" s="14">
        <v>1.5081122784490508E-6</v>
      </c>
      <c r="H38" s="14">
        <v>135.14661987803566</v>
      </c>
      <c r="I38" s="14">
        <v>1062.3371251703779</v>
      </c>
      <c r="J38" s="14">
        <v>0</v>
      </c>
      <c r="K38" s="14">
        <v>388.59285575500036</v>
      </c>
      <c r="L38" s="14">
        <v>2.5733875062038686E-3</v>
      </c>
      <c r="M38" s="14">
        <v>2.1114644488402744E-3</v>
      </c>
      <c r="N38" s="14">
        <v>66.44491386001593</v>
      </c>
      <c r="O38" s="14">
        <v>17169.365741428115</v>
      </c>
      <c r="P38" s="8">
        <v>66.44491386001593</v>
      </c>
      <c r="Q38" s="54">
        <v>7.6429735899921775E-2</v>
      </c>
    </row>
    <row r="39" spans="1:17">
      <c r="A39" s="2" t="s">
        <v>357</v>
      </c>
      <c r="B39" s="16" t="s">
        <v>358</v>
      </c>
      <c r="D39" s="14">
        <v>1</v>
      </c>
      <c r="E39" s="14">
        <v>0.8544190196716076</v>
      </c>
      <c r="F39" s="14">
        <v>3.8521652748673332E-3</v>
      </c>
      <c r="G39" s="14">
        <v>3.0327275721531117E-4</v>
      </c>
      <c r="H39" s="14">
        <v>156.02885159195176</v>
      </c>
      <c r="I39" s="14">
        <v>793.71042167559153</v>
      </c>
      <c r="J39" s="14">
        <v>0</v>
      </c>
      <c r="K39" s="14">
        <v>259.59426157654661</v>
      </c>
      <c r="L39" s="14">
        <v>3.8521652748673332E-3</v>
      </c>
      <c r="M39" s="14">
        <v>3.1607016080286471E-3</v>
      </c>
      <c r="N39" s="14">
        <v>49.531833159681305</v>
      </c>
      <c r="O39" s="14">
        <v>11708.830040617064</v>
      </c>
      <c r="P39" s="8">
        <v>49.531833159681305</v>
      </c>
      <c r="Q39" s="54">
        <v>7.738594364820009E-2</v>
      </c>
    </row>
    <row r="40" spans="1:17">
      <c r="A40" s="2" t="s">
        <v>359</v>
      </c>
      <c r="B40" s="16" t="s">
        <v>360</v>
      </c>
      <c r="D40" s="14">
        <v>1</v>
      </c>
      <c r="E40" s="14">
        <v>0.88175133035597408</v>
      </c>
      <c r="F40" s="14">
        <v>2.5733875062038686E-3</v>
      </c>
      <c r="G40" s="14">
        <v>1.5081122784490508E-6</v>
      </c>
      <c r="H40" s="14">
        <v>135.14661987803566</v>
      </c>
      <c r="I40" s="14">
        <v>1062.3371251703779</v>
      </c>
      <c r="J40" s="14">
        <v>0</v>
      </c>
      <c r="K40" s="14">
        <v>388.59285575500036</v>
      </c>
      <c r="L40" s="14">
        <v>2.5733875062038686E-3</v>
      </c>
      <c r="M40" s="14">
        <v>2.1114644488402744E-3</v>
      </c>
      <c r="N40" s="14">
        <v>66.44491386001593</v>
      </c>
      <c r="O40" s="14">
        <v>17169.365741428115</v>
      </c>
      <c r="P40" s="8">
        <v>66.44491386001593</v>
      </c>
      <c r="Q40" s="54">
        <v>7.6429735899921775E-2</v>
      </c>
    </row>
    <row r="41" spans="1:17">
      <c r="A41" s="2" t="s">
        <v>313</v>
      </c>
      <c r="B41" s="16" t="s">
        <v>314</v>
      </c>
      <c r="D41" s="14">
        <v>1</v>
      </c>
      <c r="E41" s="14">
        <v>0.9997532390036884</v>
      </c>
      <c r="F41" s="14">
        <v>0.9579359129402667</v>
      </c>
      <c r="G41" s="14">
        <v>6.2354433018696893E-10</v>
      </c>
      <c r="H41" s="14">
        <v>12.943640887461997</v>
      </c>
      <c r="I41" s="14">
        <v>2.8519284162459399E-2</v>
      </c>
      <c r="J41" s="14">
        <v>0</v>
      </c>
      <c r="K41" s="14">
        <v>1.0439111703523283</v>
      </c>
      <c r="L41" s="14">
        <v>0.95793591294026681</v>
      </c>
      <c r="M41" s="14">
        <v>0.78598641656748891</v>
      </c>
      <c r="N41" s="14">
        <v>0.90324673881285089</v>
      </c>
      <c r="O41" s="14">
        <v>166.29675708283398</v>
      </c>
      <c r="P41" s="8">
        <v>0.90324673881285089</v>
      </c>
      <c r="Q41" s="54">
        <v>1.2171346336288271E-4</v>
      </c>
    </row>
    <row r="42" spans="1:17">
      <c r="A42" s="2" t="s">
        <v>315</v>
      </c>
      <c r="B42" s="16" t="s">
        <v>316</v>
      </c>
      <c r="D42" s="14">
        <v>1</v>
      </c>
      <c r="E42" s="14">
        <v>0.90588592960764736</v>
      </c>
      <c r="F42" s="14">
        <v>6.6068223876357922E-4</v>
      </c>
      <c r="G42" s="14">
        <v>4.0060938520847761E-5</v>
      </c>
      <c r="H42" s="14">
        <v>69.357372430635323</v>
      </c>
      <c r="I42" s="14">
        <v>1740.0022205594109</v>
      </c>
      <c r="J42" s="14">
        <v>0</v>
      </c>
      <c r="K42" s="14">
        <v>1513.5869277664106</v>
      </c>
      <c r="L42" s="14">
        <v>6.6068223876357922E-4</v>
      </c>
      <c r="M42" s="14">
        <v>5.4208977690551675E-4</v>
      </c>
      <c r="N42" s="14">
        <v>109.49759753489128</v>
      </c>
      <c r="O42" s="14">
        <v>39956.768316457186</v>
      </c>
      <c r="P42" s="8">
        <v>109.4975975348913</v>
      </c>
      <c r="Q42" s="54">
        <v>5.5660845941996821E-2</v>
      </c>
    </row>
    <row r="43" spans="1:17">
      <c r="A43" s="2" t="s">
        <v>317</v>
      </c>
      <c r="B43" s="16" t="s">
        <v>318</v>
      </c>
      <c r="D43" s="14">
        <v>1</v>
      </c>
      <c r="E43" s="14">
        <v>0.66502163038690532</v>
      </c>
      <c r="F43" s="14">
        <v>0.35506826573797218</v>
      </c>
      <c r="G43" s="14">
        <v>4.9038857851109209E-14</v>
      </c>
      <c r="H43" s="14">
        <v>71.435133209527862</v>
      </c>
      <c r="I43" s="14">
        <v>157.89523708337697</v>
      </c>
      <c r="J43" s="14">
        <v>0</v>
      </c>
      <c r="K43" s="14">
        <v>2.8163598285011608</v>
      </c>
      <c r="L43" s="14">
        <v>0.35506826573797218</v>
      </c>
      <c r="M43" s="14">
        <v>0.29133351203800617</v>
      </c>
      <c r="N43" s="14">
        <v>9.9742834919447105</v>
      </c>
      <c r="O43" s="14">
        <v>3165.0396376638955</v>
      </c>
      <c r="P43" s="8">
        <v>9.9742834919447105</v>
      </c>
      <c r="Q43" s="54">
        <v>0.22561555034611572</v>
      </c>
    </row>
    <row r="44" spans="1:17">
      <c r="A44" s="2" t="s">
        <v>307</v>
      </c>
      <c r="B44" s="16" t="s">
        <v>308</v>
      </c>
      <c r="D44" s="14">
        <v>1</v>
      </c>
      <c r="E44" s="14">
        <v>0.88083011101598396</v>
      </c>
      <c r="F44" s="14">
        <v>6.9566506559681279E-3</v>
      </c>
      <c r="G44" s="14">
        <v>1.3362529669588954E-6</v>
      </c>
      <c r="H44" s="14">
        <v>192.5130589506123</v>
      </c>
      <c r="I44" s="14">
        <v>517.27008830289139</v>
      </c>
      <c r="J44" s="14">
        <v>0</v>
      </c>
      <c r="K44" s="14">
        <v>143.74733610377538</v>
      </c>
      <c r="L44" s="14">
        <v>6.9566506559681288E-3</v>
      </c>
      <c r="M44" s="14">
        <v>5.7079318632218493E-3</v>
      </c>
      <c r="N44" s="14">
        <v>32.177041035792371</v>
      </c>
      <c r="O44" s="14">
        <v>11280.948816738448</v>
      </c>
      <c r="P44" s="8">
        <v>32.177041035792371</v>
      </c>
      <c r="Q44" s="54">
        <v>7.876211424807987E-2</v>
      </c>
    </row>
    <row r="45" spans="1:17">
      <c r="A45" s="2" t="s">
        <v>319</v>
      </c>
      <c r="B45" s="16" t="s">
        <v>320</v>
      </c>
      <c r="D45" s="14">
        <v>1</v>
      </c>
      <c r="E45" s="14">
        <v>0.92718977131736191</v>
      </c>
      <c r="F45" s="14">
        <v>2.9767493294104641E-4</v>
      </c>
      <c r="G45" s="14">
        <v>1.3150151375360555E-7</v>
      </c>
      <c r="H45" s="14">
        <v>44.565857210800168</v>
      </c>
      <c r="I45" s="14">
        <v>2026.5598548155267</v>
      </c>
      <c r="J45" s="14">
        <v>0</v>
      </c>
      <c r="K45" s="14">
        <v>3359.3691955178733</v>
      </c>
      <c r="L45" s="14">
        <v>2.9767493294104641E-4</v>
      </c>
      <c r="M45" s="14">
        <v>2.442422824781286E-4</v>
      </c>
      <c r="N45" s="14">
        <v>127.93602388505501</v>
      </c>
      <c r="O45" s="14">
        <v>45352.041107013152</v>
      </c>
      <c r="P45" s="8">
        <v>127.93602388505501</v>
      </c>
      <c r="Q45" s="54">
        <v>4.2791689658822858E-2</v>
      </c>
    </row>
    <row r="46" spans="1:17">
      <c r="A46" s="2" t="s">
        <v>321</v>
      </c>
      <c r="B46" s="16" t="s">
        <v>322</v>
      </c>
      <c r="D46" s="14">
        <v>1</v>
      </c>
      <c r="E46" s="14">
        <v>0.91178698063748165</v>
      </c>
      <c r="F46" s="14">
        <v>5.9204883607084328E-4</v>
      </c>
      <c r="G46" s="14">
        <v>1.9295054932957271E-7</v>
      </c>
      <c r="H46" s="14">
        <v>65.46626010410867</v>
      </c>
      <c r="I46" s="14">
        <v>1791.7388165639406</v>
      </c>
      <c r="J46" s="14">
        <v>0</v>
      </c>
      <c r="K46" s="14">
        <v>1689.0498537866258</v>
      </c>
      <c r="L46" s="14">
        <v>5.9204883607084338E-4</v>
      </c>
      <c r="M46" s="14">
        <v>4.85776069996127E-4</v>
      </c>
      <c r="N46" s="14">
        <v>112.80558644469971</v>
      </c>
      <c r="O46" s="14">
        <v>39988.452338781601</v>
      </c>
      <c r="P46" s="8">
        <v>112.80558644469971</v>
      </c>
      <c r="Q46" s="54">
        <v>5.3935499166340578E-2</v>
      </c>
    </row>
    <row r="47" spans="1:17">
      <c r="A47" s="2" t="s">
        <v>323</v>
      </c>
      <c r="B47" s="16" t="s">
        <v>324</v>
      </c>
      <c r="D47" s="14">
        <v>1</v>
      </c>
      <c r="E47" s="14">
        <v>0.89355176176490081</v>
      </c>
      <c r="F47" s="14">
        <v>1.3105497109575702E-3</v>
      </c>
      <c r="G47" s="14">
        <v>1.8109313482088858E-6</v>
      </c>
      <c r="H47" s="14">
        <v>99.008732096793608</v>
      </c>
      <c r="I47" s="14">
        <v>1431.2999949778361</v>
      </c>
      <c r="J47" s="14">
        <v>0</v>
      </c>
      <c r="K47" s="14">
        <v>763.0385872729214</v>
      </c>
      <c r="L47" s="14">
        <v>1.3105497109575704E-3</v>
      </c>
      <c r="M47" s="14">
        <v>1.0753060378406864E-3</v>
      </c>
      <c r="N47" s="14">
        <v>89.808486998987803</v>
      </c>
      <c r="O47" s="14">
        <v>28742.308179156058</v>
      </c>
      <c r="P47" s="8">
        <v>89.808486998987803</v>
      </c>
      <c r="Q47" s="54">
        <v>6.7286923168051072E-2</v>
      </c>
    </row>
    <row r="48" spans="1:17">
      <c r="A48" s="2" t="s">
        <v>325</v>
      </c>
      <c r="B48" s="16" t="s">
        <v>326</v>
      </c>
      <c r="D48" s="14">
        <v>1</v>
      </c>
      <c r="E48" s="14">
        <v>0.77494898492738284</v>
      </c>
      <c r="F48" s="14">
        <v>5.9655611597434537E-2</v>
      </c>
      <c r="G48" s="14">
        <v>1.1278199958207983E-6</v>
      </c>
      <c r="H48" s="14">
        <v>169.98527512824819</v>
      </c>
      <c r="I48" s="14">
        <v>309.07827040781916</v>
      </c>
      <c r="J48" s="14">
        <v>0</v>
      </c>
      <c r="K48" s="14">
        <v>16.762882371371152</v>
      </c>
      <c r="L48" s="14">
        <v>5.9655611597434544E-2</v>
      </c>
      <c r="M48" s="14">
        <v>4.894742931569504E-2</v>
      </c>
      <c r="N48" s="14">
        <v>19.110818132926397</v>
      </c>
      <c r="O48" s="14">
        <v>5816.3774987561492</v>
      </c>
      <c r="P48" s="8">
        <v>19.110818132926397</v>
      </c>
      <c r="Q48" s="54">
        <v>0.15089278464465081</v>
      </c>
    </row>
    <row r="49" spans="1:17">
      <c r="A49" s="2" t="s">
        <v>275</v>
      </c>
      <c r="B49" s="16" t="s">
        <v>276</v>
      </c>
      <c r="D49" s="14">
        <v>1</v>
      </c>
      <c r="E49" s="14">
        <v>0.88011381926799237</v>
      </c>
      <c r="F49" s="14">
        <v>6.4704036812635955E-3</v>
      </c>
      <c r="G49" s="14">
        <v>1.7170378325691986E-8</v>
      </c>
      <c r="H49" s="14">
        <v>188.60420734411886</v>
      </c>
      <c r="I49" s="14">
        <v>552.85157023392662</v>
      </c>
      <c r="J49" s="14">
        <v>0</v>
      </c>
      <c r="K49" s="14">
        <v>154.54986261455505</v>
      </c>
      <c r="L49" s="14">
        <v>6.4704036812635955E-3</v>
      </c>
      <c r="M49" s="14">
        <v>5.3089662204767801E-3</v>
      </c>
      <c r="N49" s="14">
        <v>34.405128627458637</v>
      </c>
      <c r="O49" s="14">
        <v>12746.756105187153</v>
      </c>
      <c r="P49" s="8">
        <v>34.405128627458645</v>
      </c>
      <c r="Q49" s="54">
        <v>7.9215204449592139E-2</v>
      </c>
    </row>
    <row r="50" spans="1:17">
      <c r="A50" s="2" t="s">
        <v>327</v>
      </c>
      <c r="B50" s="16" t="s">
        <v>328</v>
      </c>
      <c r="D50" s="14">
        <v>1</v>
      </c>
      <c r="E50" s="14">
        <v>0.87898403378386947</v>
      </c>
      <c r="F50" s="14">
        <v>5.7166098624725267E-3</v>
      </c>
      <c r="G50" s="14">
        <v>8.9451379369200371E-7</v>
      </c>
      <c r="H50" s="14">
        <v>181.70151743684363</v>
      </c>
      <c r="I50" s="14">
        <v>615.7660279039319</v>
      </c>
      <c r="J50" s="14">
        <v>0</v>
      </c>
      <c r="K50" s="14">
        <v>174.92885189955638</v>
      </c>
      <c r="L50" s="14">
        <v>5.7166098624725267E-3</v>
      </c>
      <c r="M50" s="14">
        <v>4.6904783921587088E-3</v>
      </c>
      <c r="N50" s="14">
        <v>38.348080879641628</v>
      </c>
      <c r="O50" s="14">
        <v>14607.167487864293</v>
      </c>
      <c r="P50" s="8">
        <v>38.348080879641628</v>
      </c>
      <c r="Q50" s="54">
        <v>7.9728891320280118E-2</v>
      </c>
    </row>
    <row r="51" spans="1:17">
      <c r="A51" s="2" t="s">
        <v>329</v>
      </c>
      <c r="B51" s="16" t="s">
        <v>330</v>
      </c>
      <c r="D51" s="14">
        <v>1</v>
      </c>
      <c r="E51" s="14">
        <v>0.80981678383339917</v>
      </c>
      <c r="F51" s="14">
        <v>3.8292437537589034E-2</v>
      </c>
      <c r="G51" s="14">
        <v>5.9014876184944332E-7</v>
      </c>
      <c r="H51" s="14">
        <v>184.47308582672008</v>
      </c>
      <c r="I51" s="14">
        <v>322.69347463572319</v>
      </c>
      <c r="J51" s="14">
        <v>0</v>
      </c>
      <c r="K51" s="14">
        <v>26.114817031910523</v>
      </c>
      <c r="L51" s="14">
        <v>3.8292437537589034E-2</v>
      </c>
      <c r="M51" s="14">
        <v>3.1418944999591802E-2</v>
      </c>
      <c r="N51" s="14">
        <v>19.962505740913667</v>
      </c>
      <c r="O51" s="14">
        <v>5477.7115753067092</v>
      </c>
      <c r="P51" s="8">
        <v>19.962505740913667</v>
      </c>
      <c r="Q51" s="54">
        <v>0.12734742955910228</v>
      </c>
    </row>
    <row r="52" spans="1:17">
      <c r="A52" s="2" t="s">
        <v>277</v>
      </c>
      <c r="B52" s="16" t="s">
        <v>278</v>
      </c>
      <c r="D52" s="14">
        <v>1</v>
      </c>
      <c r="E52" s="14">
        <v>0.77828846881950053</v>
      </c>
      <c r="F52" s="14">
        <v>5.7236013980004233E-2</v>
      </c>
      <c r="G52" s="14">
        <v>1.7554071734797959E-6</v>
      </c>
      <c r="H52" s="14">
        <v>171.45469462198062</v>
      </c>
      <c r="I52" s="14">
        <v>310.60364778531431</v>
      </c>
      <c r="J52" s="14">
        <v>0</v>
      </c>
      <c r="K52" s="14">
        <v>17.47151715263324</v>
      </c>
      <c r="L52" s="14">
        <v>5.723601398000424E-2</v>
      </c>
      <c r="M52" s="14">
        <v>4.6962149470593476E-2</v>
      </c>
      <c r="N52" s="14">
        <v>19.205575259595729</v>
      </c>
      <c r="O52" s="14">
        <v>7815.3247403872901</v>
      </c>
      <c r="P52" s="8">
        <v>19.205575259595729</v>
      </c>
      <c r="Q52" s="54">
        <v>0.14859580595848154</v>
      </c>
    </row>
    <row r="53" spans="1:17">
      <c r="A53" s="2" t="s">
        <v>331</v>
      </c>
      <c r="B53" s="16" t="s">
        <v>332</v>
      </c>
      <c r="D53" s="14">
        <v>1</v>
      </c>
      <c r="E53" s="14">
        <v>0.87849502391072665</v>
      </c>
      <c r="F53" s="14">
        <v>3.7999381104587685E-3</v>
      </c>
      <c r="G53" s="14">
        <v>5.9715216474863851E-7</v>
      </c>
      <c r="H53" s="14">
        <v>157.96341833826696</v>
      </c>
      <c r="I53" s="14">
        <v>839.29317999378748</v>
      </c>
      <c r="J53" s="14">
        <v>0</v>
      </c>
      <c r="K53" s="14">
        <v>263.16218078595745</v>
      </c>
      <c r="L53" s="14">
        <v>3.7999381104587685E-3</v>
      </c>
      <c r="M53" s="14">
        <v>3.1178492196314196E-3</v>
      </c>
      <c r="N53" s="14">
        <v>52.388142615964448</v>
      </c>
      <c r="O53" s="14">
        <v>19955.167403847019</v>
      </c>
      <c r="P53" s="8">
        <v>52.388142615964448</v>
      </c>
      <c r="Q53" s="54">
        <v>7.9380475140716431E-2</v>
      </c>
    </row>
    <row r="54" spans="1:17">
      <c r="A54" s="2" t="s">
        <v>333</v>
      </c>
      <c r="B54" s="16" t="s">
        <v>334</v>
      </c>
      <c r="D54" s="14">
        <v>1</v>
      </c>
      <c r="E54" s="14">
        <v>0.87953510690189574</v>
      </c>
      <c r="F54" s="14">
        <v>6.0848352322384535E-3</v>
      </c>
      <c r="G54" s="14">
        <v>9.7363754001267278E-10</v>
      </c>
      <c r="H54" s="14">
        <v>185.21187259266631</v>
      </c>
      <c r="I54" s="14">
        <v>583.74879016128807</v>
      </c>
      <c r="J54" s="14">
        <v>0</v>
      </c>
      <c r="K54" s="14">
        <v>164.34298741596751</v>
      </c>
      <c r="L54" s="14">
        <v>6.0848352322384535E-3</v>
      </c>
      <c r="M54" s="14">
        <v>4.9926073080516515E-3</v>
      </c>
      <c r="N54" s="14">
        <v>36.340991300056025</v>
      </c>
      <c r="O54" s="14">
        <v>13972.384335045541</v>
      </c>
      <c r="P54" s="8">
        <v>36.340991300056025</v>
      </c>
      <c r="Q54" s="54">
        <v>7.9510776261865854E-2</v>
      </c>
    </row>
    <row r="55" spans="1:17">
      <c r="A55" s="2" t="s">
        <v>335</v>
      </c>
      <c r="B55" s="16" t="s">
        <v>336</v>
      </c>
      <c r="D55" s="14">
        <v>1</v>
      </c>
      <c r="E55" s="14">
        <v>0.89260212792985105</v>
      </c>
      <c r="F55" s="14">
        <v>1.3555834650087731E-3</v>
      </c>
      <c r="G55" s="14">
        <v>4.7038639321948472E-6</v>
      </c>
      <c r="H55" s="14">
        <v>100.65289317652301</v>
      </c>
      <c r="I55" s="14">
        <v>1413.4597097872204</v>
      </c>
      <c r="J55" s="14">
        <v>0</v>
      </c>
      <c r="K55" s="14">
        <v>737.68972978253919</v>
      </c>
      <c r="L55" s="14">
        <v>1.3555834650087731E-3</v>
      </c>
      <c r="M55" s="14">
        <v>1.1122562330396985E-3</v>
      </c>
      <c r="N55" s="14">
        <v>88.675511311582923</v>
      </c>
      <c r="O55" s="14">
        <v>33104.341882840134</v>
      </c>
      <c r="P55" s="8">
        <v>88.675511311582923</v>
      </c>
      <c r="Q55" s="54">
        <v>6.7808390108523853E-2</v>
      </c>
    </row>
    <row r="56" spans="1:17">
      <c r="A56" s="2" t="s">
        <v>337</v>
      </c>
      <c r="B56" s="16" t="s">
        <v>338</v>
      </c>
      <c r="D56" s="14">
        <v>1</v>
      </c>
      <c r="E56" s="14">
        <v>0.88062055248531634</v>
      </c>
      <c r="F56" s="14">
        <v>6.7919035285199381E-3</v>
      </c>
      <c r="G56" s="14">
        <v>3.4324166208256294E-7</v>
      </c>
      <c r="H56" s="14">
        <v>191.23681789996704</v>
      </c>
      <c r="I56" s="14">
        <v>528.96712214281058</v>
      </c>
      <c r="J56" s="14">
        <v>0</v>
      </c>
      <c r="K56" s="14">
        <v>147.23412895970796</v>
      </c>
      <c r="L56" s="14">
        <v>6.7919035285199381E-3</v>
      </c>
      <c r="M56" s="14">
        <v>5.5727568451506091E-3</v>
      </c>
      <c r="N56" s="14">
        <v>32.909341763990994</v>
      </c>
      <c r="O56" s="14">
        <v>12812.264935556974</v>
      </c>
      <c r="P56" s="8">
        <v>32.909341763990994</v>
      </c>
      <c r="Q56" s="54">
        <v>7.892756042317399E-2</v>
      </c>
    </row>
    <row r="57" spans="1:17">
      <c r="A57" s="2" t="s">
        <v>279</v>
      </c>
      <c r="B57" s="16" t="s">
        <v>280</v>
      </c>
      <c r="D57" s="14">
        <v>1</v>
      </c>
      <c r="E57" s="14">
        <v>0.7574408659580274</v>
      </c>
      <c r="F57" s="14">
        <v>7.1460176758053481E-2</v>
      </c>
      <c r="G57" s="14">
        <v>3.3893199956470932E-5</v>
      </c>
      <c r="H57" s="14">
        <v>162.58635175056239</v>
      </c>
      <c r="I57" s="14">
        <v>300.56697251018113</v>
      </c>
      <c r="J57" s="14">
        <v>0</v>
      </c>
      <c r="K57" s="14">
        <v>13.993808095182205</v>
      </c>
      <c r="L57" s="14">
        <v>7.1460176758053481E-2</v>
      </c>
      <c r="M57" s="14">
        <v>5.8633075029982884E-2</v>
      </c>
      <c r="N57" s="14">
        <v>18.584087773592024</v>
      </c>
      <c r="O57" s="14">
        <v>5404.8102471937682</v>
      </c>
      <c r="P57" s="8">
        <v>18.584087773592024</v>
      </c>
      <c r="Q57" s="54">
        <v>0.16074640052630862</v>
      </c>
    </row>
    <row r="58" spans="1:17">
      <c r="A58" s="2" t="s">
        <v>339</v>
      </c>
      <c r="B58" s="16" t="s">
        <v>340</v>
      </c>
      <c r="D58" s="14">
        <v>1</v>
      </c>
      <c r="E58" s="14">
        <v>0.87943072272778466</v>
      </c>
      <c r="F58" s="14">
        <v>6.0098750453526535E-3</v>
      </c>
      <c r="G58" s="14">
        <v>3.4125099797335516E-9</v>
      </c>
      <c r="H58" s="14">
        <v>184.52084826208144</v>
      </c>
      <c r="I58" s="14">
        <v>590.06874751053022</v>
      </c>
      <c r="J58" s="14">
        <v>0</v>
      </c>
      <c r="K58" s="14">
        <v>166.3928105748696</v>
      </c>
      <c r="L58" s="14">
        <v>6.0098750453526535E-3</v>
      </c>
      <c r="M58" s="14">
        <v>4.931102474711852E-3</v>
      </c>
      <c r="N58" s="14">
        <v>36.737088939270102</v>
      </c>
      <c r="O58" s="14">
        <v>12698.17479185871</v>
      </c>
      <c r="P58" s="8">
        <v>36.737088939270102</v>
      </c>
      <c r="Q58" s="54">
        <v>7.9561436023764434E-2</v>
      </c>
    </row>
    <row r="59" spans="1:17">
      <c r="A59" s="2" t="s">
        <v>281</v>
      </c>
      <c r="B59" s="16" t="s">
        <v>282</v>
      </c>
      <c r="D59" s="14">
        <v>1</v>
      </c>
      <c r="E59" s="14">
        <v>0.77839283137067394</v>
      </c>
      <c r="F59" s="14">
        <v>5.7243688893198072E-2</v>
      </c>
      <c r="G59" s="14">
        <v>2.6572725452258489E-7</v>
      </c>
      <c r="H59" s="14">
        <v>171.4776853896179</v>
      </c>
      <c r="I59" s="14">
        <v>310.64529736690952</v>
      </c>
      <c r="J59" s="14">
        <v>0</v>
      </c>
      <c r="K59" s="14">
        <v>17.469174669468657</v>
      </c>
      <c r="L59" s="14">
        <v>5.7243688893198072E-2</v>
      </c>
      <c r="M59" s="14">
        <v>4.6968446736869021E-2</v>
      </c>
      <c r="N59" s="14">
        <v>19.208150580843757</v>
      </c>
      <c r="O59" s="14">
        <v>5594.5659381765527</v>
      </c>
      <c r="P59" s="8">
        <v>19.208150580843757</v>
      </c>
      <c r="Q59" s="54">
        <v>0.14861573152339069</v>
      </c>
    </row>
    <row r="60" spans="1:17">
      <c r="A60" s="2" t="s">
        <v>341</v>
      </c>
      <c r="B60" s="16" t="s">
        <v>342</v>
      </c>
      <c r="D60" s="14">
        <v>1</v>
      </c>
      <c r="E60" s="14">
        <v>0.87783480575148443</v>
      </c>
      <c r="F60" s="14">
        <v>4.2940851731315529E-3</v>
      </c>
      <c r="G60" s="14">
        <v>4.9961922583453804E-6</v>
      </c>
      <c r="H60" s="14">
        <v>165.12417257550223</v>
      </c>
      <c r="I60" s="14">
        <v>769.95939960617045</v>
      </c>
      <c r="J60" s="14">
        <v>0</v>
      </c>
      <c r="K60" s="14">
        <v>232.87847345392285</v>
      </c>
      <c r="L60" s="14">
        <v>4.2940851731315529E-3</v>
      </c>
      <c r="M60" s="14">
        <v>3.5232968845544392E-3</v>
      </c>
      <c r="N60" s="14">
        <v>48.028248657682369</v>
      </c>
      <c r="O60" s="14">
        <v>16102.911209947744</v>
      </c>
      <c r="P60" s="8">
        <v>48.028248657682376</v>
      </c>
      <c r="Q60" s="54">
        <v>7.9775185951524386E-2</v>
      </c>
    </row>
    <row r="61" spans="1:17">
      <c r="A61" s="2" t="s">
        <v>483</v>
      </c>
      <c r="B61" s="16" t="s">
        <v>484</v>
      </c>
      <c r="D61" s="14">
        <v>1</v>
      </c>
      <c r="E61" s="14">
        <v>0.80091804504479225</v>
      </c>
      <c r="F61" s="14">
        <v>0.27925453473292289</v>
      </c>
      <c r="G61" s="14">
        <v>8.5138943920419664E-16</v>
      </c>
      <c r="H61" s="14">
        <v>127.35692506844873</v>
      </c>
      <c r="I61" s="14">
        <v>196.47250270853209</v>
      </c>
      <c r="J61" s="14">
        <v>0</v>
      </c>
      <c r="K61" s="14">
        <v>3.58096243971971</v>
      </c>
      <c r="L61" s="14">
        <v>0.27925453473292289</v>
      </c>
      <c r="M61" s="14">
        <v>0.22912834574836324</v>
      </c>
      <c r="N61" s="14">
        <v>34.91040498573679</v>
      </c>
      <c r="O61" s="14">
        <v>16266.503203104057</v>
      </c>
      <c r="P61" s="8">
        <v>34.91040498573679</v>
      </c>
      <c r="Q61" s="54">
        <v>0.13264832712735866</v>
      </c>
    </row>
    <row r="62" spans="1:17">
      <c r="A62" s="2" t="s">
        <v>485</v>
      </c>
      <c r="B62" s="16" t="s">
        <v>486</v>
      </c>
      <c r="D62" s="14">
        <v>1</v>
      </c>
      <c r="E62" s="14">
        <v>0.68287503472555289</v>
      </c>
      <c r="F62" s="14">
        <v>0.18676793566474686</v>
      </c>
      <c r="G62" s="14">
        <v>2.2815542843164852E-9</v>
      </c>
      <c r="H62" s="14">
        <v>115.77167548321543</v>
      </c>
      <c r="I62" s="14">
        <v>235.5371898975167</v>
      </c>
      <c r="J62" s="14">
        <v>0</v>
      </c>
      <c r="K62" s="14">
        <v>5.3542381160919668</v>
      </c>
      <c r="L62" s="14">
        <v>0.18676793566474689</v>
      </c>
      <c r="M62" s="14">
        <v>0.15324309121292481</v>
      </c>
      <c r="N62" s="14">
        <v>14.623357857350593</v>
      </c>
      <c r="O62" s="14">
        <v>4743.6710553459588</v>
      </c>
      <c r="P62" s="8">
        <v>14.623357857350594</v>
      </c>
      <c r="Q62" s="54">
        <v>0.2133337116141312</v>
      </c>
    </row>
    <row r="63" spans="1:17">
      <c r="A63" s="2" t="s">
        <v>487</v>
      </c>
      <c r="B63" s="16" t="s">
        <v>488</v>
      </c>
      <c r="D63" s="14">
        <v>1</v>
      </c>
      <c r="E63" s="14">
        <v>0.9595399747495279</v>
      </c>
      <c r="F63" s="14">
        <v>0.92699902065239925</v>
      </c>
      <c r="G63" s="14">
        <v>7.9570681530998251E-15</v>
      </c>
      <c r="H63" s="14">
        <v>9.0780921282699971</v>
      </c>
      <c r="I63" s="14">
        <v>11.090546671407308</v>
      </c>
      <c r="J63" s="14">
        <v>0</v>
      </c>
      <c r="K63" s="14">
        <v>1.0787497912308734</v>
      </c>
      <c r="L63" s="14">
        <v>0.92699902065239936</v>
      </c>
      <c r="M63" s="14">
        <v>0.76060269644529366</v>
      </c>
      <c r="N63" s="14">
        <v>5.6705841908621499</v>
      </c>
      <c r="O63" s="14">
        <v>2503.9031553170908</v>
      </c>
      <c r="P63" s="8">
        <v>5.6705841908621499</v>
      </c>
      <c r="Q63" s="54">
        <v>2.7029185185416148E-2</v>
      </c>
    </row>
    <row r="64" spans="1:17">
      <c r="A64" s="2" t="s">
        <v>489</v>
      </c>
      <c r="B64" s="16" t="s">
        <v>490</v>
      </c>
      <c r="D64" s="14">
        <v>1</v>
      </c>
      <c r="E64" s="14">
        <v>0.99559099043399091</v>
      </c>
      <c r="F64" s="14">
        <v>0.98712640113043804</v>
      </c>
      <c r="G64" s="14">
        <v>1.4653014044475631E-16</v>
      </c>
      <c r="H64" s="14">
        <v>3.456628986029926</v>
      </c>
      <c r="I64" s="14">
        <v>0.39736695071637607</v>
      </c>
      <c r="J64" s="14">
        <v>0</v>
      </c>
      <c r="K64" s="14">
        <v>1.0130414897776205</v>
      </c>
      <c r="L64" s="14">
        <v>0.98712640113043804</v>
      </c>
      <c r="M64" s="14">
        <v>0.80993721212752445</v>
      </c>
      <c r="N64" s="14">
        <v>0.91194618218796264</v>
      </c>
      <c r="O64" s="14">
        <v>366.08255591571384</v>
      </c>
      <c r="P64" s="8">
        <v>0.91194618218796275</v>
      </c>
      <c r="Q64" s="54">
        <v>2.9308375270834354E-3</v>
      </c>
    </row>
    <row r="65" spans="1:17">
      <c r="A65" s="2" t="s">
        <v>491</v>
      </c>
      <c r="B65" s="16" t="s">
        <v>492</v>
      </c>
      <c r="D65" s="14">
        <v>1</v>
      </c>
      <c r="E65" s="14">
        <v>0.99796749977952848</v>
      </c>
      <c r="F65" s="14">
        <v>1.000201287585385</v>
      </c>
      <c r="G65" s="14">
        <v>2.4438231171594243E-14</v>
      </c>
      <c r="H65" s="14">
        <v>0.45318269224321067</v>
      </c>
      <c r="I65" s="14">
        <v>0.18662870862582129</v>
      </c>
      <c r="J65" s="14">
        <v>0</v>
      </c>
      <c r="K65" s="14">
        <v>0.99979875292315323</v>
      </c>
      <c r="L65" s="14">
        <v>1.000201287585385</v>
      </c>
      <c r="M65" s="14">
        <v>0.82066515646380844</v>
      </c>
      <c r="N65" s="14">
        <v>1.2917329034226839</v>
      </c>
      <c r="O65" s="14">
        <v>358.27503809331563</v>
      </c>
      <c r="P65" s="8">
        <v>1.2917329034226841</v>
      </c>
      <c r="Q65" s="54">
        <v>1.3078515486626406E-3</v>
      </c>
    </row>
    <row r="66" spans="1:17">
      <c r="A66" s="2" t="s">
        <v>493</v>
      </c>
      <c r="B66" s="16" t="s">
        <v>494</v>
      </c>
      <c r="D66" s="14">
        <v>1</v>
      </c>
      <c r="E66" s="14">
        <v>0.97983142814879653</v>
      </c>
      <c r="F66" s="14">
        <v>0.77638703891258354</v>
      </c>
      <c r="G66" s="14">
        <v>3.2043168244884541E-13</v>
      </c>
      <c r="H66" s="14">
        <v>57.24847264163013</v>
      </c>
      <c r="I66" s="14">
        <v>13.284290332627403</v>
      </c>
      <c r="J66" s="14">
        <v>0</v>
      </c>
      <c r="K66" s="14">
        <v>1.2880173803527315</v>
      </c>
      <c r="L66" s="14">
        <v>0.77638703891258354</v>
      </c>
      <c r="M66" s="14">
        <v>0.63702556542777478</v>
      </c>
      <c r="N66" s="14">
        <v>38.426657438290924</v>
      </c>
      <c r="O66" s="14">
        <v>12466.376206130342</v>
      </c>
      <c r="P66" s="8">
        <v>38.426657438290924</v>
      </c>
      <c r="Q66" s="54">
        <v>1.1707343437939034E-2</v>
      </c>
    </row>
    <row r="67" spans="1:17">
      <c r="A67" s="2" t="s">
        <v>495</v>
      </c>
      <c r="B67" s="16" t="s">
        <v>496</v>
      </c>
      <c r="D67" s="14">
        <v>1</v>
      </c>
      <c r="E67" s="14">
        <v>0.99773134362429827</v>
      </c>
      <c r="F67" s="14">
        <v>1.000212553122555</v>
      </c>
      <c r="G67" s="14">
        <v>1.9091532419492661E-14</v>
      </c>
      <c r="H67" s="14">
        <v>0.38213960579389072</v>
      </c>
      <c r="I67" s="14">
        <v>0.19341876266102181</v>
      </c>
      <c r="J67" s="14">
        <v>0</v>
      </c>
      <c r="K67" s="14">
        <v>0.99978749204667405</v>
      </c>
      <c r="L67" s="14">
        <v>1.000212553122555</v>
      </c>
      <c r="M67" s="14">
        <v>0.82067439983705637</v>
      </c>
      <c r="N67" s="14">
        <v>1.2240740820257978</v>
      </c>
      <c r="O67" s="14">
        <v>383.64929878852553</v>
      </c>
      <c r="P67" s="8">
        <v>1.2240740820257978</v>
      </c>
      <c r="Q67" s="54">
        <v>1.4706136770443149E-3</v>
      </c>
    </row>
    <row r="68" spans="1:17">
      <c r="A68" s="2" t="s">
        <v>497</v>
      </c>
      <c r="B68" s="16" t="s">
        <v>498</v>
      </c>
      <c r="D68" s="14">
        <v>1</v>
      </c>
      <c r="E68" s="14">
        <v>0.99905047617032317</v>
      </c>
      <c r="F68" s="14">
        <v>1.0027873496343556</v>
      </c>
      <c r="G68" s="14">
        <v>1.7280691168473652E-13</v>
      </c>
      <c r="H68" s="14">
        <v>4.5487850479531168E-2</v>
      </c>
      <c r="I68" s="14">
        <v>3.2495491197279208E-2</v>
      </c>
      <c r="J68" s="14">
        <v>0</v>
      </c>
      <c r="K68" s="14">
        <v>0.99722039808801743</v>
      </c>
      <c r="L68" s="14">
        <v>1.0027873496343556</v>
      </c>
      <c r="M68" s="14">
        <v>0.82278702037498885</v>
      </c>
      <c r="N68" s="14">
        <v>0.93165025485684083</v>
      </c>
      <c r="O68" s="14">
        <v>253.74426341280918</v>
      </c>
      <c r="P68" s="8">
        <v>0.93165025485684083</v>
      </c>
      <c r="Q68" s="54">
        <v>5.9470707626478104E-4</v>
      </c>
    </row>
    <row r="69" spans="1:17">
      <c r="A69" s="2" t="s">
        <v>499</v>
      </c>
      <c r="B69" s="16" t="s">
        <v>500</v>
      </c>
      <c r="D69" s="14">
        <v>1</v>
      </c>
      <c r="E69" s="14">
        <v>0.88228114628645837</v>
      </c>
      <c r="F69" s="14">
        <v>7.6771004029724758E-3</v>
      </c>
      <c r="G69" s="14">
        <v>8.5346891549250434E-14</v>
      </c>
      <c r="H69" s="14">
        <v>197.71937112382705</v>
      </c>
      <c r="I69" s="14">
        <v>470.99510244637844</v>
      </c>
      <c r="J69" s="14">
        <v>0</v>
      </c>
      <c r="K69" s="14">
        <v>130.25751227804872</v>
      </c>
      <c r="L69" s="14">
        <v>7.6771004029724758E-3</v>
      </c>
      <c r="M69" s="14">
        <v>6.2990608806389164E-3</v>
      </c>
      <c r="N69" s="14">
        <v>29.281342433037121</v>
      </c>
      <c r="O69" s="14">
        <v>12578.971895808416</v>
      </c>
      <c r="P69" s="8">
        <v>29.281342433037125</v>
      </c>
      <c r="Q69" s="54">
        <v>7.8007505649996783E-2</v>
      </c>
    </row>
    <row r="70" spans="1:17">
      <c r="A70" s="2" t="s">
        <v>501</v>
      </c>
      <c r="B70" s="16" t="s">
        <v>411</v>
      </c>
      <c r="D70" s="14">
        <v>1</v>
      </c>
      <c r="E70" s="14">
        <v>0.99987714770098113</v>
      </c>
      <c r="F70" s="14">
        <v>0.97341771537919453</v>
      </c>
      <c r="G70" s="14">
        <v>3.0976171023841733E-15</v>
      </c>
      <c r="H70" s="14">
        <v>8.5980357346063414</v>
      </c>
      <c r="I70" s="14">
        <v>7.565828373607795E-3</v>
      </c>
      <c r="J70" s="14">
        <v>0</v>
      </c>
      <c r="K70" s="14">
        <v>1.0273081989374422</v>
      </c>
      <c r="L70" s="14">
        <v>0.97341771537919453</v>
      </c>
      <c r="M70" s="14">
        <v>0.79868923546862913</v>
      </c>
      <c r="N70" s="14">
        <v>0.89830697488396027</v>
      </c>
      <c r="O70" s="14">
        <v>269.5819231626765</v>
      </c>
      <c r="P70" s="8">
        <v>0.89830697488396027</v>
      </c>
      <c r="Q70" s="54">
        <v>3.8358046858202669E-5</v>
      </c>
    </row>
    <row r="71" spans="1:17">
      <c r="A71" s="2" t="s">
        <v>502</v>
      </c>
      <c r="B71" s="16" t="s">
        <v>412</v>
      </c>
      <c r="D71" s="14">
        <v>1</v>
      </c>
      <c r="E71" s="14">
        <v>0.99985563680764777</v>
      </c>
      <c r="F71" s="14">
        <v>0.94715003812341625</v>
      </c>
      <c r="G71" s="14">
        <v>1.4148383870464266E-10</v>
      </c>
      <c r="H71" s="14">
        <v>16.027979602914513</v>
      </c>
      <c r="I71" s="14">
        <v>1.3486731466858609E-2</v>
      </c>
      <c r="J71" s="14">
        <v>0</v>
      </c>
      <c r="K71" s="14">
        <v>1.0557989333783855</v>
      </c>
      <c r="L71" s="14">
        <v>0.94715003812341625</v>
      </c>
      <c r="M71" s="14">
        <v>0.77713660628026304</v>
      </c>
      <c r="N71" s="14">
        <v>0.9049039324859085</v>
      </c>
      <c r="O71" s="14">
        <v>296.94422544525082</v>
      </c>
      <c r="P71" s="8">
        <v>0.9049039324859085</v>
      </c>
      <c r="Q71" s="54">
        <v>5.2542013344290312E-5</v>
      </c>
    </row>
    <row r="72" spans="1:17">
      <c r="A72" s="2" t="s">
        <v>503</v>
      </c>
      <c r="B72" s="16" t="s">
        <v>413</v>
      </c>
      <c r="D72" s="14">
        <v>1</v>
      </c>
      <c r="E72" s="14">
        <v>0.99942075733393354</v>
      </c>
      <c r="F72" s="14">
        <v>3.9092039589203277E-3</v>
      </c>
      <c r="G72" s="14">
        <v>1.9152999434239227E-12</v>
      </c>
      <c r="H72" s="14">
        <v>282.81883561440964</v>
      </c>
      <c r="I72" s="14">
        <v>1.2026362894414007</v>
      </c>
      <c r="J72" s="14">
        <v>0</v>
      </c>
      <c r="K72" s="14">
        <v>255.80655563343572</v>
      </c>
      <c r="L72" s="14">
        <v>3.9092039589203277E-3</v>
      </c>
      <c r="M72" s="14">
        <v>3.2075018482941287E-3</v>
      </c>
      <c r="N72" s="14">
        <v>6.6820600304926492</v>
      </c>
      <c r="O72" s="14">
        <v>3101.0104189510289</v>
      </c>
      <c r="P72" s="8">
        <v>6.6820600304926501</v>
      </c>
      <c r="Q72" s="54">
        <v>5.947497997773061E-5</v>
      </c>
    </row>
    <row r="73" spans="1:17">
      <c r="A73" s="2" t="s">
        <v>504</v>
      </c>
      <c r="B73" s="16" t="s">
        <v>414</v>
      </c>
      <c r="D73" s="14">
        <v>1</v>
      </c>
      <c r="E73" s="14">
        <v>0.99986889104235488</v>
      </c>
      <c r="F73" s="14">
        <v>3.624924892996062E-2</v>
      </c>
      <c r="G73" s="14">
        <v>2.5016553572162645E-12</v>
      </c>
      <c r="H73" s="14">
        <v>273.90440238082601</v>
      </c>
      <c r="I73" s="14">
        <v>0.14659696769646044</v>
      </c>
      <c r="J73" s="14">
        <v>0</v>
      </c>
      <c r="K73" s="14">
        <v>27.586778471801193</v>
      </c>
      <c r="L73" s="14">
        <v>3.624924892996062E-2</v>
      </c>
      <c r="M73" s="14">
        <v>2.974250874703269E-2</v>
      </c>
      <c r="N73" s="14">
        <v>0.81208853668820025</v>
      </c>
      <c r="O73" s="14">
        <v>255.03640494692928</v>
      </c>
      <c r="P73" s="8">
        <v>0.81208853668820025</v>
      </c>
      <c r="Q73" s="54">
        <v>4.820865190845482E-5</v>
      </c>
    </row>
    <row r="74" spans="1:17">
      <c r="A74" s="2" t="s">
        <v>505</v>
      </c>
      <c r="B74" s="16" t="s">
        <v>415</v>
      </c>
      <c r="D74" s="14">
        <v>1</v>
      </c>
      <c r="E74" s="14">
        <v>0.99985951267425666</v>
      </c>
      <c r="F74" s="14">
        <v>0.95226640028940102</v>
      </c>
      <c r="G74" s="14">
        <v>1.7490689370037111E-11</v>
      </c>
      <c r="H74" s="14">
        <v>14.58070290736419</v>
      </c>
      <c r="I74" s="14">
        <v>1.2322659141227208E-2</v>
      </c>
      <c r="J74" s="14">
        <v>0</v>
      </c>
      <c r="K74" s="14">
        <v>1.0501263088733281</v>
      </c>
      <c r="L74" s="14">
        <v>0.95226640028940113</v>
      </c>
      <c r="M74" s="14">
        <v>0.7813345814374536</v>
      </c>
      <c r="N74" s="14">
        <v>0.90371238359133887</v>
      </c>
      <c r="O74" s="14">
        <v>193.43059858389017</v>
      </c>
      <c r="P74" s="8">
        <v>0.90371238359133887</v>
      </c>
      <c r="Q74" s="54">
        <v>4.9992451686405928E-5</v>
      </c>
    </row>
    <row r="75" spans="1:17">
      <c r="A75" s="2" t="s">
        <v>506</v>
      </c>
      <c r="B75" s="16" t="s">
        <v>416</v>
      </c>
      <c r="D75" s="14">
        <v>1</v>
      </c>
      <c r="E75" s="14">
        <v>0.99986249536017602</v>
      </c>
      <c r="F75" s="14">
        <v>4.2887035524203608E-2</v>
      </c>
      <c r="G75" s="14">
        <v>1.0735802007066308E-11</v>
      </c>
      <c r="H75" s="14">
        <v>272.02325159181999</v>
      </c>
      <c r="I75" s="14">
        <v>0.14747961736974144</v>
      </c>
      <c r="J75" s="14">
        <v>0</v>
      </c>
      <c r="K75" s="14">
        <v>23.31706978057839</v>
      </c>
      <c r="L75" s="14">
        <v>4.2887035524203615E-2</v>
      </c>
      <c r="M75" s="14">
        <v>3.5188812647609063E-2</v>
      </c>
      <c r="N75" s="14">
        <v>0.82139869011473698</v>
      </c>
      <c r="O75" s="14">
        <v>340.11655561580915</v>
      </c>
      <c r="P75" s="8">
        <v>0.82139869011473698</v>
      </c>
      <c r="Q75" s="54">
        <v>5.20633371680016E-5</v>
      </c>
    </row>
    <row r="76" spans="1:17">
      <c r="A76" s="2" t="s">
        <v>507</v>
      </c>
      <c r="B76" s="16" t="s">
        <v>417</v>
      </c>
      <c r="D76" s="14">
        <v>1</v>
      </c>
      <c r="E76" s="14">
        <v>0.99975185189476889</v>
      </c>
      <c r="F76" s="14">
        <v>0.44968052295663929</v>
      </c>
      <c r="G76" s="14">
        <v>2.4800025691989093E-10</v>
      </c>
      <c r="H76" s="14">
        <v>156.82817092695905</v>
      </c>
      <c r="I76" s="14">
        <v>0.10559710371329332</v>
      </c>
      <c r="J76" s="14">
        <v>0</v>
      </c>
      <c r="K76" s="14">
        <v>2.2238010074908789</v>
      </c>
      <c r="L76" s="14">
        <v>0.44968052295663935</v>
      </c>
      <c r="M76" s="14">
        <v>0.36896286908592257</v>
      </c>
      <c r="N76" s="14">
        <v>0.94219547158978567</v>
      </c>
      <c r="O76" s="14">
        <v>403.41983507059854</v>
      </c>
      <c r="P76" s="8">
        <v>0.94219547158978578</v>
      </c>
      <c r="Q76" s="54">
        <v>1.2074023218113727E-4</v>
      </c>
    </row>
    <row r="77" spans="1:17">
      <c r="A77" s="2" t="s">
        <v>508</v>
      </c>
      <c r="B77" s="16" t="s">
        <v>418</v>
      </c>
      <c r="D77" s="14">
        <v>1</v>
      </c>
      <c r="E77" s="14">
        <v>0.99986687253352735</v>
      </c>
      <c r="F77" s="14">
        <v>3.8037713724458813E-2</v>
      </c>
      <c r="G77" s="14">
        <v>7.7450184909384327E-11</v>
      </c>
      <c r="H77" s="14">
        <v>273.39741601511867</v>
      </c>
      <c r="I77" s="14">
        <v>0.14730664383826234</v>
      </c>
      <c r="J77" s="14">
        <v>0</v>
      </c>
      <c r="K77" s="14">
        <v>26.28969783104985</v>
      </c>
      <c r="L77" s="14">
        <v>3.8037713724458813E-2</v>
      </c>
      <c r="M77" s="14">
        <v>3.1209944110918458E-2</v>
      </c>
      <c r="N77" s="14">
        <v>0.8147689366148777</v>
      </c>
      <c r="O77" s="14">
        <v>430.34465694124606</v>
      </c>
      <c r="P77" s="8">
        <v>0.8147689366148777</v>
      </c>
      <c r="Q77" s="54">
        <v>4.9433610902639266E-5</v>
      </c>
    </row>
    <row r="78" spans="1:17">
      <c r="A78" s="2" t="s">
        <v>509</v>
      </c>
      <c r="B78" s="16" t="s">
        <v>419</v>
      </c>
      <c r="D78" s="14">
        <v>1</v>
      </c>
      <c r="E78" s="14">
        <v>0.99950492399424196</v>
      </c>
      <c r="F78" s="14">
        <v>4.336021264748401E-3</v>
      </c>
      <c r="G78" s="14">
        <v>7.7005167404194626E-12</v>
      </c>
      <c r="H78" s="14">
        <v>282.74270163239123</v>
      </c>
      <c r="I78" s="14">
        <v>1.0102232931230879</v>
      </c>
      <c r="J78" s="14">
        <v>0</v>
      </c>
      <c r="K78" s="14">
        <v>230.62617522887658</v>
      </c>
      <c r="L78" s="14">
        <v>4.3360212647484018E-3</v>
      </c>
      <c r="M78" s="14">
        <v>3.5577054477260632E-3</v>
      </c>
      <c r="N78" s="14">
        <v>5.5985462566198718</v>
      </c>
      <c r="O78" s="14">
        <v>3158.0839578967039</v>
      </c>
      <c r="P78" s="8">
        <v>5.5985462566198727</v>
      </c>
      <c r="Q78" s="54">
        <v>5.6417959923813376E-5</v>
      </c>
    </row>
    <row r="79" spans="1:17">
      <c r="A79" s="2" t="s">
        <v>510</v>
      </c>
      <c r="B79" s="16" t="s">
        <v>420</v>
      </c>
      <c r="D79" s="14">
        <v>1</v>
      </c>
      <c r="E79" s="14">
        <v>0.99950493859328593</v>
      </c>
      <c r="F79" s="14">
        <v>4.3360215916338008E-3</v>
      </c>
      <c r="G79" s="14">
        <v>1.9342825942563445E-16</v>
      </c>
      <c r="H79" s="14">
        <v>282.74272294789114</v>
      </c>
      <c r="I79" s="14">
        <v>1.0100634956964027</v>
      </c>
      <c r="J79" s="14">
        <v>0</v>
      </c>
      <c r="K79" s="14">
        <v>230.62615784235581</v>
      </c>
      <c r="L79" s="14">
        <v>4.3360215916338016E-3</v>
      </c>
      <c r="M79" s="14">
        <v>3.5577057159355339E-3</v>
      </c>
      <c r="N79" s="14">
        <v>5.5985369373944618</v>
      </c>
      <c r="O79" s="14">
        <v>2799.9962784990921</v>
      </c>
      <c r="P79" s="8">
        <v>5.5985369373944618</v>
      </c>
      <c r="Q79" s="54">
        <v>5.6409035713813446E-5</v>
      </c>
    </row>
    <row r="80" spans="1:17">
      <c r="A80" s="2" t="s">
        <v>511</v>
      </c>
      <c r="B80" s="16" t="s">
        <v>421</v>
      </c>
      <c r="D80" s="14">
        <v>1</v>
      </c>
      <c r="E80" s="14">
        <v>0.99979620420349125</v>
      </c>
      <c r="F80" s="14">
        <v>0.16735548288254012</v>
      </c>
      <c r="G80" s="14">
        <v>2.1804614414380518E-11</v>
      </c>
      <c r="H80" s="14">
        <v>236.76633153893619</v>
      </c>
      <c r="I80" s="14">
        <v>0.14336591796682965</v>
      </c>
      <c r="J80" s="14">
        <v>0</v>
      </c>
      <c r="K80" s="14">
        <v>5.9753046794520532</v>
      </c>
      <c r="L80" s="14">
        <v>0.16735548288254012</v>
      </c>
      <c r="M80" s="14">
        <v>0.13731517370512419</v>
      </c>
      <c r="N80" s="14">
        <v>0.89920043526606297</v>
      </c>
      <c r="O80" s="14">
        <v>327.36291046296287</v>
      </c>
      <c r="P80" s="8">
        <v>0.89920043526606308</v>
      </c>
      <c r="Q80" s="54">
        <v>9.2949256418428083E-5</v>
      </c>
    </row>
    <row r="81" spans="1:17">
      <c r="A81" s="2" t="s">
        <v>512</v>
      </c>
      <c r="B81" s="16" t="s">
        <v>422</v>
      </c>
      <c r="D81" s="14">
        <v>1</v>
      </c>
      <c r="E81" s="14">
        <v>0.99979446493807256</v>
      </c>
      <c r="F81" s="14">
        <v>0.80781805839059739</v>
      </c>
      <c r="G81" s="14">
        <v>2.8507689723680857E-11</v>
      </c>
      <c r="H81" s="14">
        <v>55.454086739203198</v>
      </c>
      <c r="I81" s="14">
        <v>4.1962323927799416E-2</v>
      </c>
      <c r="J81" s="14">
        <v>0</v>
      </c>
      <c r="K81" s="14">
        <v>1.237902507394157</v>
      </c>
      <c r="L81" s="14">
        <v>0.80781805839059739</v>
      </c>
      <c r="M81" s="14">
        <v>0.66281471690948512</v>
      </c>
      <c r="N81" s="14">
        <v>0.9279666818612945</v>
      </c>
      <c r="O81" s="14">
        <v>245.02960234547484</v>
      </c>
      <c r="P81" s="8">
        <v>0.92796668186129461</v>
      </c>
      <c r="Q81" s="54">
        <v>9.2695687955154194E-5</v>
      </c>
    </row>
    <row r="82" spans="1:17">
      <c r="A82" s="2" t="s">
        <v>513</v>
      </c>
      <c r="B82" s="16" t="s">
        <v>423</v>
      </c>
      <c r="D82" s="14">
        <v>1</v>
      </c>
      <c r="E82" s="14">
        <v>0.99975810253724862</v>
      </c>
      <c r="F82" s="14">
        <v>0.61086393341228407</v>
      </c>
      <c r="G82" s="14">
        <v>7.1768351706564468E-15</v>
      </c>
      <c r="H82" s="14">
        <v>111.19992243224034</v>
      </c>
      <c r="I82" s="14">
        <v>7.8299993117430008E-2</v>
      </c>
      <c r="J82" s="14">
        <v>0</v>
      </c>
      <c r="K82" s="14">
        <v>1.6370257684293179</v>
      </c>
      <c r="L82" s="14">
        <v>0.61086393341228407</v>
      </c>
      <c r="M82" s="14">
        <v>0.50121385736477908</v>
      </c>
      <c r="N82" s="14">
        <v>0.94272982676658024</v>
      </c>
      <c r="O82" s="14">
        <v>377.19563098757646</v>
      </c>
      <c r="P82" s="8">
        <v>0.94272982676658035</v>
      </c>
      <c r="Q82" s="54">
        <v>1.1650960339081043E-4</v>
      </c>
    </row>
    <row r="83" spans="1:17">
      <c r="A83" s="2" t="s">
        <v>514</v>
      </c>
      <c r="B83" s="16" t="s">
        <v>424</v>
      </c>
      <c r="D83" s="14">
        <v>1</v>
      </c>
      <c r="E83" s="14">
        <v>0.99909941597470087</v>
      </c>
      <c r="F83" s="14">
        <v>2.9387819030773266E-3</v>
      </c>
      <c r="G83" s="14">
        <v>2.7561054046110422E-12</v>
      </c>
      <c r="H83" s="14">
        <v>282.92241518563617</v>
      </c>
      <c r="I83" s="14">
        <v>1.941750078558736</v>
      </c>
      <c r="J83" s="14">
        <v>0</v>
      </c>
      <c r="K83" s="14">
        <v>340.27703755520486</v>
      </c>
      <c r="L83" s="14">
        <v>2.938781903077327E-3</v>
      </c>
      <c r="M83" s="14">
        <v>2.411270551474947E-3</v>
      </c>
      <c r="N83" s="14">
        <v>10.867354258657715</v>
      </c>
      <c r="O83" s="14">
        <v>5586.689477290759</v>
      </c>
      <c r="P83" s="8">
        <v>10.867354258657716</v>
      </c>
      <c r="Q83" s="54">
        <v>6.8737436485834282E-5</v>
      </c>
    </row>
    <row r="84" spans="1:17">
      <c r="A84" s="2" t="s">
        <v>403</v>
      </c>
      <c r="B84" s="16" t="s">
        <v>404</v>
      </c>
      <c r="D84" s="14">
        <v>1</v>
      </c>
      <c r="E84" s="14">
        <v>0.66417250795607052</v>
      </c>
      <c r="F84" s="14">
        <v>0.28511688375801475</v>
      </c>
      <c r="G84" s="14">
        <v>4.9690277643070593E-46</v>
      </c>
      <c r="H84" s="14">
        <v>87.749153515263927</v>
      </c>
      <c r="I84" s="14">
        <v>187.97500560419334</v>
      </c>
      <c r="J84" s="14">
        <v>0</v>
      </c>
      <c r="K84" s="14">
        <v>3.5073335076456678</v>
      </c>
      <c r="L84" s="14">
        <v>0.28511688375801475</v>
      </c>
      <c r="M84" s="14">
        <v>0.2339384031234511</v>
      </c>
      <c r="N84" s="14">
        <v>11.767084456483326</v>
      </c>
      <c r="O84" s="14">
        <v>14151.213438211413</v>
      </c>
      <c r="P84" s="8">
        <v>11.767084456483328</v>
      </c>
      <c r="Q84" s="54">
        <v>0.22609976265205506</v>
      </c>
    </row>
    <row r="85" spans="1:17">
      <c r="A85" s="2" t="s">
        <v>405</v>
      </c>
      <c r="B85" s="16" t="s">
        <v>406</v>
      </c>
      <c r="D85" s="14">
        <v>1</v>
      </c>
      <c r="E85" s="14">
        <v>0.95125035478340658</v>
      </c>
      <c r="F85" s="14">
        <v>5.4449221645225032E-2</v>
      </c>
      <c r="G85" s="14">
        <v>1.6514247525463987E-10</v>
      </c>
      <c r="H85" s="14">
        <v>242.28302493440248</v>
      </c>
      <c r="I85" s="14">
        <v>117.27579751221474</v>
      </c>
      <c r="J85" s="14">
        <v>0</v>
      </c>
      <c r="K85" s="14">
        <v>18.36573544642572</v>
      </c>
      <c r="L85" s="14">
        <v>5.4449221645225032E-2</v>
      </c>
      <c r="M85" s="14">
        <v>4.4675586359907142E-2</v>
      </c>
      <c r="N85" s="14">
        <v>435.11195276325827</v>
      </c>
      <c r="O85" s="14">
        <v>138739.79725809253</v>
      </c>
      <c r="P85" s="8">
        <v>435.11195276325827</v>
      </c>
      <c r="Q85" s="54">
        <v>1.1319008732328073E-2</v>
      </c>
    </row>
    <row r="86" spans="1:17">
      <c r="A86" s="2" t="s">
        <v>407</v>
      </c>
      <c r="B86" s="16" t="s">
        <v>408</v>
      </c>
      <c r="D86" s="14">
        <v>1</v>
      </c>
      <c r="E86" s="14">
        <v>0.92283928472317989</v>
      </c>
      <c r="F86" s="14">
        <v>3.6387103585214546E-4</v>
      </c>
      <c r="G86" s="14">
        <v>2.921029713738848E-7</v>
      </c>
      <c r="H86" s="14">
        <v>49.958281075802276</v>
      </c>
      <c r="I86" s="14">
        <v>1965.0095159607135</v>
      </c>
      <c r="J86" s="14">
        <v>0</v>
      </c>
      <c r="K86" s="14">
        <v>2748.2264359352243</v>
      </c>
      <c r="L86" s="14">
        <v>3.6387103585214546E-4</v>
      </c>
      <c r="M86" s="14">
        <v>2.9855618491668538E-4</v>
      </c>
      <c r="N86" s="14">
        <v>123.95410417806409</v>
      </c>
      <c r="O86" s="14">
        <v>60215.664268661756</v>
      </c>
      <c r="P86" s="8">
        <v>123.95410417806409</v>
      </c>
      <c r="Q86" s="54">
        <v>4.5916064562808494E-2</v>
      </c>
    </row>
    <row r="87" spans="1:17">
      <c r="A87" s="2" t="s">
        <v>409</v>
      </c>
      <c r="B87" s="16" t="s">
        <v>410</v>
      </c>
      <c r="D87" s="14">
        <v>1</v>
      </c>
      <c r="E87" s="14">
        <v>0.94352119793514777</v>
      </c>
      <c r="F87" s="14">
        <v>1.2682305628545343E-4</v>
      </c>
      <c r="G87" s="14">
        <v>3.637866039927424E-8</v>
      </c>
      <c r="H87" s="14">
        <v>27.078101695547591</v>
      </c>
      <c r="I87" s="14">
        <v>2231.903358632238</v>
      </c>
      <c r="J87" s="14">
        <v>0</v>
      </c>
      <c r="K87" s="14">
        <v>7885.0015863771587</v>
      </c>
      <c r="L87" s="14">
        <v>1.2682305628545343E-4</v>
      </c>
      <c r="M87" s="14">
        <v>1.0405831768221454E-4</v>
      </c>
      <c r="N87" s="14">
        <v>141.35037218915105</v>
      </c>
      <c r="O87" s="14">
        <v>79819.141671491714</v>
      </c>
      <c r="P87" s="8">
        <v>141.35037218915105</v>
      </c>
      <c r="Q87" s="54">
        <v>3.1108236049921707E-2</v>
      </c>
    </row>
    <row r="88" spans="1:17">
      <c r="A88" s="2" t="s">
        <v>301</v>
      </c>
      <c r="B88" s="16" t="s">
        <v>302</v>
      </c>
      <c r="D88" s="14">
        <v>1</v>
      </c>
      <c r="E88" s="14">
        <v>0.96104417420689126</v>
      </c>
      <c r="F88" s="14">
        <v>3.5764117047822184E-5</v>
      </c>
      <c r="G88" s="14">
        <v>4.5141500951877277E-9</v>
      </c>
      <c r="H88" s="14">
        <v>12.616750288392014</v>
      </c>
      <c r="I88" s="14">
        <v>2412.1520402578917</v>
      </c>
      <c r="J88" s="14">
        <v>0</v>
      </c>
      <c r="K88" s="14">
        <v>27960.986668924172</v>
      </c>
      <c r="L88" s="14">
        <v>3.5764117047822191E-5</v>
      </c>
      <c r="M88" s="14">
        <v>2.9344458037738105E-5</v>
      </c>
      <c r="N88" s="14">
        <v>153.46358516540457</v>
      </c>
      <c r="O88" s="14">
        <v>98766.094140751069</v>
      </c>
      <c r="P88" s="8">
        <v>153.46358516540457</v>
      </c>
      <c r="Q88" s="54">
        <v>1.8681196056711435E-2</v>
      </c>
    </row>
    <row r="89" spans="1:17">
      <c r="A89" s="2" t="s">
        <v>303</v>
      </c>
      <c r="B89" s="16" t="s">
        <v>304</v>
      </c>
      <c r="D89" s="14">
        <v>1</v>
      </c>
      <c r="E89" s="14">
        <v>0.79425166673296066</v>
      </c>
      <c r="F89" s="14">
        <v>1.932822493629021E-3</v>
      </c>
      <c r="G89" s="14">
        <v>2.7833398227917965E-15</v>
      </c>
      <c r="H89" s="14">
        <v>62.540383404299931</v>
      </c>
      <c r="I89" s="14">
        <v>1506.0113004864525</v>
      </c>
      <c r="J89" s="14">
        <v>0</v>
      </c>
      <c r="K89" s="14">
        <v>517.37808479371745</v>
      </c>
      <c r="L89" s="14">
        <v>1.932822493629021E-3</v>
      </c>
      <c r="M89" s="14">
        <v>1.5858808560226118E-3</v>
      </c>
      <c r="N89" s="14">
        <v>2470.8713629729464</v>
      </c>
      <c r="O89" s="14">
        <v>1594477.9992400717</v>
      </c>
      <c r="P89" s="8">
        <v>2470.8713629729464</v>
      </c>
      <c r="Q89" s="54">
        <v>1.6294019459587229E-2</v>
      </c>
    </row>
    <row r="90" spans="1:17">
      <c r="A90" s="2" t="s">
        <v>425</v>
      </c>
      <c r="B90" s="16" t="s">
        <v>426</v>
      </c>
      <c r="D90" s="14">
        <v>1</v>
      </c>
      <c r="E90" s="14">
        <v>0.97481091488948513</v>
      </c>
      <c r="F90" s="14">
        <v>0.97739702379875404</v>
      </c>
      <c r="G90" s="14">
        <v>1.7803585140863905E-15</v>
      </c>
      <c r="H90" s="14">
        <v>0.26047797818607538</v>
      </c>
      <c r="I90" s="14">
        <v>0.80976297331109759</v>
      </c>
      <c r="J90" s="14">
        <v>0</v>
      </c>
      <c r="K90" s="14">
        <v>1.023125685520708</v>
      </c>
      <c r="L90" s="14">
        <v>0.97739702379875404</v>
      </c>
      <c r="M90" s="14">
        <v>0.8019542580268777</v>
      </c>
      <c r="N90" s="14">
        <v>0.91277727413995646</v>
      </c>
      <c r="O90" s="14">
        <v>253.0766270280443</v>
      </c>
      <c r="P90" s="8">
        <v>0.91277727413995646</v>
      </c>
      <c r="Q90" s="54">
        <v>1.6957347286976236E-2</v>
      </c>
    </row>
    <row r="91" spans="1:17">
      <c r="A91" s="2" t="s">
        <v>427</v>
      </c>
      <c r="B91" s="16" t="s">
        <v>428</v>
      </c>
      <c r="D91" s="14">
        <v>1</v>
      </c>
      <c r="E91" s="14">
        <v>0.7873073251114554</v>
      </c>
      <c r="F91" s="14">
        <v>0.71962016541047025</v>
      </c>
      <c r="G91" s="14">
        <v>9.162032172307028E-7</v>
      </c>
      <c r="H91" s="14">
        <v>15.637356048563465</v>
      </c>
      <c r="I91" s="14">
        <v>40.721193243567583</v>
      </c>
      <c r="J91" s="14">
        <v>0</v>
      </c>
      <c r="K91" s="14">
        <v>1.389621981242843</v>
      </c>
      <c r="L91" s="14">
        <v>0.71962016541047025</v>
      </c>
      <c r="M91" s="14">
        <v>0.59044834571929083</v>
      </c>
      <c r="N91" s="14">
        <v>3.111531517898217</v>
      </c>
      <c r="O91" s="14">
        <v>513.99389144160648</v>
      </c>
      <c r="P91" s="8">
        <v>3.111531517898217</v>
      </c>
      <c r="Q91" s="54">
        <v>0.1433575253468892</v>
      </c>
    </row>
    <row r="92" spans="1:17">
      <c r="A92" s="2" t="s">
        <v>429</v>
      </c>
      <c r="B92" s="16" t="s">
        <v>430</v>
      </c>
      <c r="D92" s="14">
        <v>1</v>
      </c>
      <c r="E92" s="14">
        <v>0.71084016721538401</v>
      </c>
      <c r="F92" s="14">
        <v>0.12751686783961799</v>
      </c>
      <c r="G92" s="14">
        <v>5.6210328635665375E-6</v>
      </c>
      <c r="H92" s="14">
        <v>137.02115901020358</v>
      </c>
      <c r="I92" s="14">
        <v>267.69780334697816</v>
      </c>
      <c r="J92" s="14">
        <v>0</v>
      </c>
      <c r="K92" s="14">
        <v>7.8420997703435713</v>
      </c>
      <c r="L92" s="14">
        <v>0.12751686783961802</v>
      </c>
      <c r="M92" s="14">
        <v>0.10462759006240657</v>
      </c>
      <c r="N92" s="14">
        <v>16.571743251705662</v>
      </c>
      <c r="O92" s="14">
        <v>2986.891003687429</v>
      </c>
      <c r="P92" s="8">
        <v>16.571743251705662</v>
      </c>
      <c r="Q92" s="54">
        <v>0.1940192437710789</v>
      </c>
    </row>
    <row r="93" spans="1:17">
      <c r="A93" s="2" t="s">
        <v>431</v>
      </c>
      <c r="B93" s="16" t="s">
        <v>432</v>
      </c>
      <c r="D93" s="14">
        <v>1</v>
      </c>
      <c r="E93" s="14">
        <v>0.99978159208980388</v>
      </c>
      <c r="F93" s="14">
        <v>0.99931231116379349</v>
      </c>
      <c r="G93" s="14">
        <v>1.3392265710576307E-19</v>
      </c>
      <c r="H93" s="14">
        <v>1.2396276018845234</v>
      </c>
      <c r="I93" s="14">
        <v>9.1954878442989108E-3</v>
      </c>
      <c r="J93" s="14">
        <v>0</v>
      </c>
      <c r="K93" s="14">
        <v>1.0006881620775847</v>
      </c>
      <c r="L93" s="14">
        <v>0.9993123111637936</v>
      </c>
      <c r="M93" s="14">
        <v>0.8199357513098926</v>
      </c>
      <c r="N93" s="14">
        <v>0.89000145687278509</v>
      </c>
      <c r="O93" s="14">
        <v>346.11266656325739</v>
      </c>
      <c r="P93" s="8">
        <v>0.8900014568727852</v>
      </c>
      <c r="Q93" s="54">
        <v>1.0327014210325392E-4</v>
      </c>
    </row>
    <row r="94" spans="1:17">
      <c r="A94" s="2" t="s">
        <v>433</v>
      </c>
      <c r="B94" s="16" t="s">
        <v>434</v>
      </c>
      <c r="D94" s="14">
        <v>1</v>
      </c>
      <c r="E94" s="14">
        <v>0.9999304399257628</v>
      </c>
      <c r="F94" s="14">
        <v>1.0038267600990689</v>
      </c>
      <c r="G94" s="14">
        <v>2.8305918808195004E-20</v>
      </c>
      <c r="H94" s="14">
        <v>4.8244606579114467E-3</v>
      </c>
      <c r="I94" s="14">
        <v>6.2331277265370558E-5</v>
      </c>
      <c r="J94" s="14">
        <v>0</v>
      </c>
      <c r="K94" s="14">
        <v>0.99618782816798868</v>
      </c>
      <c r="L94" s="14">
        <v>1.0038267600990689</v>
      </c>
      <c r="M94" s="14">
        <v>0.82363985666128603</v>
      </c>
      <c r="N94" s="14">
        <v>0.89373143781445019</v>
      </c>
      <c r="O94" s="14">
        <v>160.19242291386206</v>
      </c>
      <c r="P94" s="8">
        <v>0.89373143781445019</v>
      </c>
      <c r="Q94" s="54">
        <v>2.612799151499263E-6</v>
      </c>
    </row>
    <row r="95" spans="1:17">
      <c r="A95" s="2" t="s">
        <v>435</v>
      </c>
      <c r="B95" s="16" t="s">
        <v>436</v>
      </c>
      <c r="D95" s="14">
        <v>1</v>
      </c>
      <c r="E95" s="14">
        <v>0.94200481889716081</v>
      </c>
      <c r="F95" s="14">
        <v>0.94063810503278111</v>
      </c>
      <c r="G95" s="14">
        <v>1.5138493325818178E-10</v>
      </c>
      <c r="H95" s="14">
        <v>1.0622466207798376</v>
      </c>
      <c r="I95" s="14">
        <v>3.4112866907570885</v>
      </c>
      <c r="J95" s="14">
        <v>0</v>
      </c>
      <c r="K95" s="14">
        <v>1.0631081120886019</v>
      </c>
      <c r="L95" s="14">
        <v>0.94063810503278111</v>
      </c>
      <c r="M95" s="14">
        <v>0.7717935651793969</v>
      </c>
      <c r="N95" s="14">
        <v>1.0482820189470354</v>
      </c>
      <c r="O95" s="14">
        <v>273.69595232688147</v>
      </c>
      <c r="P95" s="8">
        <v>1.0482820189470357</v>
      </c>
      <c r="Q95" s="54">
        <v>3.909473015611676E-2</v>
      </c>
    </row>
    <row r="96" spans="1:17">
      <c r="A96" s="2" t="s">
        <v>437</v>
      </c>
      <c r="B96" s="166" t="s">
        <v>438</v>
      </c>
      <c r="D96" s="14">
        <v>1</v>
      </c>
      <c r="E96" s="14">
        <v>0.91445981256913333</v>
      </c>
      <c r="F96" s="14">
        <v>5.2789673229811725E-4</v>
      </c>
      <c r="G96" s="14">
        <v>5.4449947004170567E-10</v>
      </c>
      <c r="H96" s="14">
        <v>61.484971166514583</v>
      </c>
      <c r="I96" s="14">
        <v>1835.8032927294514</v>
      </c>
      <c r="J96" s="14">
        <v>0</v>
      </c>
      <c r="K96" s="14">
        <v>1894.3098883121586</v>
      </c>
      <c r="L96" s="14">
        <v>5.2789673229811725E-4</v>
      </c>
      <c r="M96" s="14">
        <v>4.3313926885060522E-4</v>
      </c>
      <c r="N96" s="14">
        <v>115.63342544143548</v>
      </c>
      <c r="O96" s="14">
        <v>48138.195011269592</v>
      </c>
      <c r="P96" s="8">
        <v>115.63342544143549</v>
      </c>
      <c r="Q96" s="54">
        <v>5.2002730117778909E-2</v>
      </c>
    </row>
    <row r="97" spans="1:17">
      <c r="A97" s="2" t="s">
        <v>439</v>
      </c>
      <c r="B97" s="16" t="s">
        <v>440</v>
      </c>
      <c r="D97" s="14">
        <v>1</v>
      </c>
      <c r="E97" s="14">
        <v>0.72979910876570453</v>
      </c>
      <c r="F97" s="14">
        <v>0.60243599938003445</v>
      </c>
      <c r="G97" s="14">
        <v>4.4332212215725113E-7</v>
      </c>
      <c r="H97" s="14">
        <v>29.140091815443355</v>
      </c>
      <c r="I97" s="14">
        <v>71.539860111045499</v>
      </c>
      <c r="J97" s="14">
        <v>0</v>
      </c>
      <c r="K97" s="14">
        <v>1.6599273632868849</v>
      </c>
      <c r="L97" s="14">
        <v>0.60243599938003445</v>
      </c>
      <c r="M97" s="14">
        <v>0.49429873749131831</v>
      </c>
      <c r="N97" s="14">
        <v>4.8914405865927213</v>
      </c>
      <c r="O97" s="14">
        <v>935.58584099758991</v>
      </c>
      <c r="P97" s="8">
        <v>4.8914405865927213</v>
      </c>
      <c r="Q97" s="54">
        <v>0.18211599316812616</v>
      </c>
    </row>
    <row r="98" spans="1:17">
      <c r="A98" s="2" t="s">
        <v>441</v>
      </c>
      <c r="B98" s="16" t="s">
        <v>442</v>
      </c>
      <c r="D98" s="14">
        <v>1</v>
      </c>
      <c r="E98" s="14">
        <v>0.77644480525546733</v>
      </c>
      <c r="F98" s="14">
        <v>0.69972546794126811</v>
      </c>
      <c r="G98" s="14">
        <v>3.0211769940022406E-19</v>
      </c>
      <c r="H98" s="14">
        <v>17.666384615177993</v>
      </c>
      <c r="I98" s="14">
        <v>45.499314337839806</v>
      </c>
      <c r="J98" s="14">
        <v>0</v>
      </c>
      <c r="K98" s="14">
        <v>1.4291319178965995</v>
      </c>
      <c r="L98" s="14">
        <v>0.69972546794126811</v>
      </c>
      <c r="M98" s="14">
        <v>0.57412474644581057</v>
      </c>
      <c r="N98" s="14">
        <v>3.3855993109470948</v>
      </c>
      <c r="O98" s="14">
        <v>1328.7123055742968</v>
      </c>
      <c r="P98" s="8">
        <v>3.3855993109470948</v>
      </c>
      <c r="Q98" s="54">
        <v>0.1507317884067452</v>
      </c>
    </row>
    <row r="99" spans="1:17">
      <c r="A99" s="2" t="s">
        <v>443</v>
      </c>
      <c r="B99" s="16" t="s">
        <v>444</v>
      </c>
      <c r="D99" s="14">
        <v>1</v>
      </c>
      <c r="E99" s="14">
        <v>0.88284938674654834</v>
      </c>
      <c r="F99" s="14">
        <v>0.86680353914554598</v>
      </c>
      <c r="G99" s="14">
        <v>4.6688418548212951E-31</v>
      </c>
      <c r="H99" s="14">
        <v>4.2012708023710363</v>
      </c>
      <c r="I99" s="14">
        <v>12.219061386697366</v>
      </c>
      <c r="J99" s="14">
        <v>0</v>
      </c>
      <c r="K99" s="14">
        <v>1.1536639559475641</v>
      </c>
      <c r="L99" s="14">
        <v>0.86680353914554609</v>
      </c>
      <c r="M99" s="14">
        <v>0.71121230386892054</v>
      </c>
      <c r="N99" s="14">
        <v>1.5058196686177496</v>
      </c>
      <c r="O99" s="14">
        <v>1175.9548120103454</v>
      </c>
      <c r="P99" s="8">
        <v>1.5058196686177496</v>
      </c>
      <c r="Q99" s="54">
        <v>7.9001956467770626E-2</v>
      </c>
    </row>
    <row r="100" spans="1:17">
      <c r="A100" s="2" t="s">
        <v>445</v>
      </c>
      <c r="B100" s="16" t="s">
        <v>446</v>
      </c>
      <c r="D100" s="14">
        <v>1</v>
      </c>
      <c r="E100" s="14">
        <v>0.87915285482501238</v>
      </c>
      <c r="F100" s="14">
        <v>3.3975119966062816E-3</v>
      </c>
      <c r="G100" s="14">
        <v>5.5969249907253576E-10</v>
      </c>
      <c r="H100" s="14">
        <v>151.36344335466768</v>
      </c>
      <c r="I100" s="14">
        <v>903.18802260555503</v>
      </c>
      <c r="J100" s="14">
        <v>0</v>
      </c>
      <c r="K100" s="14">
        <v>294.33302987565116</v>
      </c>
      <c r="L100" s="14">
        <v>3.3975119966062821E-3</v>
      </c>
      <c r="M100" s="14">
        <v>2.7876585932154543E-3</v>
      </c>
      <c r="N100" s="14">
        <v>56.410113549465137</v>
      </c>
      <c r="O100" s="14">
        <v>17284.058791556115</v>
      </c>
      <c r="P100" s="8">
        <v>56.410113549465137</v>
      </c>
      <c r="Q100" s="54">
        <v>7.8773142233324545E-2</v>
      </c>
    </row>
    <row r="101" spans="1:17">
      <c r="A101" s="2" t="s">
        <v>447</v>
      </c>
      <c r="B101" s="16" t="s">
        <v>448</v>
      </c>
      <c r="D101" s="14">
        <v>1</v>
      </c>
      <c r="E101" s="14">
        <v>0.68615639798436368</v>
      </c>
      <c r="F101" s="14">
        <v>0.17773003947809801</v>
      </c>
      <c r="G101" s="14">
        <v>4.9302543510752067E-11</v>
      </c>
      <c r="H101" s="14">
        <v>118.7519739378065</v>
      </c>
      <c r="I101" s="14">
        <v>240.26914786681255</v>
      </c>
      <c r="J101" s="14">
        <v>0</v>
      </c>
      <c r="K101" s="14">
        <v>5.6265108753505437</v>
      </c>
      <c r="L101" s="14">
        <v>0.17773003947809801</v>
      </c>
      <c r="M101" s="14">
        <v>0.14582749739177941</v>
      </c>
      <c r="N101" s="14">
        <v>14.90908561325767</v>
      </c>
      <c r="O101" s="14">
        <v>5021.6782162574482</v>
      </c>
      <c r="P101" s="8">
        <v>14.90908561325767</v>
      </c>
      <c r="Q101" s="54">
        <v>0.21110475135543716</v>
      </c>
    </row>
    <row r="102" spans="1:17">
      <c r="A102" s="2" t="s">
        <v>449</v>
      </c>
      <c r="B102" s="16" t="s">
        <v>450</v>
      </c>
      <c r="D102" s="14">
        <v>1</v>
      </c>
      <c r="E102" s="14">
        <v>0.80809014050807138</v>
      </c>
      <c r="F102" s="14">
        <v>3.9120761747814689E-2</v>
      </c>
      <c r="G102" s="14">
        <v>2.1887481415588901E-6</v>
      </c>
      <c r="H102" s="14">
        <v>183.80922445960204</v>
      </c>
      <c r="I102" s="14">
        <v>322.12503105050172</v>
      </c>
      <c r="J102" s="14">
        <v>0</v>
      </c>
      <c r="K102" s="14">
        <v>25.561874445245451</v>
      </c>
      <c r="L102" s="14">
        <v>3.9120761747814689E-2</v>
      </c>
      <c r="M102" s="14">
        <v>3.209858501408195E-2</v>
      </c>
      <c r="N102" s="14">
        <v>19.926653350737283</v>
      </c>
      <c r="O102" s="14">
        <v>9267.6872068944031</v>
      </c>
      <c r="P102" s="8">
        <v>19.926653350737283</v>
      </c>
      <c r="Q102" s="54">
        <v>0.12841757761808859</v>
      </c>
    </row>
    <row r="103" spans="1:17">
      <c r="A103" s="2" t="s">
        <v>451</v>
      </c>
      <c r="B103" s="16" t="s">
        <v>452</v>
      </c>
      <c r="D103" s="14">
        <v>1</v>
      </c>
      <c r="E103" s="14">
        <v>0.99981496620416821</v>
      </c>
      <c r="F103" s="14">
        <v>0.89825011438615443</v>
      </c>
      <c r="G103" s="14">
        <v>4.8897705396801054E-21</v>
      </c>
      <c r="H103" s="14">
        <v>29.859139045623781</v>
      </c>
      <c r="I103" s="14">
        <v>2.6829594247448799E-2</v>
      </c>
      <c r="J103" s="14">
        <v>0</v>
      </c>
      <c r="K103" s="14">
        <v>1.1132756723146975</v>
      </c>
      <c r="L103" s="14">
        <v>0.89825011438615443</v>
      </c>
      <c r="M103" s="14">
        <v>0.73701421885383978</v>
      </c>
      <c r="N103" s="14">
        <v>0.91487452736716068</v>
      </c>
      <c r="O103" s="14">
        <v>302.58560118141475</v>
      </c>
      <c r="P103" s="8">
        <v>0.91487452736716068</v>
      </c>
      <c r="Q103" s="54">
        <v>7.9508599697528017E-5</v>
      </c>
    </row>
    <row r="104" spans="1:17">
      <c r="A104" s="2" t="s">
        <v>453</v>
      </c>
      <c r="B104" s="16" t="s">
        <v>454</v>
      </c>
      <c r="D104" s="14">
        <v>1</v>
      </c>
      <c r="E104" s="14">
        <v>0.99921365734947043</v>
      </c>
      <c r="F104" s="14">
        <v>1.1150617180776784E-2</v>
      </c>
      <c r="G104" s="14">
        <v>1.2543012892846944E-22</v>
      </c>
      <c r="H104" s="14">
        <v>280.54265711226634</v>
      </c>
      <c r="I104" s="14">
        <v>2.7505919760878563</v>
      </c>
      <c r="J104" s="14">
        <v>0</v>
      </c>
      <c r="K104" s="14">
        <v>89.681134576475259</v>
      </c>
      <c r="L104" s="14">
        <v>1.1150617180776786E-2</v>
      </c>
      <c r="M104" s="14">
        <v>9.1490813968273521E-3</v>
      </c>
      <c r="N104" s="14">
        <v>1.2615154564968432</v>
      </c>
      <c r="O104" s="14">
        <v>623.18863550944047</v>
      </c>
      <c r="P104" s="8">
        <v>1.2615154564968432</v>
      </c>
      <c r="Q104" s="54">
        <v>4.6819435352208331E-4</v>
      </c>
    </row>
    <row r="105" spans="1:17">
      <c r="A105" s="2" t="s">
        <v>455</v>
      </c>
      <c r="B105" s="166">
        <v>354656</v>
      </c>
      <c r="D105" s="14">
        <v>1</v>
      </c>
      <c r="E105" s="14">
        <v>0.96982910454669347</v>
      </c>
      <c r="F105" s="14">
        <v>0.97225657988992431</v>
      </c>
      <c r="G105" s="14">
        <v>4.0953344875863283E-12</v>
      </c>
      <c r="H105" s="14">
        <v>0.27929354019486119</v>
      </c>
      <c r="I105" s="14">
        <v>1.0002718841854255</v>
      </c>
      <c r="J105" s="14">
        <v>0</v>
      </c>
      <c r="K105" s="14">
        <v>1.0285350808458573</v>
      </c>
      <c r="L105" s="14">
        <v>0.97225657988992431</v>
      </c>
      <c r="M105" s="14">
        <v>0.79773652379968296</v>
      </c>
      <c r="N105" s="14">
        <v>0.91948913625143569</v>
      </c>
      <c r="O105" s="14">
        <v>181.31406277742062</v>
      </c>
      <c r="P105" s="8">
        <v>0.9194891362514358</v>
      </c>
      <c r="Q105" s="54">
        <v>2.0319736027418073E-2</v>
      </c>
    </row>
    <row r="106" spans="1:17">
      <c r="A106" s="2" t="s">
        <v>457</v>
      </c>
      <c r="B106" s="16" t="s">
        <v>458</v>
      </c>
      <c r="D106" s="14">
        <v>1</v>
      </c>
      <c r="E106" s="14">
        <v>0.93930032162991572</v>
      </c>
      <c r="F106" s="14">
        <v>0.93750562612418098</v>
      </c>
      <c r="G106" s="14">
        <v>6.0687337042432692E-12</v>
      </c>
      <c r="H106" s="14">
        <v>1.1513175330058338</v>
      </c>
      <c r="I106" s="14">
        <v>3.6807153433935067</v>
      </c>
      <c r="J106" s="14">
        <v>0</v>
      </c>
      <c r="K106" s="14">
        <v>1.0666602654260136</v>
      </c>
      <c r="L106" s="14">
        <v>0.93750562612418098</v>
      </c>
      <c r="M106" s="14">
        <v>0.76922336623489052</v>
      </c>
      <c r="N106" s="14">
        <v>1.0602623875901049</v>
      </c>
      <c r="O106" s="14">
        <v>169.83282924418299</v>
      </c>
      <c r="P106" s="8">
        <v>1.0602623875901049</v>
      </c>
      <c r="Q106" s="54">
        <v>4.0919680263427141E-2</v>
      </c>
    </row>
    <row r="107" spans="1:17">
      <c r="A107" s="2" t="s">
        <v>459</v>
      </c>
      <c r="B107" s="16" t="s">
        <v>460</v>
      </c>
      <c r="D107" s="14">
        <v>1</v>
      </c>
      <c r="E107" s="14">
        <v>0.86052156002921509</v>
      </c>
      <c r="F107" s="14">
        <v>2.106271001781947E-2</v>
      </c>
      <c r="G107" s="14">
        <v>5.1221312438930993E-22</v>
      </c>
      <c r="H107" s="14">
        <v>203.07260632734523</v>
      </c>
      <c r="I107" s="14">
        <v>329.07974415262549</v>
      </c>
      <c r="J107" s="14">
        <v>0</v>
      </c>
      <c r="K107" s="14">
        <v>47.477271403061629</v>
      </c>
      <c r="L107" s="14">
        <v>2.106271001781947E-2</v>
      </c>
      <c r="M107" s="14">
        <v>1.7281953569620877E-2</v>
      </c>
      <c r="N107" s="14">
        <v>23.9227823545679</v>
      </c>
      <c r="O107" s="14">
        <v>12713.284226688018</v>
      </c>
      <c r="P107" s="8">
        <v>23.922782354567904</v>
      </c>
      <c r="Q107" s="54">
        <v>9.2961077940713802E-2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0.99987895076217626</v>
      </c>
      <c r="F108" s="14">
        <v>1.0037830514021722</v>
      </c>
      <c r="G108" s="14">
        <v>1.2229726416529471E-11</v>
      </c>
      <c r="H108" s="14">
        <v>2.4989676250090514E-3</v>
      </c>
      <c r="I108" s="14">
        <v>6.7063131183964654E-4</v>
      </c>
      <c r="J108" s="14">
        <v>0</v>
      </c>
      <c r="K108" s="14">
        <v>0.99623120613872918</v>
      </c>
      <c r="L108" s="14">
        <v>1.0037830514021722</v>
      </c>
      <c r="M108" s="14">
        <v>0.82360399367548232</v>
      </c>
      <c r="N108" s="14">
        <v>0.89061584335031574</v>
      </c>
      <c r="O108" s="14">
        <v>115.03194232712679</v>
      </c>
      <c r="P108" s="8">
        <v>0.89061584335031574</v>
      </c>
      <c r="Q108" s="54">
        <v>3.7521814047003148E-5</v>
      </c>
    </row>
    <row r="109" spans="1:17">
      <c r="A109" s="2" t="s">
        <v>463</v>
      </c>
      <c r="B109" s="16" t="s">
        <v>464</v>
      </c>
      <c r="D109" s="14">
        <v>1</v>
      </c>
      <c r="E109" s="14">
        <v>0.9809081793859753</v>
      </c>
      <c r="F109" s="14">
        <v>0.92397059563659978</v>
      </c>
      <c r="G109" s="14">
        <v>3.1212777223478481E-14</v>
      </c>
      <c r="H109" s="14">
        <v>16.391802724457246</v>
      </c>
      <c r="I109" s="14">
        <v>7.5438737201969817</v>
      </c>
      <c r="J109" s="14">
        <v>0</v>
      </c>
      <c r="K109" s="14">
        <v>1.0822855237195261</v>
      </c>
      <c r="L109" s="14">
        <v>0.92397059563659989</v>
      </c>
      <c r="M109" s="14">
        <v>0.75811787371983019</v>
      </c>
      <c r="N109" s="14">
        <v>11.894457598041079</v>
      </c>
      <c r="O109" s="14">
        <v>3565.9583878927156</v>
      </c>
      <c r="P109" s="8">
        <v>11.894457598041079</v>
      </c>
      <c r="Q109" s="54">
        <v>1.2296865134987704E-2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0.99367822135276462</v>
      </c>
      <c r="F110" s="14">
        <v>0.99729824621343655</v>
      </c>
      <c r="G110" s="14">
        <v>2.3218365951710494E-13</v>
      </c>
      <c r="H110" s="14">
        <v>6.3900617552810082E-2</v>
      </c>
      <c r="I110" s="14">
        <v>0.11319655149667426</v>
      </c>
      <c r="J110" s="14">
        <v>0</v>
      </c>
      <c r="K110" s="14">
        <v>1.0027090730348935</v>
      </c>
      <c r="L110" s="14">
        <v>0.99729824621343666</v>
      </c>
      <c r="M110" s="14">
        <v>0.81828321101812473</v>
      </c>
      <c r="N110" s="14">
        <v>0.88854154643848327</v>
      </c>
      <c r="O110" s="14">
        <v>211.61505469978917</v>
      </c>
      <c r="P110" s="8">
        <v>0.88854154643848327</v>
      </c>
      <c r="Q110" s="54">
        <v>4.2231178053060564E-3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0.99992915906071211</v>
      </c>
      <c r="F111" s="14">
        <v>1.00382648497591</v>
      </c>
      <c r="G111" s="14">
        <v>4.1272496286225466E-32</v>
      </c>
      <c r="H111" s="14">
        <v>4.5412838697261185E-3</v>
      </c>
      <c r="I111" s="14">
        <v>3.473859215725943E-5</v>
      </c>
      <c r="J111" s="14">
        <v>0</v>
      </c>
      <c r="K111" s="14">
        <v>0.99618810119758716</v>
      </c>
      <c r="L111" s="14">
        <v>1.00382648497591</v>
      </c>
      <c r="M111" s="14">
        <v>0.82363963092273418</v>
      </c>
      <c r="N111" s="14">
        <v>0.8873646256687463</v>
      </c>
      <c r="O111" s="14">
        <v>408.56929459666082</v>
      </c>
      <c r="P111" s="8">
        <v>0.8873646256687463</v>
      </c>
      <c r="Q111" s="54">
        <v>3.7932565282072368E-6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0.99182963678259217</v>
      </c>
      <c r="F112" s="14">
        <v>0.9955970977730535</v>
      </c>
      <c r="G112" s="14">
        <v>2.6088079522487603E-15</v>
      </c>
      <c r="H112" s="14">
        <v>2.2040103110154745E-2</v>
      </c>
      <c r="I112" s="14">
        <v>9.5339043985412583E-2</v>
      </c>
      <c r="J112" s="14">
        <v>0</v>
      </c>
      <c r="K112" s="14">
        <v>1.0044223735051003</v>
      </c>
      <c r="L112" s="14">
        <v>0.99559709777305361</v>
      </c>
      <c r="M112" s="14">
        <v>0.81688741872279047</v>
      </c>
      <c r="N112" s="14">
        <v>0.88574048421200557</v>
      </c>
      <c r="O112" s="14">
        <v>181.79823438451416</v>
      </c>
      <c r="P112" s="8">
        <v>0.88574048421200569</v>
      </c>
      <c r="Q112" s="54">
        <v>5.4710513718188311E-3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0.9544613763726868</v>
      </c>
      <c r="F113" s="14">
        <v>0.95517964313594528</v>
      </c>
      <c r="G113" s="14">
        <v>3.2105064432625736E-11</v>
      </c>
      <c r="H113" s="14">
        <v>0.626246134444847</v>
      </c>
      <c r="I113" s="14">
        <v>2.1105819950314202</v>
      </c>
      <c r="J113" s="14">
        <v>0</v>
      </c>
      <c r="K113" s="14">
        <v>1.0469234841698523</v>
      </c>
      <c r="L113" s="14">
        <v>0.95517964313594539</v>
      </c>
      <c r="M113" s="14">
        <v>0.78372489719304317</v>
      </c>
      <c r="N113" s="14">
        <v>0.97136007689326309</v>
      </c>
      <c r="O113" s="14">
        <v>146.83078922318563</v>
      </c>
      <c r="P113" s="8">
        <v>0.97136007689326309</v>
      </c>
      <c r="Q113" s="54">
        <v>3.0690377396238727E-2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0.99573239712384554</v>
      </c>
      <c r="F114" s="14">
        <v>0.99959526279164024</v>
      </c>
      <c r="G114" s="14">
        <v>2.5608465088726455E-18</v>
      </c>
      <c r="H114" s="14">
        <v>6.4177705982994661E-3</v>
      </c>
      <c r="I114" s="14">
        <v>2.9937422629389632E-2</v>
      </c>
      <c r="J114" s="14">
        <v>0</v>
      </c>
      <c r="K114" s="14">
        <v>1.0004049010868952</v>
      </c>
      <c r="L114" s="14">
        <v>0.99959526279164035</v>
      </c>
      <c r="M114" s="14">
        <v>0.82016791312054094</v>
      </c>
      <c r="N114" s="14">
        <v>0.88536985033678728</v>
      </c>
      <c r="O114" s="14">
        <v>300.45911241029216</v>
      </c>
      <c r="P114" s="8">
        <v>0.88536985033678739</v>
      </c>
      <c r="Q114" s="54">
        <v>2.8367065297043217E-3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0.99986634804351571</v>
      </c>
      <c r="F115" s="14">
        <v>0.97621813354450693</v>
      </c>
      <c r="G115" s="14">
        <v>1.3243441649018122E-14</v>
      </c>
      <c r="H115" s="14">
        <v>7.8020166097015675</v>
      </c>
      <c r="I115" s="14">
        <v>8.65271380144946E-3</v>
      </c>
      <c r="J115" s="14">
        <v>0</v>
      </c>
      <c r="K115" s="14">
        <v>1.0243612217785225</v>
      </c>
      <c r="L115" s="14">
        <v>0.97621813354450704</v>
      </c>
      <c r="M115" s="14">
        <v>0.80098697857326806</v>
      </c>
      <c r="N115" s="14">
        <v>0.89760260717941631</v>
      </c>
      <c r="O115" s="14">
        <v>172.45638891738125</v>
      </c>
      <c r="P115" s="8">
        <v>0.89760260717941631</v>
      </c>
      <c r="Q115" s="54">
        <v>4.5682760473768478E-5</v>
      </c>
    </row>
    <row r="116" spans="1:17">
      <c r="A116" s="2" t="s">
        <v>477</v>
      </c>
      <c r="B116" s="16" t="s">
        <v>478</v>
      </c>
      <c r="D116" s="14">
        <v>1</v>
      </c>
      <c r="E116" s="14">
        <v>0.97182971421737452</v>
      </c>
      <c r="F116" s="14">
        <v>0.1340372856100128</v>
      </c>
      <c r="G116" s="14">
        <v>3.7239597964255332E-19</v>
      </c>
      <c r="H116" s="14">
        <v>232.63150491272668</v>
      </c>
      <c r="I116" s="14">
        <v>52.169138622753579</v>
      </c>
      <c r="J116" s="14">
        <v>0</v>
      </c>
      <c r="K116" s="14">
        <v>7.4606106461268</v>
      </c>
      <c r="L116" s="14">
        <v>0.1340372856100128</v>
      </c>
      <c r="M116" s="14">
        <v>0.1099775928430155</v>
      </c>
      <c r="N116" s="14">
        <v>122.88024205322088</v>
      </c>
      <c r="O116" s="14">
        <v>55861.358037394217</v>
      </c>
      <c r="P116" s="8">
        <v>122.88024205322088</v>
      </c>
      <c r="Q116" s="54">
        <v>1.291854689440671E-2</v>
      </c>
    </row>
    <row r="117" spans="1:17">
      <c r="A117" s="2" t="s">
        <v>291</v>
      </c>
      <c r="B117" s="16" t="s">
        <v>479</v>
      </c>
      <c r="D117" s="14">
        <v>1</v>
      </c>
      <c r="E117" s="14">
        <v>0.68568108153900065</v>
      </c>
      <c r="F117" s="14">
        <v>0.47390876079373317</v>
      </c>
      <c r="G117" s="14">
        <v>3.2681593581516029E-12</v>
      </c>
      <c r="H117" s="14">
        <v>48.537202009954186</v>
      </c>
      <c r="I117" s="14">
        <v>112.7539871224289</v>
      </c>
      <c r="J117" s="14">
        <v>0</v>
      </c>
      <c r="K117" s="14">
        <v>2.1101108118894762</v>
      </c>
      <c r="L117" s="14">
        <v>0.47390876079373317</v>
      </c>
      <c r="M117" s="14">
        <v>0.38884213823125807</v>
      </c>
      <c r="N117" s="14">
        <v>7.3039436791995724</v>
      </c>
      <c r="O117" s="14">
        <v>2252.0249546076038</v>
      </c>
      <c r="P117" s="8">
        <v>7.3039436791995724</v>
      </c>
      <c r="Q117" s="54">
        <v>0.21180290285684963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2.6216432736825352E-8</v>
      </c>
      <c r="E2" s="20">
        <v>0.97656368415400541</v>
      </c>
      <c r="F2" s="20">
        <v>6.0040985483513398E-4</v>
      </c>
      <c r="G2" s="20">
        <v>2.4095911936214106E-4</v>
      </c>
      <c r="H2" s="20">
        <v>0</v>
      </c>
      <c r="I2" s="20">
        <v>0.97572231517980812</v>
      </c>
      <c r="J2" s="20">
        <v>6.6435702384479771E-5</v>
      </c>
      <c r="K2" s="20">
        <v>2.3369853927177289E-2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1.9984818818990285E-8</v>
      </c>
      <c r="E3" s="20">
        <v>0.69790434238948207</v>
      </c>
      <c r="F3" s="20">
        <v>0.18561093502764298</v>
      </c>
      <c r="G3" s="20">
        <v>4.5091195650565338E-2</v>
      </c>
      <c r="H3" s="20">
        <v>0</v>
      </c>
      <c r="I3" s="20">
        <v>0.4672022117112738</v>
      </c>
      <c r="J3" s="20">
        <v>6.5320776155596884E-4</v>
      </c>
      <c r="K3" s="20">
        <v>0.3014424298641431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1.3603244443341682E-17</v>
      </c>
      <c r="E4" s="20">
        <v>0.99990465548372132</v>
      </c>
      <c r="F4" s="20">
        <v>4.2180985027543815E-4</v>
      </c>
      <c r="G4" s="20">
        <v>4.6452849452400225E-7</v>
      </c>
      <c r="H4" s="20">
        <v>0</v>
      </c>
      <c r="I4" s="20">
        <v>0.99948238110495136</v>
      </c>
      <c r="J4" s="20">
        <v>7.4694281690122197E-5</v>
      </c>
      <c r="K4" s="20">
        <v>2.065023458858102E-5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2.2644941499248375E-10</v>
      </c>
      <c r="E5" s="20">
        <v>0.99974248206603433</v>
      </c>
      <c r="F5" s="20">
        <v>0.45212037920844073</v>
      </c>
      <c r="G5" s="20">
        <v>3.5885032915611303E-5</v>
      </c>
      <c r="H5" s="20">
        <v>0</v>
      </c>
      <c r="I5" s="20">
        <v>0.54758621782467798</v>
      </c>
      <c r="J5" s="20">
        <v>6.940160186329005E-5</v>
      </c>
      <c r="K5" s="20">
        <v>1.8811610565301607E-4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1.8576482726134013E-11</v>
      </c>
      <c r="E6" s="20">
        <v>0.99922450052161027</v>
      </c>
      <c r="F6" s="20">
        <v>0.67495027780853301</v>
      </c>
      <c r="G6" s="20">
        <v>1.9573311438810784E-4</v>
      </c>
      <c r="H6" s="20">
        <v>0</v>
      </c>
      <c r="I6" s="20">
        <v>0.32407848959868918</v>
      </c>
      <c r="J6" s="20">
        <v>7.0194501523623777E-5</v>
      </c>
      <c r="K6" s="20">
        <v>7.053049582898197E-4</v>
      </c>
      <c r="L6" s="20">
        <v>0</v>
      </c>
    </row>
    <row r="7" spans="1:14">
      <c r="A7" s="2" t="s">
        <v>366</v>
      </c>
      <c r="B7" s="3" t="s">
        <v>305</v>
      </c>
      <c r="D7" s="20">
        <v>1.6203673578026206E-7</v>
      </c>
      <c r="E7" s="20">
        <v>0.99618983640385927</v>
      </c>
      <c r="F7" s="20">
        <v>0.88676608414223601</v>
      </c>
      <c r="G7" s="20">
        <v>1.8051121031499311E-3</v>
      </c>
      <c r="H7" s="20">
        <v>0</v>
      </c>
      <c r="I7" s="20">
        <v>0.10761864015847332</v>
      </c>
      <c r="J7" s="20">
        <v>8.4224977186384909E-5</v>
      </c>
      <c r="K7" s="20">
        <v>3.7257765822188106E-3</v>
      </c>
      <c r="L7" s="20">
        <v>0</v>
      </c>
    </row>
    <row r="8" spans="1:14">
      <c r="A8" s="2" t="s">
        <v>289</v>
      </c>
      <c r="B8" s="3" t="s">
        <v>290</v>
      </c>
      <c r="D8" s="20">
        <v>1.1509535253775384E-17</v>
      </c>
      <c r="E8" s="20">
        <v>0.99958401496895333</v>
      </c>
      <c r="F8" s="20">
        <v>0.76967053993955703</v>
      </c>
      <c r="G8" s="20">
        <v>1.1703868910327687E-4</v>
      </c>
      <c r="H8" s="20">
        <v>0</v>
      </c>
      <c r="I8" s="20">
        <v>0.22979643634029301</v>
      </c>
      <c r="J8" s="20">
        <v>6.8094923619176016E-5</v>
      </c>
      <c r="K8" s="20">
        <v>3.4789010742726712E-4</v>
      </c>
      <c r="L8" s="20">
        <v>0</v>
      </c>
    </row>
    <row r="9" spans="1:14">
      <c r="A9" s="2" t="s">
        <v>291</v>
      </c>
      <c r="B9" s="3" t="s">
        <v>292</v>
      </c>
      <c r="D9" s="20">
        <v>4.8243545330777664E-13</v>
      </c>
      <c r="E9" s="20">
        <v>0.9990742825353971</v>
      </c>
      <c r="F9" s="20">
        <v>0.38499920365773521</v>
      </c>
      <c r="G9" s="20">
        <v>1.4592569815513059E-4</v>
      </c>
      <c r="H9" s="20">
        <v>0</v>
      </c>
      <c r="I9" s="20">
        <v>0.6139291531795068</v>
      </c>
      <c r="J9" s="20">
        <v>7.0563308845643309E-5</v>
      </c>
      <c r="K9" s="20">
        <v>8.5515415527470705E-4</v>
      </c>
      <c r="L9" s="20">
        <v>0</v>
      </c>
    </row>
    <row r="10" spans="1:14">
      <c r="A10" s="2" t="s">
        <v>367</v>
      </c>
      <c r="B10" s="3" t="s">
        <v>368</v>
      </c>
      <c r="D10" s="20">
        <v>1.4528706264618993E-5</v>
      </c>
      <c r="E10" s="20">
        <v>0.88798345509375221</v>
      </c>
      <c r="F10" s="20">
        <v>0.74713857260952743</v>
      </c>
      <c r="G10" s="20">
        <v>0.13049585395827504</v>
      </c>
      <c r="H10" s="20">
        <v>0</v>
      </c>
      <c r="I10" s="20">
        <v>1.0349028525949714E-2</v>
      </c>
      <c r="J10" s="20">
        <v>1.5663528241099301E-3</v>
      </c>
      <c r="K10" s="20">
        <v>0.11043566337587304</v>
      </c>
      <c r="L10" s="20">
        <v>0</v>
      </c>
    </row>
    <row r="11" spans="1:14">
      <c r="A11" s="2" t="s">
        <v>369</v>
      </c>
      <c r="B11" s="3" t="s">
        <v>370</v>
      </c>
      <c r="D11" s="20">
        <v>6.0061792806976663E-12</v>
      </c>
      <c r="E11" s="20">
        <v>0.97481621460880108</v>
      </c>
      <c r="F11" s="20">
        <v>0.56291767074300258</v>
      </c>
      <c r="G11" s="20">
        <v>0.41128157491629247</v>
      </c>
      <c r="H11" s="20">
        <v>0</v>
      </c>
      <c r="I11" s="20">
        <v>6.1696894950599962E-4</v>
      </c>
      <c r="J11" s="20">
        <v>7.3003115164413527E-3</v>
      </c>
      <c r="K11" s="20">
        <v>1.788347386875164E-2</v>
      </c>
      <c r="L11" s="20">
        <v>0</v>
      </c>
    </row>
    <row r="12" spans="1:14">
      <c r="A12" s="2" t="s">
        <v>371</v>
      </c>
      <c r="B12" s="3" t="s">
        <v>372</v>
      </c>
      <c r="D12" s="20">
        <v>7.4954292435262054E-2</v>
      </c>
      <c r="E12" s="20">
        <v>0.92078893712057164</v>
      </c>
      <c r="F12" s="20">
        <v>2.5881658198366861E-5</v>
      </c>
      <c r="G12" s="20">
        <v>1.2828622111150013E-5</v>
      </c>
      <c r="H12" s="20">
        <v>0</v>
      </c>
      <c r="I12" s="20">
        <v>0.92075022684026209</v>
      </c>
      <c r="J12" s="20">
        <v>6.0218114520515262E-5</v>
      </c>
      <c r="K12" s="20">
        <v>4.196552329645606E-3</v>
      </c>
      <c r="L12" s="20">
        <v>0</v>
      </c>
    </row>
    <row r="13" spans="1:14">
      <c r="A13" s="2" t="s">
        <v>293</v>
      </c>
      <c r="B13" s="3" t="s">
        <v>294</v>
      </c>
      <c r="D13" s="20">
        <v>1.7526259407066062E-8</v>
      </c>
      <c r="E13" s="20">
        <v>0.70129625926337635</v>
      </c>
      <c r="F13" s="20">
        <v>0.14059291978788074</v>
      </c>
      <c r="G13" s="20">
        <v>3.6062763658472212E-2</v>
      </c>
      <c r="H13" s="20">
        <v>0</v>
      </c>
      <c r="I13" s="20">
        <v>0.52464057581702339</v>
      </c>
      <c r="J13" s="20">
        <v>4.597775761295961E-4</v>
      </c>
      <c r="K13" s="20">
        <v>0.29824394563423462</v>
      </c>
      <c r="L13" s="20">
        <v>0</v>
      </c>
    </row>
    <row r="14" spans="1:14">
      <c r="A14" s="2" t="s">
        <v>373</v>
      </c>
      <c r="B14" s="3" t="s">
        <v>374</v>
      </c>
      <c r="D14" s="20">
        <v>8.5797695649046874E-8</v>
      </c>
      <c r="E14" s="20">
        <v>0.99908032918644096</v>
      </c>
      <c r="F14" s="20">
        <v>0.98872465439047519</v>
      </c>
      <c r="G14" s="20">
        <v>1.5489628932855628E-3</v>
      </c>
      <c r="H14" s="20">
        <v>0</v>
      </c>
      <c r="I14" s="20">
        <v>8.8067119026801928E-3</v>
      </c>
      <c r="J14" s="20">
        <v>1.3768063835287305E-4</v>
      </c>
      <c r="K14" s="20">
        <v>7.8190437751059411E-4</v>
      </c>
      <c r="L14" s="20">
        <v>0</v>
      </c>
    </row>
    <row r="15" spans="1:14">
      <c r="A15" s="2" t="s">
        <v>375</v>
      </c>
      <c r="B15" s="3" t="s">
        <v>376</v>
      </c>
      <c r="D15" s="20">
        <v>8.5150145422519433E-2</v>
      </c>
      <c r="E15" s="20">
        <v>0.78747763182201858</v>
      </c>
      <c r="F15" s="20">
        <v>1.9465233102096031E-2</v>
      </c>
      <c r="G15" s="20">
        <v>5.936837533589554E-3</v>
      </c>
      <c r="H15" s="20">
        <v>0</v>
      </c>
      <c r="I15" s="20">
        <v>0.76207556118633302</v>
      </c>
      <c r="J15" s="20">
        <v>1.1929156621970558E-4</v>
      </c>
      <c r="K15" s="20">
        <v>0.12725293118924216</v>
      </c>
      <c r="L15" s="20">
        <v>0</v>
      </c>
    </row>
    <row r="16" spans="1:14">
      <c r="A16" s="2" t="s">
        <v>377</v>
      </c>
      <c r="B16" s="3" t="s">
        <v>378</v>
      </c>
      <c r="D16" s="20">
        <v>6.6673399628638616E-4</v>
      </c>
      <c r="E16" s="20">
        <v>0.6900533645046496</v>
      </c>
      <c r="F16" s="20">
        <v>0.16018683291344279</v>
      </c>
      <c r="G16" s="20">
        <v>4.0487631383207767E-2</v>
      </c>
      <c r="H16" s="20">
        <v>0</v>
      </c>
      <c r="I16" s="20">
        <v>0.48937890020799907</v>
      </c>
      <c r="J16" s="20">
        <v>5.0997040998249305E-4</v>
      </c>
      <c r="K16" s="20">
        <v>0.30876993108908152</v>
      </c>
      <c r="L16" s="20">
        <v>0</v>
      </c>
    </row>
    <row r="17" spans="1:12">
      <c r="A17" s="2" t="s">
        <v>379</v>
      </c>
      <c r="B17" s="3" t="s">
        <v>380</v>
      </c>
      <c r="D17" s="20">
        <v>2.0048163512928255E-3</v>
      </c>
      <c r="E17" s="20">
        <v>0.69569158196290903</v>
      </c>
      <c r="F17" s="20">
        <v>0.14748532538013626</v>
      </c>
      <c r="G17" s="20">
        <v>3.7622215439320081E-2</v>
      </c>
      <c r="H17" s="20">
        <v>0</v>
      </c>
      <c r="I17" s="20">
        <v>0.51058404114345268</v>
      </c>
      <c r="J17" s="20">
        <v>4.7735956162681478E-4</v>
      </c>
      <c r="K17" s="20">
        <v>0.30182624212417136</v>
      </c>
      <c r="L17" s="20">
        <v>0</v>
      </c>
    </row>
    <row r="18" spans="1:12">
      <c r="A18" s="2" t="s">
        <v>381</v>
      </c>
      <c r="B18" s="3" t="s">
        <v>382</v>
      </c>
      <c r="D18" s="20">
        <v>4.2514030721518674E-8</v>
      </c>
      <c r="E18" s="20">
        <v>0.90916386729616649</v>
      </c>
      <c r="F18" s="20">
        <v>0.24490998794268698</v>
      </c>
      <c r="G18" s="20">
        <v>0.66359339136715911</v>
      </c>
      <c r="H18" s="20">
        <v>0</v>
      </c>
      <c r="I18" s="20">
        <v>6.6048798632045431E-4</v>
      </c>
      <c r="J18" s="20">
        <v>8.077195278772006E-3</v>
      </c>
      <c r="K18" s="20">
        <v>8.275889491103075E-2</v>
      </c>
      <c r="L18" s="20">
        <v>0</v>
      </c>
    </row>
    <row r="19" spans="1:12">
      <c r="A19" s="2" t="s">
        <v>383</v>
      </c>
      <c r="B19" s="3" t="s">
        <v>384</v>
      </c>
      <c r="D19" s="20">
        <v>1.177163015474479E-2</v>
      </c>
      <c r="E19" s="20">
        <v>0.91156418219240265</v>
      </c>
      <c r="F19" s="20">
        <v>6.2850801984864367E-3</v>
      </c>
      <c r="G19" s="20">
        <v>2.1096304195535364E-3</v>
      </c>
      <c r="H19" s="20">
        <v>0</v>
      </c>
      <c r="I19" s="20">
        <v>0.90316947157436267</v>
      </c>
      <c r="J19" s="20">
        <v>8.3544457031761515E-5</v>
      </c>
      <c r="K19" s="20">
        <v>7.6580643195820738E-2</v>
      </c>
      <c r="L19" s="20">
        <v>0</v>
      </c>
    </row>
    <row r="20" spans="1:12">
      <c r="A20" s="2" t="s">
        <v>385</v>
      </c>
      <c r="B20" s="3" t="s">
        <v>386</v>
      </c>
      <c r="D20" s="20">
        <v>2.1979667785330802E-2</v>
      </c>
      <c r="E20" s="20">
        <v>0.87669342090716484</v>
      </c>
      <c r="F20" s="20">
        <v>1.1207153977118404E-2</v>
      </c>
      <c r="G20" s="20">
        <v>3.5924513391629794E-3</v>
      </c>
      <c r="H20" s="20">
        <v>0</v>
      </c>
      <c r="I20" s="20">
        <v>0.86189381559088341</v>
      </c>
      <c r="J20" s="20">
        <v>9.8242736074489892E-5</v>
      </c>
      <c r="K20" s="20">
        <v>0.10122866857143004</v>
      </c>
      <c r="L20" s="20">
        <v>0</v>
      </c>
    </row>
    <row r="21" spans="1:12">
      <c r="A21" s="2" t="s">
        <v>387</v>
      </c>
      <c r="B21" s="3" t="s">
        <v>388</v>
      </c>
      <c r="D21" s="20">
        <v>1.8630035769581085E-3</v>
      </c>
      <c r="E21" s="20">
        <v>0.92909059731179144</v>
      </c>
      <c r="F21" s="20">
        <v>0.79106231765868706</v>
      </c>
      <c r="G21" s="20">
        <v>3.1924923076251575E-2</v>
      </c>
      <c r="H21" s="20">
        <v>0</v>
      </c>
      <c r="I21" s="20">
        <v>0.10610335657685284</v>
      </c>
      <c r="J21" s="20">
        <v>4.2769846709307918E-4</v>
      </c>
      <c r="K21" s="20">
        <v>6.8618700644157316E-2</v>
      </c>
      <c r="L21" s="20">
        <v>0</v>
      </c>
    </row>
    <row r="22" spans="1:12">
      <c r="A22" s="2" t="s">
        <v>295</v>
      </c>
      <c r="B22" s="3" t="s">
        <v>296</v>
      </c>
      <c r="D22" s="20">
        <v>6.5549323268583551E-2</v>
      </c>
      <c r="E22" s="20">
        <v>0.90480366144644386</v>
      </c>
      <c r="F22" s="20">
        <v>1.0130769338716561E-3</v>
      </c>
      <c r="G22" s="20">
        <v>3.8898959322967855E-4</v>
      </c>
      <c r="H22" s="20">
        <v>0</v>
      </c>
      <c r="I22" s="20">
        <v>0.90340159491934258</v>
      </c>
      <c r="J22" s="20">
        <v>6.3443114948732115E-5</v>
      </c>
      <c r="K22" s="20">
        <v>2.9583572170023938E-2</v>
      </c>
      <c r="L22" s="20">
        <v>0</v>
      </c>
    </row>
    <row r="23" spans="1:12">
      <c r="A23" s="2" t="s">
        <v>389</v>
      </c>
      <c r="B23" s="3" t="s">
        <v>390</v>
      </c>
      <c r="D23" s="20">
        <v>6.8939428320477406E-2</v>
      </c>
      <c r="E23" s="20">
        <v>0.76594907294089098</v>
      </c>
      <c r="F23" s="20">
        <v>3.3631163516789735E-2</v>
      </c>
      <c r="G23" s="20">
        <v>9.8138055345013339E-3</v>
      </c>
      <c r="H23" s="20">
        <v>0</v>
      </c>
      <c r="I23" s="20">
        <v>0.72250410388959996</v>
      </c>
      <c r="J23" s="20">
        <v>1.6235003163952692E-4</v>
      </c>
      <c r="K23" s="20">
        <v>0.16494914870699204</v>
      </c>
      <c r="L23" s="20">
        <v>0</v>
      </c>
    </row>
    <row r="24" spans="1:12">
      <c r="A24" s="2" t="s">
        <v>391</v>
      </c>
      <c r="B24" s="3" t="s">
        <v>392</v>
      </c>
      <c r="D24" s="20">
        <v>1.968647033433385E-3</v>
      </c>
      <c r="E24" s="20">
        <v>0.66632825797387807</v>
      </c>
      <c r="F24" s="20">
        <v>0.23165520976005538</v>
      </c>
      <c r="G24" s="20">
        <v>5.5916197090303391E-2</v>
      </c>
      <c r="H24" s="20">
        <v>0</v>
      </c>
      <c r="I24" s="20">
        <v>0.37875685112351926</v>
      </c>
      <c r="J24" s="20">
        <v>6.8612609997051495E-4</v>
      </c>
      <c r="K24" s="20">
        <v>0.33101696889271803</v>
      </c>
      <c r="L24" s="20">
        <v>0</v>
      </c>
    </row>
    <row r="25" spans="1:12">
      <c r="A25" s="2" t="s">
        <v>393</v>
      </c>
      <c r="B25" s="3" t="s">
        <v>394</v>
      </c>
      <c r="D25" s="20">
        <v>1.9545026201348158E-4</v>
      </c>
      <c r="E25" s="20">
        <v>0.90130566825445424</v>
      </c>
      <c r="F25" s="20">
        <v>0.29168256596012082</v>
      </c>
      <c r="G25" s="20">
        <v>0.60870381999580225</v>
      </c>
      <c r="H25" s="20">
        <v>0</v>
      </c>
      <c r="I25" s="20">
        <v>9.1928229853119596E-4</v>
      </c>
      <c r="J25" s="20">
        <v>7.3988225794207017E-3</v>
      </c>
      <c r="K25" s="20">
        <v>9.1100058904111395E-2</v>
      </c>
      <c r="L25" s="20">
        <v>0</v>
      </c>
    </row>
    <row r="26" spans="1:12">
      <c r="A26" s="2" t="s">
        <v>395</v>
      </c>
      <c r="B26" s="3" t="s">
        <v>396</v>
      </c>
      <c r="D26" s="20">
        <v>0.13303613547890261</v>
      </c>
      <c r="E26" s="20">
        <v>0.60218656186238906</v>
      </c>
      <c r="F26" s="20">
        <v>0.38321617842299294</v>
      </c>
      <c r="G26" s="20">
        <v>8.266837312235438E-2</v>
      </c>
      <c r="H26" s="20">
        <v>0</v>
      </c>
      <c r="I26" s="20">
        <v>0.13630201031704176</v>
      </c>
      <c r="J26" s="20">
        <v>9.9113309521678752E-4</v>
      </c>
      <c r="K26" s="20">
        <v>0.26378616956349149</v>
      </c>
      <c r="L26" s="20">
        <v>0</v>
      </c>
    </row>
    <row r="27" spans="1:12">
      <c r="A27" s="2" t="s">
        <v>397</v>
      </c>
      <c r="B27" s="3" t="s">
        <v>398</v>
      </c>
      <c r="D27" s="20">
        <v>0.60384765690711217</v>
      </c>
      <c r="E27" s="20">
        <v>0.31890677218062508</v>
      </c>
      <c r="F27" s="20">
        <v>0.25444949914465209</v>
      </c>
      <c r="G27" s="20">
        <v>4.8338943669469815E-2</v>
      </c>
      <c r="H27" s="20">
        <v>0</v>
      </c>
      <c r="I27" s="20">
        <v>1.6118329366503183E-2</v>
      </c>
      <c r="J27" s="20">
        <v>5.7833846428534711E-4</v>
      </c>
      <c r="K27" s="20">
        <v>7.6667232447977296E-2</v>
      </c>
      <c r="L27" s="20">
        <v>0</v>
      </c>
    </row>
    <row r="28" spans="1:12">
      <c r="A28" s="2" t="s">
        <v>399</v>
      </c>
      <c r="B28" s="3" t="s">
        <v>400</v>
      </c>
      <c r="D28" s="20">
        <v>0.76658033277041393</v>
      </c>
      <c r="E28" s="20">
        <v>0.16635480508393691</v>
      </c>
      <c r="F28" s="20">
        <v>0.11335270483786039</v>
      </c>
      <c r="G28" s="20">
        <v>2.3874123886250841E-2</v>
      </c>
      <c r="H28" s="20">
        <v>0</v>
      </c>
      <c r="I28" s="20">
        <v>2.9127976359825683E-2</v>
      </c>
      <c r="J28" s="20">
        <v>2.8583717489937059E-4</v>
      </c>
      <c r="K28" s="20">
        <v>6.6779024970749931E-2</v>
      </c>
      <c r="L28" s="20">
        <v>0</v>
      </c>
    </row>
    <row r="29" spans="1:12">
      <c r="A29" s="2" t="s">
        <v>297</v>
      </c>
      <c r="B29" s="3" t="s">
        <v>298</v>
      </c>
      <c r="D29" s="20">
        <v>0.93161211224930929</v>
      </c>
      <c r="E29" s="20">
        <v>6.0464175190310838E-2</v>
      </c>
      <c r="F29" s="20">
        <v>9.8789171046152432E-4</v>
      </c>
      <c r="G29" s="20">
        <v>3.1088867118198634E-4</v>
      </c>
      <c r="H29" s="20">
        <v>0</v>
      </c>
      <c r="I29" s="20">
        <v>5.9165394808667331E-2</v>
      </c>
      <c r="J29" s="20">
        <v>7.4985400707707646E-6</v>
      </c>
      <c r="K29" s="20">
        <v>7.9162140203091237E-3</v>
      </c>
      <c r="L29" s="20">
        <v>0</v>
      </c>
    </row>
    <row r="30" spans="1:12">
      <c r="A30" s="2" t="s">
        <v>401</v>
      </c>
      <c r="B30" s="3" t="s">
        <v>402</v>
      </c>
      <c r="D30" s="20">
        <v>0.90907134170571913</v>
      </c>
      <c r="E30" s="20">
        <v>6.440213222648003E-2</v>
      </c>
      <c r="F30" s="20">
        <v>4.3258572288039282E-2</v>
      </c>
      <c r="G30" s="20">
        <v>9.1615242859649365E-3</v>
      </c>
      <c r="H30" s="20">
        <v>0</v>
      </c>
      <c r="I30" s="20">
        <v>1.1982035652475811E-2</v>
      </c>
      <c r="J30" s="20">
        <v>1.0971636224995062E-4</v>
      </c>
      <c r="K30" s="20">
        <v>2.6416809705550982E-2</v>
      </c>
      <c r="L30" s="20">
        <v>0</v>
      </c>
    </row>
    <row r="31" spans="1:12">
      <c r="A31" s="2" t="s">
        <v>299</v>
      </c>
      <c r="B31" s="3" t="s">
        <v>300</v>
      </c>
      <c r="D31" s="20">
        <v>0.99804044353383392</v>
      </c>
      <c r="E31" s="20">
        <v>1.31549516986103E-3</v>
      </c>
      <c r="F31" s="20">
        <v>7.0830833996926405E-4</v>
      </c>
      <c r="G31" s="20">
        <v>1.5941086221992227E-4</v>
      </c>
      <c r="H31" s="20">
        <v>0</v>
      </c>
      <c r="I31" s="20">
        <v>4.4777596767184378E-4</v>
      </c>
      <c r="J31" s="20">
        <v>1.9200873532045642E-6</v>
      </c>
      <c r="K31" s="20">
        <v>6.4214120895169074E-4</v>
      </c>
      <c r="L31" s="20">
        <v>0</v>
      </c>
    </row>
    <row r="32" spans="1:12">
      <c r="A32" s="2" t="s">
        <v>343</v>
      </c>
      <c r="B32" s="3" t="s">
        <v>344</v>
      </c>
      <c r="D32" s="20">
        <v>1.9632561513265321E-3</v>
      </c>
      <c r="E32" s="20">
        <v>0.71353805660839487</v>
      </c>
      <c r="F32" s="20">
        <v>0.12024061302613556</v>
      </c>
      <c r="G32" s="20">
        <v>3.1357883126799248E-2</v>
      </c>
      <c r="H32" s="20">
        <v>0</v>
      </c>
      <c r="I32" s="20">
        <v>0.56193956045546001</v>
      </c>
      <c r="J32" s="20">
        <v>4.0644947489423442E-4</v>
      </c>
      <c r="K32" s="20">
        <v>0.2840922377653845</v>
      </c>
      <c r="L32" s="20">
        <v>0</v>
      </c>
    </row>
    <row r="33" spans="1:12">
      <c r="A33" s="2" t="s">
        <v>345</v>
      </c>
      <c r="B33" s="3" t="s">
        <v>346</v>
      </c>
      <c r="D33" s="20">
        <v>8.363500159953319E-5</v>
      </c>
      <c r="E33" s="20">
        <v>0.78367285482207183</v>
      </c>
      <c r="F33" s="20">
        <v>5.7314206545453134E-2</v>
      </c>
      <c r="G33" s="20">
        <v>1.6060454812585473E-2</v>
      </c>
      <c r="H33" s="20">
        <v>0</v>
      </c>
      <c r="I33" s="20">
        <v>0.71029819346403322</v>
      </c>
      <c r="J33" s="20">
        <v>2.3519457676223515E-4</v>
      </c>
      <c r="K33" s="20">
        <v>0.21600831559956649</v>
      </c>
      <c r="L33" s="20">
        <v>0</v>
      </c>
    </row>
    <row r="34" spans="1:12">
      <c r="A34" s="2" t="s">
        <v>347</v>
      </c>
      <c r="B34" s="3" t="s">
        <v>348</v>
      </c>
      <c r="D34" s="20">
        <v>7.2424349320188372E-5</v>
      </c>
      <c r="E34" s="20">
        <v>0.68724676901296777</v>
      </c>
      <c r="F34" s="20">
        <v>0.42126833571185679</v>
      </c>
      <c r="G34" s="20">
        <v>9.1887063425023063E-2</v>
      </c>
      <c r="H34" s="20">
        <v>0</v>
      </c>
      <c r="I34" s="20">
        <v>0.17409136987608786</v>
      </c>
      <c r="J34" s="20">
        <v>1.1026505158195125E-3</v>
      </c>
      <c r="K34" s="20">
        <v>0.31157815612189255</v>
      </c>
      <c r="L34" s="20">
        <v>0</v>
      </c>
    </row>
    <row r="35" spans="1:12">
      <c r="A35" s="2" t="s">
        <v>349</v>
      </c>
      <c r="B35" s="3" t="s">
        <v>350</v>
      </c>
      <c r="D35" s="20">
        <v>1.3260609291458083E-2</v>
      </c>
      <c r="E35" s="20">
        <v>0.83928120564889752</v>
      </c>
      <c r="F35" s="20">
        <v>0.69380542947067558</v>
      </c>
      <c r="G35" s="20">
        <v>0.12471918078076269</v>
      </c>
      <c r="H35" s="20">
        <v>0</v>
      </c>
      <c r="I35" s="20">
        <v>2.0756595397459211E-2</v>
      </c>
      <c r="J35" s="20">
        <v>1.4941434493689792E-3</v>
      </c>
      <c r="K35" s="20">
        <v>0.14596404161027532</v>
      </c>
      <c r="L35" s="20">
        <v>0</v>
      </c>
    </row>
    <row r="36" spans="1:12">
      <c r="A36" s="2" t="s">
        <v>351</v>
      </c>
      <c r="B36" s="3" t="s">
        <v>352</v>
      </c>
      <c r="D36" s="20">
        <v>3.6078172201458127E-4</v>
      </c>
      <c r="E36" s="20">
        <v>0.8779197258013437</v>
      </c>
      <c r="F36" s="20">
        <v>0.5974736298966018</v>
      </c>
      <c r="G36" s="20">
        <v>0.27581272392776168</v>
      </c>
      <c r="H36" s="20">
        <v>0</v>
      </c>
      <c r="I36" s="20">
        <v>4.6333719769801832E-3</v>
      </c>
      <c r="J36" s="20">
        <v>3.3262464442069305E-3</v>
      </c>
      <c r="K36" s="20">
        <v>0.11839324603243478</v>
      </c>
      <c r="L36" s="20">
        <v>0</v>
      </c>
    </row>
    <row r="37" spans="1:12">
      <c r="A37" s="2" t="s">
        <v>353</v>
      </c>
      <c r="B37" s="3" t="s">
        <v>354</v>
      </c>
      <c r="D37" s="20">
        <v>2.4983560597412299E-3</v>
      </c>
      <c r="E37" s="20">
        <v>0.90472160701459337</v>
      </c>
      <c r="F37" s="20">
        <v>0.25681982632954181</v>
      </c>
      <c r="G37" s="20">
        <v>0.64717853313092966</v>
      </c>
      <c r="H37" s="20">
        <v>0</v>
      </c>
      <c r="I37" s="20">
        <v>7.2324755412192412E-4</v>
      </c>
      <c r="J37" s="20">
        <v>7.8743590114283887E-3</v>
      </c>
      <c r="K37" s="20">
        <v>8.4905677914236935E-2</v>
      </c>
      <c r="L37" s="20">
        <v>0</v>
      </c>
    </row>
    <row r="38" spans="1:12">
      <c r="A38" s="2" t="s">
        <v>355</v>
      </c>
      <c r="B38" s="3" t="s">
        <v>356</v>
      </c>
      <c r="D38" s="20">
        <v>1.3573010506041455E-4</v>
      </c>
      <c r="E38" s="20">
        <v>0.88175133035597397</v>
      </c>
      <c r="F38" s="20">
        <v>0.47549986737888067</v>
      </c>
      <c r="G38" s="20">
        <v>0.40368810756474366</v>
      </c>
      <c r="H38" s="20">
        <v>0</v>
      </c>
      <c r="I38" s="20">
        <v>2.5633554123496833E-3</v>
      </c>
      <c r="J38" s="20">
        <v>4.8837011687111699E-3</v>
      </c>
      <c r="K38" s="20">
        <v>0.11322923837025448</v>
      </c>
      <c r="L38" s="20">
        <v>0</v>
      </c>
    </row>
    <row r="39" spans="1:12">
      <c r="A39" s="2" t="s">
        <v>357</v>
      </c>
      <c r="B39" s="3" t="s">
        <v>358</v>
      </c>
      <c r="D39" s="20">
        <v>2.7294548149378005E-2</v>
      </c>
      <c r="E39" s="20">
        <v>0.8544190196716076</v>
      </c>
      <c r="F39" s="20">
        <v>0.54897191144112301</v>
      </c>
      <c r="G39" s="20">
        <v>0.30160996023672476</v>
      </c>
      <c r="H39" s="20">
        <v>0</v>
      </c>
      <c r="I39" s="20">
        <v>3.8371479937597901E-3</v>
      </c>
      <c r="J39" s="20">
        <v>3.6405897372365752E-3</v>
      </c>
      <c r="K39" s="20">
        <v>0.1146458424417779</v>
      </c>
      <c r="L39" s="20">
        <v>0</v>
      </c>
    </row>
    <row r="40" spans="1:12">
      <c r="A40" s="2" t="s">
        <v>359</v>
      </c>
      <c r="B40" s="3" t="s">
        <v>360</v>
      </c>
      <c r="D40" s="20">
        <v>1.3573010506041455E-4</v>
      </c>
      <c r="E40" s="20">
        <v>0.88175133035597397</v>
      </c>
      <c r="F40" s="20">
        <v>0.47549986737888067</v>
      </c>
      <c r="G40" s="20">
        <v>0.40368810756474366</v>
      </c>
      <c r="H40" s="20">
        <v>0</v>
      </c>
      <c r="I40" s="20">
        <v>2.5633554123496833E-3</v>
      </c>
      <c r="J40" s="20">
        <v>4.8837011687111699E-3</v>
      </c>
      <c r="K40" s="20">
        <v>0.11322923837025448</v>
      </c>
      <c r="L40" s="20">
        <v>0</v>
      </c>
    </row>
    <row r="41" spans="1:12">
      <c r="A41" s="2" t="s">
        <v>313</v>
      </c>
      <c r="B41" s="3" t="s">
        <v>314</v>
      </c>
      <c r="D41" s="20">
        <v>5.6118989716827189E-8</v>
      </c>
      <c r="E41" s="20">
        <v>0.99975323900368829</v>
      </c>
      <c r="F41" s="20">
        <v>4.5540906098446285E-2</v>
      </c>
      <c r="G41" s="20">
        <v>1.083732798173457E-5</v>
      </c>
      <c r="H41" s="20">
        <v>0</v>
      </c>
      <c r="I41" s="20">
        <v>0.95420149557726031</v>
      </c>
      <c r="J41" s="20">
        <v>6.6388635302744523E-5</v>
      </c>
      <c r="K41" s="20">
        <v>1.8031624201908552E-4</v>
      </c>
      <c r="L41" s="20">
        <v>0</v>
      </c>
    </row>
    <row r="42" spans="1:12">
      <c r="A42" s="2" t="s">
        <v>315</v>
      </c>
      <c r="B42" s="3" t="s">
        <v>316</v>
      </c>
      <c r="D42" s="20">
        <v>3.6054844668762984E-3</v>
      </c>
      <c r="E42" s="20">
        <v>0.90588592960764724</v>
      </c>
      <c r="F42" s="20">
        <v>0.24402697915994725</v>
      </c>
      <c r="G42" s="20">
        <v>0.66120084381257604</v>
      </c>
      <c r="H42" s="20">
        <v>0</v>
      </c>
      <c r="I42" s="20">
        <v>6.5810663512398324E-4</v>
      </c>
      <c r="J42" s="20">
        <v>8.0480734188145085E-3</v>
      </c>
      <c r="K42" s="20">
        <v>8.2460512506661948E-2</v>
      </c>
      <c r="L42" s="20">
        <v>0</v>
      </c>
    </row>
    <row r="43" spans="1:12">
      <c r="A43" s="2" t="s">
        <v>317</v>
      </c>
      <c r="B43" s="3" t="s">
        <v>318</v>
      </c>
      <c r="D43" s="20">
        <v>4.4134972065998279E-12</v>
      </c>
      <c r="E43" s="20">
        <v>0.66502163038690532</v>
      </c>
      <c r="F43" s="20">
        <v>0.25133737268440282</v>
      </c>
      <c r="G43" s="20">
        <v>6.0000190091683239E-2</v>
      </c>
      <c r="H43" s="20">
        <v>0</v>
      </c>
      <c r="I43" s="20">
        <v>0.35368406761081922</v>
      </c>
      <c r="J43" s="20">
        <v>7.3310983665793609E-4</v>
      </c>
      <c r="K43" s="20">
        <v>0.3342452597720233</v>
      </c>
      <c r="L43" s="20">
        <v>0</v>
      </c>
    </row>
    <row r="44" spans="1:12">
      <c r="A44" s="2" t="s">
        <v>307</v>
      </c>
      <c r="B44" s="3" t="s">
        <v>308</v>
      </c>
      <c r="D44" s="20">
        <v>1.2026276702630057E-4</v>
      </c>
      <c r="E44" s="20">
        <v>0.88083011101598385</v>
      </c>
      <c r="F44" s="20">
        <v>0.67733794661183422</v>
      </c>
      <c r="G44" s="20">
        <v>0.19656263355509873</v>
      </c>
      <c r="H44" s="20">
        <v>0</v>
      </c>
      <c r="I44" s="20">
        <v>6.9295308490509014E-3</v>
      </c>
      <c r="J44" s="20">
        <v>2.3650125161307389E-3</v>
      </c>
      <c r="K44" s="20">
        <v>0.11668461370085909</v>
      </c>
      <c r="L44" s="20">
        <v>0</v>
      </c>
    </row>
    <row r="45" spans="1:12">
      <c r="A45" s="2" t="s">
        <v>319</v>
      </c>
      <c r="B45" s="3" t="s">
        <v>320</v>
      </c>
      <c r="D45" s="20">
        <v>1.18351362378245E-5</v>
      </c>
      <c r="E45" s="20">
        <v>0.9271897713173618</v>
      </c>
      <c r="F45" s="20">
        <v>0.15680051201047929</v>
      </c>
      <c r="G45" s="20">
        <v>0.77009274482990009</v>
      </c>
      <c r="H45" s="20">
        <v>0</v>
      </c>
      <c r="I45" s="20">
        <v>2.9651447698246904E-4</v>
      </c>
      <c r="J45" s="20">
        <v>9.4032977555515412E-3</v>
      </c>
      <c r="K45" s="20">
        <v>6.3395095790848677E-2</v>
      </c>
      <c r="L45" s="20">
        <v>0</v>
      </c>
    </row>
    <row r="46" spans="1:12">
      <c r="A46" s="2" t="s">
        <v>321</v>
      </c>
      <c r="B46" s="3" t="s">
        <v>322</v>
      </c>
      <c r="D46" s="20">
        <v>1.7365549439661541E-5</v>
      </c>
      <c r="E46" s="20">
        <v>0.91178698063748165</v>
      </c>
      <c r="F46" s="20">
        <v>0.23033648955029593</v>
      </c>
      <c r="G46" s="20">
        <v>0.68086075029429738</v>
      </c>
      <c r="H46" s="20">
        <v>0</v>
      </c>
      <c r="I46" s="20">
        <v>5.8974079288830476E-4</v>
      </c>
      <c r="J46" s="20">
        <v>8.2912106036854265E-3</v>
      </c>
      <c r="K46" s="20">
        <v>7.9904443209393453E-2</v>
      </c>
      <c r="L46" s="20">
        <v>0</v>
      </c>
    </row>
    <row r="47" spans="1:12">
      <c r="A47" s="2" t="s">
        <v>323</v>
      </c>
      <c r="B47" s="3" t="s">
        <v>324</v>
      </c>
      <c r="D47" s="20">
        <v>1.6298382133879971E-4</v>
      </c>
      <c r="E47" s="20">
        <v>0.8935517617649007</v>
      </c>
      <c r="F47" s="20">
        <v>0.34835232300935859</v>
      </c>
      <c r="G47" s="20">
        <v>0.54389399809157779</v>
      </c>
      <c r="H47" s="20">
        <v>0</v>
      </c>
      <c r="I47" s="20">
        <v>1.3054406639643732E-3</v>
      </c>
      <c r="J47" s="20">
        <v>6.6009237944256024E-3</v>
      </c>
      <c r="K47" s="20">
        <v>9.9684330619334918E-2</v>
      </c>
      <c r="L47" s="20">
        <v>0</v>
      </c>
    </row>
    <row r="48" spans="1:12">
      <c r="A48" s="2" t="s">
        <v>325</v>
      </c>
      <c r="B48" s="3" t="s">
        <v>326</v>
      </c>
      <c r="D48" s="20">
        <v>1.0150379962387184E-4</v>
      </c>
      <c r="E48" s="20">
        <v>0.77494898492738273</v>
      </c>
      <c r="F48" s="20">
        <v>0.59807619201122841</v>
      </c>
      <c r="G48" s="20">
        <v>0.11744974275497126</v>
      </c>
      <c r="H48" s="20">
        <v>0</v>
      </c>
      <c r="I48" s="20">
        <v>5.94230501611831E-2</v>
      </c>
      <c r="J48" s="20">
        <v>1.40464513277009E-3</v>
      </c>
      <c r="K48" s="20">
        <v>0.22354486614022342</v>
      </c>
      <c r="L48" s="20">
        <v>0</v>
      </c>
    </row>
    <row r="49" spans="1:12">
      <c r="A49" s="2" t="s">
        <v>275</v>
      </c>
      <c r="B49" s="3" t="s">
        <v>276</v>
      </c>
      <c r="D49" s="20">
        <v>1.5453340493122786E-6</v>
      </c>
      <c r="E49" s="20">
        <v>0.88011381926799237</v>
      </c>
      <c r="F49" s="20">
        <v>0.66358504311954769</v>
      </c>
      <c r="G49" s="20">
        <v>0.21008359668889209</v>
      </c>
      <c r="H49" s="20">
        <v>0</v>
      </c>
      <c r="I49" s="20">
        <v>6.4451794595525563E-3</v>
      </c>
      <c r="J49" s="20">
        <v>2.5287769541182097E-3</v>
      </c>
      <c r="K49" s="20">
        <v>0.11735585844384022</v>
      </c>
      <c r="L49" s="20">
        <v>0</v>
      </c>
    </row>
    <row r="50" spans="1:12">
      <c r="A50" s="2" t="s">
        <v>327</v>
      </c>
      <c r="B50" s="3" t="s">
        <v>328</v>
      </c>
      <c r="D50" s="20">
        <v>8.0506241432280328E-5</v>
      </c>
      <c r="E50" s="20">
        <v>0.87898403378386936</v>
      </c>
      <c r="F50" s="20">
        <v>0.63929861894979056</v>
      </c>
      <c r="G50" s="20">
        <v>0.2339910906034941</v>
      </c>
      <c r="H50" s="20">
        <v>0</v>
      </c>
      <c r="I50" s="20">
        <v>5.6943242305846639E-3</v>
      </c>
      <c r="J50" s="20">
        <v>2.8185839446536591E-3</v>
      </c>
      <c r="K50" s="20">
        <v>0.11811687603004463</v>
      </c>
      <c r="L50" s="20">
        <v>0</v>
      </c>
    </row>
    <row r="51" spans="1:12">
      <c r="A51" s="2" t="s">
        <v>329</v>
      </c>
      <c r="B51" s="3" t="s">
        <v>330</v>
      </c>
      <c r="D51" s="20">
        <v>5.3113388566449888E-5</v>
      </c>
      <c r="E51" s="20">
        <v>0.80981678383339906</v>
      </c>
      <c r="F51" s="20">
        <v>0.64905010517273176</v>
      </c>
      <c r="G51" s="20">
        <v>0.1226235203615748</v>
      </c>
      <c r="H51" s="20">
        <v>0</v>
      </c>
      <c r="I51" s="20">
        <v>3.8143158299092497E-2</v>
      </c>
      <c r="J51" s="20">
        <v>1.4672441719571542E-3</v>
      </c>
      <c r="K51" s="20">
        <v>0.18866285860607745</v>
      </c>
      <c r="L51" s="20">
        <v>0</v>
      </c>
    </row>
    <row r="52" spans="1:12">
      <c r="A52" s="2" t="s">
        <v>277</v>
      </c>
      <c r="B52" s="3" t="s">
        <v>278</v>
      </c>
      <c r="D52" s="20">
        <v>1.5798664561318164E-4</v>
      </c>
      <c r="E52" s="20">
        <v>0.77828846881950053</v>
      </c>
      <c r="F52" s="20">
        <v>0.60324619755797648</v>
      </c>
      <c r="G52" s="20">
        <v>0.11802938615841944</v>
      </c>
      <c r="H52" s="20">
        <v>0</v>
      </c>
      <c r="I52" s="20">
        <v>5.701288510310458E-2</v>
      </c>
      <c r="J52" s="20">
        <v>1.4116097815802858E-3</v>
      </c>
      <c r="K52" s="20">
        <v>0.22014193475330598</v>
      </c>
      <c r="L52" s="20">
        <v>0</v>
      </c>
    </row>
    <row r="53" spans="1:12">
      <c r="A53" s="2" t="s">
        <v>331</v>
      </c>
      <c r="B53" s="3" t="s">
        <v>332</v>
      </c>
      <c r="D53" s="20">
        <v>5.3743694827377455E-5</v>
      </c>
      <c r="E53" s="20">
        <v>0.87849502391072665</v>
      </c>
      <c r="F53" s="20">
        <v>0.55577849108135846</v>
      </c>
      <c r="G53" s="20">
        <v>0.31893140839763923</v>
      </c>
      <c r="H53" s="20">
        <v>0</v>
      </c>
      <c r="I53" s="20">
        <v>3.7851244317289559E-3</v>
      </c>
      <c r="J53" s="20">
        <v>3.8505284822733864E-3</v>
      </c>
      <c r="K53" s="20">
        <v>0.11760070391217249</v>
      </c>
      <c r="L53" s="20">
        <v>0</v>
      </c>
    </row>
    <row r="54" spans="1:12">
      <c r="A54" s="2" t="s">
        <v>333</v>
      </c>
      <c r="B54" s="3" t="s">
        <v>334</v>
      </c>
      <c r="D54" s="20">
        <v>8.7627378601140529E-8</v>
      </c>
      <c r="E54" s="20">
        <v>0.87953510690189574</v>
      </c>
      <c r="F54" s="20">
        <v>0.65164945253003714</v>
      </c>
      <c r="G54" s="20">
        <v>0.22182454026128948</v>
      </c>
      <c r="H54" s="20">
        <v>0</v>
      </c>
      <c r="I54" s="20">
        <v>6.0611141105690941E-3</v>
      </c>
      <c r="J54" s="20">
        <v>2.6710628605541176E-3</v>
      </c>
      <c r="K54" s="20">
        <v>0.11779374261017164</v>
      </c>
      <c r="L54" s="20">
        <v>0</v>
      </c>
    </row>
    <row r="55" spans="1:12">
      <c r="A55" s="2" t="s">
        <v>335</v>
      </c>
      <c r="B55" s="3" t="s">
        <v>336</v>
      </c>
      <c r="D55" s="20">
        <v>4.2334775389753622E-4</v>
      </c>
      <c r="E55" s="20">
        <v>0.89260212792985105</v>
      </c>
      <c r="F55" s="20">
        <v>0.35413713935227847</v>
      </c>
      <c r="G55" s="20">
        <v>0.53711468971914378</v>
      </c>
      <c r="H55" s="20">
        <v>0</v>
      </c>
      <c r="I55" s="20">
        <v>1.3502988584287827E-3</v>
      </c>
      <c r="J55" s="20">
        <v>6.5176500814013438E-3</v>
      </c>
      <c r="K55" s="20">
        <v>0.10045687423485015</v>
      </c>
      <c r="L55" s="20">
        <v>0</v>
      </c>
    </row>
    <row r="56" spans="1:12">
      <c r="A56" s="2" t="s">
        <v>337</v>
      </c>
      <c r="B56" s="3" t="s">
        <v>338</v>
      </c>
      <c r="D56" s="20">
        <v>3.0891749587430659E-5</v>
      </c>
      <c r="E56" s="20">
        <v>0.88062055248531634</v>
      </c>
      <c r="F56" s="20">
        <v>0.67284762009924393</v>
      </c>
      <c r="G56" s="20">
        <v>0.20100750641426801</v>
      </c>
      <c r="H56" s="20">
        <v>0</v>
      </c>
      <c r="I56" s="20">
        <v>6.765425971804356E-3</v>
      </c>
      <c r="J56" s="20">
        <v>2.4188366196533375E-3</v>
      </c>
      <c r="K56" s="20">
        <v>0.11692971914544295</v>
      </c>
      <c r="L56" s="20">
        <v>0</v>
      </c>
    </row>
    <row r="57" spans="1:12">
      <c r="A57" s="2" t="s">
        <v>279</v>
      </c>
      <c r="B57" s="3" t="s">
        <v>280</v>
      </c>
      <c r="D57" s="20">
        <v>3.0503879960823831E-3</v>
      </c>
      <c r="E57" s="20">
        <v>0.7574408659580274</v>
      </c>
      <c r="F57" s="20">
        <v>0.57204381999917864</v>
      </c>
      <c r="G57" s="20">
        <v>0.11421544955386884</v>
      </c>
      <c r="H57" s="20">
        <v>0</v>
      </c>
      <c r="I57" s="20">
        <v>7.1181596404979883E-2</v>
      </c>
      <c r="J57" s="20">
        <v>1.3659304513590135E-3</v>
      </c>
      <c r="K57" s="20">
        <v>0.23814281559453132</v>
      </c>
      <c r="L57" s="20">
        <v>0</v>
      </c>
    </row>
    <row r="58" spans="1:12">
      <c r="A58" s="2" t="s">
        <v>339</v>
      </c>
      <c r="B58" s="3" t="s">
        <v>340</v>
      </c>
      <c r="D58" s="20">
        <v>3.0712589817601961E-7</v>
      </c>
      <c r="E58" s="20">
        <v>0.87943072272778466</v>
      </c>
      <c r="F58" s="20">
        <v>0.64921815252530735</v>
      </c>
      <c r="G58" s="20">
        <v>0.2242261240540015</v>
      </c>
      <c r="H58" s="20">
        <v>0</v>
      </c>
      <c r="I58" s="20">
        <v>5.98644614847585E-3</v>
      </c>
      <c r="J58" s="20">
        <v>2.7001760370363522E-3</v>
      </c>
      <c r="K58" s="20">
        <v>0.11786879410928065</v>
      </c>
      <c r="L58" s="20">
        <v>0</v>
      </c>
    </row>
    <row r="59" spans="1:12">
      <c r="A59" s="2" t="s">
        <v>281</v>
      </c>
      <c r="B59" s="3" t="s">
        <v>282</v>
      </c>
      <c r="D59" s="20">
        <v>2.3915452907032638E-5</v>
      </c>
      <c r="E59" s="20">
        <v>0.77839283137067394</v>
      </c>
      <c r="F59" s="20">
        <v>0.6033270882748315</v>
      </c>
      <c r="G59" s="20">
        <v>0.11804521299942559</v>
      </c>
      <c r="H59" s="20">
        <v>0</v>
      </c>
      <c r="I59" s="20">
        <v>5.7020530096416826E-2</v>
      </c>
      <c r="J59" s="20">
        <v>1.4117990676920159E-3</v>
      </c>
      <c r="K59" s="20">
        <v>0.22017145410872699</v>
      </c>
      <c r="L59" s="20">
        <v>0</v>
      </c>
    </row>
    <row r="60" spans="1:12">
      <c r="A60" s="2" t="s">
        <v>341</v>
      </c>
      <c r="B60" s="3" t="s">
        <v>342</v>
      </c>
      <c r="D60" s="20">
        <v>4.4965730325108419E-4</v>
      </c>
      <c r="E60" s="20">
        <v>0.87783480575148432</v>
      </c>
      <c r="F60" s="20">
        <v>0.58097288878964692</v>
      </c>
      <c r="G60" s="20">
        <v>0.29258457185034475</v>
      </c>
      <c r="H60" s="20">
        <v>0</v>
      </c>
      <c r="I60" s="20">
        <v>4.2773451114926165E-3</v>
      </c>
      <c r="J60" s="20">
        <v>3.5300762763396535E-3</v>
      </c>
      <c r="K60" s="20">
        <v>0.118185460668925</v>
      </c>
      <c r="L60" s="20">
        <v>0</v>
      </c>
    </row>
    <row r="61" spans="1:12">
      <c r="A61" s="2" t="s">
        <v>483</v>
      </c>
      <c r="B61" s="3" t="s">
        <v>484</v>
      </c>
      <c r="D61" s="20">
        <v>7.6625049528377683E-14</v>
      </c>
      <c r="E61" s="20">
        <v>0.80091804504479225</v>
      </c>
      <c r="F61" s="20">
        <v>0.44809260516082999</v>
      </c>
      <c r="G61" s="20">
        <v>7.4659551029242183E-2</v>
      </c>
      <c r="H61" s="20">
        <v>0</v>
      </c>
      <c r="I61" s="20">
        <v>0.27816588885472004</v>
      </c>
      <c r="J61" s="20">
        <v>2.5659147664516537E-3</v>
      </c>
      <c r="K61" s="20">
        <v>0.19651604018867949</v>
      </c>
      <c r="L61" s="20">
        <v>0</v>
      </c>
    </row>
    <row r="62" spans="1:12">
      <c r="A62" s="2" t="s">
        <v>485</v>
      </c>
      <c r="B62" s="3" t="s">
        <v>486</v>
      </c>
      <c r="D62" s="20">
        <v>2.0533988558848367E-7</v>
      </c>
      <c r="E62" s="20">
        <v>0.68287503472555289</v>
      </c>
      <c r="F62" s="20">
        <v>0.4073310630201451</v>
      </c>
      <c r="G62" s="20">
        <v>8.9504132161056335E-2</v>
      </c>
      <c r="H62" s="20">
        <v>0</v>
      </c>
      <c r="I62" s="20">
        <v>0.18603983954435141</v>
      </c>
      <c r="J62" s="20">
        <v>1.0748168025152684E-3</v>
      </c>
      <c r="K62" s="20">
        <v>0.31604994313204621</v>
      </c>
      <c r="L62" s="20">
        <v>0</v>
      </c>
    </row>
    <row r="63" spans="1:12">
      <c r="A63" s="2" t="s">
        <v>487</v>
      </c>
      <c r="B63" s="3" t="s">
        <v>488</v>
      </c>
      <c r="D63" s="20">
        <v>7.1613613377898406E-13</v>
      </c>
      <c r="E63" s="20">
        <v>0.9595399747495279</v>
      </c>
      <c r="F63" s="20">
        <v>3.1940359344105156E-2</v>
      </c>
      <c r="G63" s="20">
        <v>4.2144077351347767E-3</v>
      </c>
      <c r="H63" s="20">
        <v>0</v>
      </c>
      <c r="I63" s="20">
        <v>0.92338520767028798</v>
      </c>
      <c r="J63" s="20">
        <v>4.1678793802836799E-4</v>
      </c>
      <c r="K63" s="20">
        <v>4.0043237311727625E-2</v>
      </c>
      <c r="L63" s="20">
        <v>0</v>
      </c>
    </row>
    <row r="64" spans="1:12">
      <c r="A64" s="2" t="s">
        <v>489</v>
      </c>
      <c r="B64" s="3" t="s">
        <v>490</v>
      </c>
      <c r="D64" s="20">
        <v>1.3187712640028068E-14</v>
      </c>
      <c r="E64" s="20">
        <v>0.99559099043399091</v>
      </c>
      <c r="F64" s="20">
        <v>1.2161803424447689E-2</v>
      </c>
      <c r="G64" s="20">
        <v>1.5099944127222289E-4</v>
      </c>
      <c r="H64" s="20">
        <v>0</v>
      </c>
      <c r="I64" s="20">
        <v>0.98327818756827101</v>
      </c>
      <c r="J64" s="20">
        <v>6.7028044390815252E-5</v>
      </c>
      <c r="K64" s="20">
        <v>4.3419815216050889E-3</v>
      </c>
      <c r="L64" s="20">
        <v>0</v>
      </c>
    </row>
    <row r="65" spans="1:12">
      <c r="A65" s="2" t="s">
        <v>491</v>
      </c>
      <c r="B65" s="3" t="s">
        <v>492</v>
      </c>
      <c r="D65" s="20">
        <v>2.1994408054434816E-12</v>
      </c>
      <c r="E65" s="20">
        <v>0.99796749977952837</v>
      </c>
      <c r="F65" s="20">
        <v>1.5944779843885123E-3</v>
      </c>
      <c r="G65" s="20">
        <v>7.091890927781209E-5</v>
      </c>
      <c r="H65" s="20">
        <v>0</v>
      </c>
      <c r="I65" s="20">
        <v>0.99630210288586207</v>
      </c>
      <c r="J65" s="20">
        <v>9.4942368401567255E-5</v>
      </c>
      <c r="K65" s="20">
        <v>1.9375578498705786E-3</v>
      </c>
      <c r="L65" s="20">
        <v>0</v>
      </c>
    </row>
    <row r="66" spans="1:12">
      <c r="A66" s="2" t="s">
        <v>493</v>
      </c>
      <c r="B66" s="3" t="s">
        <v>494</v>
      </c>
      <c r="D66" s="20">
        <v>2.8838851420396083E-11</v>
      </c>
      <c r="E66" s="20">
        <v>0.97983142814879642</v>
      </c>
      <c r="F66" s="20">
        <v>0.20142302614231142</v>
      </c>
      <c r="G66" s="20">
        <v>5.0480303263984129E-3</v>
      </c>
      <c r="H66" s="20">
        <v>0</v>
      </c>
      <c r="I66" s="20">
        <v>0.77336037168008664</v>
      </c>
      <c r="J66" s="20">
        <v>2.8243593217143824E-3</v>
      </c>
      <c r="K66" s="20">
        <v>1.7344212500650422E-2</v>
      </c>
      <c r="L66" s="20">
        <v>0</v>
      </c>
    </row>
    <row r="67" spans="1:12">
      <c r="A67" s="2" t="s">
        <v>495</v>
      </c>
      <c r="B67" s="3" t="s">
        <v>496</v>
      </c>
      <c r="D67" s="20">
        <v>1.7182379177543393E-12</v>
      </c>
      <c r="E67" s="20">
        <v>0.99773134362429827</v>
      </c>
      <c r="F67" s="20">
        <v>1.344519989025225E-3</v>
      </c>
      <c r="G67" s="20">
        <v>7.3499129811188283E-5</v>
      </c>
      <c r="H67" s="20">
        <v>0</v>
      </c>
      <c r="I67" s="20">
        <v>0.99631332450546184</v>
      </c>
      <c r="J67" s="20">
        <v>8.9969445028896132E-5</v>
      </c>
      <c r="K67" s="20">
        <v>2.1786869289545409E-3</v>
      </c>
      <c r="L67" s="20">
        <v>0</v>
      </c>
    </row>
    <row r="68" spans="1:12">
      <c r="A68" s="2" t="s">
        <v>497</v>
      </c>
      <c r="B68" s="3" t="s">
        <v>498</v>
      </c>
      <c r="D68" s="20">
        <v>1.5552622051626286E-11</v>
      </c>
      <c r="E68" s="20">
        <v>0.99905047617032317</v>
      </c>
      <c r="F68" s="20">
        <v>1.6004445312718245E-4</v>
      </c>
      <c r="G68" s="20">
        <v>1.2348286654966099E-5</v>
      </c>
      <c r="H68" s="20">
        <v>0</v>
      </c>
      <c r="I68" s="20">
        <v>0.99887808343054096</v>
      </c>
      <c r="J68" s="20">
        <v>6.8476293731977787E-5</v>
      </c>
      <c r="K68" s="20">
        <v>8.8104752039226827E-4</v>
      </c>
      <c r="L68" s="20">
        <v>0</v>
      </c>
    </row>
    <row r="69" spans="1:12">
      <c r="A69" s="2" t="s">
        <v>499</v>
      </c>
      <c r="B69" s="3" t="s">
        <v>500</v>
      </c>
      <c r="D69" s="20">
        <v>7.6812202394325362E-12</v>
      </c>
      <c r="E69" s="20">
        <v>0.88228114628645826</v>
      </c>
      <c r="F69" s="20">
        <v>0.69565583536207298</v>
      </c>
      <c r="G69" s="20">
        <v>0.1789781389296238</v>
      </c>
      <c r="H69" s="20">
        <v>0</v>
      </c>
      <c r="I69" s="20">
        <v>7.647171994761527E-3</v>
      </c>
      <c r="J69" s="20">
        <v>2.1521786688282279E-3</v>
      </c>
      <c r="K69" s="20">
        <v>0.11556667503703227</v>
      </c>
      <c r="L69" s="20">
        <v>0</v>
      </c>
    </row>
    <row r="70" spans="1:12">
      <c r="A70" s="2" t="s">
        <v>501</v>
      </c>
      <c r="B70" s="3" t="s">
        <v>411</v>
      </c>
      <c r="D70" s="20">
        <v>2.7878553921457554E-13</v>
      </c>
      <c r="E70" s="20">
        <v>0.99987714770098113</v>
      </c>
      <c r="F70" s="20">
        <v>3.0251328928638948E-2</v>
      </c>
      <c r="G70" s="20">
        <v>2.8750147819709616E-6</v>
      </c>
      <c r="H70" s="20">
        <v>0</v>
      </c>
      <c r="I70" s="20">
        <v>0.9696229437575602</v>
      </c>
      <c r="J70" s="20">
        <v>6.6025562653971068E-5</v>
      </c>
      <c r="K70" s="20">
        <v>5.6826736086226186E-5</v>
      </c>
      <c r="L70" s="20">
        <v>0</v>
      </c>
    </row>
    <row r="71" spans="1:12">
      <c r="A71" s="2" t="s">
        <v>502</v>
      </c>
      <c r="B71" s="3" t="s">
        <v>412</v>
      </c>
      <c r="D71" s="20">
        <v>1.2733545483417837E-8</v>
      </c>
      <c r="E71" s="20">
        <v>0.99985563680764766</v>
      </c>
      <c r="F71" s="20">
        <v>5.6392843434894417E-2</v>
      </c>
      <c r="G71" s="20">
        <v>5.1249579574062708E-6</v>
      </c>
      <c r="H71" s="20">
        <v>0</v>
      </c>
      <c r="I71" s="20">
        <v>0.94345766841479584</v>
      </c>
      <c r="J71" s="20">
        <v>6.6510439037714263E-5</v>
      </c>
      <c r="K71" s="20">
        <v>7.7840019769318981E-5</v>
      </c>
      <c r="L71" s="20">
        <v>0</v>
      </c>
    </row>
    <row r="72" spans="1:12">
      <c r="A72" s="2" t="s">
        <v>503</v>
      </c>
      <c r="B72" s="3" t="s">
        <v>413</v>
      </c>
      <c r="D72" s="20">
        <v>1.72376994908153E-10</v>
      </c>
      <c r="E72" s="20">
        <v>0.99942075733393343</v>
      </c>
      <c r="F72" s="20">
        <v>0.9950697912257388</v>
      </c>
      <c r="G72" s="20">
        <v>4.5700178998773225E-4</v>
      </c>
      <c r="H72" s="20">
        <v>0</v>
      </c>
      <c r="I72" s="20">
        <v>3.8939643182068725E-3</v>
      </c>
      <c r="J72" s="20">
        <v>4.9113141224120971E-4</v>
      </c>
      <c r="K72" s="20">
        <v>8.8111081448489795E-5</v>
      </c>
      <c r="L72" s="20">
        <v>0</v>
      </c>
    </row>
    <row r="73" spans="1:12">
      <c r="A73" s="2" t="s">
        <v>504</v>
      </c>
      <c r="B73" s="3" t="s">
        <v>414</v>
      </c>
      <c r="D73" s="20">
        <v>2.2514898214946377E-10</v>
      </c>
      <c r="E73" s="20">
        <v>0.99986889104235477</v>
      </c>
      <c r="F73" s="20">
        <v>0.9637052493366981</v>
      </c>
      <c r="G73" s="20">
        <v>5.5706847724654964E-5</v>
      </c>
      <c r="H73" s="20">
        <v>0</v>
      </c>
      <c r="I73" s="20">
        <v>3.610793485793206E-2</v>
      </c>
      <c r="J73" s="20">
        <v>5.9688507446582701E-5</v>
      </c>
      <c r="K73" s="20">
        <v>7.1420225049562703E-5</v>
      </c>
      <c r="L73" s="20">
        <v>0</v>
      </c>
    </row>
    <row r="74" spans="1:12">
      <c r="A74" s="2" t="s">
        <v>505</v>
      </c>
      <c r="B74" s="3" t="s">
        <v>415</v>
      </c>
      <c r="D74" s="20">
        <v>1.5741620433033396E-9</v>
      </c>
      <c r="E74" s="20">
        <v>0.99985951267425655</v>
      </c>
      <c r="F74" s="20">
        <v>5.1300745109270157E-2</v>
      </c>
      <c r="G74" s="20">
        <v>4.6826104736663388E-6</v>
      </c>
      <c r="H74" s="20">
        <v>0</v>
      </c>
      <c r="I74" s="20">
        <v>0.94855408495451277</v>
      </c>
      <c r="J74" s="20">
        <v>6.6422860193963404E-5</v>
      </c>
      <c r="K74" s="20">
        <v>7.4062891387268045E-5</v>
      </c>
      <c r="L74" s="20">
        <v>0</v>
      </c>
    </row>
    <row r="75" spans="1:12">
      <c r="A75" s="2" t="s">
        <v>506</v>
      </c>
      <c r="B75" s="3" t="s">
        <v>416</v>
      </c>
      <c r="D75" s="20">
        <v>9.6622218063596747E-10</v>
      </c>
      <c r="E75" s="20">
        <v>0.99986249536017591</v>
      </c>
      <c r="F75" s="20">
        <v>0.9570866084006594</v>
      </c>
      <c r="G75" s="20">
        <v>5.6042254600501743E-5</v>
      </c>
      <c r="H75" s="20">
        <v>0</v>
      </c>
      <c r="I75" s="20">
        <v>4.2719844704916056E-2</v>
      </c>
      <c r="J75" s="20">
        <v>6.0372803723433148E-5</v>
      </c>
      <c r="K75" s="20">
        <v>7.7130869878520901E-5</v>
      </c>
      <c r="L75" s="20">
        <v>0</v>
      </c>
    </row>
    <row r="76" spans="1:12">
      <c r="A76" s="2" t="s">
        <v>507</v>
      </c>
      <c r="B76" s="3" t="s">
        <v>417</v>
      </c>
      <c r="D76" s="20">
        <v>2.2320023122790179E-8</v>
      </c>
      <c r="E76" s="20">
        <v>0.99975185189476889</v>
      </c>
      <c r="F76" s="20">
        <v>0.55178423658941267</v>
      </c>
      <c r="G76" s="20">
        <v>4.0126899411051456E-5</v>
      </c>
      <c r="H76" s="20">
        <v>0</v>
      </c>
      <c r="I76" s="20">
        <v>0.44792748840594515</v>
      </c>
      <c r="J76" s="20">
        <v>6.9251367161849242E-5</v>
      </c>
      <c r="K76" s="20">
        <v>1.788744180461293E-4</v>
      </c>
      <c r="L76" s="20">
        <v>0</v>
      </c>
    </row>
    <row r="77" spans="1:12">
      <c r="A77" s="2" t="s">
        <v>508</v>
      </c>
      <c r="B77" s="3" t="s">
        <v>418</v>
      </c>
      <c r="D77" s="20">
        <v>6.9705166418445879E-9</v>
      </c>
      <c r="E77" s="20">
        <v>0.99986687253352735</v>
      </c>
      <c r="F77" s="20">
        <v>0.96192146850759341</v>
      </c>
      <c r="G77" s="20">
        <v>5.5976524658539677E-5</v>
      </c>
      <c r="H77" s="20">
        <v>0</v>
      </c>
      <c r="I77" s="20">
        <v>3.7889427501275379E-2</v>
      </c>
      <c r="J77" s="20">
        <v>5.98855168411935E-5</v>
      </c>
      <c r="K77" s="20">
        <v>7.323497911502114E-5</v>
      </c>
      <c r="L77" s="20">
        <v>0</v>
      </c>
    </row>
    <row r="78" spans="1:12">
      <c r="A78" s="2" t="s">
        <v>509</v>
      </c>
      <c r="B78" s="3" t="s">
        <v>419</v>
      </c>
      <c r="D78" s="20">
        <v>6.9304650663775159E-10</v>
      </c>
      <c r="E78" s="20">
        <v>0.99950492399424196</v>
      </c>
      <c r="F78" s="20">
        <v>0.99480192142340529</v>
      </c>
      <c r="G78" s="20">
        <v>3.8388485138677334E-4</v>
      </c>
      <c r="H78" s="20">
        <v>0</v>
      </c>
      <c r="I78" s="20">
        <v>4.3191177194499058E-3</v>
      </c>
      <c r="J78" s="20">
        <v>4.1149314986156052E-4</v>
      </c>
      <c r="K78" s="20">
        <v>8.3582162850093898E-5</v>
      </c>
      <c r="L78" s="20">
        <v>0</v>
      </c>
    </row>
    <row r="79" spans="1:12">
      <c r="A79" s="2" t="s">
        <v>510</v>
      </c>
      <c r="B79" s="3" t="s">
        <v>420</v>
      </c>
      <c r="D79" s="20">
        <v>1.7408543348307099E-14</v>
      </c>
      <c r="E79" s="20">
        <v>0.99950493859328582</v>
      </c>
      <c r="F79" s="20">
        <v>0.99480199641986022</v>
      </c>
      <c r="G79" s="20">
        <v>3.8382412836463295E-4</v>
      </c>
      <c r="H79" s="20">
        <v>0</v>
      </c>
      <c r="I79" s="20">
        <v>4.319118045060976E-3</v>
      </c>
      <c r="J79" s="20">
        <v>4.1149246489849292E-4</v>
      </c>
      <c r="K79" s="20">
        <v>8.3568941798242146E-5</v>
      </c>
      <c r="L79" s="20">
        <v>0</v>
      </c>
    </row>
    <row r="80" spans="1:12">
      <c r="A80" s="2" t="s">
        <v>511</v>
      </c>
      <c r="B80" s="3" t="s">
        <v>421</v>
      </c>
      <c r="D80" s="20">
        <v>1.9624152972942464E-9</v>
      </c>
      <c r="E80" s="20">
        <v>0.99979620420349113</v>
      </c>
      <c r="F80" s="20">
        <v>0.83303866088659295</v>
      </c>
      <c r="G80" s="20">
        <v>5.4479048827395257E-5</v>
      </c>
      <c r="H80" s="20">
        <v>0</v>
      </c>
      <c r="I80" s="20">
        <v>0.1667030642680708</v>
      </c>
      <c r="J80" s="20">
        <v>6.6091231992055626E-5</v>
      </c>
      <c r="K80" s="20">
        <v>1.3770260210137493E-4</v>
      </c>
      <c r="L80" s="20">
        <v>0</v>
      </c>
    </row>
    <row r="81" spans="1:12">
      <c r="A81" s="2" t="s">
        <v>512</v>
      </c>
      <c r="B81" s="3" t="s">
        <v>422</v>
      </c>
      <c r="D81" s="20">
        <v>2.5656920751312768E-9</v>
      </c>
      <c r="E81" s="20">
        <v>0.99979446493807245</v>
      </c>
      <c r="F81" s="20">
        <v>0.19510965878321251</v>
      </c>
      <c r="G81" s="20">
        <v>1.5945683092563776E-5</v>
      </c>
      <c r="H81" s="20">
        <v>0</v>
      </c>
      <c r="I81" s="20">
        <v>0.80466886047176733</v>
      </c>
      <c r="J81" s="20">
        <v>6.8205551116805134E-5</v>
      </c>
      <c r="K81" s="20">
        <v>1.3732694511874694E-4</v>
      </c>
      <c r="L81" s="20">
        <v>0</v>
      </c>
    </row>
    <row r="82" spans="1:12">
      <c r="A82" s="2" t="s">
        <v>513</v>
      </c>
      <c r="B82" s="3" t="s">
        <v>423</v>
      </c>
      <c r="D82" s="20">
        <v>6.4591516535908019E-13</v>
      </c>
      <c r="E82" s="20">
        <v>0.99975810253724851</v>
      </c>
      <c r="F82" s="20">
        <v>0.39124580708559431</v>
      </c>
      <c r="G82" s="20">
        <v>2.9753997384623399E-5</v>
      </c>
      <c r="H82" s="20">
        <v>0</v>
      </c>
      <c r="I82" s="20">
        <v>0.60848254145426961</v>
      </c>
      <c r="J82" s="20">
        <v>6.9290642267343634E-5</v>
      </c>
      <c r="K82" s="20">
        <v>1.7260681983823767E-4</v>
      </c>
      <c r="L82" s="20">
        <v>0</v>
      </c>
    </row>
    <row r="83" spans="1:12">
      <c r="A83" s="2" t="s">
        <v>514</v>
      </c>
      <c r="B83" s="3" t="s">
        <v>424</v>
      </c>
      <c r="D83" s="20">
        <v>2.4804948641499373E-10</v>
      </c>
      <c r="E83" s="20">
        <v>0.99909941597470076</v>
      </c>
      <c r="F83" s="20">
        <v>0.99543422558914207</v>
      </c>
      <c r="G83" s="20">
        <v>7.3786502985231971E-4</v>
      </c>
      <c r="H83" s="20">
        <v>0</v>
      </c>
      <c r="I83" s="20">
        <v>2.9273253557063699E-3</v>
      </c>
      <c r="J83" s="20">
        <v>7.9875053801134184E-4</v>
      </c>
      <c r="K83" s="20">
        <v>1.01833239238273E-4</v>
      </c>
      <c r="L83" s="20">
        <v>0</v>
      </c>
    </row>
    <row r="84" spans="1:12">
      <c r="A84" s="2" t="s">
        <v>403</v>
      </c>
      <c r="B84" s="3" t="s">
        <v>404</v>
      </c>
      <c r="D84" s="20">
        <v>4.4721249878763529E-44</v>
      </c>
      <c r="E84" s="20">
        <v>0.66417250795607052</v>
      </c>
      <c r="F84" s="20">
        <v>0.30873662172810457</v>
      </c>
      <c r="G84" s="20">
        <v>7.1430502129593468E-2</v>
      </c>
      <c r="H84" s="20">
        <v>0</v>
      </c>
      <c r="I84" s="20">
        <v>0.28400538409837245</v>
      </c>
      <c r="J84" s="20">
        <v>8.6488070755152448E-4</v>
      </c>
      <c r="K84" s="20">
        <v>0.33496261133637784</v>
      </c>
      <c r="L84" s="20">
        <v>0</v>
      </c>
    </row>
    <row r="85" spans="1:12">
      <c r="A85" s="2" t="s">
        <v>405</v>
      </c>
      <c r="B85" s="3" t="s">
        <v>406</v>
      </c>
      <c r="D85" s="20">
        <v>1.4862822772917586E-8</v>
      </c>
      <c r="E85" s="20">
        <v>0.95125035478340658</v>
      </c>
      <c r="F85" s="20">
        <v>0.85244859492920166</v>
      </c>
      <c r="G85" s="20">
        <v>4.4564803054641597E-2</v>
      </c>
      <c r="H85" s="20">
        <v>0</v>
      </c>
      <c r="I85" s="20">
        <v>5.423695679956328E-2</v>
      </c>
      <c r="J85" s="20">
        <v>3.1980728528099481E-2</v>
      </c>
      <c r="K85" s="20">
        <v>1.6768901825671218E-2</v>
      </c>
      <c r="L85" s="20">
        <v>0</v>
      </c>
    </row>
    <row r="86" spans="1:12">
      <c r="A86" s="2" t="s">
        <v>407</v>
      </c>
      <c r="B86" s="3" t="s">
        <v>408</v>
      </c>
      <c r="D86" s="20">
        <v>2.6289267423649629E-5</v>
      </c>
      <c r="E86" s="20">
        <v>0.92283928472317989</v>
      </c>
      <c r="F86" s="20">
        <v>0.1757732161371027</v>
      </c>
      <c r="G86" s="20">
        <v>0.74670361606507119</v>
      </c>
      <c r="H86" s="20">
        <v>0</v>
      </c>
      <c r="I86" s="20">
        <v>3.6245252100597944E-4</v>
      </c>
      <c r="J86" s="20">
        <v>9.110626657087709E-3</v>
      </c>
      <c r="K86" s="20">
        <v>6.8023799352308872E-2</v>
      </c>
      <c r="L86" s="20">
        <v>0</v>
      </c>
    </row>
    <row r="87" spans="1:12">
      <c r="A87" s="2" t="s">
        <v>409</v>
      </c>
      <c r="B87" s="3" t="s">
        <v>410</v>
      </c>
      <c r="D87" s="20">
        <v>3.2740794359346815E-6</v>
      </c>
      <c r="E87" s="20">
        <v>0.94352119793514777</v>
      </c>
      <c r="F87" s="20">
        <v>9.5271593005614635E-2</v>
      </c>
      <c r="G87" s="20">
        <v>0.8481232762802503</v>
      </c>
      <c r="H87" s="20">
        <v>0</v>
      </c>
      <c r="I87" s="20">
        <v>1.2632864928283021E-4</v>
      </c>
      <c r="J87" s="20">
        <v>1.0389252355902601E-2</v>
      </c>
      <c r="K87" s="20">
        <v>4.6086275629513646E-2</v>
      </c>
      <c r="L87" s="20">
        <v>0</v>
      </c>
    </row>
    <row r="88" spans="1:12">
      <c r="A88" s="2" t="s">
        <v>301</v>
      </c>
      <c r="B88" s="3" t="s">
        <v>302</v>
      </c>
      <c r="D88" s="20">
        <v>4.0627350856689551E-7</v>
      </c>
      <c r="E88" s="20">
        <v>0.96104417420689114</v>
      </c>
      <c r="F88" s="20">
        <v>4.4390774214678456E-2</v>
      </c>
      <c r="G88" s="20">
        <v>0.91661777529799882</v>
      </c>
      <c r="H88" s="20">
        <v>0</v>
      </c>
      <c r="I88" s="20">
        <v>3.5624694213922956E-5</v>
      </c>
      <c r="J88" s="20">
        <v>1.1279573509657232E-2</v>
      </c>
      <c r="K88" s="20">
        <v>2.7675846009942863E-2</v>
      </c>
      <c r="L88" s="20">
        <v>0</v>
      </c>
    </row>
    <row r="89" spans="1:12">
      <c r="A89" s="2" t="s">
        <v>303</v>
      </c>
      <c r="B89" s="3" t="s">
        <v>304</v>
      </c>
      <c r="D89" s="20">
        <v>2.5050058405126166E-13</v>
      </c>
      <c r="E89" s="20">
        <v>0.79425166673296055</v>
      </c>
      <c r="F89" s="20">
        <v>0.22004208496968886</v>
      </c>
      <c r="G89" s="20">
        <v>0.57228429418485183</v>
      </c>
      <c r="H89" s="20">
        <v>0</v>
      </c>
      <c r="I89" s="20">
        <v>1.9252875784198575E-3</v>
      </c>
      <c r="J89" s="20">
        <v>0.18160904517851151</v>
      </c>
      <c r="K89" s="20">
        <v>2.4139288088277377E-2</v>
      </c>
      <c r="L89" s="20">
        <v>0</v>
      </c>
    </row>
    <row r="90" spans="1:12">
      <c r="A90" s="2" t="s">
        <v>425</v>
      </c>
      <c r="B90" s="3" t="s">
        <v>426</v>
      </c>
      <c r="D90" s="20">
        <v>1.6023226626777511E-13</v>
      </c>
      <c r="E90" s="20">
        <v>0.97481091488948513</v>
      </c>
      <c r="F90" s="20">
        <v>9.1646571844988757E-4</v>
      </c>
      <c r="G90" s="20">
        <v>3.0770992985821709E-4</v>
      </c>
      <c r="H90" s="20">
        <v>0</v>
      </c>
      <c r="I90" s="20">
        <v>0.973586739241177</v>
      </c>
      <c r="J90" s="20">
        <v>6.7089129649286784E-5</v>
      </c>
      <c r="K90" s="20">
        <v>2.5121995980705532E-2</v>
      </c>
      <c r="L90" s="20">
        <v>0</v>
      </c>
    </row>
    <row r="91" spans="1:12">
      <c r="A91" s="2" t="s">
        <v>427</v>
      </c>
      <c r="B91" s="3" t="s">
        <v>428</v>
      </c>
      <c r="D91" s="20">
        <v>8.2458289550763238E-5</v>
      </c>
      <c r="E91" s="20">
        <v>0.78730732511145529</v>
      </c>
      <c r="F91" s="20">
        <v>5.5018473521265696E-2</v>
      </c>
      <c r="G91" s="20">
        <v>1.5474053432555679E-2</v>
      </c>
      <c r="H91" s="20">
        <v>0</v>
      </c>
      <c r="I91" s="20">
        <v>0.71681479815763394</v>
      </c>
      <c r="J91" s="20">
        <v>2.2869756656551893E-4</v>
      </c>
      <c r="K91" s="20">
        <v>0.21238151903242841</v>
      </c>
      <c r="L91" s="20">
        <v>0</v>
      </c>
    </row>
    <row r="92" spans="1:12">
      <c r="A92" s="2" t="s">
        <v>429</v>
      </c>
      <c r="B92" s="3" t="s">
        <v>430</v>
      </c>
      <c r="D92" s="20">
        <v>5.0589295772098832E-4</v>
      </c>
      <c r="E92" s="20">
        <v>0.7108401672153839</v>
      </c>
      <c r="F92" s="20">
        <v>0.48209524586150021</v>
      </c>
      <c r="G92" s="20">
        <v>0.1017251652718517</v>
      </c>
      <c r="H92" s="20">
        <v>0</v>
      </c>
      <c r="I92" s="20">
        <v>0.12701975608203203</v>
      </c>
      <c r="J92" s="20">
        <v>1.2180231290003661E-3</v>
      </c>
      <c r="K92" s="20">
        <v>0.2874359166978947</v>
      </c>
      <c r="L92" s="20">
        <v>0</v>
      </c>
    </row>
    <row r="93" spans="1:12">
      <c r="A93" s="2" t="s">
        <v>431</v>
      </c>
      <c r="B93" s="3" t="s">
        <v>432</v>
      </c>
      <c r="D93" s="20">
        <v>1.2053039139518675E-17</v>
      </c>
      <c r="E93" s="20">
        <v>0.99978159208980377</v>
      </c>
      <c r="F93" s="20">
        <v>4.3615057544705059E-3</v>
      </c>
      <c r="G93" s="20">
        <v>3.4942853808335859E-6</v>
      </c>
      <c r="H93" s="20">
        <v>0</v>
      </c>
      <c r="I93" s="20">
        <v>0.99541659204995248</v>
      </c>
      <c r="J93" s="20">
        <v>6.5415107080149689E-5</v>
      </c>
      <c r="K93" s="20">
        <v>1.5299280311593174E-4</v>
      </c>
      <c r="L93" s="20">
        <v>0</v>
      </c>
    </row>
    <row r="94" spans="1:12">
      <c r="A94" s="2" t="s">
        <v>433</v>
      </c>
      <c r="B94" s="3" t="s">
        <v>434</v>
      </c>
      <c r="D94" s="20">
        <v>2.5475326927375498E-18</v>
      </c>
      <c r="E94" s="20">
        <v>0.9999304399257628</v>
      </c>
      <c r="F94" s="20">
        <v>1.6974382378795633E-5</v>
      </c>
      <c r="G94" s="20">
        <v>2.3685885360840808E-8</v>
      </c>
      <c r="H94" s="20">
        <v>0</v>
      </c>
      <c r="I94" s="20">
        <v>0.99991344185749864</v>
      </c>
      <c r="J94" s="20">
        <v>6.5689260679362076E-5</v>
      </c>
      <c r="K94" s="20">
        <v>3.8708135577766862E-6</v>
      </c>
      <c r="L94" s="20">
        <v>0</v>
      </c>
    </row>
    <row r="95" spans="1:12">
      <c r="A95" s="2" t="s">
        <v>435</v>
      </c>
      <c r="B95" s="3" t="s">
        <v>436</v>
      </c>
      <c r="D95" s="20">
        <v>1.3624643993236359E-8</v>
      </c>
      <c r="E95" s="20">
        <v>0.94200481889716081</v>
      </c>
      <c r="F95" s="20">
        <v>3.7374085105517795E-3</v>
      </c>
      <c r="G95" s="20">
        <v>1.2962889424876936E-3</v>
      </c>
      <c r="H95" s="20">
        <v>0</v>
      </c>
      <c r="I95" s="20">
        <v>0.93697112144412131</v>
      </c>
      <c r="J95" s="20">
        <v>7.7048728392607106E-5</v>
      </c>
      <c r="K95" s="20">
        <v>5.7918118749802613E-2</v>
      </c>
      <c r="L95" s="20">
        <v>0</v>
      </c>
    </row>
    <row r="96" spans="1:12">
      <c r="A96" s="2" t="s">
        <v>437</v>
      </c>
      <c r="B96" s="165" t="s">
        <v>438</v>
      </c>
      <c r="D96" s="20">
        <v>4.9004952303753505E-8</v>
      </c>
      <c r="E96" s="20">
        <v>0.91445981256913333</v>
      </c>
      <c r="F96" s="20">
        <v>0.21632872255226487</v>
      </c>
      <c r="G96" s="20">
        <v>0.69760525123719153</v>
      </c>
      <c r="H96" s="20">
        <v>0</v>
      </c>
      <c r="I96" s="20">
        <v>5.2583877967692625E-4</v>
      </c>
      <c r="J96" s="20">
        <v>8.4990567699455063E-3</v>
      </c>
      <c r="K96" s="20">
        <v>7.7041081655968763E-2</v>
      </c>
      <c r="L96" s="20">
        <v>0</v>
      </c>
    </row>
    <row r="97" spans="1:12">
      <c r="A97" s="2" t="s">
        <v>439</v>
      </c>
      <c r="B97" s="3" t="s">
        <v>440</v>
      </c>
      <c r="D97" s="20">
        <v>3.9898990994152593E-5</v>
      </c>
      <c r="E97" s="20">
        <v>0.72979910876570442</v>
      </c>
      <c r="F97" s="20">
        <v>0.10252649904345588</v>
      </c>
      <c r="G97" s="20">
        <v>2.7185146842197291E-2</v>
      </c>
      <c r="H97" s="20">
        <v>0</v>
      </c>
      <c r="I97" s="20">
        <v>0.60008746288005121</v>
      </c>
      <c r="J97" s="20">
        <v>3.5952088311456493E-4</v>
      </c>
      <c r="K97" s="20">
        <v>0.2698014713601869</v>
      </c>
      <c r="L97" s="20">
        <v>0</v>
      </c>
    </row>
    <row r="98" spans="1:12">
      <c r="A98" s="2" t="s">
        <v>441</v>
      </c>
      <c r="B98" s="3" t="s">
        <v>442</v>
      </c>
      <c r="D98" s="20">
        <v>2.7190592946020161E-17</v>
      </c>
      <c r="E98" s="20">
        <v>0.77644480525546722</v>
      </c>
      <c r="F98" s="20">
        <v>6.2157407630042245E-2</v>
      </c>
      <c r="G98" s="20">
        <v>1.7289739448379127E-2</v>
      </c>
      <c r="H98" s="20">
        <v>0</v>
      </c>
      <c r="I98" s="20">
        <v>0.69699765817704584</v>
      </c>
      <c r="J98" s="20">
        <v>2.4884154935461141E-4</v>
      </c>
      <c r="K98" s="20">
        <v>0.22330635319517808</v>
      </c>
      <c r="L98" s="20">
        <v>0</v>
      </c>
    </row>
    <row r="99" spans="1:12">
      <c r="A99" s="2" t="s">
        <v>443</v>
      </c>
      <c r="B99" s="3" t="s">
        <v>444</v>
      </c>
      <c r="D99" s="20">
        <v>4.201957669339165E-29</v>
      </c>
      <c r="E99" s="20">
        <v>0.88284938674654834</v>
      </c>
      <c r="F99" s="20">
        <v>1.4781751191062254E-2</v>
      </c>
      <c r="G99" s="20">
        <v>4.6432433269449989E-3</v>
      </c>
      <c r="H99" s="20">
        <v>0</v>
      </c>
      <c r="I99" s="20">
        <v>0.86342439222854106</v>
      </c>
      <c r="J99" s="20">
        <v>1.1067774564340458E-4</v>
      </c>
      <c r="K99" s="20">
        <v>0.11703993550780835</v>
      </c>
      <c r="L99" s="20">
        <v>0</v>
      </c>
    </row>
    <row r="100" spans="1:12">
      <c r="A100" s="2" t="s">
        <v>445</v>
      </c>
      <c r="B100" s="3" t="s">
        <v>446</v>
      </c>
      <c r="D100" s="20">
        <v>5.0372324916528202E-8</v>
      </c>
      <c r="E100" s="20">
        <v>0.87915285482501238</v>
      </c>
      <c r="F100" s="20">
        <v>0.53255713909906277</v>
      </c>
      <c r="G100" s="20">
        <v>0.34321144859011088</v>
      </c>
      <c r="H100" s="20">
        <v>0</v>
      </c>
      <c r="I100" s="20">
        <v>3.3842671358387121E-3</v>
      </c>
      <c r="J100" s="20">
        <v>4.1461433458856861E-3</v>
      </c>
      <c r="K100" s="20">
        <v>0.11670095145677711</v>
      </c>
      <c r="L100" s="20">
        <v>0</v>
      </c>
    </row>
    <row r="101" spans="1:12">
      <c r="A101" s="2" t="s">
        <v>447</v>
      </c>
      <c r="B101" s="3" t="s">
        <v>448</v>
      </c>
      <c r="D101" s="20">
        <v>4.4372289159676857E-9</v>
      </c>
      <c r="E101" s="20">
        <v>0.68615639798436368</v>
      </c>
      <c r="F101" s="20">
        <v>0.41781694510277828</v>
      </c>
      <c r="G101" s="20">
        <v>9.1302276189388756E-2</v>
      </c>
      <c r="H101" s="20">
        <v>0</v>
      </c>
      <c r="I101" s="20">
        <v>0.1770371766921966</v>
      </c>
      <c r="J101" s="20">
        <v>1.0958177925744386E-3</v>
      </c>
      <c r="K101" s="20">
        <v>0.31274777978583285</v>
      </c>
      <c r="L101" s="20">
        <v>0</v>
      </c>
    </row>
    <row r="102" spans="1:12">
      <c r="A102" s="2" t="s">
        <v>449</v>
      </c>
      <c r="B102" s="3" t="s">
        <v>450</v>
      </c>
      <c r="D102" s="20">
        <v>1.9698733274030008E-4</v>
      </c>
      <c r="E102" s="20">
        <v>0.80809014050807138</v>
      </c>
      <c r="F102" s="20">
        <v>0.64671437533866372</v>
      </c>
      <c r="G102" s="20">
        <v>0.12240751179919064</v>
      </c>
      <c r="H102" s="20">
        <v>0</v>
      </c>
      <c r="I102" s="20">
        <v>3.8968253370217004E-2</v>
      </c>
      <c r="J102" s="20">
        <v>1.4646090212791902E-3</v>
      </c>
      <c r="K102" s="20">
        <v>0.19024826313790899</v>
      </c>
      <c r="L102" s="20">
        <v>0</v>
      </c>
    </row>
    <row r="103" spans="1:12">
      <c r="A103" s="2" t="s">
        <v>451</v>
      </c>
      <c r="B103" s="3" t="s">
        <v>452</v>
      </c>
      <c r="D103" s="20">
        <v>4.4007934857120941E-19</v>
      </c>
      <c r="E103" s="20">
        <v>0.9998149662041681</v>
      </c>
      <c r="F103" s="20">
        <v>0.10505639481812271</v>
      </c>
      <c r="G103" s="20">
        <v>1.0195245814030543E-5</v>
      </c>
      <c r="H103" s="20">
        <v>0</v>
      </c>
      <c r="I103" s="20">
        <v>0.89474837614023139</v>
      </c>
      <c r="J103" s="20">
        <v>6.7243277761486303E-5</v>
      </c>
      <c r="K103" s="20">
        <v>1.1779051807041187E-4</v>
      </c>
      <c r="L103" s="20">
        <v>0</v>
      </c>
    </row>
    <row r="104" spans="1:12">
      <c r="A104" s="2" t="s">
        <v>453</v>
      </c>
      <c r="B104" s="3" t="s">
        <v>454</v>
      </c>
      <c r="D104" s="20">
        <v>1.1288711603562249E-20</v>
      </c>
      <c r="E104" s="20">
        <v>0.99921365734947032</v>
      </c>
      <c r="F104" s="20">
        <v>0.98706128478379773</v>
      </c>
      <c r="G104" s="20">
        <v>1.0452249509133853E-3</v>
      </c>
      <c r="H104" s="20">
        <v>0</v>
      </c>
      <c r="I104" s="20">
        <v>1.1107147614759245E-2</v>
      </c>
      <c r="J104" s="20">
        <v>9.2721386052517952E-5</v>
      </c>
      <c r="K104" s="20">
        <v>6.936212644771605E-4</v>
      </c>
      <c r="L104" s="20">
        <v>0</v>
      </c>
    </row>
    <row r="105" spans="1:12">
      <c r="A105" s="2" t="s">
        <v>455</v>
      </c>
      <c r="B105" s="165">
        <v>354656</v>
      </c>
      <c r="D105" s="20">
        <v>3.6858010388276952E-10</v>
      </c>
      <c r="E105" s="20">
        <v>0.96982910454669335</v>
      </c>
      <c r="F105" s="20">
        <v>9.8266639182159957E-4</v>
      </c>
      <c r="G105" s="20">
        <v>3.8010331599046162E-4</v>
      </c>
      <c r="H105" s="20">
        <v>0</v>
      </c>
      <c r="I105" s="20">
        <v>0.96846633483888134</v>
      </c>
      <c r="J105" s="20">
        <v>6.7582451514480512E-5</v>
      </c>
      <c r="K105" s="20">
        <v>3.0103312633211962E-2</v>
      </c>
      <c r="L105" s="20">
        <v>0</v>
      </c>
    </row>
    <row r="106" spans="1:12">
      <c r="A106" s="2" t="s">
        <v>457</v>
      </c>
      <c r="B106" s="3" t="s">
        <v>458</v>
      </c>
      <c r="D106" s="20">
        <v>5.4618603338189417E-10</v>
      </c>
      <c r="E106" s="20">
        <v>0.93930032162991572</v>
      </c>
      <c r="F106" s="20">
        <v>4.0507956081277255E-3</v>
      </c>
      <c r="G106" s="20">
        <v>1.3986718304895324E-3</v>
      </c>
      <c r="H106" s="20">
        <v>0</v>
      </c>
      <c r="I106" s="20">
        <v>0.93385085419129843</v>
      </c>
      <c r="J106" s="20">
        <v>7.7929285487872687E-5</v>
      </c>
      <c r="K106" s="20">
        <v>6.0621748538410583E-2</v>
      </c>
      <c r="L106" s="20">
        <v>0</v>
      </c>
    </row>
    <row r="107" spans="1:12">
      <c r="A107" s="2" t="s">
        <v>459</v>
      </c>
      <c r="B107" s="3" t="s">
        <v>460</v>
      </c>
      <c r="D107" s="20">
        <v>4.6099181195037883E-20</v>
      </c>
      <c r="E107" s="20">
        <v>0.86052156002921509</v>
      </c>
      <c r="F107" s="20">
        <v>0.71449065810213142</v>
      </c>
      <c r="G107" s="20">
        <v>0.1250503027779977</v>
      </c>
      <c r="H107" s="20">
        <v>0</v>
      </c>
      <c r="I107" s="20">
        <v>2.0980599149086003E-2</v>
      </c>
      <c r="J107" s="20">
        <v>1.7583245030607405E-3</v>
      </c>
      <c r="K107" s="20">
        <v>0.13772011546772417</v>
      </c>
      <c r="L107" s="20">
        <v>0</v>
      </c>
    </row>
    <row r="108" spans="1:12">
      <c r="A108" s="2" t="s">
        <v>461</v>
      </c>
      <c r="B108" s="3" t="s">
        <v>462</v>
      </c>
      <c r="D108" s="20">
        <v>1.1006753774876522E-9</v>
      </c>
      <c r="E108" s="20">
        <v>0.99987895076217626</v>
      </c>
      <c r="F108" s="20">
        <v>8.7923676918318445E-6</v>
      </c>
      <c r="G108" s="20">
        <v>2.5483989849906564E-7</v>
      </c>
      <c r="H108" s="20">
        <v>0</v>
      </c>
      <c r="I108" s="20">
        <v>0.99986990355458594</v>
      </c>
      <c r="J108" s="20">
        <v>6.5460264486248197E-5</v>
      </c>
      <c r="K108" s="20">
        <v>5.5587872662226886E-5</v>
      </c>
      <c r="L108" s="20">
        <v>0</v>
      </c>
    </row>
    <row r="109" spans="1:12">
      <c r="A109" s="2" t="s">
        <v>463</v>
      </c>
      <c r="B109" s="3" t="s">
        <v>464</v>
      </c>
      <c r="D109" s="20">
        <v>2.8091499501130632E-12</v>
      </c>
      <c r="E109" s="20">
        <v>0.98090817938597519</v>
      </c>
      <c r="F109" s="20">
        <v>5.7672918705730374E-2</v>
      </c>
      <c r="G109" s="20">
        <v>2.8666720136748527E-3</v>
      </c>
      <c r="H109" s="20">
        <v>0</v>
      </c>
      <c r="I109" s="20">
        <v>0.92036858866657001</v>
      </c>
      <c r="J109" s="20">
        <v>8.7424263345601909E-4</v>
      </c>
      <c r="K109" s="20">
        <v>1.8217577977759563E-2</v>
      </c>
      <c r="L109" s="20">
        <v>0</v>
      </c>
    </row>
    <row r="110" spans="1:12">
      <c r="A110" s="2" t="s">
        <v>465</v>
      </c>
      <c r="B110" s="3" t="s">
        <v>466</v>
      </c>
      <c r="D110" s="20">
        <v>2.089652935653944E-11</v>
      </c>
      <c r="E110" s="20">
        <v>0.99367822135276462</v>
      </c>
      <c r="F110" s="20">
        <v>2.2482793279780697E-4</v>
      </c>
      <c r="G110" s="20">
        <v>4.3014689568736217E-5</v>
      </c>
      <c r="H110" s="20">
        <v>0</v>
      </c>
      <c r="I110" s="20">
        <v>0.99341037873039806</v>
      </c>
      <c r="J110" s="20">
        <v>6.5307803663228498E-5</v>
      </c>
      <c r="K110" s="20">
        <v>6.2564708226756395E-3</v>
      </c>
      <c r="L110" s="20">
        <v>0</v>
      </c>
    </row>
    <row r="111" spans="1:12">
      <c r="A111" s="2" t="s">
        <v>467</v>
      </c>
      <c r="B111" s="3" t="s">
        <v>468</v>
      </c>
      <c r="D111" s="20">
        <v>3.7145246657602909E-30</v>
      </c>
      <c r="E111" s="20">
        <v>0.99992915906071211</v>
      </c>
      <c r="F111" s="20">
        <v>1.5978053167244372E-5</v>
      </c>
      <c r="G111" s="20">
        <v>1.3200665019758583E-8</v>
      </c>
      <c r="H111" s="20">
        <v>0</v>
      </c>
      <c r="I111" s="20">
        <v>0.99991316780687989</v>
      </c>
      <c r="J111" s="20">
        <v>6.5221299986652833E-5</v>
      </c>
      <c r="K111" s="20">
        <v>5.6196393010477579E-6</v>
      </c>
      <c r="L111" s="20">
        <v>0</v>
      </c>
    </row>
    <row r="112" spans="1:12">
      <c r="A112" s="2" t="s">
        <v>469</v>
      </c>
      <c r="B112" s="3" t="s">
        <v>470</v>
      </c>
      <c r="D112" s="20">
        <v>2.347927157023884E-13</v>
      </c>
      <c r="E112" s="20">
        <v>0.99182963678259217</v>
      </c>
      <c r="F112" s="20">
        <v>7.7545898782768456E-5</v>
      </c>
      <c r="G112" s="20">
        <v>3.622883671445678E-5</v>
      </c>
      <c r="H112" s="20">
        <v>0</v>
      </c>
      <c r="I112" s="20">
        <v>0.99171586204709494</v>
      </c>
      <c r="J112" s="20">
        <v>6.5101925589582395E-5</v>
      </c>
      <c r="K112" s="20">
        <v>8.1052612915834543E-3</v>
      </c>
      <c r="L112" s="20">
        <v>0</v>
      </c>
    </row>
    <row r="113" spans="1:12">
      <c r="A113" s="2" t="s">
        <v>471</v>
      </c>
      <c r="B113" s="3" t="s">
        <v>472</v>
      </c>
      <c r="D113" s="20">
        <v>2.889455798936316E-9</v>
      </c>
      <c r="E113" s="20">
        <v>0.9544613763726868</v>
      </c>
      <c r="F113" s="20">
        <v>2.2033843994307494E-3</v>
      </c>
      <c r="G113" s="20">
        <v>8.0202115811193954E-4</v>
      </c>
      <c r="H113" s="20">
        <v>0</v>
      </c>
      <c r="I113" s="20">
        <v>0.9514559708151441</v>
      </c>
      <c r="J113" s="20">
        <v>7.1394965651654831E-5</v>
      </c>
      <c r="K113" s="20">
        <v>4.5467225772205522E-2</v>
      </c>
      <c r="L113" s="20">
        <v>0</v>
      </c>
    </row>
    <row r="114" spans="1:12">
      <c r="A114" s="2" t="s">
        <v>473</v>
      </c>
      <c r="B114" s="3" t="s">
        <v>474</v>
      </c>
      <c r="D114" s="20">
        <v>2.3047618579853806E-16</v>
      </c>
      <c r="E114" s="20">
        <v>0.99573239712384554</v>
      </c>
      <c r="F114" s="20">
        <v>2.2580284073056837E-5</v>
      </c>
      <c r="G114" s="20">
        <v>1.137622059916806E-5</v>
      </c>
      <c r="H114" s="20">
        <v>0</v>
      </c>
      <c r="I114" s="20">
        <v>0.99569844061917334</v>
      </c>
      <c r="J114" s="20">
        <v>6.5074683999753857E-5</v>
      </c>
      <c r="K114" s="20">
        <v>4.2025281921545506E-3</v>
      </c>
      <c r="L114" s="20">
        <v>0</v>
      </c>
    </row>
    <row r="115" spans="1:12">
      <c r="A115" s="2" t="s">
        <v>475</v>
      </c>
      <c r="B115" s="3" t="s">
        <v>476</v>
      </c>
      <c r="D115" s="20">
        <v>1.1919097484116306E-12</v>
      </c>
      <c r="E115" s="20">
        <v>0.9998663480435156</v>
      </c>
      <c r="F115" s="20">
        <v>2.745061523957399E-2</v>
      </c>
      <c r="G115" s="20">
        <v>3.2880312445507946E-6</v>
      </c>
      <c r="H115" s="20">
        <v>0</v>
      </c>
      <c r="I115" s="20">
        <v>0.97241244477269706</v>
      </c>
      <c r="J115" s="20">
        <v>6.5973791627687081E-5</v>
      </c>
      <c r="K115" s="20">
        <v>6.7678163664842189E-5</v>
      </c>
      <c r="L115" s="20">
        <v>0</v>
      </c>
    </row>
    <row r="116" spans="1:12">
      <c r="A116" s="2" t="s">
        <v>477</v>
      </c>
      <c r="B116" s="3" t="s">
        <v>478</v>
      </c>
      <c r="D116" s="20">
        <v>3.3515638167829795E-17</v>
      </c>
      <c r="E116" s="20">
        <v>0.97182971421737452</v>
      </c>
      <c r="F116" s="20">
        <v>0.81849068688493742</v>
      </c>
      <c r="G116" s="20">
        <v>1.9824272676646357E-2</v>
      </c>
      <c r="H116" s="20">
        <v>0</v>
      </c>
      <c r="I116" s="20">
        <v>0.13351475465579071</v>
      </c>
      <c r="J116" s="20">
        <v>9.0316977909117337E-3</v>
      </c>
      <c r="K116" s="20">
        <v>1.9138587991713647E-2</v>
      </c>
      <c r="L116" s="20">
        <v>0</v>
      </c>
    </row>
    <row r="117" spans="1:12">
      <c r="A117" s="2" t="s">
        <v>291</v>
      </c>
      <c r="B117" s="3" t="s">
        <v>479</v>
      </c>
      <c r="D117" s="20">
        <v>2.9413434223364423E-10</v>
      </c>
      <c r="E117" s="20">
        <v>0.68568108153900065</v>
      </c>
      <c r="F117" s="20">
        <v>0.1707732915518228</v>
      </c>
      <c r="G117" s="20">
        <v>4.284651510652298E-2</v>
      </c>
      <c r="H117" s="20">
        <v>0</v>
      </c>
      <c r="I117" s="20">
        <v>0.47206127488065486</v>
      </c>
      <c r="J117" s="20">
        <v>5.3683986042116845E-4</v>
      </c>
      <c r="K117" s="20">
        <v>0.31378207830644395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1.0486573094730141E-12</v>
      </c>
      <c r="E2" s="14">
        <v>3.9028892607192329E-5</v>
      </c>
      <c r="F2" s="14">
        <v>2.4016394193405363E-8</v>
      </c>
      <c r="G2" s="14">
        <v>9.6383647744856426E-9</v>
      </c>
      <c r="H2" s="14">
        <v>0</v>
      </c>
      <c r="I2" s="14">
        <v>2.6574280953791911E-9</v>
      </c>
      <c r="J2" s="14">
        <v>9.3479415708709173E-7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7.9939275275961151E-13</v>
      </c>
      <c r="E3" s="14">
        <v>1.8688088468450954E-5</v>
      </c>
      <c r="F3" s="14">
        <v>7.4244374011057199E-6</v>
      </c>
      <c r="G3" s="14">
        <v>1.8036478260226137E-6</v>
      </c>
      <c r="H3" s="14">
        <v>0</v>
      </c>
      <c r="I3" s="14">
        <v>2.6128310462238754E-8</v>
      </c>
      <c r="J3" s="14">
        <v>1.2057697194565726E-5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5.4412977773366733E-22</v>
      </c>
      <c r="E4" s="14">
        <v>3.9979295244198059E-5</v>
      </c>
      <c r="F4" s="14">
        <v>1.6872394011017527E-8</v>
      </c>
      <c r="G4" s="14">
        <v>1.8581139780960093E-11</v>
      </c>
      <c r="H4" s="14">
        <v>0</v>
      </c>
      <c r="I4" s="14">
        <v>2.9877712676048878E-9</v>
      </c>
      <c r="J4" s="14">
        <v>8.2600938354324093E-10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9.057976599699352E-15</v>
      </c>
      <c r="E5" s="14">
        <v>2.1903448712987119E-5</v>
      </c>
      <c r="F5" s="14">
        <v>1.8084815168337632E-5</v>
      </c>
      <c r="G5" s="14">
        <v>1.4354013166244522E-9</v>
      </c>
      <c r="H5" s="14">
        <v>0</v>
      </c>
      <c r="I5" s="14">
        <v>2.7760640745316024E-9</v>
      </c>
      <c r="J5" s="14">
        <v>7.5246442261206435E-9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7.4305930904536068E-16</v>
      </c>
      <c r="E6" s="14">
        <v>1.2963139583947568E-5</v>
      </c>
      <c r="F6" s="14">
        <v>2.6998011112341321E-5</v>
      </c>
      <c r="G6" s="14">
        <v>7.829324575524314E-9</v>
      </c>
      <c r="H6" s="14">
        <v>0</v>
      </c>
      <c r="I6" s="14">
        <v>2.8077800609449511E-9</v>
      </c>
      <c r="J6" s="14">
        <v>2.821219833159279E-8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6.4814694312104825E-12</v>
      </c>
      <c r="E7" s="14">
        <v>4.3047456063389327E-6</v>
      </c>
      <c r="F7" s="14">
        <v>3.5470643365689443E-5</v>
      </c>
      <c r="G7" s="14">
        <v>7.2204484125997247E-8</v>
      </c>
      <c r="H7" s="14">
        <v>0</v>
      </c>
      <c r="I7" s="14">
        <v>3.3689990874553965E-9</v>
      </c>
      <c r="J7" s="14">
        <v>1.4903106328875244E-7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4.6038141015101538E-22</v>
      </c>
      <c r="E8" s="14">
        <v>9.1918574536117219E-6</v>
      </c>
      <c r="F8" s="14">
        <v>3.0786821597582285E-5</v>
      </c>
      <c r="G8" s="14">
        <v>4.6815475641310753E-9</v>
      </c>
      <c r="H8" s="14">
        <v>0</v>
      </c>
      <c r="I8" s="14">
        <v>2.7237969447670407E-9</v>
      </c>
      <c r="J8" s="14">
        <v>1.3915604297090685E-8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1.9297418132311064E-17</v>
      </c>
      <c r="E9" s="14">
        <v>2.4557166127180275E-5</v>
      </c>
      <c r="F9" s="14">
        <v>1.5399968146309411E-5</v>
      </c>
      <c r="G9" s="14">
        <v>5.8370279262052243E-9</v>
      </c>
      <c r="H9" s="14">
        <v>0</v>
      </c>
      <c r="I9" s="14">
        <v>2.8225323538257324E-9</v>
      </c>
      <c r="J9" s="14">
        <v>3.4206166210988286E-8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5.8114825058475979E-10</v>
      </c>
      <c r="E10" s="14">
        <v>4.1396114103798857E-7</v>
      </c>
      <c r="F10" s="14">
        <v>2.9885542904381098E-5</v>
      </c>
      <c r="G10" s="14">
        <v>5.2198341583310027E-6</v>
      </c>
      <c r="H10" s="14">
        <v>0</v>
      </c>
      <c r="I10" s="14">
        <v>6.2654112964397206E-8</v>
      </c>
      <c r="J10" s="14">
        <v>4.417426535034922E-6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2.4024717122790664E-16</v>
      </c>
      <c r="E11" s="14">
        <v>2.467875798023999E-8</v>
      </c>
      <c r="F11" s="14">
        <v>2.2516706829720103E-5</v>
      </c>
      <c r="G11" s="14">
        <v>1.6451262996651701E-5</v>
      </c>
      <c r="H11" s="14">
        <v>0</v>
      </c>
      <c r="I11" s="14">
        <v>2.9201246065765412E-7</v>
      </c>
      <c r="J11" s="14">
        <v>7.1533895475006569E-7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2.9981716974104824E-6</v>
      </c>
      <c r="E12" s="14">
        <v>3.6830009073610486E-5</v>
      </c>
      <c r="F12" s="14">
        <v>1.0352663279346746E-9</v>
      </c>
      <c r="G12" s="14">
        <v>5.1314488444600054E-10</v>
      </c>
      <c r="H12" s="14">
        <v>0</v>
      </c>
      <c r="I12" s="14">
        <v>2.4087245808206108E-9</v>
      </c>
      <c r="J12" s="14">
        <v>1.6786209318582425E-7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7.0105037628264254E-13</v>
      </c>
      <c r="E13" s="14">
        <v>2.0985623032680937E-5</v>
      </c>
      <c r="F13" s="14">
        <v>5.6237167915152303E-6</v>
      </c>
      <c r="G13" s="14">
        <v>1.4425105463388887E-6</v>
      </c>
      <c r="H13" s="14">
        <v>0</v>
      </c>
      <c r="I13" s="14">
        <v>1.8391103045183846E-8</v>
      </c>
      <c r="J13" s="14">
        <v>1.1929757825369386E-5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3.4319078259618754E-12</v>
      </c>
      <c r="E14" s="14">
        <v>3.5226847610720774E-7</v>
      </c>
      <c r="F14" s="14">
        <v>3.9548986175619012E-5</v>
      </c>
      <c r="G14" s="14">
        <v>6.1958515731422525E-8</v>
      </c>
      <c r="H14" s="14">
        <v>0</v>
      </c>
      <c r="I14" s="14">
        <v>5.5072255341149228E-9</v>
      </c>
      <c r="J14" s="14">
        <v>3.1276175100423771E-8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3.4060058169007776E-6</v>
      </c>
      <c r="E15" s="14">
        <v>3.0483022447453323E-5</v>
      </c>
      <c r="F15" s="14">
        <v>7.7860932408384143E-7</v>
      </c>
      <c r="G15" s="14">
        <v>2.3747350134358218E-7</v>
      </c>
      <c r="H15" s="14">
        <v>0</v>
      </c>
      <c r="I15" s="14">
        <v>4.7716626487882239E-9</v>
      </c>
      <c r="J15" s="14">
        <v>5.0901172475696866E-6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2.6669359851455446E-8</v>
      </c>
      <c r="E16" s="14">
        <v>1.9575156008319966E-5</v>
      </c>
      <c r="F16" s="14">
        <v>6.4074733165377129E-6</v>
      </c>
      <c r="G16" s="14">
        <v>1.6195052553283108E-6</v>
      </c>
      <c r="H16" s="14">
        <v>0</v>
      </c>
      <c r="I16" s="14">
        <v>2.0398816399299723E-8</v>
      </c>
      <c r="J16" s="14">
        <v>1.2350797243563262E-5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8.019265405171304E-8</v>
      </c>
      <c r="E17" s="14">
        <v>2.042336164573811E-5</v>
      </c>
      <c r="F17" s="14">
        <v>5.8994130152054505E-6</v>
      </c>
      <c r="G17" s="14">
        <v>1.5048886175728034E-6</v>
      </c>
      <c r="H17" s="14">
        <v>0</v>
      </c>
      <c r="I17" s="14">
        <v>1.9094382465072593E-8</v>
      </c>
      <c r="J17" s="14">
        <v>1.2073049684966854E-5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1.700561228860747E-12</v>
      </c>
      <c r="E18" s="14">
        <v>2.6419519452818172E-8</v>
      </c>
      <c r="F18" s="14">
        <v>9.7963995177074798E-6</v>
      </c>
      <c r="G18" s="14">
        <v>2.6543735654686365E-5</v>
      </c>
      <c r="H18" s="14">
        <v>0</v>
      </c>
      <c r="I18" s="14">
        <v>3.2308781115088025E-7</v>
      </c>
      <c r="J18" s="14">
        <v>3.3103557964412303E-6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4.7086520618979166E-7</v>
      </c>
      <c r="E19" s="14">
        <v>3.6126778862974508E-5</v>
      </c>
      <c r="F19" s="14">
        <v>2.514032079394575E-7</v>
      </c>
      <c r="G19" s="14">
        <v>8.4385216782141462E-8</v>
      </c>
      <c r="H19" s="14">
        <v>0</v>
      </c>
      <c r="I19" s="14">
        <v>3.3417782812704607E-9</v>
      </c>
      <c r="J19" s="14">
        <v>3.0632257278328299E-6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8.7918671141323218E-7</v>
      </c>
      <c r="E20" s="14">
        <v>3.4475752623635341E-5</v>
      </c>
      <c r="F20" s="14">
        <v>4.4828615908473621E-7</v>
      </c>
      <c r="G20" s="14">
        <v>1.4369805356651919E-7</v>
      </c>
      <c r="H20" s="14">
        <v>0</v>
      </c>
      <c r="I20" s="14">
        <v>3.929709442979596E-9</v>
      </c>
      <c r="J20" s="14">
        <v>4.0491467428572018E-6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7.452014307832434E-8</v>
      </c>
      <c r="E21" s="14">
        <v>4.2441342630741137E-6</v>
      </c>
      <c r="F21" s="14">
        <v>3.1642492706347489E-5</v>
      </c>
      <c r="G21" s="14">
        <v>1.2769969230500632E-6</v>
      </c>
      <c r="H21" s="14">
        <v>0</v>
      </c>
      <c r="I21" s="14">
        <v>1.7107938683723169E-8</v>
      </c>
      <c r="J21" s="14">
        <v>2.7447480257662927E-6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2.6219729307433425E-6</v>
      </c>
      <c r="E22" s="14">
        <v>3.6136063796773705E-5</v>
      </c>
      <c r="F22" s="14">
        <v>4.0523077354866253E-8</v>
      </c>
      <c r="G22" s="14">
        <v>1.5559583729187144E-8</v>
      </c>
      <c r="H22" s="14">
        <v>0</v>
      </c>
      <c r="I22" s="14">
        <v>2.5377245979492849E-9</v>
      </c>
      <c r="J22" s="14">
        <v>1.1833428868009576E-6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2.7575771328190962E-6</v>
      </c>
      <c r="E23" s="14">
        <v>2.8900164155584001E-5</v>
      </c>
      <c r="F23" s="14">
        <v>1.3452465406715897E-6</v>
      </c>
      <c r="G23" s="14">
        <v>3.9255222138005337E-7</v>
      </c>
      <c r="H23" s="14">
        <v>0</v>
      </c>
      <c r="I23" s="14">
        <v>6.4940012655810781E-9</v>
      </c>
      <c r="J23" s="14">
        <v>6.5979659482796817E-6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7.8745881337335412E-8</v>
      </c>
      <c r="E24" s="14">
        <v>1.5150274044940771E-5</v>
      </c>
      <c r="F24" s="14">
        <v>9.2662083904022166E-6</v>
      </c>
      <c r="G24" s="14">
        <v>2.2366478836121359E-6</v>
      </c>
      <c r="H24" s="14">
        <v>0</v>
      </c>
      <c r="I24" s="14">
        <v>2.7445043998820602E-8</v>
      </c>
      <c r="J24" s="14">
        <v>1.3240678755708723E-5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7.8180104805392635E-9</v>
      </c>
      <c r="E25" s="14">
        <v>3.6771291941247842E-8</v>
      </c>
      <c r="F25" s="14">
        <v>1.1667302638404832E-5</v>
      </c>
      <c r="G25" s="14">
        <v>2.4348152799832094E-5</v>
      </c>
      <c r="H25" s="14">
        <v>0</v>
      </c>
      <c r="I25" s="14">
        <v>2.9595290317682813E-7</v>
      </c>
      <c r="J25" s="14">
        <v>3.6440023561644559E-6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5.3214454191561049E-6</v>
      </c>
      <c r="E26" s="14">
        <v>5.4520804126816713E-6</v>
      </c>
      <c r="F26" s="14">
        <v>1.5328647136919718E-5</v>
      </c>
      <c r="G26" s="14">
        <v>3.3067349248941755E-6</v>
      </c>
      <c r="H26" s="14">
        <v>0</v>
      </c>
      <c r="I26" s="14">
        <v>3.9645323808671509E-8</v>
      </c>
      <c r="J26" s="14">
        <v>1.0551446782539662E-5</v>
      </c>
      <c r="K26" s="14">
        <v>0</v>
      </c>
    </row>
    <row r="27" spans="1:13">
      <c r="A27" s="2" t="s">
        <v>397</v>
      </c>
      <c r="B27" s="3" t="s">
        <v>398</v>
      </c>
      <c r="D27" s="14">
        <v>2.4153906276284491E-5</v>
      </c>
      <c r="E27" s="14">
        <v>6.447331746601274E-7</v>
      </c>
      <c r="F27" s="14">
        <v>1.0177979965786086E-5</v>
      </c>
      <c r="G27" s="14">
        <v>1.9335577467787928E-6</v>
      </c>
      <c r="H27" s="14">
        <v>0</v>
      </c>
      <c r="I27" s="14">
        <v>2.3133538571413884E-8</v>
      </c>
      <c r="J27" s="14">
        <v>3.066689297919092E-6</v>
      </c>
      <c r="K27" s="14">
        <v>0</v>
      </c>
    </row>
    <row r="28" spans="1:13">
      <c r="A28" s="2" t="s">
        <v>399</v>
      </c>
      <c r="B28" s="3" t="s">
        <v>400</v>
      </c>
      <c r="D28" s="14">
        <v>3.0663213310816562E-5</v>
      </c>
      <c r="E28" s="14">
        <v>1.1651190543930275E-6</v>
      </c>
      <c r="F28" s="14">
        <v>4.5341081935144166E-6</v>
      </c>
      <c r="G28" s="14">
        <v>9.5496495545003368E-7</v>
      </c>
      <c r="H28" s="14">
        <v>0</v>
      </c>
      <c r="I28" s="14">
        <v>1.1433486995974825E-8</v>
      </c>
      <c r="J28" s="14">
        <v>2.6711609988299975E-6</v>
      </c>
      <c r="K28" s="14">
        <v>0</v>
      </c>
    </row>
    <row r="29" spans="1:13">
      <c r="A29" s="2" t="s">
        <v>297</v>
      </c>
      <c r="B29" s="3" t="s">
        <v>298</v>
      </c>
      <c r="D29" s="14">
        <v>3.726448448997238E-5</v>
      </c>
      <c r="E29" s="14">
        <v>2.3666157923466936E-6</v>
      </c>
      <c r="F29" s="14">
        <v>3.9515668418460979E-8</v>
      </c>
      <c r="G29" s="14">
        <v>1.2435546847279454E-8</v>
      </c>
      <c r="H29" s="14">
        <v>0</v>
      </c>
      <c r="I29" s="14">
        <v>2.9994160283083063E-10</v>
      </c>
      <c r="J29" s="14">
        <v>3.1664856081236493E-7</v>
      </c>
      <c r="K29" s="14">
        <v>0</v>
      </c>
    </row>
    <row r="30" spans="1:13">
      <c r="A30" s="2" t="s">
        <v>401</v>
      </c>
      <c r="B30" s="3" t="s">
        <v>402</v>
      </c>
      <c r="D30" s="14">
        <v>3.6362853668228766E-5</v>
      </c>
      <c r="E30" s="14">
        <v>4.7928142609903252E-7</v>
      </c>
      <c r="F30" s="14">
        <v>1.7303428915215714E-6</v>
      </c>
      <c r="G30" s="14">
        <v>3.6646097143859751E-7</v>
      </c>
      <c r="H30" s="14">
        <v>0</v>
      </c>
      <c r="I30" s="14">
        <v>4.3886544899980252E-9</v>
      </c>
      <c r="J30" s="14">
        <v>1.0566723882220393E-6</v>
      </c>
      <c r="K30" s="14">
        <v>0</v>
      </c>
    </row>
    <row r="31" spans="1:13">
      <c r="A31" s="2" t="s">
        <v>299</v>
      </c>
      <c r="B31" s="3" t="s">
        <v>300</v>
      </c>
      <c r="D31" s="14">
        <v>3.9921617741353357E-5</v>
      </c>
      <c r="E31" s="14">
        <v>1.7911038706873753E-8</v>
      </c>
      <c r="F31" s="14">
        <v>2.8332333598770567E-8</v>
      </c>
      <c r="G31" s="14">
        <v>6.3764344887968906E-9</v>
      </c>
      <c r="H31" s="14">
        <v>0</v>
      </c>
      <c r="I31" s="14">
        <v>7.680349412818258E-11</v>
      </c>
      <c r="J31" s="14">
        <v>2.568564835806763E-8</v>
      </c>
      <c r="K31" s="14">
        <v>0</v>
      </c>
    </row>
    <row r="32" spans="1:13">
      <c r="A32" s="2" t="s">
        <v>343</v>
      </c>
      <c r="B32" s="3" t="s">
        <v>344</v>
      </c>
      <c r="D32" s="14">
        <v>7.8530246053061289E-8</v>
      </c>
      <c r="E32" s="14">
        <v>2.2477582418218405E-5</v>
      </c>
      <c r="F32" s="14">
        <v>4.809624521045423E-6</v>
      </c>
      <c r="G32" s="14">
        <v>1.2543153250719701E-6</v>
      </c>
      <c r="H32" s="14">
        <v>0</v>
      </c>
      <c r="I32" s="14">
        <v>1.625797899576938E-8</v>
      </c>
      <c r="J32" s="14">
        <v>1.136368951061538E-5</v>
      </c>
      <c r="K32" s="14">
        <v>0</v>
      </c>
    </row>
    <row r="33" spans="1:11">
      <c r="A33" s="2" t="s">
        <v>345</v>
      </c>
      <c r="B33" s="3" t="s">
        <v>346</v>
      </c>
      <c r="D33" s="14">
        <v>3.3454000639813281E-9</v>
      </c>
      <c r="E33" s="14">
        <v>2.8411927738561331E-5</v>
      </c>
      <c r="F33" s="14">
        <v>2.2925682618181257E-6</v>
      </c>
      <c r="G33" s="14">
        <v>6.4241819250341901E-7</v>
      </c>
      <c r="H33" s="14">
        <v>0</v>
      </c>
      <c r="I33" s="14">
        <v>9.4077830704894078E-9</v>
      </c>
      <c r="J33" s="14">
        <v>8.6403326239826602E-6</v>
      </c>
      <c r="K33" s="14">
        <v>0</v>
      </c>
    </row>
    <row r="34" spans="1:11">
      <c r="A34" s="2" t="s">
        <v>347</v>
      </c>
      <c r="B34" s="3" t="s">
        <v>348</v>
      </c>
      <c r="D34" s="14">
        <v>2.8969739728075348E-9</v>
      </c>
      <c r="E34" s="14">
        <v>6.963654795043515E-6</v>
      </c>
      <c r="F34" s="14">
        <v>1.6850733428474274E-5</v>
      </c>
      <c r="G34" s="14">
        <v>3.6754825370009231E-6</v>
      </c>
      <c r="H34" s="14">
        <v>0</v>
      </c>
      <c r="I34" s="14">
        <v>4.4106020632780501E-8</v>
      </c>
      <c r="J34" s="14">
        <v>1.2463126244875703E-5</v>
      </c>
      <c r="K34" s="14">
        <v>0</v>
      </c>
    </row>
    <row r="35" spans="1:11">
      <c r="A35" s="2" t="s">
        <v>349</v>
      </c>
      <c r="B35" s="3" t="s">
        <v>350</v>
      </c>
      <c r="D35" s="14">
        <v>5.3042437165832336E-7</v>
      </c>
      <c r="E35" s="14">
        <v>8.3026381589836848E-7</v>
      </c>
      <c r="F35" s="14">
        <v>2.7752217178827027E-5</v>
      </c>
      <c r="G35" s="14">
        <v>4.988767231230508E-6</v>
      </c>
      <c r="H35" s="14">
        <v>0</v>
      </c>
      <c r="I35" s="14">
        <v>5.9765737974759169E-8</v>
      </c>
      <c r="J35" s="14">
        <v>5.8385616644110136E-6</v>
      </c>
      <c r="K35" s="14">
        <v>0</v>
      </c>
    </row>
    <row r="36" spans="1:11">
      <c r="A36" s="2" t="s">
        <v>351</v>
      </c>
      <c r="B36" s="3" t="s">
        <v>352</v>
      </c>
      <c r="D36" s="14">
        <v>1.4431268880583252E-8</v>
      </c>
      <c r="E36" s="14">
        <v>1.8533487907920734E-7</v>
      </c>
      <c r="F36" s="14">
        <v>2.3898945195864072E-5</v>
      </c>
      <c r="G36" s="14">
        <v>1.1032508957110469E-5</v>
      </c>
      <c r="H36" s="14">
        <v>0</v>
      </c>
      <c r="I36" s="14">
        <v>1.3304985776827723E-7</v>
      </c>
      <c r="J36" s="14">
        <v>4.735729841297392E-6</v>
      </c>
      <c r="K36" s="14">
        <v>0</v>
      </c>
    </row>
    <row r="37" spans="1:11">
      <c r="A37" s="2" t="s">
        <v>353</v>
      </c>
      <c r="B37" s="3" t="s">
        <v>354</v>
      </c>
      <c r="D37" s="14">
        <v>9.9934242389649202E-8</v>
      </c>
      <c r="E37" s="14">
        <v>2.8929902164876965E-8</v>
      </c>
      <c r="F37" s="14">
        <v>1.0272793053181674E-5</v>
      </c>
      <c r="G37" s="14">
        <v>2.5887141325237189E-5</v>
      </c>
      <c r="H37" s="14">
        <v>0</v>
      </c>
      <c r="I37" s="14">
        <v>3.1497436045713559E-7</v>
      </c>
      <c r="J37" s="14">
        <v>3.3962271165694775E-6</v>
      </c>
      <c r="K37" s="14">
        <v>0</v>
      </c>
    </row>
    <row r="38" spans="1:11">
      <c r="A38" s="2" t="s">
        <v>355</v>
      </c>
      <c r="B38" s="3" t="s">
        <v>356</v>
      </c>
      <c r="D38" s="14">
        <v>5.4292042024165824E-9</v>
      </c>
      <c r="E38" s="14">
        <v>1.0253421649398734E-7</v>
      </c>
      <c r="F38" s="14">
        <v>1.9019994695155228E-5</v>
      </c>
      <c r="G38" s="14">
        <v>1.6147524302589747E-5</v>
      </c>
      <c r="H38" s="14">
        <v>0</v>
      </c>
      <c r="I38" s="14">
        <v>1.9534804674844683E-7</v>
      </c>
      <c r="J38" s="14">
        <v>4.5291695348101798E-6</v>
      </c>
      <c r="K38" s="14">
        <v>0</v>
      </c>
    </row>
    <row r="39" spans="1:11">
      <c r="A39" s="2" t="s">
        <v>357</v>
      </c>
      <c r="B39" s="3" t="s">
        <v>358</v>
      </c>
      <c r="D39" s="14">
        <v>1.0917819259751203E-6</v>
      </c>
      <c r="E39" s="14">
        <v>1.5348591975039162E-7</v>
      </c>
      <c r="F39" s="14">
        <v>2.1958876457644924E-5</v>
      </c>
      <c r="G39" s="14">
        <v>1.2064398409468993E-5</v>
      </c>
      <c r="H39" s="14">
        <v>0</v>
      </c>
      <c r="I39" s="14">
        <v>1.4562358948946302E-7</v>
      </c>
      <c r="J39" s="14">
        <v>4.5858336976711169E-6</v>
      </c>
      <c r="K39" s="14">
        <v>0</v>
      </c>
    </row>
    <row r="40" spans="1:11">
      <c r="A40" s="2" t="s">
        <v>359</v>
      </c>
      <c r="B40" s="3" t="s">
        <v>360</v>
      </c>
      <c r="D40" s="14">
        <v>5.4292042024165824E-9</v>
      </c>
      <c r="E40" s="14">
        <v>1.0253421649398734E-7</v>
      </c>
      <c r="F40" s="14">
        <v>1.9019994695155228E-5</v>
      </c>
      <c r="G40" s="14">
        <v>1.6147524302589747E-5</v>
      </c>
      <c r="H40" s="14">
        <v>0</v>
      </c>
      <c r="I40" s="14">
        <v>1.9534804674844683E-7</v>
      </c>
      <c r="J40" s="14">
        <v>4.5291695348101798E-6</v>
      </c>
      <c r="K40" s="14">
        <v>0</v>
      </c>
    </row>
    <row r="41" spans="1:11">
      <c r="A41" s="2" t="s">
        <v>313</v>
      </c>
      <c r="B41" s="3" t="s">
        <v>314</v>
      </c>
      <c r="D41" s="14">
        <v>2.2447595886730879E-12</v>
      </c>
      <c r="E41" s="14">
        <v>3.8168059823090415E-5</v>
      </c>
      <c r="F41" s="14">
        <v>1.8216362439378515E-6</v>
      </c>
      <c r="G41" s="14">
        <v>4.3349311926938286E-10</v>
      </c>
      <c r="H41" s="14">
        <v>0</v>
      </c>
      <c r="I41" s="14">
        <v>2.6555454121097812E-9</v>
      </c>
      <c r="J41" s="14">
        <v>7.2126496807634208E-9</v>
      </c>
      <c r="K41" s="14">
        <v>0</v>
      </c>
    </row>
    <row r="42" spans="1:11">
      <c r="A42" s="2" t="s">
        <v>315</v>
      </c>
      <c r="B42" s="3" t="s">
        <v>316</v>
      </c>
      <c r="D42" s="14">
        <v>1.4421937867505193E-7</v>
      </c>
      <c r="E42" s="14">
        <v>2.6324265404959331E-8</v>
      </c>
      <c r="F42" s="14">
        <v>9.7610791663978908E-6</v>
      </c>
      <c r="G42" s="14">
        <v>2.6448033752503046E-5</v>
      </c>
      <c r="H42" s="14">
        <v>0</v>
      </c>
      <c r="I42" s="14">
        <v>3.2192293675258038E-7</v>
      </c>
      <c r="J42" s="14">
        <v>3.2984205002664786E-6</v>
      </c>
      <c r="K42" s="14">
        <v>0</v>
      </c>
    </row>
    <row r="43" spans="1:11">
      <c r="A43" s="2" t="s">
        <v>317</v>
      </c>
      <c r="B43" s="3" t="s">
        <v>318</v>
      </c>
      <c r="D43" s="14">
        <v>1.7653988826399315E-16</v>
      </c>
      <c r="E43" s="14">
        <v>1.4147362704432771E-5</v>
      </c>
      <c r="F43" s="14">
        <v>1.0053494907376113E-5</v>
      </c>
      <c r="G43" s="14">
        <v>2.4000076036673299E-6</v>
      </c>
      <c r="H43" s="14">
        <v>0</v>
      </c>
      <c r="I43" s="14">
        <v>2.9324393466317447E-8</v>
      </c>
      <c r="J43" s="14">
        <v>1.3369810390880934E-5</v>
      </c>
      <c r="K43" s="14">
        <v>0</v>
      </c>
    </row>
    <row r="44" spans="1:11">
      <c r="A44" s="2" t="s">
        <v>307</v>
      </c>
      <c r="B44" s="3" t="s">
        <v>308</v>
      </c>
      <c r="D44" s="14">
        <v>4.8105106810520231E-9</v>
      </c>
      <c r="E44" s="14">
        <v>2.7718123396203606E-7</v>
      </c>
      <c r="F44" s="14">
        <v>2.7093517864473373E-5</v>
      </c>
      <c r="G44" s="14">
        <v>7.8625053422039501E-6</v>
      </c>
      <c r="H44" s="14">
        <v>0</v>
      </c>
      <c r="I44" s="14">
        <v>9.4600500645229572E-8</v>
      </c>
      <c r="J44" s="14">
        <v>4.667384548034364E-6</v>
      </c>
      <c r="K44" s="14">
        <v>0</v>
      </c>
    </row>
    <row r="45" spans="1:11">
      <c r="A45" s="2" t="s">
        <v>319</v>
      </c>
      <c r="B45" s="3" t="s">
        <v>320</v>
      </c>
      <c r="D45" s="14">
        <v>4.7340544951298006E-10</v>
      </c>
      <c r="E45" s="14">
        <v>1.1860579079298762E-8</v>
      </c>
      <c r="F45" s="14">
        <v>6.2720204804191721E-6</v>
      </c>
      <c r="G45" s="14">
        <v>3.080370979319601E-5</v>
      </c>
      <c r="H45" s="14">
        <v>0</v>
      </c>
      <c r="I45" s="14">
        <v>3.7613191022206172E-7</v>
      </c>
      <c r="J45" s="14">
        <v>2.5358038316339474E-6</v>
      </c>
      <c r="K45" s="14">
        <v>0</v>
      </c>
    </row>
    <row r="46" spans="1:11">
      <c r="A46" s="2" t="s">
        <v>321</v>
      </c>
      <c r="B46" s="3" t="s">
        <v>322</v>
      </c>
      <c r="D46" s="14">
        <v>6.9462197758646167E-10</v>
      </c>
      <c r="E46" s="14">
        <v>2.3589631715532194E-8</v>
      </c>
      <c r="F46" s="14">
        <v>9.2134595820118374E-6</v>
      </c>
      <c r="G46" s="14">
        <v>2.7234430011771898E-5</v>
      </c>
      <c r="H46" s="14">
        <v>0</v>
      </c>
      <c r="I46" s="14">
        <v>3.3164842414741712E-7</v>
      </c>
      <c r="J46" s="14">
        <v>3.1961777283757384E-6</v>
      </c>
      <c r="K46" s="14">
        <v>0</v>
      </c>
    </row>
    <row r="47" spans="1:11">
      <c r="A47" s="2" t="s">
        <v>323</v>
      </c>
      <c r="B47" s="3" t="s">
        <v>324</v>
      </c>
      <c r="D47" s="14">
        <v>6.5193528535519891E-9</v>
      </c>
      <c r="E47" s="14">
        <v>5.2217626558574935E-8</v>
      </c>
      <c r="F47" s="14">
        <v>1.3934092920374344E-5</v>
      </c>
      <c r="G47" s="14">
        <v>2.1755759923663114E-5</v>
      </c>
      <c r="H47" s="14">
        <v>0</v>
      </c>
      <c r="I47" s="14">
        <v>2.6403695177702412E-7</v>
      </c>
      <c r="J47" s="14">
        <v>3.9873732247733974E-6</v>
      </c>
      <c r="K47" s="14">
        <v>0</v>
      </c>
    </row>
    <row r="48" spans="1:11">
      <c r="A48" s="2" t="s">
        <v>325</v>
      </c>
      <c r="B48" s="3" t="s">
        <v>326</v>
      </c>
      <c r="D48" s="14">
        <v>4.0601519849548743E-9</v>
      </c>
      <c r="E48" s="14">
        <v>2.3769220064473241E-6</v>
      </c>
      <c r="F48" s="14">
        <v>2.3923047680449139E-5</v>
      </c>
      <c r="G48" s="14">
        <v>4.697989710198851E-6</v>
      </c>
      <c r="H48" s="14">
        <v>0</v>
      </c>
      <c r="I48" s="14">
        <v>5.6185805310803604E-8</v>
      </c>
      <c r="J48" s="14">
        <v>8.9417946456089375E-6</v>
      </c>
      <c r="K48" s="14">
        <v>0</v>
      </c>
    </row>
    <row r="49" spans="1:11">
      <c r="A49" s="2" t="s">
        <v>275</v>
      </c>
      <c r="B49" s="3" t="s">
        <v>276</v>
      </c>
      <c r="D49" s="14">
        <v>6.1813361972491146E-11</v>
      </c>
      <c r="E49" s="14">
        <v>2.5780717838210226E-7</v>
      </c>
      <c r="F49" s="14">
        <v>2.6543401724781909E-5</v>
      </c>
      <c r="G49" s="14">
        <v>8.4033438675556854E-6</v>
      </c>
      <c r="H49" s="14">
        <v>0</v>
      </c>
      <c r="I49" s="14">
        <v>1.011510781647284E-7</v>
      </c>
      <c r="J49" s="14">
        <v>4.6942343377536088E-6</v>
      </c>
      <c r="K49" s="14">
        <v>0</v>
      </c>
    </row>
    <row r="50" spans="1:11">
      <c r="A50" s="2" t="s">
        <v>327</v>
      </c>
      <c r="B50" s="3" t="s">
        <v>328</v>
      </c>
      <c r="D50" s="14">
        <v>3.2202496572912131E-9</v>
      </c>
      <c r="E50" s="14">
        <v>2.2777296922338657E-7</v>
      </c>
      <c r="F50" s="14">
        <v>2.5571944757991626E-5</v>
      </c>
      <c r="G50" s="14">
        <v>9.3596436241397647E-6</v>
      </c>
      <c r="H50" s="14">
        <v>0</v>
      </c>
      <c r="I50" s="14">
        <v>1.1274335778614638E-7</v>
      </c>
      <c r="J50" s="14">
        <v>4.7246750412017855E-6</v>
      </c>
      <c r="K50" s="14">
        <v>0</v>
      </c>
    </row>
    <row r="51" spans="1:11">
      <c r="A51" s="2" t="s">
        <v>329</v>
      </c>
      <c r="B51" s="3" t="s">
        <v>330</v>
      </c>
      <c r="D51" s="14">
        <v>2.1245355426579958E-9</v>
      </c>
      <c r="E51" s="14">
        <v>1.5257263319637001E-6</v>
      </c>
      <c r="F51" s="14">
        <v>2.5962004206909275E-5</v>
      </c>
      <c r="G51" s="14">
        <v>4.9049408144629927E-6</v>
      </c>
      <c r="H51" s="14">
        <v>0</v>
      </c>
      <c r="I51" s="14">
        <v>5.868976687828617E-8</v>
      </c>
      <c r="J51" s="14">
        <v>7.5465143442430993E-6</v>
      </c>
      <c r="K51" s="14">
        <v>0</v>
      </c>
    </row>
    <row r="52" spans="1:11">
      <c r="A52" s="2" t="s">
        <v>277</v>
      </c>
      <c r="B52" s="3" t="s">
        <v>278</v>
      </c>
      <c r="D52" s="14">
        <v>6.3194658245272657E-9</v>
      </c>
      <c r="E52" s="14">
        <v>2.2805154041241835E-6</v>
      </c>
      <c r="F52" s="14">
        <v>2.4129847902319065E-5</v>
      </c>
      <c r="G52" s="14">
        <v>4.7211754463367785E-6</v>
      </c>
      <c r="H52" s="14">
        <v>0</v>
      </c>
      <c r="I52" s="14">
        <v>5.6464391263211443E-8</v>
      </c>
      <c r="J52" s="14">
        <v>8.8056773901322402E-6</v>
      </c>
      <c r="K52" s="14">
        <v>0</v>
      </c>
    </row>
    <row r="53" spans="1:11">
      <c r="A53" s="2" t="s">
        <v>331</v>
      </c>
      <c r="B53" s="3" t="s">
        <v>332</v>
      </c>
      <c r="D53" s="14">
        <v>2.1497477930950983E-9</v>
      </c>
      <c r="E53" s="14">
        <v>1.5140497726915827E-7</v>
      </c>
      <c r="F53" s="14">
        <v>2.2231139643254338E-5</v>
      </c>
      <c r="G53" s="14">
        <v>1.2757256335905571E-5</v>
      </c>
      <c r="H53" s="14">
        <v>0</v>
      </c>
      <c r="I53" s="14">
        <v>1.5402113929093546E-7</v>
      </c>
      <c r="J53" s="14">
        <v>4.7040281564869002E-6</v>
      </c>
      <c r="K53" s="14">
        <v>0</v>
      </c>
    </row>
    <row r="54" spans="1:11">
      <c r="A54" s="2" t="s">
        <v>333</v>
      </c>
      <c r="B54" s="3" t="s">
        <v>334</v>
      </c>
      <c r="D54" s="14">
        <v>3.5050951440456217E-12</v>
      </c>
      <c r="E54" s="14">
        <v>2.4244456442276381E-7</v>
      </c>
      <c r="F54" s="14">
        <v>2.6065978101201488E-5</v>
      </c>
      <c r="G54" s="14">
        <v>8.8729816104515808E-6</v>
      </c>
      <c r="H54" s="14">
        <v>0</v>
      </c>
      <c r="I54" s="14">
        <v>1.0684251442216471E-7</v>
      </c>
      <c r="J54" s="14">
        <v>4.7117497044068664E-6</v>
      </c>
      <c r="K54" s="14">
        <v>0</v>
      </c>
    </row>
    <row r="55" spans="1:11">
      <c r="A55" s="2" t="s">
        <v>335</v>
      </c>
      <c r="B55" s="3" t="s">
        <v>336</v>
      </c>
      <c r="D55" s="14">
        <v>1.6933910155901452E-8</v>
      </c>
      <c r="E55" s="14">
        <v>5.4011954337151313E-8</v>
      </c>
      <c r="F55" s="14">
        <v>1.4165485574091141E-5</v>
      </c>
      <c r="G55" s="14">
        <v>2.1484587588765753E-5</v>
      </c>
      <c r="H55" s="14">
        <v>0</v>
      </c>
      <c r="I55" s="14">
        <v>2.6070600325605379E-7</v>
      </c>
      <c r="J55" s="14">
        <v>4.018274969394007E-6</v>
      </c>
      <c r="K55" s="14">
        <v>0</v>
      </c>
    </row>
    <row r="56" spans="1:11">
      <c r="A56" s="2" t="s">
        <v>337</v>
      </c>
      <c r="B56" s="3" t="s">
        <v>338</v>
      </c>
      <c r="D56" s="14">
        <v>1.2356699834972264E-9</v>
      </c>
      <c r="E56" s="14">
        <v>2.7061703887217429E-7</v>
      </c>
      <c r="F56" s="14">
        <v>2.6913904803969759E-5</v>
      </c>
      <c r="G56" s="14">
        <v>8.0403002565707215E-6</v>
      </c>
      <c r="H56" s="14">
        <v>0</v>
      </c>
      <c r="I56" s="14">
        <v>9.675346478613351E-8</v>
      </c>
      <c r="J56" s="14">
        <v>4.6771887658177185E-6</v>
      </c>
      <c r="K56" s="14">
        <v>0</v>
      </c>
    </row>
    <row r="57" spans="1:11">
      <c r="A57" s="2" t="s">
        <v>279</v>
      </c>
      <c r="B57" s="3" t="s">
        <v>280</v>
      </c>
      <c r="D57" s="14">
        <v>1.2201551984329534E-7</v>
      </c>
      <c r="E57" s="14">
        <v>2.8472638561991955E-6</v>
      </c>
      <c r="F57" s="14">
        <v>2.2881752799967149E-5</v>
      </c>
      <c r="G57" s="14">
        <v>4.5686179821547537E-6</v>
      </c>
      <c r="H57" s="14">
        <v>0</v>
      </c>
      <c r="I57" s="14">
        <v>5.4637218054360548E-8</v>
      </c>
      <c r="J57" s="14">
        <v>9.5257126237812531E-6</v>
      </c>
      <c r="K57" s="14">
        <v>0</v>
      </c>
    </row>
    <row r="58" spans="1:11">
      <c r="A58" s="2" t="s">
        <v>339</v>
      </c>
      <c r="B58" s="3" t="s">
        <v>340</v>
      </c>
      <c r="D58" s="14">
        <v>1.2285035927040785E-11</v>
      </c>
      <c r="E58" s="14">
        <v>2.3945784593903403E-7</v>
      </c>
      <c r="F58" s="14">
        <v>2.5968726101012296E-5</v>
      </c>
      <c r="G58" s="14">
        <v>8.9690449621600615E-6</v>
      </c>
      <c r="H58" s="14">
        <v>0</v>
      </c>
      <c r="I58" s="14">
        <v>1.080070414814541E-7</v>
      </c>
      <c r="J58" s="14">
        <v>4.7147517643712267E-6</v>
      </c>
      <c r="K58" s="14">
        <v>0</v>
      </c>
    </row>
    <row r="59" spans="1:11">
      <c r="A59" s="2" t="s">
        <v>281</v>
      </c>
      <c r="B59" s="3" t="s">
        <v>282</v>
      </c>
      <c r="D59" s="14">
        <v>9.5661811628130559E-10</v>
      </c>
      <c r="E59" s="14">
        <v>2.2808212038566732E-6</v>
      </c>
      <c r="F59" s="14">
        <v>2.4133083530993263E-5</v>
      </c>
      <c r="G59" s="14">
        <v>4.7218085199770249E-6</v>
      </c>
      <c r="H59" s="14">
        <v>0</v>
      </c>
      <c r="I59" s="14">
        <v>5.6471962707680641E-8</v>
      </c>
      <c r="J59" s="14">
        <v>8.8068581643490798E-6</v>
      </c>
      <c r="K59" s="14">
        <v>0</v>
      </c>
    </row>
    <row r="60" spans="1:11">
      <c r="A60" s="2" t="s">
        <v>341</v>
      </c>
      <c r="B60" s="3" t="s">
        <v>342</v>
      </c>
      <c r="D60" s="14">
        <v>1.798629213004337E-8</v>
      </c>
      <c r="E60" s="14">
        <v>1.7109380445970467E-7</v>
      </c>
      <c r="F60" s="14">
        <v>2.323891555158588E-5</v>
      </c>
      <c r="G60" s="14">
        <v>1.1703382874013792E-5</v>
      </c>
      <c r="H60" s="14">
        <v>0</v>
      </c>
      <c r="I60" s="14">
        <v>1.4120305105358616E-7</v>
      </c>
      <c r="J60" s="14">
        <v>4.7274184267570005E-6</v>
      </c>
      <c r="K60" s="14">
        <v>0</v>
      </c>
    </row>
    <row r="61" spans="1:11">
      <c r="A61" s="2" t="s">
        <v>483</v>
      </c>
      <c r="B61" s="3" t="s">
        <v>484</v>
      </c>
      <c r="D61" s="14">
        <v>3.0650019811351076E-18</v>
      </c>
      <c r="E61" s="14">
        <v>1.1126635554188804E-5</v>
      </c>
      <c r="F61" s="14">
        <v>1.7923704206433202E-5</v>
      </c>
      <c r="G61" s="14">
        <v>2.9863820411696877E-6</v>
      </c>
      <c r="H61" s="14">
        <v>0</v>
      </c>
      <c r="I61" s="14">
        <v>1.0263659065806615E-7</v>
      </c>
      <c r="J61" s="14">
        <v>7.8606416075471812E-6</v>
      </c>
      <c r="K61" s="14">
        <v>0</v>
      </c>
    </row>
    <row r="62" spans="1:11">
      <c r="A62" s="2" t="s">
        <v>485</v>
      </c>
      <c r="B62" s="3" t="s">
        <v>486</v>
      </c>
      <c r="D62" s="14">
        <v>8.2135954235393479E-12</v>
      </c>
      <c r="E62" s="14">
        <v>7.4415935817740572E-6</v>
      </c>
      <c r="F62" s="14">
        <v>1.6293242520805807E-5</v>
      </c>
      <c r="G62" s="14">
        <v>3.5801652864422538E-6</v>
      </c>
      <c r="H62" s="14">
        <v>0</v>
      </c>
      <c r="I62" s="14">
        <v>4.299267210061074E-8</v>
      </c>
      <c r="J62" s="14">
        <v>1.264199772528185E-5</v>
      </c>
      <c r="K62" s="14">
        <v>0</v>
      </c>
    </row>
    <row r="63" spans="1:11">
      <c r="A63" s="2" t="s">
        <v>487</v>
      </c>
      <c r="B63" s="3" t="s">
        <v>488</v>
      </c>
      <c r="D63" s="14">
        <v>2.8645445351159362E-17</v>
      </c>
      <c r="E63" s="14">
        <v>3.6935408306811523E-5</v>
      </c>
      <c r="F63" s="14">
        <v>1.2776143737642063E-6</v>
      </c>
      <c r="G63" s="14">
        <v>1.685763094053911E-7</v>
      </c>
      <c r="H63" s="14">
        <v>0</v>
      </c>
      <c r="I63" s="14">
        <v>1.6671517521134721E-8</v>
      </c>
      <c r="J63" s="14">
        <v>1.6017294924691052E-6</v>
      </c>
      <c r="K63" s="14">
        <v>0</v>
      </c>
    </row>
    <row r="64" spans="1:11">
      <c r="A64" s="2" t="s">
        <v>489</v>
      </c>
      <c r="B64" s="3" t="s">
        <v>490</v>
      </c>
      <c r="D64" s="14">
        <v>5.2750850560112281E-19</v>
      </c>
      <c r="E64" s="14">
        <v>3.933112750273084E-5</v>
      </c>
      <c r="F64" s="14">
        <v>4.8647213697790764E-7</v>
      </c>
      <c r="G64" s="14">
        <v>6.0399776508889166E-9</v>
      </c>
      <c r="H64" s="14">
        <v>0</v>
      </c>
      <c r="I64" s="14">
        <v>2.68112177563261E-9</v>
      </c>
      <c r="J64" s="14">
        <v>1.736792608642036E-7</v>
      </c>
      <c r="K64" s="14">
        <v>0</v>
      </c>
    </row>
    <row r="65" spans="1:11">
      <c r="A65" s="2" t="s">
        <v>491</v>
      </c>
      <c r="B65" s="3" t="s">
        <v>492</v>
      </c>
      <c r="D65" s="14">
        <v>8.7977632217739266E-17</v>
      </c>
      <c r="E65" s="14">
        <v>3.9852084115434484E-5</v>
      </c>
      <c r="F65" s="14">
        <v>6.3779119375540501E-8</v>
      </c>
      <c r="G65" s="14">
        <v>2.8367563711124837E-9</v>
      </c>
      <c r="H65" s="14">
        <v>0</v>
      </c>
      <c r="I65" s="14">
        <v>3.7976947360626906E-9</v>
      </c>
      <c r="J65" s="14">
        <v>7.7502313994823149E-8</v>
      </c>
      <c r="K65" s="14">
        <v>0</v>
      </c>
    </row>
    <row r="66" spans="1:11">
      <c r="A66" s="2" t="s">
        <v>493</v>
      </c>
      <c r="B66" s="3" t="s">
        <v>494</v>
      </c>
      <c r="D66" s="14">
        <v>1.1535540568158435E-15</v>
      </c>
      <c r="E66" s="14">
        <v>3.093441486720347E-5</v>
      </c>
      <c r="F66" s="14">
        <v>8.0569210456924569E-6</v>
      </c>
      <c r="G66" s="14">
        <v>2.0192121305593655E-7</v>
      </c>
      <c r="H66" s="14">
        <v>0</v>
      </c>
      <c r="I66" s="14">
        <v>1.129743728685753E-7</v>
      </c>
      <c r="J66" s="14">
        <v>6.9376850002601694E-7</v>
      </c>
      <c r="K66" s="14">
        <v>0</v>
      </c>
    </row>
    <row r="67" spans="1:11">
      <c r="A67" s="2" t="s">
        <v>495</v>
      </c>
      <c r="B67" s="3" t="s">
        <v>496</v>
      </c>
      <c r="D67" s="14">
        <v>6.8729516710173576E-17</v>
      </c>
      <c r="E67" s="14">
        <v>3.9852532980218476E-5</v>
      </c>
      <c r="F67" s="14">
        <v>5.3780799561009001E-8</v>
      </c>
      <c r="G67" s="14">
        <v>2.9399651924475315E-9</v>
      </c>
      <c r="H67" s="14">
        <v>0</v>
      </c>
      <c r="I67" s="14">
        <v>3.5987778011558455E-9</v>
      </c>
      <c r="J67" s="14">
        <v>8.7147477158181632E-8</v>
      </c>
      <c r="K67" s="14">
        <v>0</v>
      </c>
    </row>
    <row r="68" spans="1:11">
      <c r="A68" s="2" t="s">
        <v>497</v>
      </c>
      <c r="B68" s="3" t="s">
        <v>498</v>
      </c>
      <c r="D68" s="14">
        <v>6.2210488206505148E-16</v>
      </c>
      <c r="E68" s="14">
        <v>3.9955123337221641E-5</v>
      </c>
      <c r="F68" s="14">
        <v>6.4017781250872982E-9</v>
      </c>
      <c r="G68" s="14">
        <v>4.9393146619864404E-10</v>
      </c>
      <c r="H68" s="14">
        <v>0</v>
      </c>
      <c r="I68" s="14">
        <v>2.7390517492791118E-9</v>
      </c>
      <c r="J68" s="14">
        <v>3.5241900815690736E-8</v>
      </c>
      <c r="K68" s="14">
        <v>0</v>
      </c>
    </row>
    <row r="69" spans="1:11">
      <c r="A69" s="2" t="s">
        <v>499</v>
      </c>
      <c r="B69" s="3" t="s">
        <v>500</v>
      </c>
      <c r="D69" s="14">
        <v>3.0724880957730149E-16</v>
      </c>
      <c r="E69" s="14">
        <v>3.058868797904611E-7</v>
      </c>
      <c r="F69" s="14">
        <v>2.7826233414482923E-5</v>
      </c>
      <c r="G69" s="14">
        <v>7.1591255571849522E-6</v>
      </c>
      <c r="H69" s="14">
        <v>0</v>
      </c>
      <c r="I69" s="14">
        <v>8.6087146753129123E-8</v>
      </c>
      <c r="J69" s="14">
        <v>4.6226670014812916E-6</v>
      </c>
      <c r="K69" s="14">
        <v>0</v>
      </c>
    </row>
    <row r="70" spans="1:11">
      <c r="A70" s="2" t="s">
        <v>501</v>
      </c>
      <c r="B70" s="3" t="s">
        <v>411</v>
      </c>
      <c r="D70" s="14">
        <v>1.1151421568583023E-17</v>
      </c>
      <c r="E70" s="14">
        <v>3.878491775030241E-5</v>
      </c>
      <c r="F70" s="14">
        <v>1.210053157145558E-6</v>
      </c>
      <c r="G70" s="14">
        <v>1.1500059127883848E-10</v>
      </c>
      <c r="H70" s="14">
        <v>0</v>
      </c>
      <c r="I70" s="14">
        <v>2.6410225061588432E-9</v>
      </c>
      <c r="J70" s="14">
        <v>2.2730694434490477E-9</v>
      </c>
      <c r="K70" s="14">
        <v>0</v>
      </c>
    </row>
    <row r="71" spans="1:11">
      <c r="A71" s="2" t="s">
        <v>502</v>
      </c>
      <c r="B71" s="3" t="s">
        <v>412</v>
      </c>
      <c r="D71" s="14">
        <v>5.0934181933671356E-13</v>
      </c>
      <c r="E71" s="14">
        <v>3.7738306736591839E-5</v>
      </c>
      <c r="F71" s="14">
        <v>2.255713737395777E-6</v>
      </c>
      <c r="G71" s="14">
        <v>2.0499831829625087E-10</v>
      </c>
      <c r="H71" s="14">
        <v>0</v>
      </c>
      <c r="I71" s="14">
        <v>2.6604175615085707E-9</v>
      </c>
      <c r="J71" s="14">
        <v>3.1136007907727597E-9</v>
      </c>
      <c r="K71" s="14">
        <v>0</v>
      </c>
    </row>
    <row r="72" spans="1:11">
      <c r="A72" s="2" t="s">
        <v>503</v>
      </c>
      <c r="B72" s="3" t="s">
        <v>413</v>
      </c>
      <c r="D72" s="14">
        <v>6.895079796326121E-15</v>
      </c>
      <c r="E72" s="14">
        <v>1.5575857272827493E-7</v>
      </c>
      <c r="F72" s="14">
        <v>3.9802791649029556E-5</v>
      </c>
      <c r="G72" s="14">
        <v>1.8280071599509292E-8</v>
      </c>
      <c r="H72" s="14">
        <v>0</v>
      </c>
      <c r="I72" s="14">
        <v>1.9645256489648389E-8</v>
      </c>
      <c r="J72" s="14">
        <v>3.5244432579395923E-9</v>
      </c>
      <c r="K72" s="14">
        <v>0</v>
      </c>
    </row>
    <row r="73" spans="1:11">
      <c r="A73" s="2" t="s">
        <v>504</v>
      </c>
      <c r="B73" s="3" t="s">
        <v>414</v>
      </c>
      <c r="D73" s="14">
        <v>9.0059592859785522E-15</v>
      </c>
      <c r="E73" s="14">
        <v>1.4443173943172825E-6</v>
      </c>
      <c r="F73" s="14">
        <v>3.8548209973467932E-5</v>
      </c>
      <c r="G73" s="14">
        <v>2.2282739089861988E-9</v>
      </c>
      <c r="H73" s="14">
        <v>0</v>
      </c>
      <c r="I73" s="14">
        <v>2.3875402978633084E-9</v>
      </c>
      <c r="J73" s="14">
        <v>2.8568090019825082E-9</v>
      </c>
      <c r="K73" s="14">
        <v>0</v>
      </c>
    </row>
    <row r="74" spans="1:11">
      <c r="A74" s="2" t="s">
        <v>505</v>
      </c>
      <c r="B74" s="3" t="s">
        <v>415</v>
      </c>
      <c r="D74" s="14">
        <v>6.2966481732133594E-14</v>
      </c>
      <c r="E74" s="14">
        <v>3.7942163398180515E-5</v>
      </c>
      <c r="F74" s="14">
        <v>2.0520298043708066E-6</v>
      </c>
      <c r="G74" s="14">
        <v>1.8730441894665358E-10</v>
      </c>
      <c r="H74" s="14">
        <v>0</v>
      </c>
      <c r="I74" s="14">
        <v>2.6569144077585363E-9</v>
      </c>
      <c r="J74" s="14">
        <v>2.9625156554907224E-9</v>
      </c>
      <c r="K74" s="14">
        <v>0</v>
      </c>
    </row>
    <row r="75" spans="1:11">
      <c r="A75" s="2" t="s">
        <v>506</v>
      </c>
      <c r="B75" s="3" t="s">
        <v>416</v>
      </c>
      <c r="D75" s="14">
        <v>3.8648887225438703E-14</v>
      </c>
      <c r="E75" s="14">
        <v>1.7087937881966425E-6</v>
      </c>
      <c r="F75" s="14">
        <v>3.8283464336026381E-5</v>
      </c>
      <c r="G75" s="14">
        <v>2.24169018402007E-9</v>
      </c>
      <c r="H75" s="14">
        <v>0</v>
      </c>
      <c r="I75" s="14">
        <v>2.4149121489373262E-9</v>
      </c>
      <c r="J75" s="14">
        <v>3.0852347951408363E-9</v>
      </c>
      <c r="K75" s="14">
        <v>0</v>
      </c>
    </row>
    <row r="76" spans="1:11">
      <c r="A76" s="2" t="s">
        <v>507</v>
      </c>
      <c r="B76" s="3" t="s">
        <v>417</v>
      </c>
      <c r="D76" s="14">
        <v>8.9280092491160731E-13</v>
      </c>
      <c r="E76" s="14">
        <v>1.7917099536237808E-5</v>
      </c>
      <c r="F76" s="14">
        <v>2.2071369463576506E-5</v>
      </c>
      <c r="G76" s="14">
        <v>1.6050759764420585E-9</v>
      </c>
      <c r="H76" s="14">
        <v>0</v>
      </c>
      <c r="I76" s="14">
        <v>2.7700546864739697E-9</v>
      </c>
      <c r="J76" s="14">
        <v>7.1549767218451727E-9</v>
      </c>
      <c r="K76" s="14">
        <v>0</v>
      </c>
    </row>
    <row r="77" spans="1:11">
      <c r="A77" s="2" t="s">
        <v>508</v>
      </c>
      <c r="B77" s="3" t="s">
        <v>418</v>
      </c>
      <c r="D77" s="14">
        <v>2.7882066567378356E-13</v>
      </c>
      <c r="E77" s="14">
        <v>1.5155771000510154E-6</v>
      </c>
      <c r="F77" s="14">
        <v>3.8476858740303742E-5</v>
      </c>
      <c r="G77" s="14">
        <v>2.2390609863415873E-9</v>
      </c>
      <c r="H77" s="14">
        <v>0</v>
      </c>
      <c r="I77" s="14">
        <v>2.3954206736477402E-9</v>
      </c>
      <c r="J77" s="14">
        <v>2.9293991646008458E-9</v>
      </c>
      <c r="K77" s="14">
        <v>0</v>
      </c>
    </row>
    <row r="78" spans="1:11">
      <c r="A78" s="2" t="s">
        <v>509</v>
      </c>
      <c r="B78" s="3" t="s">
        <v>419</v>
      </c>
      <c r="D78" s="14">
        <v>2.7721860265510064E-14</v>
      </c>
      <c r="E78" s="14">
        <v>1.7276470877799627E-7</v>
      </c>
      <c r="F78" s="14">
        <v>3.9792076856936215E-5</v>
      </c>
      <c r="G78" s="14">
        <v>1.5355394055470934E-8</v>
      </c>
      <c r="H78" s="14">
        <v>0</v>
      </c>
      <c r="I78" s="14">
        <v>1.6459725994462421E-8</v>
      </c>
      <c r="J78" s="14">
        <v>3.3432865140037559E-9</v>
      </c>
      <c r="K78" s="14">
        <v>0</v>
      </c>
    </row>
    <row r="79" spans="1:11">
      <c r="A79" s="2" t="s">
        <v>510</v>
      </c>
      <c r="B79" s="3" t="s">
        <v>420</v>
      </c>
      <c r="D79" s="14">
        <v>6.96341733932284E-19</v>
      </c>
      <c r="E79" s="14">
        <v>1.7276472180243904E-7</v>
      </c>
      <c r="F79" s="14">
        <v>3.979207985679441E-5</v>
      </c>
      <c r="G79" s="14">
        <v>1.535296513458532E-8</v>
      </c>
      <c r="H79" s="14">
        <v>0</v>
      </c>
      <c r="I79" s="14">
        <v>1.6459698595939717E-8</v>
      </c>
      <c r="J79" s="14">
        <v>3.3427576719296861E-9</v>
      </c>
      <c r="K79" s="14">
        <v>0</v>
      </c>
    </row>
    <row r="80" spans="1:11">
      <c r="A80" s="2" t="s">
        <v>511</v>
      </c>
      <c r="B80" s="3" t="s">
        <v>421</v>
      </c>
      <c r="D80" s="14">
        <v>7.8496611891769859E-14</v>
      </c>
      <c r="E80" s="14">
        <v>6.6681225707228334E-6</v>
      </c>
      <c r="F80" s="14">
        <v>3.3321546435463719E-5</v>
      </c>
      <c r="G80" s="14">
        <v>2.1791619530958107E-9</v>
      </c>
      <c r="H80" s="14">
        <v>0</v>
      </c>
      <c r="I80" s="14">
        <v>2.6436492796822251E-9</v>
      </c>
      <c r="J80" s="14">
        <v>5.5081040840549982E-9</v>
      </c>
      <c r="K80" s="14">
        <v>0</v>
      </c>
    </row>
    <row r="81" spans="1:11">
      <c r="A81" s="2" t="s">
        <v>512</v>
      </c>
      <c r="B81" s="3" t="s">
        <v>422</v>
      </c>
      <c r="D81" s="14">
        <v>1.0262768300525108E-13</v>
      </c>
      <c r="E81" s="14">
        <v>3.2186754418870697E-5</v>
      </c>
      <c r="F81" s="14">
        <v>7.8043863513285E-6</v>
      </c>
      <c r="G81" s="14">
        <v>6.3782732370255111E-10</v>
      </c>
      <c r="H81" s="14">
        <v>0</v>
      </c>
      <c r="I81" s="14">
        <v>2.7282220446722059E-9</v>
      </c>
      <c r="J81" s="14">
        <v>5.4930778047498786E-9</v>
      </c>
      <c r="K81" s="14">
        <v>0</v>
      </c>
    </row>
    <row r="82" spans="1:11">
      <c r="A82" s="2" t="s">
        <v>513</v>
      </c>
      <c r="B82" s="3" t="s">
        <v>423</v>
      </c>
      <c r="D82" s="14">
        <v>2.5836606614363209E-17</v>
      </c>
      <c r="E82" s="14">
        <v>2.4339301658170785E-5</v>
      </c>
      <c r="F82" s="14">
        <v>1.5649832283423775E-5</v>
      </c>
      <c r="G82" s="14">
        <v>1.1901598953849362E-9</v>
      </c>
      <c r="H82" s="14">
        <v>0</v>
      </c>
      <c r="I82" s="14">
        <v>2.7716256906937455E-9</v>
      </c>
      <c r="J82" s="14">
        <v>6.9042727935295081E-9</v>
      </c>
      <c r="K82" s="14">
        <v>0</v>
      </c>
    </row>
    <row r="83" spans="1:11">
      <c r="A83" s="2" t="s">
        <v>514</v>
      </c>
      <c r="B83" s="3" t="s">
        <v>424</v>
      </c>
      <c r="D83" s="14">
        <v>9.9219794565997512E-15</v>
      </c>
      <c r="E83" s="14">
        <v>1.170930142282548E-7</v>
      </c>
      <c r="F83" s="14">
        <v>3.9817369023565688E-5</v>
      </c>
      <c r="G83" s="14">
        <v>2.9514601194092791E-8</v>
      </c>
      <c r="H83" s="14">
        <v>0</v>
      </c>
      <c r="I83" s="14">
        <v>3.1950021520453679E-8</v>
      </c>
      <c r="J83" s="14">
        <v>4.0733295695309207E-9</v>
      </c>
      <c r="K83" s="14">
        <v>0</v>
      </c>
    </row>
    <row r="84" spans="1:11">
      <c r="A84" s="2" t="s">
        <v>403</v>
      </c>
      <c r="B84" s="3" t="s">
        <v>404</v>
      </c>
      <c r="D84" s="14">
        <v>1.7888499951505413E-48</v>
      </c>
      <c r="E84" s="14">
        <v>1.13602153639349E-5</v>
      </c>
      <c r="F84" s="14">
        <v>1.2349464869124184E-5</v>
      </c>
      <c r="G84" s="14">
        <v>2.8572200851837391E-6</v>
      </c>
      <c r="H84" s="14">
        <v>0</v>
      </c>
      <c r="I84" s="14">
        <v>3.4595228302060981E-8</v>
      </c>
      <c r="J84" s="14">
        <v>1.3398504453455116E-5</v>
      </c>
      <c r="K84" s="14">
        <v>0</v>
      </c>
    </row>
    <row r="85" spans="1:11">
      <c r="A85" s="2" t="s">
        <v>405</v>
      </c>
      <c r="B85" s="3" t="s">
        <v>406</v>
      </c>
      <c r="D85" s="14">
        <v>5.9451291091670353E-13</v>
      </c>
      <c r="E85" s="14">
        <v>2.1694782719825317E-6</v>
      </c>
      <c r="F85" s="14">
        <v>3.4097943797168072E-5</v>
      </c>
      <c r="G85" s="14">
        <v>1.782592122185664E-6</v>
      </c>
      <c r="H85" s="14">
        <v>0</v>
      </c>
      <c r="I85" s="14">
        <v>1.2792291411239793E-6</v>
      </c>
      <c r="J85" s="14">
        <v>6.7075607302684883E-7</v>
      </c>
      <c r="K85" s="14">
        <v>0</v>
      </c>
    </row>
    <row r="86" spans="1:11">
      <c r="A86" s="2" t="s">
        <v>407</v>
      </c>
      <c r="B86" s="3" t="s">
        <v>408</v>
      </c>
      <c r="D86" s="14">
        <v>1.0515706969459852E-9</v>
      </c>
      <c r="E86" s="14">
        <v>1.449810084023918E-8</v>
      </c>
      <c r="F86" s="14">
        <v>7.0309286454841085E-6</v>
      </c>
      <c r="G86" s="14">
        <v>2.986814464260285E-5</v>
      </c>
      <c r="H86" s="14">
        <v>0</v>
      </c>
      <c r="I86" s="14">
        <v>3.6442506628350837E-7</v>
      </c>
      <c r="J86" s="14">
        <v>2.7209519740923553E-6</v>
      </c>
      <c r="K86" s="14">
        <v>0</v>
      </c>
    </row>
    <row r="87" spans="1:11">
      <c r="A87" s="2" t="s">
        <v>409</v>
      </c>
      <c r="B87" s="3" t="s">
        <v>410</v>
      </c>
      <c r="D87" s="14">
        <v>1.3096317743738728E-10</v>
      </c>
      <c r="E87" s="14">
        <v>5.0531459713132085E-9</v>
      </c>
      <c r="F87" s="14">
        <v>3.8108637202245856E-6</v>
      </c>
      <c r="G87" s="14">
        <v>3.3924931051210015E-5</v>
      </c>
      <c r="H87" s="14">
        <v>0</v>
      </c>
      <c r="I87" s="14">
        <v>4.1557009423610406E-7</v>
      </c>
      <c r="J87" s="14">
        <v>1.8434510251805458E-6</v>
      </c>
      <c r="K87" s="14">
        <v>0</v>
      </c>
    </row>
    <row r="88" spans="1:11">
      <c r="A88" s="2" t="s">
        <v>301</v>
      </c>
      <c r="B88" s="3" t="s">
        <v>302</v>
      </c>
      <c r="D88" s="14">
        <v>1.625094034267582E-11</v>
      </c>
      <c r="E88" s="14">
        <v>1.4249877685569183E-9</v>
      </c>
      <c r="F88" s="14">
        <v>1.7756309685871383E-6</v>
      </c>
      <c r="G88" s="14">
        <v>3.6664711011919954E-5</v>
      </c>
      <c r="H88" s="14">
        <v>0</v>
      </c>
      <c r="I88" s="14">
        <v>4.5118294038628934E-7</v>
      </c>
      <c r="J88" s="14">
        <v>1.1070338403977147E-6</v>
      </c>
      <c r="K88" s="14">
        <v>0</v>
      </c>
    </row>
    <row r="89" spans="1:11">
      <c r="A89" s="2" t="s">
        <v>303</v>
      </c>
      <c r="B89" s="3" t="s">
        <v>304</v>
      </c>
      <c r="D89" s="14">
        <v>1.0020023362050467E-17</v>
      </c>
      <c r="E89" s="14">
        <v>7.7011503136794311E-8</v>
      </c>
      <c r="F89" s="14">
        <v>8.8016833987875561E-6</v>
      </c>
      <c r="G89" s="14">
        <v>2.2891371767394076E-5</v>
      </c>
      <c r="H89" s="14">
        <v>0</v>
      </c>
      <c r="I89" s="14">
        <v>7.2643618071404613E-6</v>
      </c>
      <c r="J89" s="14">
        <v>9.6557152353109522E-7</v>
      </c>
      <c r="K89" s="14">
        <v>0</v>
      </c>
    </row>
    <row r="90" spans="1:11">
      <c r="A90" s="2" t="s">
        <v>425</v>
      </c>
      <c r="B90" s="3" t="s">
        <v>426</v>
      </c>
      <c r="D90" s="14">
        <v>6.4092906507110049E-18</v>
      </c>
      <c r="E90" s="14">
        <v>3.8943469569647085E-5</v>
      </c>
      <c r="F90" s="14">
        <v>3.6658628737995506E-8</v>
      </c>
      <c r="G90" s="14">
        <v>1.2308397194328685E-8</v>
      </c>
      <c r="H90" s="14">
        <v>0</v>
      </c>
      <c r="I90" s="14">
        <v>2.6835651859714715E-9</v>
      </c>
      <c r="J90" s="14">
        <v>1.0048798392282213E-6</v>
      </c>
      <c r="K90" s="14">
        <v>0</v>
      </c>
    </row>
    <row r="91" spans="1:11">
      <c r="A91" s="2" t="s">
        <v>427</v>
      </c>
      <c r="B91" s="3" t="s">
        <v>428</v>
      </c>
      <c r="D91" s="14">
        <v>3.2983315820305296E-9</v>
      </c>
      <c r="E91" s="14">
        <v>2.8672591926305361E-5</v>
      </c>
      <c r="F91" s="14">
        <v>2.2007389408506279E-6</v>
      </c>
      <c r="G91" s="14">
        <v>6.1896213730222729E-7</v>
      </c>
      <c r="H91" s="14">
        <v>0</v>
      </c>
      <c r="I91" s="14">
        <v>9.1479026626207577E-9</v>
      </c>
      <c r="J91" s="14">
        <v>8.4952607612971384E-6</v>
      </c>
      <c r="K91" s="14">
        <v>0</v>
      </c>
    </row>
    <row r="92" spans="1:11">
      <c r="A92" s="2" t="s">
        <v>429</v>
      </c>
      <c r="B92" s="3" t="s">
        <v>430</v>
      </c>
      <c r="D92" s="14">
        <v>2.0235718308839534E-8</v>
      </c>
      <c r="E92" s="14">
        <v>5.0807902432812818E-6</v>
      </c>
      <c r="F92" s="14">
        <v>1.9283809834460012E-5</v>
      </c>
      <c r="G92" s="14">
        <v>4.0690066108740681E-6</v>
      </c>
      <c r="H92" s="14">
        <v>0</v>
      </c>
      <c r="I92" s="14">
        <v>4.8720925160014644E-8</v>
      </c>
      <c r="J92" s="14">
        <v>1.1497436667915789E-5</v>
      </c>
      <c r="K92" s="14">
        <v>0</v>
      </c>
    </row>
    <row r="93" spans="1:11">
      <c r="A93" s="2" t="s">
        <v>431</v>
      </c>
      <c r="B93" s="3" t="s">
        <v>432</v>
      </c>
      <c r="D93" s="14">
        <v>4.8212156558074703E-22</v>
      </c>
      <c r="E93" s="14">
        <v>3.9816663681998105E-5</v>
      </c>
      <c r="F93" s="14">
        <v>1.7446023017882028E-7</v>
      </c>
      <c r="G93" s="14">
        <v>1.3977141523334346E-10</v>
      </c>
      <c r="H93" s="14">
        <v>0</v>
      </c>
      <c r="I93" s="14">
        <v>2.6166042832059877E-9</v>
      </c>
      <c r="J93" s="14">
        <v>6.1197121246372697E-9</v>
      </c>
      <c r="K93" s="14">
        <v>0</v>
      </c>
    </row>
    <row r="94" spans="1:11">
      <c r="A94" s="2" t="s">
        <v>433</v>
      </c>
      <c r="B94" s="3" t="s">
        <v>434</v>
      </c>
      <c r="D94" s="14">
        <v>1.0190130770950201E-22</v>
      </c>
      <c r="E94" s="14">
        <v>3.9996537674299948E-5</v>
      </c>
      <c r="F94" s="14">
        <v>6.7897529515182538E-10</v>
      </c>
      <c r="G94" s="14">
        <v>9.4743541443363245E-13</v>
      </c>
      <c r="H94" s="14">
        <v>0</v>
      </c>
      <c r="I94" s="14">
        <v>2.6275704271744833E-9</v>
      </c>
      <c r="J94" s="14">
        <v>1.5483254231106748E-10</v>
      </c>
      <c r="K94" s="14">
        <v>0</v>
      </c>
    </row>
    <row r="95" spans="1:11">
      <c r="A95" s="2" t="s">
        <v>435</v>
      </c>
      <c r="B95" s="3" t="s">
        <v>436</v>
      </c>
      <c r="D95" s="14">
        <v>5.4498575972945442E-13</v>
      </c>
      <c r="E95" s="14">
        <v>3.7478844857764853E-5</v>
      </c>
      <c r="F95" s="14">
        <v>1.4949634042207119E-7</v>
      </c>
      <c r="G95" s="14">
        <v>5.1851557699507748E-8</v>
      </c>
      <c r="H95" s="14">
        <v>0</v>
      </c>
      <c r="I95" s="14">
        <v>3.0819491357042844E-9</v>
      </c>
      <c r="J95" s="14">
        <v>2.3167247499921048E-6</v>
      </c>
      <c r="K95" s="14">
        <v>0</v>
      </c>
    </row>
    <row r="96" spans="1:11">
      <c r="A96" s="2" t="s">
        <v>437</v>
      </c>
      <c r="B96" s="165" t="s">
        <v>438</v>
      </c>
      <c r="D96" s="14">
        <v>1.9601980921501402E-12</v>
      </c>
      <c r="E96" s="14">
        <v>2.1033551187077051E-8</v>
      </c>
      <c r="F96" s="14">
        <v>8.6531489020905969E-6</v>
      </c>
      <c r="G96" s="14">
        <v>2.7904210049487663E-5</v>
      </c>
      <c r="H96" s="14">
        <v>0</v>
      </c>
      <c r="I96" s="14">
        <v>3.3996227079782029E-7</v>
      </c>
      <c r="J96" s="14">
        <v>3.0816432662387505E-6</v>
      </c>
      <c r="K96" s="14">
        <v>0</v>
      </c>
    </row>
    <row r="97" spans="1:11">
      <c r="A97" s="2" t="s">
        <v>439</v>
      </c>
      <c r="B97" s="3" t="s">
        <v>440</v>
      </c>
      <c r="D97" s="14">
        <v>1.5959596397661039E-9</v>
      </c>
      <c r="E97" s="14">
        <v>2.4003498515202053E-5</v>
      </c>
      <c r="F97" s="14">
        <v>4.1010599617382361E-6</v>
      </c>
      <c r="G97" s="14">
        <v>1.0874058736878917E-6</v>
      </c>
      <c r="H97" s="14">
        <v>0</v>
      </c>
      <c r="I97" s="14">
        <v>1.4380835324582599E-8</v>
      </c>
      <c r="J97" s="14">
        <v>1.0792058854407477E-5</v>
      </c>
      <c r="K97" s="14">
        <v>0</v>
      </c>
    </row>
    <row r="98" spans="1:11">
      <c r="A98" s="2" t="s">
        <v>441</v>
      </c>
      <c r="B98" s="3" t="s">
        <v>442</v>
      </c>
      <c r="D98" s="14">
        <v>1.0876237178408066E-21</v>
      </c>
      <c r="E98" s="14">
        <v>2.7879906327081837E-5</v>
      </c>
      <c r="F98" s="14">
        <v>2.4862963052016898E-6</v>
      </c>
      <c r="G98" s="14">
        <v>6.915895779351651E-7</v>
      </c>
      <c r="H98" s="14">
        <v>0</v>
      </c>
      <c r="I98" s="14">
        <v>9.9536619741844565E-9</v>
      </c>
      <c r="J98" s="14">
        <v>8.9322541278071243E-6</v>
      </c>
      <c r="K98" s="14">
        <v>0</v>
      </c>
    </row>
    <row r="99" spans="1:11">
      <c r="A99" s="2" t="s">
        <v>443</v>
      </c>
      <c r="B99" s="3" t="s">
        <v>444</v>
      </c>
      <c r="D99" s="14">
        <v>1.6807830677356662E-33</v>
      </c>
      <c r="E99" s="14">
        <v>3.4536975689141645E-5</v>
      </c>
      <c r="F99" s="14">
        <v>5.912700476424902E-7</v>
      </c>
      <c r="G99" s="14">
        <v>1.8572973307779997E-7</v>
      </c>
      <c r="H99" s="14">
        <v>0</v>
      </c>
      <c r="I99" s="14">
        <v>4.4271098257361837E-9</v>
      </c>
      <c r="J99" s="14">
        <v>4.6815974203123338E-6</v>
      </c>
      <c r="K99" s="14">
        <v>0</v>
      </c>
    </row>
    <row r="100" spans="1:11">
      <c r="A100" s="2" t="s">
        <v>445</v>
      </c>
      <c r="B100" s="3" t="s">
        <v>446</v>
      </c>
      <c r="D100" s="14">
        <v>2.0148929966611285E-12</v>
      </c>
      <c r="E100" s="14">
        <v>1.3537068543354849E-7</v>
      </c>
      <c r="F100" s="14">
        <v>2.1302285563962512E-5</v>
      </c>
      <c r="G100" s="14">
        <v>1.3728457943604435E-5</v>
      </c>
      <c r="H100" s="14">
        <v>0</v>
      </c>
      <c r="I100" s="14">
        <v>1.6584573383542748E-7</v>
      </c>
      <c r="J100" s="14">
        <v>4.6680380582710851E-6</v>
      </c>
      <c r="K100" s="14">
        <v>0</v>
      </c>
    </row>
    <row r="101" spans="1:11">
      <c r="A101" s="2" t="s">
        <v>447</v>
      </c>
      <c r="B101" s="3" t="s">
        <v>448</v>
      </c>
      <c r="D101" s="14">
        <v>1.7748915663870744E-13</v>
      </c>
      <c r="E101" s="14">
        <v>7.0814870676878641E-6</v>
      </c>
      <c r="F101" s="14">
        <v>1.6712677804111135E-5</v>
      </c>
      <c r="G101" s="14">
        <v>3.6520910475755508E-6</v>
      </c>
      <c r="H101" s="14">
        <v>0</v>
      </c>
      <c r="I101" s="14">
        <v>4.3832711702977548E-8</v>
      </c>
      <c r="J101" s="14">
        <v>1.2509911191433314E-5</v>
      </c>
      <c r="K101" s="14">
        <v>0</v>
      </c>
    </row>
    <row r="102" spans="1:11">
      <c r="A102" s="2" t="s">
        <v>449</v>
      </c>
      <c r="B102" s="3" t="s">
        <v>450</v>
      </c>
      <c r="D102" s="14">
        <v>7.8794933096120032E-9</v>
      </c>
      <c r="E102" s="14">
        <v>1.5587301348086802E-6</v>
      </c>
      <c r="F102" s="14">
        <v>2.586857501354655E-5</v>
      </c>
      <c r="G102" s="14">
        <v>4.8963004719676264E-6</v>
      </c>
      <c r="H102" s="14">
        <v>0</v>
      </c>
      <c r="I102" s="14">
        <v>5.8584360851167612E-8</v>
      </c>
      <c r="J102" s="14">
        <v>7.6099305255163609E-6</v>
      </c>
      <c r="K102" s="14">
        <v>0</v>
      </c>
    </row>
    <row r="103" spans="1:11">
      <c r="A103" s="2" t="s">
        <v>451</v>
      </c>
      <c r="B103" s="3" t="s">
        <v>452</v>
      </c>
      <c r="D103" s="14">
        <v>1.7603173942848379E-23</v>
      </c>
      <c r="E103" s="14">
        <v>3.5789935045609258E-5</v>
      </c>
      <c r="F103" s="14">
        <v>4.2022557927249087E-6</v>
      </c>
      <c r="G103" s="14">
        <v>4.0780983256122175E-10</v>
      </c>
      <c r="H103" s="14">
        <v>0</v>
      </c>
      <c r="I103" s="14">
        <v>2.6897311104594523E-9</v>
      </c>
      <c r="J103" s="14">
        <v>4.7116207228164753E-9</v>
      </c>
      <c r="K103" s="14">
        <v>0</v>
      </c>
    </row>
    <row r="104" spans="1:11">
      <c r="A104" s="2" t="s">
        <v>453</v>
      </c>
      <c r="B104" s="3" t="s">
        <v>454</v>
      </c>
      <c r="D104" s="14">
        <v>4.5154846414249007E-25</v>
      </c>
      <c r="E104" s="14">
        <v>4.4428590459036982E-7</v>
      </c>
      <c r="F104" s="14">
        <v>3.9482451391351915E-5</v>
      </c>
      <c r="G104" s="14">
        <v>4.1808998036535423E-8</v>
      </c>
      <c r="H104" s="14">
        <v>0</v>
      </c>
      <c r="I104" s="14">
        <v>3.7088554421007185E-9</v>
      </c>
      <c r="J104" s="14">
        <v>2.7744850579086422E-8</v>
      </c>
      <c r="K104" s="14">
        <v>0</v>
      </c>
    </row>
    <row r="105" spans="1:11">
      <c r="A105" s="2" t="s">
        <v>455</v>
      </c>
      <c r="B105" s="165">
        <v>354656</v>
      </c>
      <c r="D105" s="14">
        <v>1.4743204155310783E-14</v>
      </c>
      <c r="E105" s="14">
        <v>3.8738653393555258E-5</v>
      </c>
      <c r="F105" s="14">
        <v>3.9306655672863983E-8</v>
      </c>
      <c r="G105" s="14">
        <v>1.5204132639618468E-8</v>
      </c>
      <c r="H105" s="14">
        <v>0</v>
      </c>
      <c r="I105" s="14">
        <v>2.7032980605792208E-9</v>
      </c>
      <c r="J105" s="14">
        <v>1.2041325053284786E-6</v>
      </c>
      <c r="K105" s="14">
        <v>0</v>
      </c>
    </row>
    <row r="106" spans="1:11">
      <c r="A106" s="2" t="s">
        <v>457</v>
      </c>
      <c r="B106" s="3" t="s">
        <v>458</v>
      </c>
      <c r="D106" s="14">
        <v>2.1847441335275767E-14</v>
      </c>
      <c r="E106" s="14">
        <v>3.7354034167651938E-5</v>
      </c>
      <c r="F106" s="14">
        <v>1.6203182432510903E-7</v>
      </c>
      <c r="G106" s="14">
        <v>5.5946873219581301E-8</v>
      </c>
      <c r="H106" s="14">
        <v>0</v>
      </c>
      <c r="I106" s="14">
        <v>3.1171714195149078E-9</v>
      </c>
      <c r="J106" s="14">
        <v>2.4248699415364234E-6</v>
      </c>
      <c r="K106" s="14">
        <v>0</v>
      </c>
    </row>
    <row r="107" spans="1:11">
      <c r="A107" s="2" t="s">
        <v>459</v>
      </c>
      <c r="B107" s="3" t="s">
        <v>460</v>
      </c>
      <c r="D107" s="14">
        <v>1.8439672478015156E-24</v>
      </c>
      <c r="E107" s="14">
        <v>8.3922396596344021E-7</v>
      </c>
      <c r="F107" s="14">
        <v>2.8579626324085259E-5</v>
      </c>
      <c r="G107" s="14">
        <v>5.0020121111199078E-6</v>
      </c>
      <c r="H107" s="14">
        <v>0</v>
      </c>
      <c r="I107" s="14">
        <v>7.0332980122429631E-8</v>
      </c>
      <c r="J107" s="14">
        <v>5.5088046187089667E-6</v>
      </c>
      <c r="K107" s="14">
        <v>0</v>
      </c>
    </row>
    <row r="108" spans="1:11">
      <c r="A108" s="2" t="s">
        <v>461</v>
      </c>
      <c r="B108" s="3" t="s">
        <v>462</v>
      </c>
      <c r="D108" s="14">
        <v>4.4027015099506092E-14</v>
      </c>
      <c r="E108" s="14">
        <v>3.9994796142183439E-5</v>
      </c>
      <c r="F108" s="14">
        <v>3.5169470767327385E-10</v>
      </c>
      <c r="G108" s="14">
        <v>1.0193595939962626E-11</v>
      </c>
      <c r="H108" s="14">
        <v>0</v>
      </c>
      <c r="I108" s="14">
        <v>2.6184105794499282E-9</v>
      </c>
      <c r="J108" s="14">
        <v>2.2235149064890754E-9</v>
      </c>
      <c r="K108" s="14">
        <v>0</v>
      </c>
    </row>
    <row r="109" spans="1:11">
      <c r="A109" s="2" t="s">
        <v>463</v>
      </c>
      <c r="B109" s="3" t="s">
        <v>464</v>
      </c>
      <c r="D109" s="14">
        <v>1.1236599800452254E-16</v>
      </c>
      <c r="E109" s="14">
        <v>3.6814743546662802E-5</v>
      </c>
      <c r="F109" s="14">
        <v>2.3069167482292152E-6</v>
      </c>
      <c r="G109" s="14">
        <v>1.1466688054699412E-7</v>
      </c>
      <c r="H109" s="14">
        <v>0</v>
      </c>
      <c r="I109" s="14">
        <v>3.4969705338240767E-8</v>
      </c>
      <c r="J109" s="14">
        <v>7.2870311911038257E-7</v>
      </c>
      <c r="K109" s="14">
        <v>0</v>
      </c>
    </row>
    <row r="110" spans="1:11">
      <c r="A110" s="2" t="s">
        <v>465</v>
      </c>
      <c r="B110" s="3" t="s">
        <v>466</v>
      </c>
      <c r="D110" s="14">
        <v>8.358611742615777E-16</v>
      </c>
      <c r="E110" s="14">
        <v>3.9736415149215928E-5</v>
      </c>
      <c r="F110" s="14">
        <v>8.9931173119122801E-9</v>
      </c>
      <c r="G110" s="14">
        <v>1.720587582749449E-9</v>
      </c>
      <c r="H110" s="14">
        <v>0</v>
      </c>
      <c r="I110" s="14">
        <v>2.6123121465291401E-9</v>
      </c>
      <c r="J110" s="14">
        <v>2.5025883290702561E-7</v>
      </c>
      <c r="K110" s="14">
        <v>0</v>
      </c>
    </row>
    <row r="111" spans="1:11">
      <c r="A111" s="2" t="s">
        <v>467</v>
      </c>
      <c r="B111" s="3" t="s">
        <v>468</v>
      </c>
      <c r="D111" s="14">
        <v>1.4858098663041167E-34</v>
      </c>
      <c r="E111" s="14">
        <v>3.9996526712275196E-5</v>
      </c>
      <c r="F111" s="14">
        <v>6.3912212668977502E-10</v>
      </c>
      <c r="G111" s="14">
        <v>5.2802660079034339E-13</v>
      </c>
      <c r="H111" s="14">
        <v>0</v>
      </c>
      <c r="I111" s="14">
        <v>2.6088519994661136E-9</v>
      </c>
      <c r="J111" s="14">
        <v>2.2478557204191036E-10</v>
      </c>
      <c r="K111" s="14">
        <v>0</v>
      </c>
    </row>
    <row r="112" spans="1:11">
      <c r="A112" s="2" t="s">
        <v>469</v>
      </c>
      <c r="B112" s="3" t="s">
        <v>470</v>
      </c>
      <c r="D112" s="14">
        <v>9.3917086280955361E-18</v>
      </c>
      <c r="E112" s="14">
        <v>3.9668634481883801E-5</v>
      </c>
      <c r="F112" s="14">
        <v>3.1018359513107385E-9</v>
      </c>
      <c r="G112" s="14">
        <v>1.4491534685782714E-9</v>
      </c>
      <c r="H112" s="14">
        <v>0</v>
      </c>
      <c r="I112" s="14">
        <v>2.6040770235832963E-9</v>
      </c>
      <c r="J112" s="14">
        <v>3.2421045166333819E-7</v>
      </c>
      <c r="K112" s="14">
        <v>0</v>
      </c>
    </row>
    <row r="113" spans="1:11">
      <c r="A113" s="2" t="s">
        <v>471</v>
      </c>
      <c r="B113" s="3" t="s">
        <v>472</v>
      </c>
      <c r="D113" s="14">
        <v>1.1557823195745264E-13</v>
      </c>
      <c r="E113" s="14">
        <v>3.8058238832605765E-5</v>
      </c>
      <c r="F113" s="14">
        <v>8.8135375977229983E-8</v>
      </c>
      <c r="G113" s="14">
        <v>3.2080846324477588E-8</v>
      </c>
      <c r="H113" s="14">
        <v>0</v>
      </c>
      <c r="I113" s="14">
        <v>2.8557986260661936E-9</v>
      </c>
      <c r="J113" s="14">
        <v>1.8186890308882211E-6</v>
      </c>
      <c r="K113" s="14">
        <v>0</v>
      </c>
    </row>
    <row r="114" spans="1:11">
      <c r="A114" s="2" t="s">
        <v>473</v>
      </c>
      <c r="B114" s="3" t="s">
        <v>474</v>
      </c>
      <c r="D114" s="14">
        <v>9.2190474319415228E-21</v>
      </c>
      <c r="E114" s="14">
        <v>3.9827937624766935E-5</v>
      </c>
      <c r="F114" s="14">
        <v>9.0321136292227358E-10</v>
      </c>
      <c r="G114" s="14">
        <v>4.5504882396672246E-10</v>
      </c>
      <c r="H114" s="14">
        <v>0</v>
      </c>
      <c r="I114" s="14">
        <v>2.6029873599901542E-9</v>
      </c>
      <c r="J114" s="14">
        <v>1.6810112768618204E-7</v>
      </c>
      <c r="K114" s="14">
        <v>0</v>
      </c>
    </row>
    <row r="115" spans="1:11">
      <c r="A115" s="2" t="s">
        <v>475</v>
      </c>
      <c r="B115" s="3" t="s">
        <v>476</v>
      </c>
      <c r="D115" s="14">
        <v>4.7676389936465231E-17</v>
      </c>
      <c r="E115" s="14">
        <v>3.8896497790907888E-5</v>
      </c>
      <c r="F115" s="14">
        <v>1.0980246095829598E-6</v>
      </c>
      <c r="G115" s="14">
        <v>1.3152124978203179E-10</v>
      </c>
      <c r="H115" s="14">
        <v>0</v>
      </c>
      <c r="I115" s="14">
        <v>2.6389516651074836E-9</v>
      </c>
      <c r="J115" s="14">
        <v>2.7071265465936881E-9</v>
      </c>
      <c r="K115" s="14">
        <v>0</v>
      </c>
    </row>
    <row r="116" spans="1:11">
      <c r="A116" s="2" t="s">
        <v>477</v>
      </c>
      <c r="B116" s="3" t="s">
        <v>478</v>
      </c>
      <c r="D116" s="14">
        <v>1.3406255267131919E-21</v>
      </c>
      <c r="E116" s="14">
        <v>5.3405901862316287E-6</v>
      </c>
      <c r="F116" s="14">
        <v>3.27396274753975E-5</v>
      </c>
      <c r="G116" s="14">
        <v>7.9297090706585437E-7</v>
      </c>
      <c r="H116" s="14">
        <v>0</v>
      </c>
      <c r="I116" s="14">
        <v>3.612679116364694E-7</v>
      </c>
      <c r="J116" s="14">
        <v>7.6554351966854586E-7</v>
      </c>
      <c r="K116" s="14">
        <v>0</v>
      </c>
    </row>
    <row r="117" spans="1:11">
      <c r="A117" s="2" t="s">
        <v>291</v>
      </c>
      <c r="B117" s="3" t="s">
        <v>479</v>
      </c>
      <c r="D117" s="14">
        <v>1.1765373689345771E-14</v>
      </c>
      <c r="E117" s="14">
        <v>1.8882450995226194E-5</v>
      </c>
      <c r="F117" s="14">
        <v>6.8309316620729126E-6</v>
      </c>
      <c r="G117" s="14">
        <v>1.7138606042609192E-6</v>
      </c>
      <c r="H117" s="14">
        <v>0</v>
      </c>
      <c r="I117" s="14">
        <v>2.1473594416846742E-8</v>
      </c>
      <c r="J117" s="14">
        <v>1.2551283132257759E-5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8B54-1554-4FB2-A19E-8F397D4DB40E}">
  <dimension ref="A1:D117"/>
  <sheetViews>
    <sheetView tabSelected="1" topLeftCell="A97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2.6574280953791911E-9</v>
      </c>
      <c r="B2">
        <f>'Mass Balance'!E2</f>
        <v>3.9028892607192329E-5</v>
      </c>
      <c r="C2">
        <f>SUM('Mass Balance'!E2:H2)</f>
        <v>3.9062547366160223E-5</v>
      </c>
      <c r="D2">
        <f>Concentrations!F2/Concentrations!E2</f>
        <v>1.0030487243621815</v>
      </c>
    </row>
    <row r="3" spans="1:4">
      <c r="A3">
        <f>'Mass Balance'!I3</f>
        <v>2.6128310462238754E-8</v>
      </c>
      <c r="B3">
        <f>'Mass Balance'!E3</f>
        <v>1.8688088468450954E-5</v>
      </c>
      <c r="C3">
        <f>SUM('Mass Balance'!E3:H3)</f>
        <v>2.7916173695579287E-5</v>
      </c>
      <c r="D3">
        <f>Concentrations!F3/Concentrations!E3</f>
        <v>0.67205582832727218</v>
      </c>
    </row>
    <row r="4" spans="1:4">
      <c r="A4">
        <f>'Mass Balance'!I4</f>
        <v>2.9877712676048878E-9</v>
      </c>
      <c r="B4">
        <f>'Mass Balance'!E4</f>
        <v>3.9979295244198059E-5</v>
      </c>
      <c r="C4">
        <f>SUM('Mass Balance'!E4:H4)</f>
        <v>3.9996186219348855E-5</v>
      </c>
      <c r="D4">
        <f>Concentrations!F4/Concentrations!E4</f>
        <v>1.0034896895616316</v>
      </c>
    </row>
    <row r="5" spans="1:4">
      <c r="A5">
        <f>'Mass Balance'!I5</f>
        <v>2.7760640745316024E-9</v>
      </c>
      <c r="B5">
        <f>'Mass Balance'!E5</f>
        <v>2.1903448712987119E-5</v>
      </c>
      <c r="C5">
        <f>SUM('Mass Balance'!E5:H5)</f>
        <v>3.9989699282641374E-5</v>
      </c>
      <c r="D5">
        <f>Concentrations!F5/Concentrations!E5</f>
        <v>0.54987088407343221</v>
      </c>
    </row>
    <row r="6" spans="1:4">
      <c r="A6">
        <f>'Mass Balance'!I6</f>
        <v>2.8077800609449511E-9</v>
      </c>
      <c r="B6">
        <f>'Mass Balance'!E6</f>
        <v>1.2963139583947568E-5</v>
      </c>
      <c r="C6">
        <f>SUM('Mass Balance'!E6:H6)</f>
        <v>3.9968980020864415E-5</v>
      </c>
      <c r="D6">
        <f>Concentrations!F6/Concentrations!E6</f>
        <v>0.3255993237539378</v>
      </c>
    </row>
    <row r="7" spans="1:4">
      <c r="A7">
        <f>'Mass Balance'!I7</f>
        <v>3.3689990874553965E-9</v>
      </c>
      <c r="B7">
        <f>'Mass Balance'!E7</f>
        <v>4.3047456063389327E-6</v>
      </c>
      <c r="C7">
        <f>SUM('Mass Balance'!E7:H7)</f>
        <v>3.9847593456154376E-5</v>
      </c>
      <c r="D7">
        <f>Concentrations!F7/Concentrations!E7</f>
        <v>0.10845304645239197</v>
      </c>
    </row>
    <row r="8" spans="1:4">
      <c r="A8">
        <f>'Mass Balance'!I8</f>
        <v>2.7237969447670407E-9</v>
      </c>
      <c r="B8">
        <f>'Mass Balance'!E8</f>
        <v>9.1918574536117219E-6</v>
      </c>
      <c r="C8">
        <f>SUM('Mass Balance'!E8:H8)</f>
        <v>3.9983360598758135E-5</v>
      </c>
      <c r="D8">
        <f>Concentrations!F8/Concentrations!E8</f>
        <v>0.23079178670061076</v>
      </c>
    </row>
    <row r="9" spans="1:4">
      <c r="A9">
        <f>'Mass Balance'!I9</f>
        <v>2.8225323538257324E-9</v>
      </c>
      <c r="B9">
        <f>'Mass Balance'!E9</f>
        <v>2.4557166127180275E-5</v>
      </c>
      <c r="C9">
        <f>SUM('Mass Balance'!E9:H9)</f>
        <v>3.9962971301415892E-5</v>
      </c>
      <c r="D9">
        <f>Concentrations!F9/Concentrations!E9</f>
        <v>0.61690293913234817</v>
      </c>
    </row>
    <row r="10" spans="1:4">
      <c r="A10">
        <f>'Mass Balance'!I10</f>
        <v>6.2654112964397206E-8</v>
      </c>
      <c r="B10">
        <f>'Mass Balance'!E10</f>
        <v>4.1396114103798857E-7</v>
      </c>
      <c r="C10">
        <f>SUM('Mass Balance'!E10:H10)</f>
        <v>3.551933820375009E-5</v>
      </c>
      <c r="D10">
        <f>Concentrations!F10/Concentrations!E10</f>
        <v>1.1700140373438878E-2</v>
      </c>
    </row>
    <row r="11" spans="1:4">
      <c r="A11">
        <f>'Mass Balance'!I11</f>
        <v>2.9201246065765412E-7</v>
      </c>
      <c r="B11">
        <f>'Mass Balance'!E11</f>
        <v>2.467875798023999E-8</v>
      </c>
      <c r="C11">
        <f>SUM('Mass Balance'!E11:H11)</f>
        <v>3.8992648584352046E-5</v>
      </c>
      <c r="D11">
        <f>Concentrations!F11/Concentrations!E11</f>
        <v>6.3538495264243869E-4</v>
      </c>
    </row>
    <row r="12" spans="1:4">
      <c r="A12">
        <f>'Mass Balance'!I12</f>
        <v>2.4087245808206108E-9</v>
      </c>
      <c r="B12">
        <f>'Mass Balance'!E12</f>
        <v>3.6830009073610486E-5</v>
      </c>
      <c r="C12">
        <f>SUM('Mass Balance'!E12:H12)</f>
        <v>3.6831557484822866E-5</v>
      </c>
      <c r="D12">
        <f>Concentrations!F12/Concentrations!E12</f>
        <v>1.0038714521286256</v>
      </c>
    </row>
    <row r="13" spans="1:4">
      <c r="A13">
        <f>'Mass Balance'!I13</f>
        <v>1.8391103045183846E-8</v>
      </c>
      <c r="B13">
        <f>'Mass Balance'!E13</f>
        <v>2.0985623032680937E-5</v>
      </c>
      <c r="C13">
        <f>SUM('Mass Balance'!E13:H13)</f>
        <v>2.8051850370535059E-5</v>
      </c>
      <c r="D13">
        <f>Concentrations!F13/Concentrations!E13</f>
        <v>0.75102901537292654</v>
      </c>
    </row>
    <row r="14" spans="1:4">
      <c r="A14">
        <f>'Mass Balance'!I14</f>
        <v>5.5072255341149228E-9</v>
      </c>
      <c r="B14">
        <f>'Mass Balance'!E14</f>
        <v>3.5226847610720774E-7</v>
      </c>
      <c r="C14">
        <f>SUM('Mass Balance'!E14:H14)</f>
        <v>3.9963213167457647E-5</v>
      </c>
      <c r="D14">
        <f>Concentrations!F14/Concentrations!E14</f>
        <v>8.8493168107598632E-3</v>
      </c>
    </row>
    <row r="15" spans="1:4">
      <c r="A15">
        <f>'Mass Balance'!I15</f>
        <v>4.7716626487882239E-9</v>
      </c>
      <c r="B15">
        <f>'Mass Balance'!E15</f>
        <v>3.0483022447453323E-5</v>
      </c>
      <c r="C15">
        <f>SUM('Mass Balance'!E15:H15)</f>
        <v>3.1499105272880742E-5</v>
      </c>
      <c r="D15">
        <f>Concentrations!F15/Concentrations!E15</f>
        <v>0.97152989827926484</v>
      </c>
    </row>
    <row r="16" spans="1:4">
      <c r="A16">
        <f>'Mass Balance'!I16</f>
        <v>2.0398816399299723E-8</v>
      </c>
      <c r="B16">
        <f>'Mass Balance'!E16</f>
        <v>1.9575156008319966E-5</v>
      </c>
      <c r="C16">
        <f>SUM('Mass Balance'!E16:H16)</f>
        <v>2.7602134580185989E-5</v>
      </c>
      <c r="D16">
        <f>Concentrations!F16/Concentrations!E16</f>
        <v>0.71196546040949049</v>
      </c>
    </row>
    <row r="17" spans="1:4">
      <c r="A17">
        <f>'Mass Balance'!I17</f>
        <v>1.9094382465072593E-8</v>
      </c>
      <c r="B17">
        <f>'Mass Balance'!E17</f>
        <v>2.042336164573811E-5</v>
      </c>
      <c r="C17">
        <f>SUM('Mass Balance'!E17:H17)</f>
        <v>2.7827663278516363E-5</v>
      </c>
      <c r="D17">
        <f>Concentrations!F17/Concentrations!E17</f>
        <v>0.73679530590858955</v>
      </c>
    </row>
    <row r="18" spans="1:4">
      <c r="A18">
        <f>'Mass Balance'!I18</f>
        <v>3.2308781115088025E-7</v>
      </c>
      <c r="B18">
        <f>'Mass Balance'!E18</f>
        <v>2.6419519452818172E-8</v>
      </c>
      <c r="C18">
        <f>SUM('Mass Balance'!E18:H18)</f>
        <v>3.6366554691846665E-5</v>
      </c>
      <c r="D18">
        <f>Concentrations!F18/Concentrations!E18</f>
        <v>7.2932166972692746E-4</v>
      </c>
    </row>
    <row r="19" spans="1:4">
      <c r="A19">
        <f>'Mass Balance'!I19</f>
        <v>3.3417782812704607E-9</v>
      </c>
      <c r="B19">
        <f>'Mass Balance'!E19</f>
        <v>3.6126778862974508E-5</v>
      </c>
      <c r="C19">
        <f>SUM('Mass Balance'!E19:H19)</f>
        <v>3.6462567287696104E-5</v>
      </c>
      <c r="D19">
        <f>Concentrations!F19/Concentrations!E19</f>
        <v>0.99466848831057531</v>
      </c>
    </row>
    <row r="20" spans="1:4">
      <c r="A20">
        <f>'Mass Balance'!I20</f>
        <v>3.929709442979596E-9</v>
      </c>
      <c r="B20">
        <f>'Mass Balance'!E20</f>
        <v>3.4475752623635341E-5</v>
      </c>
      <c r="C20">
        <f>SUM('Mass Balance'!E20:H20)</f>
        <v>3.5067736836286594E-5</v>
      </c>
      <c r="D20">
        <f>Concentrations!F20/Concentrations!E20</f>
        <v>0.98696642602903806</v>
      </c>
    </row>
    <row r="21" spans="1:4">
      <c r="A21">
        <f>'Mass Balance'!I21</f>
        <v>1.7107938683723169E-8</v>
      </c>
      <c r="B21">
        <f>'Mass Balance'!E21</f>
        <v>4.2441342630741137E-6</v>
      </c>
      <c r="C21">
        <f>SUM('Mass Balance'!E21:H21)</f>
        <v>3.7163623892471664E-5</v>
      </c>
      <c r="D21">
        <f>Concentrations!F21/Concentrations!E21</f>
        <v>0.1146482474683196</v>
      </c>
    </row>
    <row r="22" spans="1:4">
      <c r="A22">
        <f>'Mass Balance'!I22</f>
        <v>2.5377245979492849E-9</v>
      </c>
      <c r="B22">
        <f>'Mass Balance'!E22</f>
        <v>3.6136063796773705E-5</v>
      </c>
      <c r="C22">
        <f>SUM('Mass Balance'!E22:H22)</f>
        <v>3.6192146457857759E-5</v>
      </c>
      <c r="D22">
        <f>Concentrations!F22/Concentrations!E22</f>
        <v>1.002358011511207</v>
      </c>
    </row>
    <row r="23" spans="1:4">
      <c r="A23">
        <f>'Mass Balance'!I23</f>
        <v>6.4940012655810781E-9</v>
      </c>
      <c r="B23">
        <f>'Mass Balance'!E23</f>
        <v>2.8900164155584001E-5</v>
      </c>
      <c r="C23">
        <f>SUM('Mass Balance'!E23:H23)</f>
        <v>3.0637962917635647E-5</v>
      </c>
      <c r="D23">
        <f>Concentrations!F23/Concentrations!E23</f>
        <v>0.94697123184535292</v>
      </c>
    </row>
    <row r="24" spans="1:4">
      <c r="A24">
        <f>'Mass Balance'!I24</f>
        <v>2.7445043998820602E-8</v>
      </c>
      <c r="B24">
        <f>'Mass Balance'!E24</f>
        <v>1.5150274044940771E-5</v>
      </c>
      <c r="C24">
        <f>SUM('Mass Balance'!E24:H24)</f>
        <v>2.6653130318955124E-5</v>
      </c>
      <c r="D24">
        <f>Concentrations!F24/Concentrations!E24</f>
        <v>0.57064843187288916</v>
      </c>
    </row>
    <row r="25" spans="1:4">
      <c r="A25">
        <f>'Mass Balance'!I25</f>
        <v>2.9595290317682813E-7</v>
      </c>
      <c r="B25">
        <f>'Mass Balance'!E25</f>
        <v>3.6771291941247842E-8</v>
      </c>
      <c r="C25">
        <f>SUM('Mass Balance'!E25:H25)</f>
        <v>3.605222673017817E-5</v>
      </c>
      <c r="D25">
        <f>Concentrations!F25/Concentrations!E25</f>
        <v>1.0239368137133337E-3</v>
      </c>
    </row>
    <row r="26" spans="1:4">
      <c r="A26">
        <f>'Mass Balance'!I26</f>
        <v>3.9645323808671509E-8</v>
      </c>
      <c r="B26">
        <f>'Mass Balance'!E26</f>
        <v>5.4520804126816713E-6</v>
      </c>
      <c r="C26">
        <f>SUM('Mass Balance'!E26:H26)</f>
        <v>2.4087462474495564E-5</v>
      </c>
      <c r="D26">
        <f>Concentrations!F26/Concentrations!E26</f>
        <v>0.22723099168919014</v>
      </c>
    </row>
    <row r="27" spans="1:4">
      <c r="A27">
        <f>'Mass Balance'!I27</f>
        <v>2.3133538571413884E-8</v>
      </c>
      <c r="B27">
        <f>'Mass Balance'!E27</f>
        <v>6.447331746601274E-7</v>
      </c>
      <c r="C27">
        <f>SUM('Mass Balance'!E27:H27)</f>
        <v>1.2756270887225006E-5</v>
      </c>
      <c r="D27">
        <f>Concentrations!F27/Concentrations!E27</f>
        <v>5.0740255117251006E-2</v>
      </c>
    </row>
    <row r="28" spans="1:4">
      <c r="A28">
        <f>'Mass Balance'!I28</f>
        <v>1.1433486995974825E-8</v>
      </c>
      <c r="B28">
        <f>'Mass Balance'!E28</f>
        <v>1.1651190543930275E-6</v>
      </c>
      <c r="C28">
        <f>SUM('Mass Balance'!E28:H28)</f>
        <v>6.6541922033574779E-6</v>
      </c>
      <c r="D28">
        <f>Concentrations!F28/Concentrations!E28</f>
        <v>0.17578075519766787</v>
      </c>
    </row>
    <row r="29" spans="1:4">
      <c r="A29">
        <f>'Mass Balance'!I29</f>
        <v>2.9994160283083063E-10</v>
      </c>
      <c r="B29">
        <f>'Mass Balance'!E29</f>
        <v>2.3666157923466936E-6</v>
      </c>
      <c r="C29">
        <f>SUM('Mass Balance'!E29:H29)</f>
        <v>2.4185670076124339E-6</v>
      </c>
      <c r="D29">
        <f>Concentrations!F29/Concentrations!E29</f>
        <v>0.98234942729794861</v>
      </c>
    </row>
    <row r="30" spans="1:4">
      <c r="A30">
        <f>'Mass Balance'!I30</f>
        <v>4.3886544899980252E-9</v>
      </c>
      <c r="B30">
        <f>'Mass Balance'!E30</f>
        <v>4.7928142609903252E-7</v>
      </c>
      <c r="C30">
        <f>SUM('Mass Balance'!E30:H30)</f>
        <v>2.5760852890592018E-6</v>
      </c>
      <c r="D30">
        <f>Concentrations!F30/Concentrations!E30</f>
        <v>0.18677843130853472</v>
      </c>
    </row>
    <row r="31" spans="1:4">
      <c r="A31">
        <f>'Mass Balance'!I31</f>
        <v>7.680349412818258E-11</v>
      </c>
      <c r="B31">
        <f>'Mass Balance'!E31</f>
        <v>1.7911038706873753E-8</v>
      </c>
      <c r="C31">
        <f>SUM('Mass Balance'!E31:H31)</f>
        <v>5.2619806794441209E-8</v>
      </c>
      <c r="D31">
        <f>Concentrations!F31/Concentrations!E31</f>
        <v>0.34171802338874779</v>
      </c>
    </row>
    <row r="32" spans="1:4">
      <c r="A32">
        <f>'Mass Balance'!I32</f>
        <v>1.625797899576938E-8</v>
      </c>
      <c r="B32">
        <f>'Mass Balance'!E32</f>
        <v>2.2477582418218405E-5</v>
      </c>
      <c r="C32">
        <f>SUM('Mass Balance'!E32:H32)</f>
        <v>2.8541522264335799E-5</v>
      </c>
      <c r="D32">
        <f>Concentrations!F32/Concentrations!E32</f>
        <v>0.79062187913500215</v>
      </c>
    </row>
    <row r="33" spans="1:4">
      <c r="A33">
        <f>'Mass Balance'!I33</f>
        <v>9.4077830704894078E-9</v>
      </c>
      <c r="B33">
        <f>'Mass Balance'!E33</f>
        <v>2.8411927738561331E-5</v>
      </c>
      <c r="C33">
        <f>SUM('Mass Balance'!E33:H33)</f>
        <v>3.1346914192882875E-5</v>
      </c>
      <c r="D33">
        <f>Concentrations!F33/Concentrations!E33</f>
        <v>0.90991802583642023</v>
      </c>
    </row>
    <row r="34" spans="1:4">
      <c r="A34">
        <f>'Mass Balance'!I34</f>
        <v>4.4106020632780501E-8</v>
      </c>
      <c r="B34">
        <f>'Mass Balance'!E34</f>
        <v>6.963654795043515E-6</v>
      </c>
      <c r="C34">
        <f>SUM('Mass Balance'!E34:H34)</f>
        <v>2.7489870760518713E-5</v>
      </c>
      <c r="D34">
        <f>Concentrations!F34/Concentrations!E34</f>
        <v>0.25430851284398492</v>
      </c>
    </row>
    <row r="35" spans="1:4">
      <c r="A35">
        <f>'Mass Balance'!I35</f>
        <v>5.9765737974759169E-8</v>
      </c>
      <c r="B35">
        <f>'Mass Balance'!E35</f>
        <v>8.3026381589836848E-7</v>
      </c>
      <c r="C35">
        <f>SUM('Mass Balance'!E35:H35)</f>
        <v>3.3571248225955904E-5</v>
      </c>
      <c r="D35">
        <f>Concentrations!F35/Concentrations!E35</f>
        <v>2.4828185657071934E-2</v>
      </c>
    </row>
    <row r="36" spans="1:4">
      <c r="A36">
        <f>'Mass Balance'!I36</f>
        <v>1.3304985776827723E-7</v>
      </c>
      <c r="B36">
        <f>'Mass Balance'!E36</f>
        <v>1.8533487907920734E-7</v>
      </c>
      <c r="C36">
        <f>SUM('Mass Balance'!E36:H36)</f>
        <v>3.5116789032053752E-5</v>
      </c>
      <c r="D36">
        <f>Concentrations!F36/Concentrations!E36</f>
        <v>5.2983265655727274E-3</v>
      </c>
    </row>
    <row r="37" spans="1:4">
      <c r="A37">
        <f>'Mass Balance'!I37</f>
        <v>3.1497436045713559E-7</v>
      </c>
      <c r="B37">
        <f>'Mass Balance'!E37</f>
        <v>2.8929902164876965E-8</v>
      </c>
      <c r="C37">
        <f>SUM('Mass Balance'!E37:H37)</f>
        <v>3.618886428058374E-5</v>
      </c>
      <c r="D37">
        <f>Concentrations!F37/Concentrations!E37</f>
        <v>8.0254311530271677E-4</v>
      </c>
    </row>
    <row r="38" spans="1:4">
      <c r="A38">
        <f>'Mass Balance'!I38</f>
        <v>1.9534804674844683E-7</v>
      </c>
      <c r="B38">
        <f>'Mass Balance'!E38</f>
        <v>1.0253421649398734E-7</v>
      </c>
      <c r="C38">
        <f>SUM('Mass Balance'!E38:H38)</f>
        <v>3.5270053214238964E-5</v>
      </c>
      <c r="D38">
        <f>Concentrations!F38/Concentrations!E38</f>
        <v>2.9184957454671031E-3</v>
      </c>
    </row>
    <row r="39" spans="1:4">
      <c r="A39">
        <f>'Mass Balance'!I39</f>
        <v>1.4562358948946302E-7</v>
      </c>
      <c r="B39">
        <f>'Mass Balance'!E39</f>
        <v>1.5348591975039162E-7</v>
      </c>
      <c r="C39">
        <f>SUM('Mass Balance'!E39:H39)</f>
        <v>3.4176760786864306E-5</v>
      </c>
      <c r="D39">
        <f>Concentrations!F39/Concentrations!E39</f>
        <v>4.5085200424820797E-3</v>
      </c>
    </row>
    <row r="40" spans="1:4">
      <c r="A40">
        <f>'Mass Balance'!I40</f>
        <v>1.9534804674844683E-7</v>
      </c>
      <c r="B40">
        <f>'Mass Balance'!E40</f>
        <v>1.0253421649398734E-7</v>
      </c>
      <c r="C40">
        <f>SUM('Mass Balance'!E40:H40)</f>
        <v>3.5270053214238964E-5</v>
      </c>
      <c r="D40">
        <f>Concentrations!F40/Concentrations!E40</f>
        <v>2.9184957454671031E-3</v>
      </c>
    </row>
    <row r="41" spans="1:4">
      <c r="A41">
        <f>'Mass Balance'!I41</f>
        <v>2.6555454121097812E-9</v>
      </c>
      <c r="B41">
        <f>'Mass Balance'!E41</f>
        <v>3.8168059823090415E-5</v>
      </c>
      <c r="C41">
        <f>SUM('Mass Balance'!E41:H41)</f>
        <v>3.9990129560147538E-5</v>
      </c>
      <c r="D41">
        <f>Concentrations!F41/Concentrations!E41</f>
        <v>0.95817235250460897</v>
      </c>
    </row>
    <row r="42" spans="1:4">
      <c r="A42">
        <f>'Mass Balance'!I42</f>
        <v>3.2192293675258038E-7</v>
      </c>
      <c r="B42">
        <f>'Mass Balance'!E42</f>
        <v>2.6324265404959331E-8</v>
      </c>
      <c r="C42">
        <f>SUM('Mass Balance'!E42:H42)</f>
        <v>3.6235437184305896E-5</v>
      </c>
      <c r="D42">
        <f>Concentrations!F42/Concentrations!E42</f>
        <v>7.2932166972692746E-4</v>
      </c>
    </row>
    <row r="43" spans="1:4">
      <c r="A43">
        <f>'Mass Balance'!I43</f>
        <v>2.9324393466317447E-8</v>
      </c>
      <c r="B43">
        <f>'Mass Balance'!E43</f>
        <v>1.4147362704432771E-5</v>
      </c>
      <c r="C43">
        <f>SUM('Mass Balance'!E43:H43)</f>
        <v>2.6600865215476216E-5</v>
      </c>
      <c r="D43">
        <f>Concentrations!F43/Concentrations!E43</f>
        <v>0.53391987495413606</v>
      </c>
    </row>
    <row r="44" spans="1:4">
      <c r="A44">
        <f>'Mass Balance'!I44</f>
        <v>9.4600500645229572E-8</v>
      </c>
      <c r="B44">
        <f>'Mass Balance'!E44</f>
        <v>2.7718123396203606E-7</v>
      </c>
      <c r="C44">
        <f>SUM('Mass Balance'!E44:H44)</f>
        <v>3.5233204440639357E-5</v>
      </c>
      <c r="D44">
        <f>Concentrations!F44/Concentrations!E44</f>
        <v>7.8978347458445244E-3</v>
      </c>
    </row>
    <row r="45" spans="1:4">
      <c r="A45">
        <f>'Mass Balance'!I45</f>
        <v>3.7613191022206172E-7</v>
      </c>
      <c r="B45">
        <f>'Mass Balance'!E45</f>
        <v>1.1860579079298762E-8</v>
      </c>
      <c r="C45">
        <f>SUM('Mass Balance'!E45:H45)</f>
        <v>3.7087590852694481E-5</v>
      </c>
      <c r="D45">
        <f>Concentrations!F45/Concentrations!E45</f>
        <v>3.2105070844138674E-4</v>
      </c>
    </row>
    <row r="46" spans="1:4">
      <c r="A46">
        <f>'Mass Balance'!I46</f>
        <v>3.3164842414741712E-7</v>
      </c>
      <c r="B46">
        <f>'Mass Balance'!E46</f>
        <v>2.3589631715532194E-8</v>
      </c>
      <c r="C46">
        <f>SUM('Mass Balance'!E46:H46)</f>
        <v>3.6471479225499267E-5</v>
      </c>
      <c r="D46">
        <f>Concentrations!F46/Concentrations!E46</f>
        <v>6.4932802139476542E-4</v>
      </c>
    </row>
    <row r="47" spans="1:4">
      <c r="A47">
        <f>'Mass Balance'!I47</f>
        <v>2.6403695177702412E-7</v>
      </c>
      <c r="B47">
        <f>'Mass Balance'!E47</f>
        <v>5.2217626558574935E-8</v>
      </c>
      <c r="C47">
        <f>SUM('Mass Balance'!E47:H47)</f>
        <v>3.5742070470596031E-5</v>
      </c>
      <c r="D47">
        <f>Concentrations!F47/Concentrations!E47</f>
        <v>1.4666746427414959E-3</v>
      </c>
    </row>
    <row r="48" spans="1:4">
      <c r="A48">
        <f>'Mass Balance'!I48</f>
        <v>5.6185805310803604E-8</v>
      </c>
      <c r="B48">
        <f>'Mass Balance'!E48</f>
        <v>2.3769220064473241E-6</v>
      </c>
      <c r="C48">
        <f>SUM('Mass Balance'!E48:H48)</f>
        <v>3.0997959397095312E-5</v>
      </c>
      <c r="D48">
        <f>Concentrations!F48/Concentrations!E48</f>
        <v>7.6980049987451254E-2</v>
      </c>
    </row>
    <row r="49" spans="1:4">
      <c r="A49">
        <f>'Mass Balance'!I49</f>
        <v>1.011510781647284E-7</v>
      </c>
      <c r="B49">
        <f>'Mass Balance'!E49</f>
        <v>2.5780717838210226E-7</v>
      </c>
      <c r="C49">
        <f>SUM('Mass Balance'!E49:H49)</f>
        <v>3.5204552770719697E-5</v>
      </c>
      <c r="D49">
        <f>Concentrations!F49/Concentrations!E49</f>
        <v>7.3517805761136156E-3</v>
      </c>
    </row>
    <row r="50" spans="1:4">
      <c r="A50">
        <f>'Mass Balance'!I50</f>
        <v>1.1274335778614638E-7</v>
      </c>
      <c r="B50">
        <f>'Mass Balance'!E50</f>
        <v>2.2777296922338657E-7</v>
      </c>
      <c r="C50">
        <f>SUM('Mass Balance'!E50:H50)</f>
        <v>3.5159361351354776E-5</v>
      </c>
      <c r="D50">
        <f>Concentrations!F50/Concentrations!E50</f>
        <v>6.5036560878853978E-3</v>
      </c>
    </row>
    <row r="51" spans="1:4">
      <c r="A51">
        <f>'Mass Balance'!I51</f>
        <v>5.868976687828617E-8</v>
      </c>
      <c r="B51">
        <f>'Mass Balance'!E51</f>
        <v>1.5257263319637001E-6</v>
      </c>
      <c r="C51">
        <f>SUM('Mass Balance'!E51:H51)</f>
        <v>3.2392671353335972E-5</v>
      </c>
      <c r="D51">
        <f>Concentrations!F51/Concentrations!E51</f>
        <v>4.7285309840487087E-2</v>
      </c>
    </row>
    <row r="52" spans="1:4">
      <c r="A52">
        <f>'Mass Balance'!I52</f>
        <v>5.6464391263211443E-8</v>
      </c>
      <c r="B52">
        <f>'Mass Balance'!E52</f>
        <v>2.2805154041241835E-6</v>
      </c>
      <c r="C52">
        <f>SUM('Mass Balance'!E52:H52)</f>
        <v>3.1131538752780029E-5</v>
      </c>
      <c r="D52">
        <f>Concentrations!F52/Concentrations!E52</f>
        <v>7.3540873690213088E-2</v>
      </c>
    </row>
    <row r="53" spans="1:4">
      <c r="A53">
        <f>'Mass Balance'!I53</f>
        <v>1.5402113929093546E-7</v>
      </c>
      <c r="B53">
        <f>'Mass Balance'!E53</f>
        <v>1.5140497726915827E-7</v>
      </c>
      <c r="C53">
        <f>SUM('Mass Balance'!E53:H53)</f>
        <v>3.5139800956429067E-5</v>
      </c>
      <c r="D53">
        <f>Concentrations!F53/Concentrations!E53</f>
        <v>4.3255089750456246E-3</v>
      </c>
    </row>
    <row r="54" spans="1:4">
      <c r="A54">
        <f>'Mass Balance'!I54</f>
        <v>1.0684251442216471E-7</v>
      </c>
      <c r="B54">
        <f>'Mass Balance'!E54</f>
        <v>2.4244456442276381E-7</v>
      </c>
      <c r="C54">
        <f>SUM('Mass Balance'!E54:H54)</f>
        <v>3.5181404276075833E-5</v>
      </c>
      <c r="D54">
        <f>Concentrations!F54/Concentrations!E54</f>
        <v>6.9182403118300565E-3</v>
      </c>
    </row>
    <row r="55" spans="1:4">
      <c r="A55">
        <f>'Mass Balance'!I55</f>
        <v>2.6070600325605379E-7</v>
      </c>
      <c r="B55">
        <f>'Mass Balance'!E55</f>
        <v>5.4011954337151313E-8</v>
      </c>
      <c r="C55">
        <f>SUM('Mass Balance'!E55:H55)</f>
        <v>3.5704085117194044E-5</v>
      </c>
      <c r="D55">
        <f>Concentrations!F55/Concentrations!E55</f>
        <v>1.5186872432767799E-3</v>
      </c>
    </row>
    <row r="56" spans="1:4">
      <c r="A56">
        <f>'Mass Balance'!I56</f>
        <v>9.675346478613351E-8</v>
      </c>
      <c r="B56">
        <f>'Mass Balance'!E56</f>
        <v>2.7061703887217429E-7</v>
      </c>
      <c r="C56">
        <f>SUM('Mass Balance'!E56:H56)</f>
        <v>3.5224822099412654E-5</v>
      </c>
      <c r="D56">
        <f>Concentrations!F56/Concentrations!E56</f>
        <v>7.712633448483123E-3</v>
      </c>
    </row>
    <row r="57" spans="1:4">
      <c r="A57">
        <f>'Mass Balance'!I57</f>
        <v>5.4637218054360548E-8</v>
      </c>
      <c r="B57">
        <f>'Mass Balance'!E57</f>
        <v>2.8472638561991955E-6</v>
      </c>
      <c r="C57">
        <f>SUM('Mass Balance'!E57:H57)</f>
        <v>3.0297634638321101E-5</v>
      </c>
      <c r="D57">
        <f>Concentrations!F57/Concentrations!E57</f>
        <v>9.4344231965447389E-2</v>
      </c>
    </row>
    <row r="58" spans="1:4">
      <c r="A58">
        <f>'Mass Balance'!I58</f>
        <v>1.080070414814541E-7</v>
      </c>
      <c r="B58">
        <f>'Mass Balance'!E58</f>
        <v>2.3945784593903403E-7</v>
      </c>
      <c r="C58">
        <f>SUM('Mass Balance'!E58:H58)</f>
        <v>3.5177228909111391E-5</v>
      </c>
      <c r="D58">
        <f>Concentrations!F58/Concentrations!E58</f>
        <v>6.8338243025118026E-3</v>
      </c>
    </row>
    <row r="59" spans="1:4">
      <c r="A59">
        <f>'Mass Balance'!I59</f>
        <v>5.6471962707680641E-8</v>
      </c>
      <c r="B59">
        <f>'Mass Balance'!E59</f>
        <v>2.2808212038566732E-6</v>
      </c>
      <c r="C59">
        <f>SUM('Mass Balance'!E59:H59)</f>
        <v>3.1135713254826965E-5</v>
      </c>
      <c r="D59">
        <f>Concentrations!F59/Concentrations!E59</f>
        <v>7.3540873690213088E-2</v>
      </c>
    </row>
    <row r="60" spans="1:4">
      <c r="A60">
        <f>'Mass Balance'!I60</f>
        <v>1.4120305105358616E-7</v>
      </c>
      <c r="B60">
        <f>'Mass Balance'!E60</f>
        <v>1.7109380445970467E-7</v>
      </c>
      <c r="C60">
        <f>SUM('Mass Balance'!E60:H60)</f>
        <v>3.5113392230059379E-5</v>
      </c>
      <c r="D60">
        <f>Concentrations!F60/Concentrations!E60</f>
        <v>4.8916779614992974E-3</v>
      </c>
    </row>
    <row r="61" spans="1:4">
      <c r="A61">
        <f>'Mass Balance'!I61</f>
        <v>1.0263659065806615E-7</v>
      </c>
      <c r="B61">
        <f>'Mass Balance'!E61</f>
        <v>1.1126635554188804E-5</v>
      </c>
      <c r="C61">
        <f>SUM('Mass Balance'!E61:H61)</f>
        <v>3.2036721801791693E-5</v>
      </c>
      <c r="D61">
        <f>Concentrations!F61/Concentrations!E61</f>
        <v>0.34866805219416086</v>
      </c>
    </row>
    <row r="62" spans="1:4">
      <c r="A62">
        <f>'Mass Balance'!I62</f>
        <v>4.299267210061074E-8</v>
      </c>
      <c r="B62">
        <f>'Mass Balance'!E62</f>
        <v>7.4415935817740572E-6</v>
      </c>
      <c r="C62">
        <f>SUM('Mass Balance'!E62:H62)</f>
        <v>2.7315001389022119E-5</v>
      </c>
      <c r="D62">
        <f>Concentrations!F62/Concentrations!E62</f>
        <v>0.27350236304920533</v>
      </c>
    </row>
    <row r="63" spans="1:4">
      <c r="A63">
        <f>'Mass Balance'!I63</f>
        <v>1.6671517521134721E-8</v>
      </c>
      <c r="B63">
        <f>'Mass Balance'!E63</f>
        <v>3.6935408306811523E-5</v>
      </c>
      <c r="C63">
        <f>SUM('Mass Balance'!E63:H63)</f>
        <v>3.8381598989981121E-5</v>
      </c>
      <c r="D63">
        <f>Concentrations!F63/Concentrations!E63</f>
        <v>0.96608692190690348</v>
      </c>
    </row>
    <row r="64" spans="1:4">
      <c r="A64">
        <f>'Mass Balance'!I64</f>
        <v>2.68112177563261E-9</v>
      </c>
      <c r="B64">
        <f>'Mass Balance'!E64</f>
        <v>3.933112750273084E-5</v>
      </c>
      <c r="C64">
        <f>SUM('Mass Balance'!E64:H64)</f>
        <v>3.9823639617359634E-5</v>
      </c>
      <c r="D64">
        <f>Concentrations!F64/Concentrations!E64</f>
        <v>0.99149792496629263</v>
      </c>
    </row>
    <row r="65" spans="1:4">
      <c r="A65">
        <f>'Mass Balance'!I65</f>
        <v>3.7976947360626906E-9</v>
      </c>
      <c r="B65">
        <f>'Mass Balance'!E65</f>
        <v>3.9852084115434484E-5</v>
      </c>
      <c r="C65">
        <f>SUM('Mass Balance'!E65:H65)</f>
        <v>3.9918699991181135E-5</v>
      </c>
      <c r="D65">
        <f>Concentrations!F65/Concentrations!E65</f>
        <v>1.0022383372267634</v>
      </c>
    </row>
    <row r="66" spans="1:4">
      <c r="A66">
        <f>'Mass Balance'!I66</f>
        <v>1.129743728685753E-7</v>
      </c>
      <c r="B66">
        <f>'Mass Balance'!E66</f>
        <v>3.093441486720347E-5</v>
      </c>
      <c r="C66">
        <f>SUM('Mass Balance'!E66:H66)</f>
        <v>3.9193257125951867E-5</v>
      </c>
      <c r="D66">
        <f>Concentrations!F66/Concentrations!E66</f>
        <v>0.7923679692326443</v>
      </c>
    </row>
    <row r="67" spans="1:4">
      <c r="A67">
        <f>'Mass Balance'!I67</f>
        <v>3.5987778011558455E-9</v>
      </c>
      <c r="B67">
        <f>'Mass Balance'!E67</f>
        <v>3.9852532980218476E-5</v>
      </c>
      <c r="C67">
        <f>SUM('Mass Balance'!E67:H67)</f>
        <v>3.9909253744971934E-5</v>
      </c>
      <c r="D67">
        <f>Concentrations!F67/Concentrations!E67</f>
        <v>1.002486851309335</v>
      </c>
    </row>
    <row r="68" spans="1:4">
      <c r="A68">
        <f>'Mass Balance'!I68</f>
        <v>2.7390517492791118E-9</v>
      </c>
      <c r="B68">
        <f>'Mass Balance'!E68</f>
        <v>3.9955123337221641E-5</v>
      </c>
      <c r="C68">
        <f>SUM('Mass Balance'!E68:H68)</f>
        <v>3.9962019046812922E-5</v>
      </c>
      <c r="D68">
        <f>Concentrations!F68/Concentrations!E68</f>
        <v>1.0037404250867854</v>
      </c>
    </row>
    <row r="69" spans="1:4">
      <c r="A69">
        <f>'Mass Balance'!I69</f>
        <v>8.6087146753129123E-8</v>
      </c>
      <c r="B69">
        <f>'Mass Balance'!E69</f>
        <v>3.058868797904611E-7</v>
      </c>
      <c r="C69">
        <f>SUM('Mass Balance'!E69:H69)</f>
        <v>3.5291245851458337E-5</v>
      </c>
      <c r="D69">
        <f>Concentrations!F69/Concentrations!E69</f>
        <v>8.7014218033396352E-3</v>
      </c>
    </row>
    <row r="70" spans="1:4">
      <c r="A70">
        <f>'Mass Balance'!I70</f>
        <v>2.6410225061588432E-9</v>
      </c>
      <c r="B70">
        <f>'Mass Balance'!E70</f>
        <v>3.878491775030241E-5</v>
      </c>
      <c r="C70">
        <f>SUM('Mass Balance'!E70:H70)</f>
        <v>3.9995085908039247E-5</v>
      </c>
      <c r="D70">
        <f>Concentrations!F70/Concentrations!E70</f>
        <v>0.97353731667672894</v>
      </c>
    </row>
    <row r="71" spans="1:4">
      <c r="A71">
        <f>'Mass Balance'!I71</f>
        <v>2.6604175615085707E-9</v>
      </c>
      <c r="B71">
        <f>'Mass Balance'!E71</f>
        <v>3.7738306736591839E-5</v>
      </c>
      <c r="C71">
        <f>SUM('Mass Balance'!E71:H71)</f>
        <v>3.9994225472305909E-5</v>
      </c>
      <c r="D71">
        <f>Concentrations!F71/Concentrations!E71</f>
        <v>0.94728679146870576</v>
      </c>
    </row>
    <row r="72" spans="1:4">
      <c r="A72">
        <f>'Mass Balance'!I72</f>
        <v>1.9645256489648389E-8</v>
      </c>
      <c r="B72">
        <f>'Mass Balance'!E72</f>
        <v>1.5575857272827493E-7</v>
      </c>
      <c r="C72">
        <f>SUM('Mass Balance'!E72:H72)</f>
        <v>3.9976830293357341E-5</v>
      </c>
      <c r="D72">
        <f>Concentrations!F72/Concentrations!E72</f>
        <v>3.911469649028069E-3</v>
      </c>
    </row>
    <row r="73" spans="1:4">
      <c r="A73">
        <f>'Mass Balance'!I73</f>
        <v>2.3875402978633084E-9</v>
      </c>
      <c r="B73">
        <f>'Mass Balance'!E73</f>
        <v>1.4443173943172825E-6</v>
      </c>
      <c r="C73">
        <f>SUM('Mass Balance'!E73:H73)</f>
        <v>3.9994755641694206E-5</v>
      </c>
      <c r="D73">
        <f>Concentrations!F73/Concentrations!E73</f>
        <v>3.6254002154393547E-2</v>
      </c>
    </row>
    <row r="74" spans="1:4">
      <c r="A74">
        <f>'Mass Balance'!I74</f>
        <v>2.6569144077585363E-9</v>
      </c>
      <c r="B74">
        <f>'Mass Balance'!E74</f>
        <v>3.7942163398180515E-5</v>
      </c>
      <c r="C74">
        <f>SUM('Mass Balance'!E74:H74)</f>
        <v>3.9994380506970262E-5</v>
      </c>
      <c r="D74">
        <f>Concentrations!F74/Concentrations!E74</f>
        <v>0.95240020044659923</v>
      </c>
    </row>
    <row r="75" spans="1:4">
      <c r="A75">
        <f>'Mass Balance'!I75</f>
        <v>2.4149121489373262E-9</v>
      </c>
      <c r="B75">
        <f>'Mass Balance'!E75</f>
        <v>1.7087937881966425E-6</v>
      </c>
      <c r="C75">
        <f>SUM('Mass Balance'!E75:H75)</f>
        <v>3.9994499814407043E-5</v>
      </c>
      <c r="D75">
        <f>Concentrations!F75/Concentrations!E75</f>
        <v>4.2892933501575733E-2</v>
      </c>
    </row>
    <row r="76" spans="1:4">
      <c r="A76">
        <f>'Mass Balance'!I76</f>
        <v>2.7700546864739697E-9</v>
      </c>
      <c r="B76">
        <f>'Mass Balance'!E76</f>
        <v>1.7917099536237808E-5</v>
      </c>
      <c r="C76">
        <f>SUM('Mass Balance'!E76:H76)</f>
        <v>3.999007407579075E-5</v>
      </c>
      <c r="D76">
        <f>Concentrations!F76/Concentrations!E76</f>
        <v>0.44979213802343765</v>
      </c>
    </row>
    <row r="77" spans="1:4">
      <c r="A77">
        <f>'Mass Balance'!I77</f>
        <v>2.3954206736477402E-9</v>
      </c>
      <c r="B77">
        <f>'Mass Balance'!E77</f>
        <v>1.5155771000510154E-6</v>
      </c>
      <c r="C77">
        <f>SUM('Mass Balance'!E77:H77)</f>
        <v>3.9994674901341102E-5</v>
      </c>
      <c r="D77">
        <f>Concentrations!F77/Concentrations!E77</f>
        <v>3.8042778263146566E-2</v>
      </c>
    </row>
    <row r="78" spans="1:4">
      <c r="A78">
        <f>'Mass Balance'!I78</f>
        <v>1.6459725994462421E-8</v>
      </c>
      <c r="B78">
        <f>'Mass Balance'!E78</f>
        <v>1.7276470877799627E-7</v>
      </c>
      <c r="C78">
        <f>SUM('Mass Balance'!E78:H78)</f>
        <v>3.9980196959769681E-5</v>
      </c>
      <c r="D78">
        <f>Concentrations!F78/Concentrations!E78</f>
        <v>4.3381689881233443E-3</v>
      </c>
    </row>
    <row r="79" spans="1:4">
      <c r="A79">
        <f>'Mass Balance'!I79</f>
        <v>1.6459698595939717E-8</v>
      </c>
      <c r="B79">
        <f>'Mass Balance'!E79</f>
        <v>1.7276472180243904E-7</v>
      </c>
      <c r="C79">
        <f>SUM('Mass Balance'!E79:H79)</f>
        <v>3.9980197543731434E-5</v>
      </c>
      <c r="D79">
        <f>Concentrations!F79/Concentrations!E79</f>
        <v>4.3381692518061638E-3</v>
      </c>
    </row>
    <row r="80" spans="1:4">
      <c r="A80">
        <f>'Mass Balance'!I80</f>
        <v>2.6436492796822251E-9</v>
      </c>
      <c r="B80">
        <f>'Mass Balance'!E80</f>
        <v>6.6681225707228334E-6</v>
      </c>
      <c r="C80">
        <f>SUM('Mass Balance'!E80:H80)</f>
        <v>3.9991848168139649E-5</v>
      </c>
      <c r="D80">
        <f>Concentrations!F80/Concentrations!E80</f>
        <v>0.16738959617862062</v>
      </c>
    </row>
    <row r="81" spans="1:4">
      <c r="A81">
        <f>'Mass Balance'!I81</f>
        <v>2.7282220446722059E-9</v>
      </c>
      <c r="B81">
        <f>'Mass Balance'!E81</f>
        <v>3.2186754418870697E-5</v>
      </c>
      <c r="C81">
        <f>SUM('Mass Balance'!E81:H81)</f>
        <v>3.9991778597522898E-5</v>
      </c>
      <c r="D81">
        <f>Concentrations!F81/Concentrations!E81</f>
        <v>0.80798412745827097</v>
      </c>
    </row>
    <row r="82" spans="1:4">
      <c r="A82">
        <f>'Mass Balance'!I82</f>
        <v>2.7716256906937455E-9</v>
      </c>
      <c r="B82">
        <f>'Mass Balance'!E82</f>
        <v>2.4339301658170785E-5</v>
      </c>
      <c r="C82">
        <f>SUM('Mass Balance'!E82:H82)</f>
        <v>3.9990324101489951E-5</v>
      </c>
      <c r="D82">
        <f>Concentrations!F82/Concentrations!E82</f>
        <v>0.61101173560083721</v>
      </c>
    </row>
    <row r="83" spans="1:4">
      <c r="A83">
        <f>'Mass Balance'!I83</f>
        <v>3.1950021520453679E-8</v>
      </c>
      <c r="B83">
        <f>'Mass Balance'!E83</f>
        <v>1.170930142282548E-7</v>
      </c>
      <c r="C83">
        <f>SUM('Mass Balance'!E83:H83)</f>
        <v>3.9963976638988035E-5</v>
      </c>
      <c r="D83">
        <f>Concentrations!F83/Concentrations!E83</f>
        <v>2.9414309087652819E-3</v>
      </c>
    </row>
    <row r="84" spans="1:4">
      <c r="A84">
        <f>'Mass Balance'!I84</f>
        <v>3.4595228302060981E-8</v>
      </c>
      <c r="B84">
        <f>'Mass Balance'!E84</f>
        <v>1.13602153639349E-5</v>
      </c>
      <c r="C84">
        <f>SUM('Mass Balance'!E84:H84)</f>
        <v>2.6566900318242823E-5</v>
      </c>
      <c r="D84">
        <f>Concentrations!F84/Concentrations!E84</f>
        <v>0.4292813694373403</v>
      </c>
    </row>
    <row r="85" spans="1:4">
      <c r="A85">
        <f>'Mass Balance'!I85</f>
        <v>1.2792291411239793E-6</v>
      </c>
      <c r="B85">
        <f>'Mass Balance'!E85</f>
        <v>2.1694782719825317E-6</v>
      </c>
      <c r="C85">
        <f>SUM('Mass Balance'!E85:H85)</f>
        <v>3.8050014191336267E-5</v>
      </c>
      <c r="D85">
        <f>Concentrations!F85/Concentrations!E85</f>
        <v>5.7239633469175169E-2</v>
      </c>
    </row>
    <row r="86" spans="1:4">
      <c r="A86">
        <f>'Mass Balance'!I86</f>
        <v>3.6442506628350837E-7</v>
      </c>
      <c r="B86">
        <f>'Mass Balance'!E86</f>
        <v>1.449810084023918E-8</v>
      </c>
      <c r="C86">
        <f>SUM('Mass Balance'!E86:H86)</f>
        <v>3.6913571388927198E-5</v>
      </c>
      <c r="D86">
        <f>Concentrations!F86/Concentrations!E86</f>
        <v>3.942951301225698E-4</v>
      </c>
    </row>
    <row r="87" spans="1:4">
      <c r="A87">
        <f>'Mass Balance'!I87</f>
        <v>4.1557009423610406E-7</v>
      </c>
      <c r="B87">
        <f>'Mass Balance'!E87</f>
        <v>5.0531459713132085E-9</v>
      </c>
      <c r="C87">
        <f>SUM('Mass Balance'!E87:H87)</f>
        <v>3.7740847917405913E-5</v>
      </c>
      <c r="D87">
        <f>Concentrations!F87/Concentrations!E87</f>
        <v>1.3441463378141349E-4</v>
      </c>
    </row>
    <row r="88" spans="1:4">
      <c r="A88">
        <f>'Mass Balance'!I88</f>
        <v>4.5118294038628934E-7</v>
      </c>
      <c r="B88">
        <f>'Mass Balance'!E88</f>
        <v>1.4249877685569183E-9</v>
      </c>
      <c r="C88">
        <f>SUM('Mass Balance'!E88:H88)</f>
        <v>3.8441766968275646E-5</v>
      </c>
      <c r="D88">
        <f>Concentrations!F88/Concentrations!E88</f>
        <v>3.7213811818105847E-5</v>
      </c>
    </row>
    <row r="89" spans="1:4">
      <c r="A89">
        <f>'Mass Balance'!I89</f>
        <v>7.2643618071404613E-6</v>
      </c>
      <c r="B89">
        <f>'Mass Balance'!E89</f>
        <v>7.7011503136794311E-8</v>
      </c>
      <c r="C89">
        <f>SUM('Mass Balance'!E89:H89)</f>
        <v>3.1770066669318424E-5</v>
      </c>
      <c r="D89">
        <f>Concentrations!F89/Concentrations!E89</f>
        <v>2.4335139283741219E-3</v>
      </c>
    </row>
    <row r="90" spans="1:4">
      <c r="A90">
        <f>'Mass Balance'!I90</f>
        <v>2.6835651859714715E-9</v>
      </c>
      <c r="B90">
        <f>'Mass Balance'!E90</f>
        <v>3.8943469569647085E-5</v>
      </c>
      <c r="C90">
        <f>SUM('Mass Balance'!E90:H90)</f>
        <v>3.8992436595579407E-5</v>
      </c>
      <c r="D90">
        <f>Concentrations!F90/Concentrations!E90</f>
        <v>1.0026529338867345</v>
      </c>
    </row>
    <row r="91" spans="1:4">
      <c r="A91">
        <f>'Mass Balance'!I91</f>
        <v>9.1479026626207577E-9</v>
      </c>
      <c r="B91">
        <f>'Mass Balance'!E91</f>
        <v>2.8672591926305361E-5</v>
      </c>
      <c r="C91">
        <f>SUM('Mass Balance'!E91:H91)</f>
        <v>3.1492293004458216E-5</v>
      </c>
      <c r="D91">
        <f>Concentrations!F91/Concentrations!E91</f>
        <v>0.9140270164622144</v>
      </c>
    </row>
    <row r="92" spans="1:4">
      <c r="A92">
        <f>'Mass Balance'!I92</f>
        <v>4.8720925160014644E-8</v>
      </c>
      <c r="B92">
        <f>'Mass Balance'!E92</f>
        <v>5.0807902432812818E-6</v>
      </c>
      <c r="C92">
        <f>SUM('Mass Balance'!E92:H92)</f>
        <v>2.8433606688615361E-5</v>
      </c>
      <c r="D92">
        <f>Concentrations!F92/Concentrations!E92</f>
        <v>0.17938894525213356</v>
      </c>
    </row>
    <row r="93" spans="1:4">
      <c r="A93">
        <f>'Mass Balance'!I93</f>
        <v>2.6166042832059877E-9</v>
      </c>
      <c r="B93">
        <f>'Mass Balance'!E93</f>
        <v>3.9816663681998105E-5</v>
      </c>
      <c r="C93">
        <f>SUM('Mass Balance'!E93:H93)</f>
        <v>3.9991263683592156E-5</v>
      </c>
      <c r="D93">
        <f>Concentrations!F93/Concentrations!E93</f>
        <v>0.99953061655693276</v>
      </c>
    </row>
    <row r="94" spans="1:4">
      <c r="A94">
        <f>'Mass Balance'!I94</f>
        <v>2.6275704271744833E-9</v>
      </c>
      <c r="B94">
        <f>'Mass Balance'!E94</f>
        <v>3.9996537674299948E-5</v>
      </c>
      <c r="C94">
        <f>SUM('Mass Balance'!E94:H94)</f>
        <v>3.9997217597030513E-5</v>
      </c>
      <c r="D94">
        <f>Concentrations!F94/Concentrations!E94</f>
        <v>1.0038965912204807</v>
      </c>
    </row>
    <row r="95" spans="1:4">
      <c r="A95">
        <f>'Mass Balance'!I95</f>
        <v>3.0819491357042844E-9</v>
      </c>
      <c r="B95">
        <f>'Mass Balance'!E95</f>
        <v>3.7478844857764853E-5</v>
      </c>
      <c r="C95">
        <f>SUM('Mass Balance'!E95:H95)</f>
        <v>3.7680192755886432E-5</v>
      </c>
      <c r="D95">
        <f>Concentrations!F95/Concentrations!E95</f>
        <v>0.99854914344707946</v>
      </c>
    </row>
    <row r="96" spans="1:4">
      <c r="A96">
        <f>'Mass Balance'!I96</f>
        <v>3.3996227079782029E-7</v>
      </c>
      <c r="B96">
        <f>'Mass Balance'!E96</f>
        <v>2.1033551187077051E-8</v>
      </c>
      <c r="C96">
        <f>SUM('Mass Balance'!E96:H96)</f>
        <v>3.6578392502765337E-5</v>
      </c>
      <c r="D96">
        <f>Concentrations!F96/Concentrations!E96</f>
        <v>5.7727712584221204E-4</v>
      </c>
    </row>
    <row r="97" spans="1:4">
      <c r="A97">
        <f>'Mass Balance'!I97</f>
        <v>1.4380835324582599E-8</v>
      </c>
      <c r="B97">
        <f>'Mass Balance'!E97</f>
        <v>2.4003498515202053E-5</v>
      </c>
      <c r="C97">
        <f>SUM('Mass Balance'!E97:H97)</f>
        <v>2.919196435062818E-5</v>
      </c>
      <c r="D97">
        <f>Concentrations!F97/Concentrations!E97</f>
        <v>0.82548196091787929</v>
      </c>
    </row>
    <row r="98" spans="1:4">
      <c r="A98">
        <f>'Mass Balance'!I98</f>
        <v>9.9536619741844565E-9</v>
      </c>
      <c r="B98">
        <f>'Mass Balance'!E98</f>
        <v>2.7879906327081837E-5</v>
      </c>
      <c r="C98">
        <f>SUM('Mass Balance'!E98:H98)</f>
        <v>3.1057792210218694E-5</v>
      </c>
      <c r="D98">
        <f>Concentrations!F98/Concentrations!E98</f>
        <v>0.90119151188221691</v>
      </c>
    </row>
    <row r="99" spans="1:4">
      <c r="A99">
        <f>'Mass Balance'!I99</f>
        <v>4.4271098257361837E-9</v>
      </c>
      <c r="B99">
        <f>'Mass Balance'!E99</f>
        <v>3.4536975689141645E-5</v>
      </c>
      <c r="C99">
        <f>SUM('Mass Balance'!E99:H99)</f>
        <v>3.5313975469861942E-5</v>
      </c>
      <c r="D99">
        <f>Concentrations!F99/Concentrations!E99</f>
        <v>0.98182493204176757</v>
      </c>
    </row>
    <row r="100" spans="1:4">
      <c r="A100">
        <f>'Mass Balance'!I100</f>
        <v>1.6584573383542748E-7</v>
      </c>
      <c r="B100">
        <f>'Mass Balance'!E100</f>
        <v>1.3537068543354849E-7</v>
      </c>
      <c r="C100">
        <f>SUM('Mass Balance'!E100:H100)</f>
        <v>3.5166114193000496E-5</v>
      </c>
      <c r="D100">
        <f>Concentrations!F100/Concentrations!E100</f>
        <v>3.8645293340741371E-3</v>
      </c>
    </row>
    <row r="101" spans="1:4">
      <c r="A101">
        <f>'Mass Balance'!I101</f>
        <v>4.3832711702977548E-8</v>
      </c>
      <c r="B101">
        <f>'Mass Balance'!E101</f>
        <v>7.0814870676878641E-6</v>
      </c>
      <c r="C101">
        <f>SUM('Mass Balance'!E101:H101)</f>
        <v>2.744625591937455E-5</v>
      </c>
      <c r="D101">
        <f>Concentrations!F101/Concentrations!E101</f>
        <v>0.25902263682185789</v>
      </c>
    </row>
    <row r="102" spans="1:4">
      <c r="A102">
        <f>'Mass Balance'!I102</f>
        <v>5.8584360851167612E-8</v>
      </c>
      <c r="B102">
        <f>'Mass Balance'!E102</f>
        <v>1.5587301348086802E-6</v>
      </c>
      <c r="C102">
        <f>SUM('Mass Balance'!E102:H102)</f>
        <v>3.2323605620322855E-5</v>
      </c>
      <c r="D102">
        <f>Concentrations!F102/Concentrations!E102</f>
        <v>4.8411383565722325E-2</v>
      </c>
    </row>
    <row r="103" spans="1:4">
      <c r="A103">
        <f>'Mass Balance'!I103</f>
        <v>2.6897311104594523E-9</v>
      </c>
      <c r="B103">
        <f>'Mass Balance'!E103</f>
        <v>3.5789935045609258E-5</v>
      </c>
      <c r="C103">
        <f>SUM('Mass Balance'!E103:H103)</f>
        <v>3.999259864816673E-5</v>
      </c>
      <c r="D103">
        <f>Concentrations!F103/Concentrations!E103</f>
        <v>0.89841635177396051</v>
      </c>
    </row>
    <row r="104" spans="1:4">
      <c r="A104">
        <f>'Mass Balance'!I104</f>
        <v>3.7088554421007185E-9</v>
      </c>
      <c r="B104">
        <f>'Mass Balance'!E104</f>
        <v>4.4428590459036982E-7</v>
      </c>
      <c r="C104">
        <f>SUM('Mass Balance'!E104:H104)</f>
        <v>3.9968546293978825E-5</v>
      </c>
      <c r="D104">
        <f>Concentrations!F104/Concentrations!E104</f>
        <v>1.1159392286885953E-2</v>
      </c>
    </row>
    <row r="105" spans="1:4">
      <c r="A105">
        <f>'Mass Balance'!I105</f>
        <v>2.7032980605792208E-9</v>
      </c>
      <c r="B105">
        <f>'Mass Balance'!E105</f>
        <v>3.8738653393555258E-5</v>
      </c>
      <c r="C105">
        <f>SUM('Mass Balance'!E105:H105)</f>
        <v>3.879316418186774E-5</v>
      </c>
      <c r="D105">
        <f>Concentrations!F105/Concentrations!E105</f>
        <v>1.0025029928797253</v>
      </c>
    </row>
    <row r="106" spans="1:4">
      <c r="A106">
        <f>'Mass Balance'!I106</f>
        <v>3.1171714195149078E-9</v>
      </c>
      <c r="B106">
        <f>'Mass Balance'!E106</f>
        <v>3.7354034167651938E-5</v>
      </c>
      <c r="C106">
        <f>SUM('Mass Balance'!E106:H106)</f>
        <v>3.7572012865196625E-5</v>
      </c>
      <c r="D106">
        <f>Concentrations!F106/Concentrations!E106</f>
        <v>0.99808932727434763</v>
      </c>
    </row>
    <row r="107" spans="1:4">
      <c r="A107">
        <f>'Mass Balance'!I107</f>
        <v>7.0332980122429631E-8</v>
      </c>
      <c r="B107">
        <f>'Mass Balance'!E107</f>
        <v>8.3922396596344021E-7</v>
      </c>
      <c r="C107">
        <f>SUM('Mass Balance'!E107:H107)</f>
        <v>3.4420862401168611E-5</v>
      </c>
      <c r="D107">
        <f>Concentrations!F107/Concentrations!E107</f>
        <v>2.4476679023712526E-2</v>
      </c>
    </row>
    <row r="108" spans="1:4">
      <c r="A108">
        <f>'Mass Balance'!I108</f>
        <v>2.6184105794499282E-9</v>
      </c>
      <c r="B108">
        <f>'Mass Balance'!E108</f>
        <v>3.9994796142183439E-5</v>
      </c>
      <c r="C108">
        <f>SUM('Mass Balance'!E108:H108)</f>
        <v>3.9995158030487052E-5</v>
      </c>
      <c r="D108">
        <f>Concentrations!F108/Concentrations!E108</f>
        <v>1.0039045732856162</v>
      </c>
    </row>
    <row r="109" spans="1:4">
      <c r="A109">
        <f>'Mass Balance'!I109</f>
        <v>3.4969705338240767E-8</v>
      </c>
      <c r="B109">
        <f>'Mass Balance'!E109</f>
        <v>3.6814743546662802E-5</v>
      </c>
      <c r="C109">
        <f>SUM('Mass Balance'!E109:H109)</f>
        <v>3.9236327175439012E-5</v>
      </c>
      <c r="D109">
        <f>Concentrations!F109/Concentrations!E109</f>
        <v>0.94195421656590017</v>
      </c>
    </row>
    <row r="110" spans="1:4">
      <c r="A110">
        <f>'Mass Balance'!I110</f>
        <v>2.6123121465291401E-9</v>
      </c>
      <c r="B110">
        <f>'Mass Balance'!E110</f>
        <v>3.9736415149215928E-5</v>
      </c>
      <c r="C110">
        <f>SUM('Mass Balance'!E110:H110)</f>
        <v>3.9747128854110593E-5</v>
      </c>
      <c r="D110">
        <f>Concentrations!F110/Concentrations!E110</f>
        <v>1.0036430554508318</v>
      </c>
    </row>
    <row r="111" spans="1:4">
      <c r="A111">
        <f>'Mass Balance'!I111</f>
        <v>2.6088519994661136E-9</v>
      </c>
      <c r="B111">
        <f>'Mass Balance'!E111</f>
        <v>3.9996526712275196E-5</v>
      </c>
      <c r="C111">
        <f>SUM('Mass Balance'!E111:H111)</f>
        <v>3.9997166362428489E-5</v>
      </c>
      <c r="D111">
        <f>Concentrations!F111/Concentrations!E111</f>
        <v>1.0038976020249863</v>
      </c>
    </row>
    <row r="112" spans="1:4">
      <c r="A112">
        <f>'Mass Balance'!I112</f>
        <v>2.6040770235832963E-9</v>
      </c>
      <c r="B112">
        <f>'Mass Balance'!E112</f>
        <v>3.9668634481883801E-5</v>
      </c>
      <c r="C112">
        <f>SUM('Mass Balance'!E112:H112)</f>
        <v>3.9673185471303691E-5</v>
      </c>
      <c r="D112">
        <f>Concentrations!F112/Concentrations!E112</f>
        <v>1.0037984960831405</v>
      </c>
    </row>
    <row r="113" spans="1:4">
      <c r="A113">
        <f>'Mass Balance'!I113</f>
        <v>2.8557986260661936E-9</v>
      </c>
      <c r="B113">
        <f>'Mass Balance'!E113</f>
        <v>3.8058238832605765E-5</v>
      </c>
      <c r="C113">
        <f>SUM('Mass Balance'!E113:H113)</f>
        <v>3.8178455054907472E-5</v>
      </c>
      <c r="D113">
        <f>Concentrations!F113/Concentrations!E113</f>
        <v>1.0007525362272784</v>
      </c>
    </row>
    <row r="114" spans="1:4">
      <c r="A114">
        <f>'Mass Balance'!I114</f>
        <v>2.6029873599901542E-9</v>
      </c>
      <c r="B114">
        <f>'Mass Balance'!E114</f>
        <v>3.9827937624766935E-5</v>
      </c>
      <c r="C114">
        <f>SUM('Mass Balance'!E114:H114)</f>
        <v>3.9829295884953821E-5</v>
      </c>
      <c r="D114">
        <f>Concentrations!F114/Concentrations!E114</f>
        <v>1.0038794214981379</v>
      </c>
    </row>
    <row r="115" spans="1:4">
      <c r="A115">
        <f>'Mass Balance'!I115</f>
        <v>2.6389516651074836E-9</v>
      </c>
      <c r="B115">
        <f>'Mass Balance'!E115</f>
        <v>3.8896497790907888E-5</v>
      </c>
      <c r="C115">
        <f>SUM('Mass Balance'!E115:H115)</f>
        <v>3.9994653921740633E-5</v>
      </c>
      <c r="D115">
        <f>Concentrations!F115/Concentrations!E115</f>
        <v>0.97634862444837522</v>
      </c>
    </row>
    <row r="116" spans="1:4">
      <c r="A116">
        <f>'Mass Balance'!I116</f>
        <v>3.612679116364694E-7</v>
      </c>
      <c r="B116">
        <f>'Mass Balance'!E116</f>
        <v>5.3405901862316287E-6</v>
      </c>
      <c r="C116">
        <f>SUM('Mass Balance'!E116:H116)</f>
        <v>3.8873188568694986E-5</v>
      </c>
      <c r="D116">
        <f>Concentrations!F116/Concentrations!E116</f>
        <v>0.13792260480320315</v>
      </c>
    </row>
    <row r="117" spans="1:4">
      <c r="A117">
        <f>'Mass Balance'!I117</f>
        <v>2.1473594416846742E-8</v>
      </c>
      <c r="B117">
        <f>'Mass Balance'!E117</f>
        <v>1.8882450995226194E-5</v>
      </c>
      <c r="C117">
        <f>SUM('Mass Balance'!E117:H117)</f>
        <v>2.7427243261560025E-5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0.97307881561651122</v>
      </c>
      <c r="M2" s="115">
        <v>0.90388710727183386</v>
      </c>
      <c r="N2" s="115">
        <v>1.1402566137062642</v>
      </c>
      <c r="O2" s="115">
        <v>0.81362955249218971</v>
      </c>
      <c r="P2" s="115">
        <v>0.94168168115821427</v>
      </c>
      <c r="Q2" s="111">
        <v>0.81362955249218971</v>
      </c>
      <c r="R2" s="68">
        <v>0.94168168115821427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0.53195708688992893</v>
      </c>
      <c r="M3" s="115">
        <v>8.8871804293329113</v>
      </c>
      <c r="N3" s="115">
        <v>242.28286323713468</v>
      </c>
      <c r="O3" s="115">
        <v>2.4003029355125998</v>
      </c>
      <c r="P3" s="115">
        <v>2.2239359629460451</v>
      </c>
      <c r="Q3" s="111">
        <v>2.4003029355125998</v>
      </c>
      <c r="R3" s="68">
        <v>2.2239359629460451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1.1039578184535193</v>
      </c>
      <c r="M4" s="115">
        <v>1.0162487304778531</v>
      </c>
      <c r="N4" s="115">
        <v>3.0602550051894681</v>
      </c>
      <c r="O4" s="115">
        <v>0.82813646569390165</v>
      </c>
      <c r="P4" s="115">
        <v>0.96256103680998861</v>
      </c>
      <c r="Q4" s="111">
        <v>0.82813646569390165</v>
      </c>
      <c r="R4" s="68">
        <v>0.96256103680998861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0.55023780206507067</v>
      </c>
      <c r="M5" s="115">
        <v>0.94423948113319822</v>
      </c>
      <c r="N5" s="115">
        <v>45.013208716003525</v>
      </c>
      <c r="O5" s="115">
        <v>2.627152418982273</v>
      </c>
      <c r="P5" s="115">
        <v>4.2949566920442317</v>
      </c>
      <c r="Q5" s="111">
        <v>2.6271524189822735</v>
      </c>
      <c r="R5" s="68">
        <v>4.2949566920442317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0.32667812073049007</v>
      </c>
      <c r="M6" s="115">
        <v>0.955027231613929</v>
      </c>
      <c r="N6" s="115">
        <v>63.989140499503982</v>
      </c>
      <c r="O6" s="115">
        <v>3.5081561951537337</v>
      </c>
      <c r="P6" s="115">
        <v>5.9355603517343587</v>
      </c>
      <c r="Q6" s="111">
        <v>3.5081561951537337</v>
      </c>
      <c r="R6" s="68">
        <v>5.9355603517343587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0.10859991454072021</v>
      </c>
      <c r="M7" s="115">
        <v>1.1459180569576179</v>
      </c>
      <c r="N7" s="115">
        <v>84.386525051549015</v>
      </c>
      <c r="O7" s="115">
        <v>4.3666956986043459</v>
      </c>
      <c r="P7" s="115">
        <v>7.4943047363357058</v>
      </c>
      <c r="Q7" s="111">
        <v>4.3666956986043459</v>
      </c>
      <c r="R7" s="68">
        <v>7.4943047363357067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0.23197708495973568</v>
      </c>
      <c r="M8" s="115">
        <v>0.92646154583912954</v>
      </c>
      <c r="N8" s="115">
        <v>70.305842066901675</v>
      </c>
      <c r="O8" s="115">
        <v>3.8767989557836104</v>
      </c>
      <c r="P8" s="115">
        <v>6.6318792001234295</v>
      </c>
      <c r="Q8" s="111">
        <v>3.8767989557836104</v>
      </c>
      <c r="R8" s="68">
        <v>6.6318792001234295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0.61625059456590103</v>
      </c>
      <c r="M9" s="115">
        <v>0.96004501830807243</v>
      </c>
      <c r="N9" s="115">
        <v>39.546923435175863</v>
      </c>
      <c r="O9" s="115">
        <v>2.3636007835285668</v>
      </c>
      <c r="P9" s="115">
        <v>3.800157508577406</v>
      </c>
      <c r="Q9" s="111">
        <v>2.3636007835285668</v>
      </c>
      <c r="R9" s="68">
        <v>3.800157508577406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1.037308268821031E-2</v>
      </c>
      <c r="M10" s="115">
        <v>21.310922777005853</v>
      </c>
      <c r="N10" s="115">
        <v>687.79014119897681</v>
      </c>
      <c r="O10" s="115">
        <v>7.4523456245770889</v>
      </c>
      <c r="P10" s="115">
        <v>7.6024297954383249</v>
      </c>
      <c r="Q10" s="111">
        <v>7.4523456245770898</v>
      </c>
      <c r="R10" s="68">
        <v>7.6024297954383249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6.2059013459470221E-4</v>
      </c>
      <c r="M11" s="115">
        <v>99.323966210086454</v>
      </c>
      <c r="N11" s="115">
        <v>5356.4635457135682</v>
      </c>
      <c r="O11" s="115">
        <v>21.743760596905556</v>
      </c>
      <c r="P11" s="115">
        <v>9.9808450557161912</v>
      </c>
      <c r="Q11" s="111">
        <v>21.743760596905556</v>
      </c>
      <c r="R11" s="68">
        <v>9.9808450557161912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0.9182810519386706</v>
      </c>
      <c r="M12" s="115">
        <v>0.81929407510905128</v>
      </c>
      <c r="N12" s="115">
        <v>6.1604708234707775E-2</v>
      </c>
      <c r="O12" s="115">
        <v>0.7589818664812229</v>
      </c>
      <c r="P12" s="115">
        <v>0.88196376494802153</v>
      </c>
      <c r="Q12" s="111">
        <v>0.7589818664812229</v>
      </c>
      <c r="R12" s="68">
        <v>0.88196376494802164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0.52556718361727239</v>
      </c>
      <c r="M13" s="115">
        <v>6.2554772262530092</v>
      </c>
      <c r="N13" s="115">
        <v>180.475493605227</v>
      </c>
      <c r="O13" s="115">
        <v>2.1685617177363241</v>
      </c>
      <c r="P13" s="115">
        <v>2.0498280153914359</v>
      </c>
      <c r="Q13" s="111">
        <v>2.1685617177363241</v>
      </c>
      <c r="R13" s="68">
        <v>2.0498280153914359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8.9103734465300483E-3</v>
      </c>
      <c r="M14" s="115">
        <v>1.8732059639846677</v>
      </c>
      <c r="N14" s="115">
        <v>167.91818165486362</v>
      </c>
      <c r="O14" s="115">
        <v>4.9660680776085373</v>
      </c>
      <c r="P14" s="115">
        <v>8.3199363875475481</v>
      </c>
      <c r="Q14" s="111">
        <v>4.9660680776085373</v>
      </c>
      <c r="R14" s="68">
        <v>8.3199363875475481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0.76206583858493093</v>
      </c>
      <c r="M15" s="115">
        <v>1.6230145063905523</v>
      </c>
      <c r="N15" s="115">
        <v>29.074643403916816</v>
      </c>
      <c r="O15" s="115">
        <v>0.89545282724966713</v>
      </c>
      <c r="P15" s="115">
        <v>0.95355654873294615</v>
      </c>
      <c r="Q15" s="111">
        <v>0.89545282724966713</v>
      </c>
      <c r="R15" s="68">
        <v>0.95355654873294626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0.49027559198855053</v>
      </c>
      <c r="M16" s="115">
        <v>6.9383729249318797</v>
      </c>
      <c r="N16" s="115">
        <v>202.99325284205852</v>
      </c>
      <c r="O16" s="115">
        <v>2.3640501652669754</v>
      </c>
      <c r="P16" s="115">
        <v>2.2255598032890305</v>
      </c>
      <c r="Q16" s="111">
        <v>2.3640501652669754</v>
      </c>
      <c r="R16" s="68">
        <v>2.2255598032890309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0.51149905489039571</v>
      </c>
      <c r="M17" s="115">
        <v>6.4946879132899982</v>
      </c>
      <c r="N17" s="115">
        <v>188.40984775936209</v>
      </c>
      <c r="O17" s="115">
        <v>2.2360526409594557</v>
      </c>
      <c r="P17" s="115">
        <v>2.1100921801161898</v>
      </c>
      <c r="Q17" s="111">
        <v>2.2360526409594557</v>
      </c>
      <c r="R17" s="68">
        <v>2.1100921801161898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6.6212746512060304E-4</v>
      </c>
      <c r="M18" s="115">
        <v>109.89381331662595</v>
      </c>
      <c r="N18" s="115">
        <v>3653.0976796840664</v>
      </c>
      <c r="O18" s="115">
        <v>22.032098056034055</v>
      </c>
      <c r="P18" s="115">
        <v>9.4374836320988322</v>
      </c>
      <c r="Q18" s="111">
        <v>22.032098056034055</v>
      </c>
      <c r="R18" s="68">
        <v>9.4374836320988322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0.90184990496779016</v>
      </c>
      <c r="M19" s="115">
        <v>1.1366592793436943</v>
      </c>
      <c r="N19" s="115">
        <v>10.208586468861915</v>
      </c>
      <c r="O19" s="115">
        <v>0.83594121534729193</v>
      </c>
      <c r="P19" s="115">
        <v>0.93898705454943265</v>
      </c>
      <c r="Q19" s="111">
        <v>0.83594121534729204</v>
      </c>
      <c r="R19" s="68">
        <v>0.93898705454943276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0.86120699271949763</v>
      </c>
      <c r="M20" s="115">
        <v>1.3366358649590464</v>
      </c>
      <c r="N20" s="115">
        <v>17.484375574254795</v>
      </c>
      <c r="O20" s="115">
        <v>0.86911499411974291</v>
      </c>
      <c r="P20" s="115">
        <v>0.955904506935215</v>
      </c>
      <c r="Q20" s="111">
        <v>0.86911499411974302</v>
      </c>
      <c r="R20" s="68">
        <v>0.95590450693521511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0.10644326084463937</v>
      </c>
      <c r="M21" s="115">
        <v>5.8190267631711468</v>
      </c>
      <c r="N21" s="115">
        <v>219.13988845923356</v>
      </c>
      <c r="O21" s="115">
        <v>4.6614767708407756</v>
      </c>
      <c r="P21" s="115">
        <v>6.8501497141597634</v>
      </c>
      <c r="Q21" s="111">
        <v>4.6614767708407756</v>
      </c>
      <c r="R21" s="68">
        <v>6.8501497141597643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0.90108285418103995</v>
      </c>
      <c r="M22" s="115">
        <v>0.86317163195553914</v>
      </c>
      <c r="N22" s="115">
        <v>1.8509607743712773</v>
      </c>
      <c r="O22" s="115">
        <v>0.76037174830738807</v>
      </c>
      <c r="P22" s="115">
        <v>0.87741228086790934</v>
      </c>
      <c r="Q22" s="111">
        <v>0.76037174830738818</v>
      </c>
      <c r="R22" s="68">
        <v>0.87741228086790934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0.72296034987732949</v>
      </c>
      <c r="M23" s="115">
        <v>2.2088439678847207</v>
      </c>
      <c r="N23" s="115">
        <v>48.327761624336695</v>
      </c>
      <c r="O23" s="115">
        <v>1.044889903806937</v>
      </c>
      <c r="P23" s="115">
        <v>1.0740988605745667</v>
      </c>
      <c r="Q23" s="111">
        <v>1.0448899038069372</v>
      </c>
      <c r="R23" s="68">
        <v>1.0740988605745667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0.37950940381209164</v>
      </c>
      <c r="M24" s="115">
        <v>9.335048979190681</v>
      </c>
      <c r="N24" s="115">
        <v>281.96607543528194</v>
      </c>
      <c r="O24" s="115">
        <v>3.0711575036618015</v>
      </c>
      <c r="P24" s="115">
        <v>2.8764205306537605</v>
      </c>
      <c r="Q24" s="111">
        <v>3.0711575036618015</v>
      </c>
      <c r="R24" s="68">
        <v>2.8764205306537605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9.2155042585115538E-4</v>
      </c>
      <c r="M25" s="115">
        <v>100.66425278123407</v>
      </c>
      <c r="N25" s="115">
        <v>3337.0695629399652</v>
      </c>
      <c r="O25" s="115">
        <v>20.484287678991635</v>
      </c>
      <c r="P25" s="115">
        <v>9.1985589982671705</v>
      </c>
      <c r="Q25" s="111">
        <v>20.484287678991635</v>
      </c>
      <c r="R25" s="68">
        <v>9.1985589982671705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0.13659829929596673</v>
      </c>
      <c r="M26" s="115">
        <v>13.484804016554936</v>
      </c>
      <c r="N26" s="115">
        <v>422.76460865285998</v>
      </c>
      <c r="O26" s="115">
        <v>4.3897145588123152</v>
      </c>
      <c r="P26" s="115">
        <v>4.1873901569551011</v>
      </c>
      <c r="Q26" s="111">
        <v>4.3897145588123152</v>
      </c>
      <c r="R26" s="68">
        <v>4.1873901569551011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1.6154861925957973E-2</v>
      </c>
      <c r="M27" s="115">
        <v>7.8685505344945197</v>
      </c>
      <c r="N27" s="115">
        <v>251.16342016102266</v>
      </c>
      <c r="O27" s="115">
        <v>2.6612577881984771</v>
      </c>
      <c r="P27" s="115">
        <v>2.641121187331589</v>
      </c>
      <c r="Q27" s="111">
        <v>2.6612577881984771</v>
      </c>
      <c r="R27" s="68">
        <v>2.641121187331589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2.9191947245542367E-2</v>
      </c>
      <c r="M28" s="115">
        <v>3.888941155093478</v>
      </c>
      <c r="N28" s="115">
        <v>122.45786283878138</v>
      </c>
      <c r="O28" s="115">
        <v>1.2722946257996746</v>
      </c>
      <c r="P28" s="115">
        <v>1.2218938440183225</v>
      </c>
      <c r="Q28" s="111">
        <v>1.2722946257996748</v>
      </c>
      <c r="R28" s="68">
        <v>1.2218938440183225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5.9135367734874739E-2</v>
      </c>
      <c r="M29" s="115">
        <v>0.10202095334381996</v>
      </c>
      <c r="N29" s="115">
        <v>1.5165758263131977</v>
      </c>
      <c r="O29" s="115">
        <v>6.2598778777501848E-2</v>
      </c>
      <c r="P29" s="115">
        <v>6.810892892301075E-2</v>
      </c>
      <c r="Q29" s="111">
        <v>6.2598778777501848E-2</v>
      </c>
      <c r="R29" s="68">
        <v>6.8108928923010764E-2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1.2008292208081046E-2</v>
      </c>
      <c r="M30" s="115">
        <v>1.492739622448308</v>
      </c>
      <c r="N30" s="115">
        <v>46.959879064735688</v>
      </c>
      <c r="O30" s="115">
        <v>0.48773503189613693</v>
      </c>
      <c r="P30" s="115">
        <v>0.46766136267498876</v>
      </c>
      <c r="Q30" s="111">
        <v>0.48773503189613693</v>
      </c>
      <c r="R30" s="68">
        <v>0.46766136267498876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4.4872672012925791E-4</v>
      </c>
      <c r="M31" s="115">
        <v>2.6123637458565507E-2</v>
      </c>
      <c r="N31" s="115">
        <v>0.81091837870571226</v>
      </c>
      <c r="O31" s="115">
        <v>8.4682288531896781E-3</v>
      </c>
      <c r="P31" s="115">
        <v>7.9955797012338705E-3</v>
      </c>
      <c r="Q31" s="111">
        <v>8.4682288531896781E-3</v>
      </c>
      <c r="R31" s="68">
        <v>7.9955797012338705E-3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0.56288340780709656</v>
      </c>
      <c r="M32" s="115">
        <v>5.5299248284929865</v>
      </c>
      <c r="N32" s="115">
        <v>156.60512472323822</v>
      </c>
      <c r="O32" s="115">
        <v>1.962891545516221</v>
      </c>
      <c r="P32" s="115">
        <v>1.8668167161635703</v>
      </c>
      <c r="Q32" s="111">
        <v>1.962891545516221</v>
      </c>
      <c r="R32" s="68">
        <v>1.8668167161635703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0.71108896933355947</v>
      </c>
      <c r="M33" s="115">
        <v>3.1999262144521796</v>
      </c>
      <c r="N33" s="115">
        <v>79.490837458158339</v>
      </c>
      <c r="O33" s="115">
        <v>1.3323473315590677</v>
      </c>
      <c r="P33" s="115">
        <v>1.3248676710336926</v>
      </c>
      <c r="Q33" s="111">
        <v>1.3323473315590677</v>
      </c>
      <c r="R33" s="68">
        <v>1.3248676710336926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0.17446777563282959</v>
      </c>
      <c r="M34" s="115">
        <v>15.002047834279082</v>
      </c>
      <c r="N34" s="115">
        <v>469.26007420683754</v>
      </c>
      <c r="O34" s="115">
        <v>4.8751190259726203</v>
      </c>
      <c r="P34" s="115">
        <v>4.6368627822735702</v>
      </c>
      <c r="Q34" s="111">
        <v>4.8751190259726203</v>
      </c>
      <c r="R34" s="68">
        <v>4.6368627822735711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2.0804246036898174E-2</v>
      </c>
      <c r="M35" s="115">
        <v>20.328482304339854</v>
      </c>
      <c r="N35" s="115">
        <v>652.51797859247904</v>
      </c>
      <c r="O35" s="115">
        <v>7.0286551216351878</v>
      </c>
      <c r="P35" s="115">
        <v>7.1054484522448877</v>
      </c>
      <c r="Q35" s="111">
        <v>7.0286551216351878</v>
      </c>
      <c r="R35" s="68">
        <v>7.1054484522448877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4.6444040425558161E-3</v>
      </c>
      <c r="M36" s="115">
        <v>45.255053662679337</v>
      </c>
      <c r="N36" s="115">
        <v>1476.2962955974988</v>
      </c>
      <c r="O36" s="115">
        <v>11.322491075487649</v>
      </c>
      <c r="P36" s="115">
        <v>7.9786634272060644</v>
      </c>
      <c r="Q36" s="111">
        <v>11.322491075487649</v>
      </c>
      <c r="R36" s="68">
        <v>7.9786634272060653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7.2503981304495831E-4</v>
      </c>
      <c r="M37" s="115">
        <v>107.13413620991007</v>
      </c>
      <c r="N37" s="115">
        <v>3558.6340995638743</v>
      </c>
      <c r="O37" s="115">
        <v>21.559861449903025</v>
      </c>
      <c r="P37" s="115">
        <v>9.3489304599093472</v>
      </c>
      <c r="Q37" s="111">
        <v>21.559861449903028</v>
      </c>
      <c r="R37" s="68">
        <v>9.348930459909349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2.5695481779293532E-3</v>
      </c>
      <c r="M38" s="115">
        <v>66.44491386001593</v>
      </c>
      <c r="N38" s="115">
        <v>2181.7510222628348</v>
      </c>
      <c r="O38" s="115">
        <v>14.800296037645085</v>
      </c>
      <c r="P38" s="115">
        <v>8.402024607593173</v>
      </c>
      <c r="Q38" s="111">
        <v>14.800296037645086</v>
      </c>
      <c r="R38" s="68">
        <v>8.402024607593173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3.8463225643756154E-3</v>
      </c>
      <c r="M39" s="115">
        <v>49.531833159681305</v>
      </c>
      <c r="N39" s="115">
        <v>1618.8436721410187</v>
      </c>
      <c r="O39" s="115">
        <v>11.915626766496992</v>
      </c>
      <c r="P39" s="115">
        <v>7.8669411068096435</v>
      </c>
      <c r="Q39" s="111">
        <v>11.915626766496993</v>
      </c>
      <c r="R39" s="68">
        <v>7.8669411068096444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2.5695481779293532E-3</v>
      </c>
      <c r="M40" s="115">
        <v>66.44491386001593</v>
      </c>
      <c r="N40" s="115">
        <v>2181.7510222628348</v>
      </c>
      <c r="O40" s="115">
        <v>14.800296037645085</v>
      </c>
      <c r="P40" s="115">
        <v>8.402024607593173</v>
      </c>
      <c r="Q40" s="111">
        <v>14.800296037645086</v>
      </c>
      <c r="R40" s="68">
        <v>8.402024607593173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0.95235694967046125</v>
      </c>
      <c r="M41" s="115">
        <v>0.90324673881285089</v>
      </c>
      <c r="N41" s="115">
        <v>5.4774387186285285</v>
      </c>
      <c r="O41" s="115">
        <v>1.0090081396615211</v>
      </c>
      <c r="P41" s="115">
        <v>1.2957432697642675</v>
      </c>
      <c r="Q41" s="111">
        <v>1.0090081396615214</v>
      </c>
      <c r="R41" s="68">
        <v>1.2957432697642675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6.5974020287823387E-4</v>
      </c>
      <c r="M42" s="115">
        <v>109.49759753489128</v>
      </c>
      <c r="N42" s="115">
        <v>3639.9266474919373</v>
      </c>
      <c r="O42" s="115">
        <v>21.952662602016503</v>
      </c>
      <c r="P42" s="115">
        <v>9.4034573312357761</v>
      </c>
      <c r="Q42" s="111">
        <v>21.952662602016506</v>
      </c>
      <c r="R42" s="68">
        <v>9.4034573312357761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0.35439665522694691</v>
      </c>
      <c r="M43" s="115">
        <v>9.9742834919447105</v>
      </c>
      <c r="N43" s="115">
        <v>302.97853333933813</v>
      </c>
      <c r="O43" s="115">
        <v>3.2655115938671457</v>
      </c>
      <c r="P43" s="115">
        <v>3.0591212744007468</v>
      </c>
      <c r="Q43" s="111">
        <v>3.2655115938671457</v>
      </c>
      <c r="R43" s="68">
        <v>3.0591212744007468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6.9458443759843691E-3</v>
      </c>
      <c r="M44" s="115">
        <v>32.177041035792371</v>
      </c>
      <c r="N44" s="115">
        <v>1044.3839639890373</v>
      </c>
      <c r="O44" s="115">
        <v>9.1990371960350927</v>
      </c>
      <c r="P44" s="115">
        <v>7.7566985106447568</v>
      </c>
      <c r="Q44" s="111">
        <v>9.1990371960350945</v>
      </c>
      <c r="R44" s="68">
        <v>7.7566985106447568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2.9726060275145073E-4</v>
      </c>
      <c r="M45" s="115">
        <v>127.93602388505501</v>
      </c>
      <c r="N45" s="115">
        <v>4279.5909895364357</v>
      </c>
      <c r="O45" s="115">
        <v>25.076661823599832</v>
      </c>
      <c r="P45" s="115">
        <v>9.9336125847934049</v>
      </c>
      <c r="Q45" s="111">
        <v>25.076661823599835</v>
      </c>
      <c r="R45" s="68">
        <v>9.9336125847934049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5.912076008410122E-4</v>
      </c>
      <c r="M46" s="115">
        <v>112.80558644469971</v>
      </c>
      <c r="N46" s="115">
        <v>3753.3367545198375</v>
      </c>
      <c r="O46" s="115">
        <v>22.521469003256922</v>
      </c>
      <c r="P46" s="115">
        <v>9.5144701924823725</v>
      </c>
      <c r="Q46" s="111">
        <v>22.521469003256925</v>
      </c>
      <c r="R46" s="68">
        <v>9.5144701924823725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1.3086398977222285E-3</v>
      </c>
      <c r="M47" s="115">
        <v>89.808486998987803</v>
      </c>
      <c r="N47" s="115">
        <v>2968.0656240637873</v>
      </c>
      <c r="O47" s="115">
        <v>18.672481141564813</v>
      </c>
      <c r="P47" s="115">
        <v>8.9317439954062028</v>
      </c>
      <c r="Q47" s="111">
        <v>18.672481141564813</v>
      </c>
      <c r="R47" s="68">
        <v>8.9317439954062028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5.955657515075017E-2</v>
      </c>
      <c r="M48" s="115">
        <v>19.110818132926397</v>
      </c>
      <c r="N48" s="115">
        <v>607.73087754647099</v>
      </c>
      <c r="O48" s="115">
        <v>6.3855357149044307</v>
      </c>
      <c r="P48" s="115">
        <v>6.2683530664056537</v>
      </c>
      <c r="Q48" s="111">
        <v>6.3855357149044307</v>
      </c>
      <c r="R48" s="68">
        <v>6.2683530664056537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6.4603852806052256E-3</v>
      </c>
      <c r="M49" s="115">
        <v>34.405128627458637</v>
      </c>
      <c r="N49" s="115">
        <v>1117.7672391862188</v>
      </c>
      <c r="O49" s="115">
        <v>9.5599951099671472</v>
      </c>
      <c r="P49" s="115">
        <v>7.7931869027548588</v>
      </c>
      <c r="Q49" s="111">
        <v>9.559995109967149</v>
      </c>
      <c r="R49" s="68">
        <v>7.7931869027548597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5.7078063537604144E-3</v>
      </c>
      <c r="M50" s="115">
        <v>38.348080879641628</v>
      </c>
      <c r="N50" s="115">
        <v>1247.8389979018866</v>
      </c>
      <c r="O50" s="115">
        <v>10.199159612868602</v>
      </c>
      <c r="P50" s="115">
        <v>7.8583165731278113</v>
      </c>
      <c r="Q50" s="111">
        <v>10.199159612868602</v>
      </c>
      <c r="R50" s="68">
        <v>7.8583165731278122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3.8229727869417814E-2</v>
      </c>
      <c r="M51" s="115">
        <v>19.962505740913667</v>
      </c>
      <c r="N51" s="115">
        <v>637.57754423327231</v>
      </c>
      <c r="O51" s="115">
        <v>6.7659030213834237</v>
      </c>
      <c r="P51" s="115">
        <v>6.7270543053206939</v>
      </c>
      <c r="Q51" s="111">
        <v>6.7659030213834237</v>
      </c>
      <c r="R51" s="68">
        <v>6.7270543053206948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5.7141123819270681E-2</v>
      </c>
      <c r="M52" s="115">
        <v>19.205575259595729</v>
      </c>
      <c r="N52" s="115">
        <v>611.01149549759077</v>
      </c>
      <c r="O52" s="115">
        <v>6.4255299596024242</v>
      </c>
      <c r="P52" s="115">
        <v>6.3152101403105476</v>
      </c>
      <c r="Q52" s="111">
        <v>6.4255299596024251</v>
      </c>
      <c r="R52" s="68">
        <v>6.3152101403105476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3.7941840514339811E-3</v>
      </c>
      <c r="M53" s="115">
        <v>52.388142615964448</v>
      </c>
      <c r="N53" s="115">
        <v>1712.9966881892963</v>
      </c>
      <c r="O53" s="115">
        <v>12.489900099584647</v>
      </c>
      <c r="P53" s="115">
        <v>8.1156659816466483</v>
      </c>
      <c r="Q53" s="111">
        <v>12.489900099584649</v>
      </c>
      <c r="R53" s="68">
        <v>8.1156659816466501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6.0754392689839924E-3</v>
      </c>
      <c r="M54" s="115">
        <v>36.340991300056025</v>
      </c>
      <c r="N54" s="115">
        <v>1181.5954847057305</v>
      </c>
      <c r="O54" s="115">
        <v>9.873726890524436</v>
      </c>
      <c r="P54" s="115">
        <v>7.8250469503143814</v>
      </c>
      <c r="Q54" s="111">
        <v>9.873726890524436</v>
      </c>
      <c r="R54" s="68">
        <v>7.8250469503143814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1.3536057869195112E-3</v>
      </c>
      <c r="M55" s="115">
        <v>88.675511311582923</v>
      </c>
      <c r="N55" s="115">
        <v>2929.7209915183457</v>
      </c>
      <c r="O55" s="115">
        <v>18.482873380551869</v>
      </c>
      <c r="P55" s="115">
        <v>8.9028632598600179</v>
      </c>
      <c r="Q55" s="111">
        <v>18.482873380551869</v>
      </c>
      <c r="R55" s="68">
        <v>8.9028632598600179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6.7813645655478176E-3</v>
      </c>
      <c r="M56" s="115">
        <v>32.909341763990994</v>
      </c>
      <c r="N56" s="115">
        <v>1068.4925750661446</v>
      </c>
      <c r="O56" s="115">
        <v>9.3178004976614233</v>
      </c>
      <c r="P56" s="115">
        <v>7.7689305396777106</v>
      </c>
      <c r="Q56" s="111">
        <v>9.3178004976614233</v>
      </c>
      <c r="R56" s="68">
        <v>7.7689305396777115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7.1340788004104927E-2</v>
      </c>
      <c r="M57" s="115">
        <v>18.584087773592024</v>
      </c>
      <c r="N57" s="115">
        <v>589.77191302187509</v>
      </c>
      <c r="O57" s="115">
        <v>6.1745480269341133</v>
      </c>
      <c r="P57" s="115">
        <v>6.0287633498527242</v>
      </c>
      <c r="Q57" s="111">
        <v>6.1745480269341142</v>
      </c>
      <c r="R57" s="68">
        <v>6.0287633498527242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6.0005998525009922E-3</v>
      </c>
      <c r="M58" s="115">
        <v>36.737088939270102</v>
      </c>
      <c r="N58" s="115">
        <v>1194.6630800643732</v>
      </c>
      <c r="O58" s="115">
        <v>9.9379748286680361</v>
      </c>
      <c r="P58" s="115">
        <v>7.8316601490788296</v>
      </c>
      <c r="Q58" s="111">
        <v>9.9379748286680361</v>
      </c>
      <c r="R58" s="68">
        <v>7.8316601490788296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5.714878600841726E-2</v>
      </c>
      <c r="M59" s="115">
        <v>19.208150580843757</v>
      </c>
      <c r="N59" s="115">
        <v>611.09342748170866</v>
      </c>
      <c r="O59" s="115">
        <v>6.4263915741914763</v>
      </c>
      <c r="P59" s="115">
        <v>6.3160569618527438</v>
      </c>
      <c r="Q59" s="111">
        <v>6.4263915741914763</v>
      </c>
      <c r="R59" s="68">
        <v>6.3160569618527447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4.28755084433726E-3</v>
      </c>
      <c r="M60" s="115">
        <v>48.028248657682369</v>
      </c>
      <c r="N60" s="115">
        <v>1568.2332384238521</v>
      </c>
      <c r="O60" s="115">
        <v>11.77497980649218</v>
      </c>
      <c r="P60" s="115">
        <v>8.029493071642916</v>
      </c>
      <c r="Q60" s="111">
        <v>11.77497980649218</v>
      </c>
      <c r="R60" s="68">
        <v>8.029493071642916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0.59031922555668437</v>
      </c>
      <c r="M61" s="115">
        <v>34.91040498573679</v>
      </c>
      <c r="N61" s="115">
        <v>799.45762146664708</v>
      </c>
      <c r="O61" s="115">
        <v>4.4222184416423858</v>
      </c>
      <c r="P61" s="115">
        <v>4.4468198709846636</v>
      </c>
      <c r="Q61" s="111">
        <v>4.4222184416423858</v>
      </c>
      <c r="R61" s="68">
        <v>4.4468198709846645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0.1864405338418908</v>
      </c>
      <c r="M62" s="115">
        <v>14.623357857350593</v>
      </c>
      <c r="N62" s="115">
        <v>456.66982767843774</v>
      </c>
      <c r="O62" s="115">
        <v>4.7476274643458698</v>
      </c>
      <c r="P62" s="115">
        <v>4.5072101496527877</v>
      </c>
      <c r="Q62" s="111">
        <v>4.7476274643458698</v>
      </c>
      <c r="R62" s="68">
        <v>4.5072101496527877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2.1830142592569146</v>
      </c>
      <c r="M63" s="115">
        <v>5.6705841908621499</v>
      </c>
      <c r="N63" s="115">
        <v>111.60257168713444</v>
      </c>
      <c r="O63" s="115">
        <v>1.0613567323626032</v>
      </c>
      <c r="P63" s="115">
        <v>1.1880623699165918</v>
      </c>
      <c r="Q63" s="111">
        <v>1.0613567323626032</v>
      </c>
      <c r="R63" s="68">
        <v>1.1880623699165918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0.98080659934941161</v>
      </c>
      <c r="M64" s="115">
        <v>0.91194618218796264</v>
      </c>
      <c r="N64" s="115">
        <v>2.2550638033003119</v>
      </c>
      <c r="O64" s="115">
        <v>0.87440333494727418</v>
      </c>
      <c r="P64" s="115">
        <v>1.0454255776542842</v>
      </c>
      <c r="Q64" s="111">
        <v>0.87440333494727418</v>
      </c>
      <c r="R64" s="68">
        <v>1.0454255776542842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1.3000067616378053</v>
      </c>
      <c r="M65" s="115">
        <v>1.2917329034226839</v>
      </c>
      <c r="N65" s="115">
        <v>9.5799318695754252</v>
      </c>
      <c r="O65" s="115">
        <v>0.83576036496731509</v>
      </c>
      <c r="P65" s="115">
        <v>0.97067411848664009</v>
      </c>
      <c r="Q65" s="111">
        <v>0.83576036496731521</v>
      </c>
      <c r="R65" s="68">
        <v>0.97067411848664009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2.9425930217169585</v>
      </c>
      <c r="M66" s="115">
        <v>38.426657438290924</v>
      </c>
      <c r="N66" s="115">
        <v>888.84098411626906</v>
      </c>
      <c r="O66" s="115">
        <v>2.1231328580539852</v>
      </c>
      <c r="P66" s="115">
        <v>2.5887516420473928</v>
      </c>
      <c r="Q66" s="111">
        <v>2.1231328580539852</v>
      </c>
      <c r="R66" s="68">
        <v>2.5887516420473928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1.2517575785920054</v>
      </c>
      <c r="M67" s="115">
        <v>1.2240740820257978</v>
      </c>
      <c r="N67" s="115">
        <v>7.9760048987503342</v>
      </c>
      <c r="O67" s="115">
        <v>0.83387028218716219</v>
      </c>
      <c r="P67" s="115">
        <v>0.96833155713675001</v>
      </c>
      <c r="Q67" s="111">
        <v>0.8338702821871623</v>
      </c>
      <c r="R67" s="68">
        <v>0.96833155713675001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1.0329613765100176</v>
      </c>
      <c r="M68" s="115">
        <v>0.93165025485684083</v>
      </c>
      <c r="N68" s="115">
        <v>1.0586844643284603</v>
      </c>
      <c r="O68" s="115">
        <v>0.82566064158199892</v>
      </c>
      <c r="P68" s="115">
        <v>0.95945726191783642</v>
      </c>
      <c r="Q68" s="111">
        <v>0.82566064158199903</v>
      </c>
      <c r="R68" s="68">
        <v>0.95945726191783653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7.6651213410938602E-3</v>
      </c>
      <c r="M69" s="115">
        <v>29.281342433037121</v>
      </c>
      <c r="N69" s="115">
        <v>949.13769217836659</v>
      </c>
      <c r="O69" s="115">
        <v>8.7320550469359883</v>
      </c>
      <c r="P69" s="115">
        <v>7.7130397091361766</v>
      </c>
      <c r="Q69" s="111">
        <v>8.7320550469359883</v>
      </c>
      <c r="R69" s="68">
        <v>7.7130397091361766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0.96744692811388444</v>
      </c>
      <c r="M70" s="115">
        <v>0.89830697488396027</v>
      </c>
      <c r="N70" s="115">
        <v>3.7190763391019654</v>
      </c>
      <c r="O70" s="115">
        <v>0.94745745530226777</v>
      </c>
      <c r="P70" s="115">
        <v>1.1828145794269045</v>
      </c>
      <c r="Q70" s="111">
        <v>0.94745745530226788</v>
      </c>
      <c r="R70" s="68">
        <v>1.1828145794269047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0.94182970791319542</v>
      </c>
      <c r="M71" s="115">
        <v>0.9049039324859085</v>
      </c>
      <c r="N71" s="115">
        <v>6.6484346246311503</v>
      </c>
      <c r="O71" s="115">
        <v>1.052515131990944</v>
      </c>
      <c r="P71" s="115">
        <v>1.376008927727842</v>
      </c>
      <c r="Q71" s="111">
        <v>1.0525151319909443</v>
      </c>
      <c r="R71" s="68">
        <v>1.376008927727842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3.9453933064804983E-3</v>
      </c>
      <c r="M72" s="115">
        <v>6.6820600304926492</v>
      </c>
      <c r="N72" s="115">
        <v>656.66582703255597</v>
      </c>
      <c r="O72" s="115">
        <v>6.2677806279621464</v>
      </c>
      <c r="P72" s="115">
        <v>8.8361965465563763</v>
      </c>
      <c r="Q72" s="111">
        <v>6.2677806279621473</v>
      </c>
      <c r="R72" s="68">
        <v>8.8361965465563781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3.6561607788354426E-2</v>
      </c>
      <c r="M73" s="115">
        <v>0.81208853668820025</v>
      </c>
      <c r="N73" s="115">
        <v>76.671701072556914</v>
      </c>
      <c r="O73" s="115">
        <v>4.6153979492497887</v>
      </c>
      <c r="P73" s="115">
        <v>8.0515035191687669</v>
      </c>
      <c r="Q73" s="111">
        <v>4.6153979492497887</v>
      </c>
      <c r="R73" s="68">
        <v>8.0515035191687669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0.94682349934165022</v>
      </c>
      <c r="M74" s="115">
        <v>0.90371238359133887</v>
      </c>
      <c r="N74" s="115">
        <v>6.0871576164189625</v>
      </c>
      <c r="O74" s="115">
        <v>1.0320755247933591</v>
      </c>
      <c r="P74" s="115">
        <v>1.338385562107359</v>
      </c>
      <c r="Q74" s="111">
        <v>1.0320755247933591</v>
      </c>
      <c r="R74" s="68">
        <v>1.338385562107359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4.3251903330778205E-2</v>
      </c>
      <c r="M75" s="115">
        <v>0.82139869011473698</v>
      </c>
      <c r="N75" s="115">
        <v>77.00911169586432</v>
      </c>
      <c r="O75" s="115">
        <v>4.5916505546419977</v>
      </c>
      <c r="P75" s="115">
        <v>8.0036157257516667</v>
      </c>
      <c r="Q75" s="111">
        <v>4.5916505546419977</v>
      </c>
      <c r="R75" s="68">
        <v>8.0036157257516685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0.45076859233069677</v>
      </c>
      <c r="M76" s="115">
        <v>0.94219547158978567</v>
      </c>
      <c r="N76" s="115">
        <v>53.525988799699469</v>
      </c>
      <c r="O76" s="115">
        <v>3.0206761874180414</v>
      </c>
      <c r="P76" s="115">
        <v>5.0290228733587101</v>
      </c>
      <c r="Q76" s="111">
        <v>3.0206761874180419</v>
      </c>
      <c r="R76" s="68">
        <v>5.0290228733587101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3.8364345135848715E-2</v>
      </c>
      <c r="M77" s="115">
        <v>0.8147689366148777</v>
      </c>
      <c r="N77" s="115">
        <v>76.777687467661664</v>
      </c>
      <c r="O77" s="115">
        <v>4.609039405444558</v>
      </c>
      <c r="P77" s="115">
        <v>8.0386114425539521</v>
      </c>
      <c r="Q77" s="111">
        <v>4.609039405444558</v>
      </c>
      <c r="R77" s="68">
        <v>8.0386114425539539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4.3761485329481603E-3</v>
      </c>
      <c r="M78" s="115">
        <v>5.5985462566198718</v>
      </c>
      <c r="N78" s="115">
        <v>550.08207042596746</v>
      </c>
      <c r="O78" s="115">
        <v>5.984595323036733</v>
      </c>
      <c r="P78" s="115">
        <v>8.732026150417969</v>
      </c>
      <c r="Q78" s="111">
        <v>5.984595323036733</v>
      </c>
      <c r="R78" s="68">
        <v>8.732026150417969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4.3761489470020027E-3</v>
      </c>
      <c r="M79" s="115">
        <v>5.5985369373944618</v>
      </c>
      <c r="N79" s="115">
        <v>550.08180910080478</v>
      </c>
      <c r="O79" s="115">
        <v>5.9845942247570081</v>
      </c>
      <c r="P79" s="115">
        <v>8.7320264868314581</v>
      </c>
      <c r="Q79" s="111">
        <v>5.9845942247570081</v>
      </c>
      <c r="R79" s="68">
        <v>8.7320264868314581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0.16845685374136868</v>
      </c>
      <c r="M80" s="115">
        <v>0.89920043526606297</v>
      </c>
      <c r="N80" s="115">
        <v>73.833937818030037</v>
      </c>
      <c r="O80" s="115">
        <v>4.1214411009720475</v>
      </c>
      <c r="P80" s="115">
        <v>7.0970251208987758</v>
      </c>
      <c r="Q80" s="111">
        <v>4.1214411009720475</v>
      </c>
      <c r="R80" s="68">
        <v>7.0970251208987758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0.8052776277930862</v>
      </c>
      <c r="M81" s="115">
        <v>0.9279666818612945</v>
      </c>
      <c r="N81" s="115">
        <v>21.016947705255483</v>
      </c>
      <c r="O81" s="115">
        <v>1.6069000179865223</v>
      </c>
      <c r="P81" s="115">
        <v>2.4000742545664524</v>
      </c>
      <c r="Q81" s="111">
        <v>1.6069000179865223</v>
      </c>
      <c r="R81" s="68">
        <v>2.4000742545664524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0.61086186669716735</v>
      </c>
      <c r="M82" s="115">
        <v>0.94272982676658024</v>
      </c>
      <c r="N82" s="115">
        <v>39.576768583587224</v>
      </c>
      <c r="O82" s="115">
        <v>2.3861390771315727</v>
      </c>
      <c r="P82" s="115">
        <v>3.8463839561149813</v>
      </c>
      <c r="Q82" s="111">
        <v>2.3861390771315727</v>
      </c>
      <c r="R82" s="68">
        <v>3.8463839561149813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2.9660036716626461E-3</v>
      </c>
      <c r="M83" s="115">
        <v>10.867354258657715</v>
      </c>
      <c r="N83" s="115">
        <v>1068.325126791148</v>
      </c>
      <c r="O83" s="115">
        <v>7.359016623928019</v>
      </c>
      <c r="P83" s="115">
        <v>9.2336566642476345</v>
      </c>
      <c r="Q83" s="111">
        <v>7.3590166239280199</v>
      </c>
      <c r="R83" s="68">
        <v>9.2336566642476363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0.28459598371060252</v>
      </c>
      <c r="M84" s="115">
        <v>11.767084456483326</v>
      </c>
      <c r="N84" s="115">
        <v>362.11201548312539</v>
      </c>
      <c r="O84" s="115">
        <v>3.821108159849341</v>
      </c>
      <c r="P84" s="115">
        <v>3.5902604162751919</v>
      </c>
      <c r="Q84" s="111">
        <v>3.821108159849341</v>
      </c>
      <c r="R84" s="68">
        <v>3.5902604162751919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0.22016389285247759</v>
      </c>
      <c r="M85" s="115">
        <v>435.11195276325827</v>
      </c>
      <c r="N85" s="115">
        <v>10262.273317116755</v>
      </c>
      <c r="O85" s="115">
        <v>10.190452762723666</v>
      </c>
      <c r="P85" s="115">
        <v>9.1807289294267669</v>
      </c>
      <c r="Q85" s="111">
        <v>10.190452762723668</v>
      </c>
      <c r="R85" s="68">
        <v>9.1807289294267669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3.6336155064382099E-4</v>
      </c>
      <c r="M86" s="115">
        <v>123.95410417806409</v>
      </c>
      <c r="N86" s="115">
        <v>4140.0681211021674</v>
      </c>
      <c r="O86" s="115">
        <v>24.402038430207693</v>
      </c>
      <c r="P86" s="115">
        <v>9.8199803843106963</v>
      </c>
      <c r="Q86" s="111">
        <v>24.402038430207693</v>
      </c>
      <c r="R86" s="68">
        <v>9.8199803843106963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1.2665085248966416E-4</v>
      </c>
      <c r="M87" s="115">
        <v>141.35037218915105</v>
      </c>
      <c r="N87" s="115">
        <v>4757.9318259997517</v>
      </c>
      <c r="O87" s="115">
        <v>27.363717370772871</v>
      </c>
      <c r="P87" s="115">
        <v>10.337620847231893</v>
      </c>
      <c r="Q87" s="111">
        <v>27.363717370772871</v>
      </c>
      <c r="R87" s="68">
        <v>10.337620847231893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3.5717285007994551E-5</v>
      </c>
      <c r="M88" s="115">
        <v>153.46358516540457</v>
      </c>
      <c r="N88" s="115">
        <v>5211.3171898539658</v>
      </c>
      <c r="O88" s="115">
        <v>29.459254969982773</v>
      </c>
      <c r="P88" s="115">
        <v>10.744901567836761</v>
      </c>
      <c r="Q88" s="111">
        <v>29.459254969982773</v>
      </c>
      <c r="R88" s="68">
        <v>10.744901567836761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7.4116417570280514E-3</v>
      </c>
      <c r="M89" s="115">
        <v>2470.8713629729464</v>
      </c>
      <c r="N89" s="115">
        <v>58095.389078721098</v>
      </c>
      <c r="O89" s="115">
        <v>44.381586686770127</v>
      </c>
      <c r="P89" s="115">
        <v>15.314356883358332</v>
      </c>
      <c r="Q89" s="111">
        <v>44.381586686770127</v>
      </c>
      <c r="R89" s="68">
        <v>15.314356883358332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0.97100580517972823</v>
      </c>
      <c r="M90" s="115">
        <v>0.91277727413995646</v>
      </c>
      <c r="N90" s="115">
        <v>1.4810856707743973</v>
      </c>
      <c r="O90" s="115">
        <v>0.81410495503802738</v>
      </c>
      <c r="P90" s="115">
        <v>0.94151991840482385</v>
      </c>
      <c r="Q90" s="111">
        <v>0.81410495503802738</v>
      </c>
      <c r="R90" s="68">
        <v>0.94151991840482385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0.71758502091781473</v>
      </c>
      <c r="M91" s="115">
        <v>3.111531517898217</v>
      </c>
      <c r="N91" s="115">
        <v>76.553195666870636</v>
      </c>
      <c r="O91" s="115">
        <v>1.309429791907202</v>
      </c>
      <c r="P91" s="115">
        <v>1.3058616872002931</v>
      </c>
      <c r="Q91" s="111">
        <v>1.309429791907202</v>
      </c>
      <c r="R91" s="68">
        <v>1.3058616872002931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0.12729851294719385</v>
      </c>
      <c r="M92" s="115">
        <v>16.571743251705662</v>
      </c>
      <c r="N92" s="115">
        <v>521.66011974873538</v>
      </c>
      <c r="O92" s="115">
        <v>5.4192047114590203</v>
      </c>
      <c r="P92" s="115">
        <v>5.2017250619142308</v>
      </c>
      <c r="Q92" s="111">
        <v>5.4192047114590203</v>
      </c>
      <c r="R92" s="68">
        <v>5.2017250619142308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0.99262927192275219</v>
      </c>
      <c r="M93" s="115">
        <v>0.89000145687278509</v>
      </c>
      <c r="N93" s="115">
        <v>0.62184505567756643</v>
      </c>
      <c r="O93" s="115">
        <v>0.84281774133735932</v>
      </c>
      <c r="P93" s="115">
        <v>0.99116404772941269</v>
      </c>
      <c r="Q93" s="111">
        <v>0.84281774133735932</v>
      </c>
      <c r="R93" s="68">
        <v>0.99116404772941269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1.0024898107843228</v>
      </c>
      <c r="M94" s="115">
        <v>0.89373143781445019</v>
      </c>
      <c r="N94" s="115">
        <v>0.15149031924143005</v>
      </c>
      <c r="O94" s="115">
        <v>0.82514091160791481</v>
      </c>
      <c r="P94" s="115">
        <v>0.95907114743723798</v>
      </c>
      <c r="Q94" s="111">
        <v>0.82514091160791481</v>
      </c>
      <c r="R94" s="68">
        <v>0.95907114743723798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0.94398266032125522</v>
      </c>
      <c r="M95" s="115">
        <v>1.0482820189470354</v>
      </c>
      <c r="N95" s="115">
        <v>6.3784845139295987</v>
      </c>
      <c r="O95" s="115">
        <v>0.82175970402044285</v>
      </c>
      <c r="P95" s="115">
        <v>0.93477512606010682</v>
      </c>
      <c r="Q95" s="111">
        <v>0.82175970402044296</v>
      </c>
      <c r="R95" s="68">
        <v>0.93477512606010693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5.2714927198382758E-4</v>
      </c>
      <c r="M96" s="115">
        <v>115.63342544143548</v>
      </c>
      <c r="N96" s="115">
        <v>3850.9596993016057</v>
      </c>
      <c r="O96" s="115">
        <v>22.997513586684345</v>
      </c>
      <c r="P96" s="115">
        <v>9.5904911043776853</v>
      </c>
      <c r="Q96" s="111">
        <v>22.997513586684345</v>
      </c>
      <c r="R96" s="68">
        <v>9.5904911043776853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0.6010346582738999</v>
      </c>
      <c r="M97" s="115">
        <v>4.8914405865927213</v>
      </c>
      <c r="N97" s="115">
        <v>135.48490645850848</v>
      </c>
      <c r="O97" s="115">
        <v>1.7862976537867754</v>
      </c>
      <c r="P97" s="115">
        <v>1.7121684997714595</v>
      </c>
      <c r="Q97" s="111">
        <v>1.7862976537867756</v>
      </c>
      <c r="R97" s="68">
        <v>1.7121684997714595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0.69782558453299703</v>
      </c>
      <c r="M98" s="115">
        <v>3.3855993109470948</v>
      </c>
      <c r="N98" s="115">
        <v>85.654006335150427</v>
      </c>
      <c r="O98" s="115">
        <v>1.3808366989067347</v>
      </c>
      <c r="P98" s="115">
        <v>1.3653115520060537</v>
      </c>
      <c r="Q98" s="111">
        <v>1.3808366989067347</v>
      </c>
      <c r="R98" s="68">
        <v>1.3653115520060537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0.86301143342337339</v>
      </c>
      <c r="M99" s="115">
        <v>1.5058196686177496</v>
      </c>
      <c r="N99" s="115">
        <v>22.655866444598701</v>
      </c>
      <c r="O99" s="115">
        <v>0.91840549942485727</v>
      </c>
      <c r="P99" s="115">
        <v>0.99808925752138289</v>
      </c>
      <c r="Q99" s="111">
        <v>0.91840549942485739</v>
      </c>
      <c r="R99" s="68">
        <v>0.99808925752138289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3.3923897948851573E-3</v>
      </c>
      <c r="M100" s="115">
        <v>56.410113549465137</v>
      </c>
      <c r="N100" s="115">
        <v>1846.8048180802011</v>
      </c>
      <c r="O100" s="115">
        <v>13.149647847668424</v>
      </c>
      <c r="P100" s="115">
        <v>8.195422518154345</v>
      </c>
      <c r="Q100" s="111">
        <v>13.149647847668424</v>
      </c>
      <c r="R100" s="68">
        <v>8.195422518154345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0.17741959149166309</v>
      </c>
      <c r="M101" s="115">
        <v>14.90908561325767</v>
      </c>
      <c r="N101" s="115">
        <v>466.16626024690078</v>
      </c>
      <c r="O101" s="115">
        <v>4.8436925558164843</v>
      </c>
      <c r="P101" s="115">
        <v>4.6047986261617124</v>
      </c>
      <c r="Q101" s="111">
        <v>4.8436925558164843</v>
      </c>
      <c r="R101" s="68">
        <v>4.6047986261617124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3.905665583501667E-2</v>
      </c>
      <c r="M102" s="115">
        <v>19.926653350737283</v>
      </c>
      <c r="N102" s="115">
        <v>636.30788161656631</v>
      </c>
      <c r="O102" s="115">
        <v>6.7489746814087637</v>
      </c>
      <c r="P102" s="115">
        <v>6.7061131474811084</v>
      </c>
      <c r="Q102" s="111">
        <v>6.7489746814087637</v>
      </c>
      <c r="R102" s="68">
        <v>6.7061131474811084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0.89401886321269042</v>
      </c>
      <c r="M103" s="115">
        <v>0.91487452736716068</v>
      </c>
      <c r="N103" s="115">
        <v>11.863235740917824</v>
      </c>
      <c r="O103" s="115">
        <v>1.2474606156018049</v>
      </c>
      <c r="P103" s="115">
        <v>1.7354136551089907</v>
      </c>
      <c r="Q103" s="111">
        <v>1.2474606156018049</v>
      </c>
      <c r="R103" s="68">
        <v>1.7354136551089907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1.1237188006635736E-2</v>
      </c>
      <c r="M104" s="115">
        <v>1.2615154564968432</v>
      </c>
      <c r="N104" s="115">
        <v>112.60728227602931</v>
      </c>
      <c r="O104" s="115">
        <v>4.8081358179536791</v>
      </c>
      <c r="P104" s="115">
        <v>8.2550659752739968</v>
      </c>
      <c r="Q104" s="111">
        <v>4.8081358179536791</v>
      </c>
      <c r="R104" s="68">
        <v>8.2550659752739968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0.96595256960553488</v>
      </c>
      <c r="M105" s="115">
        <v>0.91948913625143569</v>
      </c>
      <c r="N105" s="115">
        <v>1.8070113939773524</v>
      </c>
      <c r="O105" s="115">
        <v>0.8135588277280188</v>
      </c>
      <c r="P105" s="115">
        <v>0.93936135668454668</v>
      </c>
      <c r="Q105" s="111">
        <v>0.8135588277280188</v>
      </c>
      <c r="R105" s="68">
        <v>0.93936135668454668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0.93959201204675469</v>
      </c>
      <c r="M106" s="115">
        <v>1.0602623875901049</v>
      </c>
      <c r="N106" s="115">
        <v>6.8569927083825277</v>
      </c>
      <c r="O106" s="115">
        <v>0.82319662230548463</v>
      </c>
      <c r="P106" s="115">
        <v>0.9348928618554242</v>
      </c>
      <c r="Q106" s="111">
        <v>0.82319662230548474</v>
      </c>
      <c r="R106" s="68">
        <v>0.93489286185542431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2.4139878559289361E-2</v>
      </c>
      <c r="M107" s="115">
        <v>23.9227823545679</v>
      </c>
      <c r="N107" s="115">
        <v>700.02845491737082</v>
      </c>
      <c r="O107" s="115">
        <v>6.5735902545531326</v>
      </c>
      <c r="P107" s="115">
        <v>6.6145820166615206</v>
      </c>
      <c r="Q107" s="111">
        <v>6.5735902545531326</v>
      </c>
      <c r="R107" s="68">
        <v>6.6145820166615206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0.99978287615741357</v>
      </c>
      <c r="M108" s="115">
        <v>0.89061584335031574</v>
      </c>
      <c r="N108" s="115">
        <v>7.840871709265157E-2</v>
      </c>
      <c r="O108" s="115">
        <v>0.82502222167601813</v>
      </c>
      <c r="P108" s="115">
        <v>0.95893364339261911</v>
      </c>
      <c r="Q108" s="111">
        <v>0.82502222167601813</v>
      </c>
      <c r="R108" s="68">
        <v>0.95893364339261911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2.9412522580167426</v>
      </c>
      <c r="M109" s="115">
        <v>11.894457598041079</v>
      </c>
      <c r="N109" s="115">
        <v>259.66166882858278</v>
      </c>
      <c r="O109" s="115">
        <v>1.220088928494746</v>
      </c>
      <c r="P109" s="115">
        <v>1.4187723878767318</v>
      </c>
      <c r="Q109" s="111">
        <v>1.220088928494746</v>
      </c>
      <c r="R109" s="68">
        <v>1.418772387876732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0.99055682439988801</v>
      </c>
      <c r="M110" s="115">
        <v>0.88854154643848327</v>
      </c>
      <c r="N110" s="115">
        <v>0.22276700356357765</v>
      </c>
      <c r="O110" s="115">
        <v>0.821185656159517</v>
      </c>
      <c r="P110" s="115">
        <v>0.95407912372475434</v>
      </c>
      <c r="Q110" s="111">
        <v>0.82118565615951711</v>
      </c>
      <c r="R110" s="68">
        <v>0.95407912372475445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0.99700105523057303</v>
      </c>
      <c r="M111" s="115">
        <v>0.8873646256687463</v>
      </c>
      <c r="N111" s="115">
        <v>3.2454635344181418E-3</v>
      </c>
      <c r="O111" s="115">
        <v>0.82504834846847808</v>
      </c>
      <c r="P111" s="115">
        <v>0.95901566354418766</v>
      </c>
      <c r="Q111" s="111">
        <v>0.82504834846847808</v>
      </c>
      <c r="R111" s="68">
        <v>0.95901566354418777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0.98885744159606326</v>
      </c>
      <c r="M112" s="115">
        <v>0.88574048421200557</v>
      </c>
      <c r="N112" s="115">
        <v>0.16821457472162873</v>
      </c>
      <c r="O112" s="115">
        <v>0.81831337007680638</v>
      </c>
      <c r="P112" s="115">
        <v>0.95052013094062648</v>
      </c>
      <c r="Q112" s="111">
        <v>0.81831337007680649</v>
      </c>
      <c r="R112" s="68">
        <v>0.95052013094062648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0.94929228486569817</v>
      </c>
      <c r="M113" s="115">
        <v>0.97136007689326309</v>
      </c>
      <c r="N113" s="115">
        <v>3.841891168320235</v>
      </c>
      <c r="O113" s="115">
        <v>0.81776502176079879</v>
      </c>
      <c r="P113" s="115">
        <v>0.93762303204834274</v>
      </c>
      <c r="Q113" s="111">
        <v>0.81776502176079879</v>
      </c>
      <c r="R113" s="68">
        <v>0.93762303204834285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0.9928075081482739</v>
      </c>
      <c r="M114" s="115">
        <v>0.88536985033678728</v>
      </c>
      <c r="N114" s="115">
        <v>5.2291194292509079E-2</v>
      </c>
      <c r="O114" s="115">
        <v>0.82057402177403593</v>
      </c>
      <c r="P114" s="115">
        <v>0.95358156764878665</v>
      </c>
      <c r="Q114" s="111">
        <v>0.82057402177403593</v>
      </c>
      <c r="R114" s="68">
        <v>0.95358156764878665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0.97017472946312522</v>
      </c>
      <c r="M115" s="115">
        <v>0.89760260717941631</v>
      </c>
      <c r="N115" s="115">
        <v>3.3995527515128017</v>
      </c>
      <c r="O115" s="115">
        <v>0.93618345428038796</v>
      </c>
      <c r="P115" s="115">
        <v>1.1620977281055103</v>
      </c>
      <c r="Q115" s="111">
        <v>0.93618345428038807</v>
      </c>
      <c r="R115" s="68">
        <v>1.1620977281055103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0.52775602958859558</v>
      </c>
      <c r="M116" s="115">
        <v>122.88024205322088</v>
      </c>
      <c r="N116" s="115">
        <v>2889.2999864371468</v>
      </c>
      <c r="O116" s="115">
        <v>5.7668938075002902</v>
      </c>
      <c r="P116" s="115">
        <v>7.4990392040595344</v>
      </c>
      <c r="Q116" s="111">
        <v>5.7668938075002902</v>
      </c>
      <c r="R116" s="68">
        <v>7.4990392040595344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0.47294023748664743</v>
      </c>
      <c r="M117" s="115">
        <v>7.3039436791995724</v>
      </c>
      <c r="N117" s="115">
        <v>215.01796005376238</v>
      </c>
      <c r="O117" s="115">
        <v>2.4701702210909917</v>
      </c>
      <c r="P117" s="115">
        <v>2.3218377901590794</v>
      </c>
      <c r="Q117" s="111">
        <v>2.4701702210909917</v>
      </c>
      <c r="R117" s="68">
        <v>2.3218377901590794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2025-02-02T14:11:40Z</dcterms:modified>
</cp:coreProperties>
</file>