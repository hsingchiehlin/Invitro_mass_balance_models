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F7FFC748-2AB4-4F22-9CE7-C1E45C2671E7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<sst xmlns="http://schemas.openxmlformats.org/spreadsheetml/2006/main" count="2915" uniqueCount="495">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</sst>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9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0" fontId="0" fillId="14" borderId="0" xfId="0" applyFill="1"/>
    <xf numFmtId="0" fontId="0" fillId="0" borderId="0" xfId="0" applyAlignment="1">
      <alignment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38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0.49875000000000003</v>
      </c>
      <c r="K5" s="136">
        <v>0.52500000000000002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0.19950000000000001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9.9750000000000005E-2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4.9875000000000003E-2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1.0500000000000001E-2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8.3999999999999995E-3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2.9399999999999999E-3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1.6275E-3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1.0499999999999999E-3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1.2075E-3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6.3000000000000003E-4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1.0500000000000001E-2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6" ht="13.15">
      <c r="A1" s="74" t="s">
        <v>132</v>
      </c>
      <c r="B1" s="75"/>
      <c r="F1" s="74" t="s">
        <v>131</v>
      </c>
      <c r="I1" s="76"/>
    </row>
    <row r="2" spans="1:16" ht="13.15" thickBot="1">
      <c r="B2" s="75"/>
      <c r="I2" s="76"/>
    </row>
    <row r="3" spans="1:16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6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6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6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6" ht="13.15" thickBot="1">
      <c r="B7" s="87"/>
      <c r="I7" s="76"/>
    </row>
    <row r="8" spans="1:16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6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0.04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6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0.01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6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0.06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6" ht="13.15" thickBot="1">
      <c r="A12" s="76" t="s">
        <v>22</v>
      </c>
      <c r="B12" s="138">
        <f>G13/1000000/G12*1000000</f>
        <v>2.9399999999999999E-3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6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2.9399999999999999E-3</v>
      </c>
      <c r="H13" s="75" t="s">
        <v>16</v>
      </c>
      <c r="K13" s="75"/>
      <c r="L13" s="76"/>
      <c r="M13" s="75"/>
    </row>
    <row r="14" spans="1:16" ht="13.15" thickBot="1">
      <c r="C14" s="76"/>
      <c r="D14" s="76"/>
      <c r="E14" s="76"/>
      <c r="F14" s="102" t="s">
        <v>164</v>
      </c>
      <c r="G14" s="88">
        <v>7.4</v>
      </c>
    </row>
    <row r="15" spans="1:16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  <c r="P15" s="163">
        <v>0.04</v>
      </c>
    </row>
    <row r="16" spans="1:16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P16" s="163">
        <v>0.01</v>
      </c>
    </row>
    <row r="17" spans="1:16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P17" s="163">
        <v>0.06</v>
      </c>
    </row>
    <row r="18" spans="1:16">
      <c r="C18" s="76"/>
      <c r="D18" s="76"/>
      <c r="E18" s="76"/>
      <c r="K18" s="75"/>
    </row>
    <row r="19" spans="1:16" ht="13.15">
      <c r="A19" s="93" t="s">
        <v>15</v>
      </c>
      <c r="C19" s="76"/>
      <c r="D19" s="76"/>
      <c r="E19" s="76"/>
    </row>
    <row r="20" spans="1:16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6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7.3499999999999998E-5</v>
      </c>
      <c r="K21" s="76" t="s">
        <v>125</v>
      </c>
      <c r="M21" s="75"/>
    </row>
    <row r="22" spans="1:16" ht="13.15" thickBot="1">
      <c r="A22" s="75"/>
      <c r="C22" s="76"/>
      <c r="F22" s="102" t="s">
        <v>164</v>
      </c>
      <c r="G22" s="88">
        <v>7.4</v>
      </c>
      <c r="J22" s="95">
        <f>B12*(G9+G10)/B6</f>
        <v>3.675E-6</v>
      </c>
      <c r="K22" s="78" t="s">
        <v>126</v>
      </c>
      <c r="L22" s="96"/>
    </row>
    <row r="23" spans="1:16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6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6">
      <c r="C25" s="96"/>
      <c r="F25" s="76" t="s">
        <v>137</v>
      </c>
    </row>
    <row r="26" spans="1:16">
      <c r="B26" s="75"/>
      <c r="F26" s="98" t="s">
        <v>152</v>
      </c>
      <c r="G26" s="76" t="b">
        <v>0</v>
      </c>
    </row>
    <row r="27" spans="1:16" ht="13.15">
      <c r="C27" s="96"/>
      <c r="F27" s="74"/>
      <c r="G27" s="75"/>
      <c r="H27" s="75"/>
      <c r="J27" s="99"/>
    </row>
    <row r="28" spans="1:16" ht="13.15">
      <c r="B28" s="100"/>
      <c r="C28" s="96"/>
      <c r="F28" s="6" t="s">
        <v>269</v>
      </c>
      <c r="G28" s="75"/>
      <c r="H28" s="75"/>
      <c r="J28" s="99"/>
    </row>
    <row r="29" spans="1:16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6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6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6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38100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1.3680630156806977E-5</v>
      </c>
      <c r="J2" s="67" t="s">
        <v>231</v>
      </c>
      <c r="K2" s="68">
        <v>2.4033737639051413E-3</v>
      </c>
      <c r="L2" s="67" t="s">
        <v>231</v>
      </c>
      <c r="M2" s="68">
        <v>5.2945236035959929E-2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1.0167126081417029E-3</v>
      </c>
      <c r="J3" s="67" t="s">
        <v>231</v>
      </c>
      <c r="K3" s="68">
        <v>0.10949759753489129</v>
      </c>
      <c r="L3" s="67" t="s">
        <v>231</v>
      </c>
      <c r="M3" s="68">
        <v>3.6399266474919374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1.7501984135651241E-3</v>
      </c>
      <c r="J4" s="67" t="s">
        <v>231</v>
      </c>
      <c r="K4" s="68">
        <v>9.9742834919447094E-3</v>
      </c>
      <c r="L4" s="67" t="s">
        <v>231</v>
      </c>
      <c r="M4" s="68">
        <v>0.30297853333933811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1.5497674942512691E-3</v>
      </c>
      <c r="J5" s="67" t="s">
        <v>231</v>
      </c>
      <c r="K5" s="68">
        <v>3.2177041035792373E-2</v>
      </c>
      <c r="L5" s="67" t="s">
        <v>231</v>
      </c>
      <c r="M5" s="68">
        <v>1.0443839639890373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2.7842267061243156E-3</v>
      </c>
      <c r="J6" s="67" t="s">
        <v>231</v>
      </c>
      <c r="K6" s="68">
        <v>0.12793602388505501</v>
      </c>
      <c r="L6" s="67" t="s">
        <v>231</v>
      </c>
      <c r="M6" s="68">
        <v>4.2795909895364357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4.0467349114207762E-4</v>
      </c>
      <c r="J7" s="67" t="s">
        <v>231</v>
      </c>
      <c r="K7" s="68">
        <v>0.11280558644469972</v>
      </c>
      <c r="L7" s="67" t="s">
        <v>231</v>
      </c>
      <c r="M7" s="68">
        <v>3.7533367545198373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7.7778172659062877E-4</v>
      </c>
      <c r="J8" s="67" t="s">
        <v>231</v>
      </c>
      <c r="K8" s="68">
        <v>8.9808486998987802E-2</v>
      </c>
      <c r="L8" s="67" t="s">
        <v>231</v>
      </c>
      <c r="M8" s="68">
        <v>2.968065624063787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2.1802370464007396E-4</v>
      </c>
      <c r="J9" s="67" t="s">
        <v>231</v>
      </c>
      <c r="K9" s="68">
        <v>1.9110818132926397E-2</v>
      </c>
      <c r="L9" s="67" t="s">
        <v>231</v>
      </c>
      <c r="M9" s="68">
        <v>0.60773087754647104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9.3299460816238463E-4</v>
      </c>
      <c r="J10" s="67" t="s">
        <v>231</v>
      </c>
      <c r="K10" s="68">
        <v>3.4405128627458641E-2</v>
      </c>
      <c r="L10" s="67" t="s">
        <v>231</v>
      </c>
      <c r="M10" s="68">
        <v>1.1177672391862188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2.2982022429207359E-4</v>
      </c>
      <c r="J11" s="67" t="s">
        <v>231</v>
      </c>
      <c r="K11" s="68">
        <v>3.834808087964163E-2</v>
      </c>
      <c r="L11" s="67" t="s">
        <v>231</v>
      </c>
      <c r="M11" s="68">
        <v>1.2478389979018865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4.6834327634439428E-4</v>
      </c>
      <c r="J12" s="67" t="s">
        <v>231</v>
      </c>
      <c r="K12" s="68">
        <v>1.9962505740913666E-2</v>
      </c>
      <c r="L12" s="67" t="s">
        <v>231</v>
      </c>
      <c r="M12" s="68">
        <v>0.6375775442332724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1.016129704128948E-2</v>
      </c>
      <c r="J13" s="67" t="s">
        <v>232</v>
      </c>
      <c r="K13" s="68">
        <v>1.9205575259595729E-2</v>
      </c>
      <c r="L13" s="67" t="s">
        <v>231</v>
      </c>
      <c r="M13" s="68">
        <v>0.61101149549759071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2.1990116693885974E-3</v>
      </c>
      <c r="J14" s="67" t="s">
        <v>231</v>
      </c>
      <c r="K14" s="68">
        <v>5.2388142615964452E-2</v>
      </c>
      <c r="L14" s="67" t="s">
        <v>231</v>
      </c>
      <c r="M14" s="68">
        <v>1.7129966881892962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1.1016647451460948E-3</v>
      </c>
      <c r="J15" s="67" t="s">
        <v>231</v>
      </c>
      <c r="K15" s="68">
        <v>3.6340991300056025E-2</v>
      </c>
      <c r="L15" s="67" t="s">
        <v>231</v>
      </c>
      <c r="M15" s="68">
        <v>1.1815954847057306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8.1791440626754401E-4</v>
      </c>
      <c r="J16" s="67" t="s">
        <v>231</v>
      </c>
      <c r="K16" s="68">
        <v>8.8675511311582925E-2</v>
      </c>
      <c r="L16" s="67" t="s">
        <v>231</v>
      </c>
      <c r="M16" s="68">
        <v>2.9297209915183453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6.5295084416168241E-4</v>
      </c>
      <c r="J17" s="67" t="s">
        <v>231</v>
      </c>
      <c r="K17" s="68">
        <v>3.2909341763990997E-2</v>
      </c>
      <c r="L17" s="67" t="s">
        <v>231</v>
      </c>
      <c r="M17" s="68">
        <v>1.0684925750661445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1.6209206004986225E-3</v>
      </c>
      <c r="J18" s="67" t="s">
        <v>231</v>
      </c>
      <c r="K18" s="68">
        <v>1.8584087773592023E-2</v>
      </c>
      <c r="L18" s="67" t="s">
        <v>231</v>
      </c>
      <c r="M18" s="68">
        <v>0.58977191302187504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6.6983337844280962E-3</v>
      </c>
      <c r="J19" s="67" t="s">
        <v>231</v>
      </c>
      <c r="K19" s="68">
        <v>3.67370889392701E-2</v>
      </c>
      <c r="L19" s="67" t="s">
        <v>231</v>
      </c>
      <c r="M19" s="68">
        <v>1.1946630800643732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1.0514372198636209E-3</v>
      </c>
      <c r="J20" s="67" t="s">
        <v>231</v>
      </c>
      <c r="K20" s="68">
        <v>1.9208150580843755E-2</v>
      </c>
      <c r="L20" s="67" t="s">
        <v>231</v>
      </c>
      <c r="M20" s="68">
        <v>0.61109342748170858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3.168292111205348E-3</v>
      </c>
      <c r="J21" s="67" t="s">
        <v>231</v>
      </c>
      <c r="K21" s="68">
        <v>4.8028248657682369E-2</v>
      </c>
      <c r="L21" s="67" t="s">
        <v>231</v>
      </c>
      <c r="M21" s="68">
        <v>1.568233238423852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8.6555203052803427E-5</v>
      </c>
      <c r="J22" s="67" t="s">
        <v>231</v>
      </c>
      <c r="K22" s="68">
        <v>5.5299248284929872E-3</v>
      </c>
      <c r="L22" s="67" t="s">
        <v>231</v>
      </c>
      <c r="M22" s="68">
        <v>0.15660512472323823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2.9323826566442479E-5</v>
      </c>
      <c r="J23" s="67" t="s">
        <v>231</v>
      </c>
      <c r="K23" s="68">
        <v>3.1999262144521796E-3</v>
      </c>
      <c r="L23" s="67" t="s">
        <v>231</v>
      </c>
      <c r="M23" s="68">
        <v>7.9490837458158339E-2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8.1618344457146864E-5</v>
      </c>
      <c r="J24" s="67" t="s">
        <v>231</v>
      </c>
      <c r="K24" s="68">
        <v>1.5002047834279083E-2</v>
      </c>
      <c r="L24" s="67" t="s">
        <v>231</v>
      </c>
      <c r="M24" s="68">
        <v>0.46926007420683757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4.0560337137280337E-4</v>
      </c>
      <c r="J25" s="67" t="s">
        <v>231</v>
      </c>
      <c r="K25" s="68">
        <v>2.0328482304339854E-2</v>
      </c>
      <c r="L25" s="67" t="s">
        <v>231</v>
      </c>
      <c r="M25" s="68">
        <v>0.65251797859247906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8.3784929243038622E-4</v>
      </c>
      <c r="J26" s="67" t="s">
        <v>231</v>
      </c>
      <c r="K26" s="68">
        <v>4.5255053662679331E-2</v>
      </c>
      <c r="L26" s="67" t="s">
        <v>231</v>
      </c>
      <c r="M26" s="68">
        <v>1.476296295597499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5.5826420282647474E-4</v>
      </c>
      <c r="J27" s="67" t="s">
        <v>231</v>
      </c>
      <c r="K27" s="68">
        <v>0.10713413620991007</v>
      </c>
      <c r="L27" s="67" t="s">
        <v>231</v>
      </c>
      <c r="M27" s="68">
        <v>3.5586340995638741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2.9846787044770097E-4</v>
      </c>
      <c r="J28" s="67" t="s">
        <v>231</v>
      </c>
      <c r="K28" s="68">
        <v>6.6444913860015928E-2</v>
      </c>
      <c r="L28" s="67" t="s">
        <v>231</v>
      </c>
      <c r="M28" s="68">
        <v>2.1817510222628349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1.8251980642827493E-4</v>
      </c>
      <c r="J29" s="67" t="s">
        <v>231</v>
      </c>
      <c r="K29" s="68">
        <v>4.9531833159681307E-2</v>
      </c>
      <c r="L29" s="67" t="s">
        <v>231</v>
      </c>
      <c r="M29" s="68">
        <v>1.6188436721410187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2.9846787044770097E-4</v>
      </c>
      <c r="J30" s="67" t="s">
        <v>231</v>
      </c>
      <c r="K30" s="68">
        <v>6.6444913860015928E-2</v>
      </c>
      <c r="L30" s="67" t="s">
        <v>231</v>
      </c>
      <c r="M30" s="68">
        <v>2.1817510222628349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8.1348093284425089E-8</v>
      </c>
      <c r="J31" s="67" t="s">
        <v>231</v>
      </c>
      <c r="K31" s="68">
        <v>9.0388710727183381E-4</v>
      </c>
      <c r="L31" s="67" t="s">
        <v>231</v>
      </c>
      <c r="M31" s="68">
        <v>1.1402566137062643E-3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8.4254618791667049E-6</v>
      </c>
      <c r="J32" s="67" t="s">
        <v>231</v>
      </c>
      <c r="K32" s="68">
        <v>8.2016160281918153E-3</v>
      </c>
      <c r="L32" s="67" t="s">
        <v>231</v>
      </c>
      <c r="M32" s="68">
        <v>0.24296089107997654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8.133467632251601E-8</v>
      </c>
      <c r="J33" s="67" t="s">
        <v>231</v>
      </c>
      <c r="K33" s="68">
        <v>8.8967884349870901E-4</v>
      </c>
      <c r="L33" s="67" t="s">
        <v>231</v>
      </c>
      <c r="M33" s="68">
        <v>5.9132284983831509E-4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1.9359329810582636E-10</v>
      </c>
      <c r="J34" s="67" t="s">
        <v>231</v>
      </c>
      <c r="K34" s="68">
        <v>9.444274309602811E-4</v>
      </c>
      <c r="L34" s="67" t="s">
        <v>231</v>
      </c>
      <c r="M34" s="68">
        <v>4.5018631829118985E-2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1.9754049377127633E-7</v>
      </c>
      <c r="J35" s="67" t="s">
        <v>231</v>
      </c>
      <c r="K35" s="68">
        <v>9.45086367335189E-4</v>
      </c>
      <c r="L35" s="67" t="s">
        <v>231</v>
      </c>
      <c r="M35" s="68">
        <v>6.370418624270234E-2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1.8001672787485796E-7</v>
      </c>
      <c r="J36" s="67" t="s">
        <v>231</v>
      </c>
      <c r="K36" s="68">
        <v>9.0539612453014796E-4</v>
      </c>
      <c r="L36" s="67" t="s">
        <v>231</v>
      </c>
      <c r="M36" s="68">
        <v>7.7409676681529746E-2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1.9355313937247504E-6</v>
      </c>
      <c r="J37" s="67" t="s">
        <v>231</v>
      </c>
      <c r="K37" s="68">
        <v>4.5689823575868925E-3</v>
      </c>
      <c r="L37" s="67" t="s">
        <v>231</v>
      </c>
      <c r="M37" s="68">
        <v>0.17493745958736312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1.0523040783663507E-6</v>
      </c>
      <c r="J38" s="67" t="s">
        <v>231</v>
      </c>
      <c r="K38" s="68">
        <v>9.8639231704130141E-4</v>
      </c>
      <c r="L38" s="67" t="s">
        <v>231</v>
      </c>
      <c r="M38" s="68">
        <v>4.0310906385633873E-2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2.0969451176440778E-4</v>
      </c>
      <c r="J39" s="67" t="s">
        <v>231</v>
      </c>
      <c r="K39" s="68">
        <v>2.1310922777005855E-2</v>
      </c>
      <c r="L39" s="67" t="s">
        <v>231</v>
      </c>
      <c r="M39" s="68">
        <v>0.68779014119897686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8.2262939834495862E-10</v>
      </c>
      <c r="J40" s="67" t="s">
        <v>231</v>
      </c>
      <c r="K40" s="68">
        <v>6.4396505588942221E-2</v>
      </c>
      <c r="L40" s="67" t="s">
        <v>231</v>
      </c>
      <c r="M40" s="68">
        <v>5.6505582532779943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2.6242033976445458E-8</v>
      </c>
      <c r="J41" s="67" t="s">
        <v>231</v>
      </c>
      <c r="K41" s="68">
        <v>8.1285241624641166E-4</v>
      </c>
      <c r="L41" s="67" t="s">
        <v>231</v>
      </c>
      <c r="M41" s="68">
        <v>6.4445525398350542E-5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9.4580433136616244E-4</v>
      </c>
      <c r="J42" s="67" t="s">
        <v>231</v>
      </c>
      <c r="K42" s="68">
        <v>6.2554772262530091E-3</v>
      </c>
      <c r="L42" s="67" t="s">
        <v>231</v>
      </c>
      <c r="M42" s="68">
        <v>0.18047549360522699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4.7091180592470725E-9</v>
      </c>
      <c r="J43" s="67" t="s">
        <v>231</v>
      </c>
      <c r="K43" s="68">
        <v>1.7612855277442153E-3</v>
      </c>
      <c r="L43" s="67" t="s">
        <v>231</v>
      </c>
      <c r="M43" s="68">
        <v>0.16460450213366715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1.0663907577948891E-6</v>
      </c>
      <c r="J44" s="67" t="s">
        <v>231</v>
      </c>
      <c r="K44" s="68">
        <v>1.6230145063905524E-3</v>
      </c>
      <c r="L44" s="67" t="s">
        <v>231</v>
      </c>
      <c r="M44" s="68">
        <v>2.9074643403916817E-2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8.2836529048033278E-5</v>
      </c>
      <c r="J45" s="67" t="s">
        <v>231</v>
      </c>
      <c r="K45" s="68">
        <v>6.9383729249318793E-3</v>
      </c>
      <c r="L45" s="67" t="s">
        <v>231</v>
      </c>
      <c r="M45" s="68">
        <v>0.20299325284205852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1.8637585610925443E-6</v>
      </c>
      <c r="J46" s="67" t="s">
        <v>231</v>
      </c>
      <c r="K46" s="68">
        <v>6.4946879132899982E-3</v>
      </c>
      <c r="L46" s="67" t="s">
        <v>231</v>
      </c>
      <c r="M46" s="68">
        <v>0.18840984775936209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2.5805048659072048E-3</v>
      </c>
      <c r="J47" s="142" t="s">
        <v>231</v>
      </c>
      <c r="K47" s="143">
        <v>0.10989381331662594</v>
      </c>
      <c r="L47" s="142" t="s">
        <v>231</v>
      </c>
      <c r="M47" s="143">
        <v>3.6530976796840662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1.8059753465727847E-6</v>
      </c>
      <c r="J48" s="142" t="s">
        <v>231</v>
      </c>
      <c r="K48" s="143">
        <v>1.1366592793436942E-3</v>
      </c>
      <c r="L48" s="142" t="s">
        <v>231</v>
      </c>
      <c r="M48" s="143">
        <v>1.0208586468861917E-2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5.0321740822429414E-6</v>
      </c>
      <c r="J49" s="142" t="s">
        <v>231</v>
      </c>
      <c r="K49" s="143">
        <v>1.3366358649590463E-3</v>
      </c>
      <c r="L49" s="142" t="s">
        <v>231</v>
      </c>
      <c r="M49" s="143">
        <v>1.7484375574254796E-2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7.1211711226085861E-6</v>
      </c>
      <c r="J50" s="142" t="s">
        <v>231</v>
      </c>
      <c r="K50" s="143">
        <v>1.8347067681395907E-2</v>
      </c>
      <c r="L50" s="142" t="s">
        <v>231</v>
      </c>
      <c r="M50" s="143">
        <v>0.58183432449979611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4.023703206659088E-8</v>
      </c>
      <c r="J51" s="142" t="s">
        <v>231</v>
      </c>
      <c r="K51" s="143">
        <v>8.6317163195553904E-4</v>
      </c>
      <c r="L51" s="142" t="s">
        <v>231</v>
      </c>
      <c r="M51" s="143">
        <v>1.8509607743712772E-3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1.0762038663301128E-5</v>
      </c>
      <c r="J52" s="142" t="s">
        <v>231</v>
      </c>
      <c r="K52" s="143">
        <v>2.2088439678847206E-3</v>
      </c>
      <c r="L52" s="142" t="s">
        <v>231</v>
      </c>
      <c r="M52" s="143">
        <v>4.8327761624336697E-2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1.5522280170127326E-4</v>
      </c>
      <c r="J53" s="142" t="s">
        <v>231</v>
      </c>
      <c r="K53" s="143">
        <v>9.3350489791906802E-3</v>
      </c>
      <c r="L53" s="142" t="s">
        <v>231</v>
      </c>
      <c r="M53" s="143">
        <v>0.2819660754352819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8.7822983529792264E-4</v>
      </c>
      <c r="J54" s="67" t="s">
        <v>231</v>
      </c>
      <c r="K54" s="68">
        <v>0.10066425278123406</v>
      </c>
      <c r="L54" s="67" t="s">
        <v>231</v>
      </c>
      <c r="M54" s="68">
        <v>3.3370695629399654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1.7131436565210356E-4</v>
      </c>
      <c r="J55" s="67" t="s">
        <v>231</v>
      </c>
      <c r="K55" s="68">
        <v>1.3484804016554936E-2</v>
      </c>
      <c r="L55" s="67" t="s">
        <v>231</v>
      </c>
      <c r="M55" s="68">
        <v>0.42276460865286003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5.0847967014003442E-5</v>
      </c>
      <c r="J56" s="67" t="s">
        <v>231</v>
      </c>
      <c r="K56" s="68">
        <v>7.86855053449452E-3</v>
      </c>
      <c r="L56" s="67" t="s">
        <v>231</v>
      </c>
      <c r="M56" s="68">
        <v>0.25116342016102267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2.3940831545404804E-5</v>
      </c>
      <c r="J57" s="67" t="s">
        <v>231</v>
      </c>
      <c r="K57" s="68">
        <v>3.8889411550934784E-3</v>
      </c>
      <c r="L57" s="67" t="s">
        <v>231</v>
      </c>
      <c r="M57" s="68">
        <v>0.12245786283878139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2.5846473586508695E-7</v>
      </c>
      <c r="J58" s="67" t="s">
        <v>231</v>
      </c>
      <c r="K58" s="68">
        <v>1.0202095334381995E-4</v>
      </c>
      <c r="L58" s="67" t="s">
        <v>231</v>
      </c>
      <c r="M58" s="68">
        <v>1.5165758263131976E-3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5.7473503174324725E-6</v>
      </c>
      <c r="J59" s="67" t="s">
        <v>231</v>
      </c>
      <c r="K59" s="68">
        <v>1.492739622448308E-3</v>
      </c>
      <c r="L59" s="67" t="s">
        <v>231</v>
      </c>
      <c r="M59" s="68">
        <v>4.6959879064735685E-2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8.9712145290937553E-8</v>
      </c>
      <c r="J60" s="67" t="s">
        <v>231</v>
      </c>
      <c r="K60" s="68">
        <v>2.6123637458565504E-5</v>
      </c>
      <c r="L60" s="67" t="s">
        <v>231</v>
      </c>
      <c r="M60" s="68">
        <v>8.1091837870571218E-4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3.3756086463825004E-2</v>
      </c>
      <c r="J61" s="67" t="s">
        <v>232</v>
      </c>
      <c r="K61" s="68">
        <v>1.1767084456483327E-2</v>
      </c>
      <c r="L61" s="67" t="s">
        <v>231</v>
      </c>
      <c r="M61" s="68">
        <v>0.36211201548312538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3.7990107717386172E-5</v>
      </c>
      <c r="J62" s="67" t="s">
        <v>231</v>
      </c>
      <c r="K62" s="68">
        <v>5.1409057115849775E-2</v>
      </c>
      <c r="L62" s="67" t="s">
        <v>231</v>
      </c>
      <c r="M62" s="68">
        <v>1.6804586885376307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2.6918623910829928E-4</v>
      </c>
      <c r="J63" s="67" t="s">
        <v>231</v>
      </c>
      <c r="K63" s="68">
        <v>0.12395410417806409</v>
      </c>
      <c r="L63" s="67" t="s">
        <v>231</v>
      </c>
      <c r="M63" s="68">
        <v>4.1400681211021677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1.9574306597250471E-4</v>
      </c>
      <c r="J64" s="67" t="s">
        <v>231</v>
      </c>
      <c r="K64" s="68">
        <v>0.14135037218915106</v>
      </c>
      <c r="L64" s="67" t="s">
        <v>231</v>
      </c>
      <c r="M64" s="68">
        <v>4.7579318259997523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3.0095313362110357E-4</v>
      </c>
      <c r="J65" s="67" t="s">
        <v>231</v>
      </c>
      <c r="K65" s="68">
        <v>0.15346358516540456</v>
      </c>
      <c r="L65" s="67" t="s">
        <v>231</v>
      </c>
      <c r="M65" s="68">
        <v>5.2113171898539656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1.1839879874805256E-6</v>
      </c>
      <c r="J66" s="67" t="s">
        <v>231</v>
      </c>
      <c r="K66" s="68">
        <v>0.14742577905490836</v>
      </c>
      <c r="L66" s="67" t="s">
        <v>231</v>
      </c>
      <c r="M66" s="68">
        <v>4.9813127603832514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3.726127015455592E-4</v>
      </c>
      <c r="J67" s="67" t="s">
        <v>231</v>
      </c>
      <c r="K67" s="68">
        <v>1.93495356854929E-3</v>
      </c>
      <c r="L67" s="67" t="s">
        <v>231</v>
      </c>
      <c r="M67" s="68">
        <v>3.7346456853310561E-2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1.4827389465203061E-4</v>
      </c>
      <c r="J68" s="67" t="s">
        <v>231</v>
      </c>
      <c r="K68" s="68">
        <v>2.6835350102162592E-3</v>
      </c>
      <c r="L68" s="67" t="s">
        <v>231</v>
      </c>
      <c r="M68" s="68">
        <v>6.2572611632213046E-2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2.1082527715452759E-7</v>
      </c>
      <c r="J69" s="67" t="s">
        <v>231</v>
      </c>
      <c r="K69" s="68">
        <v>8.6933638300221633E-2</v>
      </c>
      <c r="L69" s="67" t="s">
        <v>231</v>
      </c>
      <c r="M69" s="68">
        <v>2.870846807751132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2.2232843021917904E-4</v>
      </c>
      <c r="J70" s="67" t="s">
        <v>231</v>
      </c>
      <c r="K70" s="68">
        <v>2.0374973465217543E-2</v>
      </c>
      <c r="L70" s="67" t="s">
        <v>231</v>
      </c>
      <c r="M70" s="68">
        <v>0.65295718791287116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2.7740753577625059E-4</v>
      </c>
      <c r="J71" s="67" t="s">
        <v>231</v>
      </c>
      <c r="K71" s="68">
        <v>2.5051860239347088E-3</v>
      </c>
      <c r="L71" s="67" t="s">
        <v>231</v>
      </c>
      <c r="M71" s="68">
        <v>5.7017394788052927E-2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1.344746707523749E-6</v>
      </c>
      <c r="J72" s="67" t="s">
        <v>231</v>
      </c>
      <c r="K72" s="68">
        <v>2.0009254947845601E-2</v>
      </c>
      <c r="L72" s="67" t="s">
        <v>231</v>
      </c>
      <c r="M72" s="68">
        <v>0.64041202916421391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4.8851835401037234E-3</v>
      </c>
      <c r="J73" s="67" t="s">
        <v>231</v>
      </c>
      <c r="K73" s="68">
        <v>1.2133791008442413E-2</v>
      </c>
      <c r="L73" s="67" t="s">
        <v>231</v>
      </c>
      <c r="M73" s="68">
        <v>0.37457027813428484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4.6587693516463365E-2</v>
      </c>
      <c r="J74" s="67" t="s">
        <v>232</v>
      </c>
      <c r="K74" s="68">
        <v>2.0297270943726672E-2</v>
      </c>
      <c r="L74" s="67" t="s">
        <v>231</v>
      </c>
      <c r="M74" s="68">
        <v>0.65022998348366801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2.274909762132679E-13</v>
      </c>
      <c r="J75" s="67" t="s">
        <v>231</v>
      </c>
      <c r="K75" s="68">
        <v>5.5985443379991239E-3</v>
      </c>
      <c r="L75" s="67" t="s">
        <v>231</v>
      </c>
      <c r="M75" s="68">
        <v>0.55008201662488776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1.2515370549297065E-13</v>
      </c>
      <c r="J76" s="67" t="s">
        <v>231</v>
      </c>
      <c r="K76" s="68">
        <v>5.5985443410037413E-3</v>
      </c>
      <c r="L76" s="67" t="s">
        <v>231</v>
      </c>
      <c r="M76" s="68">
        <v>0.55008201692010483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2.5044854970454888E-7</v>
      </c>
      <c r="J77" s="67" t="s">
        <v>231</v>
      </c>
      <c r="K77" s="68">
        <v>1.7008746958502637E-2</v>
      </c>
      <c r="L77" s="67" t="s">
        <v>231</v>
      </c>
      <c r="M77" s="68">
        <v>0.53716333383965065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9.104961202237472E-4</v>
      </c>
      <c r="J78" s="67" t="s">
        <v>231</v>
      </c>
      <c r="K78" s="68">
        <v>5.7323160865981413E-3</v>
      </c>
      <c r="L78" s="67" t="s">
        <v>231</v>
      </c>
      <c r="M78" s="68">
        <v>0.16408798488987011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1.6809259984163221E-5</v>
      </c>
      <c r="J79" s="67" t="s">
        <v>231</v>
      </c>
      <c r="K79" s="68">
        <v>9.4846818202833708E-3</v>
      </c>
      <c r="L79" s="67" t="s">
        <v>231</v>
      </c>
      <c r="M79" s="68">
        <v>0.28704528585955696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1.3540231068463006E-14</v>
      </c>
      <c r="J80" s="67" t="s">
        <v>231</v>
      </c>
      <c r="K80" s="68">
        <v>1.0867350692220456E-2</v>
      </c>
      <c r="L80" s="67" t="s">
        <v>231</v>
      </c>
      <c r="M80" s="68">
        <v>1.0683250353078542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2.204386824211214E-5</v>
      </c>
      <c r="J81" s="67" t="s">
        <v>231</v>
      </c>
      <c r="K81" s="68">
        <v>9.1659183399782612E-4</v>
      </c>
      <c r="L81" s="67" t="s">
        <v>231</v>
      </c>
      <c r="M81" s="68">
        <v>1.6866484710963494E-3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3.3356647786976604E-5</v>
      </c>
      <c r="J82" s="67" t="s">
        <v>231</v>
      </c>
      <c r="K82" s="68">
        <v>3.1115315178982172E-3</v>
      </c>
      <c r="L82" s="67" t="s">
        <v>231</v>
      </c>
      <c r="M82" s="68">
        <v>7.6553195666870633E-2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2.7753145597335515E-5</v>
      </c>
      <c r="J83" s="67" t="s">
        <v>231</v>
      </c>
      <c r="K83" s="68">
        <v>1.6571743251705663E-2</v>
      </c>
      <c r="L83" s="67" t="s">
        <v>231</v>
      </c>
      <c r="M83" s="68">
        <v>0.52166011974873538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6.0664198152055135E-6</v>
      </c>
      <c r="J84" s="67" t="s">
        <v>231</v>
      </c>
      <c r="K84" s="68">
        <v>1.0524400990116938E-3</v>
      </c>
      <c r="L84" s="67" t="s">
        <v>231</v>
      </c>
      <c r="M84" s="68">
        <v>6.8358709566728832E-3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3.3100041987419607E-8</v>
      </c>
      <c r="J85" s="67" t="s">
        <v>231</v>
      </c>
      <c r="K85" s="68">
        <v>8.8803883979829802E-4</v>
      </c>
      <c r="L85" s="67" t="s">
        <v>231</v>
      </c>
      <c r="M85" s="68">
        <v>3.4595438302767261E-4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2.3806204197933812E-6</v>
      </c>
      <c r="J86" s="67" t="s">
        <v>231</v>
      </c>
      <c r="K86" s="68">
        <v>1.044163520971781E-3</v>
      </c>
      <c r="L86" s="67" t="s">
        <v>231</v>
      </c>
      <c r="M86" s="68">
        <v>6.5355693064270588E-3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2.986050336849992E-3</v>
      </c>
      <c r="J87" s="67" t="s">
        <v>231</v>
      </c>
      <c r="K87" s="68">
        <v>0.11563342544143548</v>
      </c>
      <c r="L87" s="67" t="s">
        <v>231</v>
      </c>
      <c r="M87" s="68">
        <v>3.850959699301606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9.8676235588199748E-5</v>
      </c>
      <c r="J88" s="67" t="s">
        <v>231</v>
      </c>
      <c r="K88" s="68">
        <v>4.8914405865927218E-3</v>
      </c>
      <c r="L88" s="67" t="s">
        <v>231</v>
      </c>
      <c r="M88" s="68">
        <v>0.13548490645850847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2.6867455457526229E-5</v>
      </c>
      <c r="J89" s="67" t="s">
        <v>231</v>
      </c>
      <c r="K89" s="68">
        <v>3.3855993109470949E-3</v>
      </c>
      <c r="L89" s="67" t="s">
        <v>231</v>
      </c>
      <c r="M89" s="68">
        <v>8.5654006335150426E-2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1.7614894009031485E-6</v>
      </c>
      <c r="J90" s="67" t="s">
        <v>231</v>
      </c>
      <c r="K90" s="68">
        <v>1.5058196686177495E-3</v>
      </c>
      <c r="L90" s="67" t="s">
        <v>231</v>
      </c>
      <c r="M90" s="68">
        <v>2.2655866444598702E-2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2.3039309574605965E-3</v>
      </c>
      <c r="J91" s="67" t="s">
        <v>231</v>
      </c>
      <c r="K91" s="68">
        <v>5.6410113549465138E-2</v>
      </c>
      <c r="L91" s="67" t="s">
        <v>231</v>
      </c>
      <c r="M91" s="68">
        <v>1.846804818080201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1.8536181798869549E-2</v>
      </c>
      <c r="J92" s="67" t="s">
        <v>232</v>
      </c>
      <c r="K92" s="68">
        <v>1.4909085613257669E-2</v>
      </c>
      <c r="L92" s="67" t="s">
        <v>231</v>
      </c>
      <c r="M92" s="68">
        <v>0.46616626024690078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5.671072034760501E-3</v>
      </c>
      <c r="J93" s="67" t="s">
        <v>231</v>
      </c>
      <c r="K93" s="68">
        <v>1.9926653350737282E-2</v>
      </c>
      <c r="L93" s="67" t="s">
        <v>231</v>
      </c>
      <c r="M93" s="68">
        <v>0.63630788161656637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6.4825009339918646E-9</v>
      </c>
      <c r="J94" s="67" t="s">
        <v>231</v>
      </c>
      <c r="K94" s="68">
        <v>9.1539625448357599E-4</v>
      </c>
      <c r="L94" s="67" t="s">
        <v>231</v>
      </c>
      <c r="M94" s="68">
        <v>1.1879139028915631E-2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4.4106268558288917E-5</v>
      </c>
      <c r="J95" s="67" t="s">
        <v>231</v>
      </c>
      <c r="K95" s="68">
        <v>2.838220043181253E-2</v>
      </c>
      <c r="L95" s="67" t="s">
        <v>231</v>
      </c>
      <c r="M95" s="68">
        <v>0.91959399059469915</v>
      </c>
      <c r="N95" s="67" t="s">
        <v>231</v>
      </c>
      <c r="O95" s="65"/>
      <c r="P95" s="102"/>
    </row>
    <row r="96" spans="1:16">
      <c r="A96" s="65" t="s">
        <v>470</v>
      </c>
      <c r="B96" s="167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9.7202912940228037E-8</v>
      </c>
      <c r="J96" s="67" t="s">
        <v>231</v>
      </c>
      <c r="K96" s="68">
        <v>9.194891362514357E-4</v>
      </c>
      <c r="L96" s="67" t="s">
        <v>231</v>
      </c>
      <c r="M96" s="68">
        <v>1.8070113939773526E-3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3.4453562560560149E-8</v>
      </c>
      <c r="J97" s="67" t="s">
        <v>231</v>
      </c>
      <c r="K97" s="68">
        <v>1.0567257046490677E-3</v>
      </c>
      <c r="L97" s="67" t="s">
        <v>231</v>
      </c>
      <c r="M97" s="68">
        <v>6.9910217001821848E-3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8.663538562113771E-6</v>
      </c>
      <c r="J98" s="67" t="s">
        <v>231</v>
      </c>
      <c r="K98" s="68">
        <v>2.0683745919383476E-2</v>
      </c>
      <c r="L98" s="67" t="s">
        <v>231</v>
      </c>
      <c r="M98" s="68">
        <v>0.66461979243281932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4.2014777949988691E-8</v>
      </c>
      <c r="J99" s="67" t="s">
        <v>231</v>
      </c>
      <c r="K99" s="68">
        <v>8.8583611592065283E-4</v>
      </c>
      <c r="L99" s="67" t="s">
        <v>231</v>
      </c>
      <c r="M99" s="68">
        <v>1.7829692906413039E-4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5.0065011760097036E-5</v>
      </c>
      <c r="J100" s="67" t="s">
        <v>231</v>
      </c>
      <c r="K100" s="68">
        <v>8.6455151268864609E-3</v>
      </c>
      <c r="L100" s="67" t="s">
        <v>231</v>
      </c>
      <c r="M100" s="68">
        <v>0.25920247425610665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1.3100056640848539E-5</v>
      </c>
      <c r="J101" s="67" t="s">
        <v>231</v>
      </c>
      <c r="K101" s="68">
        <v>8.8979222444988699E-4</v>
      </c>
      <c r="L101" s="67" t="s">
        <v>231</v>
      </c>
      <c r="M101" s="68">
        <v>4.518316088954591E-4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6.4572477093981332E-11</v>
      </c>
      <c r="J102" s="67" t="s">
        <v>231</v>
      </c>
      <c r="K102" s="68">
        <v>8.8547570287532212E-4</v>
      </c>
      <c r="L102" s="67" t="s">
        <v>231</v>
      </c>
      <c r="M102" s="68">
        <v>3.8258576453936667E-5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9.1914728147750153E-9</v>
      </c>
      <c r="J103" s="67" t="s">
        <v>231</v>
      </c>
      <c r="K103" s="68">
        <v>8.8574048421200566E-4</v>
      </c>
      <c r="L103" s="67" t="s">
        <v>231</v>
      </c>
      <c r="M103" s="68">
        <v>1.6821457472162874E-4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4.2195397940591065E-7</v>
      </c>
      <c r="J104" s="67" t="s">
        <v>231</v>
      </c>
      <c r="K104" s="68">
        <v>9.7136007689326313E-4</v>
      </c>
      <c r="L104" s="67" t="s">
        <v>231</v>
      </c>
      <c r="M104" s="68">
        <v>3.841891168320235E-3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5.8084763262065913E-8</v>
      </c>
      <c r="J105" s="67" t="s">
        <v>231</v>
      </c>
      <c r="K105" s="68">
        <v>8.8533823051519477E-4</v>
      </c>
      <c r="L105" s="67" t="s">
        <v>231</v>
      </c>
      <c r="M105" s="68">
        <v>5.3046311831381687E-5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5.0694973167699929E-7</v>
      </c>
      <c r="J106" s="67" t="s">
        <v>231</v>
      </c>
      <c r="K106" s="68">
        <v>1.8557208875712929E-3</v>
      </c>
      <c r="L106" s="67" t="s">
        <v>231</v>
      </c>
      <c r="M106" s="68">
        <v>3.4541877417280799E-2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6.184234115652177E-5</v>
      </c>
      <c r="J107" s="67" t="s">
        <v>231</v>
      </c>
      <c r="K107" s="68">
        <v>2.0797855271009975E-2</v>
      </c>
      <c r="L107" s="67" t="s">
        <v>231</v>
      </c>
      <c r="M107" s="68">
        <v>0.66977586564957881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6.7492440937339887E-5</v>
      </c>
      <c r="J108" s="67" t="s">
        <v>231</v>
      </c>
      <c r="K108" s="68">
        <v>7.3039436791995718E-3</v>
      </c>
      <c r="L108" s="67" t="s">
        <v>231</v>
      </c>
      <c r="M108" s="68">
        <v>0.21501796005376236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0.82088613579936975</v>
      </c>
      <c r="F2" s="14">
        <v>0.77625942956007232</v>
      </c>
      <c r="G2" s="14">
        <v>1.0086845678071074E-6</v>
      </c>
      <c r="H2" s="14">
        <v>10.488826189730931</v>
      </c>
      <c r="I2" s="14">
        <v>28.286815614592204</v>
      </c>
      <c r="J2" s="14">
        <v>0</v>
      </c>
      <c r="K2" s="14">
        <v>1.28822911763755</v>
      </c>
      <c r="L2" s="14">
        <v>0.77625942956007243</v>
      </c>
      <c r="M2" s="14">
        <v>0.63692086195403941</v>
      </c>
      <c r="N2" s="14">
        <v>2.4033737639051416</v>
      </c>
      <c r="O2" s="14">
        <v>442.48514367257565</v>
      </c>
      <c r="P2" s="8">
        <v>2.4033737639051416</v>
      </c>
      <c r="Q2" s="54">
        <v>0.12072134336706949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0.90588592960764736</v>
      </c>
      <c r="F3" s="14">
        <v>6.6068223876357922E-4</v>
      </c>
      <c r="G3" s="14">
        <v>4.0060938520847761E-5</v>
      </c>
      <c r="H3" s="14">
        <v>69.357372430635323</v>
      </c>
      <c r="I3" s="14">
        <v>1740.0022205594109</v>
      </c>
      <c r="J3" s="14">
        <v>0</v>
      </c>
      <c r="K3" s="14">
        <v>1513.5869277664106</v>
      </c>
      <c r="L3" s="14">
        <v>6.6068223876357922E-4</v>
      </c>
      <c r="M3" s="14">
        <v>5.4208977690551675E-4</v>
      </c>
      <c r="N3" s="14">
        <v>109.49759753489128</v>
      </c>
      <c r="O3" s="14">
        <v>39956.768316457186</v>
      </c>
      <c r="P3" s="8">
        <v>109.4975975348913</v>
      </c>
      <c r="Q3" s="54">
        <v>5.5660845941996821E-2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0.66502163038690532</v>
      </c>
      <c r="F4" s="14">
        <v>0.35506826573797218</v>
      </c>
      <c r="G4" s="14">
        <v>4.9038857851109209E-14</v>
      </c>
      <c r="H4" s="14">
        <v>71.435133209527862</v>
      </c>
      <c r="I4" s="14">
        <v>157.89523708337697</v>
      </c>
      <c r="J4" s="14">
        <v>0</v>
      </c>
      <c r="K4" s="14">
        <v>2.8163598285011608</v>
      </c>
      <c r="L4" s="14">
        <v>0.35506826573797218</v>
      </c>
      <c r="M4" s="14">
        <v>0.29133351203800617</v>
      </c>
      <c r="N4" s="14">
        <v>9.9742834919447105</v>
      </c>
      <c r="O4" s="14">
        <v>3165.0396376638955</v>
      </c>
      <c r="P4" s="8">
        <v>9.9742834919447105</v>
      </c>
      <c r="Q4" s="54">
        <v>0.22561555034611572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0.88083011101598396</v>
      </c>
      <c r="F5" s="14">
        <v>6.9566506559681279E-3</v>
      </c>
      <c r="G5" s="14">
        <v>1.3362529669588954E-6</v>
      </c>
      <c r="H5" s="14">
        <v>192.5130589506123</v>
      </c>
      <c r="I5" s="14">
        <v>517.27008830289139</v>
      </c>
      <c r="J5" s="14">
        <v>0</v>
      </c>
      <c r="K5" s="14">
        <v>143.74733610377538</v>
      </c>
      <c r="L5" s="14">
        <v>6.9566506559681288E-3</v>
      </c>
      <c r="M5" s="14">
        <v>5.7079318632218493E-3</v>
      </c>
      <c r="N5" s="14">
        <v>32.177041035792371</v>
      </c>
      <c r="O5" s="14">
        <v>11280.948816738448</v>
      </c>
      <c r="P5" s="8">
        <v>32.177041035792371</v>
      </c>
      <c r="Q5" s="54">
        <v>7.876211424807987E-2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0.92718977131736191</v>
      </c>
      <c r="F6" s="14">
        <v>2.9767493294104641E-4</v>
      </c>
      <c r="G6" s="14">
        <v>1.3150151375360555E-7</v>
      </c>
      <c r="H6" s="14">
        <v>44.565857210800168</v>
      </c>
      <c r="I6" s="14">
        <v>2026.5598548155267</v>
      </c>
      <c r="J6" s="14">
        <v>0</v>
      </c>
      <c r="K6" s="14">
        <v>3359.3691955178733</v>
      </c>
      <c r="L6" s="14">
        <v>2.9767493294104641E-4</v>
      </c>
      <c r="M6" s="14">
        <v>2.442422824781286E-4</v>
      </c>
      <c r="N6" s="14">
        <v>127.93602388505501</v>
      </c>
      <c r="O6" s="14">
        <v>45352.041107013152</v>
      </c>
      <c r="P6" s="8">
        <v>127.93602388505501</v>
      </c>
      <c r="Q6" s="54">
        <v>4.2791689658822858E-2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0.91178698063748165</v>
      </c>
      <c r="F7" s="14">
        <v>5.9204883607084328E-4</v>
      </c>
      <c r="G7" s="14">
        <v>1.9295054932957271E-7</v>
      </c>
      <c r="H7" s="14">
        <v>65.46626010410867</v>
      </c>
      <c r="I7" s="14">
        <v>1791.7388165639406</v>
      </c>
      <c r="J7" s="14">
        <v>0</v>
      </c>
      <c r="K7" s="14">
        <v>1689.0498537866258</v>
      </c>
      <c r="L7" s="14">
        <v>5.9204883607084338E-4</v>
      </c>
      <c r="M7" s="14">
        <v>4.85776069996127E-4</v>
      </c>
      <c r="N7" s="14">
        <v>112.80558644469971</v>
      </c>
      <c r="O7" s="14">
        <v>39988.452338781601</v>
      </c>
      <c r="P7" s="8">
        <v>112.80558644469971</v>
      </c>
      <c r="Q7" s="54">
        <v>5.3935499166340578E-2</v>
      </c>
    </row>
    <row r="8" spans="1:20">
      <c r="A8" s="2" t="s">
        <v>323</v>
      </c>
      <c r="B8" s="16" t="s">
        <v>324</v>
      </c>
      <c r="D8" s="14">
        <v>1</v>
      </c>
      <c r="E8" s="14">
        <v>0.89355176176490081</v>
      </c>
      <c r="F8" s="14">
        <v>1.3105497109575702E-3</v>
      </c>
      <c r="G8" s="14">
        <v>1.8109313482088858E-6</v>
      </c>
      <c r="H8" s="14">
        <v>99.008732096793608</v>
      </c>
      <c r="I8" s="14">
        <v>1431.2999949778361</v>
      </c>
      <c r="J8" s="14">
        <v>0</v>
      </c>
      <c r="K8" s="14">
        <v>763.0385872729214</v>
      </c>
      <c r="L8" s="14">
        <v>1.3105497109575704E-3</v>
      </c>
      <c r="M8" s="14">
        <v>1.0753060378406864E-3</v>
      </c>
      <c r="N8" s="14">
        <v>89.808486998987803</v>
      </c>
      <c r="O8" s="14">
        <v>28742.308179156058</v>
      </c>
      <c r="P8" s="8">
        <v>89.808486998987803</v>
      </c>
      <c r="Q8" s="54">
        <v>6.7286923168051072E-2</v>
      </c>
    </row>
    <row r="9" spans="1:20">
      <c r="A9" s="2" t="s">
        <v>325</v>
      </c>
      <c r="B9" s="16" t="s">
        <v>326</v>
      </c>
      <c r="D9" s="14">
        <v>1</v>
      </c>
      <c r="E9" s="14">
        <v>0.77494898492738284</v>
      </c>
      <c r="F9" s="14">
        <v>5.9655611597434537E-2</v>
      </c>
      <c r="G9" s="14">
        <v>1.1278199958207983E-6</v>
      </c>
      <c r="H9" s="14">
        <v>169.98527512824819</v>
      </c>
      <c r="I9" s="14">
        <v>309.07827040781916</v>
      </c>
      <c r="J9" s="14">
        <v>0</v>
      </c>
      <c r="K9" s="14">
        <v>16.762882371371152</v>
      </c>
      <c r="L9" s="14">
        <v>5.9655611597434544E-2</v>
      </c>
      <c r="M9" s="14">
        <v>4.894742931569504E-2</v>
      </c>
      <c r="N9" s="14">
        <v>19.110818132926397</v>
      </c>
      <c r="O9" s="14">
        <v>5816.3774987561492</v>
      </c>
      <c r="P9" s="8">
        <v>19.110818132926397</v>
      </c>
      <c r="Q9" s="54">
        <v>0.15089278464465081</v>
      </c>
    </row>
    <row r="10" spans="1:20">
      <c r="A10" s="2" t="s">
        <v>275</v>
      </c>
      <c r="B10" s="16" t="s">
        <v>276</v>
      </c>
      <c r="D10" s="14">
        <v>1</v>
      </c>
      <c r="E10" s="14">
        <v>0.88011381926799237</v>
      </c>
      <c r="F10" s="14">
        <v>6.4704036812635955E-3</v>
      </c>
      <c r="G10" s="14">
        <v>1.7170378325691986E-8</v>
      </c>
      <c r="H10" s="14">
        <v>188.60420734411886</v>
      </c>
      <c r="I10" s="14">
        <v>552.85157023392662</v>
      </c>
      <c r="J10" s="14">
        <v>0</v>
      </c>
      <c r="K10" s="14">
        <v>154.54986261455505</v>
      </c>
      <c r="L10" s="14">
        <v>6.4704036812635955E-3</v>
      </c>
      <c r="M10" s="14">
        <v>5.3089662204767801E-3</v>
      </c>
      <c r="N10" s="14">
        <v>34.405128627458637</v>
      </c>
      <c r="O10" s="14">
        <v>12746.756105187153</v>
      </c>
      <c r="P10" s="8">
        <v>34.405128627458645</v>
      </c>
      <c r="Q10" s="54">
        <v>7.9215204449592139E-2</v>
      </c>
    </row>
    <row r="11" spans="1:20">
      <c r="A11" s="2" t="s">
        <v>327</v>
      </c>
      <c r="B11" s="16" t="s">
        <v>328</v>
      </c>
      <c r="D11" s="14">
        <v>1</v>
      </c>
      <c r="E11" s="14">
        <v>0.87898403378386947</v>
      </c>
      <c r="F11" s="14">
        <v>5.7166098624725267E-3</v>
      </c>
      <c r="G11" s="14">
        <v>8.9451379369200371E-7</v>
      </c>
      <c r="H11" s="14">
        <v>181.70151743684363</v>
      </c>
      <c r="I11" s="14">
        <v>615.7660279039319</v>
      </c>
      <c r="J11" s="14">
        <v>0</v>
      </c>
      <c r="K11" s="14">
        <v>174.92885189955638</v>
      </c>
      <c r="L11" s="14">
        <v>5.7166098624725267E-3</v>
      </c>
      <c r="M11" s="14">
        <v>4.6904783921587088E-3</v>
      </c>
      <c r="N11" s="14">
        <v>38.348080879641628</v>
      </c>
      <c r="O11" s="14">
        <v>14607.167487864293</v>
      </c>
      <c r="P11" s="8">
        <v>38.348080879641628</v>
      </c>
      <c r="Q11" s="54">
        <v>7.9728891320280118E-2</v>
      </c>
    </row>
    <row r="12" spans="1:20">
      <c r="A12" s="2" t="s">
        <v>329</v>
      </c>
      <c r="B12" s="16" t="s">
        <v>330</v>
      </c>
      <c r="D12" s="14">
        <v>1</v>
      </c>
      <c r="E12" s="14">
        <v>0.80981678383339917</v>
      </c>
      <c r="F12" s="14">
        <v>3.8292437537589034E-2</v>
      </c>
      <c r="G12" s="14">
        <v>5.9014876184944332E-7</v>
      </c>
      <c r="H12" s="14">
        <v>184.47308582672008</v>
      </c>
      <c r="I12" s="14">
        <v>322.69347463572319</v>
      </c>
      <c r="J12" s="14">
        <v>0</v>
      </c>
      <c r="K12" s="14">
        <v>26.114817031910523</v>
      </c>
      <c r="L12" s="14">
        <v>3.8292437537589034E-2</v>
      </c>
      <c r="M12" s="14">
        <v>3.1418944999591802E-2</v>
      </c>
      <c r="N12" s="14">
        <v>19.962505740913667</v>
      </c>
      <c r="O12" s="14">
        <v>5477.7115753067092</v>
      </c>
      <c r="P12" s="8">
        <v>19.962505740913667</v>
      </c>
      <c r="Q12" s="54">
        <v>0.12734742955910228</v>
      </c>
    </row>
    <row r="13" spans="1:20">
      <c r="A13" s="2" t="s">
        <v>277</v>
      </c>
      <c r="B13" s="16" t="s">
        <v>278</v>
      </c>
      <c r="D13" s="14">
        <v>1</v>
      </c>
      <c r="E13" s="14">
        <v>0.77828846881950053</v>
      </c>
      <c r="F13" s="14">
        <v>5.7236013980004233E-2</v>
      </c>
      <c r="G13" s="14">
        <v>1.7554071734797959E-6</v>
      </c>
      <c r="H13" s="14">
        <v>171.45469462198062</v>
      </c>
      <c r="I13" s="14">
        <v>310.60364778531431</v>
      </c>
      <c r="J13" s="14">
        <v>0</v>
      </c>
      <c r="K13" s="14">
        <v>17.47151715263324</v>
      </c>
      <c r="L13" s="14">
        <v>5.723601398000424E-2</v>
      </c>
      <c r="M13" s="14">
        <v>4.6962149470593476E-2</v>
      </c>
      <c r="N13" s="14">
        <v>19.205575259595729</v>
      </c>
      <c r="O13" s="14">
        <v>7815.3247403872901</v>
      </c>
      <c r="P13" s="8">
        <v>19.205575259595729</v>
      </c>
      <c r="Q13" s="54">
        <v>0.14859580595848154</v>
      </c>
    </row>
    <row r="14" spans="1:20">
      <c r="A14" s="2" t="s">
        <v>331</v>
      </c>
      <c r="B14" s="16" t="s">
        <v>332</v>
      </c>
      <c r="D14" s="14">
        <v>1</v>
      </c>
      <c r="E14" s="14">
        <v>0.87849502391072665</v>
      </c>
      <c r="F14" s="14">
        <v>3.7999381104587685E-3</v>
      </c>
      <c r="G14" s="14">
        <v>5.9715216474863851E-7</v>
      </c>
      <c r="H14" s="14">
        <v>157.96341833826696</v>
      </c>
      <c r="I14" s="14">
        <v>839.29317999378748</v>
      </c>
      <c r="J14" s="14">
        <v>0</v>
      </c>
      <c r="K14" s="14">
        <v>263.16218078595745</v>
      </c>
      <c r="L14" s="14">
        <v>3.7999381104587685E-3</v>
      </c>
      <c r="M14" s="14">
        <v>3.1178492196314196E-3</v>
      </c>
      <c r="N14" s="14">
        <v>52.388142615964448</v>
      </c>
      <c r="O14" s="14">
        <v>19955.167403847019</v>
      </c>
      <c r="P14" s="8">
        <v>52.388142615964448</v>
      </c>
      <c r="Q14" s="54">
        <v>7.9380475140716431E-2</v>
      </c>
    </row>
    <row r="15" spans="1:20">
      <c r="A15" s="2" t="s">
        <v>333</v>
      </c>
      <c r="B15" s="16" t="s">
        <v>334</v>
      </c>
      <c r="D15" s="14">
        <v>1</v>
      </c>
      <c r="E15" s="14">
        <v>0.87953510690189574</v>
      </c>
      <c r="F15" s="14">
        <v>6.0848352322384535E-3</v>
      </c>
      <c r="G15" s="14">
        <v>9.7363754001267278E-10</v>
      </c>
      <c r="H15" s="14">
        <v>185.21187259266631</v>
      </c>
      <c r="I15" s="14">
        <v>583.74879016128807</v>
      </c>
      <c r="J15" s="14">
        <v>0</v>
      </c>
      <c r="K15" s="14">
        <v>164.34298741596751</v>
      </c>
      <c r="L15" s="14">
        <v>6.0848352322384535E-3</v>
      </c>
      <c r="M15" s="14">
        <v>4.9926073080516515E-3</v>
      </c>
      <c r="N15" s="14">
        <v>36.340991300056025</v>
      </c>
      <c r="O15" s="14">
        <v>13972.384335045541</v>
      </c>
      <c r="P15" s="8">
        <v>36.340991300056025</v>
      </c>
      <c r="Q15" s="54">
        <v>7.9510776261865854E-2</v>
      </c>
    </row>
    <row r="16" spans="1:20">
      <c r="A16" s="2" t="s">
        <v>335</v>
      </c>
      <c r="B16" s="16" t="s">
        <v>336</v>
      </c>
      <c r="D16" s="14">
        <v>1</v>
      </c>
      <c r="E16" s="14">
        <v>0.89260212792985105</v>
      </c>
      <c r="F16" s="14">
        <v>1.3555834650087731E-3</v>
      </c>
      <c r="G16" s="14">
        <v>4.7038639321948472E-6</v>
      </c>
      <c r="H16" s="14">
        <v>100.65289317652301</v>
      </c>
      <c r="I16" s="14">
        <v>1413.4597097872204</v>
      </c>
      <c r="J16" s="14">
        <v>0</v>
      </c>
      <c r="K16" s="14">
        <v>737.68972978253919</v>
      </c>
      <c r="L16" s="14">
        <v>1.3555834650087731E-3</v>
      </c>
      <c r="M16" s="14">
        <v>1.1122562330396985E-3</v>
      </c>
      <c r="N16" s="14">
        <v>88.675511311582923</v>
      </c>
      <c r="O16" s="14">
        <v>33104.341882840134</v>
      </c>
      <c r="P16" s="8">
        <v>88.675511311582923</v>
      </c>
      <c r="Q16" s="54">
        <v>6.7808390108523853E-2</v>
      </c>
    </row>
    <row r="17" spans="1:21">
      <c r="A17" s="2" t="s">
        <v>337</v>
      </c>
      <c r="B17" s="16" t="s">
        <v>338</v>
      </c>
      <c r="D17" s="14">
        <v>1</v>
      </c>
      <c r="E17" s="14">
        <v>0.88062055248531634</v>
      </c>
      <c r="F17" s="14">
        <v>6.7919035285199381E-3</v>
      </c>
      <c r="G17" s="14">
        <v>3.4324166208256294E-7</v>
      </c>
      <c r="H17" s="14">
        <v>191.23681789996704</v>
      </c>
      <c r="I17" s="14">
        <v>528.96712214281058</v>
      </c>
      <c r="J17" s="14">
        <v>0</v>
      </c>
      <c r="K17" s="14">
        <v>147.23412895970796</v>
      </c>
      <c r="L17" s="14">
        <v>6.7919035285199381E-3</v>
      </c>
      <c r="M17" s="14">
        <v>5.5727568451506091E-3</v>
      </c>
      <c r="N17" s="14">
        <v>32.909341763990994</v>
      </c>
      <c r="O17" s="14">
        <v>12812.264935556974</v>
      </c>
      <c r="P17" s="8">
        <v>32.909341763990994</v>
      </c>
      <c r="Q17" s="54">
        <v>7.892756042317399E-2</v>
      </c>
    </row>
    <row r="18" spans="1:21">
      <c r="A18" s="2" t="s">
        <v>279</v>
      </c>
      <c r="B18" s="16" t="s">
        <v>280</v>
      </c>
      <c r="D18" s="14">
        <v>1</v>
      </c>
      <c r="E18" s="14">
        <v>0.7574408659580274</v>
      </c>
      <c r="F18" s="14">
        <v>7.1460176758053481E-2</v>
      </c>
      <c r="G18" s="14">
        <v>3.3893199956470932E-5</v>
      </c>
      <c r="H18" s="14">
        <v>162.58635175056239</v>
      </c>
      <c r="I18" s="14">
        <v>300.56697251018113</v>
      </c>
      <c r="J18" s="14">
        <v>0</v>
      </c>
      <c r="K18" s="14">
        <v>13.993808095182205</v>
      </c>
      <c r="L18" s="14">
        <v>7.1460176758053481E-2</v>
      </c>
      <c r="M18" s="14">
        <v>5.8633075029982884E-2</v>
      </c>
      <c r="N18" s="14">
        <v>18.584087773592024</v>
      </c>
      <c r="O18" s="14">
        <v>5404.8102471937682</v>
      </c>
      <c r="P18" s="8">
        <v>18.584087773592024</v>
      </c>
      <c r="Q18" s="54">
        <v>0.16074640052630862</v>
      </c>
    </row>
    <row r="19" spans="1:21">
      <c r="A19" s="2" t="s">
        <v>339</v>
      </c>
      <c r="B19" s="16" t="s">
        <v>340</v>
      </c>
      <c r="D19" s="14">
        <v>1</v>
      </c>
      <c r="E19" s="14">
        <v>0.87943072272778466</v>
      </c>
      <c r="F19" s="14">
        <v>6.0098750453526535E-3</v>
      </c>
      <c r="G19" s="14">
        <v>3.4125099797335516E-9</v>
      </c>
      <c r="H19" s="14">
        <v>184.52084826208144</v>
      </c>
      <c r="I19" s="14">
        <v>590.06874751053022</v>
      </c>
      <c r="J19" s="14">
        <v>0</v>
      </c>
      <c r="K19" s="14">
        <v>166.3928105748696</v>
      </c>
      <c r="L19" s="14">
        <v>6.0098750453526535E-3</v>
      </c>
      <c r="M19" s="14">
        <v>4.931102474711852E-3</v>
      </c>
      <c r="N19" s="14">
        <v>36.737088939270102</v>
      </c>
      <c r="O19" s="14">
        <v>12698.17479185871</v>
      </c>
      <c r="P19" s="8">
        <v>36.737088939270102</v>
      </c>
      <c r="Q19" s="54">
        <v>7.9561436023764434E-2</v>
      </c>
    </row>
    <row r="20" spans="1:21">
      <c r="A20" s="2" t="s">
        <v>281</v>
      </c>
      <c r="B20" s="16" t="s">
        <v>282</v>
      </c>
      <c r="D20" s="14">
        <v>1</v>
      </c>
      <c r="E20" s="14">
        <v>0.77839283137067394</v>
      </c>
      <c r="F20" s="14">
        <v>5.7243688893198072E-2</v>
      </c>
      <c r="G20" s="14">
        <v>2.6572725452258489E-7</v>
      </c>
      <c r="H20" s="14">
        <v>171.4776853896179</v>
      </c>
      <c r="I20" s="14">
        <v>310.64529736690952</v>
      </c>
      <c r="J20" s="14">
        <v>0</v>
      </c>
      <c r="K20" s="14">
        <v>17.469174669468657</v>
      </c>
      <c r="L20" s="14">
        <v>5.7243688893198072E-2</v>
      </c>
      <c r="M20" s="14">
        <v>4.6968446736869021E-2</v>
      </c>
      <c r="N20" s="14">
        <v>19.208150580843757</v>
      </c>
      <c r="O20" s="14">
        <v>5594.5659381765527</v>
      </c>
      <c r="P20" s="8">
        <v>19.208150580843757</v>
      </c>
      <c r="Q20" s="54">
        <v>0.14861573152339069</v>
      </c>
    </row>
    <row r="21" spans="1:21">
      <c r="A21" s="2" t="s">
        <v>341</v>
      </c>
      <c r="B21" s="16" t="s">
        <v>342</v>
      </c>
      <c r="D21" s="14">
        <v>1</v>
      </c>
      <c r="E21" s="14">
        <v>0.87783480575148443</v>
      </c>
      <c r="F21" s="14">
        <v>4.2940851731315529E-3</v>
      </c>
      <c r="G21" s="14">
        <v>4.9961922583453804E-6</v>
      </c>
      <c r="H21" s="14">
        <v>165.12417257550223</v>
      </c>
      <c r="I21" s="14">
        <v>769.95939960617045</v>
      </c>
      <c r="J21" s="14">
        <v>0</v>
      </c>
      <c r="K21" s="14">
        <v>232.87847345392285</v>
      </c>
      <c r="L21" s="14">
        <v>4.2940851731315529E-3</v>
      </c>
      <c r="M21" s="14">
        <v>3.5232968845544392E-3</v>
      </c>
      <c r="N21" s="14">
        <v>48.028248657682369</v>
      </c>
      <c r="O21" s="14">
        <v>16102.911209947744</v>
      </c>
      <c r="P21" s="8">
        <v>48.028248657682376</v>
      </c>
      <c r="Q21" s="54">
        <v>7.9775185951524386E-2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0.71353805660839487</v>
      </c>
      <c r="F22" s="14">
        <v>0.56413879915006671</v>
      </c>
      <c r="G22" s="14">
        <v>2.1813957236961466E-5</v>
      </c>
      <c r="H22" s="14">
        <v>34.174799063817524</v>
      </c>
      <c r="I22" s="14">
        <v>82.520745070524356</v>
      </c>
      <c r="J22" s="14">
        <v>0</v>
      </c>
      <c r="K22" s="14">
        <v>1.7726134091585317</v>
      </c>
      <c r="L22" s="14">
        <v>0.56413879915006671</v>
      </c>
      <c r="M22" s="14">
        <v>0.46287588470262975</v>
      </c>
      <c r="N22" s="14">
        <v>5.5299248284929865</v>
      </c>
      <c r="O22" s="14">
        <v>908.0136568385484</v>
      </c>
      <c r="P22" s="8">
        <v>5.5299248284929874</v>
      </c>
      <c r="Q22" s="54">
        <v>0.19176226049163453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0.78367285482207183</v>
      </c>
      <c r="F23" s="14">
        <v>0.71307805696129112</v>
      </c>
      <c r="G23" s="14">
        <v>9.2927779555036894E-7</v>
      </c>
      <c r="H23" s="14">
        <v>16.289849518375721</v>
      </c>
      <c r="I23" s="14">
        <v>42.264354769961777</v>
      </c>
      <c r="J23" s="14">
        <v>0</v>
      </c>
      <c r="K23" s="14">
        <v>1.4023710170824735</v>
      </c>
      <c r="L23" s="14">
        <v>0.71307805696129123</v>
      </c>
      <c r="M23" s="14">
        <v>0.5850805457367394</v>
      </c>
      <c r="N23" s="14">
        <v>3.1999262144521796</v>
      </c>
      <c r="O23" s="14">
        <v>483.70084657659146</v>
      </c>
      <c r="P23" s="8">
        <v>3.1999262144521801</v>
      </c>
      <c r="Q23" s="54">
        <v>0.14580561302970738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0.68724676901296777</v>
      </c>
      <c r="F24" s="14">
        <v>0.17477270378452145</v>
      </c>
      <c r="G24" s="14">
        <v>8.0471499244653752E-7</v>
      </c>
      <c r="H24" s="14">
        <v>119.73292852201479</v>
      </c>
      <c r="I24" s="14">
        <v>241.80806164479759</v>
      </c>
      <c r="J24" s="14">
        <v>0</v>
      </c>
      <c r="K24" s="14">
        <v>5.7217172839124082</v>
      </c>
      <c r="L24" s="14">
        <v>0.17477270378452145</v>
      </c>
      <c r="M24" s="14">
        <v>0.14340100345519985</v>
      </c>
      <c r="N24" s="14">
        <v>15.002047834279082</v>
      </c>
      <c r="O24" s="14">
        <v>2644.1109307916881</v>
      </c>
      <c r="P24" s="8">
        <v>15.002047834279082</v>
      </c>
      <c r="Q24" s="54">
        <v>0.21031525538227747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0.83928120564889752</v>
      </c>
      <c r="F25" s="14">
        <v>2.0837829592341997E-2</v>
      </c>
      <c r="G25" s="14">
        <v>1.4734010323842316E-4</v>
      </c>
      <c r="H25" s="14">
        <v>197.19344857624935</v>
      </c>
      <c r="I25" s="14">
        <v>328.20837047569131</v>
      </c>
      <c r="J25" s="14">
        <v>0</v>
      </c>
      <c r="K25" s="14">
        <v>47.989642854527645</v>
      </c>
      <c r="L25" s="14">
        <v>2.0837829592342001E-2</v>
      </c>
      <c r="M25" s="14">
        <v>1.7097439180516611E-2</v>
      </c>
      <c r="N25" s="14">
        <v>20.328482304339854</v>
      </c>
      <c r="O25" s="14">
        <v>3909.167147124554</v>
      </c>
      <c r="P25" s="8">
        <v>20.328482304339854</v>
      </c>
      <c r="Q25" s="54">
        <v>9.8525728086935827E-2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0.8779197258013437</v>
      </c>
      <c r="F26" s="14">
        <v>4.6515054056535839E-3</v>
      </c>
      <c r="G26" s="14">
        <v>4.008685800162015E-6</v>
      </c>
      <c r="H26" s="14">
        <v>169.8140148637454</v>
      </c>
      <c r="I26" s="14">
        <v>725.82295770463611</v>
      </c>
      <c r="J26" s="14">
        <v>0</v>
      </c>
      <c r="K26" s="14">
        <v>214.98416379019338</v>
      </c>
      <c r="L26" s="14">
        <v>4.6515054056535839E-3</v>
      </c>
      <c r="M26" s="14">
        <v>3.8165601853387657E-3</v>
      </c>
      <c r="N26" s="14">
        <v>45.255053662679337</v>
      </c>
      <c r="O26" s="14">
        <v>10063.366282970004</v>
      </c>
      <c r="P26" s="8">
        <v>45.255053662679337</v>
      </c>
      <c r="Q26" s="54">
        <v>7.9915441071893481E-2</v>
      </c>
    </row>
    <row r="27" spans="1:21">
      <c r="A27" s="2" t="s">
        <v>353</v>
      </c>
      <c r="B27" s="16" t="s">
        <v>354</v>
      </c>
      <c r="D27" s="14">
        <v>1</v>
      </c>
      <c r="E27" s="14">
        <v>0.90472160701459337</v>
      </c>
      <c r="F27" s="14">
        <v>7.2607809697517204E-4</v>
      </c>
      <c r="G27" s="14">
        <v>2.7759511774902556E-5</v>
      </c>
      <c r="H27" s="14">
        <v>72.993356733043953</v>
      </c>
      <c r="I27" s="14">
        <v>1703.1014029761309</v>
      </c>
      <c r="J27" s="14">
        <v>0</v>
      </c>
      <c r="K27" s="14">
        <v>1377.2623140210142</v>
      </c>
      <c r="L27" s="14">
        <v>7.2607809697517215E-4</v>
      </c>
      <c r="M27" s="14">
        <v>5.9574707856812877E-4</v>
      </c>
      <c r="N27" s="14">
        <v>107.13413620991007</v>
      </c>
      <c r="O27" s="14">
        <v>25325.438458660639</v>
      </c>
      <c r="P27" s="8">
        <v>107.13413620991008</v>
      </c>
      <c r="Q27" s="54">
        <v>5.731133259210993E-2</v>
      </c>
    </row>
    <row r="28" spans="1:21">
      <c r="A28" s="2" t="s">
        <v>355</v>
      </c>
      <c r="B28" s="16" t="s">
        <v>356</v>
      </c>
      <c r="D28" s="14">
        <v>1</v>
      </c>
      <c r="E28" s="14">
        <v>0.88175133035597408</v>
      </c>
      <c r="F28" s="14">
        <v>2.5733875062038686E-3</v>
      </c>
      <c r="G28" s="14">
        <v>1.5081122784490508E-6</v>
      </c>
      <c r="H28" s="14">
        <v>135.14661987803566</v>
      </c>
      <c r="I28" s="14">
        <v>1062.3371251703779</v>
      </c>
      <c r="J28" s="14">
        <v>0</v>
      </c>
      <c r="K28" s="14">
        <v>388.59285575500036</v>
      </c>
      <c r="L28" s="14">
        <v>2.5733875062038686E-3</v>
      </c>
      <c r="M28" s="14">
        <v>2.1114644488402744E-3</v>
      </c>
      <c r="N28" s="14">
        <v>66.44491386001593</v>
      </c>
      <c r="O28" s="14">
        <v>17169.365741428115</v>
      </c>
      <c r="P28" s="8">
        <v>66.44491386001593</v>
      </c>
      <c r="Q28" s="54">
        <v>7.6429735899921775E-2</v>
      </c>
    </row>
    <row r="29" spans="1:21">
      <c r="A29" s="2" t="s">
        <v>357</v>
      </c>
      <c r="B29" s="16" t="s">
        <v>358</v>
      </c>
      <c r="D29" s="14">
        <v>1</v>
      </c>
      <c r="E29" s="14">
        <v>0.8544190196716076</v>
      </c>
      <c r="F29" s="14">
        <v>3.8521652748673332E-3</v>
      </c>
      <c r="G29" s="14">
        <v>3.0327275721531117E-4</v>
      </c>
      <c r="H29" s="14">
        <v>156.02885159195176</v>
      </c>
      <c r="I29" s="14">
        <v>793.71042167559153</v>
      </c>
      <c r="J29" s="14">
        <v>0</v>
      </c>
      <c r="K29" s="14">
        <v>259.59426157654661</v>
      </c>
      <c r="L29" s="14">
        <v>3.8521652748673332E-3</v>
      </c>
      <c r="M29" s="14">
        <v>3.1607016080286471E-3</v>
      </c>
      <c r="N29" s="14">
        <v>49.531833159681305</v>
      </c>
      <c r="O29" s="14">
        <v>11708.830040617064</v>
      </c>
      <c r="P29" s="8">
        <v>49.531833159681305</v>
      </c>
      <c r="Q29" s="54">
        <v>7.738594364820009E-2</v>
      </c>
    </row>
    <row r="30" spans="1:21">
      <c r="A30" s="2" t="s">
        <v>359</v>
      </c>
      <c r="B30" s="16" t="s">
        <v>360</v>
      </c>
      <c r="D30" s="14">
        <v>1</v>
      </c>
      <c r="E30" s="14">
        <v>0.88175133035597408</v>
      </c>
      <c r="F30" s="14">
        <v>2.5733875062038686E-3</v>
      </c>
      <c r="G30" s="14">
        <v>1.5081122784490508E-6</v>
      </c>
      <c r="H30" s="14">
        <v>135.14661987803566</v>
      </c>
      <c r="I30" s="14">
        <v>1062.3371251703779</v>
      </c>
      <c r="J30" s="14">
        <v>0</v>
      </c>
      <c r="K30" s="14">
        <v>388.59285575500036</v>
      </c>
      <c r="L30" s="14">
        <v>2.5733875062038686E-3</v>
      </c>
      <c r="M30" s="14">
        <v>2.1114644488402744E-3</v>
      </c>
      <c r="N30" s="14">
        <v>66.44491386001593</v>
      </c>
      <c r="O30" s="14">
        <v>17169.365741428115</v>
      </c>
      <c r="P30" s="8">
        <v>66.44491386001593</v>
      </c>
      <c r="Q30" s="54">
        <v>7.6429735899921775E-2</v>
      </c>
    </row>
    <row r="31" spans="1:21">
      <c r="A31" s="2" t="s">
        <v>283</v>
      </c>
      <c r="B31" s="16" t="s">
        <v>284</v>
      </c>
      <c r="D31" s="14">
        <v>1</v>
      </c>
      <c r="E31" s="14">
        <v>0.97656368415400552</v>
      </c>
      <c r="F31" s="14">
        <v>0.97954095764910754</v>
      </c>
      <c r="G31" s="14">
        <v>2.9129369707583725E-10</v>
      </c>
      <c r="H31" s="14">
        <v>0.17064854900953105</v>
      </c>
      <c r="I31" s="14">
        <v>0.63410294568984493</v>
      </c>
      <c r="J31" s="14">
        <v>0</v>
      </c>
      <c r="K31" s="14">
        <v>1.0208863572177667</v>
      </c>
      <c r="L31" s="14">
        <v>0.97954095764910754</v>
      </c>
      <c r="M31" s="14">
        <v>0.80371335575109282</v>
      </c>
      <c r="N31" s="14">
        <v>0.90388710727183386</v>
      </c>
      <c r="O31" s="14">
        <v>175.5258373611174</v>
      </c>
      <c r="P31" s="8">
        <v>0.90388710727183386</v>
      </c>
      <c r="Q31" s="54">
        <v>1.5774651400844671E-2</v>
      </c>
    </row>
    <row r="32" spans="1:21">
      <c r="A32" s="2" t="s">
        <v>361</v>
      </c>
      <c r="B32" s="16" t="s">
        <v>362</v>
      </c>
      <c r="D32" s="14">
        <v>1</v>
      </c>
      <c r="E32" s="14">
        <v>0.67761787080599789</v>
      </c>
      <c r="F32" s="14">
        <v>0.43596303097311401</v>
      </c>
      <c r="G32" s="14">
        <v>2.3704564531264342E-10</v>
      </c>
      <c r="H32" s="14">
        <v>55.485765721246942</v>
      </c>
      <c r="I32" s="14">
        <v>126.66652631366897</v>
      </c>
      <c r="J32" s="14">
        <v>0</v>
      </c>
      <c r="K32" s="14">
        <v>2.2937724737069973</v>
      </c>
      <c r="L32" s="14">
        <v>0.43596303097311401</v>
      </c>
      <c r="M32" s="14">
        <v>0.35770766691344003</v>
      </c>
      <c r="N32" s="14">
        <v>8.2016160281918147</v>
      </c>
      <c r="O32" s="14">
        <v>2100.3518486596417</v>
      </c>
      <c r="P32" s="8">
        <v>8.2016160281918147</v>
      </c>
      <c r="Q32" s="54">
        <v>0.21720102013022988</v>
      </c>
    </row>
    <row r="33" spans="1:17">
      <c r="A33" s="2" t="s">
        <v>364</v>
      </c>
      <c r="B33" s="16" t="s">
        <v>365</v>
      </c>
      <c r="D33" s="14">
        <v>1</v>
      </c>
      <c r="E33" s="14">
        <v>0.99987748709383617</v>
      </c>
      <c r="F33" s="14">
        <v>0.99957090255626879</v>
      </c>
      <c r="G33" s="14">
        <v>1.3412135734196175E-12</v>
      </c>
      <c r="H33" s="14">
        <v>1.1943004758854256</v>
      </c>
      <c r="I33" s="14">
        <v>3.3814466776863031E-3</v>
      </c>
      <c r="J33" s="14">
        <v>0</v>
      </c>
      <c r="K33" s="14">
        <v>1.0004292816473885</v>
      </c>
      <c r="L33" s="14">
        <v>0.9995709025562689</v>
      </c>
      <c r="M33" s="14">
        <v>0.82014792554741855</v>
      </c>
      <c r="N33" s="14">
        <v>0.88967884349870896</v>
      </c>
      <c r="O33" s="14">
        <v>263.47838950214265</v>
      </c>
      <c r="P33" s="8">
        <v>0.88967884349870907</v>
      </c>
      <c r="Q33" s="54">
        <v>3.8556938558812288E-5</v>
      </c>
    </row>
    <row r="34" spans="1:17">
      <c r="A34" s="2" t="s">
        <v>285</v>
      </c>
      <c r="B34" s="16" t="s">
        <v>286</v>
      </c>
      <c r="D34" s="14">
        <v>1</v>
      </c>
      <c r="E34" s="14">
        <v>0.999735941651135</v>
      </c>
      <c r="F34" s="14">
        <v>0.5497250013387025</v>
      </c>
      <c r="G34" s="14">
        <v>3.9876794782226669E-12</v>
      </c>
      <c r="H34" s="14">
        <v>128.50069867994338</v>
      </c>
      <c r="I34" s="14">
        <v>9.7710584575188761E-2</v>
      </c>
      <c r="J34" s="14">
        <v>0</v>
      </c>
      <c r="K34" s="14">
        <v>1.8190913594338585</v>
      </c>
      <c r="L34" s="14">
        <v>0.5497250013387025</v>
      </c>
      <c r="M34" s="14">
        <v>0.45104936359840542</v>
      </c>
      <c r="N34" s="14">
        <v>0.94442743096028114</v>
      </c>
      <c r="O34" s="14">
        <v>208.75623933946054</v>
      </c>
      <c r="P34" s="8">
        <v>0.94442743096028114</v>
      </c>
      <c r="Q34" s="54">
        <v>1.3138373731360961E-4</v>
      </c>
    </row>
    <row r="35" spans="1:17">
      <c r="A35" s="2" t="s">
        <v>287</v>
      </c>
      <c r="B35" s="16" t="s">
        <v>288</v>
      </c>
      <c r="D35" s="14">
        <v>1</v>
      </c>
      <c r="E35" s="14">
        <v>0.99945940470728623</v>
      </c>
      <c r="F35" s="14">
        <v>0.32544448508155882</v>
      </c>
      <c r="G35" s="14">
        <v>1.1615589382174998E-13</v>
      </c>
      <c r="H35" s="14">
        <v>191.89202083141774</v>
      </c>
      <c r="I35" s="14">
        <v>0.34406924502412689</v>
      </c>
      <c r="J35" s="14">
        <v>0</v>
      </c>
      <c r="K35" s="14">
        <v>3.0727206815300385</v>
      </c>
      <c r="L35" s="14">
        <v>0.32544448508155888</v>
      </c>
      <c r="M35" s="14">
        <v>0.26702720000941904</v>
      </c>
      <c r="N35" s="14">
        <v>0.94508636733518903</v>
      </c>
      <c r="O35" s="14">
        <v>217.6155869426006</v>
      </c>
      <c r="P35" s="8">
        <v>0.94508636733518903</v>
      </c>
      <c r="Q35" s="54">
        <v>3.1801371812606444E-4</v>
      </c>
    </row>
    <row r="36" spans="1:17">
      <c r="A36" s="2" t="s">
        <v>366</v>
      </c>
      <c r="B36" s="16" t="s">
        <v>305</v>
      </c>
      <c r="D36" s="14">
        <v>1</v>
      </c>
      <c r="E36" s="14">
        <v>0.99940688387463639</v>
      </c>
      <c r="F36" s="14">
        <v>0.10855776214146631</v>
      </c>
      <c r="G36" s="14">
        <v>2.0477755647246975E-10</v>
      </c>
      <c r="H36" s="14">
        <v>253.2450014441834</v>
      </c>
      <c r="I36" s="14">
        <v>0.6713427154935967</v>
      </c>
      <c r="J36" s="14">
        <v>0</v>
      </c>
      <c r="K36" s="14">
        <v>9.2116858368621912</v>
      </c>
      <c r="L36" s="14">
        <v>0.10855776214146633</v>
      </c>
      <c r="M36" s="14">
        <v>8.9071643837073111E-2</v>
      </c>
      <c r="N36" s="14">
        <v>0.90539612453014795</v>
      </c>
      <c r="O36" s="14">
        <v>186.76511256807891</v>
      </c>
      <c r="P36" s="8">
        <v>0.90539612453014795</v>
      </c>
      <c r="Q36" s="54">
        <v>3.5542197915572229E-4</v>
      </c>
    </row>
    <row r="37" spans="1:17">
      <c r="A37" s="2" t="s">
        <v>289</v>
      </c>
      <c r="B37" s="16" t="s">
        <v>290</v>
      </c>
      <c r="D37" s="14">
        <v>1</v>
      </c>
      <c r="E37" s="14">
        <v>0.92892973921938671</v>
      </c>
      <c r="F37" s="14">
        <v>0.20892171373258583</v>
      </c>
      <c r="G37" s="14">
        <v>4.6578538860253192E-17</v>
      </c>
      <c r="H37" s="14">
        <v>198.10871435331876</v>
      </c>
      <c r="I37" s="14">
        <v>62.623119249735034</v>
      </c>
      <c r="J37" s="14">
        <v>0</v>
      </c>
      <c r="K37" s="14">
        <v>4.786481893787129</v>
      </c>
      <c r="L37" s="14">
        <v>0.20892171373258586</v>
      </c>
      <c r="M37" s="14">
        <v>0.17142026611758668</v>
      </c>
      <c r="N37" s="14">
        <v>4.5689823575868926</v>
      </c>
      <c r="O37" s="14">
        <v>1591.9248330304251</v>
      </c>
      <c r="P37" s="8">
        <v>4.5689823575868926</v>
      </c>
      <c r="Q37" s="54">
        <v>4.7745747389695468E-2</v>
      </c>
    </row>
    <row r="38" spans="1:17">
      <c r="A38" s="2" t="s">
        <v>291</v>
      </c>
      <c r="B38" s="16" t="s">
        <v>292</v>
      </c>
      <c r="D38" s="14">
        <v>1</v>
      </c>
      <c r="E38" s="14">
        <v>0.99804486824454808</v>
      </c>
      <c r="F38" s="14">
        <v>0.61558854155501519</v>
      </c>
      <c r="G38" s="14">
        <v>1.3422945356345126E-14</v>
      </c>
      <c r="H38" s="14">
        <v>109.29254204216392</v>
      </c>
      <c r="I38" s="14">
        <v>0.8454135231092389</v>
      </c>
      <c r="J38" s="14">
        <v>0</v>
      </c>
      <c r="K38" s="14">
        <v>1.624461685842848</v>
      </c>
      <c r="L38" s="14">
        <v>0.61558854155501519</v>
      </c>
      <c r="M38" s="14">
        <v>0.50509039834588998</v>
      </c>
      <c r="N38" s="14">
        <v>0.98639231704130148</v>
      </c>
      <c r="O38" s="14">
        <v>304.13434311334447</v>
      </c>
      <c r="P38" s="8">
        <v>0.98639231704130159</v>
      </c>
      <c r="Q38" s="54">
        <v>1.2707765452855155E-3</v>
      </c>
    </row>
    <row r="39" spans="1:17">
      <c r="A39" s="2" t="s">
        <v>367</v>
      </c>
      <c r="B39" s="16" t="s">
        <v>368</v>
      </c>
      <c r="D39" s="14">
        <v>1</v>
      </c>
      <c r="E39" s="14">
        <v>0.88798345509375221</v>
      </c>
      <c r="F39" s="14">
        <v>1.038953107388816E-2</v>
      </c>
      <c r="G39" s="14">
        <v>1.6143006960687774E-7</v>
      </c>
      <c r="H39" s="14">
        <v>212.35179985491348</v>
      </c>
      <c r="I39" s="14">
        <v>343.41014199546066</v>
      </c>
      <c r="J39" s="14">
        <v>0</v>
      </c>
      <c r="K39" s="14">
        <v>96.250734791417472</v>
      </c>
      <c r="L39" s="14">
        <v>1.038953107388816E-2</v>
      </c>
      <c r="M39" s="14">
        <v>8.5246102461252349E-3</v>
      </c>
      <c r="N39" s="14">
        <v>21.310922777005853</v>
      </c>
      <c r="O39" s="14">
        <v>5931.6822457518083</v>
      </c>
      <c r="P39" s="8">
        <v>21.310922777005853</v>
      </c>
      <c r="Q39" s="54">
        <v>7.4544072778714304E-2</v>
      </c>
    </row>
    <row r="40" spans="1:17">
      <c r="A40" s="2" t="s">
        <v>369</v>
      </c>
      <c r="B40" s="16" t="s">
        <v>370</v>
      </c>
      <c r="D40" s="14">
        <v>1</v>
      </c>
      <c r="E40" s="14">
        <v>0.99235866742912049</v>
      </c>
      <c r="F40" s="14">
        <v>1.0171955909075998E-3</v>
      </c>
      <c r="G40" s="14">
        <v>1.0326129816372926E-14</v>
      </c>
      <c r="H40" s="14">
        <v>262.75105533110678</v>
      </c>
      <c r="I40" s="14">
        <v>176.00558999089029</v>
      </c>
      <c r="J40" s="14">
        <v>0</v>
      </c>
      <c r="K40" s="14">
        <v>983.09509885679199</v>
      </c>
      <c r="L40" s="14">
        <v>1.0171955909076E-3</v>
      </c>
      <c r="M40" s="14">
        <v>8.3460898233968575E-4</v>
      </c>
      <c r="N40" s="14">
        <v>64.396505588942219</v>
      </c>
      <c r="O40" s="14">
        <v>26202.93812414059</v>
      </c>
      <c r="P40" s="8">
        <v>64.396505588942233</v>
      </c>
      <c r="Q40" s="54">
        <v>1.9630278511849493E-3</v>
      </c>
    </row>
    <row r="41" spans="1:17">
      <c r="A41" s="2" t="s">
        <v>371</v>
      </c>
      <c r="B41" s="16" t="s">
        <v>372</v>
      </c>
      <c r="D41" s="14">
        <v>1</v>
      </c>
      <c r="E41" s="14">
        <v>0.91355848841807896</v>
      </c>
      <c r="F41" s="14">
        <v>0.91709171207997731</v>
      </c>
      <c r="G41" s="14">
        <v>9.0891078421877333E-4</v>
      </c>
      <c r="H41" s="14">
        <v>7.9486389159177887E-3</v>
      </c>
      <c r="I41" s="14">
        <v>3.684257187456097E-2</v>
      </c>
      <c r="J41" s="14">
        <v>0</v>
      </c>
      <c r="K41" s="14">
        <v>1.090403486181317</v>
      </c>
      <c r="L41" s="14">
        <v>0.91709171207997742</v>
      </c>
      <c r="M41" s="14">
        <v>0.75247374976162151</v>
      </c>
      <c r="N41" s="14">
        <v>0.81285241624641169</v>
      </c>
      <c r="O41" s="14">
        <v>113.95378023358445</v>
      </c>
      <c r="P41" s="8">
        <v>0.81285241624641169</v>
      </c>
      <c r="Q41" s="54">
        <v>3.0913625360052899E-3</v>
      </c>
    </row>
    <row r="42" spans="1:17">
      <c r="A42" s="2" t="s">
        <v>293</v>
      </c>
      <c r="B42" s="16" t="s">
        <v>294</v>
      </c>
      <c r="D42" s="14">
        <v>1</v>
      </c>
      <c r="E42" s="14">
        <v>0.70129625926337635</v>
      </c>
      <c r="F42" s="14">
        <v>0.52669383907929013</v>
      </c>
      <c r="G42" s="14">
        <v>1.9473621563406737E-10</v>
      </c>
      <c r="H42" s="14">
        <v>39.959333727796945</v>
      </c>
      <c r="I42" s="14">
        <v>94.902009627558471</v>
      </c>
      <c r="J42" s="14">
        <v>0</v>
      </c>
      <c r="K42" s="14">
        <v>1.8986362205187233</v>
      </c>
      <c r="L42" s="14">
        <v>0.52669383907929013</v>
      </c>
      <c r="M42" s="14">
        <v>0.43215229496455754</v>
      </c>
      <c r="N42" s="14">
        <v>6.2554772262530092</v>
      </c>
      <c r="O42" s="14">
        <v>2066.5594564649441</v>
      </c>
      <c r="P42" s="8">
        <v>6.2554772262530101</v>
      </c>
      <c r="Q42" s="54">
        <v>0.20131466330310835</v>
      </c>
    </row>
    <row r="43" spans="1:17">
      <c r="A43" s="2" t="s">
        <v>373</v>
      </c>
      <c r="B43" s="16" t="s">
        <v>374</v>
      </c>
      <c r="D43" s="14">
        <v>1</v>
      </c>
      <c r="E43" s="14">
        <v>0.99944863055213951</v>
      </c>
      <c r="F43" s="14">
        <v>8.8507640207749257E-3</v>
      </c>
      <c r="G43" s="14">
        <v>4.7925161090050398E-10</v>
      </c>
      <c r="H43" s="14">
        <v>281.3200991040959</v>
      </c>
      <c r="I43" s="14">
        <v>2.1992991104530688</v>
      </c>
      <c r="J43" s="14">
        <v>0</v>
      </c>
      <c r="K43" s="14">
        <v>112.9845963187758</v>
      </c>
      <c r="L43" s="14">
        <v>8.8507640207749257E-3</v>
      </c>
      <c r="M43" s="14">
        <v>7.2620518790458269E-3</v>
      </c>
      <c r="N43" s="14">
        <v>1.7612855277442152</v>
      </c>
      <c r="O43" s="14">
        <v>469.10078745939427</v>
      </c>
      <c r="P43" s="8">
        <v>1.7612855277442154</v>
      </c>
      <c r="Q43" s="54">
        <v>2.8476348452509647E-4</v>
      </c>
    </row>
    <row r="44" spans="1:17">
      <c r="A44" s="2" t="s">
        <v>375</v>
      </c>
      <c r="B44" s="16" t="s">
        <v>376</v>
      </c>
      <c r="D44" s="14">
        <v>1</v>
      </c>
      <c r="E44" s="14">
        <v>0.78747763182201869</v>
      </c>
      <c r="F44" s="14">
        <v>0.76505806354124217</v>
      </c>
      <c r="G44" s="14">
        <v>9.4611272691688274E-4</v>
      </c>
      <c r="H44" s="14">
        <v>5.5324104996862316</v>
      </c>
      <c r="I44" s="14">
        <v>15.623256667340931</v>
      </c>
      <c r="J44" s="14">
        <v>0</v>
      </c>
      <c r="K44" s="14">
        <v>1.3070903342568228</v>
      </c>
      <c r="L44" s="14">
        <v>0.76505806354124228</v>
      </c>
      <c r="M44" s="14">
        <v>0.62773014113558923</v>
      </c>
      <c r="N44" s="14">
        <v>1.6230145063905523</v>
      </c>
      <c r="O44" s="14">
        <v>242.47836725474852</v>
      </c>
      <c r="P44" s="8">
        <v>1.6230145063905523</v>
      </c>
      <c r="Q44" s="54">
        <v>8.5895728552738457E-2</v>
      </c>
    </row>
    <row r="45" spans="1:17">
      <c r="A45" s="2" t="s">
        <v>377</v>
      </c>
      <c r="B45" s="16" t="s">
        <v>378</v>
      </c>
      <c r="D45" s="14">
        <v>1</v>
      </c>
      <c r="E45" s="14">
        <v>0.69005336450464971</v>
      </c>
      <c r="F45" s="14">
        <v>0.49129416136667087</v>
      </c>
      <c r="G45" s="14">
        <v>7.40815551429318E-6</v>
      </c>
      <c r="H45" s="14">
        <v>45.528317676626543</v>
      </c>
      <c r="I45" s="14">
        <v>106.54639837686256</v>
      </c>
      <c r="J45" s="14">
        <v>0</v>
      </c>
      <c r="K45" s="14">
        <v>2.0354404318956747</v>
      </c>
      <c r="L45" s="14">
        <v>0.49129416136667092</v>
      </c>
      <c r="M45" s="14">
        <v>0.40310685940135349</v>
      </c>
      <c r="N45" s="14">
        <v>6.9383729249318797</v>
      </c>
      <c r="O45" s="14">
        <v>1541.983998836861</v>
      </c>
      <c r="P45" s="8">
        <v>6.9383729249318797</v>
      </c>
      <c r="Q45" s="54">
        <v>0.20841970348513003</v>
      </c>
    </row>
    <row r="46" spans="1:17">
      <c r="A46" s="2" t="s">
        <v>379</v>
      </c>
      <c r="B46" s="16" t="s">
        <v>380</v>
      </c>
      <c r="D46" s="14">
        <v>1</v>
      </c>
      <c r="E46" s="14">
        <v>0.69569158196290903</v>
      </c>
      <c r="F46" s="14">
        <v>0.51258229195039218</v>
      </c>
      <c r="G46" s="14">
        <v>2.2275737236586957E-5</v>
      </c>
      <c r="H46" s="14">
        <v>41.918293934781794</v>
      </c>
      <c r="I46" s="14">
        <v>99.005830103473912</v>
      </c>
      <c r="J46" s="14">
        <v>0</v>
      </c>
      <c r="K46" s="14">
        <v>1.9509062558422916</v>
      </c>
      <c r="L46" s="14">
        <v>0.51258229195039218</v>
      </c>
      <c r="M46" s="14">
        <v>0.42057377054529677</v>
      </c>
      <c r="N46" s="14">
        <v>6.4946879132899982</v>
      </c>
      <c r="O46" s="14">
        <v>834.95707813256217</v>
      </c>
      <c r="P46" s="8">
        <v>6.4946879132899982</v>
      </c>
      <c r="Q46" s="54">
        <v>0.20373271343381566</v>
      </c>
    </row>
    <row r="47" spans="1:17">
      <c r="A47" s="2" t="s">
        <v>381</v>
      </c>
      <c r="B47" s="16" t="s">
        <v>382</v>
      </c>
      <c r="D47" s="14">
        <v>1</v>
      </c>
      <c r="E47" s="14">
        <v>0.90916386729616649</v>
      </c>
      <c r="F47" s="14">
        <v>6.6307290975183085E-4</v>
      </c>
      <c r="G47" s="14">
        <v>4.7237811912798535E-10</v>
      </c>
      <c r="H47" s="14">
        <v>69.608341275206627</v>
      </c>
      <c r="I47" s="14">
        <v>1746.2983983346292</v>
      </c>
      <c r="J47" s="14">
        <v>0</v>
      </c>
      <c r="K47" s="14">
        <v>1508.1297777257575</v>
      </c>
      <c r="L47" s="14">
        <v>6.6307290975183085E-4</v>
      </c>
      <c r="M47" s="14">
        <v>5.4405132245137727E-4</v>
      </c>
      <c r="N47" s="14">
        <v>109.89381331662595</v>
      </c>
      <c r="O47" s="14">
        <v>43000.350212662568</v>
      </c>
      <c r="P47" s="8">
        <v>109.89381331662595</v>
      </c>
      <c r="Q47" s="54">
        <v>5.5862254064945757E-2</v>
      </c>
    </row>
    <row r="48" spans="1:17">
      <c r="A48" s="2" t="s">
        <v>383</v>
      </c>
      <c r="B48" s="16" t="s">
        <v>384</v>
      </c>
      <c r="D48" s="14">
        <v>1</v>
      </c>
      <c r="E48" s="14">
        <v>0.91156418219240276</v>
      </c>
      <c r="F48" s="14">
        <v>0.90670416709938306</v>
      </c>
      <c r="G48" s="14">
        <v>1.3079589060827548E-4</v>
      </c>
      <c r="H48" s="14">
        <v>1.7863461228076503</v>
      </c>
      <c r="I48" s="14">
        <v>5.5516589988250962</v>
      </c>
      <c r="J48" s="14">
        <v>0</v>
      </c>
      <c r="K48" s="14">
        <v>1.1028955598594827</v>
      </c>
      <c r="L48" s="14">
        <v>0.90670416709938306</v>
      </c>
      <c r="M48" s="14">
        <v>0.74395076910504376</v>
      </c>
      <c r="N48" s="14">
        <v>1.1366592793436943</v>
      </c>
      <c r="O48" s="14">
        <v>105.85707868527824</v>
      </c>
      <c r="P48" s="8">
        <v>1.1366592793436943</v>
      </c>
      <c r="Q48" s="54">
        <v>5.1691934157178994E-2</v>
      </c>
    </row>
    <row r="49" spans="1:17">
      <c r="A49" s="2" t="s">
        <v>385</v>
      </c>
      <c r="B49" s="16" t="s">
        <v>386</v>
      </c>
      <c r="D49" s="14">
        <v>1</v>
      </c>
      <c r="E49" s="14">
        <v>0.87669342090716484</v>
      </c>
      <c r="F49" s="14">
        <v>0.86526697235591565</v>
      </c>
      <c r="G49" s="14">
        <v>2.4421853094812004E-4</v>
      </c>
      <c r="H49" s="14">
        <v>3.1852984246016387</v>
      </c>
      <c r="I49" s="14">
        <v>9.4538193135867896</v>
      </c>
      <c r="J49" s="14">
        <v>0</v>
      </c>
      <c r="K49" s="14">
        <v>1.1557126666666109</v>
      </c>
      <c r="L49" s="14">
        <v>0.86526697235591565</v>
      </c>
      <c r="M49" s="14">
        <v>0.70995155081802885</v>
      </c>
      <c r="N49" s="14">
        <v>1.3366358649590464</v>
      </c>
      <c r="O49" s="14">
        <v>148.52697731424925</v>
      </c>
      <c r="P49" s="8">
        <v>1.3366358649590464</v>
      </c>
      <c r="Q49" s="54">
        <v>6.8329351285715267E-2</v>
      </c>
    </row>
    <row r="50" spans="1:17">
      <c r="A50" s="2" t="s">
        <v>387</v>
      </c>
      <c r="B50" s="16" t="s">
        <v>388</v>
      </c>
      <c r="D50" s="14">
        <v>1</v>
      </c>
      <c r="E50" s="14">
        <v>0.74970781676841003</v>
      </c>
      <c r="F50" s="14">
        <v>7.562394660718337E-2</v>
      </c>
      <c r="G50" s="14">
        <v>7.3202822392484985E-5</v>
      </c>
      <c r="H50" s="14">
        <v>159.62442220819986</v>
      </c>
      <c r="I50" s="14">
        <v>296.72661962460455</v>
      </c>
      <c r="J50" s="14">
        <v>0</v>
      </c>
      <c r="K50" s="14">
        <v>13.22332468568907</v>
      </c>
      <c r="L50" s="14">
        <v>7.562394660718337E-2</v>
      </c>
      <c r="M50" s="14">
        <v>6.2049448191193957E-2</v>
      </c>
      <c r="N50" s="14">
        <v>18.347067681395906</v>
      </c>
      <c r="O50" s="14">
        <v>3622.6285136916217</v>
      </c>
      <c r="P50" s="8">
        <v>18.347067681395909</v>
      </c>
      <c r="Q50" s="54">
        <v>0.16358990832563655</v>
      </c>
    </row>
    <row r="51" spans="1:17">
      <c r="A51" s="2" t="s">
        <v>295</v>
      </c>
      <c r="B51" s="16" t="s">
        <v>296</v>
      </c>
      <c r="D51" s="14">
        <v>1</v>
      </c>
      <c r="E51" s="14">
        <v>0.90480366144644386</v>
      </c>
      <c r="F51" s="14">
        <v>0.90693719889551683</v>
      </c>
      <c r="G51" s="14">
        <v>7.2832581409537297E-4</v>
      </c>
      <c r="H51" s="14">
        <v>0.28793682749876542</v>
      </c>
      <c r="I51" s="14">
        <v>1.0236568242886279</v>
      </c>
      <c r="J51" s="14">
        <v>0</v>
      </c>
      <c r="K51" s="14">
        <v>1.1026121777977753</v>
      </c>
      <c r="L51" s="14">
        <v>0.90693719889551683</v>
      </c>
      <c r="M51" s="14">
        <v>0.74414197169377161</v>
      </c>
      <c r="N51" s="14">
        <v>0.86317163195553914</v>
      </c>
      <c r="O51" s="14">
        <v>50.13300838397771</v>
      </c>
      <c r="P51" s="8">
        <v>0.86317163195553914</v>
      </c>
      <c r="Q51" s="54">
        <v>1.9968911214766155E-2</v>
      </c>
    </row>
    <row r="52" spans="1:17">
      <c r="A52" s="2" t="s">
        <v>389</v>
      </c>
      <c r="B52" s="16" t="s">
        <v>390</v>
      </c>
      <c r="D52" s="14">
        <v>1</v>
      </c>
      <c r="E52" s="14">
        <v>0.7659490729408911</v>
      </c>
      <c r="F52" s="14">
        <v>0.72533173713364174</v>
      </c>
      <c r="G52" s="14">
        <v>7.6599364800530455E-4</v>
      </c>
      <c r="H52" s="14">
        <v>9.5586526593877164</v>
      </c>
      <c r="I52" s="14">
        <v>25.825804038161404</v>
      </c>
      <c r="J52" s="14">
        <v>0</v>
      </c>
      <c r="K52" s="14">
        <v>1.378679504569577</v>
      </c>
      <c r="L52" s="14">
        <v>0.72533173713364185</v>
      </c>
      <c r="M52" s="14">
        <v>0.59513469031815314</v>
      </c>
      <c r="N52" s="14">
        <v>2.2088439678847207</v>
      </c>
      <c r="O52" s="14">
        <v>236.67763115884784</v>
      </c>
      <c r="P52" s="8">
        <v>2.2088439678847207</v>
      </c>
      <c r="Q52" s="54">
        <v>0.11134067537721963</v>
      </c>
    </row>
    <row r="53" spans="1:17">
      <c r="A53" s="2" t="s">
        <v>391</v>
      </c>
      <c r="B53" s="16" t="s">
        <v>392</v>
      </c>
      <c r="D53" s="14">
        <v>1</v>
      </c>
      <c r="E53" s="14">
        <v>0.66632825797387807</v>
      </c>
      <c r="F53" s="14">
        <v>0.3802391755253875</v>
      </c>
      <c r="G53" s="14">
        <v>2.1873855927037612E-5</v>
      </c>
      <c r="H53" s="14">
        <v>65.8410668940585</v>
      </c>
      <c r="I53" s="14">
        <v>147.14788707974577</v>
      </c>
      <c r="J53" s="14">
        <v>0</v>
      </c>
      <c r="K53" s="14">
        <v>2.6299236490250406</v>
      </c>
      <c r="L53" s="14">
        <v>0.3802391755253875</v>
      </c>
      <c r="M53" s="14">
        <v>0.31198624351858045</v>
      </c>
      <c r="N53" s="14">
        <v>9.335048979190681</v>
      </c>
      <c r="O53" s="14">
        <v>1512.4646356084743</v>
      </c>
      <c r="P53" s="8">
        <v>9.335048979190681</v>
      </c>
      <c r="Q53" s="54">
        <v>0.22343645400258466</v>
      </c>
    </row>
    <row r="54" spans="1:17">
      <c r="A54" s="2" t="s">
        <v>393</v>
      </c>
      <c r="B54" s="16" t="s">
        <v>394</v>
      </c>
      <c r="D54" s="14">
        <v>1</v>
      </c>
      <c r="E54" s="14">
        <v>0.90130566825445435</v>
      </c>
      <c r="F54" s="14">
        <v>9.2288005413423296E-4</v>
      </c>
      <c r="G54" s="14">
        <v>2.1716695779275735E-6</v>
      </c>
      <c r="H54" s="14">
        <v>82.902048078706457</v>
      </c>
      <c r="I54" s="14">
        <v>1601.8521578836903</v>
      </c>
      <c r="J54" s="14">
        <v>0</v>
      </c>
      <c r="K54" s="14">
        <v>1083.5644301990192</v>
      </c>
      <c r="L54" s="14">
        <v>9.2288005413423296E-4</v>
      </c>
      <c r="M54" s="14">
        <v>7.5722308441713811E-4</v>
      </c>
      <c r="N54" s="14">
        <v>100.66425278123407</v>
      </c>
      <c r="O54" s="14">
        <v>23494.029956612216</v>
      </c>
      <c r="P54" s="8">
        <v>100.66425278123407</v>
      </c>
      <c r="Q54" s="54">
        <v>6.1492539760275189E-2</v>
      </c>
    </row>
    <row r="55" spans="1:17">
      <c r="A55" s="2" t="s">
        <v>395</v>
      </c>
      <c r="B55" s="16" t="s">
        <v>396</v>
      </c>
      <c r="D55" s="14">
        <v>1</v>
      </c>
      <c r="E55" s="14">
        <v>0.60218656186238906</v>
      </c>
      <c r="F55" s="14">
        <v>0.13683544963389452</v>
      </c>
      <c r="G55" s="14">
        <v>1.478179283098918E-3</v>
      </c>
      <c r="H55" s="14">
        <v>108.91774057042774</v>
      </c>
      <c r="I55" s="14">
        <v>217.5483503219852</v>
      </c>
      <c r="J55" s="14">
        <v>0</v>
      </c>
      <c r="K55" s="14">
        <v>7.3080477513357547</v>
      </c>
      <c r="L55" s="14">
        <v>0.13683544963389455</v>
      </c>
      <c r="M55" s="14">
        <v>0.11227348642461046</v>
      </c>
      <c r="N55" s="14">
        <v>13.484804016554936</v>
      </c>
      <c r="O55" s="14">
        <v>1728.3473308018461</v>
      </c>
      <c r="P55" s="8">
        <v>13.484804016554937</v>
      </c>
      <c r="Q55" s="54">
        <v>0.17805566445535678</v>
      </c>
    </row>
    <row r="56" spans="1:17">
      <c r="A56" s="2" t="s">
        <v>397</v>
      </c>
      <c r="B56" s="16" t="s">
        <v>398</v>
      </c>
      <c r="D56" s="14">
        <v>1</v>
      </c>
      <c r="E56" s="14">
        <v>0.31890677218062513</v>
      </c>
      <c r="F56" s="14">
        <v>1.6181410979063966E-2</v>
      </c>
      <c r="G56" s="14">
        <v>6.7094184100790254E-3</v>
      </c>
      <c r="H56" s="14">
        <v>72.319662103414103</v>
      </c>
      <c r="I56" s="14">
        <v>127.20774649860476</v>
      </c>
      <c r="J56" s="14">
        <v>0</v>
      </c>
      <c r="K56" s="14">
        <v>61.799307940069781</v>
      </c>
      <c r="L56" s="14">
        <v>1.6181410979063966E-2</v>
      </c>
      <c r="M56" s="14">
        <v>1.3276847708321984E-2</v>
      </c>
      <c r="N56" s="14">
        <v>7.8685505344945197</v>
      </c>
      <c r="O56" s="14">
        <v>1427.7484944840305</v>
      </c>
      <c r="P56" s="8">
        <v>7.8685505344945197</v>
      </c>
      <c r="Q56" s="54">
        <v>5.1750381902384672E-2</v>
      </c>
    </row>
    <row r="57" spans="1:17">
      <c r="A57" s="2" t="s">
        <v>399</v>
      </c>
      <c r="B57" s="16" t="s">
        <v>400</v>
      </c>
      <c r="D57" s="14">
        <v>1</v>
      </c>
      <c r="E57" s="14">
        <v>0.16635480508393694</v>
      </c>
      <c r="F57" s="14">
        <v>2.9241973268415274E-2</v>
      </c>
      <c r="G57" s="14">
        <v>8.5175592530045991E-3</v>
      </c>
      <c r="H57" s="14">
        <v>32.217117109441908</v>
      </c>
      <c r="I57" s="14">
        <v>62.826641805923281</v>
      </c>
      <c r="J57" s="14">
        <v>0</v>
      </c>
      <c r="K57" s="14">
        <v>34.197418581191165</v>
      </c>
      <c r="L57" s="14">
        <v>2.9241973268415277E-2</v>
      </c>
      <c r="M57" s="14">
        <v>2.3993039066734733E-2</v>
      </c>
      <c r="N57" s="14">
        <v>3.888941155093478</v>
      </c>
      <c r="O57" s="14">
        <v>571.67434979874133</v>
      </c>
      <c r="P57" s="8">
        <v>3.8889411550934785</v>
      </c>
      <c r="Q57" s="54">
        <v>4.5075841855256205E-2</v>
      </c>
    </row>
    <row r="58" spans="1:17">
      <c r="A58" s="2" t="s">
        <v>297</v>
      </c>
      <c r="B58" s="16" t="s">
        <v>298</v>
      </c>
      <c r="D58" s="14">
        <v>1</v>
      </c>
      <c r="E58" s="14">
        <v>6.0464175190310845E-2</v>
      </c>
      <c r="F58" s="14">
        <v>5.9396947870244694E-2</v>
      </c>
      <c r="G58" s="14">
        <v>1.0351245691658994E-2</v>
      </c>
      <c r="H58" s="14">
        <v>0.28077868078147011</v>
      </c>
      <c r="I58" s="14">
        <v>0.81812808205785881</v>
      </c>
      <c r="J58" s="14">
        <v>0</v>
      </c>
      <c r="K58" s="14">
        <v>16.835881907342191</v>
      </c>
      <c r="L58" s="14">
        <v>5.9396947870244694E-2</v>
      </c>
      <c r="M58" s="14">
        <v>4.873519572753577E-2</v>
      </c>
      <c r="N58" s="14">
        <v>0.10202095334381996</v>
      </c>
      <c r="O58" s="14">
        <v>8.6646395674906298</v>
      </c>
      <c r="P58" s="8">
        <v>0.10202095334381996</v>
      </c>
      <c r="Q58" s="54">
        <v>5.3434444637086584E-3</v>
      </c>
    </row>
    <row r="59" spans="1:17">
      <c r="A59" s="2" t="s">
        <v>401</v>
      </c>
      <c r="B59" s="16" t="s">
        <v>402</v>
      </c>
      <c r="D59" s="14">
        <v>1</v>
      </c>
      <c r="E59" s="14">
        <v>6.440213222648003E-2</v>
      </c>
      <c r="F59" s="14">
        <v>1.2028929230186771E-2</v>
      </c>
      <c r="G59" s="14">
        <v>1.0100792685619102E-2</v>
      </c>
      <c r="H59" s="14">
        <v>12.294955743530947</v>
      </c>
      <c r="I59" s="14">
        <v>24.109274436749836</v>
      </c>
      <c r="J59" s="14">
        <v>0</v>
      </c>
      <c r="K59" s="14">
        <v>83.132919054048926</v>
      </c>
      <c r="L59" s="14">
        <v>1.2028929230186773E-2</v>
      </c>
      <c r="M59" s="14">
        <v>9.869736433368248E-3</v>
      </c>
      <c r="N59" s="14">
        <v>1.492739622448308</v>
      </c>
      <c r="O59" s="14">
        <v>247.54101159060295</v>
      </c>
      <c r="P59" s="8">
        <v>1.4927396224483083</v>
      </c>
      <c r="Q59" s="54">
        <v>1.7831346551246911E-2</v>
      </c>
    </row>
    <row r="60" spans="1:17">
      <c r="A60" s="2" t="s">
        <v>299</v>
      </c>
      <c r="B60" s="16" t="s">
        <v>300</v>
      </c>
      <c r="D60" s="14">
        <v>1</v>
      </c>
      <c r="E60" s="14">
        <v>1.3154951698610303E-3</v>
      </c>
      <c r="F60" s="14">
        <v>4.4952840922235629E-4</v>
      </c>
      <c r="G60" s="14">
        <v>1.1089338261487044E-2</v>
      </c>
      <c r="H60" s="14">
        <v>0.20131546724910873</v>
      </c>
      <c r="I60" s="14">
        <v>0.41950226899979542</v>
      </c>
      <c r="J60" s="14">
        <v>0</v>
      </c>
      <c r="K60" s="14">
        <v>2224.5535087090716</v>
      </c>
      <c r="L60" s="14">
        <v>4.4952840922235629E-4</v>
      </c>
      <c r="M60" s="14">
        <v>3.6883805976694337E-4</v>
      </c>
      <c r="N60" s="14">
        <v>2.6123637458565507E-2</v>
      </c>
      <c r="O60" s="14">
        <v>2.1457955808465705</v>
      </c>
      <c r="P60" s="8">
        <v>2.6123637458565507E-2</v>
      </c>
      <c r="Q60" s="54">
        <v>4.3344531604239123E-4</v>
      </c>
    </row>
    <row r="61" spans="1:17">
      <c r="A61" s="2" t="s">
        <v>403</v>
      </c>
      <c r="B61" s="16" t="s">
        <v>404</v>
      </c>
      <c r="D61" s="14">
        <v>1</v>
      </c>
      <c r="E61" s="14">
        <v>0.66417250795607052</v>
      </c>
      <c r="F61" s="14">
        <v>0.28511688375801475</v>
      </c>
      <c r="G61" s="14">
        <v>4.9690277643070593E-46</v>
      </c>
      <c r="H61" s="14">
        <v>87.749153515263927</v>
      </c>
      <c r="I61" s="14">
        <v>187.97500560419334</v>
      </c>
      <c r="J61" s="14">
        <v>0</v>
      </c>
      <c r="K61" s="14">
        <v>3.5073335076456678</v>
      </c>
      <c r="L61" s="14">
        <v>0.28511688375801475</v>
      </c>
      <c r="M61" s="14">
        <v>0.2339384031234511</v>
      </c>
      <c r="N61" s="14">
        <v>11.767084456483326</v>
      </c>
      <c r="O61" s="14">
        <v>14151.213438211413</v>
      </c>
      <c r="P61" s="8">
        <v>11.767084456483328</v>
      </c>
      <c r="Q61" s="54">
        <v>0.22609976265205506</v>
      </c>
    </row>
    <row r="62" spans="1:17">
      <c r="A62" s="2" t="s">
        <v>405</v>
      </c>
      <c r="B62" s="16" t="s">
        <v>406</v>
      </c>
      <c r="D62" s="14">
        <v>1</v>
      </c>
      <c r="E62" s="14">
        <v>0.87843869908699024</v>
      </c>
      <c r="F62" s="14">
        <v>3.9063202096382707E-3</v>
      </c>
      <c r="G62" s="14">
        <v>1.1966201953955659E-9</v>
      </c>
      <c r="H62" s="14">
        <v>159.59814544765493</v>
      </c>
      <c r="I62" s="14">
        <v>823.73024298165308</v>
      </c>
      <c r="J62" s="14">
        <v>0</v>
      </c>
      <c r="K62" s="14">
        <v>255.9953988238463</v>
      </c>
      <c r="L62" s="14">
        <v>3.9063202096382707E-3</v>
      </c>
      <c r="M62" s="14">
        <v>3.205135732008201E-3</v>
      </c>
      <c r="N62" s="14">
        <v>51.409057115849777</v>
      </c>
      <c r="O62" s="14">
        <v>16392.291951959862</v>
      </c>
      <c r="P62" s="8">
        <v>51.409057115849784</v>
      </c>
      <c r="Q62" s="54">
        <v>7.950327357544465E-2</v>
      </c>
    </row>
    <row r="63" spans="1:17">
      <c r="A63" s="2" t="s">
        <v>407</v>
      </c>
      <c r="B63" s="16" t="s">
        <v>408</v>
      </c>
      <c r="D63" s="14">
        <v>1</v>
      </c>
      <c r="E63" s="14">
        <v>0.92283928472317989</v>
      </c>
      <c r="F63" s="14">
        <v>3.6387103585214546E-4</v>
      </c>
      <c r="G63" s="14">
        <v>2.921029713738848E-7</v>
      </c>
      <c r="H63" s="14">
        <v>49.958281075802276</v>
      </c>
      <c r="I63" s="14">
        <v>1965.0095159607135</v>
      </c>
      <c r="J63" s="14">
        <v>0</v>
      </c>
      <c r="K63" s="14">
        <v>2748.2264359352243</v>
      </c>
      <c r="L63" s="14">
        <v>3.6387103585214546E-4</v>
      </c>
      <c r="M63" s="14">
        <v>2.9855618491668538E-4</v>
      </c>
      <c r="N63" s="14">
        <v>123.95410417806409</v>
      </c>
      <c r="O63" s="14">
        <v>60215.664268661756</v>
      </c>
      <c r="P63" s="8">
        <v>123.95410417806409</v>
      </c>
      <c r="Q63" s="54">
        <v>4.5916064562808494E-2</v>
      </c>
    </row>
    <row r="64" spans="1:17">
      <c r="A64" s="2" t="s">
        <v>409</v>
      </c>
      <c r="B64" s="16" t="s">
        <v>410</v>
      </c>
      <c r="D64" s="14">
        <v>1</v>
      </c>
      <c r="E64" s="14">
        <v>0.94352119793514777</v>
      </c>
      <c r="F64" s="14">
        <v>1.2682305628545343E-4</v>
      </c>
      <c r="G64" s="14">
        <v>3.637866039927424E-8</v>
      </c>
      <c r="H64" s="14">
        <v>27.078101695547591</v>
      </c>
      <c r="I64" s="14">
        <v>2231.903358632238</v>
      </c>
      <c r="J64" s="14">
        <v>0</v>
      </c>
      <c r="K64" s="14">
        <v>7885.0015863771587</v>
      </c>
      <c r="L64" s="14">
        <v>1.2682305628545343E-4</v>
      </c>
      <c r="M64" s="14">
        <v>1.0405831768221454E-4</v>
      </c>
      <c r="N64" s="14">
        <v>141.35037218915105</v>
      </c>
      <c r="O64" s="14">
        <v>79819.141671491714</v>
      </c>
      <c r="P64" s="8">
        <v>141.35037218915105</v>
      </c>
      <c r="Q64" s="54">
        <v>3.1108236049921707E-2</v>
      </c>
    </row>
    <row r="65" spans="1:17">
      <c r="A65" s="2" t="s">
        <v>301</v>
      </c>
      <c r="B65" s="16" t="s">
        <v>302</v>
      </c>
      <c r="D65" s="14">
        <v>1</v>
      </c>
      <c r="E65" s="14">
        <v>0.96104417420689126</v>
      </c>
      <c r="F65" s="14">
        <v>3.5764117047822184E-5</v>
      </c>
      <c r="G65" s="14">
        <v>4.5141500951877277E-9</v>
      </c>
      <c r="H65" s="14">
        <v>12.616750288392014</v>
      </c>
      <c r="I65" s="14">
        <v>2412.1520402578917</v>
      </c>
      <c r="J65" s="14">
        <v>0</v>
      </c>
      <c r="K65" s="14">
        <v>27960.986668924172</v>
      </c>
      <c r="L65" s="14">
        <v>3.5764117047822191E-5</v>
      </c>
      <c r="M65" s="14">
        <v>2.9344458037738105E-5</v>
      </c>
      <c r="N65" s="14">
        <v>153.46358516540457</v>
      </c>
      <c r="O65" s="14">
        <v>98766.094140751069</v>
      </c>
      <c r="P65" s="8">
        <v>153.46358516540457</v>
      </c>
      <c r="Q65" s="54">
        <v>1.8681196056711435E-2</v>
      </c>
    </row>
    <row r="66" spans="1:17">
      <c r="A66" s="2" t="s">
        <v>303</v>
      </c>
      <c r="B66" s="16" t="s">
        <v>304</v>
      </c>
      <c r="D66" s="14">
        <v>1</v>
      </c>
      <c r="E66" s="14">
        <v>0.95192527397699944</v>
      </c>
      <c r="F66" s="14">
        <v>7.3981615494143711E-5</v>
      </c>
      <c r="G66" s="14">
        <v>4.3478274307332288E-15</v>
      </c>
      <c r="H66" s="14">
        <v>19.612990163530142</v>
      </c>
      <c r="I66" s="14">
        <v>2323.2769373159758</v>
      </c>
      <c r="J66" s="14">
        <v>0</v>
      </c>
      <c r="K66" s="14">
        <v>13516.871635212652</v>
      </c>
      <c r="L66" s="14">
        <v>7.3981615494143711E-5</v>
      </c>
      <c r="M66" s="14">
        <v>6.0701915512944915E-5</v>
      </c>
      <c r="N66" s="14">
        <v>147.42577905490836</v>
      </c>
      <c r="O66" s="14">
        <v>95135.329481922905</v>
      </c>
      <c r="P66" s="8">
        <v>147.42577905490836</v>
      </c>
      <c r="Q66" s="54">
        <v>2.5136278601899684E-2</v>
      </c>
    </row>
    <row r="67" spans="1:17">
      <c r="A67" s="2" t="s">
        <v>411</v>
      </c>
      <c r="B67" s="16" t="s">
        <v>412</v>
      </c>
      <c r="D67" s="14">
        <v>1</v>
      </c>
      <c r="E67" s="14">
        <v>0.84474695292311708</v>
      </c>
      <c r="F67" s="14">
        <v>0.81498460600378475</v>
      </c>
      <c r="G67" s="14">
        <v>5.1746132145586996E-5</v>
      </c>
      <c r="H67" s="14">
        <v>7.1986226004166491</v>
      </c>
      <c r="I67" s="14">
        <v>20.031181973872673</v>
      </c>
      <c r="J67" s="14">
        <v>0</v>
      </c>
      <c r="K67" s="14">
        <v>1.2270170413444055</v>
      </c>
      <c r="L67" s="14">
        <v>0.81498460600378475</v>
      </c>
      <c r="M67" s="14">
        <v>0.66869486922610544</v>
      </c>
      <c r="N67" s="14">
        <v>1.93495356854929</v>
      </c>
      <c r="O67" s="14">
        <v>580.67956592164205</v>
      </c>
      <c r="P67" s="8">
        <v>1.9349535685492902</v>
      </c>
      <c r="Q67" s="54">
        <v>0.10155623136513199</v>
      </c>
    </row>
    <row r="68" spans="1:17">
      <c r="A68" s="2" t="s">
        <v>413</v>
      </c>
      <c r="B68" s="16" t="s">
        <v>414</v>
      </c>
      <c r="D68" s="14">
        <v>1</v>
      </c>
      <c r="E68" s="14">
        <v>0.79726328518269374</v>
      </c>
      <c r="F68" s="14">
        <v>0.74323179763850766</v>
      </c>
      <c r="G68" s="14">
        <v>1.1102295169715652E-4</v>
      </c>
      <c r="H68" s="14">
        <v>12.577209115030684</v>
      </c>
      <c r="I68" s="14">
        <v>33.361183773094581</v>
      </c>
      <c r="J68" s="14">
        <v>0</v>
      </c>
      <c r="K68" s="14">
        <v>1.3454752651559438</v>
      </c>
      <c r="L68" s="14">
        <v>0.74323179763850777</v>
      </c>
      <c r="M68" s="14">
        <v>0.60982168996239561</v>
      </c>
      <c r="N68" s="14">
        <v>2.6835350102162594</v>
      </c>
      <c r="O68" s="14">
        <v>880.60201360246549</v>
      </c>
      <c r="P68" s="8">
        <v>2.6835350102162594</v>
      </c>
      <c r="Q68" s="54">
        <v>0.12996950130538526</v>
      </c>
    </row>
    <row r="69" spans="1:17">
      <c r="A69" s="2" t="s">
        <v>415</v>
      </c>
      <c r="B69" s="16" t="s">
        <v>416</v>
      </c>
      <c r="D69" s="14">
        <v>1</v>
      </c>
      <c r="E69" s="14">
        <v>0.89081057469187519</v>
      </c>
      <c r="F69" s="14">
        <v>1.4249184788024838E-3</v>
      </c>
      <c r="G69" s="14">
        <v>1.3929595534840278E-5</v>
      </c>
      <c r="H69" s="14">
        <v>103.08845208774324</v>
      </c>
      <c r="I69" s="14">
        <v>1386.0126349730388</v>
      </c>
      <c r="J69" s="14">
        <v>0</v>
      </c>
      <c r="K69" s="14">
        <v>701.79453412689975</v>
      </c>
      <c r="L69" s="14">
        <v>1.4249184788024841E-3</v>
      </c>
      <c r="M69" s="14">
        <v>1.1691456118574381E-3</v>
      </c>
      <c r="N69" s="14">
        <v>86.933638300221631</v>
      </c>
      <c r="O69" s="14">
        <v>40344.162862366851</v>
      </c>
      <c r="P69" s="8">
        <v>86.933638300221631</v>
      </c>
      <c r="Q69" s="54">
        <v>6.8543644024072925E-2</v>
      </c>
    </row>
    <row r="70" spans="1:17">
      <c r="A70" s="2" t="s">
        <v>417</v>
      </c>
      <c r="B70" s="16" t="s">
        <v>418</v>
      </c>
      <c r="D70" s="14">
        <v>1</v>
      </c>
      <c r="E70" s="14">
        <v>0.83497408980651466</v>
      </c>
      <c r="F70" s="14">
        <v>2.5738587342952216E-2</v>
      </c>
      <c r="G70" s="14">
        <v>3.544158979903348E-5</v>
      </c>
      <c r="H70" s="14">
        <v>194.48437119123722</v>
      </c>
      <c r="I70" s="14">
        <v>329.11060571897667</v>
      </c>
      <c r="J70" s="14">
        <v>0</v>
      </c>
      <c r="K70" s="14">
        <v>38.852171126393294</v>
      </c>
      <c r="L70" s="14">
        <v>2.5738587342952216E-2</v>
      </c>
      <c r="M70" s="14">
        <v>2.1118510914892294E-2</v>
      </c>
      <c r="N70" s="14">
        <v>20.374973465217543</v>
      </c>
      <c r="O70" s="14">
        <v>6398.7604167515692</v>
      </c>
      <c r="P70" s="8">
        <v>20.374973465217543</v>
      </c>
      <c r="Q70" s="54">
        <v>0.1082285594292683</v>
      </c>
    </row>
    <row r="71" spans="1:17">
      <c r="A71" s="2" t="s">
        <v>419</v>
      </c>
      <c r="B71" s="16" t="s">
        <v>420</v>
      </c>
      <c r="D71" s="14">
        <v>1</v>
      </c>
      <c r="E71" s="14">
        <v>0.79240924517394251</v>
      </c>
      <c r="F71" s="14">
        <v>0.74368217098328981</v>
      </c>
      <c r="G71" s="14">
        <v>2.7254351801813466E-4</v>
      </c>
      <c r="H71" s="14">
        <v>11.386948850989148</v>
      </c>
      <c r="I71" s="14">
        <v>30.427378759720337</v>
      </c>
      <c r="J71" s="14">
        <v>0</v>
      </c>
      <c r="K71" s="14">
        <v>1.3446604463810248</v>
      </c>
      <c r="L71" s="14">
        <v>0.74368217098328981</v>
      </c>
      <c r="M71" s="14">
        <v>0.61019122129178938</v>
      </c>
      <c r="N71" s="14">
        <v>2.505186023934709</v>
      </c>
      <c r="O71" s="14">
        <v>536.21001656298506</v>
      </c>
      <c r="P71" s="8">
        <v>2.505186023934709</v>
      </c>
      <c r="Q71" s="54">
        <v>0.12344245224637472</v>
      </c>
    </row>
    <row r="72" spans="1:17">
      <c r="A72" s="2" t="s">
        <v>421</v>
      </c>
      <c r="B72" s="16" t="s">
        <v>422</v>
      </c>
      <c r="D72" s="14">
        <v>1</v>
      </c>
      <c r="E72" s="14">
        <v>0.81607439091552036</v>
      </c>
      <c r="F72" s="14">
        <v>2.9735789990318451E-2</v>
      </c>
      <c r="G72" s="14">
        <v>1.4852103552448039E-4</v>
      </c>
      <c r="H72" s="14">
        <v>188.60772685612488</v>
      </c>
      <c r="I72" s="14">
        <v>323.30814936397491</v>
      </c>
      <c r="J72" s="14">
        <v>0</v>
      </c>
      <c r="K72" s="14">
        <v>33.629508424884143</v>
      </c>
      <c r="L72" s="14">
        <v>2.9735789990318454E-2</v>
      </c>
      <c r="M72" s="14">
        <v>2.4398215687056291E-2</v>
      </c>
      <c r="N72" s="14">
        <v>20.009254947845601</v>
      </c>
      <c r="O72" s="14">
        <v>8285.2321962544283</v>
      </c>
      <c r="P72" s="8">
        <v>20.009254947845601</v>
      </c>
      <c r="Q72" s="54">
        <v>0.11413442406281157</v>
      </c>
    </row>
    <row r="73" spans="1:17">
      <c r="A73" s="2" t="s">
        <v>423</v>
      </c>
      <c r="B73" s="16" t="s">
        <v>424</v>
      </c>
      <c r="D73" s="14">
        <v>1</v>
      </c>
      <c r="E73" s="14">
        <v>0.65709232736146295</v>
      </c>
      <c r="F73" s="14">
        <v>0.26236947934741045</v>
      </c>
      <c r="G73" s="14">
        <v>1.4469775770134541E-4</v>
      </c>
      <c r="H73" s="14">
        <v>91.502574500164755</v>
      </c>
      <c r="I73" s="14">
        <v>194.21845018673889</v>
      </c>
      <c r="J73" s="14">
        <v>0</v>
      </c>
      <c r="K73" s="14">
        <v>3.8114189290892071</v>
      </c>
      <c r="L73" s="14">
        <v>0.26236947934741045</v>
      </c>
      <c r="M73" s="14">
        <v>0.21527415780455028</v>
      </c>
      <c r="N73" s="14">
        <v>12.133791008442412</v>
      </c>
      <c r="O73" s="14">
        <v>5195.3252960847876</v>
      </c>
      <c r="P73" s="8">
        <v>12.133791008442413</v>
      </c>
      <c r="Q73" s="54">
        <v>0.22207030254424948</v>
      </c>
    </row>
    <row r="74" spans="1:17">
      <c r="A74" s="2" t="s">
        <v>425</v>
      </c>
      <c r="B74" s="16" t="s">
        <v>426</v>
      </c>
      <c r="D74" s="14">
        <v>1</v>
      </c>
      <c r="E74" s="14">
        <v>0.83057388609153238</v>
      </c>
      <c r="F74" s="14">
        <v>2.6858823905773991E-2</v>
      </c>
      <c r="G74" s="14">
        <v>5.4688432991545737E-5</v>
      </c>
      <c r="H74" s="14">
        <v>193.04874909771357</v>
      </c>
      <c r="I74" s="14">
        <v>327.88697315651922</v>
      </c>
      <c r="J74" s="14">
        <v>0</v>
      </c>
      <c r="K74" s="14">
        <v>37.231712137068833</v>
      </c>
      <c r="L74" s="14">
        <v>2.6858823905773991E-2</v>
      </c>
      <c r="M74" s="14">
        <v>2.2037665014687558E-2</v>
      </c>
      <c r="N74" s="14">
        <v>20.297270943726673</v>
      </c>
      <c r="O74" s="14">
        <v>10720.612567057553</v>
      </c>
      <c r="P74" s="8">
        <v>20.297270943726673</v>
      </c>
      <c r="Q74" s="54">
        <v>0.11003330622928367</v>
      </c>
    </row>
    <row r="75" spans="1:17">
      <c r="A75" s="2" t="s">
        <v>427</v>
      </c>
      <c r="B75" s="16" t="s">
        <v>428</v>
      </c>
      <c r="D75" s="14">
        <v>1</v>
      </c>
      <c r="E75" s="14">
        <v>0.99950492699971927</v>
      </c>
      <c r="F75" s="14">
        <v>4.3360213320461872E-3</v>
      </c>
      <c r="G75" s="14">
        <v>6.1167380268691775E-12</v>
      </c>
      <c r="H75" s="14">
        <v>282.74270602073636</v>
      </c>
      <c r="I75" s="14">
        <v>1.0101903944086745</v>
      </c>
      <c r="J75" s="14">
        <v>0</v>
      </c>
      <c r="K75" s="14">
        <v>230.62617164941292</v>
      </c>
      <c r="L75" s="14">
        <v>4.3360213320461872E-3</v>
      </c>
      <c r="M75" s="14">
        <v>3.5577055029438966E-3</v>
      </c>
      <c r="N75" s="14">
        <v>5.5985443379991233</v>
      </c>
      <c r="O75" s="14">
        <v>3158.0828756219257</v>
      </c>
      <c r="P75" s="8">
        <v>5.5985443379991242</v>
      </c>
      <c r="Q75" s="54">
        <v>5.6416122628668887E-5</v>
      </c>
    </row>
    <row r="76" spans="1:17">
      <c r="A76" s="2" t="s">
        <v>429</v>
      </c>
      <c r="B76" s="16" t="s">
        <v>430</v>
      </c>
      <c r="D76" s="14">
        <v>1</v>
      </c>
      <c r="E76" s="14">
        <v>0.99950492753613196</v>
      </c>
      <c r="F76" s="14">
        <v>4.3360213343732355E-3</v>
      </c>
      <c r="G76" s="14">
        <v>1.5364551263037192E-13</v>
      </c>
      <c r="H76" s="14">
        <v>282.74270617247822</v>
      </c>
      <c r="I76" s="14">
        <v>1.0101903949508217</v>
      </c>
      <c r="J76" s="14">
        <v>0</v>
      </c>
      <c r="K76" s="14">
        <v>230.62617152564087</v>
      </c>
      <c r="L76" s="14">
        <v>4.3360213343732355E-3</v>
      </c>
      <c r="M76" s="14">
        <v>3.5577055048532399E-3</v>
      </c>
      <c r="N76" s="14">
        <v>5.5985443410037412</v>
      </c>
      <c r="O76" s="14">
        <v>2799.9999812662008</v>
      </c>
      <c r="P76" s="8">
        <v>5.5985443410037412</v>
      </c>
      <c r="Q76" s="54">
        <v>5.6416122658946195E-5</v>
      </c>
    </row>
    <row r="77" spans="1:17">
      <c r="A77" s="2" t="s">
        <v>431</v>
      </c>
      <c r="B77" s="16" t="s">
        <v>432</v>
      </c>
      <c r="D77" s="14">
        <v>1</v>
      </c>
      <c r="E77" s="14">
        <v>0.71090436118002065</v>
      </c>
      <c r="F77" s="14">
        <v>0.10151409811522298</v>
      </c>
      <c r="G77" s="14">
        <v>2.6389724007376498E-4</v>
      </c>
      <c r="H77" s="14">
        <v>143.61716865347182</v>
      </c>
      <c r="I77" s="14">
        <v>274.95620903819702</v>
      </c>
      <c r="J77" s="14">
        <v>0</v>
      </c>
      <c r="K77" s="14">
        <v>9.8508484886991354</v>
      </c>
      <c r="L77" s="14">
        <v>0.10151409811522298</v>
      </c>
      <c r="M77" s="14">
        <v>8.3292317503540464E-2</v>
      </c>
      <c r="N77" s="14">
        <v>17.008746958502638</v>
      </c>
      <c r="O77" s="14">
        <v>6192.2044177124699</v>
      </c>
      <c r="P77" s="8">
        <v>17.008746958502638</v>
      </c>
      <c r="Q77" s="54">
        <v>0.17826395241052603</v>
      </c>
    </row>
    <row r="78" spans="1:17">
      <c r="A78" s="2" t="s">
        <v>433</v>
      </c>
      <c r="B78" s="16" t="s">
        <v>434</v>
      </c>
      <c r="D78" s="14">
        <v>1</v>
      </c>
      <c r="E78" s="14">
        <v>0.68361763389168995</v>
      </c>
      <c r="F78" s="14">
        <v>0.52584382895643345</v>
      </c>
      <c r="G78" s="14">
        <v>3.7025869773103407E-4</v>
      </c>
      <c r="H78" s="14">
        <v>36.097471453312338</v>
      </c>
      <c r="I78" s="14">
        <v>86.364239359805495</v>
      </c>
      <c r="J78" s="14">
        <v>0</v>
      </c>
      <c r="K78" s="14">
        <v>1.9017053066583591</v>
      </c>
      <c r="L78" s="14">
        <v>0.52584382895643345</v>
      </c>
      <c r="M78" s="14">
        <v>0.43145486165875369</v>
      </c>
      <c r="N78" s="14">
        <v>5.7323160865981411</v>
      </c>
      <c r="O78" s="14">
        <v>1513.6180626662392</v>
      </c>
      <c r="P78" s="8">
        <v>5.7323160865981411</v>
      </c>
      <c r="Q78" s="54">
        <v>0.19078048670410266</v>
      </c>
    </row>
    <row r="79" spans="1:17">
      <c r="A79" s="2" t="s">
        <v>435</v>
      </c>
      <c r="B79" s="16" t="s">
        <v>436</v>
      </c>
      <c r="D79" s="14">
        <v>1</v>
      </c>
      <c r="E79" s="14">
        <v>0.66144127518574292</v>
      </c>
      <c r="F79" s="14">
        <v>0.3693944949041697</v>
      </c>
      <c r="G79" s="14">
        <v>8.6592226493280986E-5</v>
      </c>
      <c r="H79" s="14">
        <v>67.243516818526658</v>
      </c>
      <c r="I79" s="14">
        <v>149.72957422685118</v>
      </c>
      <c r="J79" s="14">
        <v>0</v>
      </c>
      <c r="K79" s="14">
        <v>2.7071329264379682</v>
      </c>
      <c r="L79" s="14">
        <v>0.3693944949041697</v>
      </c>
      <c r="M79" s="14">
        <v>0.30308818306887125</v>
      </c>
      <c r="N79" s="14">
        <v>9.484681820283372</v>
      </c>
      <c r="O79" s="14">
        <v>3794.9160431135797</v>
      </c>
      <c r="P79" s="8">
        <v>9.484681820283372</v>
      </c>
      <c r="Q79" s="54">
        <v>0.22279610271334793</v>
      </c>
    </row>
    <row r="80" spans="1:17">
      <c r="A80" s="2" t="s">
        <v>437</v>
      </c>
      <c r="B80" s="16" t="s">
        <v>438</v>
      </c>
      <c r="D80" s="14">
        <v>1</v>
      </c>
      <c r="E80" s="14">
        <v>0.99909941960289073</v>
      </c>
      <c r="F80" s="14">
        <v>2.9387819844631786E-3</v>
      </c>
      <c r="G80" s="14">
        <v>2.1892524239541464E-12</v>
      </c>
      <c r="H80" s="14">
        <v>282.92242302081502</v>
      </c>
      <c r="I80" s="14">
        <v>1.9416868675798054</v>
      </c>
      <c r="J80" s="14">
        <v>0</v>
      </c>
      <c r="K80" s="14">
        <v>340.27702813166252</v>
      </c>
      <c r="L80" s="14">
        <v>2.9387819844631786E-3</v>
      </c>
      <c r="M80" s="14">
        <v>2.4112706182520382E-3</v>
      </c>
      <c r="N80" s="14">
        <v>10.867350692220457</v>
      </c>
      <c r="O80" s="14">
        <v>5586.6876438566924</v>
      </c>
      <c r="P80" s="8">
        <v>10.867350692220457</v>
      </c>
      <c r="Q80" s="54">
        <v>6.8735198833987413E-5</v>
      </c>
    </row>
    <row r="81" spans="1:17">
      <c r="A81" s="2" t="s">
        <v>440</v>
      </c>
      <c r="B81" s="16" t="s">
        <v>441</v>
      </c>
      <c r="D81" s="14">
        <v>1</v>
      </c>
      <c r="E81" s="14">
        <v>0.97094731880664364</v>
      </c>
      <c r="F81" s="14">
        <v>0.97347449381420215</v>
      </c>
      <c r="G81" s="14">
        <v>2.0542489074248677E-15</v>
      </c>
      <c r="H81" s="14">
        <v>0.2594326172376869</v>
      </c>
      <c r="I81" s="14">
        <v>0.93429010167826521</v>
      </c>
      <c r="J81" s="14">
        <v>0</v>
      </c>
      <c r="K81" s="14">
        <v>1.0272482806219887</v>
      </c>
      <c r="L81" s="14">
        <v>0.97347449381420215</v>
      </c>
      <c r="M81" s="14">
        <v>0.79873582217455286</v>
      </c>
      <c r="N81" s="14">
        <v>0.91659183399782618</v>
      </c>
      <c r="O81" s="14">
        <v>254.13425189423728</v>
      </c>
      <c r="P81" s="8">
        <v>0.91659183399782618</v>
      </c>
      <c r="Q81" s="54">
        <v>1.956508539302652E-2</v>
      </c>
    </row>
    <row r="82" spans="1:17">
      <c r="A82" s="2" t="s">
        <v>442</v>
      </c>
      <c r="B82" s="16" t="s">
        <v>443</v>
      </c>
      <c r="D82" s="14">
        <v>1</v>
      </c>
      <c r="E82" s="14">
        <v>0.7873073251114554</v>
      </c>
      <c r="F82" s="14">
        <v>0.71962016541047025</v>
      </c>
      <c r="G82" s="14">
        <v>9.162032172307028E-7</v>
      </c>
      <c r="H82" s="14">
        <v>15.637356048563465</v>
      </c>
      <c r="I82" s="14">
        <v>40.721193243567583</v>
      </c>
      <c r="J82" s="14">
        <v>0</v>
      </c>
      <c r="K82" s="14">
        <v>1.389621981242843</v>
      </c>
      <c r="L82" s="14">
        <v>0.71962016541047025</v>
      </c>
      <c r="M82" s="14">
        <v>0.59044834571929083</v>
      </c>
      <c r="N82" s="14">
        <v>3.111531517898217</v>
      </c>
      <c r="O82" s="14">
        <v>513.99389144160648</v>
      </c>
      <c r="P82" s="8">
        <v>3.111531517898217</v>
      </c>
      <c r="Q82" s="54">
        <v>0.1433575253468892</v>
      </c>
    </row>
    <row r="83" spans="1:17">
      <c r="A83" s="2" t="s">
        <v>444</v>
      </c>
      <c r="B83" s="16" t="s">
        <v>445</v>
      </c>
      <c r="D83" s="14">
        <v>1</v>
      </c>
      <c r="E83" s="14">
        <v>0.71084016721538401</v>
      </c>
      <c r="F83" s="14">
        <v>0.12751686783961799</v>
      </c>
      <c r="G83" s="14">
        <v>5.6210328635665375E-6</v>
      </c>
      <c r="H83" s="14">
        <v>137.02115901020358</v>
      </c>
      <c r="I83" s="14">
        <v>267.69780334697816</v>
      </c>
      <c r="J83" s="14">
        <v>0</v>
      </c>
      <c r="K83" s="14">
        <v>7.8420997703435713</v>
      </c>
      <c r="L83" s="14">
        <v>0.12751686783961802</v>
      </c>
      <c r="M83" s="14">
        <v>0.10462759006240657</v>
      </c>
      <c r="N83" s="14">
        <v>16.571743251705662</v>
      </c>
      <c r="O83" s="14">
        <v>2986.891003687429</v>
      </c>
      <c r="P83" s="8">
        <v>16.571743251705662</v>
      </c>
      <c r="Q83" s="54">
        <v>0.1940192437710789</v>
      </c>
    </row>
    <row r="84" spans="1:17">
      <c r="A84" s="2" t="s">
        <v>446</v>
      </c>
      <c r="B84" s="16" t="s">
        <v>447</v>
      </c>
      <c r="D84" s="14">
        <v>1</v>
      </c>
      <c r="E84" s="14">
        <v>0.93780753635763692</v>
      </c>
      <c r="F84" s="14">
        <v>0.93595260155451232</v>
      </c>
      <c r="G84" s="14">
        <v>6.299010662194663E-17</v>
      </c>
      <c r="H84" s="14">
        <v>1.1610311070734238</v>
      </c>
      <c r="I84" s="14">
        <v>3.7333699418356998</v>
      </c>
      <c r="J84" s="14">
        <v>0</v>
      </c>
      <c r="K84" s="14">
        <v>1.0684301730014021</v>
      </c>
      <c r="L84" s="14">
        <v>0.93595260155451243</v>
      </c>
      <c r="M84" s="14">
        <v>0.76794910957547746</v>
      </c>
      <c r="N84" s="14">
        <v>1.0524400990116938</v>
      </c>
      <c r="O84" s="14">
        <v>409.28343010465761</v>
      </c>
      <c r="P84" s="8">
        <v>1.052440099011694</v>
      </c>
      <c r="Q84" s="54">
        <v>4.1927698774179026E-2</v>
      </c>
    </row>
    <row r="85" spans="1:17">
      <c r="A85" s="2" t="s">
        <v>448</v>
      </c>
      <c r="B85" s="16" t="s">
        <v>449</v>
      </c>
      <c r="D85" s="14">
        <v>1</v>
      </c>
      <c r="E85" s="14">
        <v>0.98784480244825912</v>
      </c>
      <c r="F85" s="14">
        <v>0.9914683092594524</v>
      </c>
      <c r="G85" s="14">
        <v>4.430954851727851E-10</v>
      </c>
      <c r="H85" s="14">
        <v>4.7650650879240204E-2</v>
      </c>
      <c r="I85" s="14">
        <v>0.19468209360588712</v>
      </c>
      <c r="J85" s="14">
        <v>0</v>
      </c>
      <c r="K85" s="14">
        <v>1.0086051068509896</v>
      </c>
      <c r="L85" s="14">
        <v>0.99146830925945251</v>
      </c>
      <c r="M85" s="14">
        <v>0.81349974774738076</v>
      </c>
      <c r="N85" s="14">
        <v>0.88803883979829801</v>
      </c>
      <c r="O85" s="14">
        <v>159.17208164544695</v>
      </c>
      <c r="P85" s="8">
        <v>0.88803883979829812</v>
      </c>
      <c r="Q85" s="54">
        <v>8.1606736024349077E-3</v>
      </c>
    </row>
    <row r="86" spans="1:17">
      <c r="A86" s="2" t="s">
        <v>450</v>
      </c>
      <c r="B86" s="16" t="s">
        <v>451</v>
      </c>
      <c r="D86" s="14">
        <v>1</v>
      </c>
      <c r="E86" s="14">
        <v>0.93929334383689123</v>
      </c>
      <c r="F86" s="14">
        <v>0.93769893874841881</v>
      </c>
      <c r="G86" s="14">
        <v>1.5847542027044528E-10</v>
      </c>
      <c r="H86" s="14">
        <v>1.106454156228236</v>
      </c>
      <c r="I86" s="14">
        <v>3.5710061263575561</v>
      </c>
      <c r="J86" s="14">
        <v>0</v>
      </c>
      <c r="K86" s="14">
        <v>1.066440366600752</v>
      </c>
      <c r="L86" s="14">
        <v>0.93769893874841892</v>
      </c>
      <c r="M86" s="14">
        <v>0.76938197924307772</v>
      </c>
      <c r="N86" s="14">
        <v>1.044163520971781</v>
      </c>
      <c r="O86" s="14">
        <v>272.62065369052226</v>
      </c>
      <c r="P86" s="8">
        <v>1.044163520971781</v>
      </c>
      <c r="Q86" s="54">
        <v>4.0925179720032401E-2</v>
      </c>
    </row>
    <row r="87" spans="1:17">
      <c r="A87" s="2" t="s">
        <v>452</v>
      </c>
      <c r="B87" s="16" t="s">
        <v>453</v>
      </c>
      <c r="D87" s="14">
        <v>1</v>
      </c>
      <c r="E87" s="14">
        <v>0.91445981256913333</v>
      </c>
      <c r="F87" s="14">
        <v>5.2789673229811725E-4</v>
      </c>
      <c r="G87" s="14">
        <v>5.4449947004170567E-10</v>
      </c>
      <c r="H87" s="14">
        <v>61.484971166514583</v>
      </c>
      <c r="I87" s="14">
        <v>1835.8032927294514</v>
      </c>
      <c r="J87" s="14">
        <v>0</v>
      </c>
      <c r="K87" s="14">
        <v>1894.3098883121586</v>
      </c>
      <c r="L87" s="14">
        <v>5.2789673229811725E-4</v>
      </c>
      <c r="M87" s="14">
        <v>4.3313926885060522E-4</v>
      </c>
      <c r="N87" s="14">
        <v>115.63342544143548</v>
      </c>
      <c r="O87" s="14">
        <v>48138.195011269592</v>
      </c>
      <c r="P87" s="8">
        <v>115.63342544143549</v>
      </c>
      <c r="Q87" s="54">
        <v>5.2002730117778909E-2</v>
      </c>
    </row>
    <row r="88" spans="1:17">
      <c r="A88" s="2" t="s">
        <v>454</v>
      </c>
      <c r="B88" s="16" t="s">
        <v>455</v>
      </c>
      <c r="D88" s="14">
        <v>1</v>
      </c>
      <c r="E88" s="14">
        <v>0.72979910876570453</v>
      </c>
      <c r="F88" s="14">
        <v>0.60243599938003445</v>
      </c>
      <c r="G88" s="14">
        <v>4.4332212215725113E-7</v>
      </c>
      <c r="H88" s="14">
        <v>29.140091815443355</v>
      </c>
      <c r="I88" s="14">
        <v>71.539860111045499</v>
      </c>
      <c r="J88" s="14">
        <v>0</v>
      </c>
      <c r="K88" s="14">
        <v>1.6599273632868849</v>
      </c>
      <c r="L88" s="14">
        <v>0.60243599938003445</v>
      </c>
      <c r="M88" s="14">
        <v>0.49429873749131831</v>
      </c>
      <c r="N88" s="14">
        <v>4.8914405865927213</v>
      </c>
      <c r="O88" s="14">
        <v>935.58584099758991</v>
      </c>
      <c r="P88" s="8">
        <v>4.8914405865927213</v>
      </c>
      <c r="Q88" s="54">
        <v>0.18211599316812616</v>
      </c>
    </row>
    <row r="89" spans="1:17">
      <c r="A89" s="2" t="s">
        <v>456</v>
      </c>
      <c r="B89" s="16" t="s">
        <v>457</v>
      </c>
      <c r="D89" s="14">
        <v>1</v>
      </c>
      <c r="E89" s="14">
        <v>0.77644480525546733</v>
      </c>
      <c r="F89" s="14">
        <v>0.69972546794126811</v>
      </c>
      <c r="G89" s="14">
        <v>3.0211769940022406E-19</v>
      </c>
      <c r="H89" s="14">
        <v>17.666384615177993</v>
      </c>
      <c r="I89" s="14">
        <v>45.499314337839806</v>
      </c>
      <c r="J89" s="14">
        <v>0</v>
      </c>
      <c r="K89" s="14">
        <v>1.4291319178965995</v>
      </c>
      <c r="L89" s="14">
        <v>0.69972546794126811</v>
      </c>
      <c r="M89" s="14">
        <v>0.57412474644581057</v>
      </c>
      <c r="N89" s="14">
        <v>3.3855993109470948</v>
      </c>
      <c r="O89" s="14">
        <v>1328.7123055742968</v>
      </c>
      <c r="P89" s="8">
        <v>3.3855993109470948</v>
      </c>
      <c r="Q89" s="54">
        <v>0.1507317884067452</v>
      </c>
    </row>
    <row r="90" spans="1:17">
      <c r="A90" s="2" t="s">
        <v>458</v>
      </c>
      <c r="B90" s="16" t="s">
        <v>459</v>
      </c>
      <c r="D90" s="14">
        <v>1</v>
      </c>
      <c r="E90" s="14">
        <v>0.88284938674654834</v>
      </c>
      <c r="F90" s="14">
        <v>0.86680353914554598</v>
      </c>
      <c r="G90" s="14">
        <v>4.6688418548212951E-31</v>
      </c>
      <c r="H90" s="14">
        <v>4.2012708023710363</v>
      </c>
      <c r="I90" s="14">
        <v>12.219061386697366</v>
      </c>
      <c r="J90" s="14">
        <v>0</v>
      </c>
      <c r="K90" s="14">
        <v>1.1536639559475641</v>
      </c>
      <c r="L90" s="14">
        <v>0.86680353914554609</v>
      </c>
      <c r="M90" s="14">
        <v>0.71121230386892054</v>
      </c>
      <c r="N90" s="14">
        <v>1.5058196686177496</v>
      </c>
      <c r="O90" s="14">
        <v>1175.9548120103454</v>
      </c>
      <c r="P90" s="8">
        <v>1.5058196686177496</v>
      </c>
      <c r="Q90" s="54">
        <v>7.9001956467770626E-2</v>
      </c>
    </row>
    <row r="91" spans="1:17">
      <c r="A91" s="2" t="s">
        <v>460</v>
      </c>
      <c r="B91" s="16" t="s">
        <v>461</v>
      </c>
      <c r="D91" s="14">
        <v>1</v>
      </c>
      <c r="E91" s="14">
        <v>0.87915285482501238</v>
      </c>
      <c r="F91" s="14">
        <v>3.3975119966062816E-3</v>
      </c>
      <c r="G91" s="14">
        <v>5.5969249907253576E-10</v>
      </c>
      <c r="H91" s="14">
        <v>151.36344335466768</v>
      </c>
      <c r="I91" s="14">
        <v>903.18802260555503</v>
      </c>
      <c r="J91" s="14">
        <v>0</v>
      </c>
      <c r="K91" s="14">
        <v>294.33302987565116</v>
      </c>
      <c r="L91" s="14">
        <v>3.3975119966062821E-3</v>
      </c>
      <c r="M91" s="14">
        <v>2.7876585932154543E-3</v>
      </c>
      <c r="N91" s="14">
        <v>56.410113549465137</v>
      </c>
      <c r="O91" s="14">
        <v>17284.058791556115</v>
      </c>
      <c r="P91" s="8">
        <v>56.410113549465137</v>
      </c>
      <c r="Q91" s="54">
        <v>7.8773142233324545E-2</v>
      </c>
    </row>
    <row r="92" spans="1:17">
      <c r="A92" s="2" t="s">
        <v>462</v>
      </c>
      <c r="B92" s="16" t="s">
        <v>463</v>
      </c>
      <c r="D92" s="14">
        <v>1</v>
      </c>
      <c r="E92" s="14">
        <v>0.68615639798436368</v>
      </c>
      <c r="F92" s="14">
        <v>0.17773003947809801</v>
      </c>
      <c r="G92" s="14">
        <v>4.9302543510752067E-11</v>
      </c>
      <c r="H92" s="14">
        <v>118.7519739378065</v>
      </c>
      <c r="I92" s="14">
        <v>240.26914786681255</v>
      </c>
      <c r="J92" s="14">
        <v>0</v>
      </c>
      <c r="K92" s="14">
        <v>5.6265108753505437</v>
      </c>
      <c r="L92" s="14">
        <v>0.17773003947809801</v>
      </c>
      <c r="M92" s="14">
        <v>0.14582749739177941</v>
      </c>
      <c r="N92" s="14">
        <v>14.90908561325767</v>
      </c>
      <c r="O92" s="14">
        <v>5021.6782162574482</v>
      </c>
      <c r="P92" s="8">
        <v>14.90908561325767</v>
      </c>
      <c r="Q92" s="54">
        <v>0.21110475135543716</v>
      </c>
    </row>
    <row r="93" spans="1:17">
      <c r="A93" s="2" t="s">
        <v>464</v>
      </c>
      <c r="B93" s="16" t="s">
        <v>465</v>
      </c>
      <c r="D93" s="14">
        <v>1</v>
      </c>
      <c r="E93" s="14">
        <v>0.80809014050807138</v>
      </c>
      <c r="F93" s="14">
        <v>3.9120761747814689E-2</v>
      </c>
      <c r="G93" s="14">
        <v>2.1887481415588901E-6</v>
      </c>
      <c r="H93" s="14">
        <v>183.80922445960204</v>
      </c>
      <c r="I93" s="14">
        <v>322.12503105050172</v>
      </c>
      <c r="J93" s="14">
        <v>0</v>
      </c>
      <c r="K93" s="14">
        <v>25.561874445245451</v>
      </c>
      <c r="L93" s="14">
        <v>3.9120761747814689E-2</v>
      </c>
      <c r="M93" s="14">
        <v>3.209858501408195E-2</v>
      </c>
      <c r="N93" s="14">
        <v>19.926653350737283</v>
      </c>
      <c r="O93" s="14">
        <v>9267.6872068944031</v>
      </c>
      <c r="P93" s="8">
        <v>19.926653350737283</v>
      </c>
      <c r="Q93" s="54">
        <v>0.12841757761808859</v>
      </c>
    </row>
    <row r="94" spans="1:17">
      <c r="A94" s="2" t="s">
        <v>466</v>
      </c>
      <c r="B94" s="16" t="s">
        <v>467</v>
      </c>
      <c r="D94" s="14">
        <v>1</v>
      </c>
      <c r="E94" s="14">
        <v>0.99977322086198783</v>
      </c>
      <c r="F94" s="14">
        <v>0.89820936607120727</v>
      </c>
      <c r="G94" s="14">
        <v>2.0380460750410085E-20</v>
      </c>
      <c r="H94" s="14">
        <v>29.857784512423731</v>
      </c>
      <c r="I94" s="14">
        <v>3.6329355160488408E-2</v>
      </c>
      <c r="J94" s="14">
        <v>0</v>
      </c>
      <c r="K94" s="14">
        <v>1.1133261773633332</v>
      </c>
      <c r="L94" s="14">
        <v>0.89820936607120727</v>
      </c>
      <c r="M94" s="14">
        <v>0.7369807848614256</v>
      </c>
      <c r="N94" s="14">
        <v>0.91539625448357598</v>
      </c>
      <c r="O94" s="14">
        <v>302.75815720789791</v>
      </c>
      <c r="P94" s="8">
        <v>0.91539625448357609</v>
      </c>
      <c r="Q94" s="54">
        <v>1.076608214825784E-4</v>
      </c>
    </row>
    <row r="95" spans="1:17">
      <c r="A95" s="2" t="s">
        <v>468</v>
      </c>
      <c r="B95" s="16" t="s">
        <v>469</v>
      </c>
      <c r="D95" s="14">
        <v>1</v>
      </c>
      <c r="E95" s="14">
        <v>0.8827677315094451</v>
      </c>
      <c r="F95" s="14">
        <v>7.9231180106065831E-3</v>
      </c>
      <c r="G95" s="14">
        <v>2.2476289239649422E-20</v>
      </c>
      <c r="H95" s="14">
        <v>199.34076681796546</v>
      </c>
      <c r="I95" s="14">
        <v>456.61828160463517</v>
      </c>
      <c r="J95" s="14">
        <v>0</v>
      </c>
      <c r="K95" s="14">
        <v>126.21293771736228</v>
      </c>
      <c r="L95" s="14">
        <v>7.9231180106065831E-3</v>
      </c>
      <c r="M95" s="14">
        <v>6.5009183277027023E-3</v>
      </c>
      <c r="N95" s="14">
        <v>28.382200431812528</v>
      </c>
      <c r="O95" s="14">
        <v>14020.807013315389</v>
      </c>
      <c r="P95" s="8">
        <v>28.382200431812528</v>
      </c>
      <c r="Q95" s="54">
        <v>7.772366931220126E-2</v>
      </c>
    </row>
    <row r="96" spans="1:17">
      <c r="A96" s="2" t="s">
        <v>470</v>
      </c>
      <c r="B96" s="166">
        <v>354656</v>
      </c>
      <c r="D96" s="14">
        <v>1</v>
      </c>
      <c r="E96" s="14">
        <v>0.96982910454669347</v>
      </c>
      <c r="F96" s="14">
        <v>0.97225657988992431</v>
      </c>
      <c r="G96" s="14">
        <v>4.0953344875863283E-12</v>
      </c>
      <c r="H96" s="14">
        <v>0.27929354019486119</v>
      </c>
      <c r="I96" s="14">
        <v>1.0002718841854255</v>
      </c>
      <c r="J96" s="14">
        <v>0</v>
      </c>
      <c r="K96" s="14">
        <v>1.0285350808458573</v>
      </c>
      <c r="L96" s="14">
        <v>0.97225657988992431</v>
      </c>
      <c r="M96" s="14">
        <v>0.79773652379968296</v>
      </c>
      <c r="N96" s="14">
        <v>0.91948913625143569</v>
      </c>
      <c r="O96" s="14">
        <v>181.31406277742062</v>
      </c>
      <c r="P96" s="8">
        <v>0.9194891362514358</v>
      </c>
      <c r="Q96" s="54">
        <v>2.0319736027418073E-2</v>
      </c>
    </row>
    <row r="97" spans="1:17">
      <c r="A97" s="2" t="s">
        <v>472</v>
      </c>
      <c r="B97" s="16" t="s">
        <v>473</v>
      </c>
      <c r="D97" s="14">
        <v>1</v>
      </c>
      <c r="E97" s="14">
        <v>0.93705224500592554</v>
      </c>
      <c r="F97" s="14">
        <v>0.93506252132010259</v>
      </c>
      <c r="G97" s="14">
        <v>6.2938898479509822E-12</v>
      </c>
      <c r="H97" s="14">
        <v>1.1892978949470518</v>
      </c>
      <c r="I97" s="14">
        <v>3.8172255404091531</v>
      </c>
      <c r="J97" s="14">
        <v>0</v>
      </c>
      <c r="K97" s="14">
        <v>1.0694472050791</v>
      </c>
      <c r="L97" s="14">
        <v>0.93506252132010259</v>
      </c>
      <c r="M97" s="14">
        <v>0.76721879874314425</v>
      </c>
      <c r="N97" s="14">
        <v>1.0567257046490677</v>
      </c>
      <c r="O97" s="14">
        <v>169.26632337068767</v>
      </c>
      <c r="P97" s="8">
        <v>1.0567257046490677</v>
      </c>
      <c r="Q97" s="54">
        <v>4.2437307434624698E-2</v>
      </c>
    </row>
    <row r="98" spans="1:17">
      <c r="A98" s="2" t="s">
        <v>474</v>
      </c>
      <c r="B98" s="16" t="s">
        <v>475</v>
      </c>
      <c r="D98" s="14">
        <v>1</v>
      </c>
      <c r="E98" s="14">
        <v>0.85877000983144713</v>
      </c>
      <c r="F98" s="14">
        <v>1.8444771119901778E-2</v>
      </c>
      <c r="G98" s="14">
        <v>5.1963902370182726E-22</v>
      </c>
      <c r="H98" s="14">
        <v>202.80248417159734</v>
      </c>
      <c r="I98" s="14">
        <v>333.83390394192418</v>
      </c>
      <c r="J98" s="14">
        <v>0</v>
      </c>
      <c r="K98" s="14">
        <v>54.215907234598689</v>
      </c>
      <c r="L98" s="14">
        <v>1.8444771119901782E-2</v>
      </c>
      <c r="M98" s="14">
        <v>1.5133934703879411E-2</v>
      </c>
      <c r="N98" s="14">
        <v>20.683745919383476</v>
      </c>
      <c r="O98" s="14">
        <v>10991.963093937959</v>
      </c>
      <c r="P98" s="8">
        <v>20.683745919383476</v>
      </c>
      <c r="Q98" s="54">
        <v>9.4304071019347749E-2</v>
      </c>
    </row>
    <row r="99" spans="1:17">
      <c r="A99" s="2" t="s">
        <v>476</v>
      </c>
      <c r="B99" s="16" t="s">
        <v>477</v>
      </c>
      <c r="D99" s="14">
        <v>1</v>
      </c>
      <c r="E99" s="14">
        <v>0.99156333303113009</v>
      </c>
      <c r="F99" s="14">
        <v>0.99532259475892848</v>
      </c>
      <c r="G99" s="14">
        <v>1.9340707226178712E-9</v>
      </c>
      <c r="H99" s="14">
        <v>2.3455455057248217E-2</v>
      </c>
      <c r="I99" s="14">
        <v>0.1009952698327552</v>
      </c>
      <c r="J99" s="14">
        <v>0</v>
      </c>
      <c r="K99" s="14">
        <v>1.0046993861745943</v>
      </c>
      <c r="L99" s="14">
        <v>0.99532259475892848</v>
      </c>
      <c r="M99" s="14">
        <v>0.81666218899970078</v>
      </c>
      <c r="N99" s="14">
        <v>0.88583611592065281</v>
      </c>
      <c r="O99" s="14">
        <v>114.41459273231152</v>
      </c>
      <c r="P99" s="8">
        <v>0.88583611592065281</v>
      </c>
      <c r="Q99" s="54">
        <v>5.6506841648897724E-3</v>
      </c>
    </row>
    <row r="100" spans="1:17">
      <c r="A100" s="2" t="s">
        <v>478</v>
      </c>
      <c r="B100" s="16" t="s">
        <v>479</v>
      </c>
      <c r="D100" s="14">
        <v>1</v>
      </c>
      <c r="E100" s="14">
        <v>0.67218019056232881</v>
      </c>
      <c r="F100" s="14">
        <v>0.41173628611474117</v>
      </c>
      <c r="G100" s="14">
        <v>5.676329932000409E-13</v>
      </c>
      <c r="H100" s="14">
        <v>59.846553216242377</v>
      </c>
      <c r="I100" s="14">
        <v>135.48659039302683</v>
      </c>
      <c r="J100" s="14">
        <v>0</v>
      </c>
      <c r="K100" s="14">
        <v>2.4287390587705535</v>
      </c>
      <c r="L100" s="14">
        <v>0.41173628611474122</v>
      </c>
      <c r="M100" s="14">
        <v>0.33782962275714518</v>
      </c>
      <c r="N100" s="14">
        <v>8.6455151268864601</v>
      </c>
      <c r="O100" s="14">
        <v>2591.9254350405608</v>
      </c>
      <c r="P100" s="8">
        <v>8.6455151268864601</v>
      </c>
      <c r="Q100" s="54">
        <v>0.22084944571671172</v>
      </c>
    </row>
    <row r="101" spans="1:17">
      <c r="A101" s="2" t="s">
        <v>480</v>
      </c>
      <c r="B101" s="16" t="s">
        <v>481</v>
      </c>
      <c r="D101" s="14">
        <v>1</v>
      </c>
      <c r="E101" s="14">
        <v>0.98591840920543405</v>
      </c>
      <c r="F101" s="14">
        <v>0.98945628093982496</v>
      </c>
      <c r="G101" s="14">
        <v>5.2036142865946857E-13</v>
      </c>
      <c r="H101" s="14">
        <v>6.3398153595098247E-2</v>
      </c>
      <c r="I101" s="14">
        <v>0.2535909674102334</v>
      </c>
      <c r="J101" s="14">
        <v>0</v>
      </c>
      <c r="K101" s="14">
        <v>1.0106560737076327</v>
      </c>
      <c r="L101" s="14">
        <v>0.98945628093982507</v>
      </c>
      <c r="M101" s="14">
        <v>0.81184887851112641</v>
      </c>
      <c r="N101" s="14">
        <v>0.88979222444988693</v>
      </c>
      <c r="O101" s="14">
        <v>211.91291617498507</v>
      </c>
      <c r="P101" s="8">
        <v>0.88979222444988693</v>
      </c>
      <c r="Q101" s="54">
        <v>9.4609289379845567E-3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0.99637547320960751</v>
      </c>
      <c r="F102" s="14">
        <v>1.0002505676693205</v>
      </c>
      <c r="G102" s="14">
        <v>3.270824892015891E-29</v>
      </c>
      <c r="H102" s="14">
        <v>4.5251065165411416E-3</v>
      </c>
      <c r="I102" s="14">
        <v>2.2003206635052407E-2</v>
      </c>
      <c r="J102" s="14">
        <v>0</v>
      </c>
      <c r="K102" s="14">
        <v>0.9997494950991086</v>
      </c>
      <c r="L102" s="14">
        <v>1.0002505676693205</v>
      </c>
      <c r="M102" s="14">
        <v>0.82070559077267746</v>
      </c>
      <c r="N102" s="14">
        <v>0.88547570287532218</v>
      </c>
      <c r="O102" s="14">
        <v>407.6995778748846</v>
      </c>
      <c r="P102" s="8">
        <v>0.88547570287532218</v>
      </c>
      <c r="Q102" s="54">
        <v>2.4026249202060306E-3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0.99182963678259217</v>
      </c>
      <c r="F103" s="14">
        <v>0.9955970977730535</v>
      </c>
      <c r="G103" s="14">
        <v>2.6088079522487603E-15</v>
      </c>
      <c r="H103" s="14">
        <v>2.2040103110154745E-2</v>
      </c>
      <c r="I103" s="14">
        <v>9.5339043985412583E-2</v>
      </c>
      <c r="J103" s="14">
        <v>0</v>
      </c>
      <c r="K103" s="14">
        <v>1.0044223735051003</v>
      </c>
      <c r="L103" s="14">
        <v>0.99559709777305361</v>
      </c>
      <c r="M103" s="14">
        <v>0.81688741872279047</v>
      </c>
      <c r="N103" s="14">
        <v>0.88574048421200557</v>
      </c>
      <c r="O103" s="14">
        <v>181.79823438451416</v>
      </c>
      <c r="P103" s="8">
        <v>0.88574048421200569</v>
      </c>
      <c r="Q103" s="54">
        <v>5.4710513718188311E-3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0.9544613763726868</v>
      </c>
      <c r="F104" s="14">
        <v>0.95517964313594528</v>
      </c>
      <c r="G104" s="14">
        <v>3.2105064432625736E-11</v>
      </c>
      <c r="H104" s="14">
        <v>0.626246134444847</v>
      </c>
      <c r="I104" s="14">
        <v>2.1105819950314202</v>
      </c>
      <c r="J104" s="14">
        <v>0</v>
      </c>
      <c r="K104" s="14">
        <v>1.0469234841698523</v>
      </c>
      <c r="L104" s="14">
        <v>0.95517964313594539</v>
      </c>
      <c r="M104" s="14">
        <v>0.78372489719304317</v>
      </c>
      <c r="N104" s="14">
        <v>0.97136007689326309</v>
      </c>
      <c r="O104" s="14">
        <v>146.83078922318563</v>
      </c>
      <c r="P104" s="8">
        <v>0.97136007689326309</v>
      </c>
      <c r="Q104" s="54">
        <v>3.0690377396238727E-2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0.99566610027537139</v>
      </c>
      <c r="F105" s="14">
        <v>0.99952852781956192</v>
      </c>
      <c r="G105" s="14">
        <v>2.601259513996301E-18</v>
      </c>
      <c r="H105" s="14">
        <v>6.4173421351428018E-3</v>
      </c>
      <c r="I105" s="14">
        <v>3.0409716034047331E-2</v>
      </c>
      <c r="J105" s="14">
        <v>0</v>
      </c>
      <c r="K105" s="14">
        <v>1.0004716945713059</v>
      </c>
      <c r="L105" s="14">
        <v>0.99952852781956203</v>
      </c>
      <c r="M105" s="14">
        <v>0.82011315707595056</v>
      </c>
      <c r="N105" s="14">
        <v>0.88533823051519478</v>
      </c>
      <c r="O105" s="14">
        <v>300.44838190763653</v>
      </c>
      <c r="P105" s="8">
        <v>0.88533823051519478</v>
      </c>
      <c r="Q105" s="54">
        <v>2.8814584711628201E-3</v>
      </c>
    </row>
    <row r="106" spans="1:17">
      <c r="A106" s="2" t="s">
        <v>490</v>
      </c>
      <c r="B106" s="16" t="s">
        <v>491</v>
      </c>
      <c r="D106" s="14">
        <v>1</v>
      </c>
      <c r="E106" s="14">
        <v>0.8548197359365407</v>
      </c>
      <c r="F106" s="14">
        <v>0.82772474480161973</v>
      </c>
      <c r="G106" s="14">
        <v>1.41375588674262E-10</v>
      </c>
      <c r="H106" s="14">
        <v>6.6152450823213513</v>
      </c>
      <c r="I106" s="14">
        <v>18.54398679583192</v>
      </c>
      <c r="J106" s="14">
        <v>0</v>
      </c>
      <c r="K106" s="14">
        <v>1.2081310922264012</v>
      </c>
      <c r="L106" s="14">
        <v>0.82772474480161973</v>
      </c>
      <c r="M106" s="14">
        <v>0.67914815310972898</v>
      </c>
      <c r="N106" s="14">
        <v>1.8557208875712929</v>
      </c>
      <c r="O106" s="14">
        <v>356.53965412907252</v>
      </c>
      <c r="P106" s="8">
        <v>1.8557208875712929</v>
      </c>
      <c r="Q106" s="54">
        <v>9.7904602701733387E-2</v>
      </c>
    </row>
    <row r="107" spans="1:17">
      <c r="A107" s="2" t="s">
        <v>492</v>
      </c>
      <c r="B107" s="16" t="s">
        <v>493</v>
      </c>
      <c r="D107" s="14">
        <v>1</v>
      </c>
      <c r="E107" s="14">
        <v>0.87542099660022021</v>
      </c>
      <c r="F107" s="14">
        <v>1.3713537370509654E-2</v>
      </c>
      <c r="G107" s="14">
        <v>2.442069288904596E-18</v>
      </c>
      <c r="H107" s="14">
        <v>208.70338563423965</v>
      </c>
      <c r="I107" s="14">
        <v>335.41823175864999</v>
      </c>
      <c r="J107" s="14">
        <v>0</v>
      </c>
      <c r="K107" s="14">
        <v>72.920645708120148</v>
      </c>
      <c r="L107" s="14">
        <v>1.3713537370509654E-2</v>
      </c>
      <c r="M107" s="14">
        <v>1.1251957412503172E-2</v>
      </c>
      <c r="N107" s="14">
        <v>20.797855271009976</v>
      </c>
      <c r="O107" s="14">
        <v>9454.7050062011367</v>
      </c>
      <c r="P107" s="8">
        <v>20.797855271009979</v>
      </c>
      <c r="Q107" s="54">
        <v>8.30589937002182E-2</v>
      </c>
    </row>
    <row r="108" spans="1:17">
      <c r="A108" s="2" t="s">
        <v>291</v>
      </c>
      <c r="B108" s="16" t="s">
        <v>494</v>
      </c>
      <c r="D108" s="14">
        <v>1</v>
      </c>
      <c r="E108" s="14">
        <v>0.68568108153900065</v>
      </c>
      <c r="F108" s="14">
        <v>0.47390876079373317</v>
      </c>
      <c r="G108" s="14">
        <v>3.2681593581516029E-12</v>
      </c>
      <c r="H108" s="14">
        <v>48.537202009954186</v>
      </c>
      <c r="I108" s="14">
        <v>112.7539871224289</v>
      </c>
      <c r="J108" s="14">
        <v>0</v>
      </c>
      <c r="K108" s="14">
        <v>2.1101108118894762</v>
      </c>
      <c r="L108" s="14">
        <v>0.47390876079373317</v>
      </c>
      <c r="M108" s="14">
        <v>0.38884213823125807</v>
      </c>
      <c r="N108" s="14">
        <v>7.3039436791995724</v>
      </c>
      <c r="O108" s="14">
        <v>2252.0249546076038</v>
      </c>
      <c r="P108" s="8">
        <v>7.3039436791995724</v>
      </c>
      <c r="Q108" s="54">
        <v>0.21180290285684963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9.0781611102639639E-5</v>
      </c>
      <c r="E2" s="20">
        <v>0.82088613579936964</v>
      </c>
      <c r="F2" s="20">
        <v>3.6903886065949305E-2</v>
      </c>
      <c r="G2" s="20">
        <v>1.0748989933545037E-2</v>
      </c>
      <c r="H2" s="20">
        <v>0</v>
      </c>
      <c r="I2" s="20">
        <v>0.77323325979987534</v>
      </c>
      <c r="J2" s="20">
        <v>1.7664797164702786E-4</v>
      </c>
      <c r="K2" s="20">
        <v>0.17884643461788075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3.6054844668762984E-3</v>
      </c>
      <c r="E3" s="20">
        <v>0.90588592960764724</v>
      </c>
      <c r="F3" s="20">
        <v>0.24402697915994725</v>
      </c>
      <c r="G3" s="20">
        <v>0.66120084381257604</v>
      </c>
      <c r="H3" s="20">
        <v>0</v>
      </c>
      <c r="I3" s="20">
        <v>6.5810663512398324E-4</v>
      </c>
      <c r="J3" s="20">
        <v>8.0480734188145085E-3</v>
      </c>
      <c r="K3" s="20">
        <v>8.2460512506661948E-2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4.4134972065998279E-12</v>
      </c>
      <c r="E4" s="20">
        <v>0.66502163038690532</v>
      </c>
      <c r="F4" s="20">
        <v>0.25133737268440282</v>
      </c>
      <c r="G4" s="20">
        <v>6.0000190091683239E-2</v>
      </c>
      <c r="H4" s="20">
        <v>0</v>
      </c>
      <c r="I4" s="20">
        <v>0.35368406761081922</v>
      </c>
      <c r="J4" s="20">
        <v>7.3310983665793609E-4</v>
      </c>
      <c r="K4" s="20">
        <v>0.3342452597720233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1.2026276702630057E-4</v>
      </c>
      <c r="E5" s="20">
        <v>0.88083011101598385</v>
      </c>
      <c r="F5" s="20">
        <v>0.67733794661183422</v>
      </c>
      <c r="G5" s="20">
        <v>0.19656263355509873</v>
      </c>
      <c r="H5" s="20">
        <v>0</v>
      </c>
      <c r="I5" s="20">
        <v>6.9295308490509014E-3</v>
      </c>
      <c r="J5" s="20">
        <v>2.3650125161307389E-3</v>
      </c>
      <c r="K5" s="20">
        <v>0.11668461370085909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1.18351362378245E-5</v>
      </c>
      <c r="E6" s="20">
        <v>0.9271897713173618</v>
      </c>
      <c r="F6" s="20">
        <v>0.15680051201047929</v>
      </c>
      <c r="G6" s="20">
        <v>0.77009274482990009</v>
      </c>
      <c r="H6" s="20">
        <v>0</v>
      </c>
      <c r="I6" s="20">
        <v>2.9651447698246904E-4</v>
      </c>
      <c r="J6" s="20">
        <v>9.4032977555515412E-3</v>
      </c>
      <c r="K6" s="20">
        <v>6.3395095790848677E-2</v>
      </c>
      <c r="L6" s="20">
        <v>0</v>
      </c>
    </row>
    <row r="7" spans="1:14">
      <c r="A7" s="2" t="s">
        <v>321</v>
      </c>
      <c r="B7" s="3" t="s">
        <v>322</v>
      </c>
      <c r="D7" s="20">
        <v>1.7365549439661541E-5</v>
      </c>
      <c r="E7" s="20">
        <v>0.91178698063748165</v>
      </c>
      <c r="F7" s="20">
        <v>0.23033648955029593</v>
      </c>
      <c r="G7" s="20">
        <v>0.68086075029429738</v>
      </c>
      <c r="H7" s="20">
        <v>0</v>
      </c>
      <c r="I7" s="20">
        <v>5.8974079288830476E-4</v>
      </c>
      <c r="J7" s="20">
        <v>8.2912106036854265E-3</v>
      </c>
      <c r="K7" s="20">
        <v>7.9904443209393453E-2</v>
      </c>
      <c r="L7" s="20">
        <v>0</v>
      </c>
    </row>
    <row r="8" spans="1:14">
      <c r="A8" s="2" t="s">
        <v>323</v>
      </c>
      <c r="B8" s="3" t="s">
        <v>324</v>
      </c>
      <c r="D8" s="20">
        <v>1.6298382133879971E-4</v>
      </c>
      <c r="E8" s="20">
        <v>0.8935517617649007</v>
      </c>
      <c r="F8" s="20">
        <v>0.34835232300935859</v>
      </c>
      <c r="G8" s="20">
        <v>0.54389399809157779</v>
      </c>
      <c r="H8" s="20">
        <v>0</v>
      </c>
      <c r="I8" s="20">
        <v>1.3054406639643732E-3</v>
      </c>
      <c r="J8" s="20">
        <v>6.6009237944256024E-3</v>
      </c>
      <c r="K8" s="20">
        <v>9.9684330619334918E-2</v>
      </c>
      <c r="L8" s="20">
        <v>0</v>
      </c>
    </row>
    <row r="9" spans="1:14">
      <c r="A9" s="2" t="s">
        <v>325</v>
      </c>
      <c r="B9" s="3" t="s">
        <v>326</v>
      </c>
      <c r="D9" s="20">
        <v>1.0150379962387184E-4</v>
      </c>
      <c r="E9" s="20">
        <v>0.77494898492738273</v>
      </c>
      <c r="F9" s="20">
        <v>0.59807619201122841</v>
      </c>
      <c r="G9" s="20">
        <v>0.11744974275497126</v>
      </c>
      <c r="H9" s="20">
        <v>0</v>
      </c>
      <c r="I9" s="20">
        <v>5.94230501611831E-2</v>
      </c>
      <c r="J9" s="20">
        <v>1.40464513277009E-3</v>
      </c>
      <c r="K9" s="20">
        <v>0.22354486614022342</v>
      </c>
      <c r="L9" s="20">
        <v>0</v>
      </c>
    </row>
    <row r="10" spans="1:14">
      <c r="A10" s="2" t="s">
        <v>275</v>
      </c>
      <c r="B10" s="3" t="s">
        <v>276</v>
      </c>
      <c r="D10" s="20">
        <v>1.5453340493122786E-6</v>
      </c>
      <c r="E10" s="20">
        <v>0.88011381926799237</v>
      </c>
      <c r="F10" s="20">
        <v>0.66358504311954769</v>
      </c>
      <c r="G10" s="20">
        <v>0.21008359668889209</v>
      </c>
      <c r="H10" s="20">
        <v>0</v>
      </c>
      <c r="I10" s="20">
        <v>6.4451794595525563E-3</v>
      </c>
      <c r="J10" s="20">
        <v>2.5287769541182097E-3</v>
      </c>
      <c r="K10" s="20">
        <v>0.11735585844384022</v>
      </c>
      <c r="L10" s="20">
        <v>0</v>
      </c>
    </row>
    <row r="11" spans="1:14">
      <c r="A11" s="2" t="s">
        <v>327</v>
      </c>
      <c r="B11" s="3" t="s">
        <v>328</v>
      </c>
      <c r="D11" s="20">
        <v>8.0506241432280328E-5</v>
      </c>
      <c r="E11" s="20">
        <v>0.87898403378386936</v>
      </c>
      <c r="F11" s="20">
        <v>0.63929861894979056</v>
      </c>
      <c r="G11" s="20">
        <v>0.2339910906034941</v>
      </c>
      <c r="H11" s="20">
        <v>0</v>
      </c>
      <c r="I11" s="20">
        <v>5.6943242305846639E-3</v>
      </c>
      <c r="J11" s="20">
        <v>2.8185839446536591E-3</v>
      </c>
      <c r="K11" s="20">
        <v>0.11811687603004463</v>
      </c>
      <c r="L11" s="20">
        <v>0</v>
      </c>
    </row>
    <row r="12" spans="1:14">
      <c r="A12" s="2" t="s">
        <v>329</v>
      </c>
      <c r="B12" s="3" t="s">
        <v>330</v>
      </c>
      <c r="D12" s="20">
        <v>5.3113388566449888E-5</v>
      </c>
      <c r="E12" s="20">
        <v>0.80981678383339906</v>
      </c>
      <c r="F12" s="20">
        <v>0.64905010517273176</v>
      </c>
      <c r="G12" s="20">
        <v>0.1226235203615748</v>
      </c>
      <c r="H12" s="20">
        <v>0</v>
      </c>
      <c r="I12" s="20">
        <v>3.8143158299092497E-2</v>
      </c>
      <c r="J12" s="20">
        <v>1.4672441719571542E-3</v>
      </c>
      <c r="K12" s="20">
        <v>0.18866285860607745</v>
      </c>
      <c r="L12" s="20">
        <v>0</v>
      </c>
    </row>
    <row r="13" spans="1:14">
      <c r="A13" s="2" t="s">
        <v>277</v>
      </c>
      <c r="B13" s="3" t="s">
        <v>278</v>
      </c>
      <c r="D13" s="20">
        <v>1.5798664561318164E-4</v>
      </c>
      <c r="E13" s="20">
        <v>0.77828846881950053</v>
      </c>
      <c r="F13" s="20">
        <v>0.60324619755797648</v>
      </c>
      <c r="G13" s="20">
        <v>0.11802938615841944</v>
      </c>
      <c r="H13" s="20">
        <v>0</v>
      </c>
      <c r="I13" s="20">
        <v>5.701288510310458E-2</v>
      </c>
      <c r="J13" s="20">
        <v>1.4116097815802858E-3</v>
      </c>
      <c r="K13" s="20">
        <v>0.22014193475330598</v>
      </c>
      <c r="L13" s="20">
        <v>0</v>
      </c>
    </row>
    <row r="14" spans="1:14">
      <c r="A14" s="2" t="s">
        <v>331</v>
      </c>
      <c r="B14" s="3" t="s">
        <v>332</v>
      </c>
      <c r="D14" s="20">
        <v>5.3743694827377455E-5</v>
      </c>
      <c r="E14" s="20">
        <v>0.87849502391072665</v>
      </c>
      <c r="F14" s="20">
        <v>0.55577849108135846</v>
      </c>
      <c r="G14" s="20">
        <v>0.31893140839763923</v>
      </c>
      <c r="H14" s="20">
        <v>0</v>
      </c>
      <c r="I14" s="20">
        <v>3.7851244317289559E-3</v>
      </c>
      <c r="J14" s="20">
        <v>3.8505284822733864E-3</v>
      </c>
      <c r="K14" s="20">
        <v>0.11760070391217249</v>
      </c>
      <c r="L14" s="20">
        <v>0</v>
      </c>
    </row>
    <row r="15" spans="1:14">
      <c r="A15" s="2" t="s">
        <v>333</v>
      </c>
      <c r="B15" s="3" t="s">
        <v>334</v>
      </c>
      <c r="D15" s="20">
        <v>8.7627378601140529E-8</v>
      </c>
      <c r="E15" s="20">
        <v>0.87953510690189574</v>
      </c>
      <c r="F15" s="20">
        <v>0.65164945253003714</v>
      </c>
      <c r="G15" s="20">
        <v>0.22182454026128948</v>
      </c>
      <c r="H15" s="20">
        <v>0</v>
      </c>
      <c r="I15" s="20">
        <v>6.0611141105690941E-3</v>
      </c>
      <c r="J15" s="20">
        <v>2.6710628605541176E-3</v>
      </c>
      <c r="K15" s="20">
        <v>0.11779374261017164</v>
      </c>
      <c r="L15" s="20">
        <v>0</v>
      </c>
    </row>
    <row r="16" spans="1:14">
      <c r="A16" s="2" t="s">
        <v>335</v>
      </c>
      <c r="B16" s="3" t="s">
        <v>336</v>
      </c>
      <c r="D16" s="20">
        <v>4.2334775389753622E-4</v>
      </c>
      <c r="E16" s="20">
        <v>0.89260212792985105</v>
      </c>
      <c r="F16" s="20">
        <v>0.35413713935227847</v>
      </c>
      <c r="G16" s="20">
        <v>0.53711468971914378</v>
      </c>
      <c r="H16" s="20">
        <v>0</v>
      </c>
      <c r="I16" s="20">
        <v>1.3502988584287827E-3</v>
      </c>
      <c r="J16" s="20">
        <v>6.5176500814013438E-3</v>
      </c>
      <c r="K16" s="20">
        <v>0.10045687423485015</v>
      </c>
      <c r="L16" s="20">
        <v>0</v>
      </c>
    </row>
    <row r="17" spans="1:12">
      <c r="A17" s="2" t="s">
        <v>337</v>
      </c>
      <c r="B17" s="3" t="s">
        <v>338</v>
      </c>
      <c r="D17" s="20">
        <v>3.0891749587430659E-5</v>
      </c>
      <c r="E17" s="20">
        <v>0.88062055248531634</v>
      </c>
      <c r="F17" s="20">
        <v>0.67284762009924393</v>
      </c>
      <c r="G17" s="20">
        <v>0.20100750641426801</v>
      </c>
      <c r="H17" s="20">
        <v>0</v>
      </c>
      <c r="I17" s="20">
        <v>6.765425971804356E-3</v>
      </c>
      <c r="J17" s="20">
        <v>2.4188366196533375E-3</v>
      </c>
      <c r="K17" s="20">
        <v>0.11692971914544295</v>
      </c>
      <c r="L17" s="20">
        <v>0</v>
      </c>
    </row>
    <row r="18" spans="1:12">
      <c r="A18" s="2" t="s">
        <v>279</v>
      </c>
      <c r="B18" s="3" t="s">
        <v>280</v>
      </c>
      <c r="D18" s="20">
        <v>3.0503879960823831E-3</v>
      </c>
      <c r="E18" s="20">
        <v>0.7574408659580274</v>
      </c>
      <c r="F18" s="20">
        <v>0.57204381999917864</v>
      </c>
      <c r="G18" s="20">
        <v>0.11421544955386884</v>
      </c>
      <c r="H18" s="20">
        <v>0</v>
      </c>
      <c r="I18" s="20">
        <v>7.1181596404979883E-2</v>
      </c>
      <c r="J18" s="20">
        <v>1.3659304513590135E-3</v>
      </c>
      <c r="K18" s="20">
        <v>0.23814281559453132</v>
      </c>
      <c r="L18" s="20">
        <v>0</v>
      </c>
    </row>
    <row r="19" spans="1:12">
      <c r="A19" s="2" t="s">
        <v>339</v>
      </c>
      <c r="B19" s="3" t="s">
        <v>340</v>
      </c>
      <c r="D19" s="20">
        <v>3.0712589817601961E-7</v>
      </c>
      <c r="E19" s="20">
        <v>0.87943072272778466</v>
      </c>
      <c r="F19" s="20">
        <v>0.64921815252530735</v>
      </c>
      <c r="G19" s="20">
        <v>0.2242261240540015</v>
      </c>
      <c r="H19" s="20">
        <v>0</v>
      </c>
      <c r="I19" s="20">
        <v>5.98644614847585E-3</v>
      </c>
      <c r="J19" s="20">
        <v>2.7001760370363522E-3</v>
      </c>
      <c r="K19" s="20">
        <v>0.11786879410928065</v>
      </c>
      <c r="L19" s="20">
        <v>0</v>
      </c>
    </row>
    <row r="20" spans="1:12">
      <c r="A20" s="2" t="s">
        <v>281</v>
      </c>
      <c r="B20" s="3" t="s">
        <v>282</v>
      </c>
      <c r="D20" s="20">
        <v>2.3915452907032638E-5</v>
      </c>
      <c r="E20" s="20">
        <v>0.77839283137067394</v>
      </c>
      <c r="F20" s="20">
        <v>0.6033270882748315</v>
      </c>
      <c r="G20" s="20">
        <v>0.11804521299942559</v>
      </c>
      <c r="H20" s="20">
        <v>0</v>
      </c>
      <c r="I20" s="20">
        <v>5.7020530096416826E-2</v>
      </c>
      <c r="J20" s="20">
        <v>1.4117990676920159E-3</v>
      </c>
      <c r="K20" s="20">
        <v>0.22017145410872699</v>
      </c>
      <c r="L20" s="20">
        <v>0</v>
      </c>
    </row>
    <row r="21" spans="1:12">
      <c r="A21" s="2" t="s">
        <v>341</v>
      </c>
      <c r="B21" s="3" t="s">
        <v>342</v>
      </c>
      <c r="D21" s="20">
        <v>4.4965730325108419E-4</v>
      </c>
      <c r="E21" s="20">
        <v>0.87783480575148432</v>
      </c>
      <c r="F21" s="20">
        <v>0.58097288878964692</v>
      </c>
      <c r="G21" s="20">
        <v>0.29258457185034475</v>
      </c>
      <c r="H21" s="20">
        <v>0</v>
      </c>
      <c r="I21" s="20">
        <v>4.2773451114926165E-3</v>
      </c>
      <c r="J21" s="20">
        <v>3.5300762763396535E-3</v>
      </c>
      <c r="K21" s="20">
        <v>0.118185460668925</v>
      </c>
      <c r="L21" s="20">
        <v>0</v>
      </c>
    </row>
    <row r="22" spans="1:12">
      <c r="A22" s="2" t="s">
        <v>343</v>
      </c>
      <c r="B22" s="3" t="s">
        <v>344</v>
      </c>
      <c r="D22" s="20">
        <v>1.9632561513265321E-3</v>
      </c>
      <c r="E22" s="20">
        <v>0.71353805660839487</v>
      </c>
      <c r="F22" s="20">
        <v>0.12024061302613556</v>
      </c>
      <c r="G22" s="20">
        <v>3.1357883126799248E-2</v>
      </c>
      <c r="H22" s="20">
        <v>0</v>
      </c>
      <c r="I22" s="20">
        <v>0.56193956045546001</v>
      </c>
      <c r="J22" s="20">
        <v>4.0644947489423442E-4</v>
      </c>
      <c r="K22" s="20">
        <v>0.2840922377653845</v>
      </c>
      <c r="L22" s="20">
        <v>0</v>
      </c>
    </row>
    <row r="23" spans="1:12">
      <c r="A23" s="2" t="s">
        <v>345</v>
      </c>
      <c r="B23" s="3" t="s">
        <v>346</v>
      </c>
      <c r="D23" s="20">
        <v>8.363500159953319E-5</v>
      </c>
      <c r="E23" s="20">
        <v>0.78367285482207183</v>
      </c>
      <c r="F23" s="20">
        <v>5.7314206545453134E-2</v>
      </c>
      <c r="G23" s="20">
        <v>1.6060454812585473E-2</v>
      </c>
      <c r="H23" s="20">
        <v>0</v>
      </c>
      <c r="I23" s="20">
        <v>0.71029819346403322</v>
      </c>
      <c r="J23" s="20">
        <v>2.3519457676223515E-4</v>
      </c>
      <c r="K23" s="20">
        <v>0.21600831559956649</v>
      </c>
      <c r="L23" s="20">
        <v>0</v>
      </c>
    </row>
    <row r="24" spans="1:12">
      <c r="A24" s="2" t="s">
        <v>347</v>
      </c>
      <c r="B24" s="3" t="s">
        <v>348</v>
      </c>
      <c r="D24" s="20">
        <v>7.2424349320188372E-5</v>
      </c>
      <c r="E24" s="20">
        <v>0.68724676901296777</v>
      </c>
      <c r="F24" s="20">
        <v>0.42126833571185679</v>
      </c>
      <c r="G24" s="20">
        <v>9.1887063425023063E-2</v>
      </c>
      <c r="H24" s="20">
        <v>0</v>
      </c>
      <c r="I24" s="20">
        <v>0.17409136987608786</v>
      </c>
      <c r="J24" s="20">
        <v>1.1026505158195125E-3</v>
      </c>
      <c r="K24" s="20">
        <v>0.31157815612189255</v>
      </c>
      <c r="L24" s="20">
        <v>0</v>
      </c>
    </row>
    <row r="25" spans="1:12">
      <c r="A25" s="2" t="s">
        <v>349</v>
      </c>
      <c r="B25" s="3" t="s">
        <v>350</v>
      </c>
      <c r="D25" s="20">
        <v>1.3260609291458083E-2</v>
      </c>
      <c r="E25" s="20">
        <v>0.83928120564889752</v>
      </c>
      <c r="F25" s="20">
        <v>0.69380542947067558</v>
      </c>
      <c r="G25" s="20">
        <v>0.12471918078076269</v>
      </c>
      <c r="H25" s="20">
        <v>0</v>
      </c>
      <c r="I25" s="20">
        <v>2.0756595397459211E-2</v>
      </c>
      <c r="J25" s="20">
        <v>1.4941434493689792E-3</v>
      </c>
      <c r="K25" s="20">
        <v>0.14596404161027532</v>
      </c>
      <c r="L25" s="20">
        <v>0</v>
      </c>
    </row>
    <row r="26" spans="1:12">
      <c r="A26" s="2" t="s">
        <v>351</v>
      </c>
      <c r="B26" s="3" t="s">
        <v>352</v>
      </c>
      <c r="D26" s="20">
        <v>3.6078172201458127E-4</v>
      </c>
      <c r="E26" s="20">
        <v>0.8779197258013437</v>
      </c>
      <c r="F26" s="20">
        <v>0.5974736298966018</v>
      </c>
      <c r="G26" s="20">
        <v>0.27581272392776168</v>
      </c>
      <c r="H26" s="20">
        <v>0</v>
      </c>
      <c r="I26" s="20">
        <v>4.6333719769801832E-3</v>
      </c>
      <c r="J26" s="20">
        <v>3.3262464442069305E-3</v>
      </c>
      <c r="K26" s="20">
        <v>0.11839324603243478</v>
      </c>
      <c r="L26" s="20">
        <v>0</v>
      </c>
    </row>
    <row r="27" spans="1:12">
      <c r="A27" s="2" t="s">
        <v>353</v>
      </c>
      <c r="B27" s="3" t="s">
        <v>354</v>
      </c>
      <c r="D27" s="20">
        <v>2.4983560597412299E-3</v>
      </c>
      <c r="E27" s="20">
        <v>0.90472160701459337</v>
      </c>
      <c r="F27" s="20">
        <v>0.25681982632954181</v>
      </c>
      <c r="G27" s="20">
        <v>0.64717853313092966</v>
      </c>
      <c r="H27" s="20">
        <v>0</v>
      </c>
      <c r="I27" s="20">
        <v>7.2324755412192412E-4</v>
      </c>
      <c r="J27" s="20">
        <v>7.8743590114283887E-3</v>
      </c>
      <c r="K27" s="20">
        <v>8.4905677914236935E-2</v>
      </c>
      <c r="L27" s="20">
        <v>0</v>
      </c>
    </row>
    <row r="28" spans="1:12">
      <c r="A28" s="2" t="s">
        <v>355</v>
      </c>
      <c r="B28" s="3" t="s">
        <v>356</v>
      </c>
      <c r="D28" s="20">
        <v>1.3573010506041455E-4</v>
      </c>
      <c r="E28" s="20">
        <v>0.88175133035597397</v>
      </c>
      <c r="F28" s="20">
        <v>0.47549986737888067</v>
      </c>
      <c r="G28" s="20">
        <v>0.40368810756474366</v>
      </c>
      <c r="H28" s="20">
        <v>0</v>
      </c>
      <c r="I28" s="20">
        <v>2.5633554123496833E-3</v>
      </c>
      <c r="J28" s="20">
        <v>4.8837011687111699E-3</v>
      </c>
      <c r="K28" s="20">
        <v>0.11322923837025448</v>
      </c>
      <c r="L28" s="20">
        <v>0</v>
      </c>
    </row>
    <row r="29" spans="1:12">
      <c r="A29" s="2" t="s">
        <v>357</v>
      </c>
      <c r="B29" s="3" t="s">
        <v>358</v>
      </c>
      <c r="D29" s="20">
        <v>2.7294548149378005E-2</v>
      </c>
      <c r="E29" s="20">
        <v>0.8544190196716076</v>
      </c>
      <c r="F29" s="20">
        <v>0.54897191144112301</v>
      </c>
      <c r="G29" s="20">
        <v>0.30160996023672476</v>
      </c>
      <c r="H29" s="20">
        <v>0</v>
      </c>
      <c r="I29" s="20">
        <v>3.8371479937597901E-3</v>
      </c>
      <c r="J29" s="20">
        <v>3.6405897372365752E-3</v>
      </c>
      <c r="K29" s="20">
        <v>0.1146458424417779</v>
      </c>
      <c r="L29" s="20">
        <v>0</v>
      </c>
    </row>
    <row r="30" spans="1:12">
      <c r="A30" s="2" t="s">
        <v>359</v>
      </c>
      <c r="B30" s="3" t="s">
        <v>360</v>
      </c>
      <c r="D30" s="20">
        <v>1.3573010506041455E-4</v>
      </c>
      <c r="E30" s="20">
        <v>0.88175133035597397</v>
      </c>
      <c r="F30" s="20">
        <v>0.47549986737888067</v>
      </c>
      <c r="G30" s="20">
        <v>0.40368810756474366</v>
      </c>
      <c r="H30" s="20">
        <v>0</v>
      </c>
      <c r="I30" s="20">
        <v>2.5633554123496833E-3</v>
      </c>
      <c r="J30" s="20">
        <v>4.8837011687111699E-3</v>
      </c>
      <c r="K30" s="20">
        <v>0.11322923837025448</v>
      </c>
      <c r="L30" s="20">
        <v>0</v>
      </c>
    </row>
    <row r="31" spans="1:12">
      <c r="A31" s="2" t="s">
        <v>283</v>
      </c>
      <c r="B31" s="3" t="s">
        <v>284</v>
      </c>
      <c r="D31" s="20">
        <v>2.6216432736825352E-8</v>
      </c>
      <c r="E31" s="20">
        <v>0.97656368415400541</v>
      </c>
      <c r="F31" s="20">
        <v>6.0040985483513398E-4</v>
      </c>
      <c r="G31" s="20">
        <v>2.4095911936214106E-4</v>
      </c>
      <c r="H31" s="20">
        <v>0</v>
      </c>
      <c r="I31" s="20">
        <v>0.97572231517980812</v>
      </c>
      <c r="J31" s="20">
        <v>6.6435702384479771E-5</v>
      </c>
      <c r="K31" s="20">
        <v>2.3369853927177289E-2</v>
      </c>
      <c r="L31" s="20">
        <v>0</v>
      </c>
    </row>
    <row r="32" spans="1:12">
      <c r="A32" s="2" t="s">
        <v>361</v>
      </c>
      <c r="B32" s="3" t="s">
        <v>362</v>
      </c>
      <c r="D32" s="20">
        <v>2.1334108078137905E-8</v>
      </c>
      <c r="E32" s="20">
        <v>0.67761787080599778</v>
      </c>
      <c r="F32" s="20">
        <v>0.19522111811363521</v>
      </c>
      <c r="G32" s="20">
        <v>4.8133279999194201E-2</v>
      </c>
      <c r="H32" s="20">
        <v>0</v>
      </c>
      <c r="I32" s="20">
        <v>0.4342634726931684</v>
      </c>
      <c r="J32" s="20">
        <v>6.0281877807209826E-4</v>
      </c>
      <c r="K32" s="20">
        <v>0.32177928908182202</v>
      </c>
      <c r="L32" s="20">
        <v>0</v>
      </c>
    </row>
    <row r="33" spans="1:12">
      <c r="A33" s="2" t="s">
        <v>364</v>
      </c>
      <c r="B33" s="3" t="s">
        <v>365</v>
      </c>
      <c r="D33" s="20">
        <v>1.2070922160776555E-10</v>
      </c>
      <c r="E33" s="20">
        <v>0.99987748709383617</v>
      </c>
      <c r="F33" s="20">
        <v>4.2020267943552814E-3</v>
      </c>
      <c r="G33" s="20">
        <v>1.2849497375207951E-6</v>
      </c>
      <c r="H33" s="20">
        <v>0</v>
      </c>
      <c r="I33" s="20">
        <v>0.99567417534974334</v>
      </c>
      <c r="J33" s="20">
        <v>6.5391394997155099E-5</v>
      </c>
      <c r="K33" s="20">
        <v>5.7121390457499697E-5</v>
      </c>
      <c r="L33" s="20">
        <v>0</v>
      </c>
    </row>
    <row r="34" spans="1:12">
      <c r="A34" s="2" t="s">
        <v>285</v>
      </c>
      <c r="B34" s="3" t="s">
        <v>286</v>
      </c>
      <c r="D34" s="20">
        <v>3.5889115304003996E-10</v>
      </c>
      <c r="E34" s="20">
        <v>0.999735941651135</v>
      </c>
      <c r="F34" s="20">
        <v>0.45211685823551273</v>
      </c>
      <c r="G34" s="20">
        <v>3.7130022138571729E-5</v>
      </c>
      <c r="H34" s="20">
        <v>0</v>
      </c>
      <c r="I34" s="20">
        <v>0.5475819533934837</v>
      </c>
      <c r="J34" s="20">
        <v>6.941541617558065E-5</v>
      </c>
      <c r="K34" s="20">
        <v>1.9464257379794015E-4</v>
      </c>
      <c r="L34" s="20">
        <v>0</v>
      </c>
    </row>
    <row r="35" spans="1:12">
      <c r="A35" s="2" t="s">
        <v>287</v>
      </c>
      <c r="B35" s="3" t="s">
        <v>288</v>
      </c>
      <c r="D35" s="20">
        <v>1.0454030443957496E-11</v>
      </c>
      <c r="E35" s="20">
        <v>0.99945940470728611</v>
      </c>
      <c r="F35" s="20">
        <v>0.67515288609326007</v>
      </c>
      <c r="G35" s="20">
        <v>1.307463131091682E-4</v>
      </c>
      <c r="H35" s="20">
        <v>0</v>
      </c>
      <c r="I35" s="20">
        <v>0.32417577230091688</v>
      </c>
      <c r="J35" s="20">
        <v>6.9463847999136387E-5</v>
      </c>
      <c r="K35" s="20">
        <v>4.7113143426083623E-4</v>
      </c>
      <c r="L35" s="20">
        <v>0</v>
      </c>
    </row>
    <row r="36" spans="1:12">
      <c r="A36" s="2" t="s">
        <v>366</v>
      </c>
      <c r="B36" s="3" t="s">
        <v>305</v>
      </c>
      <c r="D36" s="20">
        <v>1.8429980082522275E-8</v>
      </c>
      <c r="E36" s="20">
        <v>0.99940688387463639</v>
      </c>
      <c r="F36" s="20">
        <v>0.89101721308121484</v>
      </c>
      <c r="G36" s="20">
        <v>2.5511023188756673E-4</v>
      </c>
      <c r="H36" s="20">
        <v>0</v>
      </c>
      <c r="I36" s="20">
        <v>0.10813456056153402</v>
      </c>
      <c r="J36" s="20">
        <v>6.6546615152965861E-5</v>
      </c>
      <c r="K36" s="20">
        <v>5.2655108023069979E-4</v>
      </c>
      <c r="L36" s="20">
        <v>0</v>
      </c>
    </row>
    <row r="37" spans="1:12">
      <c r="A37" s="2" t="s">
        <v>289</v>
      </c>
      <c r="B37" s="3" t="s">
        <v>290</v>
      </c>
      <c r="D37" s="20">
        <v>4.1920684974227873E-15</v>
      </c>
      <c r="E37" s="20">
        <v>0.9289297392193866</v>
      </c>
      <c r="F37" s="20">
        <v>0.69702570058071656</v>
      </c>
      <c r="G37" s="20">
        <v>2.3796785314899312E-2</v>
      </c>
      <c r="H37" s="20">
        <v>0</v>
      </c>
      <c r="I37" s="20">
        <v>0.20810725332377072</v>
      </c>
      <c r="J37" s="20">
        <v>3.3582020328263651E-4</v>
      </c>
      <c r="K37" s="20">
        <v>7.0734440577326613E-2</v>
      </c>
      <c r="L37" s="20">
        <v>0</v>
      </c>
    </row>
    <row r="38" spans="1:12">
      <c r="A38" s="2" t="s">
        <v>291</v>
      </c>
      <c r="B38" s="3" t="s">
        <v>292</v>
      </c>
      <c r="D38" s="20">
        <v>1.2080650820710613E-12</v>
      </c>
      <c r="E38" s="20">
        <v>0.99804486824454808</v>
      </c>
      <c r="F38" s="20">
        <v>0.38453487992114949</v>
      </c>
      <c r="G38" s="20">
        <v>3.2125713878151078E-4</v>
      </c>
      <c r="H38" s="20">
        <v>0</v>
      </c>
      <c r="I38" s="20">
        <v>0.61318873118461703</v>
      </c>
      <c r="J38" s="20">
        <v>7.2499835302535648E-5</v>
      </c>
      <c r="K38" s="20">
        <v>1.8826319189415043E-3</v>
      </c>
      <c r="L38" s="20">
        <v>0</v>
      </c>
    </row>
    <row r="39" spans="1:12">
      <c r="A39" s="2" t="s">
        <v>367</v>
      </c>
      <c r="B39" s="3" t="s">
        <v>368</v>
      </c>
      <c r="D39" s="20">
        <v>1.4528706264618993E-5</v>
      </c>
      <c r="E39" s="20">
        <v>0.88798345509375221</v>
      </c>
      <c r="F39" s="20">
        <v>0.74713857260952743</v>
      </c>
      <c r="G39" s="20">
        <v>0.13049585395827504</v>
      </c>
      <c r="H39" s="20">
        <v>0</v>
      </c>
      <c r="I39" s="20">
        <v>1.0349028525949714E-2</v>
      </c>
      <c r="J39" s="20">
        <v>1.5663528241099301E-3</v>
      </c>
      <c r="K39" s="20">
        <v>0.11043566337587304</v>
      </c>
      <c r="L39" s="20">
        <v>0</v>
      </c>
    </row>
    <row r="40" spans="1:12">
      <c r="A40" s="2" t="s">
        <v>369</v>
      </c>
      <c r="B40" s="3" t="s">
        <v>370</v>
      </c>
      <c r="D40" s="20">
        <v>9.293516834735633E-13</v>
      </c>
      <c r="E40" s="20">
        <v>0.99235866742912049</v>
      </c>
      <c r="F40" s="20">
        <v>0.92446331307696616</v>
      </c>
      <c r="G40" s="20">
        <v>6.6882124196538301E-2</v>
      </c>
      <c r="H40" s="20">
        <v>0</v>
      </c>
      <c r="I40" s="20">
        <v>1.0132301556160057E-3</v>
      </c>
      <c r="J40" s="20">
        <v>4.733143160787252E-3</v>
      </c>
      <c r="K40" s="20">
        <v>2.9081894091628879E-3</v>
      </c>
      <c r="L40" s="20">
        <v>0</v>
      </c>
    </row>
    <row r="41" spans="1:12">
      <c r="A41" s="2" t="s">
        <v>371</v>
      </c>
      <c r="B41" s="3" t="s">
        <v>372</v>
      </c>
      <c r="D41" s="20">
        <v>8.180197057968959E-2</v>
      </c>
      <c r="E41" s="20">
        <v>0.91355848841807885</v>
      </c>
      <c r="F41" s="20">
        <v>2.7966491161765145E-5</v>
      </c>
      <c r="G41" s="20">
        <v>1.4000177312333168E-5</v>
      </c>
      <c r="H41" s="20">
        <v>0</v>
      </c>
      <c r="I41" s="20">
        <v>0.91351652174960474</v>
      </c>
      <c r="J41" s="20">
        <v>5.9744652594111246E-5</v>
      </c>
      <c r="K41" s="20">
        <v>4.5797963496374662E-3</v>
      </c>
      <c r="L41" s="20">
        <v>0</v>
      </c>
    </row>
    <row r="42" spans="1:12">
      <c r="A42" s="2" t="s">
        <v>293</v>
      </c>
      <c r="B42" s="3" t="s">
        <v>294</v>
      </c>
      <c r="D42" s="20">
        <v>1.7526259407066062E-8</v>
      </c>
      <c r="E42" s="20">
        <v>0.70129625926337635</v>
      </c>
      <c r="F42" s="20">
        <v>0.14059291978788074</v>
      </c>
      <c r="G42" s="20">
        <v>3.6062763658472212E-2</v>
      </c>
      <c r="H42" s="20">
        <v>0</v>
      </c>
      <c r="I42" s="20">
        <v>0.52464057581702339</v>
      </c>
      <c r="J42" s="20">
        <v>4.597775761295961E-4</v>
      </c>
      <c r="K42" s="20">
        <v>0.29824394563423462</v>
      </c>
      <c r="L42" s="20">
        <v>0</v>
      </c>
    </row>
    <row r="43" spans="1:12">
      <c r="A43" s="2" t="s">
        <v>373</v>
      </c>
      <c r="B43" s="3" t="s">
        <v>374</v>
      </c>
      <c r="D43" s="20">
        <v>4.3132644981045357E-8</v>
      </c>
      <c r="E43" s="20">
        <v>0.99944863055213951</v>
      </c>
      <c r="F43" s="20">
        <v>0.98979663668785101</v>
      </c>
      <c r="G43" s="20">
        <v>8.3573366197216606E-4</v>
      </c>
      <c r="H43" s="20">
        <v>0</v>
      </c>
      <c r="I43" s="20">
        <v>8.8162602023163367E-3</v>
      </c>
      <c r="J43" s="20">
        <v>1.2945448628919981E-4</v>
      </c>
      <c r="K43" s="20">
        <v>4.2187182892606883E-4</v>
      </c>
      <c r="L43" s="20">
        <v>0</v>
      </c>
    </row>
    <row r="44" spans="1:12">
      <c r="A44" s="2" t="s">
        <v>375</v>
      </c>
      <c r="B44" s="3" t="s">
        <v>376</v>
      </c>
      <c r="D44" s="20">
        <v>8.5150145422519433E-2</v>
      </c>
      <c r="E44" s="20">
        <v>0.78747763182201858</v>
      </c>
      <c r="F44" s="20">
        <v>1.9465233102096031E-2</v>
      </c>
      <c r="G44" s="20">
        <v>5.936837533589554E-3</v>
      </c>
      <c r="H44" s="20">
        <v>0</v>
      </c>
      <c r="I44" s="20">
        <v>0.76207556118633302</v>
      </c>
      <c r="J44" s="20">
        <v>1.1929156621970558E-4</v>
      </c>
      <c r="K44" s="20">
        <v>0.12725293118924216</v>
      </c>
      <c r="L44" s="20">
        <v>0</v>
      </c>
    </row>
    <row r="45" spans="1:12">
      <c r="A45" s="2" t="s">
        <v>377</v>
      </c>
      <c r="B45" s="3" t="s">
        <v>378</v>
      </c>
      <c r="D45" s="20">
        <v>6.6673399628638616E-4</v>
      </c>
      <c r="E45" s="20">
        <v>0.6900533645046496</v>
      </c>
      <c r="F45" s="20">
        <v>0.16018683291344279</v>
      </c>
      <c r="G45" s="20">
        <v>4.0487631383207767E-2</v>
      </c>
      <c r="H45" s="20">
        <v>0</v>
      </c>
      <c r="I45" s="20">
        <v>0.48937890020799907</v>
      </c>
      <c r="J45" s="20">
        <v>5.0997040998249305E-4</v>
      </c>
      <c r="K45" s="20">
        <v>0.30876993108908152</v>
      </c>
      <c r="L45" s="20">
        <v>0</v>
      </c>
    </row>
    <row r="46" spans="1:12">
      <c r="A46" s="2" t="s">
        <v>379</v>
      </c>
      <c r="B46" s="3" t="s">
        <v>380</v>
      </c>
      <c r="D46" s="20">
        <v>2.0048163512928255E-3</v>
      </c>
      <c r="E46" s="20">
        <v>0.69569158196290903</v>
      </c>
      <c r="F46" s="20">
        <v>0.14748532538013626</v>
      </c>
      <c r="G46" s="20">
        <v>3.7622215439320081E-2</v>
      </c>
      <c r="H46" s="20">
        <v>0</v>
      </c>
      <c r="I46" s="20">
        <v>0.51058404114345268</v>
      </c>
      <c r="J46" s="20">
        <v>4.7735956162681478E-4</v>
      </c>
      <c r="K46" s="20">
        <v>0.30182624212417136</v>
      </c>
      <c r="L46" s="20">
        <v>0</v>
      </c>
    </row>
    <row r="47" spans="1:12">
      <c r="A47" s="2" t="s">
        <v>381</v>
      </c>
      <c r="B47" s="3" t="s">
        <v>382</v>
      </c>
      <c r="D47" s="20">
        <v>4.2514030721518674E-8</v>
      </c>
      <c r="E47" s="20">
        <v>0.90916386729616649</v>
      </c>
      <c r="F47" s="20">
        <v>0.24490998794268698</v>
      </c>
      <c r="G47" s="20">
        <v>0.66359339136715911</v>
      </c>
      <c r="H47" s="20">
        <v>0</v>
      </c>
      <c r="I47" s="20">
        <v>6.6048798632045431E-4</v>
      </c>
      <c r="J47" s="20">
        <v>8.077195278772006E-3</v>
      </c>
      <c r="K47" s="20">
        <v>8.275889491103075E-2</v>
      </c>
      <c r="L47" s="20">
        <v>0</v>
      </c>
    </row>
    <row r="48" spans="1:12">
      <c r="A48" s="2" t="s">
        <v>383</v>
      </c>
      <c r="B48" s="3" t="s">
        <v>384</v>
      </c>
      <c r="D48" s="20">
        <v>1.177163015474479E-2</v>
      </c>
      <c r="E48" s="20">
        <v>0.91156418219240265</v>
      </c>
      <c r="F48" s="20">
        <v>6.2850801984864367E-3</v>
      </c>
      <c r="G48" s="20">
        <v>2.1096304195535364E-3</v>
      </c>
      <c r="H48" s="20">
        <v>0</v>
      </c>
      <c r="I48" s="20">
        <v>0.90316947157436267</v>
      </c>
      <c r="J48" s="20">
        <v>8.3544457031761515E-5</v>
      </c>
      <c r="K48" s="20">
        <v>7.6580643195820738E-2</v>
      </c>
      <c r="L48" s="20">
        <v>0</v>
      </c>
    </row>
    <row r="49" spans="1:12">
      <c r="A49" s="2" t="s">
        <v>385</v>
      </c>
      <c r="B49" s="3" t="s">
        <v>386</v>
      </c>
      <c r="D49" s="20">
        <v>2.1979667785330802E-2</v>
      </c>
      <c r="E49" s="20">
        <v>0.87669342090716484</v>
      </c>
      <c r="F49" s="20">
        <v>1.1207153977118404E-2</v>
      </c>
      <c r="G49" s="20">
        <v>3.5924513391629794E-3</v>
      </c>
      <c r="H49" s="20">
        <v>0</v>
      </c>
      <c r="I49" s="20">
        <v>0.86189381559088341</v>
      </c>
      <c r="J49" s="20">
        <v>9.8242736074489892E-5</v>
      </c>
      <c r="K49" s="20">
        <v>0.10122866857143004</v>
      </c>
      <c r="L49" s="20">
        <v>0</v>
      </c>
    </row>
    <row r="50" spans="1:12">
      <c r="A50" s="2" t="s">
        <v>387</v>
      </c>
      <c r="B50" s="3" t="s">
        <v>388</v>
      </c>
      <c r="D50" s="20">
        <v>6.5882540153236477E-3</v>
      </c>
      <c r="E50" s="20">
        <v>0.74970781676841003</v>
      </c>
      <c r="F50" s="20">
        <v>0.56162256709733038</v>
      </c>
      <c r="G50" s="20">
        <v>0.11275611545734972</v>
      </c>
      <c r="H50" s="20">
        <v>0</v>
      </c>
      <c r="I50" s="20">
        <v>7.5329134213729929E-2</v>
      </c>
      <c r="J50" s="20">
        <v>1.348509474582599E-3</v>
      </c>
      <c r="K50" s="20">
        <v>0.24235541974168379</v>
      </c>
      <c r="L50" s="20">
        <v>0</v>
      </c>
    </row>
    <row r="51" spans="1:12">
      <c r="A51" s="2" t="s">
        <v>295</v>
      </c>
      <c r="B51" s="3" t="s">
        <v>296</v>
      </c>
      <c r="D51" s="20">
        <v>6.5549323268583551E-2</v>
      </c>
      <c r="E51" s="20">
        <v>0.90480366144644386</v>
      </c>
      <c r="F51" s="20">
        <v>1.0130769338716561E-3</v>
      </c>
      <c r="G51" s="20">
        <v>3.8898959322967855E-4</v>
      </c>
      <c r="H51" s="20">
        <v>0</v>
      </c>
      <c r="I51" s="20">
        <v>0.90340159491934258</v>
      </c>
      <c r="J51" s="20">
        <v>6.3443114948732115E-5</v>
      </c>
      <c r="K51" s="20">
        <v>2.9583572170023938E-2</v>
      </c>
      <c r="L51" s="20">
        <v>0</v>
      </c>
    </row>
    <row r="52" spans="1:12">
      <c r="A52" s="2" t="s">
        <v>389</v>
      </c>
      <c r="B52" s="3" t="s">
        <v>390</v>
      </c>
      <c r="D52" s="20">
        <v>6.8939428320477406E-2</v>
      </c>
      <c r="E52" s="20">
        <v>0.76594907294089098</v>
      </c>
      <c r="F52" s="20">
        <v>3.3631163516789735E-2</v>
      </c>
      <c r="G52" s="20">
        <v>9.8138055345013339E-3</v>
      </c>
      <c r="H52" s="20">
        <v>0</v>
      </c>
      <c r="I52" s="20">
        <v>0.72250410388959996</v>
      </c>
      <c r="J52" s="20">
        <v>1.6235003163952692E-4</v>
      </c>
      <c r="K52" s="20">
        <v>0.16494914870699204</v>
      </c>
      <c r="L52" s="20">
        <v>0</v>
      </c>
    </row>
    <row r="53" spans="1:12">
      <c r="A53" s="2" t="s">
        <v>391</v>
      </c>
      <c r="B53" s="3" t="s">
        <v>392</v>
      </c>
      <c r="D53" s="20">
        <v>1.968647033433385E-3</v>
      </c>
      <c r="E53" s="20">
        <v>0.66632825797387807</v>
      </c>
      <c r="F53" s="20">
        <v>0.23165520976005538</v>
      </c>
      <c r="G53" s="20">
        <v>5.5916197090303391E-2</v>
      </c>
      <c r="H53" s="20">
        <v>0</v>
      </c>
      <c r="I53" s="20">
        <v>0.37875685112351926</v>
      </c>
      <c r="J53" s="20">
        <v>6.8612609997051495E-4</v>
      </c>
      <c r="K53" s="20">
        <v>0.33101696889271803</v>
      </c>
      <c r="L53" s="20">
        <v>0</v>
      </c>
    </row>
    <row r="54" spans="1:12">
      <c r="A54" s="2" t="s">
        <v>393</v>
      </c>
      <c r="B54" s="3" t="s">
        <v>394</v>
      </c>
      <c r="D54" s="20">
        <v>1.9545026201348158E-4</v>
      </c>
      <c r="E54" s="20">
        <v>0.90130566825445424</v>
      </c>
      <c r="F54" s="20">
        <v>0.29168256596012082</v>
      </c>
      <c r="G54" s="20">
        <v>0.60870381999580225</v>
      </c>
      <c r="H54" s="20">
        <v>0</v>
      </c>
      <c r="I54" s="20">
        <v>9.1928229853119596E-4</v>
      </c>
      <c r="J54" s="20">
        <v>7.3988225794207017E-3</v>
      </c>
      <c r="K54" s="20">
        <v>9.1100058904111395E-2</v>
      </c>
      <c r="L54" s="20">
        <v>0</v>
      </c>
    </row>
    <row r="55" spans="1:12">
      <c r="A55" s="2" t="s">
        <v>395</v>
      </c>
      <c r="B55" s="3" t="s">
        <v>396</v>
      </c>
      <c r="D55" s="20">
        <v>0.13303613547890261</v>
      </c>
      <c r="E55" s="20">
        <v>0.60218656186238906</v>
      </c>
      <c r="F55" s="20">
        <v>0.38321617842299294</v>
      </c>
      <c r="G55" s="20">
        <v>8.266837312235438E-2</v>
      </c>
      <c r="H55" s="20">
        <v>0</v>
      </c>
      <c r="I55" s="20">
        <v>0.13630201031704176</v>
      </c>
      <c r="J55" s="20">
        <v>9.9113309521678752E-4</v>
      </c>
      <c r="K55" s="20">
        <v>0.26378616956349149</v>
      </c>
      <c r="L55" s="20">
        <v>0</v>
      </c>
    </row>
    <row r="56" spans="1:12">
      <c r="A56" s="2" t="s">
        <v>397</v>
      </c>
      <c r="B56" s="3" t="s">
        <v>398</v>
      </c>
      <c r="D56" s="20">
        <v>0.60384765690711217</v>
      </c>
      <c r="E56" s="20">
        <v>0.31890677218062508</v>
      </c>
      <c r="F56" s="20">
        <v>0.25444949914465209</v>
      </c>
      <c r="G56" s="20">
        <v>4.8338943669469815E-2</v>
      </c>
      <c r="H56" s="20">
        <v>0</v>
      </c>
      <c r="I56" s="20">
        <v>1.6118329366503183E-2</v>
      </c>
      <c r="J56" s="20">
        <v>5.7833846428534711E-4</v>
      </c>
      <c r="K56" s="20">
        <v>7.6667232447977296E-2</v>
      </c>
      <c r="L56" s="20">
        <v>0</v>
      </c>
    </row>
    <row r="57" spans="1:12">
      <c r="A57" s="2" t="s">
        <v>399</v>
      </c>
      <c r="B57" s="3" t="s">
        <v>400</v>
      </c>
      <c r="D57" s="20">
        <v>0.76658033277041393</v>
      </c>
      <c r="E57" s="20">
        <v>0.16635480508393691</v>
      </c>
      <c r="F57" s="20">
        <v>0.11335270483786039</v>
      </c>
      <c r="G57" s="20">
        <v>2.3874123886250841E-2</v>
      </c>
      <c r="H57" s="20">
        <v>0</v>
      </c>
      <c r="I57" s="20">
        <v>2.9127976359825683E-2</v>
      </c>
      <c r="J57" s="20">
        <v>2.8583717489937059E-4</v>
      </c>
      <c r="K57" s="20">
        <v>6.6779024970749931E-2</v>
      </c>
      <c r="L57" s="20">
        <v>0</v>
      </c>
    </row>
    <row r="58" spans="1:12">
      <c r="A58" s="2" t="s">
        <v>297</v>
      </c>
      <c r="B58" s="3" t="s">
        <v>298</v>
      </c>
      <c r="D58" s="20">
        <v>0.93161211224930929</v>
      </c>
      <c r="E58" s="20">
        <v>6.0464175190310838E-2</v>
      </c>
      <c r="F58" s="20">
        <v>9.8789171046152432E-4</v>
      </c>
      <c r="G58" s="20">
        <v>3.1088867118198634E-4</v>
      </c>
      <c r="H58" s="20">
        <v>0</v>
      </c>
      <c r="I58" s="20">
        <v>5.9165394808667331E-2</v>
      </c>
      <c r="J58" s="20">
        <v>7.4985400707707646E-6</v>
      </c>
      <c r="K58" s="20">
        <v>7.9162140203091237E-3</v>
      </c>
      <c r="L58" s="20">
        <v>0</v>
      </c>
    </row>
    <row r="59" spans="1:12">
      <c r="A59" s="2" t="s">
        <v>401</v>
      </c>
      <c r="B59" s="3" t="s">
        <v>402</v>
      </c>
      <c r="D59" s="20">
        <v>0.90907134170571913</v>
      </c>
      <c r="E59" s="20">
        <v>6.440213222648003E-2</v>
      </c>
      <c r="F59" s="20">
        <v>4.3258572288039282E-2</v>
      </c>
      <c r="G59" s="20">
        <v>9.1615242859649365E-3</v>
      </c>
      <c r="H59" s="20">
        <v>0</v>
      </c>
      <c r="I59" s="20">
        <v>1.1982035652475811E-2</v>
      </c>
      <c r="J59" s="20">
        <v>1.0971636224995062E-4</v>
      </c>
      <c r="K59" s="20">
        <v>2.6416809705550982E-2</v>
      </c>
      <c r="L59" s="20">
        <v>0</v>
      </c>
    </row>
    <row r="60" spans="1:12">
      <c r="A60" s="2" t="s">
        <v>299</v>
      </c>
      <c r="B60" s="3" t="s">
        <v>300</v>
      </c>
      <c r="D60" s="20">
        <v>0.99804044353383392</v>
      </c>
      <c r="E60" s="20">
        <v>1.31549516986103E-3</v>
      </c>
      <c r="F60" s="20">
        <v>7.0830833996926405E-4</v>
      </c>
      <c r="G60" s="20">
        <v>1.5941086221992227E-4</v>
      </c>
      <c r="H60" s="20">
        <v>0</v>
      </c>
      <c r="I60" s="20">
        <v>4.4777596767184378E-4</v>
      </c>
      <c r="J60" s="20">
        <v>1.9200873532045642E-6</v>
      </c>
      <c r="K60" s="20">
        <v>6.4214120895169074E-4</v>
      </c>
      <c r="L60" s="20">
        <v>0</v>
      </c>
    </row>
    <row r="61" spans="1:12">
      <c r="A61" s="2" t="s">
        <v>403</v>
      </c>
      <c r="B61" s="3" t="s">
        <v>404</v>
      </c>
      <c r="D61" s="20">
        <v>4.4721249878763529E-44</v>
      </c>
      <c r="E61" s="20">
        <v>0.66417250795607052</v>
      </c>
      <c r="F61" s="20">
        <v>0.30873662172810457</v>
      </c>
      <c r="G61" s="20">
        <v>7.1430502129593468E-2</v>
      </c>
      <c r="H61" s="20">
        <v>0</v>
      </c>
      <c r="I61" s="20">
        <v>0.28400538409837245</v>
      </c>
      <c r="J61" s="20">
        <v>8.6488070755152448E-4</v>
      </c>
      <c r="K61" s="20">
        <v>0.33496261133637784</v>
      </c>
      <c r="L61" s="20">
        <v>0</v>
      </c>
    </row>
    <row r="62" spans="1:12">
      <c r="A62" s="2" t="s">
        <v>405</v>
      </c>
      <c r="B62" s="3" t="s">
        <v>406</v>
      </c>
      <c r="D62" s="20">
        <v>1.0769581758560091E-7</v>
      </c>
      <c r="E62" s="20">
        <v>0.87843869908699013</v>
      </c>
      <c r="F62" s="20">
        <v>0.56153011494302896</v>
      </c>
      <c r="G62" s="20">
        <v>0.31301749233302817</v>
      </c>
      <c r="H62" s="20">
        <v>0</v>
      </c>
      <c r="I62" s="20">
        <v>3.8910918109330162E-3</v>
      </c>
      <c r="J62" s="20">
        <v>3.7785656980149581E-3</v>
      </c>
      <c r="K62" s="20">
        <v>0.11778262751917726</v>
      </c>
      <c r="L62" s="20">
        <v>0</v>
      </c>
    </row>
    <row r="63" spans="1:12">
      <c r="A63" s="2" t="s">
        <v>407</v>
      </c>
      <c r="B63" s="3" t="s">
        <v>408</v>
      </c>
      <c r="D63" s="20">
        <v>2.6289267423649629E-5</v>
      </c>
      <c r="E63" s="20">
        <v>0.92283928472317989</v>
      </c>
      <c r="F63" s="20">
        <v>0.1757732161371027</v>
      </c>
      <c r="G63" s="20">
        <v>0.74670361606507119</v>
      </c>
      <c r="H63" s="20">
        <v>0</v>
      </c>
      <c r="I63" s="20">
        <v>3.6245252100597944E-4</v>
      </c>
      <c r="J63" s="20">
        <v>9.110626657087709E-3</v>
      </c>
      <c r="K63" s="20">
        <v>6.8023799352308872E-2</v>
      </c>
      <c r="L63" s="20">
        <v>0</v>
      </c>
    </row>
    <row r="64" spans="1:12">
      <c r="A64" s="2" t="s">
        <v>409</v>
      </c>
      <c r="B64" s="3" t="s">
        <v>410</v>
      </c>
      <c r="D64" s="20">
        <v>3.2740794359346815E-6</v>
      </c>
      <c r="E64" s="20">
        <v>0.94352119793514777</v>
      </c>
      <c r="F64" s="20">
        <v>9.5271593005614635E-2</v>
      </c>
      <c r="G64" s="20">
        <v>0.8481232762802503</v>
      </c>
      <c r="H64" s="20">
        <v>0</v>
      </c>
      <c r="I64" s="20">
        <v>1.2632864928283021E-4</v>
      </c>
      <c r="J64" s="20">
        <v>1.0389252355902601E-2</v>
      </c>
      <c r="K64" s="20">
        <v>4.6086275629513646E-2</v>
      </c>
      <c r="L64" s="20">
        <v>0</v>
      </c>
    </row>
    <row r="65" spans="1:12">
      <c r="A65" s="2" t="s">
        <v>301</v>
      </c>
      <c r="B65" s="3" t="s">
        <v>302</v>
      </c>
      <c r="D65" s="20">
        <v>4.0627350856689551E-7</v>
      </c>
      <c r="E65" s="20">
        <v>0.96104417420689114</v>
      </c>
      <c r="F65" s="20">
        <v>4.4390774214678456E-2</v>
      </c>
      <c r="G65" s="20">
        <v>0.91661777529799882</v>
      </c>
      <c r="H65" s="20">
        <v>0</v>
      </c>
      <c r="I65" s="20">
        <v>3.5624694213922956E-5</v>
      </c>
      <c r="J65" s="20">
        <v>1.1279573509657232E-2</v>
      </c>
      <c r="K65" s="20">
        <v>2.7675846009942863E-2</v>
      </c>
      <c r="L65" s="20">
        <v>0</v>
      </c>
    </row>
    <row r="66" spans="1:12">
      <c r="A66" s="2" t="s">
        <v>303</v>
      </c>
      <c r="B66" s="3" t="s">
        <v>304</v>
      </c>
      <c r="D66" s="20">
        <v>3.9130446876599059E-13</v>
      </c>
      <c r="E66" s="20">
        <v>0.95192527397699933</v>
      </c>
      <c r="F66" s="20">
        <v>6.9006344591364441E-2</v>
      </c>
      <c r="G66" s="20">
        <v>0.8828452361800706</v>
      </c>
      <c r="H66" s="20">
        <v>0</v>
      </c>
      <c r="I66" s="20">
        <v>7.3693205564301327E-5</v>
      </c>
      <c r="J66" s="20">
        <v>1.0835794760535762E-2</v>
      </c>
      <c r="K66" s="20">
        <v>3.7238931262073609E-2</v>
      </c>
      <c r="L66" s="20">
        <v>0</v>
      </c>
    </row>
    <row r="67" spans="1:12">
      <c r="A67" s="2" t="s">
        <v>411</v>
      </c>
      <c r="B67" s="3" t="s">
        <v>412</v>
      </c>
      <c r="D67" s="20">
        <v>4.6571518931028295E-3</v>
      </c>
      <c r="E67" s="20">
        <v>0.84474695292311708</v>
      </c>
      <c r="F67" s="20">
        <v>2.5327633757305935E-2</v>
      </c>
      <c r="G67" s="20">
        <v>7.6118491500716144E-3</v>
      </c>
      <c r="H67" s="20">
        <v>0</v>
      </c>
      <c r="I67" s="20">
        <v>0.8118074700157395</v>
      </c>
      <c r="J67" s="20">
        <v>1.4221908728837281E-4</v>
      </c>
      <c r="K67" s="20">
        <v>0.15045367609649182</v>
      </c>
      <c r="L67" s="20">
        <v>0</v>
      </c>
    </row>
    <row r="68" spans="1:12">
      <c r="A68" s="2" t="s">
        <v>413</v>
      </c>
      <c r="B68" s="3" t="s">
        <v>414</v>
      </c>
      <c r="D68" s="20">
        <v>9.9920656527440841E-3</v>
      </c>
      <c r="E68" s="20">
        <v>0.79726328518269363</v>
      </c>
      <c r="F68" s="20">
        <v>4.4251652550323949E-2</v>
      </c>
      <c r="G68" s="20">
        <v>1.2677249833775939E-2</v>
      </c>
      <c r="H68" s="20">
        <v>0</v>
      </c>
      <c r="I68" s="20">
        <v>0.74033438279859376</v>
      </c>
      <c r="J68" s="20">
        <v>1.9723982325089504E-4</v>
      </c>
      <c r="K68" s="20">
        <v>0.19254740934131151</v>
      </c>
      <c r="L68" s="20">
        <v>0</v>
      </c>
    </row>
    <row r="69" spans="1:12">
      <c r="A69" s="2" t="s">
        <v>415</v>
      </c>
      <c r="B69" s="3" t="s">
        <v>416</v>
      </c>
      <c r="D69" s="20">
        <v>1.2536635981356249E-3</v>
      </c>
      <c r="E69" s="20">
        <v>0.89081057469187519</v>
      </c>
      <c r="F69" s="20">
        <v>0.36270640982551577</v>
      </c>
      <c r="G69" s="20">
        <v>0.5266848012897547</v>
      </c>
      <c r="H69" s="20">
        <v>0</v>
      </c>
      <c r="I69" s="20">
        <v>1.4193635766047202E-3</v>
      </c>
      <c r="J69" s="20">
        <v>6.3896224150662879E-3</v>
      </c>
      <c r="K69" s="20">
        <v>0.10154613929492287</v>
      </c>
      <c r="L69" s="20">
        <v>0</v>
      </c>
    </row>
    <row r="70" spans="1:12">
      <c r="A70" s="2" t="s">
        <v>417</v>
      </c>
      <c r="B70" s="3" t="s">
        <v>418</v>
      </c>
      <c r="D70" s="20">
        <v>3.1897430819130129E-3</v>
      </c>
      <c r="E70" s="20">
        <v>0.83497408980651466</v>
      </c>
      <c r="F70" s="20">
        <v>0.68427381159924905</v>
      </c>
      <c r="G70" s="20">
        <v>0.12506203017321113</v>
      </c>
      <c r="H70" s="20">
        <v>0</v>
      </c>
      <c r="I70" s="20">
        <v>2.5638248034054453E-2</v>
      </c>
      <c r="J70" s="20">
        <v>1.4975605496934891E-3</v>
      </c>
      <c r="K70" s="20">
        <v>0.16033860656187895</v>
      </c>
      <c r="L70" s="20">
        <v>0</v>
      </c>
    </row>
    <row r="71" spans="1:12">
      <c r="A71" s="2" t="s">
        <v>419</v>
      </c>
      <c r="B71" s="3" t="s">
        <v>420</v>
      </c>
      <c r="D71" s="20">
        <v>2.4528916621632115E-2</v>
      </c>
      <c r="E71" s="20">
        <v>0.79240924517394251</v>
      </c>
      <c r="F71" s="20">
        <v>4.0063840837320217E-2</v>
      </c>
      <c r="G71" s="20">
        <v>1.1562403928693728E-2</v>
      </c>
      <c r="H71" s="20">
        <v>0</v>
      </c>
      <c r="I71" s="20">
        <v>0.74078300040792855</v>
      </c>
      <c r="J71" s="20">
        <v>1.8413117275920107E-4</v>
      </c>
      <c r="K71" s="20">
        <v>0.18287770703166625</v>
      </c>
      <c r="L71" s="20">
        <v>0</v>
      </c>
    </row>
    <row r="72" spans="1:12">
      <c r="A72" s="2" t="s">
        <v>421</v>
      </c>
      <c r="B72" s="3" t="s">
        <v>422</v>
      </c>
      <c r="D72" s="20">
        <v>1.3366893197203232E-2</v>
      </c>
      <c r="E72" s="20">
        <v>0.81607439091552036</v>
      </c>
      <c r="F72" s="20">
        <v>0.6635974261705897</v>
      </c>
      <c r="G72" s="20">
        <v>0.12285709675831046</v>
      </c>
      <c r="H72" s="20">
        <v>0</v>
      </c>
      <c r="I72" s="20">
        <v>2.9619867986620193E-2</v>
      </c>
      <c r="J72" s="20">
        <v>1.4706802386666514E-3</v>
      </c>
      <c r="K72" s="20">
        <v>0.16908803564860975</v>
      </c>
      <c r="L72" s="20">
        <v>0</v>
      </c>
    </row>
    <row r="73" spans="1:12">
      <c r="A73" s="2" t="s">
        <v>423</v>
      </c>
      <c r="B73" s="3" t="s">
        <v>424</v>
      </c>
      <c r="D73" s="20">
        <v>1.3022798193121085E-2</v>
      </c>
      <c r="E73" s="20">
        <v>0.65709232736146295</v>
      </c>
      <c r="F73" s="20">
        <v>0.32194265812137962</v>
      </c>
      <c r="G73" s="20">
        <v>7.3803011070960781E-2</v>
      </c>
      <c r="H73" s="20">
        <v>0</v>
      </c>
      <c r="I73" s="20">
        <v>0.2613466581691225</v>
      </c>
      <c r="J73" s="20">
        <v>8.9183363912051711E-4</v>
      </c>
      <c r="K73" s="20">
        <v>0.32899304080629549</v>
      </c>
      <c r="L73" s="20">
        <v>0</v>
      </c>
    </row>
    <row r="74" spans="1:12">
      <c r="A74" s="2" t="s">
        <v>425</v>
      </c>
      <c r="B74" s="3" t="s">
        <v>426</v>
      </c>
      <c r="D74" s="20">
        <v>4.9219589692391158E-3</v>
      </c>
      <c r="E74" s="20">
        <v>0.83057388609153238</v>
      </c>
      <c r="F74" s="20">
        <v>0.67922271882539531</v>
      </c>
      <c r="G74" s="20">
        <v>0.12459704979947731</v>
      </c>
      <c r="H74" s="20">
        <v>0</v>
      </c>
      <c r="I74" s="20">
        <v>2.6754117466659719E-2</v>
      </c>
      <c r="J74" s="20">
        <v>1.4918494143639099E-3</v>
      </c>
      <c r="K74" s="20">
        <v>0.16301230552486468</v>
      </c>
      <c r="L74" s="20">
        <v>0</v>
      </c>
    </row>
    <row r="75" spans="1:12">
      <c r="A75" s="2" t="s">
        <v>427</v>
      </c>
      <c r="B75" s="3" t="s">
        <v>428</v>
      </c>
      <c r="D75" s="20">
        <v>5.5050642241822589E-10</v>
      </c>
      <c r="E75" s="20">
        <v>0.99950492699971927</v>
      </c>
      <c r="F75" s="20">
        <v>0.9948019368633586</v>
      </c>
      <c r="G75" s="20">
        <v>3.8387234987529632E-4</v>
      </c>
      <c r="H75" s="20">
        <v>0</v>
      </c>
      <c r="I75" s="20">
        <v>4.3191177864853377E-3</v>
      </c>
      <c r="J75" s="20">
        <v>4.1149300884293552E-4</v>
      </c>
      <c r="K75" s="20">
        <v>8.3579440931361309E-5</v>
      </c>
      <c r="L75" s="20">
        <v>0</v>
      </c>
    </row>
    <row r="76" spans="1:12">
      <c r="A76" s="2" t="s">
        <v>429</v>
      </c>
      <c r="B76" s="3" t="s">
        <v>430</v>
      </c>
      <c r="D76" s="20">
        <v>1.3828096136733471E-11</v>
      </c>
      <c r="E76" s="20">
        <v>0.99950492753613185</v>
      </c>
      <c r="F76" s="20">
        <v>0.9948019373972472</v>
      </c>
      <c r="G76" s="20">
        <v>3.8387235008131225E-4</v>
      </c>
      <c r="H76" s="20">
        <v>0</v>
      </c>
      <c r="I76" s="20">
        <v>4.3191177888033151E-3</v>
      </c>
      <c r="J76" s="20">
        <v>4.1149300906377488E-4</v>
      </c>
      <c r="K76" s="20">
        <v>8.3579440976216582E-5</v>
      </c>
      <c r="L76" s="20">
        <v>0</v>
      </c>
    </row>
    <row r="77" spans="1:12">
      <c r="A77" s="2" t="s">
        <v>431</v>
      </c>
      <c r="B77" s="3" t="s">
        <v>432</v>
      </c>
      <c r="D77" s="20">
        <v>2.3750751606638844E-2</v>
      </c>
      <c r="E77" s="20">
        <v>0.71090436118002054</v>
      </c>
      <c r="F77" s="20">
        <v>0.50530264619037513</v>
      </c>
      <c r="G77" s="20">
        <v>0.10448335943451484</v>
      </c>
      <c r="H77" s="20">
        <v>0</v>
      </c>
      <c r="I77" s="20">
        <v>0.10111835555513059</v>
      </c>
      <c r="J77" s="20">
        <v>1.2501429014499436E-3</v>
      </c>
      <c r="K77" s="20">
        <v>0.26409474431189039</v>
      </c>
      <c r="L77" s="20">
        <v>0</v>
      </c>
    </row>
    <row r="78" spans="1:12">
      <c r="A78" s="2" t="s">
        <v>433</v>
      </c>
      <c r="B78" s="3" t="s">
        <v>434</v>
      </c>
      <c r="D78" s="20">
        <v>3.3323282795793066E-2</v>
      </c>
      <c r="E78" s="20">
        <v>0.68361763389168984</v>
      </c>
      <c r="F78" s="20">
        <v>0.12700534356133411</v>
      </c>
      <c r="G78" s="20">
        <v>3.2818410956726086E-2</v>
      </c>
      <c r="H78" s="20">
        <v>0</v>
      </c>
      <c r="I78" s="20">
        <v>0.52379387937362965</v>
      </c>
      <c r="J78" s="20">
        <v>4.2132523236496327E-4</v>
      </c>
      <c r="K78" s="20">
        <v>0.28263775808015207</v>
      </c>
      <c r="L78" s="20">
        <v>0</v>
      </c>
    </row>
    <row r="79" spans="1:12">
      <c r="A79" s="2" t="s">
        <v>435</v>
      </c>
      <c r="B79" s="3" t="s">
        <v>436</v>
      </c>
      <c r="D79" s="20">
        <v>7.7933003843952886E-3</v>
      </c>
      <c r="E79" s="20">
        <v>0.66144127518574292</v>
      </c>
      <c r="F79" s="20">
        <v>0.23658958957430418</v>
      </c>
      <c r="G79" s="20">
        <v>5.6897238206203446E-2</v>
      </c>
      <c r="H79" s="20">
        <v>0</v>
      </c>
      <c r="I79" s="20">
        <v>0.36795444740523531</v>
      </c>
      <c r="J79" s="20">
        <v>6.971241137908277E-4</v>
      </c>
      <c r="K79" s="20">
        <v>0.33006830031607104</v>
      </c>
      <c r="L79" s="20">
        <v>0</v>
      </c>
    </row>
    <row r="80" spans="1:12">
      <c r="A80" s="2" t="s">
        <v>437</v>
      </c>
      <c r="B80" s="3" t="s">
        <v>438</v>
      </c>
      <c r="D80" s="20">
        <v>1.9703271815587316E-10</v>
      </c>
      <c r="E80" s="20">
        <v>0.99909941960289073</v>
      </c>
      <c r="F80" s="20">
        <v>0.99543425315643541</v>
      </c>
      <c r="G80" s="20">
        <v>7.3784100968032602E-4</v>
      </c>
      <c r="H80" s="20">
        <v>0</v>
      </c>
      <c r="I80" s="20">
        <v>2.9273254367749471E-3</v>
      </c>
      <c r="J80" s="20">
        <v>7.987502758782034E-4</v>
      </c>
      <c r="K80" s="20">
        <v>1.0182992419849987E-4</v>
      </c>
      <c r="L80" s="20">
        <v>0</v>
      </c>
    </row>
    <row r="81" spans="1:12">
      <c r="A81" s="2" t="s">
        <v>440</v>
      </c>
      <c r="B81" s="3" t="s">
        <v>441</v>
      </c>
      <c r="D81" s="20">
        <v>1.8488240166823805E-13</v>
      </c>
      <c r="E81" s="20">
        <v>0.97094731880664353</v>
      </c>
      <c r="F81" s="20">
        <v>9.1278772048907755E-4</v>
      </c>
      <c r="G81" s="20">
        <v>3.5503023863774075E-4</v>
      </c>
      <c r="H81" s="20">
        <v>0</v>
      </c>
      <c r="I81" s="20">
        <v>0.96967950084751675</v>
      </c>
      <c r="J81" s="20">
        <v>6.7369499798840211E-5</v>
      </c>
      <c r="K81" s="20">
        <v>2.8985311693372623E-2</v>
      </c>
      <c r="L81" s="20">
        <v>0</v>
      </c>
    </row>
    <row r="82" spans="1:12">
      <c r="A82" s="2" t="s">
        <v>442</v>
      </c>
      <c r="B82" s="3" t="s">
        <v>443</v>
      </c>
      <c r="D82" s="20">
        <v>8.2458289550763238E-5</v>
      </c>
      <c r="E82" s="20">
        <v>0.78730732511145529</v>
      </c>
      <c r="F82" s="20">
        <v>5.5018473521265696E-2</v>
      </c>
      <c r="G82" s="20">
        <v>1.5474053432555679E-2</v>
      </c>
      <c r="H82" s="20">
        <v>0</v>
      </c>
      <c r="I82" s="20">
        <v>0.71681479815763394</v>
      </c>
      <c r="J82" s="20">
        <v>2.2869756656551893E-4</v>
      </c>
      <c r="K82" s="20">
        <v>0.21238151903242841</v>
      </c>
      <c r="L82" s="20">
        <v>0</v>
      </c>
    </row>
    <row r="83" spans="1:12">
      <c r="A83" s="2" t="s">
        <v>444</v>
      </c>
      <c r="B83" s="3" t="s">
        <v>445</v>
      </c>
      <c r="D83" s="20">
        <v>5.0589295772098832E-4</v>
      </c>
      <c r="E83" s="20">
        <v>0.7108401672153839</v>
      </c>
      <c r="F83" s="20">
        <v>0.48209524586150021</v>
      </c>
      <c r="G83" s="20">
        <v>0.1017251652718517</v>
      </c>
      <c r="H83" s="20">
        <v>0</v>
      </c>
      <c r="I83" s="20">
        <v>0.12701975608203203</v>
      </c>
      <c r="J83" s="20">
        <v>1.2180231290003661E-3</v>
      </c>
      <c r="K83" s="20">
        <v>0.2874359166978947</v>
      </c>
      <c r="L83" s="20">
        <v>0</v>
      </c>
    </row>
    <row r="84" spans="1:12">
      <c r="A84" s="2" t="s">
        <v>446</v>
      </c>
      <c r="B84" s="3" t="s">
        <v>447</v>
      </c>
      <c r="D84" s="20">
        <v>5.6691095959751966E-15</v>
      </c>
      <c r="E84" s="20">
        <v>0.93780753635763681</v>
      </c>
      <c r="F84" s="20">
        <v>4.0849718471271347E-3</v>
      </c>
      <c r="G84" s="20">
        <v>1.4186805778975658E-3</v>
      </c>
      <c r="H84" s="20">
        <v>0</v>
      </c>
      <c r="I84" s="20">
        <v>0.9323038839326121</v>
      </c>
      <c r="J84" s="20">
        <v>7.7354347277359489E-5</v>
      </c>
      <c r="K84" s="20">
        <v>6.2115109295080045E-2</v>
      </c>
      <c r="L84" s="20">
        <v>0</v>
      </c>
    </row>
    <row r="85" spans="1:12">
      <c r="A85" s="2" t="s">
        <v>448</v>
      </c>
      <c r="B85" s="3" t="s">
        <v>449</v>
      </c>
      <c r="D85" s="20">
        <v>3.9878593665550654E-8</v>
      </c>
      <c r="E85" s="20">
        <v>0.98784480244825912</v>
      </c>
      <c r="F85" s="20">
        <v>1.6765405005351872E-4</v>
      </c>
      <c r="G85" s="20">
        <v>7.3979195570237106E-5</v>
      </c>
      <c r="H85" s="20">
        <v>0</v>
      </c>
      <c r="I85" s="20">
        <v>0.98760316920263536</v>
      </c>
      <c r="J85" s="20">
        <v>6.5270854725174891E-5</v>
      </c>
      <c r="K85" s="20">
        <v>1.2089886818422086E-2</v>
      </c>
      <c r="L85" s="20">
        <v>0</v>
      </c>
    </row>
    <row r="86" spans="1:12">
      <c r="A86" s="2" t="s">
        <v>450</v>
      </c>
      <c r="B86" s="3" t="s">
        <v>451</v>
      </c>
      <c r="D86" s="20">
        <v>1.4262787824340074E-8</v>
      </c>
      <c r="E86" s="20">
        <v>0.93929334383689123</v>
      </c>
      <c r="F86" s="20">
        <v>3.8929483032734257E-3</v>
      </c>
      <c r="G86" s="20">
        <v>1.3569823280158713E-3</v>
      </c>
      <c r="H86" s="20">
        <v>0</v>
      </c>
      <c r="I86" s="20">
        <v>0.93404341320560191</v>
      </c>
      <c r="J86" s="20">
        <v>7.6746018791425881E-5</v>
      </c>
      <c r="K86" s="20">
        <v>6.0629895881529478E-2</v>
      </c>
      <c r="L86" s="20">
        <v>0</v>
      </c>
    </row>
    <row r="87" spans="1:12">
      <c r="A87" s="2" t="s">
        <v>452</v>
      </c>
      <c r="B87" s="3" t="s">
        <v>453</v>
      </c>
      <c r="D87" s="20">
        <v>4.9004952303753505E-8</v>
      </c>
      <c r="E87" s="20">
        <v>0.91445981256913333</v>
      </c>
      <c r="F87" s="20">
        <v>0.21632872255226487</v>
      </c>
      <c r="G87" s="20">
        <v>0.69760525123719153</v>
      </c>
      <c r="H87" s="20">
        <v>0</v>
      </c>
      <c r="I87" s="20">
        <v>5.2583877967692625E-4</v>
      </c>
      <c r="J87" s="20">
        <v>8.4990567699455063E-3</v>
      </c>
      <c r="K87" s="20">
        <v>7.7041081655968763E-2</v>
      </c>
      <c r="L87" s="20">
        <v>0</v>
      </c>
    </row>
    <row r="88" spans="1:12">
      <c r="A88" s="2" t="s">
        <v>454</v>
      </c>
      <c r="B88" s="3" t="s">
        <v>455</v>
      </c>
      <c r="D88" s="20">
        <v>3.9898990994152593E-5</v>
      </c>
      <c r="E88" s="20">
        <v>0.72979910876570442</v>
      </c>
      <c r="F88" s="20">
        <v>0.10252649904345588</v>
      </c>
      <c r="G88" s="20">
        <v>2.7185146842197291E-2</v>
      </c>
      <c r="H88" s="20">
        <v>0</v>
      </c>
      <c r="I88" s="20">
        <v>0.60008746288005121</v>
      </c>
      <c r="J88" s="20">
        <v>3.5952088311456493E-4</v>
      </c>
      <c r="K88" s="20">
        <v>0.2698014713601869</v>
      </c>
      <c r="L88" s="20">
        <v>0</v>
      </c>
    </row>
    <row r="89" spans="1:12">
      <c r="A89" s="2" t="s">
        <v>456</v>
      </c>
      <c r="B89" s="3" t="s">
        <v>457</v>
      </c>
      <c r="D89" s="20">
        <v>2.7190592946020161E-17</v>
      </c>
      <c r="E89" s="20">
        <v>0.77644480525546722</v>
      </c>
      <c r="F89" s="20">
        <v>6.2157407630042245E-2</v>
      </c>
      <c r="G89" s="20">
        <v>1.7289739448379127E-2</v>
      </c>
      <c r="H89" s="20">
        <v>0</v>
      </c>
      <c r="I89" s="20">
        <v>0.69699765817704584</v>
      </c>
      <c r="J89" s="20">
        <v>2.4884154935461141E-4</v>
      </c>
      <c r="K89" s="20">
        <v>0.22330635319517808</v>
      </c>
      <c r="L89" s="20">
        <v>0</v>
      </c>
    </row>
    <row r="90" spans="1:12">
      <c r="A90" s="2" t="s">
        <v>458</v>
      </c>
      <c r="B90" s="3" t="s">
        <v>459</v>
      </c>
      <c r="D90" s="20">
        <v>4.201957669339165E-29</v>
      </c>
      <c r="E90" s="20">
        <v>0.88284938674654834</v>
      </c>
      <c r="F90" s="20">
        <v>1.4781751191062254E-2</v>
      </c>
      <c r="G90" s="20">
        <v>4.6432433269449989E-3</v>
      </c>
      <c r="H90" s="20">
        <v>0</v>
      </c>
      <c r="I90" s="20">
        <v>0.86342439222854106</v>
      </c>
      <c r="J90" s="20">
        <v>1.1067774564340458E-4</v>
      </c>
      <c r="K90" s="20">
        <v>0.11703993550780835</v>
      </c>
      <c r="L90" s="20">
        <v>0</v>
      </c>
    </row>
    <row r="91" spans="1:12">
      <c r="A91" s="2" t="s">
        <v>460</v>
      </c>
      <c r="B91" s="3" t="s">
        <v>461</v>
      </c>
      <c r="D91" s="20">
        <v>5.0372324916528202E-8</v>
      </c>
      <c r="E91" s="20">
        <v>0.87915285482501238</v>
      </c>
      <c r="F91" s="20">
        <v>0.53255713909906277</v>
      </c>
      <c r="G91" s="20">
        <v>0.34321144859011088</v>
      </c>
      <c r="H91" s="20">
        <v>0</v>
      </c>
      <c r="I91" s="20">
        <v>3.3842671358387121E-3</v>
      </c>
      <c r="J91" s="20">
        <v>4.1461433458856861E-3</v>
      </c>
      <c r="K91" s="20">
        <v>0.11670095145677711</v>
      </c>
      <c r="L91" s="20">
        <v>0</v>
      </c>
    </row>
    <row r="92" spans="1:12">
      <c r="A92" s="2" t="s">
        <v>462</v>
      </c>
      <c r="B92" s="3" t="s">
        <v>463</v>
      </c>
      <c r="D92" s="20">
        <v>4.4372289159676857E-9</v>
      </c>
      <c r="E92" s="20">
        <v>0.68615639798436368</v>
      </c>
      <c r="F92" s="20">
        <v>0.41781694510277828</v>
      </c>
      <c r="G92" s="20">
        <v>9.1302276189388756E-2</v>
      </c>
      <c r="H92" s="20">
        <v>0</v>
      </c>
      <c r="I92" s="20">
        <v>0.1770371766921966</v>
      </c>
      <c r="J92" s="20">
        <v>1.0958177925744386E-3</v>
      </c>
      <c r="K92" s="20">
        <v>0.31274777978583285</v>
      </c>
      <c r="L92" s="20">
        <v>0</v>
      </c>
    </row>
    <row r="93" spans="1:12">
      <c r="A93" s="2" t="s">
        <v>464</v>
      </c>
      <c r="B93" s="3" t="s">
        <v>465</v>
      </c>
      <c r="D93" s="20">
        <v>1.9698733274030008E-4</v>
      </c>
      <c r="E93" s="20">
        <v>0.80809014050807138</v>
      </c>
      <c r="F93" s="20">
        <v>0.64671437533866372</v>
      </c>
      <c r="G93" s="20">
        <v>0.12240751179919064</v>
      </c>
      <c r="H93" s="20">
        <v>0</v>
      </c>
      <c r="I93" s="20">
        <v>3.8968253370217004E-2</v>
      </c>
      <c r="J93" s="20">
        <v>1.4646090212791902E-3</v>
      </c>
      <c r="K93" s="20">
        <v>0.19024826313790899</v>
      </c>
      <c r="L93" s="20">
        <v>0</v>
      </c>
    </row>
    <row r="94" spans="1:12">
      <c r="A94" s="2" t="s">
        <v>466</v>
      </c>
      <c r="B94" s="3" t="s">
        <v>467</v>
      </c>
      <c r="D94" s="20">
        <v>1.8342414675369073E-18</v>
      </c>
      <c r="E94" s="20">
        <v>0.99977322086198783</v>
      </c>
      <c r="F94" s="20">
        <v>0.10505162902851166</v>
      </c>
      <c r="G94" s="20">
        <v>1.3805154960985594E-5</v>
      </c>
      <c r="H94" s="20">
        <v>0</v>
      </c>
      <c r="I94" s="20">
        <v>0.89470778667851514</v>
      </c>
      <c r="J94" s="20">
        <v>6.7281624704542824E-5</v>
      </c>
      <c r="K94" s="20">
        <v>1.5949751330752356E-4</v>
      </c>
      <c r="L94" s="20">
        <v>0</v>
      </c>
    </row>
    <row r="95" spans="1:12">
      <c r="A95" s="2" t="s">
        <v>468</v>
      </c>
      <c r="B95" s="3" t="s">
        <v>469</v>
      </c>
      <c r="D95" s="20">
        <v>2.0228660315684476E-18</v>
      </c>
      <c r="E95" s="20">
        <v>0.8827677315094451</v>
      </c>
      <c r="F95" s="20">
        <v>0.70136055397232966</v>
      </c>
      <c r="G95" s="20">
        <v>0.17351494700976136</v>
      </c>
      <c r="H95" s="20">
        <v>0</v>
      </c>
      <c r="I95" s="20">
        <v>7.8922305273540338E-3</v>
      </c>
      <c r="J95" s="20">
        <v>2.0860917317382204E-3</v>
      </c>
      <c r="K95" s="20">
        <v>0.11514617675881668</v>
      </c>
      <c r="L95" s="20">
        <v>0</v>
      </c>
    </row>
    <row r="96" spans="1:12">
      <c r="A96" s="2" t="s">
        <v>470</v>
      </c>
      <c r="B96" s="165">
        <v>354656</v>
      </c>
      <c r="D96" s="20">
        <v>3.6858010388276952E-10</v>
      </c>
      <c r="E96" s="20">
        <v>0.96982910454669335</v>
      </c>
      <c r="F96" s="20">
        <v>9.8266639182159957E-4</v>
      </c>
      <c r="G96" s="20">
        <v>3.8010331599046162E-4</v>
      </c>
      <c r="H96" s="20">
        <v>0</v>
      </c>
      <c r="I96" s="20">
        <v>0.96846633483888134</v>
      </c>
      <c r="J96" s="20">
        <v>6.7582451514480512E-5</v>
      </c>
      <c r="K96" s="20">
        <v>3.0103312633211962E-2</v>
      </c>
      <c r="L96" s="20">
        <v>0</v>
      </c>
    </row>
    <row r="97" spans="1:12">
      <c r="A97" s="2" t="s">
        <v>472</v>
      </c>
      <c r="B97" s="3" t="s">
        <v>473</v>
      </c>
      <c r="D97" s="20">
        <v>5.6645008631558828E-10</v>
      </c>
      <c r="E97" s="20">
        <v>0.93705224500592554</v>
      </c>
      <c r="F97" s="20">
        <v>4.1844257135817062E-3</v>
      </c>
      <c r="G97" s="20">
        <v>1.4505457053554782E-3</v>
      </c>
      <c r="H97" s="20">
        <v>0</v>
      </c>
      <c r="I97" s="20">
        <v>0.93141727358698834</v>
      </c>
      <c r="J97" s="20">
        <v>7.7669339291706457E-5</v>
      </c>
      <c r="K97" s="20">
        <v>6.2870085088332875E-2</v>
      </c>
      <c r="L97" s="20">
        <v>0</v>
      </c>
    </row>
    <row r="98" spans="1:12">
      <c r="A98" s="2" t="s">
        <v>474</v>
      </c>
      <c r="B98" s="3" t="s">
        <v>475</v>
      </c>
      <c r="D98" s="20">
        <v>4.6767512133164446E-20</v>
      </c>
      <c r="E98" s="20">
        <v>0.85877000983144713</v>
      </c>
      <c r="F98" s="20">
        <v>0.71354026030934803</v>
      </c>
      <c r="G98" s="20">
        <v>0.12685688349793117</v>
      </c>
      <c r="H98" s="20">
        <v>0</v>
      </c>
      <c r="I98" s="20">
        <v>1.8372866024167954E-2</v>
      </c>
      <c r="J98" s="20">
        <v>1.5202553250746851E-3</v>
      </c>
      <c r="K98" s="20">
        <v>0.13970973484347812</v>
      </c>
      <c r="L98" s="20">
        <v>0</v>
      </c>
    </row>
    <row r="99" spans="1:12">
      <c r="A99" s="2" t="s">
        <v>476</v>
      </c>
      <c r="B99" s="3" t="s">
        <v>477</v>
      </c>
      <c r="D99" s="20">
        <v>1.7406636503560838E-7</v>
      </c>
      <c r="E99" s="20">
        <v>0.99156333303113009</v>
      </c>
      <c r="F99" s="20">
        <v>8.2525673073422111E-5</v>
      </c>
      <c r="G99" s="20">
        <v>3.8378202536446969E-5</v>
      </c>
      <c r="H99" s="20">
        <v>0</v>
      </c>
      <c r="I99" s="20">
        <v>0.99144242915552017</v>
      </c>
      <c r="J99" s="20">
        <v>6.5108954520167971E-5</v>
      </c>
      <c r="K99" s="20">
        <v>8.3713839479848482E-3</v>
      </c>
      <c r="L99" s="20">
        <v>0</v>
      </c>
    </row>
    <row r="100" spans="1:12">
      <c r="A100" s="2" t="s">
        <v>478</v>
      </c>
      <c r="B100" s="3" t="s">
        <v>479</v>
      </c>
      <c r="D100" s="20">
        <v>5.1086969388003668E-11</v>
      </c>
      <c r="E100" s="20">
        <v>0.67218019056232881</v>
      </c>
      <c r="F100" s="20">
        <v>0.21056411283602716</v>
      </c>
      <c r="G100" s="20">
        <v>5.1484904349350186E-2</v>
      </c>
      <c r="H100" s="20">
        <v>0</v>
      </c>
      <c r="I100" s="20">
        <v>0.41013117337695143</v>
      </c>
      <c r="J100" s="20">
        <v>6.3544536182615465E-4</v>
      </c>
      <c r="K100" s="20">
        <v>0.32718436402475815</v>
      </c>
      <c r="L100" s="20">
        <v>0</v>
      </c>
    </row>
    <row r="101" spans="1:12">
      <c r="A101" s="2" t="s">
        <v>480</v>
      </c>
      <c r="B101" s="3" t="s">
        <v>481</v>
      </c>
      <c r="D101" s="20">
        <v>4.6832528579352164E-11</v>
      </c>
      <c r="E101" s="20">
        <v>0.98591840920543394</v>
      </c>
      <c r="F101" s="20">
        <v>2.2306006360899369E-4</v>
      </c>
      <c r="G101" s="20">
        <v>9.6364567615888686E-5</v>
      </c>
      <c r="H101" s="20">
        <v>0</v>
      </c>
      <c r="I101" s="20">
        <v>0.98559898457420902</v>
      </c>
      <c r="J101" s="20">
        <v>6.5399728497066682E-5</v>
      </c>
      <c r="K101" s="20">
        <v>1.4016191019236381E-2</v>
      </c>
      <c r="L101" s="20">
        <v>0</v>
      </c>
    </row>
    <row r="102" spans="1:12">
      <c r="A102" s="2" t="s">
        <v>482</v>
      </c>
      <c r="B102" s="3" t="s">
        <v>483</v>
      </c>
      <c r="D102" s="20">
        <v>2.9437424028143014E-27</v>
      </c>
      <c r="E102" s="20">
        <v>0.9963754732096074</v>
      </c>
      <c r="F102" s="20">
        <v>1.592113476779835E-5</v>
      </c>
      <c r="G102" s="20">
        <v>8.3612185213199153E-6</v>
      </c>
      <c r="H102" s="20">
        <v>0</v>
      </c>
      <c r="I102" s="20">
        <v>0.99635119085631829</v>
      </c>
      <c r="J102" s="20">
        <v>6.5082464161336169E-5</v>
      </c>
      <c r="K102" s="20">
        <v>3.5594443262311564E-3</v>
      </c>
      <c r="L102" s="20">
        <v>0</v>
      </c>
    </row>
    <row r="103" spans="1:12">
      <c r="A103" s="2" t="s">
        <v>484</v>
      </c>
      <c r="B103" s="3" t="s">
        <v>485</v>
      </c>
      <c r="D103" s="20">
        <v>2.347927157023884E-13</v>
      </c>
      <c r="E103" s="20">
        <v>0.99182963678259217</v>
      </c>
      <c r="F103" s="20">
        <v>7.7545898782768456E-5</v>
      </c>
      <c r="G103" s="20">
        <v>3.622883671445678E-5</v>
      </c>
      <c r="H103" s="20">
        <v>0</v>
      </c>
      <c r="I103" s="20">
        <v>0.99171586204709494</v>
      </c>
      <c r="J103" s="20">
        <v>6.5101925589582395E-5</v>
      </c>
      <c r="K103" s="20">
        <v>8.1052612915834543E-3</v>
      </c>
      <c r="L103" s="20">
        <v>0</v>
      </c>
    </row>
    <row r="104" spans="1:12">
      <c r="A104" s="2" t="s">
        <v>486</v>
      </c>
      <c r="B104" s="3" t="s">
        <v>487</v>
      </c>
      <c r="D104" s="20">
        <v>2.889455798936316E-9</v>
      </c>
      <c r="E104" s="20">
        <v>0.9544613763726868</v>
      </c>
      <c r="F104" s="20">
        <v>2.2033843994307494E-3</v>
      </c>
      <c r="G104" s="20">
        <v>8.0202115811193954E-4</v>
      </c>
      <c r="H104" s="20">
        <v>0</v>
      </c>
      <c r="I104" s="20">
        <v>0.9514559708151441</v>
      </c>
      <c r="J104" s="20">
        <v>7.1394965651654831E-5</v>
      </c>
      <c r="K104" s="20">
        <v>4.5467225772205522E-2</v>
      </c>
      <c r="L104" s="20">
        <v>0</v>
      </c>
    </row>
    <row r="105" spans="1:12">
      <c r="A105" s="2" t="s">
        <v>488</v>
      </c>
      <c r="B105" s="3" t="s">
        <v>489</v>
      </c>
      <c r="D105" s="20">
        <v>2.3411335625966706E-16</v>
      </c>
      <c r="E105" s="20">
        <v>0.99566610027537128</v>
      </c>
      <c r="F105" s="20">
        <v>2.2578776568286435E-5</v>
      </c>
      <c r="G105" s="20">
        <v>1.1555692092937986E-5</v>
      </c>
      <c r="H105" s="20">
        <v>0</v>
      </c>
      <c r="I105" s="20">
        <v>0.9956319658067101</v>
      </c>
      <c r="J105" s="20">
        <v>6.5072359942866802E-5</v>
      </c>
      <c r="K105" s="20">
        <v>4.2688273646856595E-3</v>
      </c>
      <c r="L105" s="20">
        <v>0</v>
      </c>
    </row>
    <row r="106" spans="1:12">
      <c r="A106" s="2" t="s">
        <v>490</v>
      </c>
      <c r="B106" s="3" t="s">
        <v>491</v>
      </c>
      <c r="D106" s="20">
        <v>1.2723802980683578E-8</v>
      </c>
      <c r="E106" s="20">
        <v>0.85481973593654059</v>
      </c>
      <c r="F106" s="20">
        <v>2.3275078297639442E-2</v>
      </c>
      <c r="G106" s="20">
        <v>7.0467149824161293E-3</v>
      </c>
      <c r="H106" s="20">
        <v>0</v>
      </c>
      <c r="I106" s="20">
        <v>0.82449794265648502</v>
      </c>
      <c r="J106" s="20">
        <v>1.3639548523649E-4</v>
      </c>
      <c r="K106" s="20">
        <v>0.14504385585441984</v>
      </c>
      <c r="L106" s="20">
        <v>0</v>
      </c>
    </row>
    <row r="107" spans="1:12">
      <c r="A107" s="2" t="s">
        <v>492</v>
      </c>
      <c r="B107" s="3" t="s">
        <v>493</v>
      </c>
      <c r="D107" s="20">
        <v>2.1978623600141359E-16</v>
      </c>
      <c r="E107" s="20">
        <v>0.87542099660022021</v>
      </c>
      <c r="F107" s="20">
        <v>0.73430199201550872</v>
      </c>
      <c r="G107" s="20">
        <v>0.12745892806828699</v>
      </c>
      <c r="H107" s="20">
        <v>0</v>
      </c>
      <c r="I107" s="20">
        <v>1.3660076516424459E-2</v>
      </c>
      <c r="J107" s="20">
        <v>1.5286423624192331E-3</v>
      </c>
      <c r="K107" s="20">
        <v>0.12305036103736029</v>
      </c>
      <c r="L107" s="20">
        <v>0</v>
      </c>
    </row>
    <row r="108" spans="1:12">
      <c r="A108" s="2" t="s">
        <v>291</v>
      </c>
      <c r="B108" s="3" t="s">
        <v>494</v>
      </c>
      <c r="D108" s="20">
        <v>2.9413434223364423E-10</v>
      </c>
      <c r="E108" s="20">
        <v>0.68568108153900065</v>
      </c>
      <c r="F108" s="20">
        <v>0.1707732915518228</v>
      </c>
      <c r="G108" s="20">
        <v>4.284651510652298E-2</v>
      </c>
      <c r="H108" s="20">
        <v>0</v>
      </c>
      <c r="I108" s="20">
        <v>0.47206127488065486</v>
      </c>
      <c r="J108" s="20">
        <v>5.3683986042116845E-4</v>
      </c>
      <c r="K108" s="20">
        <v>0.31378207830644395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3.6312644441055861E-9</v>
      </c>
      <c r="E2" s="14">
        <v>3.0929330391995014E-5</v>
      </c>
      <c r="F2" s="14">
        <v>1.4761554426379722E-6</v>
      </c>
      <c r="G2" s="14">
        <v>4.299595973418015E-7</v>
      </c>
      <c r="H2" s="14">
        <v>0</v>
      </c>
      <c r="I2" s="14">
        <v>7.0659188658811158E-9</v>
      </c>
      <c r="J2" s="14">
        <v>7.1538573847152302E-6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1.4421937867505193E-7</v>
      </c>
      <c r="E3" s="14">
        <v>2.6324265404959331E-8</v>
      </c>
      <c r="F3" s="14">
        <v>9.7610791663978908E-6</v>
      </c>
      <c r="G3" s="14">
        <v>2.6448033752503046E-5</v>
      </c>
      <c r="H3" s="14">
        <v>0</v>
      </c>
      <c r="I3" s="14">
        <v>3.2192293675258038E-7</v>
      </c>
      <c r="J3" s="14">
        <v>3.2984205002664786E-6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1.7653988826399315E-16</v>
      </c>
      <c r="E4" s="14">
        <v>1.4147362704432771E-5</v>
      </c>
      <c r="F4" s="14">
        <v>1.0053494907376113E-5</v>
      </c>
      <c r="G4" s="14">
        <v>2.4000076036673299E-6</v>
      </c>
      <c r="H4" s="14">
        <v>0</v>
      </c>
      <c r="I4" s="14">
        <v>2.9324393466317447E-8</v>
      </c>
      <c r="J4" s="14">
        <v>1.3369810390880934E-5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4.8105106810520231E-9</v>
      </c>
      <c r="E5" s="14">
        <v>2.7718123396203606E-7</v>
      </c>
      <c r="F5" s="14">
        <v>2.7093517864473373E-5</v>
      </c>
      <c r="G5" s="14">
        <v>7.8625053422039501E-6</v>
      </c>
      <c r="H5" s="14">
        <v>0</v>
      </c>
      <c r="I5" s="14">
        <v>9.4600500645229572E-8</v>
      </c>
      <c r="J5" s="14">
        <v>4.667384548034364E-6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4.7340544951298006E-10</v>
      </c>
      <c r="E6" s="14">
        <v>1.1860579079298762E-8</v>
      </c>
      <c r="F6" s="14">
        <v>6.2720204804191721E-6</v>
      </c>
      <c r="G6" s="14">
        <v>3.080370979319601E-5</v>
      </c>
      <c r="H6" s="14">
        <v>0</v>
      </c>
      <c r="I6" s="14">
        <v>3.7613191022206172E-7</v>
      </c>
      <c r="J6" s="14">
        <v>2.5358038316339474E-6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6.9462197758646167E-10</v>
      </c>
      <c r="E7" s="14">
        <v>2.3589631715532194E-8</v>
      </c>
      <c r="F7" s="14">
        <v>9.2134595820118374E-6</v>
      </c>
      <c r="G7" s="14">
        <v>2.7234430011771898E-5</v>
      </c>
      <c r="H7" s="14">
        <v>0</v>
      </c>
      <c r="I7" s="14">
        <v>3.3164842414741712E-7</v>
      </c>
      <c r="J7" s="14">
        <v>3.1961777283757384E-6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6.5193528535519891E-9</v>
      </c>
      <c r="E8" s="14">
        <v>5.2217626558574935E-8</v>
      </c>
      <c r="F8" s="14">
        <v>1.3934092920374344E-5</v>
      </c>
      <c r="G8" s="14">
        <v>2.1755759923663114E-5</v>
      </c>
      <c r="H8" s="14">
        <v>0</v>
      </c>
      <c r="I8" s="14">
        <v>2.6403695177702412E-7</v>
      </c>
      <c r="J8" s="14">
        <v>3.9873732247733974E-6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4.0601519849548743E-9</v>
      </c>
      <c r="E9" s="14">
        <v>2.3769220064473241E-6</v>
      </c>
      <c r="F9" s="14">
        <v>2.3923047680449139E-5</v>
      </c>
      <c r="G9" s="14">
        <v>4.697989710198851E-6</v>
      </c>
      <c r="H9" s="14">
        <v>0</v>
      </c>
      <c r="I9" s="14">
        <v>5.6185805310803604E-8</v>
      </c>
      <c r="J9" s="14">
        <v>8.9417946456089375E-6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6.1813361972491146E-11</v>
      </c>
      <c r="E10" s="14">
        <v>2.5780717838210226E-7</v>
      </c>
      <c r="F10" s="14">
        <v>2.6543401724781909E-5</v>
      </c>
      <c r="G10" s="14">
        <v>8.4033438675556854E-6</v>
      </c>
      <c r="H10" s="14">
        <v>0</v>
      </c>
      <c r="I10" s="14">
        <v>1.011510781647284E-7</v>
      </c>
      <c r="J10" s="14">
        <v>4.6942343377536088E-6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3.2202496572912131E-9</v>
      </c>
      <c r="E11" s="14">
        <v>2.2777296922338657E-7</v>
      </c>
      <c r="F11" s="14">
        <v>2.5571944757991626E-5</v>
      </c>
      <c r="G11" s="14">
        <v>9.3596436241397647E-6</v>
      </c>
      <c r="H11" s="14">
        <v>0</v>
      </c>
      <c r="I11" s="14">
        <v>1.1274335778614638E-7</v>
      </c>
      <c r="J11" s="14">
        <v>4.7246750412017855E-6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2.1245355426579958E-9</v>
      </c>
      <c r="E12" s="14">
        <v>1.5257263319637001E-6</v>
      </c>
      <c r="F12" s="14">
        <v>2.5962004206909275E-5</v>
      </c>
      <c r="G12" s="14">
        <v>4.9049408144629927E-6</v>
      </c>
      <c r="H12" s="14">
        <v>0</v>
      </c>
      <c r="I12" s="14">
        <v>5.868976687828617E-8</v>
      </c>
      <c r="J12" s="14">
        <v>7.5465143442430993E-6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6.3194658245272657E-9</v>
      </c>
      <c r="E13" s="14">
        <v>2.2805154041241835E-6</v>
      </c>
      <c r="F13" s="14">
        <v>2.4129847902319065E-5</v>
      </c>
      <c r="G13" s="14">
        <v>4.7211754463367785E-6</v>
      </c>
      <c r="H13" s="14">
        <v>0</v>
      </c>
      <c r="I13" s="14">
        <v>5.6464391263211443E-8</v>
      </c>
      <c r="J13" s="14">
        <v>8.8056773901322402E-6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2.1497477930950983E-9</v>
      </c>
      <c r="E14" s="14">
        <v>1.5140497726915827E-7</v>
      </c>
      <c r="F14" s="14">
        <v>2.2231139643254338E-5</v>
      </c>
      <c r="G14" s="14">
        <v>1.2757256335905571E-5</v>
      </c>
      <c r="H14" s="14">
        <v>0</v>
      </c>
      <c r="I14" s="14">
        <v>1.5402113929093546E-7</v>
      </c>
      <c r="J14" s="14">
        <v>4.7040281564869002E-6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3.5050951440456217E-12</v>
      </c>
      <c r="E15" s="14">
        <v>2.4244456442276381E-7</v>
      </c>
      <c r="F15" s="14">
        <v>2.6065978101201488E-5</v>
      </c>
      <c r="G15" s="14">
        <v>8.8729816104515808E-6</v>
      </c>
      <c r="H15" s="14">
        <v>0</v>
      </c>
      <c r="I15" s="14">
        <v>1.0684251442216471E-7</v>
      </c>
      <c r="J15" s="14">
        <v>4.7117497044068664E-6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1.6933910155901452E-8</v>
      </c>
      <c r="E16" s="14">
        <v>5.4011954337151313E-8</v>
      </c>
      <c r="F16" s="14">
        <v>1.4165485574091141E-5</v>
      </c>
      <c r="G16" s="14">
        <v>2.1484587588765753E-5</v>
      </c>
      <c r="H16" s="14">
        <v>0</v>
      </c>
      <c r="I16" s="14">
        <v>2.6070600325605379E-7</v>
      </c>
      <c r="J16" s="14">
        <v>4.018274969394007E-6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1.2356699834972264E-9</v>
      </c>
      <c r="E17" s="14">
        <v>2.7061703887217429E-7</v>
      </c>
      <c r="F17" s="14">
        <v>2.6913904803969759E-5</v>
      </c>
      <c r="G17" s="14">
        <v>8.0403002565707215E-6</v>
      </c>
      <c r="H17" s="14">
        <v>0</v>
      </c>
      <c r="I17" s="14">
        <v>9.675346478613351E-8</v>
      </c>
      <c r="J17" s="14">
        <v>4.6771887658177185E-6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1.2201551984329534E-7</v>
      </c>
      <c r="E18" s="14">
        <v>2.8472638561991955E-6</v>
      </c>
      <c r="F18" s="14">
        <v>2.2881752799967149E-5</v>
      </c>
      <c r="G18" s="14">
        <v>4.5686179821547537E-6</v>
      </c>
      <c r="H18" s="14">
        <v>0</v>
      </c>
      <c r="I18" s="14">
        <v>5.4637218054360548E-8</v>
      </c>
      <c r="J18" s="14">
        <v>9.5257126237812531E-6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1.2285035927040785E-11</v>
      </c>
      <c r="E19" s="14">
        <v>2.3945784593903403E-7</v>
      </c>
      <c r="F19" s="14">
        <v>2.5968726101012296E-5</v>
      </c>
      <c r="G19" s="14">
        <v>8.9690449621600615E-6</v>
      </c>
      <c r="H19" s="14">
        <v>0</v>
      </c>
      <c r="I19" s="14">
        <v>1.080070414814541E-7</v>
      </c>
      <c r="J19" s="14">
        <v>4.7147517643712267E-6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9.5661811628130559E-10</v>
      </c>
      <c r="E20" s="14">
        <v>2.2808212038566732E-6</v>
      </c>
      <c r="F20" s="14">
        <v>2.4133083530993263E-5</v>
      </c>
      <c r="G20" s="14">
        <v>4.7218085199770249E-6</v>
      </c>
      <c r="H20" s="14">
        <v>0</v>
      </c>
      <c r="I20" s="14">
        <v>5.6471962707680641E-8</v>
      </c>
      <c r="J20" s="14">
        <v>8.8068581643490798E-6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1.798629213004337E-8</v>
      </c>
      <c r="E21" s="14">
        <v>1.7109380445970467E-7</v>
      </c>
      <c r="F21" s="14">
        <v>2.323891555158588E-5</v>
      </c>
      <c r="G21" s="14">
        <v>1.1703382874013792E-5</v>
      </c>
      <c r="H21" s="14">
        <v>0</v>
      </c>
      <c r="I21" s="14">
        <v>1.4120305105358616E-7</v>
      </c>
      <c r="J21" s="14">
        <v>4.7274184267570005E-6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7.8530246053061289E-8</v>
      </c>
      <c r="E22" s="14">
        <v>2.2477582418218405E-5</v>
      </c>
      <c r="F22" s="14">
        <v>4.809624521045423E-6</v>
      </c>
      <c r="G22" s="14">
        <v>1.2543153250719701E-6</v>
      </c>
      <c r="H22" s="14">
        <v>0</v>
      </c>
      <c r="I22" s="14">
        <v>1.625797899576938E-8</v>
      </c>
      <c r="J22" s="14">
        <v>1.136368951061538E-5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3.3454000639813281E-9</v>
      </c>
      <c r="E23" s="14">
        <v>2.8411927738561331E-5</v>
      </c>
      <c r="F23" s="14">
        <v>2.2925682618181257E-6</v>
      </c>
      <c r="G23" s="14">
        <v>6.4241819250341901E-7</v>
      </c>
      <c r="H23" s="14">
        <v>0</v>
      </c>
      <c r="I23" s="14">
        <v>9.4077830704894078E-9</v>
      </c>
      <c r="J23" s="14">
        <v>8.6403326239826602E-6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2.8969739728075348E-9</v>
      </c>
      <c r="E24" s="14">
        <v>6.963654795043515E-6</v>
      </c>
      <c r="F24" s="14">
        <v>1.6850733428474274E-5</v>
      </c>
      <c r="G24" s="14">
        <v>3.6754825370009231E-6</v>
      </c>
      <c r="H24" s="14">
        <v>0</v>
      </c>
      <c r="I24" s="14">
        <v>4.4106020632780501E-8</v>
      </c>
      <c r="J24" s="14">
        <v>1.2463126244875703E-5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5.3042437165832336E-7</v>
      </c>
      <c r="E25" s="14">
        <v>8.3026381589836848E-7</v>
      </c>
      <c r="F25" s="14">
        <v>2.7752217178827027E-5</v>
      </c>
      <c r="G25" s="14">
        <v>4.988767231230508E-6</v>
      </c>
      <c r="H25" s="14">
        <v>0</v>
      </c>
      <c r="I25" s="14">
        <v>5.9765737974759169E-8</v>
      </c>
      <c r="J25" s="14">
        <v>5.8385616644110136E-6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1.4431268880583252E-8</v>
      </c>
      <c r="E26" s="14">
        <v>1.8533487907920734E-7</v>
      </c>
      <c r="F26" s="14">
        <v>2.3898945195864072E-5</v>
      </c>
      <c r="G26" s="14">
        <v>1.1032508957110469E-5</v>
      </c>
      <c r="H26" s="14">
        <v>0</v>
      </c>
      <c r="I26" s="14">
        <v>1.3304985776827723E-7</v>
      </c>
      <c r="J26" s="14">
        <v>4.735729841297392E-6</v>
      </c>
      <c r="K26" s="14">
        <v>0</v>
      </c>
    </row>
    <row r="27" spans="1:13">
      <c r="A27" s="2" t="s">
        <v>353</v>
      </c>
      <c r="B27" s="3" t="s">
        <v>354</v>
      </c>
      <c r="D27" s="14">
        <v>9.9934242389649202E-8</v>
      </c>
      <c r="E27" s="14">
        <v>2.8929902164876965E-8</v>
      </c>
      <c r="F27" s="14">
        <v>1.0272793053181674E-5</v>
      </c>
      <c r="G27" s="14">
        <v>2.5887141325237189E-5</v>
      </c>
      <c r="H27" s="14">
        <v>0</v>
      </c>
      <c r="I27" s="14">
        <v>3.1497436045713559E-7</v>
      </c>
      <c r="J27" s="14">
        <v>3.3962271165694775E-6</v>
      </c>
      <c r="K27" s="14">
        <v>0</v>
      </c>
    </row>
    <row r="28" spans="1:13">
      <c r="A28" s="2" t="s">
        <v>355</v>
      </c>
      <c r="B28" s="3" t="s">
        <v>356</v>
      </c>
      <c r="D28" s="14">
        <v>5.4292042024165824E-9</v>
      </c>
      <c r="E28" s="14">
        <v>1.0253421649398734E-7</v>
      </c>
      <c r="F28" s="14">
        <v>1.9019994695155228E-5</v>
      </c>
      <c r="G28" s="14">
        <v>1.6147524302589747E-5</v>
      </c>
      <c r="H28" s="14">
        <v>0</v>
      </c>
      <c r="I28" s="14">
        <v>1.9534804674844683E-7</v>
      </c>
      <c r="J28" s="14">
        <v>4.5291695348101798E-6</v>
      </c>
      <c r="K28" s="14">
        <v>0</v>
      </c>
    </row>
    <row r="29" spans="1:13">
      <c r="A29" s="2" t="s">
        <v>357</v>
      </c>
      <c r="B29" s="3" t="s">
        <v>358</v>
      </c>
      <c r="D29" s="14">
        <v>1.0917819259751203E-6</v>
      </c>
      <c r="E29" s="14">
        <v>1.5348591975039162E-7</v>
      </c>
      <c r="F29" s="14">
        <v>2.1958876457644924E-5</v>
      </c>
      <c r="G29" s="14">
        <v>1.2064398409468993E-5</v>
      </c>
      <c r="H29" s="14">
        <v>0</v>
      </c>
      <c r="I29" s="14">
        <v>1.4562358948946302E-7</v>
      </c>
      <c r="J29" s="14">
        <v>4.5858336976711169E-6</v>
      </c>
      <c r="K29" s="14">
        <v>0</v>
      </c>
    </row>
    <row r="30" spans="1:13">
      <c r="A30" s="2" t="s">
        <v>359</v>
      </c>
      <c r="B30" s="3" t="s">
        <v>360</v>
      </c>
      <c r="D30" s="14">
        <v>5.4292042024165824E-9</v>
      </c>
      <c r="E30" s="14">
        <v>1.0253421649398734E-7</v>
      </c>
      <c r="F30" s="14">
        <v>1.9019994695155228E-5</v>
      </c>
      <c r="G30" s="14">
        <v>1.6147524302589747E-5</v>
      </c>
      <c r="H30" s="14">
        <v>0</v>
      </c>
      <c r="I30" s="14">
        <v>1.9534804674844683E-7</v>
      </c>
      <c r="J30" s="14">
        <v>4.5291695348101798E-6</v>
      </c>
      <c r="K30" s="14">
        <v>0</v>
      </c>
    </row>
    <row r="31" spans="1:13">
      <c r="A31" s="2" t="s">
        <v>283</v>
      </c>
      <c r="B31" s="3" t="s">
        <v>284</v>
      </c>
      <c r="D31" s="14">
        <v>1.0486573094730141E-12</v>
      </c>
      <c r="E31" s="14">
        <v>3.9028892607192329E-5</v>
      </c>
      <c r="F31" s="14">
        <v>2.4016394193405363E-8</v>
      </c>
      <c r="G31" s="14">
        <v>9.6383647744856426E-9</v>
      </c>
      <c r="H31" s="14">
        <v>0</v>
      </c>
      <c r="I31" s="14">
        <v>2.6574280953791911E-9</v>
      </c>
      <c r="J31" s="14">
        <v>9.3479415708709173E-7</v>
      </c>
      <c r="K31" s="14">
        <v>0</v>
      </c>
    </row>
    <row r="32" spans="1:13">
      <c r="A32" s="2" t="s">
        <v>361</v>
      </c>
      <c r="B32" s="3" t="s">
        <v>362</v>
      </c>
      <c r="D32" s="14">
        <v>8.5336432312551622E-13</v>
      </c>
      <c r="E32" s="14">
        <v>1.7370538907726737E-5</v>
      </c>
      <c r="F32" s="14">
        <v>7.8088447245454093E-6</v>
      </c>
      <c r="G32" s="14">
        <v>1.9253311999677684E-6</v>
      </c>
      <c r="H32" s="14">
        <v>0</v>
      </c>
      <c r="I32" s="14">
        <v>2.4112751122883932E-8</v>
      </c>
      <c r="J32" s="14">
        <v>1.2871171563272883E-5</v>
      </c>
      <c r="K32" s="14">
        <v>0</v>
      </c>
    </row>
    <row r="33" spans="1:11">
      <c r="A33" s="2" t="s">
        <v>364</v>
      </c>
      <c r="B33" s="3" t="s">
        <v>365</v>
      </c>
      <c r="D33" s="14">
        <v>4.8283688643106226E-15</v>
      </c>
      <c r="E33" s="14">
        <v>3.9826967013989738E-5</v>
      </c>
      <c r="F33" s="14">
        <v>1.6808107177421125E-7</v>
      </c>
      <c r="G33" s="14">
        <v>5.1397989500831812E-11</v>
      </c>
      <c r="H33" s="14">
        <v>0</v>
      </c>
      <c r="I33" s="14">
        <v>2.6156557998862043E-9</v>
      </c>
      <c r="J33" s="14">
        <v>2.2848556182999882E-9</v>
      </c>
      <c r="K33" s="14">
        <v>0</v>
      </c>
    </row>
    <row r="34" spans="1:11">
      <c r="A34" s="2" t="s">
        <v>285</v>
      </c>
      <c r="B34" s="3" t="s">
        <v>286</v>
      </c>
      <c r="D34" s="14">
        <v>1.4355646121601602E-14</v>
      </c>
      <c r="E34" s="14">
        <v>2.1903278135739348E-5</v>
      </c>
      <c r="F34" s="14">
        <v>1.8084674329420511E-5</v>
      </c>
      <c r="G34" s="14">
        <v>1.4852008855428692E-9</v>
      </c>
      <c r="H34" s="14">
        <v>0</v>
      </c>
      <c r="I34" s="14">
        <v>2.7766166470232264E-9</v>
      </c>
      <c r="J34" s="14">
        <v>7.7857029519176063E-9</v>
      </c>
      <c r="K34" s="14">
        <v>0</v>
      </c>
    </row>
    <row r="35" spans="1:11">
      <c r="A35" s="2" t="s">
        <v>287</v>
      </c>
      <c r="B35" s="3" t="s">
        <v>288</v>
      </c>
      <c r="D35" s="14">
        <v>4.1816121775829988E-16</v>
      </c>
      <c r="E35" s="14">
        <v>1.2967030892036675E-5</v>
      </c>
      <c r="F35" s="14">
        <v>2.7006115443730407E-5</v>
      </c>
      <c r="G35" s="14">
        <v>5.2298525243667288E-9</v>
      </c>
      <c r="H35" s="14">
        <v>0</v>
      </c>
      <c r="I35" s="14">
        <v>2.7785539199654555E-9</v>
      </c>
      <c r="J35" s="14">
        <v>1.8845257370433452E-8</v>
      </c>
      <c r="K35" s="14">
        <v>0</v>
      </c>
    </row>
    <row r="36" spans="1:11">
      <c r="A36" s="2" t="s">
        <v>366</v>
      </c>
      <c r="B36" s="3" t="s">
        <v>305</v>
      </c>
      <c r="D36" s="14">
        <v>7.3719920330089106E-13</v>
      </c>
      <c r="E36" s="14">
        <v>4.3253824224613612E-6</v>
      </c>
      <c r="F36" s="14">
        <v>3.5640688523248592E-5</v>
      </c>
      <c r="G36" s="14">
        <v>1.0204409275502669E-8</v>
      </c>
      <c r="H36" s="14">
        <v>0</v>
      </c>
      <c r="I36" s="14">
        <v>2.6618646061186347E-9</v>
      </c>
      <c r="J36" s="14">
        <v>2.1062043209227991E-8</v>
      </c>
      <c r="K36" s="14">
        <v>0</v>
      </c>
    </row>
    <row r="37" spans="1:11">
      <c r="A37" s="2" t="s">
        <v>289</v>
      </c>
      <c r="B37" s="3" t="s">
        <v>290</v>
      </c>
      <c r="D37" s="14">
        <v>1.6768273989691149E-19</v>
      </c>
      <c r="E37" s="14">
        <v>8.3242901329508303E-6</v>
      </c>
      <c r="F37" s="14">
        <v>2.7881028023228665E-5</v>
      </c>
      <c r="G37" s="14">
        <v>9.5187141259597259E-7</v>
      </c>
      <c r="H37" s="14">
        <v>0</v>
      </c>
      <c r="I37" s="14">
        <v>1.3432808131305463E-8</v>
      </c>
      <c r="J37" s="14">
        <v>2.829377623093065E-6</v>
      </c>
      <c r="K37" s="14">
        <v>0</v>
      </c>
    </row>
    <row r="38" spans="1:11">
      <c r="A38" s="2" t="s">
        <v>291</v>
      </c>
      <c r="B38" s="3" t="s">
        <v>292</v>
      </c>
      <c r="D38" s="14">
        <v>4.8322603282842453E-17</v>
      </c>
      <c r="E38" s="14">
        <v>2.4527549247384686E-5</v>
      </c>
      <c r="F38" s="14">
        <v>1.5381395196845979E-5</v>
      </c>
      <c r="G38" s="14">
        <v>1.2850285551260431E-8</v>
      </c>
      <c r="H38" s="14">
        <v>0</v>
      </c>
      <c r="I38" s="14">
        <v>2.8999934121014264E-9</v>
      </c>
      <c r="J38" s="14">
        <v>7.5305276757660179E-8</v>
      </c>
      <c r="K38" s="14">
        <v>0</v>
      </c>
    </row>
    <row r="39" spans="1:11">
      <c r="A39" s="2" t="s">
        <v>367</v>
      </c>
      <c r="B39" s="3" t="s">
        <v>368</v>
      </c>
      <c r="D39" s="14">
        <v>5.8114825058475979E-10</v>
      </c>
      <c r="E39" s="14">
        <v>4.1396114103798857E-7</v>
      </c>
      <c r="F39" s="14">
        <v>2.9885542904381098E-5</v>
      </c>
      <c r="G39" s="14">
        <v>5.2198341583310027E-6</v>
      </c>
      <c r="H39" s="14">
        <v>0</v>
      </c>
      <c r="I39" s="14">
        <v>6.2654112964397206E-8</v>
      </c>
      <c r="J39" s="14">
        <v>4.417426535034922E-6</v>
      </c>
      <c r="K39" s="14">
        <v>0</v>
      </c>
    </row>
    <row r="40" spans="1:11">
      <c r="A40" s="2" t="s">
        <v>369</v>
      </c>
      <c r="B40" s="3" t="s">
        <v>370</v>
      </c>
      <c r="D40" s="14">
        <v>3.7174067338942537E-17</v>
      </c>
      <c r="E40" s="14">
        <v>4.0529206224640229E-8</v>
      </c>
      <c r="F40" s="14">
        <v>3.697853252307865E-5</v>
      </c>
      <c r="G40" s="14">
        <v>2.6752849678615323E-6</v>
      </c>
      <c r="H40" s="14">
        <v>0</v>
      </c>
      <c r="I40" s="14">
        <v>1.8932572643149012E-7</v>
      </c>
      <c r="J40" s="14">
        <v>1.1632757636651553E-7</v>
      </c>
      <c r="K40" s="14">
        <v>0</v>
      </c>
    </row>
    <row r="41" spans="1:11">
      <c r="A41" s="2" t="s">
        <v>371</v>
      </c>
      <c r="B41" s="3" t="s">
        <v>372</v>
      </c>
      <c r="D41" s="14">
        <v>3.2720788231875838E-6</v>
      </c>
      <c r="E41" s="14">
        <v>3.6540660869984197E-5</v>
      </c>
      <c r="F41" s="14">
        <v>1.1186596464706059E-9</v>
      </c>
      <c r="G41" s="14">
        <v>5.6000709249332676E-10</v>
      </c>
      <c r="H41" s="14">
        <v>0</v>
      </c>
      <c r="I41" s="14">
        <v>2.38978610376445E-9</v>
      </c>
      <c r="J41" s="14">
        <v>1.8319185398549868E-7</v>
      </c>
      <c r="K41" s="14">
        <v>0</v>
      </c>
    </row>
    <row r="42" spans="1:11">
      <c r="A42" s="2" t="s">
        <v>293</v>
      </c>
      <c r="B42" s="3" t="s">
        <v>294</v>
      </c>
      <c r="D42" s="14">
        <v>7.0105037628264254E-13</v>
      </c>
      <c r="E42" s="14">
        <v>2.0985623032680937E-5</v>
      </c>
      <c r="F42" s="14">
        <v>5.6237167915152303E-6</v>
      </c>
      <c r="G42" s="14">
        <v>1.4425105463388887E-6</v>
      </c>
      <c r="H42" s="14">
        <v>0</v>
      </c>
      <c r="I42" s="14">
        <v>1.8391103045183846E-8</v>
      </c>
      <c r="J42" s="14">
        <v>1.1929757825369386E-5</v>
      </c>
      <c r="K42" s="14">
        <v>0</v>
      </c>
    </row>
    <row r="43" spans="1:11">
      <c r="A43" s="2" t="s">
        <v>373</v>
      </c>
      <c r="B43" s="3" t="s">
        <v>374</v>
      </c>
      <c r="D43" s="14">
        <v>1.7253057992418145E-12</v>
      </c>
      <c r="E43" s="14">
        <v>3.5265040809265352E-7</v>
      </c>
      <c r="F43" s="14">
        <v>3.9591865467514042E-5</v>
      </c>
      <c r="G43" s="14">
        <v>3.3429346478886646E-8</v>
      </c>
      <c r="H43" s="14">
        <v>0</v>
      </c>
      <c r="I43" s="14">
        <v>5.1781794515679931E-9</v>
      </c>
      <c r="J43" s="14">
        <v>1.6874873157042754E-8</v>
      </c>
      <c r="K43" s="14">
        <v>0</v>
      </c>
    </row>
    <row r="44" spans="1:11">
      <c r="A44" s="2" t="s">
        <v>375</v>
      </c>
      <c r="B44" s="3" t="s">
        <v>376</v>
      </c>
      <c r="D44" s="14">
        <v>3.4060058169007776E-6</v>
      </c>
      <c r="E44" s="14">
        <v>3.0483022447453323E-5</v>
      </c>
      <c r="F44" s="14">
        <v>7.7860932408384143E-7</v>
      </c>
      <c r="G44" s="14">
        <v>2.3747350134358218E-7</v>
      </c>
      <c r="H44" s="14">
        <v>0</v>
      </c>
      <c r="I44" s="14">
        <v>4.7716626487882239E-9</v>
      </c>
      <c r="J44" s="14">
        <v>5.0901172475696866E-6</v>
      </c>
      <c r="K44" s="14">
        <v>0</v>
      </c>
    </row>
    <row r="45" spans="1:11">
      <c r="A45" s="2" t="s">
        <v>377</v>
      </c>
      <c r="B45" s="3" t="s">
        <v>378</v>
      </c>
      <c r="D45" s="14">
        <v>2.6669359851455446E-8</v>
      </c>
      <c r="E45" s="14">
        <v>1.9575156008319966E-5</v>
      </c>
      <c r="F45" s="14">
        <v>6.4074733165377129E-6</v>
      </c>
      <c r="G45" s="14">
        <v>1.6195052553283108E-6</v>
      </c>
      <c r="H45" s="14">
        <v>0</v>
      </c>
      <c r="I45" s="14">
        <v>2.0398816399299723E-8</v>
      </c>
      <c r="J45" s="14">
        <v>1.2350797243563262E-5</v>
      </c>
      <c r="K45" s="14">
        <v>0</v>
      </c>
    </row>
    <row r="46" spans="1:11">
      <c r="A46" s="2" t="s">
        <v>379</v>
      </c>
      <c r="B46" s="3" t="s">
        <v>380</v>
      </c>
      <c r="D46" s="14">
        <v>8.019265405171304E-8</v>
      </c>
      <c r="E46" s="14">
        <v>2.042336164573811E-5</v>
      </c>
      <c r="F46" s="14">
        <v>5.8994130152054505E-6</v>
      </c>
      <c r="G46" s="14">
        <v>1.5048886175728034E-6</v>
      </c>
      <c r="H46" s="14">
        <v>0</v>
      </c>
      <c r="I46" s="14">
        <v>1.9094382465072593E-8</v>
      </c>
      <c r="J46" s="14">
        <v>1.2073049684966854E-5</v>
      </c>
      <c r="K46" s="14">
        <v>0</v>
      </c>
    </row>
    <row r="47" spans="1:11">
      <c r="A47" s="2" t="s">
        <v>381</v>
      </c>
      <c r="B47" s="3" t="s">
        <v>382</v>
      </c>
      <c r="D47" s="14">
        <v>1.700561228860747E-12</v>
      </c>
      <c r="E47" s="14">
        <v>2.6419519452818172E-8</v>
      </c>
      <c r="F47" s="14">
        <v>9.7963995177074798E-6</v>
      </c>
      <c r="G47" s="14">
        <v>2.6543735654686365E-5</v>
      </c>
      <c r="H47" s="14">
        <v>0</v>
      </c>
      <c r="I47" s="14">
        <v>3.2308781115088025E-7</v>
      </c>
      <c r="J47" s="14">
        <v>3.3103557964412303E-6</v>
      </c>
      <c r="K47" s="14">
        <v>0</v>
      </c>
    </row>
    <row r="48" spans="1:11">
      <c r="A48" s="2" t="s">
        <v>383</v>
      </c>
      <c r="B48" s="3" t="s">
        <v>384</v>
      </c>
      <c r="D48" s="14">
        <v>4.7086520618979166E-7</v>
      </c>
      <c r="E48" s="14">
        <v>3.6126778862974508E-5</v>
      </c>
      <c r="F48" s="14">
        <v>2.514032079394575E-7</v>
      </c>
      <c r="G48" s="14">
        <v>8.4385216782141462E-8</v>
      </c>
      <c r="H48" s="14">
        <v>0</v>
      </c>
      <c r="I48" s="14">
        <v>3.3417782812704607E-9</v>
      </c>
      <c r="J48" s="14">
        <v>3.0632257278328299E-6</v>
      </c>
      <c r="K48" s="14">
        <v>0</v>
      </c>
    </row>
    <row r="49" spans="1:11">
      <c r="A49" s="2" t="s">
        <v>385</v>
      </c>
      <c r="B49" s="3" t="s">
        <v>386</v>
      </c>
      <c r="D49" s="14">
        <v>8.7918671141323218E-7</v>
      </c>
      <c r="E49" s="14">
        <v>3.4475752623635341E-5</v>
      </c>
      <c r="F49" s="14">
        <v>4.4828615908473621E-7</v>
      </c>
      <c r="G49" s="14">
        <v>1.4369805356651919E-7</v>
      </c>
      <c r="H49" s="14">
        <v>0</v>
      </c>
      <c r="I49" s="14">
        <v>3.929709442979596E-9</v>
      </c>
      <c r="J49" s="14">
        <v>4.0491467428572018E-6</v>
      </c>
      <c r="K49" s="14">
        <v>0</v>
      </c>
    </row>
    <row r="50" spans="1:11">
      <c r="A50" s="2" t="s">
        <v>387</v>
      </c>
      <c r="B50" s="3" t="s">
        <v>388</v>
      </c>
      <c r="D50" s="14">
        <v>2.6353016061294595E-7</v>
      </c>
      <c r="E50" s="14">
        <v>3.0131653685491971E-6</v>
      </c>
      <c r="F50" s="14">
        <v>2.2464902683893217E-5</v>
      </c>
      <c r="G50" s="14">
        <v>4.5102446182939894E-6</v>
      </c>
      <c r="H50" s="14">
        <v>0</v>
      </c>
      <c r="I50" s="14">
        <v>5.3940378983303965E-8</v>
      </c>
      <c r="J50" s="14">
        <v>9.6942167896673528E-6</v>
      </c>
      <c r="K50" s="14">
        <v>0</v>
      </c>
    </row>
    <row r="51" spans="1:11">
      <c r="A51" s="2" t="s">
        <v>295</v>
      </c>
      <c r="B51" s="3" t="s">
        <v>296</v>
      </c>
      <c r="D51" s="14">
        <v>2.6219729307433425E-6</v>
      </c>
      <c r="E51" s="14">
        <v>3.6136063796773705E-5</v>
      </c>
      <c r="F51" s="14">
        <v>4.0523077354866253E-8</v>
      </c>
      <c r="G51" s="14">
        <v>1.5559583729187144E-8</v>
      </c>
      <c r="H51" s="14">
        <v>0</v>
      </c>
      <c r="I51" s="14">
        <v>2.5377245979492849E-9</v>
      </c>
      <c r="J51" s="14">
        <v>1.1833428868009576E-6</v>
      </c>
      <c r="K51" s="14">
        <v>0</v>
      </c>
    </row>
    <row r="52" spans="1:11">
      <c r="A52" s="2" t="s">
        <v>389</v>
      </c>
      <c r="B52" s="3" t="s">
        <v>390</v>
      </c>
      <c r="D52" s="14">
        <v>2.7575771328190962E-6</v>
      </c>
      <c r="E52" s="14">
        <v>2.8900164155584001E-5</v>
      </c>
      <c r="F52" s="14">
        <v>1.3452465406715897E-6</v>
      </c>
      <c r="G52" s="14">
        <v>3.9255222138005337E-7</v>
      </c>
      <c r="H52" s="14">
        <v>0</v>
      </c>
      <c r="I52" s="14">
        <v>6.4940012655810781E-9</v>
      </c>
      <c r="J52" s="14">
        <v>6.5979659482796817E-6</v>
      </c>
      <c r="K52" s="14">
        <v>0</v>
      </c>
    </row>
    <row r="53" spans="1:11">
      <c r="A53" s="2" t="s">
        <v>391</v>
      </c>
      <c r="B53" s="3" t="s">
        <v>392</v>
      </c>
      <c r="D53" s="14">
        <v>7.8745881337335412E-8</v>
      </c>
      <c r="E53" s="14">
        <v>1.5150274044940771E-5</v>
      </c>
      <c r="F53" s="14">
        <v>9.2662083904022166E-6</v>
      </c>
      <c r="G53" s="14">
        <v>2.2366478836121359E-6</v>
      </c>
      <c r="H53" s="14">
        <v>0</v>
      </c>
      <c r="I53" s="14">
        <v>2.7445043998820602E-8</v>
      </c>
      <c r="J53" s="14">
        <v>1.3240678755708723E-5</v>
      </c>
      <c r="K53" s="14">
        <v>0</v>
      </c>
    </row>
    <row r="54" spans="1:11">
      <c r="A54" s="2" t="s">
        <v>393</v>
      </c>
      <c r="B54" s="3" t="s">
        <v>394</v>
      </c>
      <c r="D54" s="14">
        <v>7.8180104805392635E-9</v>
      </c>
      <c r="E54" s="14">
        <v>3.6771291941247842E-8</v>
      </c>
      <c r="F54" s="14">
        <v>1.1667302638404832E-5</v>
      </c>
      <c r="G54" s="14">
        <v>2.4348152799832094E-5</v>
      </c>
      <c r="H54" s="14">
        <v>0</v>
      </c>
      <c r="I54" s="14">
        <v>2.9595290317682813E-7</v>
      </c>
      <c r="J54" s="14">
        <v>3.6440023561644559E-6</v>
      </c>
      <c r="K54" s="14">
        <v>0</v>
      </c>
    </row>
    <row r="55" spans="1:11">
      <c r="A55" s="2" t="s">
        <v>395</v>
      </c>
      <c r="B55" s="3" t="s">
        <v>396</v>
      </c>
      <c r="D55" s="14">
        <v>5.3214454191561049E-6</v>
      </c>
      <c r="E55" s="14">
        <v>5.4520804126816713E-6</v>
      </c>
      <c r="F55" s="14">
        <v>1.5328647136919718E-5</v>
      </c>
      <c r="G55" s="14">
        <v>3.3067349248941755E-6</v>
      </c>
      <c r="H55" s="14">
        <v>0</v>
      </c>
      <c r="I55" s="14">
        <v>3.9645323808671509E-8</v>
      </c>
      <c r="J55" s="14">
        <v>1.0551446782539662E-5</v>
      </c>
      <c r="K55" s="14">
        <v>0</v>
      </c>
    </row>
    <row r="56" spans="1:11">
      <c r="A56" s="2" t="s">
        <v>397</v>
      </c>
      <c r="B56" s="3" t="s">
        <v>398</v>
      </c>
      <c r="D56" s="14">
        <v>2.4153906276284491E-5</v>
      </c>
      <c r="E56" s="14">
        <v>6.447331746601274E-7</v>
      </c>
      <c r="F56" s="14">
        <v>1.0177979965786086E-5</v>
      </c>
      <c r="G56" s="14">
        <v>1.9335577467787928E-6</v>
      </c>
      <c r="H56" s="14">
        <v>0</v>
      </c>
      <c r="I56" s="14">
        <v>2.3133538571413884E-8</v>
      </c>
      <c r="J56" s="14">
        <v>3.066689297919092E-6</v>
      </c>
      <c r="K56" s="14">
        <v>0</v>
      </c>
    </row>
    <row r="57" spans="1:11">
      <c r="A57" s="2" t="s">
        <v>399</v>
      </c>
      <c r="B57" s="3" t="s">
        <v>400</v>
      </c>
      <c r="D57" s="14">
        <v>3.0663213310816562E-5</v>
      </c>
      <c r="E57" s="14">
        <v>1.1651190543930275E-6</v>
      </c>
      <c r="F57" s="14">
        <v>4.5341081935144166E-6</v>
      </c>
      <c r="G57" s="14">
        <v>9.5496495545003368E-7</v>
      </c>
      <c r="H57" s="14">
        <v>0</v>
      </c>
      <c r="I57" s="14">
        <v>1.1433486995974825E-8</v>
      </c>
      <c r="J57" s="14">
        <v>2.6711609988299975E-6</v>
      </c>
      <c r="K57" s="14">
        <v>0</v>
      </c>
    </row>
    <row r="58" spans="1:11">
      <c r="A58" s="2" t="s">
        <v>297</v>
      </c>
      <c r="B58" s="3" t="s">
        <v>298</v>
      </c>
      <c r="D58" s="14">
        <v>3.726448448997238E-5</v>
      </c>
      <c r="E58" s="14">
        <v>2.3666157923466936E-6</v>
      </c>
      <c r="F58" s="14">
        <v>3.9515668418460979E-8</v>
      </c>
      <c r="G58" s="14">
        <v>1.2435546847279454E-8</v>
      </c>
      <c r="H58" s="14">
        <v>0</v>
      </c>
      <c r="I58" s="14">
        <v>2.9994160283083063E-10</v>
      </c>
      <c r="J58" s="14">
        <v>3.1664856081236493E-7</v>
      </c>
      <c r="K58" s="14">
        <v>0</v>
      </c>
    </row>
    <row r="59" spans="1:11">
      <c r="A59" s="2" t="s">
        <v>401</v>
      </c>
      <c r="B59" s="3" t="s">
        <v>402</v>
      </c>
      <c r="D59" s="14">
        <v>3.6362853668228766E-5</v>
      </c>
      <c r="E59" s="14">
        <v>4.7928142609903252E-7</v>
      </c>
      <c r="F59" s="14">
        <v>1.7303428915215714E-6</v>
      </c>
      <c r="G59" s="14">
        <v>3.6646097143859751E-7</v>
      </c>
      <c r="H59" s="14">
        <v>0</v>
      </c>
      <c r="I59" s="14">
        <v>4.3886544899980252E-9</v>
      </c>
      <c r="J59" s="14">
        <v>1.0566723882220393E-6</v>
      </c>
      <c r="K59" s="14">
        <v>0</v>
      </c>
    </row>
    <row r="60" spans="1:11">
      <c r="A60" s="2" t="s">
        <v>299</v>
      </c>
      <c r="B60" s="3" t="s">
        <v>300</v>
      </c>
      <c r="D60" s="14">
        <v>3.9921617741353357E-5</v>
      </c>
      <c r="E60" s="14">
        <v>1.7911038706873753E-8</v>
      </c>
      <c r="F60" s="14">
        <v>2.8332333598770567E-8</v>
      </c>
      <c r="G60" s="14">
        <v>6.3764344887968906E-9</v>
      </c>
      <c r="H60" s="14">
        <v>0</v>
      </c>
      <c r="I60" s="14">
        <v>7.680349412818258E-11</v>
      </c>
      <c r="J60" s="14">
        <v>2.568564835806763E-8</v>
      </c>
      <c r="K60" s="14">
        <v>0</v>
      </c>
    </row>
    <row r="61" spans="1:11">
      <c r="A61" s="2" t="s">
        <v>403</v>
      </c>
      <c r="B61" s="3" t="s">
        <v>404</v>
      </c>
      <c r="D61" s="14">
        <v>1.7888499951505413E-48</v>
      </c>
      <c r="E61" s="14">
        <v>1.13602153639349E-5</v>
      </c>
      <c r="F61" s="14">
        <v>1.2349464869124184E-5</v>
      </c>
      <c r="G61" s="14">
        <v>2.8572200851837391E-6</v>
      </c>
      <c r="H61" s="14">
        <v>0</v>
      </c>
      <c r="I61" s="14">
        <v>3.4595228302060981E-8</v>
      </c>
      <c r="J61" s="14">
        <v>1.3398504453455116E-5</v>
      </c>
      <c r="K61" s="14">
        <v>0</v>
      </c>
    </row>
    <row r="62" spans="1:11">
      <c r="A62" s="2" t="s">
        <v>405</v>
      </c>
      <c r="B62" s="3" t="s">
        <v>406</v>
      </c>
      <c r="D62" s="14">
        <v>4.3078327034240368E-12</v>
      </c>
      <c r="E62" s="14">
        <v>1.5564367243732066E-7</v>
      </c>
      <c r="F62" s="14">
        <v>2.2461204597721161E-5</v>
      </c>
      <c r="G62" s="14">
        <v>1.2520699693321129E-5</v>
      </c>
      <c r="H62" s="14">
        <v>0</v>
      </c>
      <c r="I62" s="14">
        <v>1.5114262792059833E-7</v>
      </c>
      <c r="J62" s="14">
        <v>4.7113051007670912E-6</v>
      </c>
      <c r="K62" s="14">
        <v>0</v>
      </c>
    </row>
    <row r="63" spans="1:11">
      <c r="A63" s="2" t="s">
        <v>407</v>
      </c>
      <c r="B63" s="3" t="s">
        <v>408</v>
      </c>
      <c r="D63" s="14">
        <v>1.0515706969459852E-9</v>
      </c>
      <c r="E63" s="14">
        <v>1.449810084023918E-8</v>
      </c>
      <c r="F63" s="14">
        <v>7.0309286454841085E-6</v>
      </c>
      <c r="G63" s="14">
        <v>2.986814464260285E-5</v>
      </c>
      <c r="H63" s="14">
        <v>0</v>
      </c>
      <c r="I63" s="14">
        <v>3.6442506628350837E-7</v>
      </c>
      <c r="J63" s="14">
        <v>2.7209519740923553E-6</v>
      </c>
      <c r="K63" s="14">
        <v>0</v>
      </c>
    </row>
    <row r="64" spans="1:11">
      <c r="A64" s="2" t="s">
        <v>409</v>
      </c>
      <c r="B64" s="3" t="s">
        <v>410</v>
      </c>
      <c r="D64" s="14">
        <v>1.3096317743738728E-10</v>
      </c>
      <c r="E64" s="14">
        <v>5.0531459713132085E-9</v>
      </c>
      <c r="F64" s="14">
        <v>3.8108637202245856E-6</v>
      </c>
      <c r="G64" s="14">
        <v>3.3924931051210015E-5</v>
      </c>
      <c r="H64" s="14">
        <v>0</v>
      </c>
      <c r="I64" s="14">
        <v>4.1557009423610406E-7</v>
      </c>
      <c r="J64" s="14">
        <v>1.8434510251805458E-6</v>
      </c>
      <c r="K64" s="14">
        <v>0</v>
      </c>
    </row>
    <row r="65" spans="1:11">
      <c r="A65" s="2" t="s">
        <v>301</v>
      </c>
      <c r="B65" s="3" t="s">
        <v>302</v>
      </c>
      <c r="D65" s="14">
        <v>1.625094034267582E-11</v>
      </c>
      <c r="E65" s="14">
        <v>1.4249877685569183E-9</v>
      </c>
      <c r="F65" s="14">
        <v>1.7756309685871383E-6</v>
      </c>
      <c r="G65" s="14">
        <v>3.6664711011919954E-5</v>
      </c>
      <c r="H65" s="14">
        <v>0</v>
      </c>
      <c r="I65" s="14">
        <v>4.5118294038628934E-7</v>
      </c>
      <c r="J65" s="14">
        <v>1.1070338403977147E-6</v>
      </c>
      <c r="K65" s="14">
        <v>0</v>
      </c>
    </row>
    <row r="66" spans="1:11">
      <c r="A66" s="2" t="s">
        <v>303</v>
      </c>
      <c r="B66" s="3" t="s">
        <v>304</v>
      </c>
      <c r="D66" s="14">
        <v>1.5652178750639626E-17</v>
      </c>
      <c r="E66" s="14">
        <v>2.9477282225720536E-9</v>
      </c>
      <c r="F66" s="14">
        <v>2.760253783654578E-6</v>
      </c>
      <c r="G66" s="14">
        <v>3.5313809447202827E-5</v>
      </c>
      <c r="H66" s="14">
        <v>0</v>
      </c>
      <c r="I66" s="14">
        <v>4.3343179042143057E-7</v>
      </c>
      <c r="J66" s="14">
        <v>1.4895572504829443E-6</v>
      </c>
      <c r="K66" s="14">
        <v>0</v>
      </c>
    </row>
    <row r="67" spans="1:11">
      <c r="A67" s="2" t="s">
        <v>411</v>
      </c>
      <c r="B67" s="3" t="s">
        <v>412</v>
      </c>
      <c r="D67" s="14">
        <v>1.8628607572411318E-7</v>
      </c>
      <c r="E67" s="14">
        <v>3.2472298800629581E-5</v>
      </c>
      <c r="F67" s="14">
        <v>1.0131053502922376E-6</v>
      </c>
      <c r="G67" s="14">
        <v>3.0447396600286463E-7</v>
      </c>
      <c r="H67" s="14">
        <v>0</v>
      </c>
      <c r="I67" s="14">
        <v>5.6887634915349128E-9</v>
      </c>
      <c r="J67" s="14">
        <v>6.0181470438596737E-6</v>
      </c>
      <c r="K67" s="14">
        <v>0</v>
      </c>
    </row>
    <row r="68" spans="1:11">
      <c r="A68" s="2" t="s">
        <v>413</v>
      </c>
      <c r="B68" s="3" t="s">
        <v>414</v>
      </c>
      <c r="D68" s="14">
        <v>3.9968262610976344E-7</v>
      </c>
      <c r="E68" s="14">
        <v>2.9613375311943754E-5</v>
      </c>
      <c r="F68" s="14">
        <v>1.770066102012958E-6</v>
      </c>
      <c r="G68" s="14">
        <v>5.0708999335103766E-7</v>
      </c>
      <c r="H68" s="14">
        <v>0</v>
      </c>
      <c r="I68" s="14">
        <v>7.8895929300358023E-9</v>
      </c>
      <c r="J68" s="14">
        <v>7.7018963736524612E-6</v>
      </c>
      <c r="K68" s="14">
        <v>0</v>
      </c>
    </row>
    <row r="69" spans="1:11">
      <c r="A69" s="2" t="s">
        <v>415</v>
      </c>
      <c r="B69" s="3" t="s">
        <v>416</v>
      </c>
      <c r="D69" s="14">
        <v>5.0146543925425002E-8</v>
      </c>
      <c r="E69" s="14">
        <v>5.6774543064188812E-8</v>
      </c>
      <c r="F69" s="14">
        <v>1.4508256393020632E-5</v>
      </c>
      <c r="G69" s="14">
        <v>2.1067392051590191E-5</v>
      </c>
      <c r="H69" s="14">
        <v>0</v>
      </c>
      <c r="I69" s="14">
        <v>2.5558489660265154E-7</v>
      </c>
      <c r="J69" s="14">
        <v>4.0618455717969149E-6</v>
      </c>
      <c r="K69" s="14">
        <v>0</v>
      </c>
    </row>
    <row r="70" spans="1:11">
      <c r="A70" s="2" t="s">
        <v>417</v>
      </c>
      <c r="B70" s="3" t="s">
        <v>418</v>
      </c>
      <c r="D70" s="14">
        <v>1.2758972327652054E-7</v>
      </c>
      <c r="E70" s="14">
        <v>1.0255299213621781E-6</v>
      </c>
      <c r="F70" s="14">
        <v>2.7370952463969962E-5</v>
      </c>
      <c r="G70" s="14">
        <v>5.0024812069284461E-6</v>
      </c>
      <c r="H70" s="14">
        <v>0</v>
      </c>
      <c r="I70" s="14">
        <v>5.9902421987739567E-8</v>
      </c>
      <c r="J70" s="14">
        <v>6.4135442624751596E-6</v>
      </c>
      <c r="K70" s="14">
        <v>0</v>
      </c>
    </row>
    <row r="71" spans="1:11">
      <c r="A71" s="2" t="s">
        <v>419</v>
      </c>
      <c r="B71" s="3" t="s">
        <v>420</v>
      </c>
      <c r="D71" s="14">
        <v>9.8115666486528476E-7</v>
      </c>
      <c r="E71" s="14">
        <v>2.9631320016317145E-5</v>
      </c>
      <c r="F71" s="14">
        <v>1.6025536334928086E-6</v>
      </c>
      <c r="G71" s="14">
        <v>4.6249615714774918E-7</v>
      </c>
      <c r="H71" s="14">
        <v>0</v>
      </c>
      <c r="I71" s="14">
        <v>7.3652469103680433E-9</v>
      </c>
      <c r="J71" s="14">
        <v>7.3151082812666506E-6</v>
      </c>
      <c r="K71" s="14">
        <v>0</v>
      </c>
    </row>
    <row r="72" spans="1:11">
      <c r="A72" s="2" t="s">
        <v>421</v>
      </c>
      <c r="B72" s="3" t="s">
        <v>422</v>
      </c>
      <c r="D72" s="14">
        <v>5.3467572788812938E-7</v>
      </c>
      <c r="E72" s="14">
        <v>1.1847947194648077E-6</v>
      </c>
      <c r="F72" s="14">
        <v>2.6543897046823589E-5</v>
      </c>
      <c r="G72" s="14">
        <v>4.9142838703324188E-6</v>
      </c>
      <c r="H72" s="14">
        <v>0</v>
      </c>
      <c r="I72" s="14">
        <v>5.8827209546666056E-8</v>
      </c>
      <c r="J72" s="14">
        <v>6.7635214259443907E-6</v>
      </c>
      <c r="K72" s="14">
        <v>0</v>
      </c>
    </row>
    <row r="73" spans="1:11">
      <c r="A73" s="2" t="s">
        <v>423</v>
      </c>
      <c r="B73" s="3" t="s">
        <v>424</v>
      </c>
      <c r="D73" s="14">
        <v>5.2091192772484349E-7</v>
      </c>
      <c r="E73" s="14">
        <v>1.0453866326764901E-5</v>
      </c>
      <c r="F73" s="14">
        <v>1.2877706324855187E-5</v>
      </c>
      <c r="G73" s="14">
        <v>2.9521204428384312E-6</v>
      </c>
      <c r="H73" s="14">
        <v>0</v>
      </c>
      <c r="I73" s="14">
        <v>3.5673345564820692E-8</v>
      </c>
      <c r="J73" s="14">
        <v>1.315972163225182E-5</v>
      </c>
      <c r="K73" s="14">
        <v>0</v>
      </c>
    </row>
    <row r="74" spans="1:11">
      <c r="A74" s="2" t="s">
        <v>425</v>
      </c>
      <c r="B74" s="3" t="s">
        <v>426</v>
      </c>
      <c r="D74" s="14">
        <v>1.9687835876956466E-7</v>
      </c>
      <c r="E74" s="14">
        <v>1.0701646986663888E-6</v>
      </c>
      <c r="F74" s="14">
        <v>2.7168908753015816E-5</v>
      </c>
      <c r="G74" s="14">
        <v>4.9838819919790924E-6</v>
      </c>
      <c r="H74" s="14">
        <v>0</v>
      </c>
      <c r="I74" s="14">
        <v>5.9673976574556399E-8</v>
      </c>
      <c r="J74" s="14">
        <v>6.5204922209945884E-6</v>
      </c>
      <c r="K74" s="14">
        <v>0</v>
      </c>
    </row>
    <row r="75" spans="1:11">
      <c r="A75" s="2" t="s">
        <v>427</v>
      </c>
      <c r="B75" s="3" t="s">
        <v>428</v>
      </c>
      <c r="D75" s="14">
        <v>2.202025689672904E-14</v>
      </c>
      <c r="E75" s="14">
        <v>1.7276471145941353E-7</v>
      </c>
      <c r="F75" s="14">
        <v>3.9792077474534344E-5</v>
      </c>
      <c r="G75" s="14">
        <v>1.5354893995011853E-8</v>
      </c>
      <c r="H75" s="14">
        <v>0</v>
      </c>
      <c r="I75" s="14">
        <v>1.6459720353717422E-8</v>
      </c>
      <c r="J75" s="14">
        <v>3.343177637254453E-9</v>
      </c>
      <c r="K75" s="14">
        <v>0</v>
      </c>
    </row>
    <row r="76" spans="1:11">
      <c r="A76" s="2" t="s">
        <v>429</v>
      </c>
      <c r="B76" s="3" t="s">
        <v>430</v>
      </c>
      <c r="D76" s="14">
        <v>5.5312384546933891E-16</v>
      </c>
      <c r="E76" s="14">
        <v>1.7276471155213261E-7</v>
      </c>
      <c r="F76" s="14">
        <v>3.9792077495889894E-5</v>
      </c>
      <c r="G76" s="14">
        <v>1.5354894003252491E-8</v>
      </c>
      <c r="H76" s="14">
        <v>0</v>
      </c>
      <c r="I76" s="14">
        <v>1.6459720362550996E-8</v>
      </c>
      <c r="J76" s="14">
        <v>3.343177639048664E-9</v>
      </c>
      <c r="K76" s="14">
        <v>0</v>
      </c>
    </row>
    <row r="77" spans="1:11">
      <c r="A77" s="2" t="s">
        <v>431</v>
      </c>
      <c r="B77" s="3" t="s">
        <v>432</v>
      </c>
      <c r="D77" s="14">
        <v>9.5003006426555373E-7</v>
      </c>
      <c r="E77" s="14">
        <v>4.0447342222052236E-6</v>
      </c>
      <c r="F77" s="14">
        <v>2.0212105847615007E-5</v>
      </c>
      <c r="G77" s="14">
        <v>4.1793343773805944E-6</v>
      </c>
      <c r="H77" s="14">
        <v>0</v>
      </c>
      <c r="I77" s="14">
        <v>5.0005716057997749E-8</v>
      </c>
      <c r="J77" s="14">
        <v>1.0563789772475617E-5</v>
      </c>
      <c r="K77" s="14">
        <v>0</v>
      </c>
    </row>
    <row r="78" spans="1:11">
      <c r="A78" s="2" t="s">
        <v>433</v>
      </c>
      <c r="B78" s="3" t="s">
        <v>434</v>
      </c>
      <c r="D78" s="14">
        <v>1.3329313118317228E-6</v>
      </c>
      <c r="E78" s="14">
        <v>2.0951755174945187E-5</v>
      </c>
      <c r="F78" s="14">
        <v>5.0802137424533652E-6</v>
      </c>
      <c r="G78" s="14">
        <v>1.3127364382690437E-6</v>
      </c>
      <c r="H78" s="14">
        <v>0</v>
      </c>
      <c r="I78" s="14">
        <v>1.6853009294598534E-8</v>
      </c>
      <c r="J78" s="14">
        <v>1.1305510323206085E-5</v>
      </c>
      <c r="K78" s="14">
        <v>0</v>
      </c>
    </row>
    <row r="79" spans="1:11">
      <c r="A79" s="2" t="s">
        <v>435</v>
      </c>
      <c r="B79" s="3" t="s">
        <v>436</v>
      </c>
      <c r="D79" s="14">
        <v>3.1173201537581158E-7</v>
      </c>
      <c r="E79" s="14">
        <v>1.4718177896209413E-5</v>
      </c>
      <c r="F79" s="14">
        <v>9.4635835829721679E-6</v>
      </c>
      <c r="G79" s="14">
        <v>2.2758895282481381E-6</v>
      </c>
      <c r="H79" s="14">
        <v>0</v>
      </c>
      <c r="I79" s="14">
        <v>2.7884964551633112E-8</v>
      </c>
      <c r="J79" s="14">
        <v>1.3202732012642842E-5</v>
      </c>
      <c r="K79" s="14">
        <v>0</v>
      </c>
    </row>
    <row r="80" spans="1:11">
      <c r="A80" s="2" t="s">
        <v>437</v>
      </c>
      <c r="B80" s="3" t="s">
        <v>438</v>
      </c>
      <c r="D80" s="14">
        <v>7.8813087262349275E-15</v>
      </c>
      <c r="E80" s="14">
        <v>1.1709301747099788E-7</v>
      </c>
      <c r="F80" s="14">
        <v>3.9817370126257424E-5</v>
      </c>
      <c r="G80" s="14">
        <v>2.9513640387213045E-8</v>
      </c>
      <c r="H80" s="14">
        <v>0</v>
      </c>
      <c r="I80" s="14">
        <v>3.1950011035128136E-8</v>
      </c>
      <c r="J80" s="14">
        <v>4.0731969679399951E-9</v>
      </c>
      <c r="K80" s="14">
        <v>0</v>
      </c>
    </row>
    <row r="81" spans="1:11">
      <c r="A81" s="2" t="s">
        <v>440</v>
      </c>
      <c r="B81" s="3" t="s">
        <v>441</v>
      </c>
      <c r="D81" s="14">
        <v>7.3952960667295235E-18</v>
      </c>
      <c r="E81" s="14">
        <v>3.8787180033900677E-5</v>
      </c>
      <c r="F81" s="14">
        <v>3.6511508819563105E-8</v>
      </c>
      <c r="G81" s="14">
        <v>1.4201209545509633E-8</v>
      </c>
      <c r="H81" s="14">
        <v>0</v>
      </c>
      <c r="I81" s="14">
        <v>2.6947799919536089E-9</v>
      </c>
      <c r="J81" s="14">
        <v>1.1594124677349049E-6</v>
      </c>
      <c r="K81" s="14">
        <v>0</v>
      </c>
    </row>
    <row r="82" spans="1:11">
      <c r="A82" s="2" t="s">
        <v>442</v>
      </c>
      <c r="B82" s="3" t="s">
        <v>443</v>
      </c>
      <c r="D82" s="14">
        <v>3.2983315820305296E-9</v>
      </c>
      <c r="E82" s="14">
        <v>2.8672591926305361E-5</v>
      </c>
      <c r="F82" s="14">
        <v>2.2007389408506279E-6</v>
      </c>
      <c r="G82" s="14">
        <v>6.1896213730222729E-7</v>
      </c>
      <c r="H82" s="14">
        <v>0</v>
      </c>
      <c r="I82" s="14">
        <v>9.1479026626207577E-9</v>
      </c>
      <c r="J82" s="14">
        <v>8.4952607612971384E-6</v>
      </c>
      <c r="K82" s="14">
        <v>0</v>
      </c>
    </row>
    <row r="83" spans="1:11">
      <c r="A83" s="2" t="s">
        <v>444</v>
      </c>
      <c r="B83" s="3" t="s">
        <v>445</v>
      </c>
      <c r="D83" s="14">
        <v>2.0235718308839534E-8</v>
      </c>
      <c r="E83" s="14">
        <v>5.0807902432812818E-6</v>
      </c>
      <c r="F83" s="14">
        <v>1.9283809834460012E-5</v>
      </c>
      <c r="G83" s="14">
        <v>4.0690066108740681E-6</v>
      </c>
      <c r="H83" s="14">
        <v>0</v>
      </c>
      <c r="I83" s="14">
        <v>4.8720925160014644E-8</v>
      </c>
      <c r="J83" s="14">
        <v>1.1497436667915789E-5</v>
      </c>
      <c r="K83" s="14">
        <v>0</v>
      </c>
    </row>
    <row r="84" spans="1:11">
      <c r="A84" s="2" t="s">
        <v>446</v>
      </c>
      <c r="B84" s="3" t="s">
        <v>447</v>
      </c>
      <c r="D84" s="14">
        <v>2.2676438383900789E-19</v>
      </c>
      <c r="E84" s="14">
        <v>3.729215535730449E-5</v>
      </c>
      <c r="F84" s="14">
        <v>1.6339887388508538E-7</v>
      </c>
      <c r="G84" s="14">
        <v>5.6747223115902635E-8</v>
      </c>
      <c r="H84" s="14">
        <v>0</v>
      </c>
      <c r="I84" s="14">
        <v>3.0941738910943798E-9</v>
      </c>
      <c r="J84" s="14">
        <v>2.4846043718032021E-6</v>
      </c>
      <c r="K84" s="14">
        <v>0</v>
      </c>
    </row>
    <row r="85" spans="1:11">
      <c r="A85" s="2" t="s">
        <v>448</v>
      </c>
      <c r="B85" s="3" t="s">
        <v>449</v>
      </c>
      <c r="D85" s="14">
        <v>1.5951437466220262E-12</v>
      </c>
      <c r="E85" s="14">
        <v>3.9504126768105419E-5</v>
      </c>
      <c r="F85" s="14">
        <v>6.7061620021407494E-9</v>
      </c>
      <c r="G85" s="14">
        <v>2.9591678228094847E-9</v>
      </c>
      <c r="H85" s="14">
        <v>0</v>
      </c>
      <c r="I85" s="14">
        <v>2.6108341890069962E-9</v>
      </c>
      <c r="J85" s="14">
        <v>4.8359547273688351E-7</v>
      </c>
      <c r="K85" s="14">
        <v>0</v>
      </c>
    </row>
    <row r="86" spans="1:11">
      <c r="A86" s="2" t="s">
        <v>450</v>
      </c>
      <c r="B86" s="3" t="s">
        <v>451</v>
      </c>
      <c r="D86" s="14">
        <v>5.7051151297360303E-13</v>
      </c>
      <c r="E86" s="14">
        <v>3.7361736528224081E-5</v>
      </c>
      <c r="F86" s="14">
        <v>1.5571793213093704E-7</v>
      </c>
      <c r="G86" s="14">
        <v>5.4279293120634853E-8</v>
      </c>
      <c r="H86" s="14">
        <v>0</v>
      </c>
      <c r="I86" s="14">
        <v>3.0698407516570356E-9</v>
      </c>
      <c r="J86" s="14">
        <v>2.4251958352611796E-6</v>
      </c>
      <c r="K86" s="14">
        <v>0</v>
      </c>
    </row>
    <row r="87" spans="1:11">
      <c r="A87" s="2" t="s">
        <v>452</v>
      </c>
      <c r="B87" s="3" t="s">
        <v>453</v>
      </c>
      <c r="D87" s="14">
        <v>1.9601980921501402E-12</v>
      </c>
      <c r="E87" s="14">
        <v>2.1033551187077051E-8</v>
      </c>
      <c r="F87" s="14">
        <v>8.6531489020905969E-6</v>
      </c>
      <c r="G87" s="14">
        <v>2.7904210049487663E-5</v>
      </c>
      <c r="H87" s="14">
        <v>0</v>
      </c>
      <c r="I87" s="14">
        <v>3.3996227079782029E-7</v>
      </c>
      <c r="J87" s="14">
        <v>3.0816432662387505E-6</v>
      </c>
      <c r="K87" s="14">
        <v>0</v>
      </c>
    </row>
    <row r="88" spans="1:11">
      <c r="A88" s="2" t="s">
        <v>454</v>
      </c>
      <c r="B88" s="3" t="s">
        <v>455</v>
      </c>
      <c r="D88" s="14">
        <v>1.5959596397661039E-9</v>
      </c>
      <c r="E88" s="14">
        <v>2.4003498515202053E-5</v>
      </c>
      <c r="F88" s="14">
        <v>4.1010599617382361E-6</v>
      </c>
      <c r="G88" s="14">
        <v>1.0874058736878917E-6</v>
      </c>
      <c r="H88" s="14">
        <v>0</v>
      </c>
      <c r="I88" s="14">
        <v>1.4380835324582599E-8</v>
      </c>
      <c r="J88" s="14">
        <v>1.0792058854407477E-5</v>
      </c>
      <c r="K88" s="14">
        <v>0</v>
      </c>
    </row>
    <row r="89" spans="1:11">
      <c r="A89" s="2" t="s">
        <v>456</v>
      </c>
      <c r="B89" s="3" t="s">
        <v>457</v>
      </c>
      <c r="D89" s="14">
        <v>1.0876237178408066E-21</v>
      </c>
      <c r="E89" s="14">
        <v>2.7879906327081837E-5</v>
      </c>
      <c r="F89" s="14">
        <v>2.4862963052016898E-6</v>
      </c>
      <c r="G89" s="14">
        <v>6.915895779351651E-7</v>
      </c>
      <c r="H89" s="14">
        <v>0</v>
      </c>
      <c r="I89" s="14">
        <v>9.9536619741844565E-9</v>
      </c>
      <c r="J89" s="14">
        <v>8.9322541278071243E-6</v>
      </c>
      <c r="K89" s="14">
        <v>0</v>
      </c>
    </row>
    <row r="90" spans="1:11">
      <c r="A90" s="2" t="s">
        <v>458</v>
      </c>
      <c r="B90" s="3" t="s">
        <v>459</v>
      </c>
      <c r="D90" s="14">
        <v>1.6807830677356662E-33</v>
      </c>
      <c r="E90" s="14">
        <v>3.4536975689141645E-5</v>
      </c>
      <c r="F90" s="14">
        <v>5.912700476424902E-7</v>
      </c>
      <c r="G90" s="14">
        <v>1.8572973307779997E-7</v>
      </c>
      <c r="H90" s="14">
        <v>0</v>
      </c>
      <c r="I90" s="14">
        <v>4.4271098257361837E-9</v>
      </c>
      <c r="J90" s="14">
        <v>4.6815974203123338E-6</v>
      </c>
      <c r="K90" s="14">
        <v>0</v>
      </c>
    </row>
    <row r="91" spans="1:11">
      <c r="A91" s="2" t="s">
        <v>460</v>
      </c>
      <c r="B91" s="3" t="s">
        <v>461</v>
      </c>
      <c r="D91" s="14">
        <v>2.0148929966611285E-12</v>
      </c>
      <c r="E91" s="14">
        <v>1.3537068543354849E-7</v>
      </c>
      <c r="F91" s="14">
        <v>2.1302285563962512E-5</v>
      </c>
      <c r="G91" s="14">
        <v>1.3728457943604435E-5</v>
      </c>
      <c r="H91" s="14">
        <v>0</v>
      </c>
      <c r="I91" s="14">
        <v>1.6584573383542748E-7</v>
      </c>
      <c r="J91" s="14">
        <v>4.6680380582710851E-6</v>
      </c>
      <c r="K91" s="14">
        <v>0</v>
      </c>
    </row>
    <row r="92" spans="1:11">
      <c r="A92" s="2" t="s">
        <v>462</v>
      </c>
      <c r="B92" s="3" t="s">
        <v>463</v>
      </c>
      <c r="D92" s="14">
        <v>1.7748915663870744E-13</v>
      </c>
      <c r="E92" s="14">
        <v>7.0814870676878641E-6</v>
      </c>
      <c r="F92" s="14">
        <v>1.6712677804111135E-5</v>
      </c>
      <c r="G92" s="14">
        <v>3.6520910475755508E-6</v>
      </c>
      <c r="H92" s="14">
        <v>0</v>
      </c>
      <c r="I92" s="14">
        <v>4.3832711702977548E-8</v>
      </c>
      <c r="J92" s="14">
        <v>1.2509911191433314E-5</v>
      </c>
      <c r="K92" s="14">
        <v>0</v>
      </c>
    </row>
    <row r="93" spans="1:11">
      <c r="A93" s="2" t="s">
        <v>464</v>
      </c>
      <c r="B93" s="3" t="s">
        <v>465</v>
      </c>
      <c r="D93" s="14">
        <v>7.8794933096120032E-9</v>
      </c>
      <c r="E93" s="14">
        <v>1.5587301348086802E-6</v>
      </c>
      <c r="F93" s="14">
        <v>2.586857501354655E-5</v>
      </c>
      <c r="G93" s="14">
        <v>4.8963004719676264E-6</v>
      </c>
      <c r="H93" s="14">
        <v>0</v>
      </c>
      <c r="I93" s="14">
        <v>5.8584360851167612E-8</v>
      </c>
      <c r="J93" s="14">
        <v>7.6099305255163609E-6</v>
      </c>
      <c r="K93" s="14">
        <v>0</v>
      </c>
    </row>
    <row r="94" spans="1:11">
      <c r="A94" s="2" t="s">
        <v>466</v>
      </c>
      <c r="B94" s="3" t="s">
        <v>467</v>
      </c>
      <c r="D94" s="14">
        <v>7.3369658701476301E-23</v>
      </c>
      <c r="E94" s="14">
        <v>3.5788311467140609E-5</v>
      </c>
      <c r="F94" s="14">
        <v>4.202065161140467E-6</v>
      </c>
      <c r="G94" s="14">
        <v>5.5220619843942382E-10</v>
      </c>
      <c r="H94" s="14">
        <v>0</v>
      </c>
      <c r="I94" s="14">
        <v>2.6912649881817133E-9</v>
      </c>
      <c r="J94" s="14">
        <v>6.3799005323009426E-9</v>
      </c>
      <c r="K94" s="14">
        <v>0</v>
      </c>
    </row>
    <row r="95" spans="1:11">
      <c r="A95" s="2" t="s">
        <v>468</v>
      </c>
      <c r="B95" s="3" t="s">
        <v>469</v>
      </c>
      <c r="D95" s="14">
        <v>8.0914641262737919E-23</v>
      </c>
      <c r="E95" s="14">
        <v>3.1568922109416139E-7</v>
      </c>
      <c r="F95" s="14">
        <v>2.8054422158893186E-5</v>
      </c>
      <c r="G95" s="14">
        <v>6.9405978803904551E-6</v>
      </c>
      <c r="H95" s="14">
        <v>0</v>
      </c>
      <c r="I95" s="14">
        <v>8.3443669269528828E-8</v>
      </c>
      <c r="J95" s="14">
        <v>4.605847070352668E-6</v>
      </c>
      <c r="K95" s="14">
        <v>0</v>
      </c>
    </row>
    <row r="96" spans="1:11">
      <c r="A96" s="2" t="s">
        <v>470</v>
      </c>
      <c r="B96" s="165">
        <v>354656</v>
      </c>
      <c r="D96" s="14">
        <v>1.4743204155310783E-14</v>
      </c>
      <c r="E96" s="14">
        <v>3.8738653393555258E-5</v>
      </c>
      <c r="F96" s="14">
        <v>3.9306655672863983E-8</v>
      </c>
      <c r="G96" s="14">
        <v>1.5204132639618468E-8</v>
      </c>
      <c r="H96" s="14">
        <v>0</v>
      </c>
      <c r="I96" s="14">
        <v>2.7032980605792208E-9</v>
      </c>
      <c r="J96" s="14">
        <v>1.2041325053284786E-6</v>
      </c>
      <c r="K96" s="14">
        <v>0</v>
      </c>
    </row>
    <row r="97" spans="1:11">
      <c r="A97" s="2" t="s">
        <v>472</v>
      </c>
      <c r="B97" s="3" t="s">
        <v>473</v>
      </c>
      <c r="D97" s="14">
        <v>2.2658003452623533E-14</v>
      </c>
      <c r="E97" s="14">
        <v>3.7256690943479538E-5</v>
      </c>
      <c r="F97" s="14">
        <v>1.6737702854326827E-7</v>
      </c>
      <c r="G97" s="14">
        <v>5.8021828214219132E-8</v>
      </c>
      <c r="H97" s="14">
        <v>0</v>
      </c>
      <c r="I97" s="14">
        <v>3.1067735716682587E-9</v>
      </c>
      <c r="J97" s="14">
        <v>2.5148034035333155E-6</v>
      </c>
      <c r="K97" s="14">
        <v>0</v>
      </c>
    </row>
    <row r="98" spans="1:11">
      <c r="A98" s="2" t="s">
        <v>474</v>
      </c>
      <c r="B98" s="3" t="s">
        <v>475</v>
      </c>
      <c r="D98" s="14">
        <v>1.8707004853265783E-24</v>
      </c>
      <c r="E98" s="14">
        <v>7.3491464096671818E-7</v>
      </c>
      <c r="F98" s="14">
        <v>2.8541610412373923E-5</v>
      </c>
      <c r="G98" s="14">
        <v>5.074275339917248E-6</v>
      </c>
      <c r="H98" s="14">
        <v>0</v>
      </c>
      <c r="I98" s="14">
        <v>6.0810213002987411E-8</v>
      </c>
      <c r="J98" s="14">
        <v>5.5883893937391257E-6</v>
      </c>
      <c r="K98" s="14">
        <v>0</v>
      </c>
    </row>
    <row r="99" spans="1:11">
      <c r="A99" s="2" t="s">
        <v>476</v>
      </c>
      <c r="B99" s="3" t="s">
        <v>477</v>
      </c>
      <c r="D99" s="14">
        <v>6.9626546014243358E-12</v>
      </c>
      <c r="E99" s="14">
        <v>3.9657697166220814E-5</v>
      </c>
      <c r="F99" s="14">
        <v>3.301026922936885E-9</v>
      </c>
      <c r="G99" s="14">
        <v>1.535128101457879E-9</v>
      </c>
      <c r="H99" s="14">
        <v>0</v>
      </c>
      <c r="I99" s="14">
        <v>2.6043581808067191E-9</v>
      </c>
      <c r="J99" s="14">
        <v>3.3485535791939398E-7</v>
      </c>
      <c r="K99" s="14">
        <v>0</v>
      </c>
    </row>
    <row r="100" spans="1:11">
      <c r="A100" s="2" t="s">
        <v>478</v>
      </c>
      <c r="B100" s="3" t="s">
        <v>479</v>
      </c>
      <c r="D100" s="14">
        <v>2.0434787755201469E-15</v>
      </c>
      <c r="E100" s="14">
        <v>1.6405246935078057E-5</v>
      </c>
      <c r="F100" s="14">
        <v>8.4225645134410873E-6</v>
      </c>
      <c r="G100" s="14">
        <v>2.059396173974008E-6</v>
      </c>
      <c r="H100" s="14">
        <v>0</v>
      </c>
      <c r="I100" s="14">
        <v>2.5417814473046189E-8</v>
      </c>
      <c r="J100" s="14">
        <v>1.3087374560990328E-5</v>
      </c>
      <c r="K100" s="14">
        <v>0</v>
      </c>
    </row>
    <row r="101" spans="1:11">
      <c r="A101" s="2" t="s">
        <v>480</v>
      </c>
      <c r="B101" s="3" t="s">
        <v>481</v>
      </c>
      <c r="D101" s="14">
        <v>1.8733011431740869E-15</v>
      </c>
      <c r="E101" s="14">
        <v>3.9423959382968365E-5</v>
      </c>
      <c r="F101" s="14">
        <v>8.9224025443597487E-9</v>
      </c>
      <c r="G101" s="14">
        <v>3.854582704635548E-9</v>
      </c>
      <c r="H101" s="14">
        <v>0</v>
      </c>
      <c r="I101" s="14">
        <v>2.6159891398826674E-9</v>
      </c>
      <c r="J101" s="14">
        <v>5.6064764076945531E-7</v>
      </c>
      <c r="K101" s="14">
        <v>0</v>
      </c>
    </row>
    <row r="102" spans="1:11">
      <c r="A102" s="2" t="s">
        <v>482</v>
      </c>
      <c r="B102" s="3" t="s">
        <v>483</v>
      </c>
      <c r="D102" s="14">
        <v>1.1774969611257206E-31</v>
      </c>
      <c r="E102" s="14">
        <v>3.9854047634252738E-5</v>
      </c>
      <c r="F102" s="14">
        <v>6.3684539071193405E-10</v>
      </c>
      <c r="G102" s="14">
        <v>3.3444874085279663E-10</v>
      </c>
      <c r="H102" s="14">
        <v>0</v>
      </c>
      <c r="I102" s="14">
        <v>2.6032985664534469E-9</v>
      </c>
      <c r="J102" s="14">
        <v>1.4237777304924626E-7</v>
      </c>
      <c r="K102" s="14">
        <v>0</v>
      </c>
    </row>
    <row r="103" spans="1:11">
      <c r="A103" s="2" t="s">
        <v>484</v>
      </c>
      <c r="B103" s="3" t="s">
        <v>485</v>
      </c>
      <c r="D103" s="14">
        <v>9.3917086280955361E-18</v>
      </c>
      <c r="E103" s="14">
        <v>3.9668634481883801E-5</v>
      </c>
      <c r="F103" s="14">
        <v>3.1018359513107385E-9</v>
      </c>
      <c r="G103" s="14">
        <v>1.4491534685782714E-9</v>
      </c>
      <c r="H103" s="14">
        <v>0</v>
      </c>
      <c r="I103" s="14">
        <v>2.6040770235832963E-9</v>
      </c>
      <c r="J103" s="14">
        <v>3.2421045166333819E-7</v>
      </c>
      <c r="K103" s="14">
        <v>0</v>
      </c>
    </row>
    <row r="104" spans="1:11">
      <c r="A104" s="2" t="s">
        <v>486</v>
      </c>
      <c r="B104" s="3" t="s">
        <v>487</v>
      </c>
      <c r="D104" s="14">
        <v>1.1557823195745264E-13</v>
      </c>
      <c r="E104" s="14">
        <v>3.8058238832605765E-5</v>
      </c>
      <c r="F104" s="14">
        <v>8.8135375977229983E-8</v>
      </c>
      <c r="G104" s="14">
        <v>3.2080846324477588E-8</v>
      </c>
      <c r="H104" s="14">
        <v>0</v>
      </c>
      <c r="I104" s="14">
        <v>2.8557986260661936E-9</v>
      </c>
      <c r="J104" s="14">
        <v>1.8186890308882211E-6</v>
      </c>
      <c r="K104" s="14">
        <v>0</v>
      </c>
    </row>
    <row r="105" spans="1:11">
      <c r="A105" s="2" t="s">
        <v>488</v>
      </c>
      <c r="B105" s="3" t="s">
        <v>489</v>
      </c>
      <c r="D105" s="14">
        <v>9.3645342503866829E-21</v>
      </c>
      <c r="E105" s="14">
        <v>3.9825278632268407E-5</v>
      </c>
      <c r="F105" s="14">
        <v>9.0315106273145739E-10</v>
      </c>
      <c r="G105" s="14">
        <v>4.6222768371751947E-10</v>
      </c>
      <c r="H105" s="14">
        <v>0</v>
      </c>
      <c r="I105" s="14">
        <v>2.6028943977146725E-9</v>
      </c>
      <c r="J105" s="14">
        <v>1.7075309458742639E-7</v>
      </c>
      <c r="K105" s="14">
        <v>0</v>
      </c>
    </row>
    <row r="106" spans="1:11">
      <c r="A106" s="2" t="s">
        <v>490</v>
      </c>
      <c r="B106" s="3" t="s">
        <v>491</v>
      </c>
      <c r="D106" s="14">
        <v>5.0895211922734317E-13</v>
      </c>
      <c r="E106" s="14">
        <v>3.2979917706259404E-5</v>
      </c>
      <c r="F106" s="14">
        <v>9.3100313190557773E-7</v>
      </c>
      <c r="G106" s="14">
        <v>2.818685992966452E-7</v>
      </c>
      <c r="H106" s="14">
        <v>0</v>
      </c>
      <c r="I106" s="14">
        <v>5.4558194094596008E-9</v>
      </c>
      <c r="J106" s="14">
        <v>5.8017542341767943E-6</v>
      </c>
      <c r="K106" s="14">
        <v>0</v>
      </c>
    </row>
    <row r="107" spans="1:11">
      <c r="A107" s="2" t="s">
        <v>492</v>
      </c>
      <c r="B107" s="3" t="s">
        <v>493</v>
      </c>
      <c r="D107" s="14">
        <v>8.7914494400565448E-21</v>
      </c>
      <c r="E107" s="14">
        <v>5.464030606569784E-7</v>
      </c>
      <c r="F107" s="14">
        <v>2.9372079680620354E-5</v>
      </c>
      <c r="G107" s="14">
        <v>5.0983571227314801E-6</v>
      </c>
      <c r="H107" s="14">
        <v>0</v>
      </c>
      <c r="I107" s="14">
        <v>6.1145694496769324E-8</v>
      </c>
      <c r="J107" s="14">
        <v>4.9220144414944121E-6</v>
      </c>
      <c r="K107" s="14">
        <v>0</v>
      </c>
    </row>
    <row r="108" spans="1:11">
      <c r="A108" s="2" t="s">
        <v>291</v>
      </c>
      <c r="B108" s="3" t="s">
        <v>494</v>
      </c>
      <c r="D108" s="14">
        <v>1.1765373689345771E-14</v>
      </c>
      <c r="E108" s="14">
        <v>1.8882450995226194E-5</v>
      </c>
      <c r="F108" s="14">
        <v>6.8309316620729126E-6</v>
      </c>
      <c r="G108" s="14">
        <v>1.7138606042609192E-6</v>
      </c>
      <c r="H108" s="14">
        <v>0</v>
      </c>
      <c r="I108" s="14">
        <v>2.1473594416846742E-8</v>
      </c>
      <c r="J108" s="14">
        <v>1.2551283132257759E-5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8B54-1554-4FB2-A19E-8F397D4DB40E}">
  <dimension ref="A1:D108"/>
  <sheetViews>
    <sheetView tabSelected="1" topLeftCell="A76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s="164" t="s">
        <v>309</v>
      </c>
      <c r="B1" s="164" t="s">
        <v>310</v>
      </c>
      <c r="C1" s="164" t="s">
        <v>311</v>
      </c>
      <c r="D1" s="164" t="s">
        <v>312</v>
      </c>
    </row>
    <row r="2" spans="1:4">
      <c r="A2">
        <f>'Mass Balance'!I2</f>
        <v>7.0659188658811158E-9</v>
      </c>
      <c r="B2">
        <f>'Mass Balance'!E2</f>
        <v>3.0929330391995014E-5</v>
      </c>
      <c r="C2">
        <f>SUM('Mass Balance'!E2:H2)</f>
        <v>3.2835445431974786E-5</v>
      </c>
      <c r="D2">
        <f>Concentrations!F2/Concentrations!E2</f>
        <v>0.94563593622416287</v>
      </c>
    </row>
    <row r="3" spans="1:4">
      <c r="A3">
        <f>'Mass Balance'!I3</f>
        <v>3.2192293675258038E-7</v>
      </c>
      <c r="B3">
        <f>'Mass Balance'!E3</f>
        <v>2.6324265404959331E-8</v>
      </c>
      <c r="C3">
        <f>SUM('Mass Balance'!E3:H3)</f>
        <v>3.6235437184305896E-5</v>
      </c>
      <c r="D3">
        <f>Concentrations!F3/Concentrations!E3</f>
        <v>7.2932166972692746E-4</v>
      </c>
    </row>
    <row r="4" spans="1:4">
      <c r="A4">
        <f>'Mass Balance'!I4</f>
        <v>2.9324393466317447E-8</v>
      </c>
      <c r="B4">
        <f>'Mass Balance'!E4</f>
        <v>1.4147362704432771E-5</v>
      </c>
      <c r="C4">
        <f>SUM('Mass Balance'!E4:H4)</f>
        <v>2.6600865215476216E-5</v>
      </c>
      <c r="D4">
        <f>Concentrations!F4/Concentrations!E4</f>
        <v>0.53391987495413606</v>
      </c>
    </row>
    <row r="5" spans="1:4">
      <c r="A5">
        <f>'Mass Balance'!I5</f>
        <v>9.4600500645229572E-8</v>
      </c>
      <c r="B5">
        <f>'Mass Balance'!E5</f>
        <v>2.7718123396203606E-7</v>
      </c>
      <c r="C5">
        <f>SUM('Mass Balance'!E5:H5)</f>
        <v>3.5233204440639357E-5</v>
      </c>
      <c r="D5">
        <f>Concentrations!F5/Concentrations!E5</f>
        <v>7.8978347458445244E-3</v>
      </c>
    </row>
    <row r="6" spans="1:4">
      <c r="A6">
        <f>'Mass Balance'!I6</f>
        <v>3.7613191022206172E-7</v>
      </c>
      <c r="B6">
        <f>'Mass Balance'!E6</f>
        <v>1.1860579079298762E-8</v>
      </c>
      <c r="C6">
        <f>SUM('Mass Balance'!E6:H6)</f>
        <v>3.7087590852694481E-5</v>
      </c>
      <c r="D6">
        <f>Concentrations!F6/Concentrations!E6</f>
        <v>3.2105070844138674E-4</v>
      </c>
    </row>
    <row r="7" spans="1:4">
      <c r="A7">
        <f>'Mass Balance'!I7</f>
        <v>3.3164842414741712E-7</v>
      </c>
      <c r="B7">
        <f>'Mass Balance'!E7</f>
        <v>2.3589631715532194E-8</v>
      </c>
      <c r="C7">
        <f>SUM('Mass Balance'!E7:H7)</f>
        <v>3.6471479225499267E-5</v>
      </c>
      <c r="D7">
        <f>Concentrations!F7/Concentrations!E7</f>
        <v>6.4932802139476542E-4</v>
      </c>
    </row>
    <row r="8" spans="1:4">
      <c r="A8">
        <f>'Mass Balance'!I8</f>
        <v>2.6403695177702412E-7</v>
      </c>
      <c r="B8">
        <f>'Mass Balance'!E8</f>
        <v>5.2217626558574935E-8</v>
      </c>
      <c r="C8">
        <f>SUM('Mass Balance'!E8:H8)</f>
        <v>3.5742070470596031E-5</v>
      </c>
      <c r="D8">
        <f>Concentrations!F8/Concentrations!E8</f>
        <v>1.4666746427414959E-3</v>
      </c>
    </row>
    <row r="9" spans="1:4">
      <c r="A9">
        <f>'Mass Balance'!I9</f>
        <v>5.6185805310803604E-8</v>
      </c>
      <c r="B9">
        <f>'Mass Balance'!E9</f>
        <v>2.3769220064473241E-6</v>
      </c>
      <c r="C9">
        <f>SUM('Mass Balance'!E9:H9)</f>
        <v>3.0997959397095312E-5</v>
      </c>
      <c r="D9">
        <f>Concentrations!F9/Concentrations!E9</f>
        <v>7.6980049987451254E-2</v>
      </c>
    </row>
    <row r="10" spans="1:4">
      <c r="A10">
        <f>'Mass Balance'!I10</f>
        <v>1.011510781647284E-7</v>
      </c>
      <c r="B10">
        <f>'Mass Balance'!E10</f>
        <v>2.5780717838210226E-7</v>
      </c>
      <c r="C10">
        <f>SUM('Mass Balance'!E10:H10)</f>
        <v>3.5204552770719697E-5</v>
      </c>
      <c r="D10">
        <f>Concentrations!F10/Concentrations!E10</f>
        <v>7.3517805761136156E-3</v>
      </c>
    </row>
    <row r="11" spans="1:4">
      <c r="A11">
        <f>'Mass Balance'!I11</f>
        <v>1.1274335778614638E-7</v>
      </c>
      <c r="B11">
        <f>'Mass Balance'!E11</f>
        <v>2.2777296922338657E-7</v>
      </c>
      <c r="C11">
        <f>SUM('Mass Balance'!E11:H11)</f>
        <v>3.5159361351354776E-5</v>
      </c>
      <c r="D11">
        <f>Concentrations!F11/Concentrations!E11</f>
        <v>6.5036560878853978E-3</v>
      </c>
    </row>
    <row r="12" spans="1:4">
      <c r="A12">
        <f>'Mass Balance'!I12</f>
        <v>5.868976687828617E-8</v>
      </c>
      <c r="B12">
        <f>'Mass Balance'!E12</f>
        <v>1.5257263319637001E-6</v>
      </c>
      <c r="C12">
        <f>SUM('Mass Balance'!E12:H12)</f>
        <v>3.2392671353335972E-5</v>
      </c>
      <c r="D12">
        <f>Concentrations!F12/Concentrations!E12</f>
        <v>4.7285309840487087E-2</v>
      </c>
    </row>
    <row r="13" spans="1:4">
      <c r="A13">
        <f>'Mass Balance'!I13</f>
        <v>5.6464391263211443E-8</v>
      </c>
      <c r="B13">
        <f>'Mass Balance'!E13</f>
        <v>2.2805154041241835E-6</v>
      </c>
      <c r="C13">
        <f>SUM('Mass Balance'!E13:H13)</f>
        <v>3.1131538752780029E-5</v>
      </c>
      <c r="D13">
        <f>Concentrations!F13/Concentrations!E13</f>
        <v>7.3540873690213088E-2</v>
      </c>
    </row>
    <row r="14" spans="1:4">
      <c r="A14">
        <f>'Mass Balance'!I14</f>
        <v>1.5402113929093546E-7</v>
      </c>
      <c r="B14">
        <f>'Mass Balance'!E14</f>
        <v>1.5140497726915827E-7</v>
      </c>
      <c r="C14">
        <f>SUM('Mass Balance'!E14:H14)</f>
        <v>3.5139800956429067E-5</v>
      </c>
      <c r="D14">
        <f>Concentrations!F14/Concentrations!E14</f>
        <v>4.3255089750456246E-3</v>
      </c>
    </row>
    <row r="15" spans="1:4">
      <c r="A15">
        <f>'Mass Balance'!I15</f>
        <v>1.0684251442216471E-7</v>
      </c>
      <c r="B15">
        <f>'Mass Balance'!E15</f>
        <v>2.4244456442276381E-7</v>
      </c>
      <c r="C15">
        <f>SUM('Mass Balance'!E15:H15)</f>
        <v>3.5181404276075833E-5</v>
      </c>
      <c r="D15">
        <f>Concentrations!F15/Concentrations!E15</f>
        <v>6.9182403118300565E-3</v>
      </c>
    </row>
    <row r="16" spans="1:4">
      <c r="A16">
        <f>'Mass Balance'!I16</f>
        <v>2.6070600325605379E-7</v>
      </c>
      <c r="B16">
        <f>'Mass Balance'!E16</f>
        <v>5.4011954337151313E-8</v>
      </c>
      <c r="C16">
        <f>SUM('Mass Balance'!E16:H16)</f>
        <v>3.5704085117194044E-5</v>
      </c>
      <c r="D16">
        <f>Concentrations!F16/Concentrations!E16</f>
        <v>1.5186872432767799E-3</v>
      </c>
    </row>
    <row r="17" spans="1:4">
      <c r="A17">
        <f>'Mass Balance'!I17</f>
        <v>9.675346478613351E-8</v>
      </c>
      <c r="B17">
        <f>'Mass Balance'!E17</f>
        <v>2.7061703887217429E-7</v>
      </c>
      <c r="C17">
        <f>SUM('Mass Balance'!E17:H17)</f>
        <v>3.5224822099412654E-5</v>
      </c>
      <c r="D17">
        <f>Concentrations!F17/Concentrations!E17</f>
        <v>7.712633448483123E-3</v>
      </c>
    </row>
    <row r="18" spans="1:4">
      <c r="A18">
        <f>'Mass Balance'!I18</f>
        <v>5.4637218054360548E-8</v>
      </c>
      <c r="B18">
        <f>'Mass Balance'!E18</f>
        <v>2.8472638561991955E-6</v>
      </c>
      <c r="C18">
        <f>SUM('Mass Balance'!E18:H18)</f>
        <v>3.0297634638321101E-5</v>
      </c>
      <c r="D18">
        <f>Concentrations!F18/Concentrations!E18</f>
        <v>9.4344231965447389E-2</v>
      </c>
    </row>
    <row r="19" spans="1:4">
      <c r="A19">
        <f>'Mass Balance'!I19</f>
        <v>1.080070414814541E-7</v>
      </c>
      <c r="B19">
        <f>'Mass Balance'!E19</f>
        <v>2.3945784593903403E-7</v>
      </c>
      <c r="C19">
        <f>SUM('Mass Balance'!E19:H19)</f>
        <v>3.5177228909111391E-5</v>
      </c>
      <c r="D19">
        <f>Concentrations!F19/Concentrations!E19</f>
        <v>6.8338243025118026E-3</v>
      </c>
    </row>
    <row r="20" spans="1:4">
      <c r="A20">
        <f>'Mass Balance'!I20</f>
        <v>5.6471962707680641E-8</v>
      </c>
      <c r="B20">
        <f>'Mass Balance'!E20</f>
        <v>2.2808212038566732E-6</v>
      </c>
      <c r="C20">
        <f>SUM('Mass Balance'!E20:H20)</f>
        <v>3.1135713254826965E-5</v>
      </c>
      <c r="D20">
        <f>Concentrations!F20/Concentrations!E20</f>
        <v>7.3540873690213088E-2</v>
      </c>
    </row>
    <row r="21" spans="1:4">
      <c r="A21">
        <f>'Mass Balance'!I21</f>
        <v>1.4120305105358616E-7</v>
      </c>
      <c r="B21">
        <f>'Mass Balance'!E21</f>
        <v>1.7109380445970467E-7</v>
      </c>
      <c r="C21">
        <f>SUM('Mass Balance'!E21:H21)</f>
        <v>3.5113392230059379E-5</v>
      </c>
      <c r="D21">
        <f>Concentrations!F21/Concentrations!E21</f>
        <v>4.8916779614992974E-3</v>
      </c>
    </row>
    <row r="22" spans="1:4">
      <c r="A22">
        <f>'Mass Balance'!I22</f>
        <v>1.625797899576938E-8</v>
      </c>
      <c r="B22">
        <f>'Mass Balance'!E22</f>
        <v>2.2477582418218405E-5</v>
      </c>
      <c r="C22">
        <f>SUM('Mass Balance'!E22:H22)</f>
        <v>2.8541522264335799E-5</v>
      </c>
      <c r="D22">
        <f>Concentrations!F22/Concentrations!E22</f>
        <v>0.79062187913500215</v>
      </c>
    </row>
    <row r="23" spans="1:4">
      <c r="A23">
        <f>'Mass Balance'!I23</f>
        <v>9.4077830704894078E-9</v>
      </c>
      <c r="B23">
        <f>'Mass Balance'!E23</f>
        <v>2.8411927738561331E-5</v>
      </c>
      <c r="C23">
        <f>SUM('Mass Balance'!E23:H23)</f>
        <v>3.1346914192882875E-5</v>
      </c>
      <c r="D23">
        <f>Concentrations!F23/Concentrations!E23</f>
        <v>0.90991802583642023</v>
      </c>
    </row>
    <row r="24" spans="1:4">
      <c r="A24">
        <f>'Mass Balance'!I24</f>
        <v>4.4106020632780501E-8</v>
      </c>
      <c r="B24">
        <f>'Mass Balance'!E24</f>
        <v>6.963654795043515E-6</v>
      </c>
      <c r="C24">
        <f>SUM('Mass Balance'!E24:H24)</f>
        <v>2.7489870760518713E-5</v>
      </c>
      <c r="D24">
        <f>Concentrations!F24/Concentrations!E24</f>
        <v>0.25430851284398492</v>
      </c>
    </row>
    <row r="25" spans="1:4">
      <c r="A25">
        <f>'Mass Balance'!I25</f>
        <v>5.9765737974759169E-8</v>
      </c>
      <c r="B25">
        <f>'Mass Balance'!E25</f>
        <v>8.3026381589836848E-7</v>
      </c>
      <c r="C25">
        <f>SUM('Mass Balance'!E25:H25)</f>
        <v>3.3571248225955904E-5</v>
      </c>
      <c r="D25">
        <f>Concentrations!F25/Concentrations!E25</f>
        <v>2.4828185657071934E-2</v>
      </c>
    </row>
    <row r="26" spans="1:4">
      <c r="A26">
        <f>'Mass Balance'!I26</f>
        <v>1.3304985776827723E-7</v>
      </c>
      <c r="B26">
        <f>'Mass Balance'!E26</f>
        <v>1.8533487907920734E-7</v>
      </c>
      <c r="C26">
        <f>SUM('Mass Balance'!E26:H26)</f>
        <v>3.5116789032053752E-5</v>
      </c>
      <c r="D26">
        <f>Concentrations!F26/Concentrations!E26</f>
        <v>5.2983265655727274E-3</v>
      </c>
    </row>
    <row r="27" spans="1:4">
      <c r="A27">
        <f>'Mass Balance'!I27</f>
        <v>3.1497436045713559E-7</v>
      </c>
      <c r="B27">
        <f>'Mass Balance'!E27</f>
        <v>2.8929902164876965E-8</v>
      </c>
      <c r="C27">
        <f>SUM('Mass Balance'!E27:H27)</f>
        <v>3.618886428058374E-5</v>
      </c>
      <c r="D27">
        <f>Concentrations!F27/Concentrations!E27</f>
        <v>8.0254311530271677E-4</v>
      </c>
    </row>
    <row r="28" spans="1:4">
      <c r="A28">
        <f>'Mass Balance'!I28</f>
        <v>1.9534804674844683E-7</v>
      </c>
      <c r="B28">
        <f>'Mass Balance'!E28</f>
        <v>1.0253421649398734E-7</v>
      </c>
      <c r="C28">
        <f>SUM('Mass Balance'!E28:H28)</f>
        <v>3.5270053214238964E-5</v>
      </c>
      <c r="D28">
        <f>Concentrations!F28/Concentrations!E28</f>
        <v>2.9184957454671031E-3</v>
      </c>
    </row>
    <row r="29" spans="1:4">
      <c r="A29">
        <f>'Mass Balance'!I29</f>
        <v>1.4562358948946302E-7</v>
      </c>
      <c r="B29">
        <f>'Mass Balance'!E29</f>
        <v>1.5348591975039162E-7</v>
      </c>
      <c r="C29">
        <f>SUM('Mass Balance'!E29:H29)</f>
        <v>3.4176760786864306E-5</v>
      </c>
      <c r="D29">
        <f>Concentrations!F29/Concentrations!E29</f>
        <v>4.5085200424820797E-3</v>
      </c>
    </row>
    <row r="30" spans="1:4">
      <c r="A30">
        <f>'Mass Balance'!I30</f>
        <v>1.9534804674844683E-7</v>
      </c>
      <c r="B30">
        <f>'Mass Balance'!E30</f>
        <v>1.0253421649398734E-7</v>
      </c>
      <c r="C30">
        <f>SUM('Mass Balance'!E30:H30)</f>
        <v>3.5270053214238964E-5</v>
      </c>
      <c r="D30">
        <f>Concentrations!F30/Concentrations!E30</f>
        <v>2.9184957454671031E-3</v>
      </c>
    </row>
    <row r="31" spans="1:4">
      <c r="A31">
        <f>'Mass Balance'!I31</f>
        <v>2.6574280953791911E-9</v>
      </c>
      <c r="B31">
        <f>'Mass Balance'!E31</f>
        <v>3.9028892607192329E-5</v>
      </c>
      <c r="C31">
        <f>SUM('Mass Balance'!E31:H31)</f>
        <v>3.9062547366160223E-5</v>
      </c>
      <c r="D31">
        <f>Concentrations!F31/Concentrations!E31</f>
        <v>1.0030487243621815</v>
      </c>
    </row>
    <row r="32" spans="1:4">
      <c r="A32">
        <f>'Mass Balance'!I32</f>
        <v>2.4112751122883932E-8</v>
      </c>
      <c r="B32">
        <f>'Mass Balance'!E32</f>
        <v>1.7370538907726737E-5</v>
      </c>
      <c r="C32">
        <f>SUM('Mass Balance'!E32:H32)</f>
        <v>2.7104714832239913E-5</v>
      </c>
      <c r="D32">
        <f>Concentrations!F32/Concentrations!E32</f>
        <v>0.64337593466145504</v>
      </c>
    </row>
    <row r="33" spans="1:4">
      <c r="A33">
        <f>'Mass Balance'!I33</f>
        <v>2.6156557998862043E-9</v>
      </c>
      <c r="B33">
        <f>'Mass Balance'!E33</f>
        <v>3.9826967013989738E-5</v>
      </c>
      <c r="C33">
        <f>SUM('Mass Balance'!E33:H33)</f>
        <v>3.9995099483753449E-5</v>
      </c>
      <c r="D33">
        <f>Concentrations!F33/Concentrations!E33</f>
        <v>0.99969337789726775</v>
      </c>
    </row>
    <row r="34" spans="1:4">
      <c r="A34">
        <f>'Mass Balance'!I34</f>
        <v>2.7766166470232264E-9</v>
      </c>
      <c r="B34">
        <f>'Mass Balance'!E34</f>
        <v>2.1903278135739348E-5</v>
      </c>
      <c r="C34">
        <f>SUM('Mass Balance'!E34:H34)</f>
        <v>3.99894376660454E-5</v>
      </c>
      <c r="D34">
        <f>Concentrations!F34/Concentrations!E34</f>
        <v>0.54987019915558155</v>
      </c>
    </row>
    <row r="35" spans="1:4">
      <c r="A35">
        <f>'Mass Balance'!I35</f>
        <v>2.7785539199654555E-9</v>
      </c>
      <c r="B35">
        <f>'Mass Balance'!E35</f>
        <v>1.2967030892036675E-5</v>
      </c>
      <c r="C35">
        <f>SUM('Mass Balance'!E35:H35)</f>
        <v>3.9978376188291451E-5</v>
      </c>
      <c r="D35">
        <f>Concentrations!F35/Concentrations!E35</f>
        <v>0.32562051399863751</v>
      </c>
    </row>
    <row r="36" spans="1:4">
      <c r="A36">
        <f>'Mass Balance'!I36</f>
        <v>2.6618646061186347E-9</v>
      </c>
      <c r="B36">
        <f>'Mass Balance'!E36</f>
        <v>4.3253824224613612E-6</v>
      </c>
      <c r="C36">
        <f>SUM('Mass Balance'!E36:H36)</f>
        <v>3.9976275354985461E-5</v>
      </c>
      <c r="D36">
        <f>Concentrations!F36/Concentrations!E36</f>
        <v>0.10862218771257091</v>
      </c>
    </row>
    <row r="37" spans="1:4">
      <c r="A37">
        <f>'Mass Balance'!I37</f>
        <v>1.3432808131305463E-8</v>
      </c>
      <c r="B37">
        <f>'Mass Balance'!E37</f>
        <v>8.3242901329508303E-6</v>
      </c>
      <c r="C37">
        <f>SUM('Mass Balance'!E37:H37)</f>
        <v>3.7157189568775469E-5</v>
      </c>
      <c r="D37">
        <f>Concentrations!F37/Concentrations!E37</f>
        <v>0.22490582970047909</v>
      </c>
    </row>
    <row r="38" spans="1:4">
      <c r="A38">
        <f>'Mass Balance'!I38</f>
        <v>2.8999934121014264E-9</v>
      </c>
      <c r="B38">
        <f>'Mass Balance'!E38</f>
        <v>2.4527549247384686E-5</v>
      </c>
      <c r="C38">
        <f>SUM('Mass Balance'!E38:H38)</f>
        <v>3.9921794729781928E-5</v>
      </c>
      <c r="D38">
        <f>Concentrations!F38/Concentrations!E38</f>
        <v>0.61679445598249327</v>
      </c>
    </row>
    <row r="39" spans="1:4">
      <c r="A39">
        <f>'Mass Balance'!I39</f>
        <v>6.2654112964397206E-8</v>
      </c>
      <c r="B39">
        <f>'Mass Balance'!E39</f>
        <v>4.1396114103798857E-7</v>
      </c>
      <c r="C39">
        <f>SUM('Mass Balance'!E39:H39)</f>
        <v>3.551933820375009E-5</v>
      </c>
      <c r="D39">
        <f>Concentrations!F39/Concentrations!E39</f>
        <v>1.1700140373438878E-2</v>
      </c>
    </row>
    <row r="40" spans="1:4">
      <c r="A40">
        <f>'Mass Balance'!I40</f>
        <v>1.8932572643149012E-7</v>
      </c>
      <c r="B40">
        <f>'Mass Balance'!E40</f>
        <v>4.0529206224640229E-8</v>
      </c>
      <c r="C40">
        <f>SUM('Mass Balance'!E40:H40)</f>
        <v>3.9694346697164822E-5</v>
      </c>
      <c r="D40">
        <f>Concentrations!F40/Concentrations!E40</f>
        <v>1.0250281720648681E-3</v>
      </c>
    </row>
    <row r="41" spans="1:4">
      <c r="A41">
        <f>'Mass Balance'!I41</f>
        <v>2.38978610376445E-9</v>
      </c>
      <c r="B41">
        <f>'Mass Balance'!E41</f>
        <v>3.6540660869984197E-5</v>
      </c>
      <c r="C41">
        <f>SUM('Mass Balance'!E41:H41)</f>
        <v>3.6542339536723156E-5</v>
      </c>
      <c r="D41">
        <f>Concentrations!F41/Concentrations!E41</f>
        <v>1.0038675396339609</v>
      </c>
    </row>
    <row r="42" spans="1:4">
      <c r="A42">
        <f>'Mass Balance'!I42</f>
        <v>1.8391103045183846E-8</v>
      </c>
      <c r="B42">
        <f>'Mass Balance'!E42</f>
        <v>2.0985623032680937E-5</v>
      </c>
      <c r="C42">
        <f>SUM('Mass Balance'!E42:H42)</f>
        <v>2.8051850370535059E-5</v>
      </c>
      <c r="D42">
        <f>Concentrations!F42/Concentrations!E42</f>
        <v>0.75102901537292654</v>
      </c>
    </row>
    <row r="43" spans="1:4">
      <c r="A43">
        <f>'Mass Balance'!I43</f>
        <v>5.1781794515679931E-9</v>
      </c>
      <c r="B43">
        <f>'Mass Balance'!E43</f>
        <v>3.5265040809265352E-7</v>
      </c>
      <c r="C43">
        <f>SUM('Mass Balance'!E43:H43)</f>
        <v>3.997794522208558E-5</v>
      </c>
      <c r="D43">
        <f>Concentrations!F43/Concentrations!E43</f>
        <v>8.8556467538360353E-3</v>
      </c>
    </row>
    <row r="44" spans="1:4">
      <c r="A44">
        <f>'Mass Balance'!I44</f>
        <v>4.7716626487882239E-9</v>
      </c>
      <c r="B44">
        <f>'Mass Balance'!E44</f>
        <v>3.0483022447453323E-5</v>
      </c>
      <c r="C44">
        <f>SUM('Mass Balance'!E44:H44)</f>
        <v>3.1499105272880742E-5</v>
      </c>
      <c r="D44">
        <f>Concentrations!F44/Concentrations!E44</f>
        <v>0.97152989827926484</v>
      </c>
    </row>
    <row r="45" spans="1:4">
      <c r="A45">
        <f>'Mass Balance'!I45</f>
        <v>2.0398816399299723E-8</v>
      </c>
      <c r="B45">
        <f>'Mass Balance'!E45</f>
        <v>1.9575156008319966E-5</v>
      </c>
      <c r="C45">
        <f>SUM('Mass Balance'!E45:H45)</f>
        <v>2.7602134580185989E-5</v>
      </c>
      <c r="D45">
        <f>Concentrations!F45/Concentrations!E45</f>
        <v>0.71196546040949049</v>
      </c>
    </row>
    <row r="46" spans="1:4">
      <c r="A46">
        <f>'Mass Balance'!I46</f>
        <v>1.9094382465072593E-8</v>
      </c>
      <c r="B46">
        <f>'Mass Balance'!E46</f>
        <v>2.042336164573811E-5</v>
      </c>
      <c r="C46">
        <f>SUM('Mass Balance'!E46:H46)</f>
        <v>2.7827663278516363E-5</v>
      </c>
      <c r="D46">
        <f>Concentrations!F46/Concentrations!E46</f>
        <v>0.73679530590858955</v>
      </c>
    </row>
    <row r="47" spans="1:4">
      <c r="A47">
        <f>'Mass Balance'!I47</f>
        <v>3.2308781115088025E-7</v>
      </c>
      <c r="B47">
        <f>'Mass Balance'!E47</f>
        <v>2.6419519452818172E-8</v>
      </c>
      <c r="C47">
        <f>SUM('Mass Balance'!E47:H47)</f>
        <v>3.6366554691846665E-5</v>
      </c>
      <c r="D47">
        <f>Concentrations!F47/Concentrations!E47</f>
        <v>7.2932166972692746E-4</v>
      </c>
    </row>
    <row r="48" spans="1:4">
      <c r="A48">
        <f>'Mass Balance'!I48</f>
        <v>3.3417782812704607E-9</v>
      </c>
      <c r="B48">
        <f>'Mass Balance'!E48</f>
        <v>3.6126778862974508E-5</v>
      </c>
      <c r="C48">
        <f>SUM('Mass Balance'!E48:H48)</f>
        <v>3.6462567287696104E-5</v>
      </c>
      <c r="D48">
        <f>Concentrations!F48/Concentrations!E48</f>
        <v>0.99466848831057531</v>
      </c>
    </row>
    <row r="49" spans="1:4">
      <c r="A49">
        <f>'Mass Balance'!I49</f>
        <v>3.929709442979596E-9</v>
      </c>
      <c r="B49">
        <f>'Mass Balance'!E49</f>
        <v>3.4475752623635341E-5</v>
      </c>
      <c r="C49">
        <f>SUM('Mass Balance'!E49:H49)</f>
        <v>3.5067736836286594E-5</v>
      </c>
      <c r="D49">
        <f>Concentrations!F49/Concentrations!E49</f>
        <v>0.98696642602903806</v>
      </c>
    </row>
    <row r="50" spans="1:4">
      <c r="A50">
        <f>'Mass Balance'!I50</f>
        <v>5.3940378983303965E-8</v>
      </c>
      <c r="B50">
        <f>'Mass Balance'!E50</f>
        <v>3.0131653685491971E-6</v>
      </c>
      <c r="C50">
        <f>SUM('Mass Balance'!E50:H50)</f>
        <v>2.9988312670736404E-5</v>
      </c>
      <c r="D50">
        <f>Concentrations!F50/Concentrations!E50</f>
        <v>0.10087122598395441</v>
      </c>
    </row>
    <row r="51" spans="1:4">
      <c r="A51">
        <f>'Mass Balance'!I51</f>
        <v>2.5377245979492849E-9</v>
      </c>
      <c r="B51">
        <f>'Mass Balance'!E51</f>
        <v>3.6136063796773705E-5</v>
      </c>
      <c r="C51">
        <f>SUM('Mass Balance'!E51:H51)</f>
        <v>3.6192146457857759E-5</v>
      </c>
      <c r="D51">
        <f>Concentrations!F51/Concentrations!E51</f>
        <v>1.002358011511207</v>
      </c>
    </row>
    <row r="52" spans="1:4">
      <c r="A52">
        <f>'Mass Balance'!I52</f>
        <v>6.4940012655810781E-9</v>
      </c>
      <c r="B52">
        <f>'Mass Balance'!E52</f>
        <v>2.8900164155584001E-5</v>
      </c>
      <c r="C52">
        <f>SUM('Mass Balance'!E52:H52)</f>
        <v>3.0637962917635647E-5</v>
      </c>
      <c r="D52">
        <f>Concentrations!F52/Concentrations!E52</f>
        <v>0.94697123184535292</v>
      </c>
    </row>
    <row r="53" spans="1:4">
      <c r="A53">
        <f>'Mass Balance'!I53</f>
        <v>2.7445043998820602E-8</v>
      </c>
      <c r="B53">
        <f>'Mass Balance'!E53</f>
        <v>1.5150274044940771E-5</v>
      </c>
      <c r="C53">
        <f>SUM('Mass Balance'!E53:H53)</f>
        <v>2.6653130318955124E-5</v>
      </c>
      <c r="D53">
        <f>Concentrations!F53/Concentrations!E53</f>
        <v>0.57064843187288916</v>
      </c>
    </row>
    <row r="54" spans="1:4">
      <c r="A54">
        <f>'Mass Balance'!I54</f>
        <v>2.9595290317682813E-7</v>
      </c>
      <c r="B54">
        <f>'Mass Balance'!E54</f>
        <v>3.6771291941247842E-8</v>
      </c>
      <c r="C54">
        <f>SUM('Mass Balance'!E54:H54)</f>
        <v>3.605222673017817E-5</v>
      </c>
      <c r="D54">
        <f>Concentrations!F54/Concentrations!E54</f>
        <v>1.0239368137133337E-3</v>
      </c>
    </row>
    <row r="55" spans="1:4">
      <c r="A55">
        <f>'Mass Balance'!I55</f>
        <v>3.9645323808671509E-8</v>
      </c>
      <c r="B55">
        <f>'Mass Balance'!E55</f>
        <v>5.4520804126816713E-6</v>
      </c>
      <c r="C55">
        <f>SUM('Mass Balance'!E55:H55)</f>
        <v>2.4087462474495564E-5</v>
      </c>
      <c r="D55">
        <f>Concentrations!F55/Concentrations!E55</f>
        <v>0.22723099168919014</v>
      </c>
    </row>
    <row r="56" spans="1:4">
      <c r="A56">
        <f>'Mass Balance'!I56</f>
        <v>2.3133538571413884E-8</v>
      </c>
      <c r="B56">
        <f>'Mass Balance'!E56</f>
        <v>6.447331746601274E-7</v>
      </c>
      <c r="C56">
        <f>SUM('Mass Balance'!E56:H56)</f>
        <v>1.2756270887225006E-5</v>
      </c>
      <c r="D56">
        <f>Concentrations!F56/Concentrations!E56</f>
        <v>5.0740255117251006E-2</v>
      </c>
    </row>
    <row r="57" spans="1:4">
      <c r="A57">
        <f>'Mass Balance'!I57</f>
        <v>1.1433486995974825E-8</v>
      </c>
      <c r="B57">
        <f>'Mass Balance'!E57</f>
        <v>1.1651190543930275E-6</v>
      </c>
      <c r="C57">
        <f>SUM('Mass Balance'!E57:H57)</f>
        <v>6.6541922033574779E-6</v>
      </c>
      <c r="D57">
        <f>Concentrations!F57/Concentrations!E57</f>
        <v>0.17578075519766787</v>
      </c>
    </row>
    <row r="58" spans="1:4">
      <c r="A58">
        <f>'Mass Balance'!I58</f>
        <v>2.9994160283083063E-10</v>
      </c>
      <c r="B58">
        <f>'Mass Balance'!E58</f>
        <v>2.3666157923466936E-6</v>
      </c>
      <c r="C58">
        <f>SUM('Mass Balance'!E58:H58)</f>
        <v>2.4185670076124339E-6</v>
      </c>
      <c r="D58">
        <f>Concentrations!F58/Concentrations!E58</f>
        <v>0.98234942729794861</v>
      </c>
    </row>
    <row r="59" spans="1:4">
      <c r="A59">
        <f>'Mass Balance'!I59</f>
        <v>4.3886544899980252E-9</v>
      </c>
      <c r="B59">
        <f>'Mass Balance'!E59</f>
        <v>4.7928142609903252E-7</v>
      </c>
      <c r="C59">
        <f>SUM('Mass Balance'!E59:H59)</f>
        <v>2.5760852890592018E-6</v>
      </c>
      <c r="D59">
        <f>Concentrations!F59/Concentrations!E59</f>
        <v>0.18677843130853472</v>
      </c>
    </row>
    <row r="60" spans="1:4">
      <c r="A60">
        <f>'Mass Balance'!I60</f>
        <v>7.680349412818258E-11</v>
      </c>
      <c r="B60">
        <f>'Mass Balance'!E60</f>
        <v>1.7911038706873753E-8</v>
      </c>
      <c r="C60">
        <f>SUM('Mass Balance'!E60:H60)</f>
        <v>5.2619806794441209E-8</v>
      </c>
      <c r="D60">
        <f>Concentrations!F60/Concentrations!E60</f>
        <v>0.34171802338874779</v>
      </c>
    </row>
    <row r="61" spans="1:4">
      <c r="A61">
        <f>'Mass Balance'!I61</f>
        <v>3.4595228302060981E-8</v>
      </c>
      <c r="B61">
        <f>'Mass Balance'!E61</f>
        <v>1.13602153639349E-5</v>
      </c>
      <c r="C61">
        <f>SUM('Mass Balance'!E61:H61)</f>
        <v>2.6566900318242823E-5</v>
      </c>
      <c r="D61">
        <f>Concentrations!F61/Concentrations!E61</f>
        <v>0.4292813694373403</v>
      </c>
    </row>
    <row r="62" spans="1:4">
      <c r="A62">
        <f>'Mass Balance'!I62</f>
        <v>1.5114262792059833E-7</v>
      </c>
      <c r="B62">
        <f>'Mass Balance'!E62</f>
        <v>1.5564367243732066E-7</v>
      </c>
      <c r="C62">
        <f>SUM('Mass Balance'!E62:H62)</f>
        <v>3.513754796347961E-5</v>
      </c>
      <c r="D62">
        <f>Concentrations!F62/Concentrations!E62</f>
        <v>4.4468899351751291E-3</v>
      </c>
    </row>
    <row r="63" spans="1:4">
      <c r="A63">
        <f>'Mass Balance'!I63</f>
        <v>3.6442506628350837E-7</v>
      </c>
      <c r="B63">
        <f>'Mass Balance'!E63</f>
        <v>1.449810084023918E-8</v>
      </c>
      <c r="C63">
        <f>SUM('Mass Balance'!E63:H63)</f>
        <v>3.6913571388927198E-5</v>
      </c>
      <c r="D63">
        <f>Concentrations!F63/Concentrations!E63</f>
        <v>3.942951301225698E-4</v>
      </c>
    </row>
    <row r="64" spans="1:4">
      <c r="A64">
        <f>'Mass Balance'!I64</f>
        <v>4.1557009423610406E-7</v>
      </c>
      <c r="B64">
        <f>'Mass Balance'!E64</f>
        <v>5.0531459713132085E-9</v>
      </c>
      <c r="C64">
        <f>SUM('Mass Balance'!E64:H64)</f>
        <v>3.7740847917405913E-5</v>
      </c>
      <c r="D64">
        <f>Concentrations!F64/Concentrations!E64</f>
        <v>1.3441463378141349E-4</v>
      </c>
    </row>
    <row r="65" spans="1:4">
      <c r="A65">
        <f>'Mass Balance'!I65</f>
        <v>4.5118294038628934E-7</v>
      </c>
      <c r="B65">
        <f>'Mass Balance'!E65</f>
        <v>1.4249877685569183E-9</v>
      </c>
      <c r="C65">
        <f>SUM('Mass Balance'!E65:H65)</f>
        <v>3.8441766968275646E-5</v>
      </c>
      <c r="D65">
        <f>Concentrations!F65/Concentrations!E65</f>
        <v>3.7213811818105847E-5</v>
      </c>
    </row>
    <row r="66" spans="1:4">
      <c r="A66">
        <f>'Mass Balance'!I66</f>
        <v>4.3343179042143057E-7</v>
      </c>
      <c r="B66">
        <f>'Mass Balance'!E66</f>
        <v>2.9477282225720536E-9</v>
      </c>
      <c r="C66">
        <f>SUM('Mass Balance'!E66:H66)</f>
        <v>3.8077010959079979E-5</v>
      </c>
      <c r="D66">
        <f>Concentrations!F66/Concentrations!E66</f>
        <v>7.7717881346988231E-5</v>
      </c>
    </row>
    <row r="67" spans="1:4">
      <c r="A67">
        <f>'Mass Balance'!I67</f>
        <v>5.6887634915349128E-9</v>
      </c>
      <c r="B67">
        <f>'Mass Balance'!E67</f>
        <v>3.2472298800629581E-5</v>
      </c>
      <c r="C67">
        <f>SUM('Mass Balance'!E67:H67)</f>
        <v>3.3789878116924678E-5</v>
      </c>
      <c r="D67">
        <f>Concentrations!F67/Concentrations!E67</f>
        <v>0.96476773687511475</v>
      </c>
    </row>
    <row r="68" spans="1:4">
      <c r="A68">
        <f>'Mass Balance'!I68</f>
        <v>7.8895929300358023E-9</v>
      </c>
      <c r="B68">
        <f>'Mass Balance'!E68</f>
        <v>2.9613375311943754E-5</v>
      </c>
      <c r="C68">
        <f>SUM('Mass Balance'!E68:H68)</f>
        <v>3.1890531407307747E-5</v>
      </c>
      <c r="D68">
        <f>Concentrations!F68/Concentrations!E68</f>
        <v>0.93222880251935258</v>
      </c>
    </row>
    <row r="69" spans="1:4">
      <c r="A69">
        <f>'Mass Balance'!I69</f>
        <v>2.5558489660265154E-7</v>
      </c>
      <c r="B69">
        <f>'Mass Balance'!E69</f>
        <v>5.6774543064188812E-8</v>
      </c>
      <c r="C69">
        <f>SUM('Mass Balance'!E69:H69)</f>
        <v>3.5632422987675011E-5</v>
      </c>
      <c r="D69">
        <f>Concentrations!F69/Concentrations!E69</f>
        <v>1.5995751726402133E-3</v>
      </c>
    </row>
    <row r="70" spans="1:4">
      <c r="A70">
        <f>'Mass Balance'!I70</f>
        <v>5.9902421987739567E-8</v>
      </c>
      <c r="B70">
        <f>'Mass Balance'!E70</f>
        <v>1.0255299213621781E-6</v>
      </c>
      <c r="C70">
        <f>SUM('Mass Balance'!E70:H70)</f>
        <v>3.3398963592260584E-5</v>
      </c>
      <c r="D70">
        <f>Concentrations!F70/Concentrations!E70</f>
        <v>3.0825612024579733E-2</v>
      </c>
    </row>
    <row r="71" spans="1:4">
      <c r="A71">
        <f>'Mass Balance'!I71</f>
        <v>7.3652469103680433E-9</v>
      </c>
      <c r="B71">
        <f>'Mass Balance'!E71</f>
        <v>2.9631320016317145E-5</v>
      </c>
      <c r="C71">
        <f>SUM('Mass Balance'!E71:H71)</f>
        <v>3.1696369806957696E-5</v>
      </c>
      <c r="D71">
        <f>Concentrations!F71/Concentrations!E71</f>
        <v>0.93850769095966746</v>
      </c>
    </row>
    <row r="72" spans="1:4">
      <c r="A72">
        <f>'Mass Balance'!I72</f>
        <v>5.8827209546666056E-8</v>
      </c>
      <c r="B72">
        <f>'Mass Balance'!E72</f>
        <v>1.1847947194648077E-6</v>
      </c>
      <c r="C72">
        <f>SUM('Mass Balance'!E72:H72)</f>
        <v>3.2642975636620812E-5</v>
      </c>
      <c r="D72">
        <f>Concentrations!F72/Concentrations!E72</f>
        <v>3.6437597259925153E-2</v>
      </c>
    </row>
    <row r="73" spans="1:4">
      <c r="A73">
        <f>'Mass Balance'!I73</f>
        <v>3.5673345564820692E-8</v>
      </c>
      <c r="B73">
        <f>'Mass Balance'!E73</f>
        <v>1.0453866326764901E-5</v>
      </c>
      <c r="C73">
        <f>SUM('Mass Balance'!E73:H73)</f>
        <v>2.628369309445852E-5</v>
      </c>
      <c r="D73">
        <f>Concentrations!F73/Concentrations!E73</f>
        <v>0.39928860591166576</v>
      </c>
    </row>
    <row r="74" spans="1:4">
      <c r="A74">
        <f>'Mass Balance'!I74</f>
        <v>5.9673976574556399E-8</v>
      </c>
      <c r="B74">
        <f>'Mass Balance'!E74</f>
        <v>1.0701646986663888E-6</v>
      </c>
      <c r="C74">
        <f>SUM('Mass Balance'!E74:H74)</f>
        <v>3.3222955443661296E-5</v>
      </c>
      <c r="D74">
        <f>Concentrations!F74/Concentrations!E74</f>
        <v>3.2337669598745421E-2</v>
      </c>
    </row>
    <row r="75" spans="1:4">
      <c r="A75">
        <f>'Mass Balance'!I75</f>
        <v>1.6459720353717422E-8</v>
      </c>
      <c r="B75">
        <f>'Mass Balance'!E75</f>
        <v>1.7276471145941353E-7</v>
      </c>
      <c r="C75">
        <f>SUM('Mass Balance'!E75:H75)</f>
        <v>3.9980197079988769E-5</v>
      </c>
      <c r="D75">
        <f>Concentrations!F75/Concentrations!E75</f>
        <v>4.3381690424097383E-3</v>
      </c>
    </row>
    <row r="76" spans="1:4">
      <c r="A76">
        <f>'Mass Balance'!I76</f>
        <v>1.6459720362550996E-8</v>
      </c>
      <c r="B76">
        <f>'Mass Balance'!E76</f>
        <v>1.7276471155213261E-7</v>
      </c>
      <c r="C76">
        <f>SUM('Mass Balance'!E76:H76)</f>
        <v>3.9980197101445279E-5</v>
      </c>
      <c r="D76">
        <f>Concentrations!F76/Concentrations!E76</f>
        <v>4.3381690424097374E-3</v>
      </c>
    </row>
    <row r="77" spans="1:4">
      <c r="A77">
        <f>'Mass Balance'!I77</f>
        <v>5.0005716057997749E-8</v>
      </c>
      <c r="B77">
        <f>'Mass Balance'!E77</f>
        <v>4.0447342222052236E-6</v>
      </c>
      <c r="C77">
        <f>SUM('Mass Balance'!E77:H77)</f>
        <v>2.8436174447200825E-5</v>
      </c>
      <c r="D77">
        <f>Concentrations!F77/Concentrations!E77</f>
        <v>0.14279571719987916</v>
      </c>
    </row>
    <row r="78" spans="1:4">
      <c r="A78">
        <f>'Mass Balance'!I78</f>
        <v>1.6853009294598534E-8</v>
      </c>
      <c r="B78">
        <f>'Mass Balance'!E78</f>
        <v>2.0951755174945187E-5</v>
      </c>
      <c r="C78">
        <f>SUM('Mass Balance'!E78:H78)</f>
        <v>2.7344705355667596E-5</v>
      </c>
      <c r="D78">
        <f>Concentrations!F78/Concentrations!E78</f>
        <v>0.76920752608869414</v>
      </c>
    </row>
    <row r="79" spans="1:4">
      <c r="A79">
        <f>'Mass Balance'!I79</f>
        <v>2.7884964551633112E-8</v>
      </c>
      <c r="B79">
        <f>'Mass Balance'!E79</f>
        <v>1.4718177896209413E-5</v>
      </c>
      <c r="C79">
        <f>SUM('Mass Balance'!E79:H79)</f>
        <v>2.6457651007429721E-5</v>
      </c>
      <c r="D79">
        <f>Concentrations!F79/Concentrations!E79</f>
        <v>0.5584690716502958</v>
      </c>
    </row>
    <row r="80" spans="1:4">
      <c r="A80">
        <f>'Mass Balance'!I80</f>
        <v>3.1950011035128136E-8</v>
      </c>
      <c r="B80">
        <f>'Mass Balance'!E80</f>
        <v>1.1709301747099788E-7</v>
      </c>
      <c r="C80">
        <f>SUM('Mass Balance'!E80:H80)</f>
        <v>3.9963976784115631E-5</v>
      </c>
      <c r="D80">
        <f>Concentrations!F80/Concentrations!E80</f>
        <v>2.9414309795428046E-3</v>
      </c>
    </row>
    <row r="81" spans="1:4">
      <c r="A81">
        <f>'Mass Balance'!I81</f>
        <v>2.6947799919536089E-9</v>
      </c>
      <c r="B81">
        <f>'Mass Balance'!E81</f>
        <v>3.8787180033900677E-5</v>
      </c>
      <c r="C81">
        <f>SUM('Mass Balance'!E81:H81)</f>
        <v>3.883789275226575E-5</v>
      </c>
      <c r="D81">
        <f>Concentrations!F81/Concentrations!E81</f>
        <v>1.0026027931264743</v>
      </c>
    </row>
    <row r="82" spans="1:4">
      <c r="A82">
        <f>'Mass Balance'!I82</f>
        <v>9.1479026626207577E-9</v>
      </c>
      <c r="B82">
        <f>'Mass Balance'!E82</f>
        <v>2.8672591926305361E-5</v>
      </c>
      <c r="C82">
        <f>SUM('Mass Balance'!E82:H82)</f>
        <v>3.1492293004458216E-5</v>
      </c>
      <c r="D82">
        <f>Concentrations!F82/Concentrations!E82</f>
        <v>0.9140270164622144</v>
      </c>
    </row>
    <row r="83" spans="1:4">
      <c r="A83">
        <f>'Mass Balance'!I83</f>
        <v>4.8720925160014644E-8</v>
      </c>
      <c r="B83">
        <f>'Mass Balance'!E83</f>
        <v>5.0807902432812818E-6</v>
      </c>
      <c r="C83">
        <f>SUM('Mass Balance'!E83:H83)</f>
        <v>2.8433606688615361E-5</v>
      </c>
      <c r="D83">
        <f>Concentrations!F83/Concentrations!E83</f>
        <v>0.17938894525213356</v>
      </c>
    </row>
    <row r="84" spans="1:4">
      <c r="A84">
        <f>'Mass Balance'!I84</f>
        <v>3.0941738910943798E-9</v>
      </c>
      <c r="B84">
        <f>'Mass Balance'!E84</f>
        <v>3.729215535730449E-5</v>
      </c>
      <c r="C84">
        <f>SUM('Mass Balance'!E84:H84)</f>
        <v>3.7512301454305477E-5</v>
      </c>
      <c r="D84">
        <f>Concentrations!F84/Concentrations!E84</f>
        <v>0.99802205172041059</v>
      </c>
    </row>
    <row r="85" spans="1:4">
      <c r="A85">
        <f>'Mass Balance'!I85</f>
        <v>2.6108341890069962E-9</v>
      </c>
      <c r="B85">
        <f>'Mass Balance'!E85</f>
        <v>3.9504126768105419E-5</v>
      </c>
      <c r="C85">
        <f>SUM('Mass Balance'!E85:H85)</f>
        <v>3.9513792097930371E-5</v>
      </c>
      <c r="D85">
        <f>Concentrations!F85/Concentrations!E85</f>
        <v>1.0036680932087843</v>
      </c>
    </row>
    <row r="86" spans="1:4">
      <c r="A86">
        <f>'Mass Balance'!I86</f>
        <v>3.0698407516570356E-9</v>
      </c>
      <c r="B86">
        <f>'Mass Balance'!E86</f>
        <v>3.7361736528224081E-5</v>
      </c>
      <c r="C86">
        <f>SUM('Mass Balance'!E86:H86)</f>
        <v>3.7571733753475653E-5</v>
      </c>
      <c r="D86">
        <f>Concentrations!F86/Concentrations!E86</f>
        <v>0.9983025482944875</v>
      </c>
    </row>
    <row r="87" spans="1:4">
      <c r="A87">
        <f>'Mass Balance'!I87</f>
        <v>3.3996227079782029E-7</v>
      </c>
      <c r="B87">
        <f>'Mass Balance'!E87</f>
        <v>2.1033551187077051E-8</v>
      </c>
      <c r="C87">
        <f>SUM('Mass Balance'!E87:H87)</f>
        <v>3.6578392502765337E-5</v>
      </c>
      <c r="D87">
        <f>Concentrations!F87/Concentrations!E87</f>
        <v>5.7727712584221204E-4</v>
      </c>
    </row>
    <row r="88" spans="1:4">
      <c r="A88">
        <f>'Mass Balance'!I88</f>
        <v>1.4380835324582599E-8</v>
      </c>
      <c r="B88">
        <f>'Mass Balance'!E88</f>
        <v>2.4003498515202053E-5</v>
      </c>
      <c r="C88">
        <f>SUM('Mass Balance'!E88:H88)</f>
        <v>2.919196435062818E-5</v>
      </c>
      <c r="D88">
        <f>Concentrations!F88/Concentrations!E88</f>
        <v>0.82548196091787929</v>
      </c>
    </row>
    <row r="89" spans="1:4">
      <c r="A89">
        <f>'Mass Balance'!I89</f>
        <v>9.9536619741844565E-9</v>
      </c>
      <c r="B89">
        <f>'Mass Balance'!E89</f>
        <v>2.7879906327081837E-5</v>
      </c>
      <c r="C89">
        <f>SUM('Mass Balance'!E89:H89)</f>
        <v>3.1057792210218694E-5</v>
      </c>
      <c r="D89">
        <f>Concentrations!F89/Concentrations!E89</f>
        <v>0.90119151188221691</v>
      </c>
    </row>
    <row r="90" spans="1:4">
      <c r="A90">
        <f>'Mass Balance'!I90</f>
        <v>4.4271098257361837E-9</v>
      </c>
      <c r="B90">
        <f>'Mass Balance'!E90</f>
        <v>3.4536975689141645E-5</v>
      </c>
      <c r="C90">
        <f>SUM('Mass Balance'!E90:H90)</f>
        <v>3.5313975469861942E-5</v>
      </c>
      <c r="D90">
        <f>Concentrations!F90/Concentrations!E90</f>
        <v>0.98182493204176757</v>
      </c>
    </row>
    <row r="91" spans="1:4">
      <c r="A91">
        <f>'Mass Balance'!I91</f>
        <v>1.6584573383542748E-7</v>
      </c>
      <c r="B91">
        <f>'Mass Balance'!E91</f>
        <v>1.3537068543354849E-7</v>
      </c>
      <c r="C91">
        <f>SUM('Mass Balance'!E91:H91)</f>
        <v>3.5166114193000496E-5</v>
      </c>
      <c r="D91">
        <f>Concentrations!F91/Concentrations!E91</f>
        <v>3.8645293340741371E-3</v>
      </c>
    </row>
    <row r="92" spans="1:4">
      <c r="A92">
        <f>'Mass Balance'!I92</f>
        <v>4.3832711702977548E-8</v>
      </c>
      <c r="B92">
        <f>'Mass Balance'!E92</f>
        <v>7.0814870676878641E-6</v>
      </c>
      <c r="C92">
        <f>SUM('Mass Balance'!E92:H92)</f>
        <v>2.744625591937455E-5</v>
      </c>
      <c r="D92">
        <f>Concentrations!F92/Concentrations!E92</f>
        <v>0.25902263682185789</v>
      </c>
    </row>
    <row r="93" spans="1:4">
      <c r="A93">
        <f>'Mass Balance'!I93</f>
        <v>5.8584360851167612E-8</v>
      </c>
      <c r="B93">
        <f>'Mass Balance'!E93</f>
        <v>1.5587301348086802E-6</v>
      </c>
      <c r="C93">
        <f>SUM('Mass Balance'!E93:H93)</f>
        <v>3.2323605620322855E-5</v>
      </c>
      <c r="D93">
        <f>Concentrations!F93/Concentrations!E93</f>
        <v>4.8411383565722325E-2</v>
      </c>
    </row>
    <row r="94" spans="1:4">
      <c r="A94">
        <f>'Mass Balance'!I94</f>
        <v>2.6912649881817133E-9</v>
      </c>
      <c r="B94">
        <f>'Mass Balance'!E94</f>
        <v>3.5788311467140609E-5</v>
      </c>
      <c r="C94">
        <f>SUM('Mass Balance'!E94:H94)</f>
        <v>3.9990928834479513E-5</v>
      </c>
      <c r="D94">
        <f>Concentrations!F94/Concentrations!E94</f>
        <v>0.8984131074212871</v>
      </c>
    </row>
    <row r="95" spans="1:4">
      <c r="A95">
        <f>'Mass Balance'!I95</f>
        <v>8.3443669269528828E-8</v>
      </c>
      <c r="B95">
        <f>'Mass Balance'!E95</f>
        <v>3.1568922109416139E-7</v>
      </c>
      <c r="C95">
        <f>SUM('Mass Balance'!E95:H95)</f>
        <v>3.5310709260377805E-5</v>
      </c>
      <c r="D95">
        <f>Concentrations!F95/Concentrations!E95</f>
        <v>8.9753144885108549E-3</v>
      </c>
    </row>
    <row r="96" spans="1:4">
      <c r="A96">
        <f>'Mass Balance'!I96</f>
        <v>2.7032980605792208E-9</v>
      </c>
      <c r="B96">
        <f>'Mass Balance'!E96</f>
        <v>3.8738653393555258E-5</v>
      </c>
      <c r="C96">
        <f>SUM('Mass Balance'!E96:H96)</f>
        <v>3.879316418186774E-5</v>
      </c>
      <c r="D96">
        <f>Concentrations!F96/Concentrations!E96</f>
        <v>1.0025029928797253</v>
      </c>
    </row>
    <row r="97" spans="1:4">
      <c r="A97">
        <f>'Mass Balance'!I97</f>
        <v>3.1067735716682587E-9</v>
      </c>
      <c r="B97">
        <f>'Mass Balance'!E97</f>
        <v>3.7256690943479538E-5</v>
      </c>
      <c r="C97">
        <f>SUM('Mass Balance'!E97:H97)</f>
        <v>3.7482089800237028E-5</v>
      </c>
      <c r="D97">
        <f>Concentrations!F97/Concentrations!E97</f>
        <v>0.99787661392795624</v>
      </c>
    </row>
    <row r="98" spans="1:4">
      <c r="A98">
        <f>'Mass Balance'!I98</f>
        <v>6.0810213002987411E-8</v>
      </c>
      <c r="B98">
        <f>'Mass Balance'!E98</f>
        <v>7.3491464096671818E-7</v>
      </c>
      <c r="C98">
        <f>SUM('Mass Balance'!E98:H98)</f>
        <v>3.4350800393257892E-5</v>
      </c>
      <c r="D98">
        <f>Concentrations!F98/Concentrations!E98</f>
        <v>2.1478126749584533E-2</v>
      </c>
    </row>
    <row r="99" spans="1:4">
      <c r="A99">
        <f>'Mass Balance'!I99</f>
        <v>2.6043581808067191E-9</v>
      </c>
      <c r="B99">
        <f>'Mass Balance'!E99</f>
        <v>3.9657697166220814E-5</v>
      </c>
      <c r="C99">
        <f>SUM('Mass Balance'!E99:H99)</f>
        <v>3.9662533321245213E-5</v>
      </c>
      <c r="D99">
        <f>Concentrations!F99/Concentrations!E99</f>
        <v>1.0037912472179731</v>
      </c>
    </row>
    <row r="100" spans="1:4">
      <c r="A100">
        <f>'Mass Balance'!I100</f>
        <v>2.5417814473046189E-8</v>
      </c>
      <c r="B100">
        <f>'Mass Balance'!E100</f>
        <v>1.6405246935078057E-5</v>
      </c>
      <c r="C100">
        <f>SUM('Mass Balance'!E100:H100)</f>
        <v>2.6887207622493154E-5</v>
      </c>
      <c r="D100">
        <f>Concentrations!F100/Concentrations!E100</f>
        <v>0.6125385601891854</v>
      </c>
    </row>
    <row r="101" spans="1:4">
      <c r="A101">
        <f>'Mass Balance'!I101</f>
        <v>2.6159891398826674E-9</v>
      </c>
      <c r="B101">
        <f>'Mass Balance'!E101</f>
        <v>3.9423959382968365E-5</v>
      </c>
      <c r="C101">
        <f>SUM('Mass Balance'!E101:H101)</f>
        <v>3.9436736368217358E-5</v>
      </c>
      <c r="D101">
        <f>Concentrations!F101/Concentrations!E101</f>
        <v>1.0035884021450032</v>
      </c>
    </row>
    <row r="102" spans="1:4">
      <c r="A102">
        <f>'Mass Balance'!I102</f>
        <v>2.6032985664534469E-9</v>
      </c>
      <c r="B102">
        <f>'Mass Balance'!E102</f>
        <v>3.9854047634252738E-5</v>
      </c>
      <c r="C102">
        <f>SUM('Mass Balance'!E102:H102)</f>
        <v>3.9855018928384302E-5</v>
      </c>
      <c r="D102">
        <f>Concentrations!F102/Concentrations!E102</f>
        <v>1.0038891909364551</v>
      </c>
    </row>
    <row r="103" spans="1:4">
      <c r="A103">
        <f>'Mass Balance'!I103</f>
        <v>2.6040770235832963E-9</v>
      </c>
      <c r="B103">
        <f>'Mass Balance'!E103</f>
        <v>3.9668634481883801E-5</v>
      </c>
      <c r="C103">
        <f>SUM('Mass Balance'!E103:H103)</f>
        <v>3.9673185471303691E-5</v>
      </c>
      <c r="D103">
        <f>Concentrations!F103/Concentrations!E103</f>
        <v>1.0037984960831405</v>
      </c>
    </row>
    <row r="104" spans="1:4">
      <c r="A104">
        <f>'Mass Balance'!I104</f>
        <v>2.8557986260661936E-9</v>
      </c>
      <c r="B104">
        <f>'Mass Balance'!E104</f>
        <v>3.8058238832605765E-5</v>
      </c>
      <c r="C104">
        <f>SUM('Mass Balance'!E104:H104)</f>
        <v>3.8178455054907472E-5</v>
      </c>
      <c r="D104">
        <f>Concentrations!F104/Concentrations!E104</f>
        <v>1.0007525362272784</v>
      </c>
    </row>
    <row r="105" spans="1:4">
      <c r="A105">
        <f>'Mass Balance'!I105</f>
        <v>2.6028943977146725E-9</v>
      </c>
      <c r="B105">
        <f>'Mass Balance'!E105</f>
        <v>3.9825278632268407E-5</v>
      </c>
      <c r="C105">
        <f>SUM('Mass Balance'!E105:H105)</f>
        <v>3.982664401101486E-5</v>
      </c>
      <c r="D105">
        <f>Concentrations!F105/Concentrations!E105</f>
        <v>1.0038792397804066</v>
      </c>
    </row>
    <row r="106" spans="1:4">
      <c r="A106">
        <f>'Mass Balance'!I106</f>
        <v>5.4558194094596008E-9</v>
      </c>
      <c r="B106">
        <f>'Mass Balance'!E106</f>
        <v>3.2979917706259404E-5</v>
      </c>
      <c r="C106">
        <f>SUM('Mass Balance'!E106:H106)</f>
        <v>3.419278943746163E-5</v>
      </c>
      <c r="D106">
        <f>Concentrations!F106/Concentrations!E106</f>
        <v>0.96830326910358977</v>
      </c>
    </row>
    <row r="107" spans="1:4">
      <c r="A107">
        <f>'Mass Balance'!I107</f>
        <v>6.1145694496769324E-8</v>
      </c>
      <c r="B107">
        <f>'Mass Balance'!E107</f>
        <v>5.464030606569784E-7</v>
      </c>
      <c r="C107">
        <f>SUM('Mass Balance'!E107:H107)</f>
        <v>3.5016839864008816E-5</v>
      </c>
      <c r="D107">
        <f>Concentrations!F107/Concentrations!E107</f>
        <v>1.5665077058658026E-2</v>
      </c>
    </row>
    <row r="108" spans="1:4">
      <c r="A108">
        <f>'Mass Balance'!I108</f>
        <v>2.1473594416846742E-8</v>
      </c>
      <c r="B108">
        <f>'Mass Balance'!E108</f>
        <v>1.8882450995226194E-5</v>
      </c>
      <c r="C108">
        <f>SUM('Mass Balance'!E108:H108)</f>
        <v>2.7427243261560025E-5</v>
      </c>
      <c r="D108">
        <f>Concentrations!F108/Concentrations!E108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0.77374043937709081</v>
      </c>
      <c r="M2" s="115">
        <v>2.4033737639051416</v>
      </c>
      <c r="N2" s="115">
        <v>52.94523603595993</v>
      </c>
      <c r="O2" s="115">
        <v>1.129870152011982</v>
      </c>
      <c r="P2" s="115">
        <v>1.1596733263863204</v>
      </c>
      <c r="Q2" s="111">
        <v>1.129870152011982</v>
      </c>
      <c r="R2" s="68">
        <v>1.1596733263863204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6.5974020287823387E-4</v>
      </c>
      <c r="M3" s="115">
        <v>109.49759753489128</v>
      </c>
      <c r="N3" s="115">
        <v>3639.9266474919373</v>
      </c>
      <c r="O3" s="115">
        <v>21.952662602016503</v>
      </c>
      <c r="P3" s="115">
        <v>9.4034573312357761</v>
      </c>
      <c r="Q3" s="111">
        <v>21.952662602016506</v>
      </c>
      <c r="R3" s="68">
        <v>9.4034573312357761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0.35439665522694691</v>
      </c>
      <c r="M4" s="115">
        <v>9.9742834919447105</v>
      </c>
      <c r="N4" s="115">
        <v>302.97853333933813</v>
      </c>
      <c r="O4" s="115">
        <v>3.2655115938671457</v>
      </c>
      <c r="P4" s="115">
        <v>3.0591212744007468</v>
      </c>
      <c r="Q4" s="111">
        <v>3.2655115938671457</v>
      </c>
      <c r="R4" s="68">
        <v>3.0591212744007468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6.9458443759843691E-3</v>
      </c>
      <c r="M5" s="115">
        <v>32.177041035792371</v>
      </c>
      <c r="N5" s="115">
        <v>1044.3839639890373</v>
      </c>
      <c r="O5" s="115">
        <v>9.1990371960350927</v>
      </c>
      <c r="P5" s="115">
        <v>7.7566985106447568</v>
      </c>
      <c r="Q5" s="111">
        <v>9.1990371960350945</v>
      </c>
      <c r="R5" s="68">
        <v>7.7566985106447568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2.9726060275145073E-4</v>
      </c>
      <c r="M6" s="115">
        <v>127.93602388505501</v>
      </c>
      <c r="N6" s="115">
        <v>4279.5909895364357</v>
      </c>
      <c r="O6" s="115">
        <v>25.076661823599832</v>
      </c>
      <c r="P6" s="115">
        <v>9.9336125847934049</v>
      </c>
      <c r="Q6" s="111">
        <v>25.076661823599835</v>
      </c>
      <c r="R6" s="68">
        <v>9.9336125847934049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5.912076008410122E-4</v>
      </c>
      <c r="M7" s="115">
        <v>112.80558644469971</v>
      </c>
      <c r="N7" s="115">
        <v>3753.3367545198375</v>
      </c>
      <c r="O7" s="115">
        <v>22.521469003256922</v>
      </c>
      <c r="P7" s="115">
        <v>9.5144701924823725</v>
      </c>
      <c r="Q7" s="111">
        <v>22.521469003256925</v>
      </c>
      <c r="R7" s="68">
        <v>9.5144701924823725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1.3086398977222285E-3</v>
      </c>
      <c r="M8" s="115">
        <v>89.808486998987803</v>
      </c>
      <c r="N8" s="115">
        <v>2968.0656240637873</v>
      </c>
      <c r="O8" s="115">
        <v>18.672481141564813</v>
      </c>
      <c r="P8" s="115">
        <v>8.9317439954062028</v>
      </c>
      <c r="Q8" s="111">
        <v>18.672481141564813</v>
      </c>
      <c r="R8" s="68">
        <v>8.9317439954062028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5.955657515075017E-2</v>
      </c>
      <c r="M9" s="115">
        <v>19.110818132926397</v>
      </c>
      <c r="N9" s="115">
        <v>607.73087754647099</v>
      </c>
      <c r="O9" s="115">
        <v>6.3855357149044307</v>
      </c>
      <c r="P9" s="115">
        <v>6.2683530664056537</v>
      </c>
      <c r="Q9" s="111">
        <v>6.3855357149044307</v>
      </c>
      <c r="R9" s="68">
        <v>6.2683530664056537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6.4603852806052256E-3</v>
      </c>
      <c r="M10" s="115">
        <v>34.405128627458637</v>
      </c>
      <c r="N10" s="115">
        <v>1117.7672391862188</v>
      </c>
      <c r="O10" s="115">
        <v>9.5599951099671472</v>
      </c>
      <c r="P10" s="115">
        <v>7.7931869027548588</v>
      </c>
      <c r="Q10" s="111">
        <v>9.559995109967149</v>
      </c>
      <c r="R10" s="68">
        <v>7.7931869027548597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5.7078063537604144E-3</v>
      </c>
      <c r="M11" s="115">
        <v>38.348080879641628</v>
      </c>
      <c r="N11" s="115">
        <v>1247.8389979018866</v>
      </c>
      <c r="O11" s="115">
        <v>10.199159612868602</v>
      </c>
      <c r="P11" s="115">
        <v>7.8583165731278113</v>
      </c>
      <c r="Q11" s="111">
        <v>10.199159612868602</v>
      </c>
      <c r="R11" s="68">
        <v>7.8583165731278122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3.8229727869417814E-2</v>
      </c>
      <c r="M12" s="115">
        <v>19.962505740913667</v>
      </c>
      <c r="N12" s="115">
        <v>637.57754423327231</v>
      </c>
      <c r="O12" s="115">
        <v>6.7659030213834237</v>
      </c>
      <c r="P12" s="115">
        <v>6.7270543053206939</v>
      </c>
      <c r="Q12" s="111">
        <v>6.7659030213834237</v>
      </c>
      <c r="R12" s="68">
        <v>6.7270543053206948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5.7141123819270681E-2</v>
      </c>
      <c r="M13" s="115">
        <v>19.205575259595729</v>
      </c>
      <c r="N13" s="115">
        <v>611.01149549759077</v>
      </c>
      <c r="O13" s="115">
        <v>6.4255299596024242</v>
      </c>
      <c r="P13" s="115">
        <v>6.3152101403105476</v>
      </c>
      <c r="Q13" s="111">
        <v>6.4255299596024251</v>
      </c>
      <c r="R13" s="68">
        <v>6.3152101403105476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3.7941840514339811E-3</v>
      </c>
      <c r="M14" s="115">
        <v>52.388142615964448</v>
      </c>
      <c r="N14" s="115">
        <v>1712.9966881892963</v>
      </c>
      <c r="O14" s="115">
        <v>12.489900099584647</v>
      </c>
      <c r="P14" s="115">
        <v>8.1156659816466483</v>
      </c>
      <c r="Q14" s="111">
        <v>12.489900099584649</v>
      </c>
      <c r="R14" s="68">
        <v>8.1156659816466501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6.0754392689839924E-3</v>
      </c>
      <c r="M15" s="115">
        <v>36.340991300056025</v>
      </c>
      <c r="N15" s="115">
        <v>1181.5954847057305</v>
      </c>
      <c r="O15" s="115">
        <v>9.873726890524436</v>
      </c>
      <c r="P15" s="115">
        <v>7.8250469503143814</v>
      </c>
      <c r="Q15" s="111">
        <v>9.873726890524436</v>
      </c>
      <c r="R15" s="68">
        <v>7.8250469503143814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1.3536057869195112E-3</v>
      </c>
      <c r="M16" s="115">
        <v>88.675511311582923</v>
      </c>
      <c r="N16" s="115">
        <v>2929.7209915183457</v>
      </c>
      <c r="O16" s="115">
        <v>18.482873380551869</v>
      </c>
      <c r="P16" s="115">
        <v>8.9028632598600179</v>
      </c>
      <c r="Q16" s="111">
        <v>18.482873380551869</v>
      </c>
      <c r="R16" s="68">
        <v>8.9028632598600179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6.7813645655478176E-3</v>
      </c>
      <c r="M17" s="115">
        <v>32.909341763990994</v>
      </c>
      <c r="N17" s="115">
        <v>1068.4925750661446</v>
      </c>
      <c r="O17" s="115">
        <v>9.3178004976614233</v>
      </c>
      <c r="P17" s="115">
        <v>7.7689305396777106</v>
      </c>
      <c r="Q17" s="111">
        <v>9.3178004976614233</v>
      </c>
      <c r="R17" s="68">
        <v>7.7689305396777115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7.1340788004104927E-2</v>
      </c>
      <c r="M18" s="115">
        <v>18.584087773592024</v>
      </c>
      <c r="N18" s="115">
        <v>589.77191302187509</v>
      </c>
      <c r="O18" s="115">
        <v>6.1745480269341133</v>
      </c>
      <c r="P18" s="115">
        <v>6.0287633498527242</v>
      </c>
      <c r="Q18" s="111">
        <v>6.1745480269341142</v>
      </c>
      <c r="R18" s="68">
        <v>6.0287633498527242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6.0005998525009922E-3</v>
      </c>
      <c r="M19" s="115">
        <v>36.737088939270102</v>
      </c>
      <c r="N19" s="115">
        <v>1194.6630800643732</v>
      </c>
      <c r="O19" s="115">
        <v>9.9379748286680361</v>
      </c>
      <c r="P19" s="115">
        <v>7.8316601490788296</v>
      </c>
      <c r="Q19" s="111">
        <v>9.9379748286680361</v>
      </c>
      <c r="R19" s="68">
        <v>7.8316601490788296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5.714878600841726E-2</v>
      </c>
      <c r="M20" s="115">
        <v>19.208150580843757</v>
      </c>
      <c r="N20" s="115">
        <v>611.09342748170866</v>
      </c>
      <c r="O20" s="115">
        <v>6.4263915741914763</v>
      </c>
      <c r="P20" s="115">
        <v>6.3160569618527438</v>
      </c>
      <c r="Q20" s="111">
        <v>6.4263915741914763</v>
      </c>
      <c r="R20" s="68">
        <v>6.3160569618527447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4.28755084433726E-3</v>
      </c>
      <c r="M21" s="115">
        <v>48.028248657682369</v>
      </c>
      <c r="N21" s="115">
        <v>1568.2332384238521</v>
      </c>
      <c r="O21" s="115">
        <v>11.77497980649218</v>
      </c>
      <c r="P21" s="115">
        <v>8.029493071642916</v>
      </c>
      <c r="Q21" s="111">
        <v>11.77497980649218</v>
      </c>
      <c r="R21" s="68">
        <v>8.029493071642916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0.56288340780709656</v>
      </c>
      <c r="M22" s="115">
        <v>5.5299248284929865</v>
      </c>
      <c r="N22" s="115">
        <v>156.60512472323822</v>
      </c>
      <c r="O22" s="115">
        <v>1.962891545516221</v>
      </c>
      <c r="P22" s="115">
        <v>1.8668167161635703</v>
      </c>
      <c r="Q22" s="111">
        <v>1.962891545516221</v>
      </c>
      <c r="R22" s="68">
        <v>1.8668167161635703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0.71108896933355947</v>
      </c>
      <c r="M23" s="115">
        <v>3.1999262144521796</v>
      </c>
      <c r="N23" s="115">
        <v>79.490837458158339</v>
      </c>
      <c r="O23" s="115">
        <v>1.3323473315590677</v>
      </c>
      <c r="P23" s="115">
        <v>1.3248676710336926</v>
      </c>
      <c r="Q23" s="111">
        <v>1.3323473315590677</v>
      </c>
      <c r="R23" s="68">
        <v>1.3248676710336926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0.17446777563282959</v>
      </c>
      <c r="M24" s="115">
        <v>15.002047834279082</v>
      </c>
      <c r="N24" s="115">
        <v>469.26007420683754</v>
      </c>
      <c r="O24" s="115">
        <v>4.8751190259726203</v>
      </c>
      <c r="P24" s="115">
        <v>4.6368627822735702</v>
      </c>
      <c r="Q24" s="111">
        <v>4.8751190259726203</v>
      </c>
      <c r="R24" s="68">
        <v>4.6368627822735711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2.0804246036898174E-2</v>
      </c>
      <c r="M25" s="115">
        <v>20.328482304339854</v>
      </c>
      <c r="N25" s="115">
        <v>652.51797859247904</v>
      </c>
      <c r="O25" s="115">
        <v>7.0286551216351878</v>
      </c>
      <c r="P25" s="115">
        <v>7.1054484522448877</v>
      </c>
      <c r="Q25" s="111">
        <v>7.0286551216351878</v>
      </c>
      <c r="R25" s="68">
        <v>7.1054484522448877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4.6444040425558161E-3</v>
      </c>
      <c r="M26" s="115">
        <v>45.255053662679337</v>
      </c>
      <c r="N26" s="115">
        <v>1476.2962955974988</v>
      </c>
      <c r="O26" s="115">
        <v>11.322491075487649</v>
      </c>
      <c r="P26" s="115">
        <v>7.9786634272060644</v>
      </c>
      <c r="Q26" s="111">
        <v>11.322491075487649</v>
      </c>
      <c r="R26" s="68">
        <v>7.9786634272060653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7.2503981304495831E-4</v>
      </c>
      <c r="M27" s="115">
        <v>107.13413620991007</v>
      </c>
      <c r="N27" s="115">
        <v>3558.6340995638743</v>
      </c>
      <c r="O27" s="115">
        <v>21.559861449903025</v>
      </c>
      <c r="P27" s="115">
        <v>9.3489304599093472</v>
      </c>
      <c r="Q27" s="111">
        <v>21.559861449903028</v>
      </c>
      <c r="R27" s="68">
        <v>9.348930459909349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2.5695481779293532E-3</v>
      </c>
      <c r="M28" s="115">
        <v>66.44491386001593</v>
      </c>
      <c r="N28" s="115">
        <v>2181.7510222628348</v>
      </c>
      <c r="O28" s="115">
        <v>14.800296037645085</v>
      </c>
      <c r="P28" s="115">
        <v>8.402024607593173</v>
      </c>
      <c r="Q28" s="111">
        <v>14.800296037645086</v>
      </c>
      <c r="R28" s="68">
        <v>8.402024607593173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3.8463225643756154E-3</v>
      </c>
      <c r="M29" s="115">
        <v>49.531833159681305</v>
      </c>
      <c r="N29" s="115">
        <v>1618.8436721410187</v>
      </c>
      <c r="O29" s="115">
        <v>11.915626766496992</v>
      </c>
      <c r="P29" s="115">
        <v>7.8669411068096435</v>
      </c>
      <c r="Q29" s="111">
        <v>11.915626766496993</v>
      </c>
      <c r="R29" s="68">
        <v>7.8669411068096444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2.5695481779293532E-3</v>
      </c>
      <c r="M30" s="115">
        <v>66.44491386001593</v>
      </c>
      <c r="N30" s="115">
        <v>2181.7510222628348</v>
      </c>
      <c r="O30" s="115">
        <v>14.800296037645085</v>
      </c>
      <c r="P30" s="115">
        <v>8.402024607593173</v>
      </c>
      <c r="Q30" s="111">
        <v>14.800296037645086</v>
      </c>
      <c r="R30" s="68">
        <v>8.402024607593173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0.97307881561651122</v>
      </c>
      <c r="M31" s="115">
        <v>0.90388710727183386</v>
      </c>
      <c r="N31" s="115">
        <v>1.1402566137062642</v>
      </c>
      <c r="O31" s="115">
        <v>0.81362955249218971</v>
      </c>
      <c r="P31" s="115">
        <v>0.94168168115821427</v>
      </c>
      <c r="Q31" s="111">
        <v>0.81362955249218971</v>
      </c>
      <c r="R31" s="68">
        <v>0.94168168115821427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0.43870919787278112</v>
      </c>
      <c r="M32" s="115">
        <v>8.2016160281918147</v>
      </c>
      <c r="N32" s="115">
        <v>242.96089107997653</v>
      </c>
      <c r="O32" s="115">
        <v>2.4878607268973947</v>
      </c>
      <c r="P32" s="115">
        <v>2.2852611935996308</v>
      </c>
      <c r="Q32" s="111">
        <v>2.4878607268973947</v>
      </c>
      <c r="R32" s="68">
        <v>2.2852611935996308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0.99288065936988756</v>
      </c>
      <c r="M33" s="115">
        <v>0.88967884349870896</v>
      </c>
      <c r="N33" s="115">
        <v>0.59132284983831507</v>
      </c>
      <c r="O33" s="115">
        <v>0.84219823985592768</v>
      </c>
      <c r="P33" s="115">
        <v>0.99006785499953498</v>
      </c>
      <c r="Q33" s="111">
        <v>0.84219823985592768</v>
      </c>
      <c r="R33" s="68">
        <v>0.99006785499953498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0.55023318079444217</v>
      </c>
      <c r="M34" s="115">
        <v>0.94442743096028114</v>
      </c>
      <c r="N34" s="115">
        <v>45.018631829118988</v>
      </c>
      <c r="O34" s="115">
        <v>2.6271627753642672</v>
      </c>
      <c r="P34" s="115">
        <v>4.2949294915684701</v>
      </c>
      <c r="Q34" s="111">
        <v>2.6271627753642672</v>
      </c>
      <c r="R34" s="68">
        <v>4.2949294915684701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0.32679775295929647</v>
      </c>
      <c r="M35" s="115">
        <v>0.94508636733518903</v>
      </c>
      <c r="N35" s="115">
        <v>63.704186242702342</v>
      </c>
      <c r="O35" s="115">
        <v>3.5075937997782094</v>
      </c>
      <c r="P35" s="115">
        <v>5.9370134417698708</v>
      </c>
      <c r="Q35" s="111">
        <v>3.5075937997782098</v>
      </c>
      <c r="R35" s="68">
        <v>5.9370134417698708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0.10933295240473202</v>
      </c>
      <c r="M36" s="115">
        <v>0.90539612453014795</v>
      </c>
      <c r="N36" s="115">
        <v>77.409676681529746</v>
      </c>
      <c r="O36" s="115">
        <v>4.3487143562815653</v>
      </c>
      <c r="P36" s="115">
        <v>7.5222796868434001</v>
      </c>
      <c r="Q36" s="111">
        <v>4.3487143562815653</v>
      </c>
      <c r="R36" s="68">
        <v>7.5222796868434001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0.2087953171817335</v>
      </c>
      <c r="M37" s="115">
        <v>4.5689823575868926</v>
      </c>
      <c r="N37" s="115">
        <v>174.93745958736312</v>
      </c>
      <c r="O37" s="115">
        <v>4.1003536156867328</v>
      </c>
      <c r="P37" s="115">
        <v>6.1260497604411501</v>
      </c>
      <c r="Q37" s="111">
        <v>4.1003536156867328</v>
      </c>
      <c r="R37" s="68">
        <v>6.1260497604411501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0.61547469399679389</v>
      </c>
      <c r="M38" s="115">
        <v>0.98639231704130148</v>
      </c>
      <c r="N38" s="115">
        <v>40.310906385633871</v>
      </c>
      <c r="O38" s="115">
        <v>2.3650885425327344</v>
      </c>
      <c r="P38" s="115">
        <v>3.7964528263207207</v>
      </c>
      <c r="Q38" s="111">
        <v>2.3650885425327344</v>
      </c>
      <c r="R38" s="68">
        <v>3.7964528263207211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1.037308268821031E-2</v>
      </c>
      <c r="M39" s="115">
        <v>21.310922777005853</v>
      </c>
      <c r="N39" s="115">
        <v>687.79014119897681</v>
      </c>
      <c r="O39" s="115">
        <v>7.4523456245770889</v>
      </c>
      <c r="P39" s="115">
        <v>7.6024297954383249</v>
      </c>
      <c r="Q39" s="111">
        <v>7.4523456245770898</v>
      </c>
      <c r="R39" s="68">
        <v>7.6024297954383249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1.0248374484104479E-3</v>
      </c>
      <c r="M40" s="115">
        <v>64.396505588942219</v>
      </c>
      <c r="N40" s="115">
        <v>5650.5582532779945</v>
      </c>
      <c r="O40" s="115">
        <v>19.943972953807062</v>
      </c>
      <c r="P40" s="115">
        <v>13.078134309037395</v>
      </c>
      <c r="Q40" s="111">
        <v>19.943972953807066</v>
      </c>
      <c r="R40" s="68">
        <v>13.078134309037395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0.91086718012773016</v>
      </c>
      <c r="M41" s="115">
        <v>0.81285241624641169</v>
      </c>
      <c r="N41" s="115">
        <v>6.444552539835055E-2</v>
      </c>
      <c r="O41" s="115">
        <v>0.75301446546232176</v>
      </c>
      <c r="P41" s="115">
        <v>0.87500728155556395</v>
      </c>
      <c r="Q41" s="111">
        <v>0.75301446546232187</v>
      </c>
      <c r="R41" s="68">
        <v>0.87500728155556406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0.52556718361727239</v>
      </c>
      <c r="M42" s="115">
        <v>6.2554772262530092</v>
      </c>
      <c r="N42" s="115">
        <v>180.475493605227</v>
      </c>
      <c r="O42" s="115">
        <v>2.1685617177363241</v>
      </c>
      <c r="P42" s="115">
        <v>2.0498280153914359</v>
      </c>
      <c r="Q42" s="111">
        <v>2.1685617177363241</v>
      </c>
      <c r="R42" s="68">
        <v>2.0498280153914359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8.9256279865738766E-3</v>
      </c>
      <c r="M43" s="115">
        <v>1.7612855277442152</v>
      </c>
      <c r="N43" s="115">
        <v>164.60450213366715</v>
      </c>
      <c r="O43" s="115">
        <v>4.9533646601981838</v>
      </c>
      <c r="P43" s="115">
        <v>8.3252221607942118</v>
      </c>
      <c r="Q43" s="111">
        <v>4.9533646601981838</v>
      </c>
      <c r="R43" s="68">
        <v>8.3252221607942118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0.76206583858493093</v>
      </c>
      <c r="M44" s="115">
        <v>1.6230145063905523</v>
      </c>
      <c r="N44" s="115">
        <v>29.074643403916816</v>
      </c>
      <c r="O44" s="115">
        <v>0.89545282724966713</v>
      </c>
      <c r="P44" s="115">
        <v>0.95355654873294615</v>
      </c>
      <c r="Q44" s="111">
        <v>0.89545282724966713</v>
      </c>
      <c r="R44" s="68">
        <v>0.95355654873294626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0.49027559198855053</v>
      </c>
      <c r="M45" s="115">
        <v>6.9383729249318797</v>
      </c>
      <c r="N45" s="115">
        <v>202.99325284205852</v>
      </c>
      <c r="O45" s="115">
        <v>2.3640501652669754</v>
      </c>
      <c r="P45" s="115">
        <v>2.2255598032890305</v>
      </c>
      <c r="Q45" s="111">
        <v>2.3640501652669754</v>
      </c>
      <c r="R45" s="68">
        <v>2.2255598032890309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0.51149905489039571</v>
      </c>
      <c r="M46" s="115">
        <v>6.4946879132899982</v>
      </c>
      <c r="N46" s="115">
        <v>188.40984775936209</v>
      </c>
      <c r="O46" s="115">
        <v>2.2360526409594557</v>
      </c>
      <c r="P46" s="115">
        <v>2.1100921801161898</v>
      </c>
      <c r="Q46" s="111">
        <v>2.2360526409594557</v>
      </c>
      <c r="R46" s="68">
        <v>2.1100921801161898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6.6212746512060304E-4</v>
      </c>
      <c r="M47" s="115">
        <v>109.89381331662595</v>
      </c>
      <c r="N47" s="115">
        <v>3653.0976796840664</v>
      </c>
      <c r="O47" s="115">
        <v>22.032098056034055</v>
      </c>
      <c r="P47" s="115">
        <v>9.4374836320988322</v>
      </c>
      <c r="Q47" s="111">
        <v>22.032098056034055</v>
      </c>
      <c r="R47" s="68">
        <v>9.4374836320988322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0.90184990496779016</v>
      </c>
      <c r="M48" s="115">
        <v>1.1366592793436943</v>
      </c>
      <c r="N48" s="115">
        <v>10.208586468861915</v>
      </c>
      <c r="O48" s="115">
        <v>0.83594121534729193</v>
      </c>
      <c r="P48" s="115">
        <v>0.93898705454943265</v>
      </c>
      <c r="Q48" s="111">
        <v>0.83594121534729204</v>
      </c>
      <c r="R48" s="68">
        <v>0.93898705454943276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0.86120699271949763</v>
      </c>
      <c r="M49" s="115">
        <v>1.3366358649590464</v>
      </c>
      <c r="N49" s="115">
        <v>17.484375574254795</v>
      </c>
      <c r="O49" s="115">
        <v>0.86911499411974291</v>
      </c>
      <c r="P49" s="115">
        <v>0.955904506935215</v>
      </c>
      <c r="Q49" s="111">
        <v>0.86911499411974302</v>
      </c>
      <c r="R49" s="68">
        <v>0.95590450693521511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7.5497323071527261E-2</v>
      </c>
      <c r="M50" s="115">
        <v>18.347067681395906</v>
      </c>
      <c r="N50" s="115">
        <v>581.83432449979614</v>
      </c>
      <c r="O50" s="115">
        <v>6.0847837109923493</v>
      </c>
      <c r="P50" s="115">
        <v>5.9306015718266902</v>
      </c>
      <c r="Q50" s="111">
        <v>6.0847837109923493</v>
      </c>
      <c r="R50" s="68">
        <v>5.9306015718266911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0.90108285418103995</v>
      </c>
      <c r="M51" s="115">
        <v>0.86317163195553914</v>
      </c>
      <c r="N51" s="115">
        <v>1.8509607743712773</v>
      </c>
      <c r="O51" s="115">
        <v>0.76037174830738807</v>
      </c>
      <c r="P51" s="115">
        <v>0.87741228086790934</v>
      </c>
      <c r="Q51" s="111">
        <v>0.76037174830738818</v>
      </c>
      <c r="R51" s="68">
        <v>0.87741228086790934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0.72296034987732949</v>
      </c>
      <c r="M52" s="115">
        <v>2.2088439678847207</v>
      </c>
      <c r="N52" s="115">
        <v>48.327761624336695</v>
      </c>
      <c r="O52" s="115">
        <v>1.044889903806937</v>
      </c>
      <c r="P52" s="115">
        <v>1.0740988605745667</v>
      </c>
      <c r="Q52" s="111">
        <v>1.0448899038069372</v>
      </c>
      <c r="R52" s="68">
        <v>1.0740988605745667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0.37950940381209164</v>
      </c>
      <c r="M53" s="115">
        <v>9.335048979190681</v>
      </c>
      <c r="N53" s="115">
        <v>281.96607543528194</v>
      </c>
      <c r="O53" s="115">
        <v>3.0711575036618015</v>
      </c>
      <c r="P53" s="115">
        <v>2.8764205306537605</v>
      </c>
      <c r="Q53" s="111">
        <v>3.0711575036618015</v>
      </c>
      <c r="R53" s="68">
        <v>2.8764205306537605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9.2155042585115538E-4</v>
      </c>
      <c r="M54" s="115">
        <v>100.66425278123407</v>
      </c>
      <c r="N54" s="115">
        <v>3337.0695629399652</v>
      </c>
      <c r="O54" s="115">
        <v>20.484287678991635</v>
      </c>
      <c r="P54" s="115">
        <v>9.1985589982671705</v>
      </c>
      <c r="Q54" s="111">
        <v>20.484287678991635</v>
      </c>
      <c r="R54" s="68">
        <v>9.1985589982671705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0.13659829929596673</v>
      </c>
      <c r="M55" s="115">
        <v>13.484804016554936</v>
      </c>
      <c r="N55" s="115">
        <v>422.76460865285998</v>
      </c>
      <c r="O55" s="115">
        <v>4.3897145588123152</v>
      </c>
      <c r="P55" s="115">
        <v>4.1873901569551011</v>
      </c>
      <c r="Q55" s="111">
        <v>4.3897145588123152</v>
      </c>
      <c r="R55" s="68">
        <v>4.1873901569551011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1.6154861925957973E-2</v>
      </c>
      <c r="M56" s="115">
        <v>7.8685505344945197</v>
      </c>
      <c r="N56" s="115">
        <v>251.16342016102266</v>
      </c>
      <c r="O56" s="115">
        <v>2.6612577881984771</v>
      </c>
      <c r="P56" s="115">
        <v>2.641121187331589</v>
      </c>
      <c r="Q56" s="111">
        <v>2.6612577881984771</v>
      </c>
      <c r="R56" s="68">
        <v>2.641121187331589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2.9191947245542367E-2</v>
      </c>
      <c r="M57" s="115">
        <v>3.888941155093478</v>
      </c>
      <c r="N57" s="115">
        <v>122.45786283878138</v>
      </c>
      <c r="O57" s="115">
        <v>1.2722946257996746</v>
      </c>
      <c r="P57" s="115">
        <v>1.2218938440183225</v>
      </c>
      <c r="Q57" s="111">
        <v>1.2722946257996748</v>
      </c>
      <c r="R57" s="68">
        <v>1.2218938440183225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5.9135367734874739E-2</v>
      </c>
      <c r="M58" s="115">
        <v>0.10202095334381996</v>
      </c>
      <c r="N58" s="115">
        <v>1.5165758263131977</v>
      </c>
      <c r="O58" s="115">
        <v>6.2598778777501848E-2</v>
      </c>
      <c r="P58" s="115">
        <v>6.810892892301075E-2</v>
      </c>
      <c r="Q58" s="111">
        <v>6.2598778777501848E-2</v>
      </c>
      <c r="R58" s="68">
        <v>6.8108928923010764E-2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1.2008292208081046E-2</v>
      </c>
      <c r="M59" s="115">
        <v>1.492739622448308</v>
      </c>
      <c r="N59" s="115">
        <v>46.959879064735688</v>
      </c>
      <c r="O59" s="115">
        <v>0.48773503189613693</v>
      </c>
      <c r="P59" s="115">
        <v>0.46766136267498876</v>
      </c>
      <c r="Q59" s="111">
        <v>0.48773503189613693</v>
      </c>
      <c r="R59" s="68">
        <v>0.46766136267498876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4.4872672012925791E-4</v>
      </c>
      <c r="M60" s="115">
        <v>2.6123637458565507E-2</v>
      </c>
      <c r="N60" s="115">
        <v>0.81091837870571226</v>
      </c>
      <c r="O60" s="115">
        <v>8.4682288531896781E-3</v>
      </c>
      <c r="P60" s="115">
        <v>7.9955797012338705E-3</v>
      </c>
      <c r="Q60" s="111">
        <v>8.4682288531896781E-3</v>
      </c>
      <c r="R60" s="68">
        <v>7.9955797012338705E-3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0.28459598371060252</v>
      </c>
      <c r="M61" s="115">
        <v>11.767084456483326</v>
      </c>
      <c r="N61" s="115">
        <v>362.11201548312539</v>
      </c>
      <c r="O61" s="115">
        <v>3.821108159849341</v>
      </c>
      <c r="P61" s="115">
        <v>3.5902604162751919</v>
      </c>
      <c r="Q61" s="111">
        <v>3.821108159849341</v>
      </c>
      <c r="R61" s="68">
        <v>3.5902604162751919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3.9003985946350207E-3</v>
      </c>
      <c r="M62" s="115">
        <v>51.409057115849777</v>
      </c>
      <c r="N62" s="115">
        <v>1680.4586885376307</v>
      </c>
      <c r="O62" s="115">
        <v>12.329764446421548</v>
      </c>
      <c r="P62" s="115">
        <v>8.0970783594002622</v>
      </c>
      <c r="Q62" s="111">
        <v>12.329764446421549</v>
      </c>
      <c r="R62" s="68">
        <v>8.0970783594002622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3.6336155064382099E-4</v>
      </c>
      <c r="M63" s="115">
        <v>123.95410417806409</v>
      </c>
      <c r="N63" s="115">
        <v>4140.0681211021674</v>
      </c>
      <c r="O63" s="115">
        <v>24.402038430207693</v>
      </c>
      <c r="P63" s="115">
        <v>9.8199803843106963</v>
      </c>
      <c r="Q63" s="111">
        <v>24.402038430207693</v>
      </c>
      <c r="R63" s="68">
        <v>9.8199803843106963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1.2665085248966416E-4</v>
      </c>
      <c r="M64" s="115">
        <v>141.35037218915105</v>
      </c>
      <c r="N64" s="115">
        <v>4757.9318259997517</v>
      </c>
      <c r="O64" s="115">
        <v>27.363717370772871</v>
      </c>
      <c r="P64" s="115">
        <v>10.337620847231893</v>
      </c>
      <c r="Q64" s="111">
        <v>27.363717370772871</v>
      </c>
      <c r="R64" s="68">
        <v>10.337620847231893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3.5717285007994551E-5</v>
      </c>
      <c r="M65" s="115">
        <v>153.46358516540457</v>
      </c>
      <c r="N65" s="115">
        <v>5211.3171898539658</v>
      </c>
      <c r="O65" s="115">
        <v>29.459254969982773</v>
      </c>
      <c r="P65" s="115">
        <v>10.744901567836761</v>
      </c>
      <c r="Q65" s="111">
        <v>29.459254969982773</v>
      </c>
      <c r="R65" s="68">
        <v>10.744901567836761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7.3882701423401846E-5</v>
      </c>
      <c r="M66" s="115">
        <v>147.42577905490836</v>
      </c>
      <c r="N66" s="115">
        <v>4981.3127603832518</v>
      </c>
      <c r="O66" s="115">
        <v>28.409657952396458</v>
      </c>
      <c r="P66" s="115">
        <v>10.535022278389459</v>
      </c>
      <c r="Q66" s="111">
        <v>28.409657952396458</v>
      </c>
      <c r="R66" s="68">
        <v>10.535022278389459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0.81197997283547785</v>
      </c>
      <c r="M67" s="115">
        <v>1.93495356854929</v>
      </c>
      <c r="N67" s="115">
        <v>37.346456853310563</v>
      </c>
      <c r="O67" s="115">
        <v>1.0137885747140374</v>
      </c>
      <c r="P67" s="115">
        <v>1.0674570098887033</v>
      </c>
      <c r="Q67" s="111">
        <v>1.0137885747140374</v>
      </c>
      <c r="R67" s="68">
        <v>1.0674570098887033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0.74097500997584864</v>
      </c>
      <c r="M68" s="115">
        <v>2.6835350102162594</v>
      </c>
      <c r="N68" s="115">
        <v>62.572611632213047</v>
      </c>
      <c r="O68" s="115">
        <v>1.1947947695820749</v>
      </c>
      <c r="P68" s="115">
        <v>1.209503508675368</v>
      </c>
      <c r="Q68" s="111">
        <v>1.1947947695820749</v>
      </c>
      <c r="R68" s="68">
        <v>1.209503508675368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1.422836117105886E-3</v>
      </c>
      <c r="M69" s="115">
        <v>86.933638300221631</v>
      </c>
      <c r="N69" s="115">
        <v>2870.846807751132</v>
      </c>
      <c r="O69" s="115">
        <v>18.189921533049453</v>
      </c>
      <c r="P69" s="115">
        <v>8.8558005438582228</v>
      </c>
      <c r="Q69" s="111">
        <v>18.189921533049453</v>
      </c>
      <c r="R69" s="68">
        <v>8.8558005438582228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2.569688926814458E-2</v>
      </c>
      <c r="M70" s="115">
        <v>20.374973465217543</v>
      </c>
      <c r="N70" s="115">
        <v>652.95718791287118</v>
      </c>
      <c r="O70" s="115">
        <v>6.9969522623411837</v>
      </c>
      <c r="P70" s="115">
        <v>7.0342331739336625</v>
      </c>
      <c r="Q70" s="111">
        <v>6.9969522623411837</v>
      </c>
      <c r="R70" s="68">
        <v>7.0342331739336625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0.74135685019730679</v>
      </c>
      <c r="M71" s="115">
        <v>2.505186023934709</v>
      </c>
      <c r="N71" s="115">
        <v>57.017394788052925</v>
      </c>
      <c r="O71" s="115">
        <v>1.1422583952931631</v>
      </c>
      <c r="P71" s="115">
        <v>1.1634184191294332</v>
      </c>
      <c r="Q71" s="111">
        <v>1.1422583952931631</v>
      </c>
      <c r="R71" s="68">
        <v>1.1634184191294332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2.9687417008741879E-2</v>
      </c>
      <c r="M72" s="115">
        <v>20.009254947845601</v>
      </c>
      <c r="N72" s="115">
        <v>640.41202916421389</v>
      </c>
      <c r="O72" s="115">
        <v>6.8358063648304164</v>
      </c>
      <c r="P72" s="115">
        <v>6.8426484483109595</v>
      </c>
      <c r="Q72" s="111">
        <v>6.8358063648304164</v>
      </c>
      <c r="R72" s="68">
        <v>6.8426484483109595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0.26189425929388765</v>
      </c>
      <c r="M73" s="115">
        <v>12.133791008442412</v>
      </c>
      <c r="N73" s="115">
        <v>374.57027813428482</v>
      </c>
      <c r="O73" s="115">
        <v>3.9359595789076978</v>
      </c>
      <c r="P73" s="115">
        <v>3.7034553758438848</v>
      </c>
      <c r="Q73" s="111">
        <v>3.9359595789076978</v>
      </c>
      <c r="R73" s="68">
        <v>3.7034553758438848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2.6815260008883787E-2</v>
      </c>
      <c r="M74" s="115">
        <v>20.297270943726673</v>
      </c>
      <c r="N74" s="115">
        <v>650.22998348366798</v>
      </c>
      <c r="O74" s="115">
        <v>6.9598758831393575</v>
      </c>
      <c r="P74" s="115">
        <v>6.9883365771413635</v>
      </c>
      <c r="Q74" s="111">
        <v>6.9598758831393575</v>
      </c>
      <c r="R74" s="68">
        <v>6.9883365771413635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4.3761486181919489E-3</v>
      </c>
      <c r="M75" s="115">
        <v>5.5985443379991233</v>
      </c>
      <c r="N75" s="115">
        <v>550.08201662488773</v>
      </c>
      <c r="O75" s="115">
        <v>5.9845950969246831</v>
      </c>
      <c r="P75" s="115">
        <v>8.7320262196767633</v>
      </c>
      <c r="Q75" s="111">
        <v>5.9845950969246831</v>
      </c>
      <c r="R75" s="68">
        <v>8.7320262196767633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4.3761486205405329E-3</v>
      </c>
      <c r="M76" s="115">
        <v>5.5985443410037412</v>
      </c>
      <c r="N76" s="115">
        <v>550.08201692010482</v>
      </c>
      <c r="O76" s="115">
        <v>5.9845951001364854</v>
      </c>
      <c r="P76" s="115">
        <v>8.732026224363052</v>
      </c>
      <c r="Q76" s="111">
        <v>5.9845951001364854</v>
      </c>
      <c r="R76" s="68">
        <v>8.7320262243630538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0.10134196300552806</v>
      </c>
      <c r="M77" s="115">
        <v>17.008746958502638</v>
      </c>
      <c r="N77" s="115">
        <v>537.16333383965059</v>
      </c>
      <c r="O77" s="115">
        <v>5.5910519475134031</v>
      </c>
      <c r="P77" s="115">
        <v>5.3992993629397672</v>
      </c>
      <c r="Q77" s="111">
        <v>5.591051947513404</v>
      </c>
      <c r="R77" s="68">
        <v>5.3992993629397672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0.52469972743486404</v>
      </c>
      <c r="M78" s="115">
        <v>5.7323160865981411</v>
      </c>
      <c r="N78" s="115">
        <v>164.08798488987011</v>
      </c>
      <c r="O78" s="115">
        <v>2.0070458662964294</v>
      </c>
      <c r="P78" s="115">
        <v>1.9019334156422794</v>
      </c>
      <c r="Q78" s="111">
        <v>2.0070458662964294</v>
      </c>
      <c r="R78" s="68">
        <v>1.9019334156422794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0.36868907541017076</v>
      </c>
      <c r="M79" s="115">
        <v>9.484681820283372</v>
      </c>
      <c r="N79" s="115">
        <v>287.04528585955694</v>
      </c>
      <c r="O79" s="115">
        <v>3.1149158856541077</v>
      </c>
      <c r="P79" s="115">
        <v>2.9174587599080661</v>
      </c>
      <c r="Q79" s="111">
        <v>3.1149158856541077</v>
      </c>
      <c r="R79" s="68">
        <v>2.9174587599080666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2.966003765437074E-3</v>
      </c>
      <c r="M80" s="115">
        <v>10.867350692220457</v>
      </c>
      <c r="N80" s="115">
        <v>1068.325035307854</v>
      </c>
      <c r="O80" s="115">
        <v>7.3590162118871909</v>
      </c>
      <c r="P80" s="115">
        <v>9.2336567916084498</v>
      </c>
      <c r="Q80" s="111">
        <v>7.3590162118871909</v>
      </c>
      <c r="R80" s="68">
        <v>9.2336567916084498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0.96714299192841013</v>
      </c>
      <c r="M81" s="115">
        <v>0.91659183399782618</v>
      </c>
      <c r="N81" s="115">
        <v>1.6866484710963494</v>
      </c>
      <c r="O81" s="115">
        <v>0.81348885961500739</v>
      </c>
      <c r="P81" s="115">
        <v>0.9396807582986495</v>
      </c>
      <c r="Q81" s="111">
        <v>0.8134888596150075</v>
      </c>
      <c r="R81" s="68">
        <v>0.9396807582986495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0.71758502091781473</v>
      </c>
      <c r="M82" s="115">
        <v>3.111531517898217</v>
      </c>
      <c r="N82" s="115">
        <v>76.553195666870636</v>
      </c>
      <c r="O82" s="115">
        <v>1.309429791907202</v>
      </c>
      <c r="P82" s="115">
        <v>1.3058616872002931</v>
      </c>
      <c r="Q82" s="111">
        <v>1.309429791907202</v>
      </c>
      <c r="R82" s="68">
        <v>1.3058616872002931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0.12729851294719385</v>
      </c>
      <c r="M83" s="115">
        <v>16.571743251705662</v>
      </c>
      <c r="N83" s="115">
        <v>521.66011974873538</v>
      </c>
      <c r="O83" s="115">
        <v>5.4192047114590203</v>
      </c>
      <c r="P83" s="115">
        <v>5.2017250619142308</v>
      </c>
      <c r="Q83" s="111">
        <v>5.4192047114590203</v>
      </c>
      <c r="R83" s="68">
        <v>5.2017250619142308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0.93056667862110176</v>
      </c>
      <c r="M84" s="115">
        <v>1.0524400990116938</v>
      </c>
      <c r="N84" s="115">
        <v>6.835870956672883</v>
      </c>
      <c r="O84" s="115">
        <v>0.82910251996738082</v>
      </c>
      <c r="P84" s="115">
        <v>0.94136791215374105</v>
      </c>
      <c r="Q84" s="111">
        <v>0.82910251996738082</v>
      </c>
      <c r="R84" s="68">
        <v>0.94136791215374105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0.98478843610849498</v>
      </c>
      <c r="M85" s="115">
        <v>0.88803883979829801</v>
      </c>
      <c r="N85" s="115">
        <v>0.34595438302767262</v>
      </c>
      <c r="O85" s="115">
        <v>0.81645926733712437</v>
      </c>
      <c r="P85" s="115">
        <v>0.94772315526275142</v>
      </c>
      <c r="Q85" s="111">
        <v>0.81645926733712437</v>
      </c>
      <c r="R85" s="68">
        <v>0.94772315526275142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0.93226729163381317</v>
      </c>
      <c r="M86" s="115">
        <v>1.044163520971781</v>
      </c>
      <c r="N86" s="115">
        <v>6.5355693064270586</v>
      </c>
      <c r="O86" s="115">
        <v>0.82780387058971416</v>
      </c>
      <c r="P86" s="115">
        <v>0.94079242599789925</v>
      </c>
      <c r="Q86" s="111">
        <v>0.82780387058971416</v>
      </c>
      <c r="R86" s="68">
        <v>0.94079242599789925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5.2714927198382758E-4</v>
      </c>
      <c r="M87" s="115">
        <v>115.63342544143548</v>
      </c>
      <c r="N87" s="115">
        <v>3850.9596993016057</v>
      </c>
      <c r="O87" s="115">
        <v>22.997513586684345</v>
      </c>
      <c r="P87" s="115">
        <v>9.5904911043776853</v>
      </c>
      <c r="Q87" s="111">
        <v>22.997513586684345</v>
      </c>
      <c r="R87" s="68">
        <v>9.5904911043776853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0.6010346582738999</v>
      </c>
      <c r="M88" s="115">
        <v>4.8914405865927213</v>
      </c>
      <c r="N88" s="115">
        <v>135.48490645850848</v>
      </c>
      <c r="O88" s="115">
        <v>1.7862976537867754</v>
      </c>
      <c r="P88" s="115">
        <v>1.7121684997714595</v>
      </c>
      <c r="Q88" s="111">
        <v>1.7862976537867756</v>
      </c>
      <c r="R88" s="68">
        <v>1.7121684997714595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0.69782558453299703</v>
      </c>
      <c r="M89" s="115">
        <v>3.3855993109470948</v>
      </c>
      <c r="N89" s="115">
        <v>85.654006335150427</v>
      </c>
      <c r="O89" s="115">
        <v>1.3808366989067347</v>
      </c>
      <c r="P89" s="115">
        <v>1.3653115520060537</v>
      </c>
      <c r="Q89" s="111">
        <v>1.3808366989067347</v>
      </c>
      <c r="R89" s="68">
        <v>1.3653115520060537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0.86301143342337339</v>
      </c>
      <c r="M90" s="115">
        <v>1.5058196686177496</v>
      </c>
      <c r="N90" s="115">
        <v>22.655866444598701</v>
      </c>
      <c r="O90" s="115">
        <v>0.91840549942485727</v>
      </c>
      <c r="P90" s="115">
        <v>0.99808925752138289</v>
      </c>
      <c r="Q90" s="111">
        <v>0.91840549942485739</v>
      </c>
      <c r="R90" s="68">
        <v>0.99808925752138289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3.3923897948851573E-3</v>
      </c>
      <c r="M91" s="115">
        <v>56.410113549465137</v>
      </c>
      <c r="N91" s="115">
        <v>1846.8048180802011</v>
      </c>
      <c r="O91" s="115">
        <v>13.149647847668424</v>
      </c>
      <c r="P91" s="115">
        <v>8.195422518154345</v>
      </c>
      <c r="Q91" s="111">
        <v>13.149647847668424</v>
      </c>
      <c r="R91" s="68">
        <v>8.195422518154345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0.17741959149166309</v>
      </c>
      <c r="M92" s="115">
        <v>14.90908561325767</v>
      </c>
      <c r="N92" s="115">
        <v>466.16626024690078</v>
      </c>
      <c r="O92" s="115">
        <v>4.8436925558164843</v>
      </c>
      <c r="P92" s="115">
        <v>4.6047986261617124</v>
      </c>
      <c r="Q92" s="111">
        <v>4.8436925558164843</v>
      </c>
      <c r="R92" s="68">
        <v>4.6047986261617124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3.905665583501667E-2</v>
      </c>
      <c r="M93" s="115">
        <v>19.926653350737283</v>
      </c>
      <c r="N93" s="115">
        <v>636.30788161656631</v>
      </c>
      <c r="O93" s="115">
        <v>6.7489746814087637</v>
      </c>
      <c r="P93" s="115">
        <v>6.7061131474811084</v>
      </c>
      <c r="Q93" s="111">
        <v>6.7489746814087637</v>
      </c>
      <c r="R93" s="68">
        <v>6.7061131474811084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0.89397975469774882</v>
      </c>
      <c r="M94" s="115">
        <v>0.91539625448357598</v>
      </c>
      <c r="N94" s="115">
        <v>11.879139028915631</v>
      </c>
      <c r="O94" s="115">
        <v>1.2474925940917621</v>
      </c>
      <c r="P94" s="115">
        <v>1.7353526566136341</v>
      </c>
      <c r="Q94" s="111">
        <v>1.2474925940917621</v>
      </c>
      <c r="R94" s="68">
        <v>1.7353526566136341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7.9107369933934246E-3</v>
      </c>
      <c r="M95" s="115">
        <v>28.382200431812528</v>
      </c>
      <c r="N95" s="115">
        <v>919.59399059469922</v>
      </c>
      <c r="O95" s="115">
        <v>8.5871571203351742</v>
      </c>
      <c r="P95" s="115">
        <v>7.6996476633309774</v>
      </c>
      <c r="Q95" s="111">
        <v>8.5871571203351742</v>
      </c>
      <c r="R95" s="68">
        <v>7.6996476633309774</v>
      </c>
    </row>
    <row r="96" spans="1:18">
      <c r="A96" s="102" t="s">
        <v>470</v>
      </c>
      <c r="B96" s="168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0.96595256960553488</v>
      </c>
      <c r="M96" s="115">
        <v>0.91948913625143569</v>
      </c>
      <c r="N96" s="115">
        <v>1.8070113939773524</v>
      </c>
      <c r="O96" s="115">
        <v>0.8135588277280188</v>
      </c>
      <c r="P96" s="115">
        <v>0.93936135668454668</v>
      </c>
      <c r="Q96" s="111">
        <v>0.8135588277280188</v>
      </c>
      <c r="R96" s="68">
        <v>0.93936135668454668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0.92969987369257079</v>
      </c>
      <c r="M97" s="115">
        <v>1.0567257046490677</v>
      </c>
      <c r="N97" s="115">
        <v>6.9910217001821842</v>
      </c>
      <c r="O97" s="115">
        <v>0.829784343093524</v>
      </c>
      <c r="P97" s="115">
        <v>0.94167878084130874</v>
      </c>
      <c r="Q97" s="111">
        <v>0.829784343093524</v>
      </c>
      <c r="R97" s="68">
        <v>0.94167878084130885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1.8415145548881909E-2</v>
      </c>
      <c r="M98" s="115">
        <v>20.683745919383476</v>
      </c>
      <c r="N98" s="115">
        <v>664.61979243281939</v>
      </c>
      <c r="O98" s="115">
        <v>7.1845551063078048</v>
      </c>
      <c r="P98" s="115">
        <v>7.2899922443607421</v>
      </c>
      <c r="Q98" s="111">
        <v>7.1845551063078057</v>
      </c>
      <c r="R98" s="68">
        <v>7.2899922443607421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0.9885866152420244</v>
      </c>
      <c r="M99" s="115">
        <v>0.88583611592065281</v>
      </c>
      <c r="N99" s="115">
        <v>0.17829692906413039</v>
      </c>
      <c r="O99" s="115">
        <v>0.81817468848602681</v>
      </c>
      <c r="P99" s="115">
        <v>0.95032201009017014</v>
      </c>
      <c r="Q99" s="111">
        <v>0.81817468848602692</v>
      </c>
      <c r="R99" s="68">
        <v>0.95032201009017025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0.41093109140617862</v>
      </c>
      <c r="M100" s="115">
        <v>8.6455151268864601</v>
      </c>
      <c r="N100" s="115">
        <v>259.20247425610665</v>
      </c>
      <c r="O100" s="115">
        <v>2.864992955934675</v>
      </c>
      <c r="P100" s="115">
        <v>2.68438630041519</v>
      </c>
      <c r="Q100" s="111">
        <v>2.864992955934675</v>
      </c>
      <c r="R100" s="68">
        <v>2.68438630041519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0.98280877578004944</v>
      </c>
      <c r="M101" s="115">
        <v>0.88979222444988693</v>
      </c>
      <c r="N101" s="115">
        <v>0.45183160889545909</v>
      </c>
      <c r="O101" s="115">
        <v>0.81572781030671393</v>
      </c>
      <c r="P101" s="115">
        <v>0.94649732026349709</v>
      </c>
      <c r="Q101" s="111">
        <v>0.81572781030671404</v>
      </c>
      <c r="R101" s="68">
        <v>0.9464973202634972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0.99345581312226938</v>
      </c>
      <c r="M102" s="115">
        <v>0.88547570287532218</v>
      </c>
      <c r="N102" s="115">
        <v>3.8258576453936669E-2</v>
      </c>
      <c r="O102" s="115">
        <v>0.82102446088640624</v>
      </c>
      <c r="P102" s="115">
        <v>0.95415744715536777</v>
      </c>
      <c r="Q102" s="111">
        <v>0.82102446088640624</v>
      </c>
      <c r="R102" s="68">
        <v>0.95415744715536788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0.98885744159606326</v>
      </c>
      <c r="M103" s="115">
        <v>0.88574048421200557</v>
      </c>
      <c r="N103" s="115">
        <v>0.16821457472162873</v>
      </c>
      <c r="O103" s="115">
        <v>0.81831337007680638</v>
      </c>
      <c r="P103" s="115">
        <v>0.95052013094062648</v>
      </c>
      <c r="Q103" s="111">
        <v>0.81831337007680649</v>
      </c>
      <c r="R103" s="68">
        <v>0.95052013094062648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0.94929228486569817</v>
      </c>
      <c r="M104" s="115">
        <v>0.97136007689326309</v>
      </c>
      <c r="N104" s="115">
        <v>3.841891168320235</v>
      </c>
      <c r="O104" s="115">
        <v>0.81776502176079879</v>
      </c>
      <c r="P104" s="115">
        <v>0.93762303204834274</v>
      </c>
      <c r="Q104" s="111">
        <v>0.81776502176079879</v>
      </c>
      <c r="R104" s="68">
        <v>0.93762303204834285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0.99274136376325461</v>
      </c>
      <c r="M105" s="115">
        <v>0.88533823051519478</v>
      </c>
      <c r="N105" s="115">
        <v>5.3046311831381691E-2</v>
      </c>
      <c r="O105" s="115">
        <v>0.82055684387660721</v>
      </c>
      <c r="P105" s="115">
        <v>0.95355718478151985</v>
      </c>
      <c r="Q105" s="111">
        <v>0.82055684387660732</v>
      </c>
      <c r="R105" s="68">
        <v>0.95355718478151985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0.82458111032462889</v>
      </c>
      <c r="M106" s="115">
        <v>1.8557208875712929</v>
      </c>
      <c r="N106" s="115">
        <v>34.541877417280801</v>
      </c>
      <c r="O106" s="115">
        <v>0.9977679290499385</v>
      </c>
      <c r="P106" s="115">
        <v>1.0566169817928657</v>
      </c>
      <c r="Q106" s="111">
        <v>0.9977679290499385</v>
      </c>
      <c r="R106" s="68">
        <v>1.0566169817928657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1.3691670577141215E-2</v>
      </c>
      <c r="M107" s="115">
        <v>20.797855271009976</v>
      </c>
      <c r="N107" s="115">
        <v>669.7758656495788</v>
      </c>
      <c r="O107" s="115">
        <v>7.2981171955059017</v>
      </c>
      <c r="P107" s="115">
        <v>7.4648098162546797</v>
      </c>
      <c r="Q107" s="111">
        <v>7.2981171955059017</v>
      </c>
      <c r="R107" s="68">
        <v>7.4648098162546797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0.47294023748664743</v>
      </c>
      <c r="M108" s="115">
        <v>7.3039436791995724</v>
      </c>
      <c r="N108" s="115">
        <v>215.01796005376238</v>
      </c>
      <c r="O108" s="115">
        <v>2.4701702210909917</v>
      </c>
      <c r="P108" s="115">
        <v>2.3218377901590794</v>
      </c>
      <c r="Q108" s="111">
        <v>2.4701702210909917</v>
      </c>
      <c r="R108" s="68">
        <v>2.3218377901590794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8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2024-10-28T23:32:49Z</dcterms:modified>
</cp:coreProperties>
</file>